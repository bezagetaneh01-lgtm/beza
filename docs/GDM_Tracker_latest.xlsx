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ezaw\Downloads\jira-migration-dashboard\docs\data\"/>
    </mc:Choice>
  </mc:AlternateContent>
  <xr:revisionPtr revIDLastSave="0" documentId="8_{1E19573D-D70C-4A80-BB72-6A8CAA8391D6}" xr6:coauthVersionLast="47" xr6:coauthVersionMax="47" xr10:uidLastSave="{00000000-0000-0000-0000-000000000000}"/>
  <bookViews>
    <workbookView xWindow="-120" yWindow="-120" windowWidth="23280" windowHeight="14880" tabRatio="500" firstSheet="1" activeTab="1" xr2:uid="{00000000-000D-0000-FFFF-FFFF00000000}"/>
  </bookViews>
  <sheets>
    <sheet name="READ ME FIRST" sheetId="1" state="hidden" r:id="rId1"/>
    <sheet name="Combined Delivery Data" sheetId="2" r:id="rId2"/>
    <sheet name="Find a Report" sheetId="3" state="hidden" r:id="rId3"/>
    <sheet name="Rework Log" sheetId="4" r:id="rId4"/>
    <sheet name="Fact Table" sheetId="5" state="hidden" r:id="rId5"/>
    <sheet name="Dim Table" sheetId="6" r:id="rId6"/>
    <sheet name="Data Validation" sheetId="7" r:id="rId7"/>
  </sheets>
  <definedNames>
    <definedName name="_xlnm._FilterDatabase" localSheetId="5" hidden="1">'Dim Table'!$A$2:$C$15</definedName>
    <definedName name="_xlnm._FilterDatabase" localSheetId="4" hidden="1">'Fact Table'!$A$2:$J$156</definedName>
    <definedName name="DB_Dev_List">'Data Validation'!$B$3:$B$10</definedName>
    <definedName name="DPO_Approval_List">'Data Validation'!$K$3:$K$6</definedName>
    <definedName name="PBI_Dev_List">'Data Validation'!$C$3:$C$5</definedName>
    <definedName name="QA_List">'Data Validation'!$H$3:$H$6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3" l="1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AD200" i="2"/>
  <c r="D200" i="2"/>
  <c r="AD199" i="2"/>
  <c r="D199" i="2"/>
  <c r="AD198" i="2"/>
  <c r="D198" i="2"/>
  <c r="AD197" i="2"/>
  <c r="D197" i="2"/>
  <c r="AD196" i="2"/>
  <c r="D196" i="2"/>
  <c r="AD195" i="2"/>
  <c r="D195" i="2"/>
  <c r="AD194" i="2"/>
  <c r="D194" i="2"/>
  <c r="AD193" i="2"/>
  <c r="D193" i="2"/>
  <c r="AD192" i="2"/>
  <c r="D192" i="2"/>
  <c r="AD191" i="2"/>
  <c r="D191" i="2"/>
  <c r="AD190" i="2"/>
  <c r="D190" i="2"/>
  <c r="AD189" i="2"/>
  <c r="D189" i="2"/>
  <c r="AD188" i="2"/>
  <c r="D188" i="2"/>
  <c r="AD187" i="2"/>
  <c r="D187" i="2"/>
  <c r="AD186" i="2"/>
  <c r="D186" i="2"/>
  <c r="AD185" i="2"/>
  <c r="D185" i="2"/>
  <c r="AD184" i="2"/>
  <c r="D184" i="2"/>
  <c r="AD183" i="2"/>
  <c r="D183" i="2"/>
  <c r="AD182" i="2"/>
  <c r="D182" i="2"/>
  <c r="AD181" i="2"/>
  <c r="D181" i="2"/>
  <c r="AD180" i="2"/>
  <c r="D180" i="2"/>
  <c r="AD179" i="2"/>
  <c r="D179" i="2"/>
  <c r="AD178" i="2"/>
  <c r="D178" i="2"/>
  <c r="AD177" i="2"/>
  <c r="D177" i="2"/>
  <c r="AD176" i="2"/>
  <c r="D176" i="2"/>
  <c r="AD175" i="2"/>
  <c r="D175" i="2"/>
  <c r="AD174" i="2"/>
  <c r="D174" i="2"/>
  <c r="AD173" i="2"/>
  <c r="D173" i="2"/>
  <c r="AD172" i="2"/>
  <c r="D172" i="2"/>
  <c r="AD171" i="2"/>
  <c r="D171" i="2"/>
  <c r="AD170" i="2"/>
  <c r="D170" i="2"/>
  <c r="AD169" i="2"/>
  <c r="D169" i="2"/>
  <c r="AD168" i="2"/>
  <c r="D168" i="2"/>
  <c r="AD167" i="2"/>
  <c r="D167" i="2"/>
  <c r="AD166" i="2"/>
  <c r="D166" i="2"/>
  <c r="AD165" i="2"/>
  <c r="D165" i="2"/>
  <c r="AD164" i="2"/>
  <c r="D164" i="2"/>
  <c r="AD163" i="2"/>
  <c r="D163" i="2"/>
  <c r="AD162" i="2"/>
  <c r="D162" i="2"/>
  <c r="AD161" i="2"/>
  <c r="D161" i="2"/>
  <c r="AD160" i="2"/>
  <c r="D160" i="2"/>
  <c r="AD159" i="2"/>
  <c r="D159" i="2"/>
  <c r="AD158" i="2"/>
  <c r="D158" i="2"/>
  <c r="AD157" i="2"/>
  <c r="D157" i="2"/>
  <c r="AD156" i="2"/>
  <c r="D156" i="2"/>
  <c r="AD155" i="2"/>
  <c r="D155" i="2"/>
  <c r="AD154" i="2"/>
  <c r="D154" i="2"/>
  <c r="AD153" i="2"/>
  <c r="D153" i="2"/>
  <c r="AD152" i="2"/>
  <c r="D152" i="2"/>
  <c r="AD151" i="2"/>
  <c r="D151" i="2"/>
  <c r="AD150" i="2"/>
  <c r="D150" i="2"/>
  <c r="AD149" i="2"/>
  <c r="D149" i="2"/>
  <c r="AD148" i="2"/>
  <c r="D148" i="2"/>
  <c r="AD147" i="2"/>
  <c r="D147" i="2"/>
  <c r="AD146" i="2"/>
  <c r="D146" i="2"/>
  <c r="AD145" i="2"/>
  <c r="D145" i="2"/>
  <c r="AD144" i="2"/>
  <c r="D144" i="2"/>
  <c r="AD143" i="2"/>
  <c r="D143" i="2"/>
  <c r="AD142" i="2"/>
  <c r="D142" i="2"/>
  <c r="AD141" i="2"/>
  <c r="D141" i="2"/>
  <c r="AD140" i="2"/>
  <c r="D140" i="2"/>
  <c r="AD139" i="2"/>
  <c r="D139" i="2"/>
  <c r="AD138" i="2"/>
  <c r="D138" i="2"/>
  <c r="AD137" i="2"/>
  <c r="D137" i="2"/>
  <c r="AD136" i="2"/>
  <c r="D136" i="2"/>
  <c r="AD135" i="2"/>
  <c r="D135" i="2"/>
  <c r="AD134" i="2"/>
  <c r="D134" i="2"/>
  <c r="AD133" i="2"/>
  <c r="D133" i="2"/>
  <c r="AD132" i="2"/>
  <c r="D132" i="2"/>
  <c r="AD131" i="2"/>
  <c r="D131" i="2"/>
  <c r="AD130" i="2"/>
  <c r="D130" i="2"/>
  <c r="AD129" i="2"/>
  <c r="D129" i="2"/>
  <c r="AD128" i="2"/>
  <c r="D128" i="2"/>
  <c r="AD127" i="2"/>
  <c r="D127" i="2"/>
  <c r="AD126" i="2"/>
  <c r="D126" i="2"/>
  <c r="AD125" i="2"/>
  <c r="D125" i="2"/>
  <c r="AD124" i="2"/>
  <c r="D124" i="2"/>
  <c r="AD123" i="2"/>
  <c r="D123" i="2"/>
  <c r="AD122" i="2"/>
  <c r="D122" i="2"/>
  <c r="AD121" i="2"/>
  <c r="D121" i="2"/>
  <c r="AD120" i="2"/>
  <c r="D120" i="2"/>
  <c r="AD119" i="2"/>
  <c r="D119" i="2"/>
  <c r="AD118" i="2"/>
  <c r="D118" i="2"/>
  <c r="AD117" i="2"/>
  <c r="D117" i="2"/>
  <c r="AD116" i="2"/>
  <c r="D116" i="2"/>
  <c r="AD115" i="2"/>
  <c r="D115" i="2"/>
  <c r="AD114" i="2"/>
  <c r="D114" i="2"/>
  <c r="AD113" i="2"/>
  <c r="D113" i="2"/>
  <c r="AD112" i="2"/>
  <c r="D112" i="2"/>
  <c r="AD111" i="2"/>
  <c r="D111" i="2"/>
  <c r="AD110" i="2"/>
  <c r="D110" i="2"/>
  <c r="AD109" i="2"/>
  <c r="D109" i="2"/>
  <c r="AD108" i="2"/>
  <c r="D108" i="2"/>
  <c r="AD107" i="2"/>
  <c r="D107" i="2"/>
  <c r="AD106" i="2"/>
  <c r="D106" i="2"/>
  <c r="AD105" i="2"/>
  <c r="D105" i="2"/>
  <c r="AD104" i="2"/>
  <c r="D104" i="2"/>
  <c r="AD103" i="2"/>
  <c r="D103" i="2"/>
  <c r="AD102" i="2"/>
  <c r="D102" i="2"/>
  <c r="AD101" i="2"/>
  <c r="D101" i="2"/>
  <c r="AD100" i="2"/>
  <c r="D100" i="2"/>
  <c r="AD99" i="2"/>
  <c r="D99" i="2"/>
  <c r="AD98" i="2"/>
  <c r="D98" i="2"/>
  <c r="AD97" i="2"/>
  <c r="D97" i="2"/>
  <c r="AD96" i="2"/>
  <c r="D96" i="2"/>
  <c r="AD95" i="2"/>
  <c r="D95" i="2"/>
  <c r="AD94" i="2"/>
  <c r="D94" i="2"/>
  <c r="AD93" i="2"/>
  <c r="D93" i="2"/>
  <c r="AD92" i="2"/>
  <c r="D92" i="2"/>
  <c r="AD91" i="2"/>
  <c r="D91" i="2"/>
  <c r="AD90" i="2"/>
  <c r="D90" i="2"/>
  <c r="AD89" i="2"/>
  <c r="D89" i="2"/>
  <c r="AD88" i="2"/>
  <c r="D88" i="2"/>
  <c r="AD87" i="2"/>
  <c r="D87" i="2"/>
  <c r="AD86" i="2"/>
  <c r="D86" i="2"/>
  <c r="AD85" i="2"/>
  <c r="D85" i="2"/>
  <c r="AD84" i="2"/>
  <c r="D84" i="2"/>
  <c r="AD83" i="2"/>
  <c r="D83" i="2"/>
  <c r="AD82" i="2"/>
  <c r="D82" i="2"/>
  <c r="AD81" i="2"/>
  <c r="D81" i="2"/>
  <c r="AD80" i="2"/>
  <c r="D80" i="2"/>
  <c r="AD79" i="2"/>
  <c r="D79" i="2"/>
  <c r="AD78" i="2"/>
  <c r="D78" i="2"/>
  <c r="AD77" i="2"/>
  <c r="D77" i="2"/>
  <c r="AD76" i="2"/>
  <c r="D76" i="2"/>
  <c r="AD75" i="2"/>
  <c r="D75" i="2"/>
  <c r="AD74" i="2"/>
  <c r="D74" i="2"/>
  <c r="AD73" i="2"/>
  <c r="D73" i="2"/>
  <c r="AD72" i="2"/>
  <c r="D72" i="2"/>
  <c r="AD71" i="2"/>
  <c r="D71" i="2"/>
  <c r="AD70" i="2"/>
  <c r="D70" i="2"/>
  <c r="AD69" i="2"/>
  <c r="D69" i="2"/>
  <c r="AD68" i="2"/>
  <c r="D68" i="2"/>
  <c r="AD67" i="2"/>
  <c r="D67" i="2"/>
  <c r="AD66" i="2"/>
  <c r="D66" i="2"/>
  <c r="AD65" i="2"/>
  <c r="D65" i="2"/>
  <c r="AD64" i="2"/>
  <c r="D64" i="2"/>
  <c r="AD63" i="2"/>
  <c r="D63" i="2"/>
  <c r="AD62" i="2"/>
  <c r="D62" i="2"/>
  <c r="AD61" i="2"/>
  <c r="D61" i="2"/>
  <c r="AD60" i="2"/>
  <c r="D60" i="2"/>
  <c r="AD59" i="2"/>
  <c r="D59" i="2"/>
  <c r="AD58" i="2"/>
  <c r="D58" i="2"/>
  <c r="AD57" i="2"/>
  <c r="D57" i="2"/>
  <c r="AD56" i="2"/>
  <c r="D56" i="2"/>
  <c r="AD55" i="2"/>
  <c r="D55" i="2"/>
  <c r="AD54" i="2"/>
  <c r="D54" i="2"/>
  <c r="AD53" i="2"/>
  <c r="D53" i="2"/>
  <c r="AD52" i="2"/>
  <c r="D52" i="2"/>
  <c r="AD51" i="2"/>
  <c r="D51" i="2"/>
  <c r="AD50" i="2"/>
  <c r="D50" i="2"/>
  <c r="AD49" i="2"/>
  <c r="D49" i="2"/>
  <c r="AD48" i="2"/>
  <c r="D48" i="2"/>
  <c r="AD47" i="2"/>
  <c r="D47" i="2"/>
  <c r="AD46" i="2"/>
  <c r="D46" i="2"/>
  <c r="AD45" i="2"/>
  <c r="D45" i="2"/>
  <c r="AD44" i="2"/>
  <c r="D44" i="2"/>
  <c r="AD43" i="2"/>
  <c r="D43" i="2"/>
  <c r="AD42" i="2"/>
  <c r="D42" i="2"/>
  <c r="AD41" i="2"/>
  <c r="D41" i="2"/>
  <c r="AD40" i="2"/>
  <c r="D40" i="2"/>
  <c r="AD39" i="2"/>
  <c r="D39" i="2"/>
  <c r="AD38" i="2"/>
  <c r="D38" i="2"/>
  <c r="AD37" i="2"/>
  <c r="D37" i="2"/>
  <c r="AD36" i="2"/>
  <c r="D36" i="2"/>
  <c r="AD35" i="2"/>
  <c r="D35" i="2"/>
  <c r="AD34" i="2"/>
  <c r="D34" i="2"/>
  <c r="AD33" i="2"/>
  <c r="D33" i="2"/>
  <c r="AD32" i="2"/>
  <c r="D32" i="2"/>
  <c r="AD31" i="2"/>
  <c r="D31" i="2"/>
  <c r="AD30" i="2"/>
  <c r="D30" i="2"/>
  <c r="AD29" i="2"/>
  <c r="D29" i="2"/>
  <c r="AD28" i="2"/>
  <c r="D28" i="2"/>
  <c r="AD27" i="2"/>
  <c r="D27" i="2"/>
  <c r="AD26" i="2"/>
  <c r="D26" i="2"/>
  <c r="AD25" i="2"/>
  <c r="D25" i="2"/>
  <c r="AD24" i="2"/>
  <c r="D24" i="2"/>
  <c r="AD23" i="2"/>
  <c r="D23" i="2"/>
  <c r="AD22" i="2"/>
  <c r="D22" i="2"/>
  <c r="AD21" i="2"/>
  <c r="D21" i="2"/>
  <c r="AD20" i="2"/>
  <c r="D20" i="2"/>
  <c r="AD19" i="2"/>
  <c r="D19" i="2"/>
  <c r="AD18" i="2"/>
  <c r="D18" i="2"/>
  <c r="AD17" i="2"/>
  <c r="D17" i="2"/>
  <c r="AD16" i="2"/>
  <c r="D16" i="2"/>
  <c r="AD15" i="2"/>
  <c r="D15" i="2"/>
  <c r="AD14" i="2"/>
  <c r="D14" i="2"/>
  <c r="AD13" i="2"/>
  <c r="D13" i="2"/>
  <c r="AD12" i="2"/>
  <c r="D12" i="2"/>
  <c r="AD11" i="2"/>
  <c r="D11" i="2"/>
  <c r="AD10" i="2"/>
  <c r="D10" i="2"/>
  <c r="AD9" i="2"/>
  <c r="D9" i="2"/>
  <c r="AD8" i="2"/>
  <c r="D8" i="2"/>
  <c r="AD7" i="2"/>
  <c r="D7" i="2"/>
  <c r="AD6" i="2"/>
  <c r="D6" i="2"/>
  <c r="AD5" i="2"/>
  <c r="D5" i="2"/>
  <c r="AD4" i="2"/>
  <c r="D4" i="2"/>
  <c r="AD3" i="2"/>
  <c r="D3" i="2"/>
  <c r="AD2" i="2"/>
  <c r="D2" i="2"/>
  <c r="O500" i="4"/>
  <c r="M500" i="4"/>
  <c r="O499" i="4"/>
  <c r="M499" i="4"/>
  <c r="O498" i="4"/>
  <c r="M498" i="4"/>
  <c r="O497" i="4"/>
  <c r="M497" i="4"/>
  <c r="O496" i="4"/>
  <c r="M496" i="4"/>
  <c r="O495" i="4"/>
  <c r="M495" i="4"/>
  <c r="O494" i="4"/>
  <c r="M494" i="4"/>
  <c r="O493" i="4"/>
  <c r="M493" i="4"/>
  <c r="O492" i="4"/>
  <c r="M492" i="4"/>
  <c r="O491" i="4"/>
  <c r="M491" i="4"/>
  <c r="O490" i="4"/>
  <c r="M490" i="4"/>
  <c r="O489" i="4"/>
  <c r="M489" i="4"/>
  <c r="O488" i="4"/>
  <c r="M488" i="4"/>
  <c r="O487" i="4"/>
  <c r="M487" i="4"/>
  <c r="O486" i="4"/>
  <c r="M486" i="4"/>
  <c r="O485" i="4"/>
  <c r="M485" i="4"/>
  <c r="O484" i="4"/>
  <c r="M484" i="4"/>
  <c r="O483" i="4"/>
  <c r="M483" i="4"/>
  <c r="O482" i="4"/>
  <c r="M482" i="4"/>
  <c r="O481" i="4"/>
  <c r="M481" i="4"/>
  <c r="O480" i="4"/>
  <c r="M480" i="4"/>
  <c r="O479" i="4"/>
  <c r="M479" i="4"/>
  <c r="O478" i="4"/>
  <c r="M478" i="4"/>
  <c r="O477" i="4"/>
  <c r="M477" i="4"/>
  <c r="O476" i="4"/>
  <c r="M476" i="4"/>
  <c r="O475" i="4"/>
  <c r="M475" i="4"/>
  <c r="O474" i="4"/>
  <c r="M474" i="4"/>
  <c r="O473" i="4"/>
  <c r="M473" i="4"/>
  <c r="O472" i="4"/>
  <c r="M472" i="4"/>
  <c r="O471" i="4"/>
  <c r="M471" i="4"/>
  <c r="O470" i="4"/>
  <c r="M470" i="4"/>
  <c r="O469" i="4"/>
  <c r="M469" i="4"/>
  <c r="O468" i="4"/>
  <c r="M468" i="4"/>
  <c r="O467" i="4"/>
  <c r="M467" i="4"/>
  <c r="O466" i="4"/>
  <c r="M466" i="4"/>
  <c r="O465" i="4"/>
  <c r="M465" i="4"/>
  <c r="O464" i="4"/>
  <c r="M464" i="4"/>
  <c r="O463" i="4"/>
  <c r="M463" i="4"/>
  <c r="O462" i="4"/>
  <c r="M462" i="4"/>
  <c r="O461" i="4"/>
  <c r="M461" i="4"/>
  <c r="O460" i="4"/>
  <c r="M460" i="4"/>
  <c r="O459" i="4"/>
  <c r="M459" i="4"/>
  <c r="O458" i="4"/>
  <c r="M458" i="4"/>
  <c r="O457" i="4"/>
  <c r="M457" i="4"/>
  <c r="O456" i="4"/>
  <c r="M456" i="4"/>
  <c r="O455" i="4"/>
  <c r="M455" i="4"/>
  <c r="O454" i="4"/>
  <c r="M454" i="4"/>
  <c r="O453" i="4"/>
  <c r="M453" i="4"/>
  <c r="O452" i="4"/>
  <c r="M452" i="4"/>
  <c r="O451" i="4"/>
  <c r="M451" i="4"/>
  <c r="O450" i="4"/>
  <c r="M450" i="4"/>
  <c r="O449" i="4"/>
  <c r="M449" i="4"/>
  <c r="O448" i="4"/>
  <c r="M448" i="4"/>
  <c r="O447" i="4"/>
  <c r="M447" i="4"/>
  <c r="O446" i="4"/>
  <c r="M446" i="4"/>
  <c r="O445" i="4"/>
  <c r="M445" i="4"/>
  <c r="O444" i="4"/>
  <c r="M444" i="4"/>
  <c r="O443" i="4"/>
  <c r="M443" i="4"/>
  <c r="O442" i="4"/>
  <c r="M442" i="4"/>
  <c r="O441" i="4"/>
  <c r="M441" i="4"/>
  <c r="O440" i="4"/>
  <c r="M440" i="4"/>
  <c r="O439" i="4"/>
  <c r="M439" i="4"/>
  <c r="O438" i="4"/>
  <c r="M438" i="4"/>
  <c r="O437" i="4"/>
  <c r="M437" i="4"/>
  <c r="O436" i="4"/>
  <c r="M436" i="4"/>
  <c r="O435" i="4"/>
  <c r="M435" i="4"/>
  <c r="O434" i="4"/>
  <c r="M434" i="4"/>
  <c r="O433" i="4"/>
  <c r="M433" i="4"/>
  <c r="O432" i="4"/>
  <c r="M432" i="4"/>
  <c r="O431" i="4"/>
  <c r="M431" i="4"/>
  <c r="O430" i="4"/>
  <c r="M430" i="4"/>
  <c r="O429" i="4"/>
  <c r="M429" i="4"/>
  <c r="O428" i="4"/>
  <c r="M428" i="4"/>
  <c r="O427" i="4"/>
  <c r="M427" i="4"/>
  <c r="O426" i="4"/>
  <c r="M426" i="4"/>
  <c r="O425" i="4"/>
  <c r="M425" i="4"/>
  <c r="O424" i="4"/>
  <c r="M424" i="4"/>
  <c r="O423" i="4"/>
  <c r="M423" i="4"/>
  <c r="O422" i="4"/>
  <c r="M422" i="4"/>
  <c r="O421" i="4"/>
  <c r="M421" i="4"/>
  <c r="O420" i="4"/>
  <c r="M420" i="4"/>
  <c r="O419" i="4"/>
  <c r="M419" i="4"/>
  <c r="O418" i="4"/>
  <c r="M418" i="4"/>
  <c r="O417" i="4"/>
  <c r="M417" i="4"/>
  <c r="O416" i="4"/>
  <c r="M416" i="4"/>
  <c r="O415" i="4"/>
  <c r="M415" i="4"/>
  <c r="O414" i="4"/>
  <c r="M414" i="4"/>
  <c r="O413" i="4"/>
  <c r="M413" i="4"/>
  <c r="O412" i="4"/>
  <c r="M412" i="4"/>
  <c r="O411" i="4"/>
  <c r="M411" i="4"/>
  <c r="O410" i="4"/>
  <c r="M410" i="4"/>
  <c r="O409" i="4"/>
  <c r="M409" i="4"/>
  <c r="O408" i="4"/>
  <c r="M408" i="4"/>
  <c r="O407" i="4"/>
  <c r="M407" i="4"/>
  <c r="O406" i="4"/>
  <c r="M406" i="4"/>
  <c r="O405" i="4"/>
  <c r="M405" i="4"/>
  <c r="O404" i="4"/>
  <c r="M404" i="4"/>
  <c r="O403" i="4"/>
  <c r="M403" i="4"/>
  <c r="O402" i="4"/>
  <c r="M402" i="4"/>
  <c r="O401" i="4"/>
  <c r="M401" i="4"/>
  <c r="O400" i="4"/>
  <c r="M400" i="4"/>
  <c r="O399" i="4"/>
  <c r="M399" i="4"/>
  <c r="O398" i="4"/>
  <c r="M398" i="4"/>
  <c r="O397" i="4"/>
  <c r="M397" i="4"/>
  <c r="O396" i="4"/>
  <c r="M396" i="4"/>
  <c r="O395" i="4"/>
  <c r="M395" i="4"/>
  <c r="O394" i="4"/>
  <c r="M394" i="4"/>
  <c r="O393" i="4"/>
  <c r="M393" i="4"/>
  <c r="O392" i="4"/>
  <c r="M392" i="4"/>
  <c r="O391" i="4"/>
  <c r="M391" i="4"/>
  <c r="O390" i="4"/>
  <c r="M390" i="4"/>
  <c r="O389" i="4"/>
  <c r="M389" i="4"/>
  <c r="O388" i="4"/>
  <c r="M388" i="4"/>
  <c r="O387" i="4"/>
  <c r="M387" i="4"/>
  <c r="O386" i="4"/>
  <c r="M386" i="4"/>
  <c r="O385" i="4"/>
  <c r="M385" i="4"/>
  <c r="O384" i="4"/>
  <c r="M384" i="4"/>
  <c r="O383" i="4"/>
  <c r="M383" i="4"/>
  <c r="O382" i="4"/>
  <c r="M382" i="4"/>
  <c r="O381" i="4"/>
  <c r="M381" i="4"/>
  <c r="O380" i="4"/>
  <c r="M380" i="4"/>
  <c r="O379" i="4"/>
  <c r="M379" i="4"/>
  <c r="O378" i="4"/>
  <c r="M378" i="4"/>
  <c r="O377" i="4"/>
  <c r="M377" i="4"/>
  <c r="O376" i="4"/>
  <c r="M376" i="4"/>
  <c r="O375" i="4"/>
  <c r="M375" i="4"/>
  <c r="O374" i="4"/>
  <c r="M374" i="4"/>
  <c r="O373" i="4"/>
  <c r="M373" i="4"/>
  <c r="O372" i="4"/>
  <c r="M372" i="4"/>
  <c r="O371" i="4"/>
  <c r="M371" i="4"/>
  <c r="O370" i="4"/>
  <c r="M370" i="4"/>
  <c r="S369" i="4"/>
  <c r="R369" i="4"/>
  <c r="O369" i="4"/>
  <c r="M369" i="4"/>
  <c r="O368" i="4"/>
  <c r="M368" i="4"/>
  <c r="O367" i="4"/>
  <c r="M367" i="4"/>
  <c r="O366" i="4"/>
  <c r="M366" i="4"/>
  <c r="O365" i="4"/>
  <c r="M365" i="4"/>
  <c r="O364" i="4"/>
  <c r="M364" i="4"/>
  <c r="O363" i="4"/>
  <c r="M363" i="4"/>
  <c r="O362" i="4"/>
  <c r="M362" i="4"/>
  <c r="O361" i="4"/>
  <c r="M361" i="4"/>
  <c r="O360" i="4"/>
  <c r="M360" i="4"/>
  <c r="O359" i="4"/>
  <c r="M359" i="4"/>
  <c r="O358" i="4"/>
  <c r="M358" i="4"/>
  <c r="O357" i="4"/>
  <c r="M357" i="4"/>
  <c r="O356" i="4"/>
  <c r="M356" i="4"/>
  <c r="O355" i="4"/>
  <c r="M355" i="4"/>
  <c r="O354" i="4"/>
  <c r="M354" i="4"/>
  <c r="O353" i="4"/>
  <c r="M353" i="4"/>
  <c r="O352" i="4"/>
  <c r="M352" i="4"/>
  <c r="O351" i="4"/>
  <c r="M351" i="4"/>
  <c r="O350" i="4"/>
  <c r="M350" i="4"/>
  <c r="O349" i="4"/>
  <c r="M349" i="4"/>
  <c r="O348" i="4"/>
  <c r="M348" i="4"/>
  <c r="O347" i="4"/>
  <c r="M347" i="4"/>
  <c r="O346" i="4"/>
  <c r="M346" i="4"/>
  <c r="O345" i="4"/>
  <c r="M345" i="4"/>
  <c r="O344" i="4"/>
  <c r="M344" i="4"/>
  <c r="O343" i="4"/>
  <c r="M343" i="4"/>
  <c r="O342" i="4"/>
  <c r="M342" i="4"/>
  <c r="O341" i="4"/>
  <c r="M341" i="4"/>
  <c r="O340" i="4"/>
  <c r="M340" i="4"/>
  <c r="O339" i="4"/>
  <c r="M339" i="4"/>
  <c r="O338" i="4"/>
  <c r="M338" i="4"/>
  <c r="O337" i="4"/>
  <c r="M337" i="4"/>
  <c r="O336" i="4"/>
  <c r="M336" i="4"/>
  <c r="O335" i="4"/>
  <c r="M335" i="4"/>
  <c r="O334" i="4"/>
  <c r="M334" i="4"/>
  <c r="O333" i="4"/>
  <c r="M333" i="4"/>
  <c r="O332" i="4"/>
  <c r="M332" i="4"/>
  <c r="O331" i="4"/>
  <c r="M331" i="4"/>
  <c r="O330" i="4"/>
  <c r="M330" i="4"/>
  <c r="O329" i="4"/>
  <c r="M329" i="4"/>
  <c r="O328" i="4"/>
  <c r="M328" i="4"/>
  <c r="O327" i="4"/>
  <c r="M327" i="4"/>
  <c r="O326" i="4"/>
  <c r="M326" i="4"/>
  <c r="O325" i="4"/>
  <c r="M325" i="4"/>
  <c r="O324" i="4"/>
  <c r="M324" i="4"/>
  <c r="O323" i="4"/>
  <c r="M323" i="4"/>
  <c r="O322" i="4"/>
  <c r="M322" i="4"/>
  <c r="O321" i="4"/>
  <c r="M321" i="4"/>
  <c r="O320" i="4"/>
  <c r="M320" i="4"/>
  <c r="O319" i="4"/>
  <c r="M319" i="4"/>
  <c r="O318" i="4"/>
  <c r="M318" i="4"/>
  <c r="O317" i="4"/>
  <c r="M317" i="4"/>
  <c r="O316" i="4"/>
  <c r="M316" i="4"/>
  <c r="O315" i="4"/>
  <c r="M315" i="4"/>
  <c r="O314" i="4"/>
  <c r="M314" i="4"/>
  <c r="O313" i="4"/>
  <c r="M313" i="4"/>
  <c r="O312" i="4"/>
  <c r="M312" i="4"/>
  <c r="O311" i="4"/>
  <c r="M311" i="4"/>
  <c r="O310" i="4"/>
  <c r="M310" i="4"/>
  <c r="O309" i="4"/>
  <c r="M309" i="4"/>
  <c r="O308" i="4"/>
  <c r="M308" i="4"/>
  <c r="O307" i="4"/>
  <c r="M307" i="4"/>
  <c r="O306" i="4"/>
  <c r="M306" i="4"/>
  <c r="O305" i="4"/>
  <c r="M305" i="4"/>
  <c r="O304" i="4"/>
  <c r="M304" i="4"/>
  <c r="O303" i="4"/>
  <c r="M303" i="4"/>
  <c r="S302" i="4"/>
  <c r="R302" i="4"/>
  <c r="Q302" i="4"/>
  <c r="P302" i="4"/>
  <c r="O302" i="4"/>
  <c r="M302" i="4"/>
  <c r="O301" i="4"/>
  <c r="M301" i="4"/>
  <c r="O300" i="4"/>
  <c r="M300" i="4"/>
  <c r="O299" i="4"/>
  <c r="M299" i="4"/>
  <c r="O298" i="4"/>
  <c r="M298" i="4"/>
  <c r="O297" i="4"/>
  <c r="M297" i="4"/>
  <c r="O296" i="4"/>
  <c r="M296" i="4"/>
  <c r="O295" i="4"/>
  <c r="M295" i="4"/>
  <c r="O294" i="4"/>
  <c r="M294" i="4"/>
  <c r="O293" i="4"/>
  <c r="M293" i="4"/>
  <c r="O292" i="4"/>
  <c r="M292" i="4"/>
  <c r="O291" i="4"/>
  <c r="M291" i="4"/>
  <c r="O290" i="4"/>
  <c r="M290" i="4"/>
  <c r="O289" i="4"/>
  <c r="M289" i="4"/>
  <c r="O288" i="4"/>
  <c r="M288" i="4"/>
  <c r="O287" i="4"/>
  <c r="M287" i="4"/>
  <c r="O286" i="4"/>
  <c r="M286" i="4"/>
  <c r="O285" i="4"/>
  <c r="M285" i="4"/>
  <c r="O284" i="4"/>
  <c r="M284" i="4"/>
  <c r="O283" i="4"/>
  <c r="M283" i="4"/>
  <c r="O282" i="4"/>
  <c r="M282" i="4"/>
  <c r="O281" i="4"/>
  <c r="M281" i="4"/>
  <c r="O280" i="4"/>
  <c r="M280" i="4"/>
  <c r="O279" i="4"/>
  <c r="M279" i="4"/>
  <c r="O278" i="4"/>
  <c r="M278" i="4"/>
  <c r="O277" i="4"/>
  <c r="M277" i="4"/>
  <c r="O276" i="4"/>
  <c r="M276" i="4"/>
  <c r="O275" i="4"/>
  <c r="M275" i="4"/>
  <c r="O274" i="4"/>
  <c r="M274" i="4"/>
  <c r="O273" i="4"/>
  <c r="M273" i="4"/>
  <c r="O272" i="4"/>
  <c r="M272" i="4"/>
  <c r="O271" i="4"/>
  <c r="M271" i="4"/>
  <c r="O270" i="4"/>
  <c r="M270" i="4"/>
  <c r="O269" i="4"/>
  <c r="M269" i="4"/>
  <c r="O268" i="4"/>
  <c r="M268" i="4"/>
  <c r="O267" i="4"/>
  <c r="M267" i="4"/>
  <c r="O266" i="4"/>
  <c r="M266" i="4"/>
  <c r="O265" i="4"/>
  <c r="M265" i="4"/>
  <c r="O264" i="4"/>
  <c r="M264" i="4"/>
  <c r="O263" i="4"/>
  <c r="M263" i="4"/>
  <c r="O262" i="4"/>
  <c r="M262" i="4"/>
  <c r="O261" i="4"/>
  <c r="M261" i="4"/>
  <c r="O260" i="4"/>
  <c r="M260" i="4"/>
  <c r="O259" i="4"/>
  <c r="M259" i="4"/>
  <c r="O258" i="4"/>
  <c r="M258" i="4"/>
  <c r="O257" i="4"/>
  <c r="M257" i="4"/>
  <c r="O256" i="4"/>
  <c r="M256" i="4"/>
  <c r="O255" i="4"/>
  <c r="M255" i="4"/>
  <c r="O254" i="4"/>
  <c r="M254" i="4"/>
  <c r="O253" i="4"/>
  <c r="M253" i="4"/>
  <c r="O252" i="4"/>
  <c r="M252" i="4"/>
  <c r="O251" i="4"/>
  <c r="M251" i="4"/>
  <c r="O250" i="4"/>
  <c r="M250" i="4"/>
  <c r="O249" i="4"/>
  <c r="M249" i="4"/>
  <c r="O248" i="4"/>
  <c r="M248" i="4"/>
  <c r="O247" i="4"/>
  <c r="M247" i="4"/>
  <c r="O246" i="4"/>
  <c r="M246" i="4"/>
  <c r="O245" i="4"/>
  <c r="M245" i="4"/>
  <c r="O244" i="4"/>
  <c r="M244" i="4"/>
  <c r="O243" i="4"/>
  <c r="M243" i="4"/>
  <c r="O242" i="4"/>
  <c r="M242" i="4"/>
  <c r="O241" i="4"/>
  <c r="M241" i="4"/>
  <c r="O240" i="4"/>
  <c r="M240" i="4"/>
  <c r="O239" i="4"/>
  <c r="M239" i="4"/>
  <c r="O238" i="4"/>
  <c r="M238" i="4"/>
  <c r="O237" i="4"/>
  <c r="M237" i="4"/>
  <c r="O236" i="4"/>
  <c r="M236" i="4"/>
  <c r="O235" i="4"/>
  <c r="M235" i="4"/>
  <c r="O234" i="4"/>
  <c r="M234" i="4"/>
  <c r="O233" i="4"/>
  <c r="M233" i="4"/>
  <c r="O232" i="4"/>
  <c r="M232" i="4"/>
  <c r="O231" i="4"/>
  <c r="M231" i="4"/>
  <c r="O230" i="4"/>
  <c r="M230" i="4"/>
  <c r="O229" i="4"/>
  <c r="M229" i="4"/>
  <c r="O228" i="4"/>
  <c r="M228" i="4"/>
  <c r="O227" i="4"/>
  <c r="M227" i="4"/>
  <c r="O226" i="4"/>
  <c r="M226" i="4"/>
  <c r="O225" i="4"/>
  <c r="M225" i="4"/>
  <c r="O224" i="4"/>
  <c r="M224" i="4"/>
  <c r="O223" i="4"/>
  <c r="M223" i="4"/>
  <c r="O222" i="4"/>
  <c r="M222" i="4"/>
  <c r="O221" i="4"/>
  <c r="M221" i="4"/>
  <c r="O220" i="4"/>
  <c r="M220" i="4"/>
  <c r="O219" i="4"/>
  <c r="M219" i="4"/>
  <c r="O218" i="4"/>
  <c r="M218" i="4"/>
  <c r="O217" i="4"/>
  <c r="M217" i="4"/>
  <c r="O216" i="4"/>
  <c r="M216" i="4"/>
  <c r="O215" i="4"/>
  <c r="M215" i="4"/>
  <c r="O214" i="4"/>
  <c r="M214" i="4"/>
  <c r="O213" i="4"/>
  <c r="M213" i="4"/>
  <c r="O212" i="4"/>
  <c r="M212" i="4"/>
  <c r="O211" i="4"/>
  <c r="M211" i="4"/>
  <c r="O210" i="4"/>
  <c r="M210" i="4"/>
  <c r="O209" i="4"/>
  <c r="M209" i="4"/>
  <c r="O208" i="4"/>
  <c r="M208" i="4"/>
  <c r="O207" i="4"/>
  <c r="M207" i="4"/>
  <c r="O206" i="4"/>
  <c r="M206" i="4"/>
  <c r="O205" i="4"/>
  <c r="M205" i="4"/>
  <c r="O204" i="4"/>
  <c r="M204" i="4"/>
  <c r="O203" i="4"/>
  <c r="M203" i="4"/>
  <c r="O202" i="4"/>
  <c r="M202" i="4"/>
  <c r="O201" i="4"/>
  <c r="M201" i="4"/>
  <c r="O200" i="4"/>
  <c r="M200" i="4"/>
  <c r="O199" i="4"/>
  <c r="M199" i="4"/>
  <c r="O198" i="4"/>
  <c r="M198" i="4"/>
  <c r="O197" i="4"/>
  <c r="M197" i="4"/>
  <c r="O196" i="4"/>
  <c r="M196" i="4"/>
  <c r="O195" i="4"/>
  <c r="M195" i="4"/>
  <c r="O194" i="4"/>
  <c r="M194" i="4"/>
  <c r="O193" i="4"/>
  <c r="M193" i="4"/>
  <c r="O192" i="4"/>
  <c r="M192" i="4"/>
  <c r="O191" i="4"/>
  <c r="M191" i="4"/>
  <c r="O190" i="4"/>
  <c r="M190" i="4"/>
  <c r="O189" i="4"/>
  <c r="M189" i="4"/>
  <c r="O188" i="4"/>
  <c r="M188" i="4"/>
  <c r="O187" i="4"/>
  <c r="M187" i="4"/>
  <c r="O186" i="4"/>
  <c r="M186" i="4"/>
  <c r="O185" i="4"/>
  <c r="M185" i="4"/>
  <c r="O184" i="4"/>
  <c r="M184" i="4"/>
  <c r="O183" i="4"/>
  <c r="M183" i="4"/>
  <c r="O182" i="4"/>
  <c r="M182" i="4"/>
  <c r="O181" i="4"/>
  <c r="M181" i="4"/>
  <c r="O180" i="4"/>
  <c r="M180" i="4"/>
  <c r="O179" i="4"/>
  <c r="M179" i="4"/>
  <c r="O178" i="4"/>
  <c r="M178" i="4"/>
  <c r="O177" i="4"/>
  <c r="M177" i="4"/>
  <c r="O176" i="4"/>
  <c r="M176" i="4"/>
  <c r="O175" i="4"/>
  <c r="M175" i="4"/>
  <c r="O174" i="4"/>
  <c r="M174" i="4"/>
  <c r="O173" i="4"/>
  <c r="M173" i="4"/>
  <c r="O172" i="4"/>
  <c r="M172" i="4"/>
  <c r="O171" i="4"/>
  <c r="M171" i="4"/>
  <c r="O170" i="4"/>
  <c r="M170" i="4"/>
  <c r="O169" i="4"/>
  <c r="M169" i="4"/>
  <c r="O168" i="4"/>
  <c r="M168" i="4"/>
  <c r="O167" i="4"/>
  <c r="M167" i="4"/>
  <c r="O166" i="4"/>
  <c r="M166" i="4"/>
  <c r="O165" i="4"/>
  <c r="M165" i="4"/>
  <c r="O164" i="4"/>
  <c r="M164" i="4"/>
  <c r="O163" i="4"/>
  <c r="M163" i="4"/>
  <c r="O162" i="4"/>
  <c r="M162" i="4"/>
  <c r="O161" i="4"/>
  <c r="M161" i="4"/>
  <c r="O160" i="4"/>
  <c r="M160" i="4"/>
  <c r="O159" i="4"/>
  <c r="M159" i="4"/>
  <c r="O158" i="4"/>
  <c r="M158" i="4"/>
  <c r="O157" i="4"/>
  <c r="M157" i="4"/>
  <c r="O156" i="4"/>
  <c r="M156" i="4"/>
  <c r="O155" i="4"/>
  <c r="M155" i="4"/>
  <c r="O154" i="4"/>
  <c r="M154" i="4"/>
  <c r="O153" i="4"/>
  <c r="M153" i="4"/>
  <c r="O152" i="4"/>
  <c r="M152" i="4"/>
  <c r="O151" i="4"/>
  <c r="M151" i="4"/>
  <c r="O150" i="4"/>
  <c r="M150" i="4"/>
  <c r="Q149" i="4"/>
  <c r="O149" i="4"/>
  <c r="M149" i="4"/>
  <c r="O148" i="4"/>
  <c r="M148" i="4"/>
  <c r="O147" i="4"/>
  <c r="M147" i="4"/>
  <c r="O146" i="4"/>
  <c r="M146" i="4"/>
  <c r="O145" i="4"/>
  <c r="M145" i="4"/>
  <c r="O144" i="4"/>
  <c r="M144" i="4"/>
  <c r="O143" i="4"/>
  <c r="M143" i="4"/>
  <c r="O142" i="4"/>
  <c r="M142" i="4"/>
  <c r="O141" i="4"/>
  <c r="M141" i="4"/>
  <c r="O140" i="4"/>
  <c r="M140" i="4"/>
  <c r="O139" i="4"/>
  <c r="M139" i="4"/>
  <c r="O138" i="4"/>
  <c r="M138" i="4"/>
  <c r="O137" i="4"/>
  <c r="M137" i="4"/>
  <c r="O136" i="4"/>
  <c r="M136" i="4"/>
  <c r="O135" i="4"/>
  <c r="M135" i="4"/>
  <c r="O134" i="4"/>
  <c r="M134" i="4"/>
  <c r="O133" i="4"/>
  <c r="M133" i="4"/>
  <c r="O132" i="4"/>
  <c r="M132" i="4"/>
  <c r="O131" i="4"/>
  <c r="M131" i="4"/>
  <c r="O130" i="4"/>
  <c r="M130" i="4"/>
  <c r="O129" i="4"/>
  <c r="M129" i="4"/>
  <c r="O128" i="4"/>
  <c r="M128" i="4"/>
  <c r="O127" i="4"/>
  <c r="M127" i="4"/>
  <c r="O126" i="4"/>
  <c r="M126" i="4"/>
  <c r="O125" i="4"/>
  <c r="M125" i="4"/>
  <c r="O124" i="4"/>
  <c r="M124" i="4"/>
  <c r="O123" i="4"/>
  <c r="M123" i="4"/>
  <c r="O122" i="4"/>
  <c r="M122" i="4"/>
  <c r="O121" i="4"/>
  <c r="M121" i="4"/>
  <c r="O120" i="4"/>
  <c r="M120" i="4"/>
  <c r="O119" i="4"/>
  <c r="M119" i="4"/>
  <c r="O118" i="4"/>
  <c r="M118" i="4"/>
  <c r="O117" i="4"/>
  <c r="M117" i="4"/>
  <c r="O116" i="4"/>
  <c r="M116" i="4"/>
  <c r="O115" i="4"/>
  <c r="M115" i="4"/>
  <c r="O114" i="4"/>
  <c r="M114" i="4"/>
  <c r="O113" i="4"/>
  <c r="M113" i="4"/>
  <c r="O112" i="4"/>
  <c r="M112" i="4"/>
  <c r="R111" i="4"/>
  <c r="O111" i="4"/>
  <c r="M111" i="4"/>
  <c r="O110" i="4"/>
  <c r="M110" i="4"/>
  <c r="O109" i="4"/>
  <c r="M109" i="4"/>
  <c r="O108" i="4"/>
  <c r="M108" i="4"/>
  <c r="O107" i="4"/>
  <c r="M107" i="4"/>
  <c r="O106" i="4"/>
  <c r="M106" i="4"/>
  <c r="O105" i="4"/>
  <c r="M105" i="4"/>
  <c r="O104" i="4"/>
  <c r="M104" i="4"/>
  <c r="O103" i="4"/>
  <c r="M103" i="4"/>
  <c r="O102" i="4"/>
  <c r="M102" i="4"/>
  <c r="O101" i="4"/>
  <c r="M101" i="4"/>
  <c r="O100" i="4"/>
  <c r="M100" i="4"/>
  <c r="O99" i="4"/>
  <c r="M99" i="4"/>
  <c r="O98" i="4"/>
  <c r="M98" i="4"/>
  <c r="O97" i="4"/>
  <c r="M97" i="4"/>
  <c r="O96" i="4"/>
  <c r="M96" i="4"/>
  <c r="O95" i="4"/>
  <c r="M95" i="4"/>
  <c r="O94" i="4"/>
  <c r="M94" i="4"/>
  <c r="O93" i="4"/>
  <c r="M93" i="4"/>
  <c r="O92" i="4"/>
  <c r="M92" i="4"/>
  <c r="O91" i="4"/>
  <c r="M91" i="4"/>
  <c r="O90" i="4"/>
  <c r="M90" i="4"/>
  <c r="O89" i="4"/>
  <c r="M89" i="4"/>
  <c r="P88" i="4"/>
  <c r="O88" i="4"/>
  <c r="M88" i="4"/>
  <c r="O87" i="4"/>
  <c r="M87" i="4"/>
  <c r="O86" i="4"/>
  <c r="M86" i="4"/>
  <c r="O85" i="4"/>
  <c r="M85" i="4"/>
  <c r="O84" i="4"/>
  <c r="M84" i="4"/>
  <c r="O83" i="4"/>
  <c r="M83" i="4"/>
  <c r="O82" i="4"/>
  <c r="M82" i="4"/>
  <c r="O81" i="4"/>
  <c r="M81" i="4"/>
  <c r="O80" i="4"/>
  <c r="M80" i="4"/>
  <c r="O79" i="4"/>
  <c r="M79" i="4"/>
  <c r="O78" i="4"/>
  <c r="M78" i="4"/>
  <c r="O77" i="4"/>
  <c r="M77" i="4"/>
  <c r="O76" i="4"/>
  <c r="M76" i="4"/>
  <c r="O75" i="4"/>
  <c r="M75" i="4"/>
  <c r="O74" i="4"/>
  <c r="M74" i="4"/>
  <c r="O73" i="4"/>
  <c r="M73" i="4"/>
  <c r="O72" i="4"/>
  <c r="M72" i="4"/>
  <c r="O71" i="4"/>
  <c r="M71" i="4"/>
  <c r="O70" i="4"/>
  <c r="M70" i="4"/>
  <c r="O69" i="4"/>
  <c r="M69" i="4"/>
  <c r="O68" i="4"/>
  <c r="M68" i="4"/>
  <c r="O67" i="4"/>
  <c r="M67" i="4"/>
  <c r="O66" i="4"/>
  <c r="M66" i="4"/>
  <c r="O65" i="4"/>
  <c r="M65" i="4"/>
  <c r="O64" i="4"/>
  <c r="M64" i="4"/>
  <c r="O63" i="4"/>
  <c r="M63" i="4"/>
  <c r="O62" i="4"/>
  <c r="M62" i="4"/>
  <c r="O61" i="4"/>
  <c r="M61" i="4"/>
  <c r="O60" i="4"/>
  <c r="M60" i="4"/>
  <c r="O59" i="4"/>
  <c r="M59" i="4"/>
  <c r="O58" i="4"/>
  <c r="M58" i="4"/>
  <c r="O57" i="4"/>
  <c r="M57" i="4"/>
  <c r="O56" i="4"/>
  <c r="M56" i="4"/>
  <c r="O55" i="4"/>
  <c r="M55" i="4"/>
  <c r="O54" i="4"/>
  <c r="M54" i="4"/>
  <c r="O53" i="4"/>
  <c r="M53" i="4"/>
  <c r="O52" i="4"/>
  <c r="M52" i="4"/>
  <c r="O51" i="4"/>
  <c r="M51" i="4"/>
  <c r="O50" i="4"/>
  <c r="M50" i="4"/>
  <c r="O49" i="4"/>
  <c r="M49" i="4"/>
  <c r="O48" i="4"/>
  <c r="M48" i="4"/>
  <c r="O47" i="4"/>
  <c r="M47" i="4"/>
  <c r="O46" i="4"/>
  <c r="M46" i="4"/>
  <c r="R45" i="4"/>
  <c r="O45" i="4"/>
  <c r="M45" i="4"/>
  <c r="O44" i="4"/>
  <c r="M44" i="4"/>
  <c r="O43" i="4"/>
  <c r="M43" i="4"/>
  <c r="O42" i="4"/>
  <c r="M42" i="4"/>
  <c r="O41" i="4"/>
  <c r="M41" i="4"/>
  <c r="O40" i="4"/>
  <c r="M40" i="4"/>
  <c r="O39" i="4"/>
  <c r="M39" i="4"/>
  <c r="O38" i="4"/>
  <c r="M38" i="4"/>
  <c r="O37" i="4"/>
  <c r="M37" i="4"/>
  <c r="O36" i="4"/>
  <c r="M36" i="4"/>
  <c r="O35" i="4"/>
  <c r="M35" i="4"/>
  <c r="O34" i="4"/>
  <c r="M34" i="4"/>
  <c r="O33" i="4"/>
  <c r="M33" i="4"/>
  <c r="O32" i="4"/>
  <c r="M32" i="4"/>
  <c r="O31" i="4"/>
  <c r="M31" i="4"/>
  <c r="O30" i="4"/>
  <c r="M30" i="4"/>
  <c r="O29" i="4"/>
  <c r="M29" i="4"/>
  <c r="O28" i="4"/>
  <c r="M28" i="4"/>
  <c r="O27" i="4"/>
  <c r="M27" i="4"/>
  <c r="O26" i="4"/>
  <c r="M26" i="4"/>
  <c r="O25" i="4"/>
  <c r="M25" i="4"/>
  <c r="O24" i="4"/>
  <c r="M24" i="4"/>
  <c r="O23" i="4"/>
  <c r="M23" i="4"/>
  <c r="O22" i="4"/>
  <c r="M22" i="4"/>
  <c r="O21" i="4"/>
  <c r="M21" i="4"/>
  <c r="O20" i="4"/>
  <c r="M20" i="4"/>
  <c r="O19" i="4"/>
  <c r="M19" i="4"/>
  <c r="O18" i="4"/>
  <c r="M18" i="4"/>
  <c r="O17" i="4"/>
  <c r="M17" i="4"/>
  <c r="O16" i="4"/>
  <c r="M16" i="4"/>
  <c r="O15" i="4"/>
  <c r="M15" i="4"/>
  <c r="O14" i="4"/>
  <c r="M14" i="4"/>
  <c r="O13" i="4"/>
  <c r="M13" i="4"/>
  <c r="O12" i="4"/>
  <c r="M12" i="4"/>
  <c r="O11" i="4"/>
  <c r="M11" i="4"/>
  <c r="O10" i="4"/>
  <c r="M10" i="4"/>
  <c r="O9" i="4"/>
  <c r="M9" i="4"/>
  <c r="O8" i="4"/>
  <c r="M8" i="4"/>
  <c r="O7" i="4"/>
  <c r="M7" i="4"/>
  <c r="O6" i="4"/>
  <c r="M6" i="4"/>
  <c r="O5" i="4"/>
  <c r="M5" i="4"/>
  <c r="O4" i="4"/>
  <c r="O3" i="4"/>
  <c r="M3" i="4"/>
  <c r="R500" i="4" l="1"/>
  <c r="S500" i="4"/>
  <c r="Q500" i="4"/>
  <c r="P500" i="4"/>
  <c r="S499" i="4"/>
  <c r="R499" i="4"/>
  <c r="Q499" i="4"/>
  <c r="P499" i="4"/>
  <c r="P498" i="4"/>
  <c r="S498" i="4"/>
  <c r="R498" i="4"/>
  <c r="Q498" i="4"/>
  <c r="P497" i="4"/>
  <c r="Q497" i="4"/>
  <c r="R497" i="4"/>
  <c r="S497" i="4"/>
  <c r="P496" i="4"/>
  <c r="Q496" i="4"/>
  <c r="R496" i="4"/>
  <c r="S496" i="4"/>
  <c r="P495" i="4"/>
  <c r="R495" i="4"/>
  <c r="S495" i="4"/>
  <c r="Q495" i="4"/>
  <c r="P494" i="4"/>
  <c r="Q494" i="4"/>
  <c r="R494" i="4"/>
  <c r="S494" i="4"/>
  <c r="S493" i="4"/>
  <c r="P493" i="4"/>
  <c r="Q493" i="4"/>
  <c r="R493" i="4"/>
  <c r="Q492" i="4"/>
  <c r="P492" i="4"/>
  <c r="R492" i="4"/>
  <c r="S492" i="4"/>
  <c r="R491" i="4"/>
  <c r="P491" i="4"/>
  <c r="S491" i="4"/>
  <c r="Q491" i="4"/>
  <c r="S490" i="4"/>
  <c r="R490" i="4"/>
  <c r="Q490" i="4"/>
  <c r="P490" i="4"/>
  <c r="P489" i="4"/>
  <c r="R489" i="4"/>
  <c r="S489" i="4"/>
  <c r="Q489" i="4"/>
  <c r="P488" i="4"/>
  <c r="Q488" i="4"/>
  <c r="R488" i="4"/>
  <c r="S488" i="4"/>
  <c r="Q487" i="4"/>
  <c r="R487" i="4"/>
  <c r="S487" i="4"/>
  <c r="P487" i="4"/>
  <c r="S486" i="4"/>
  <c r="R486" i="4"/>
  <c r="Q486" i="4"/>
  <c r="P486" i="4"/>
  <c r="R485" i="4"/>
  <c r="P485" i="4"/>
  <c r="Q485" i="4"/>
  <c r="S485" i="4"/>
  <c r="R484" i="4"/>
  <c r="Q484" i="4"/>
  <c r="P484" i="4"/>
  <c r="S484" i="4"/>
  <c r="Q483" i="4"/>
  <c r="R483" i="4"/>
  <c r="S483" i="4"/>
  <c r="P483" i="4"/>
  <c r="R482" i="4"/>
  <c r="Q482" i="4"/>
  <c r="P482" i="4"/>
  <c r="S482" i="4"/>
  <c r="S481" i="4"/>
  <c r="R481" i="4"/>
  <c r="Q481" i="4"/>
  <c r="P481" i="4"/>
  <c r="S480" i="4"/>
  <c r="Q480" i="4"/>
  <c r="P480" i="4"/>
  <c r="R480" i="4"/>
  <c r="S479" i="4"/>
  <c r="R479" i="4"/>
  <c r="P479" i="4"/>
  <c r="Q479" i="4"/>
  <c r="R478" i="4"/>
  <c r="Q478" i="4"/>
  <c r="P478" i="4"/>
  <c r="S478" i="4"/>
  <c r="P477" i="4"/>
  <c r="Q477" i="4"/>
  <c r="R477" i="4"/>
  <c r="S477" i="4"/>
  <c r="R476" i="4"/>
  <c r="Q476" i="4"/>
  <c r="P476" i="4"/>
  <c r="S476" i="4"/>
  <c r="S475" i="4"/>
  <c r="R475" i="4"/>
  <c r="Q475" i="4"/>
  <c r="P475" i="4"/>
  <c r="S474" i="4"/>
  <c r="R474" i="4"/>
  <c r="Q474" i="4"/>
  <c r="P474" i="4"/>
  <c r="S473" i="4"/>
  <c r="R473" i="4"/>
  <c r="Q473" i="4"/>
  <c r="P473" i="4"/>
  <c r="S472" i="4"/>
  <c r="R472" i="4"/>
  <c r="Q472" i="4"/>
  <c r="P472" i="4"/>
  <c r="R471" i="4"/>
  <c r="Q471" i="4"/>
  <c r="P471" i="4"/>
  <c r="S471" i="4"/>
  <c r="Q470" i="4"/>
  <c r="P470" i="4"/>
  <c r="R470" i="4"/>
  <c r="S470" i="4"/>
  <c r="R469" i="4"/>
  <c r="Q469" i="4"/>
  <c r="P469" i="4"/>
  <c r="S469" i="4"/>
  <c r="R468" i="4"/>
  <c r="S468" i="4"/>
  <c r="Q468" i="4"/>
  <c r="P468" i="4"/>
  <c r="R467" i="4"/>
  <c r="P467" i="4"/>
  <c r="Q467" i="4"/>
  <c r="S467" i="4"/>
  <c r="S466" i="4"/>
  <c r="P466" i="4"/>
  <c r="R466" i="4"/>
  <c r="Q466" i="4"/>
  <c r="P465" i="4"/>
  <c r="Q465" i="4"/>
  <c r="R465" i="4"/>
  <c r="S465" i="4"/>
  <c r="P464" i="4"/>
  <c r="S464" i="4"/>
  <c r="Q464" i="4"/>
  <c r="R464" i="4"/>
  <c r="S463" i="4"/>
  <c r="R463" i="4"/>
  <c r="P463" i="4"/>
  <c r="Q463" i="4"/>
  <c r="P462" i="4"/>
  <c r="S462" i="4"/>
  <c r="Q462" i="4"/>
  <c r="R462" i="4"/>
  <c r="S461" i="4"/>
  <c r="R461" i="4"/>
  <c r="Q461" i="4"/>
  <c r="P461" i="4"/>
  <c r="Q460" i="4"/>
  <c r="P460" i="4"/>
  <c r="S460" i="4"/>
  <c r="R460" i="4"/>
  <c r="S459" i="4"/>
  <c r="Q459" i="4"/>
  <c r="P459" i="4"/>
  <c r="R459" i="4"/>
  <c r="Q458" i="4"/>
  <c r="S458" i="4"/>
  <c r="R458" i="4"/>
  <c r="P458" i="4"/>
  <c r="S457" i="4"/>
  <c r="R457" i="4"/>
  <c r="P457" i="4"/>
  <c r="Q457" i="4"/>
  <c r="S456" i="4"/>
  <c r="R456" i="4"/>
  <c r="Q456" i="4"/>
  <c r="P456" i="4"/>
  <c r="S455" i="4"/>
  <c r="R455" i="4"/>
  <c r="Q455" i="4"/>
  <c r="P455" i="4"/>
  <c r="S454" i="4"/>
  <c r="R454" i="4"/>
  <c r="Q454" i="4"/>
  <c r="P454" i="4"/>
  <c r="S453" i="4"/>
  <c r="R453" i="4"/>
  <c r="Q453" i="4"/>
  <c r="P453" i="4"/>
  <c r="S452" i="4"/>
  <c r="R452" i="4"/>
  <c r="Q452" i="4"/>
  <c r="P452" i="4"/>
  <c r="S451" i="4"/>
  <c r="R451" i="4"/>
  <c r="Q451" i="4"/>
  <c r="P451" i="4"/>
  <c r="S450" i="4"/>
  <c r="R450" i="4"/>
  <c r="Q450" i="4"/>
  <c r="P450" i="4"/>
  <c r="S449" i="4"/>
  <c r="R449" i="4"/>
  <c r="Q449" i="4"/>
  <c r="P449" i="4"/>
  <c r="S448" i="4"/>
  <c r="R448" i="4"/>
  <c r="Q448" i="4"/>
  <c r="P448" i="4"/>
  <c r="S447" i="4"/>
  <c r="R447" i="4"/>
  <c r="Q447" i="4"/>
  <c r="P447" i="4"/>
  <c r="S446" i="4"/>
  <c r="R446" i="4"/>
  <c r="Q446" i="4"/>
  <c r="P446" i="4"/>
  <c r="S445" i="4"/>
  <c r="R445" i="4"/>
  <c r="Q445" i="4"/>
  <c r="P445" i="4"/>
  <c r="S444" i="4"/>
  <c r="R444" i="4"/>
  <c r="Q444" i="4"/>
  <c r="P444" i="4"/>
  <c r="S443" i="4"/>
  <c r="R443" i="4"/>
  <c r="Q443" i="4"/>
  <c r="P443" i="4"/>
  <c r="S442" i="4"/>
  <c r="Q442" i="4"/>
  <c r="P442" i="4"/>
  <c r="R442" i="4"/>
  <c r="S441" i="4"/>
  <c r="R441" i="4"/>
  <c r="Q441" i="4"/>
  <c r="P441" i="4"/>
  <c r="S440" i="4"/>
  <c r="R440" i="4"/>
  <c r="Q440" i="4"/>
  <c r="P440" i="4"/>
  <c r="S439" i="4"/>
  <c r="R439" i="4"/>
  <c r="Q439" i="4"/>
  <c r="P439" i="4"/>
  <c r="Q438" i="4"/>
  <c r="P438" i="4"/>
  <c r="S438" i="4"/>
  <c r="R438" i="4"/>
  <c r="R437" i="4"/>
  <c r="S437" i="4"/>
  <c r="P437" i="4"/>
  <c r="Q437" i="4"/>
  <c r="P436" i="4"/>
  <c r="Q436" i="4"/>
  <c r="R436" i="4"/>
  <c r="S436" i="4"/>
  <c r="P435" i="4"/>
  <c r="Q435" i="4"/>
  <c r="R435" i="4"/>
  <c r="S435" i="4"/>
  <c r="R434" i="4"/>
  <c r="S434" i="4"/>
  <c r="P434" i="4"/>
  <c r="Q434" i="4"/>
  <c r="S433" i="4"/>
  <c r="R433" i="4"/>
  <c r="Q433" i="4"/>
  <c r="P433" i="4"/>
  <c r="S432" i="4"/>
  <c r="R432" i="4"/>
  <c r="Q432" i="4"/>
  <c r="P432" i="4"/>
  <c r="S431" i="4"/>
  <c r="R431" i="4"/>
  <c r="Q431" i="4"/>
  <c r="P431" i="4"/>
  <c r="P430" i="4"/>
  <c r="Q430" i="4"/>
  <c r="R430" i="4"/>
  <c r="S430" i="4"/>
  <c r="R429" i="4"/>
  <c r="S429" i="4"/>
  <c r="P429" i="4"/>
  <c r="Q429" i="4"/>
  <c r="P428" i="4"/>
  <c r="Q428" i="4"/>
  <c r="R428" i="4"/>
  <c r="S428" i="4"/>
  <c r="P427" i="4"/>
  <c r="Q427" i="4"/>
  <c r="R427" i="4"/>
  <c r="S427" i="4"/>
  <c r="S426" i="4"/>
  <c r="P426" i="4"/>
  <c r="Q426" i="4"/>
  <c r="R426" i="4"/>
  <c r="Q425" i="4"/>
  <c r="P425" i="4"/>
  <c r="R425" i="4"/>
  <c r="S425" i="4"/>
  <c r="P424" i="4"/>
  <c r="Q424" i="4"/>
  <c r="R424" i="4"/>
  <c r="S424" i="4"/>
  <c r="S423" i="4"/>
  <c r="P423" i="4"/>
  <c r="Q423" i="4"/>
  <c r="R423" i="4"/>
  <c r="S422" i="4"/>
  <c r="R422" i="4"/>
  <c r="Q422" i="4"/>
  <c r="P422" i="4"/>
  <c r="R421" i="4"/>
  <c r="S421" i="4"/>
  <c r="Q421" i="4"/>
  <c r="P421" i="4"/>
  <c r="S420" i="4"/>
  <c r="R420" i="4"/>
  <c r="Q420" i="4"/>
  <c r="P420" i="4"/>
  <c r="Q419" i="4"/>
  <c r="S419" i="4"/>
  <c r="R419" i="4"/>
  <c r="P419" i="4"/>
  <c r="Q418" i="4"/>
  <c r="P418" i="4"/>
  <c r="R418" i="4"/>
  <c r="S418" i="4"/>
  <c r="S417" i="4"/>
  <c r="R417" i="4"/>
  <c r="Q417" i="4"/>
  <c r="P417" i="4"/>
  <c r="R416" i="4"/>
  <c r="S416" i="4"/>
  <c r="Q416" i="4"/>
  <c r="P416" i="4"/>
  <c r="S415" i="4"/>
  <c r="R415" i="4"/>
  <c r="Q415" i="4"/>
  <c r="P415" i="4"/>
  <c r="P414" i="4"/>
  <c r="Q414" i="4"/>
  <c r="R414" i="4"/>
  <c r="S414" i="4"/>
  <c r="Q413" i="4"/>
  <c r="S413" i="4"/>
  <c r="R413" i="4"/>
  <c r="P413" i="4"/>
  <c r="P412" i="4"/>
  <c r="Q412" i="4"/>
  <c r="R412" i="4"/>
  <c r="S412" i="4"/>
  <c r="S411" i="4"/>
  <c r="P411" i="4"/>
  <c r="Q411" i="4"/>
  <c r="R411" i="4"/>
  <c r="Q410" i="4"/>
  <c r="P410" i="4"/>
  <c r="R410" i="4"/>
  <c r="S410" i="4"/>
  <c r="P409" i="4"/>
  <c r="Q409" i="4"/>
  <c r="R409" i="4"/>
  <c r="S409" i="4"/>
  <c r="S408" i="4"/>
  <c r="R408" i="4"/>
  <c r="P408" i="4"/>
  <c r="Q408" i="4"/>
  <c r="P407" i="4"/>
  <c r="Q407" i="4"/>
  <c r="R407" i="4"/>
  <c r="S407" i="4"/>
  <c r="R406" i="4"/>
  <c r="Q406" i="4"/>
  <c r="P406" i="4"/>
  <c r="S406" i="4"/>
  <c r="R405" i="4"/>
  <c r="S405" i="4"/>
  <c r="Q405" i="4"/>
  <c r="P405" i="4"/>
  <c r="R404" i="4"/>
  <c r="Q404" i="4"/>
  <c r="P404" i="4"/>
  <c r="S404" i="4"/>
  <c r="R403" i="4"/>
  <c r="P403" i="4"/>
  <c r="Q403" i="4"/>
  <c r="S403" i="4"/>
  <c r="S402" i="4"/>
  <c r="R402" i="4"/>
  <c r="Q402" i="4"/>
  <c r="P402" i="4"/>
  <c r="S401" i="4"/>
  <c r="R401" i="4"/>
  <c r="Q401" i="4"/>
  <c r="P401" i="4"/>
  <c r="P400" i="4"/>
  <c r="R400" i="4"/>
  <c r="Q400" i="4"/>
  <c r="S400" i="4"/>
  <c r="Q399" i="4"/>
  <c r="P399" i="4"/>
  <c r="R399" i="4"/>
  <c r="S399" i="4"/>
  <c r="P398" i="4"/>
  <c r="Q398" i="4"/>
  <c r="R398" i="4"/>
  <c r="S398" i="4"/>
  <c r="Q397" i="4"/>
  <c r="P397" i="4"/>
  <c r="R397" i="4"/>
  <c r="S397" i="4"/>
  <c r="P396" i="4"/>
  <c r="Q396" i="4"/>
  <c r="R396" i="4"/>
  <c r="S396" i="4"/>
  <c r="S395" i="4"/>
  <c r="R395" i="4"/>
  <c r="Q395" i="4"/>
  <c r="P395" i="4"/>
  <c r="P394" i="4"/>
  <c r="S394" i="4"/>
  <c r="R394" i="4"/>
  <c r="Q394" i="4"/>
  <c r="R393" i="4"/>
  <c r="Q393" i="4"/>
  <c r="P393" i="4"/>
  <c r="S393" i="4"/>
  <c r="Q392" i="4"/>
  <c r="P392" i="4"/>
  <c r="R392" i="4"/>
  <c r="S392" i="4"/>
  <c r="S391" i="4"/>
  <c r="R391" i="4"/>
  <c r="Q391" i="4"/>
  <c r="P391" i="4"/>
  <c r="Q390" i="4"/>
  <c r="R390" i="4"/>
  <c r="P390" i="4"/>
  <c r="S390" i="4"/>
  <c r="R389" i="4"/>
  <c r="P389" i="4"/>
  <c r="S389" i="4"/>
  <c r="Q389" i="4"/>
  <c r="S388" i="4"/>
  <c r="R388" i="4"/>
  <c r="Q388" i="4"/>
  <c r="P388" i="4"/>
  <c r="R387" i="4"/>
  <c r="S387" i="4"/>
  <c r="Q387" i="4"/>
  <c r="P387" i="4"/>
  <c r="R386" i="4"/>
  <c r="P386" i="4"/>
  <c r="Q386" i="4"/>
  <c r="S386" i="4"/>
  <c r="Q385" i="4"/>
  <c r="R385" i="4"/>
  <c r="S385" i="4"/>
  <c r="P385" i="4"/>
  <c r="S384" i="4"/>
  <c r="R384" i="4"/>
  <c r="Q384" i="4"/>
  <c r="P384" i="4"/>
  <c r="P383" i="4"/>
  <c r="Q383" i="4"/>
  <c r="R383" i="4"/>
  <c r="S383" i="4"/>
  <c r="P382" i="4"/>
  <c r="R382" i="4"/>
  <c r="Q382" i="4"/>
  <c r="S382" i="4"/>
  <c r="R381" i="4"/>
  <c r="Q381" i="4"/>
  <c r="P381" i="4"/>
  <c r="S381" i="4"/>
  <c r="S380" i="4"/>
  <c r="R380" i="4"/>
  <c r="Q380" i="4"/>
  <c r="P380" i="4"/>
  <c r="P379" i="4"/>
  <c r="Q379" i="4"/>
  <c r="R379" i="4"/>
  <c r="S379" i="4"/>
  <c r="P378" i="4"/>
  <c r="Q378" i="4"/>
  <c r="R378" i="4"/>
  <c r="S378" i="4"/>
  <c r="P377" i="4"/>
  <c r="Q377" i="4"/>
  <c r="R377" i="4"/>
  <c r="S377" i="4"/>
  <c r="S376" i="4"/>
  <c r="R376" i="4"/>
  <c r="Q376" i="4"/>
  <c r="P376" i="4"/>
  <c r="S375" i="4"/>
  <c r="P375" i="4"/>
  <c r="Q375" i="4"/>
  <c r="R375" i="4"/>
  <c r="P374" i="4"/>
  <c r="Q374" i="4"/>
  <c r="R374" i="4"/>
  <c r="S374" i="4"/>
  <c r="P373" i="4"/>
  <c r="R373" i="4"/>
  <c r="S373" i="4"/>
  <c r="Q373" i="4"/>
  <c r="S372" i="4"/>
  <c r="P372" i="4"/>
  <c r="Q372" i="4"/>
  <c r="R372" i="4"/>
  <c r="P371" i="4"/>
  <c r="R371" i="4"/>
  <c r="S371" i="4"/>
  <c r="Q371" i="4"/>
  <c r="P370" i="4"/>
  <c r="Q370" i="4"/>
  <c r="R370" i="4"/>
  <c r="S370" i="4"/>
  <c r="P369" i="4"/>
  <c r="Q369" i="4"/>
  <c r="R368" i="4"/>
  <c r="Q368" i="4"/>
  <c r="P368" i="4"/>
  <c r="S368" i="4"/>
  <c r="S367" i="4"/>
  <c r="R367" i="4"/>
  <c r="P367" i="4"/>
  <c r="Q367" i="4"/>
  <c r="R366" i="4"/>
  <c r="Q366" i="4"/>
  <c r="P366" i="4"/>
  <c r="S366" i="4"/>
  <c r="S365" i="4"/>
  <c r="R365" i="4"/>
  <c r="Q365" i="4"/>
  <c r="P365" i="4"/>
  <c r="Q364" i="4"/>
  <c r="S364" i="4"/>
  <c r="R364" i="4"/>
  <c r="P364" i="4"/>
  <c r="P363" i="4"/>
  <c r="S363" i="4"/>
  <c r="R363" i="4"/>
  <c r="Q363" i="4"/>
  <c r="P362" i="4"/>
  <c r="Q362" i="4"/>
  <c r="R362" i="4"/>
  <c r="S362" i="4"/>
  <c r="S361" i="4"/>
  <c r="R361" i="4"/>
  <c r="Q361" i="4"/>
  <c r="P361" i="4"/>
  <c r="S360" i="4"/>
  <c r="R360" i="4"/>
  <c r="Q360" i="4"/>
  <c r="P360" i="4"/>
  <c r="S359" i="4"/>
  <c r="R359" i="4"/>
  <c r="Q359" i="4"/>
  <c r="P359" i="4"/>
  <c r="P358" i="4"/>
  <c r="Q358" i="4"/>
  <c r="R358" i="4"/>
  <c r="S358" i="4"/>
  <c r="P357" i="4"/>
  <c r="Q357" i="4"/>
  <c r="R357" i="4"/>
  <c r="S357" i="4"/>
  <c r="P356" i="4"/>
  <c r="Q356" i="4"/>
  <c r="R356" i="4"/>
  <c r="S356" i="4"/>
  <c r="P355" i="4"/>
  <c r="Q355" i="4"/>
  <c r="R355" i="4"/>
  <c r="S355" i="4"/>
  <c r="S354" i="4"/>
  <c r="R354" i="4"/>
  <c r="Q354" i="4"/>
  <c r="P354" i="4"/>
  <c r="S353" i="4"/>
  <c r="R353" i="4"/>
  <c r="Q353" i="4"/>
  <c r="P353" i="4"/>
  <c r="P352" i="4"/>
  <c r="S352" i="4"/>
  <c r="R352" i="4"/>
  <c r="Q352" i="4"/>
  <c r="P351" i="4"/>
  <c r="Q351" i="4"/>
  <c r="R351" i="4"/>
  <c r="S351" i="4"/>
  <c r="R350" i="4"/>
  <c r="S350" i="4"/>
  <c r="P350" i="4"/>
  <c r="Q350" i="4"/>
  <c r="S349" i="4"/>
  <c r="R349" i="4"/>
  <c r="P349" i="4"/>
  <c r="Q349" i="4"/>
  <c r="S348" i="4"/>
  <c r="R348" i="4"/>
  <c r="Q348" i="4"/>
  <c r="P348" i="4"/>
  <c r="S347" i="4"/>
  <c r="P347" i="4"/>
  <c r="Q347" i="4"/>
  <c r="R347" i="4"/>
  <c r="P346" i="4"/>
  <c r="Q346" i="4"/>
  <c r="R346" i="4"/>
  <c r="S346" i="4"/>
  <c r="P345" i="4"/>
  <c r="S345" i="4"/>
  <c r="R345" i="4"/>
  <c r="Q345" i="4"/>
  <c r="S344" i="4"/>
  <c r="R344" i="4"/>
  <c r="Q344" i="4"/>
  <c r="P344" i="4"/>
  <c r="P343" i="4"/>
  <c r="Q343" i="4"/>
  <c r="S343" i="4"/>
  <c r="R343" i="4"/>
  <c r="S342" i="4"/>
  <c r="Q342" i="4"/>
  <c r="P342" i="4"/>
  <c r="R342" i="4"/>
  <c r="Q341" i="4"/>
  <c r="P341" i="4"/>
  <c r="S341" i="4"/>
  <c r="R341" i="4"/>
  <c r="S340" i="4"/>
  <c r="R340" i="4"/>
  <c r="Q340" i="4"/>
  <c r="P340" i="4"/>
  <c r="Q339" i="4"/>
  <c r="P339" i="4"/>
  <c r="S339" i="4"/>
  <c r="R339" i="4"/>
  <c r="Q338" i="4"/>
  <c r="R338" i="4"/>
  <c r="P338" i="4"/>
  <c r="S338" i="4"/>
  <c r="P337" i="4"/>
  <c r="Q337" i="4"/>
  <c r="R337" i="4"/>
  <c r="S337" i="4"/>
  <c r="P336" i="4"/>
  <c r="Q336" i="4"/>
  <c r="R336" i="4"/>
  <c r="S336" i="4"/>
  <c r="Q335" i="4"/>
  <c r="P335" i="4"/>
  <c r="R335" i="4"/>
  <c r="S335" i="4"/>
  <c r="R334" i="4"/>
  <c r="S334" i="4"/>
  <c r="P334" i="4"/>
  <c r="Q334" i="4"/>
  <c r="P333" i="4"/>
  <c r="S333" i="4"/>
  <c r="Q333" i="4"/>
  <c r="R333" i="4"/>
  <c r="S332" i="4"/>
  <c r="P332" i="4"/>
  <c r="R332" i="4"/>
  <c r="Q332" i="4"/>
  <c r="S331" i="4"/>
  <c r="R331" i="4"/>
  <c r="Q331" i="4"/>
  <c r="P331" i="4"/>
  <c r="Q330" i="4"/>
  <c r="P330" i="4"/>
  <c r="R330" i="4"/>
  <c r="S330" i="4"/>
  <c r="S329" i="4"/>
  <c r="P329" i="4"/>
  <c r="R329" i="4"/>
  <c r="Q329" i="4"/>
  <c r="S328" i="4"/>
  <c r="R328" i="4"/>
  <c r="Q328" i="4"/>
  <c r="P328" i="4"/>
  <c r="S327" i="4"/>
  <c r="R327" i="4"/>
  <c r="P327" i="4"/>
  <c r="Q327" i="4"/>
  <c r="S326" i="4"/>
  <c r="P326" i="4"/>
  <c r="Q326" i="4"/>
  <c r="R326" i="4"/>
  <c r="R325" i="4"/>
  <c r="S325" i="4"/>
  <c r="P325" i="4"/>
  <c r="Q325" i="4"/>
  <c r="R324" i="4"/>
  <c r="S324" i="4"/>
  <c r="P324" i="4"/>
  <c r="Q324" i="4"/>
  <c r="R323" i="4"/>
  <c r="S323" i="4"/>
  <c r="Q323" i="4"/>
  <c r="P323" i="4"/>
  <c r="S322" i="4"/>
  <c r="R322" i="4"/>
  <c r="Q322" i="4"/>
  <c r="P322" i="4"/>
  <c r="S321" i="4"/>
  <c r="R321" i="4"/>
  <c r="Q321" i="4"/>
  <c r="P321" i="4"/>
  <c r="S320" i="4"/>
  <c r="R320" i="4"/>
  <c r="P320" i="4"/>
  <c r="Q320" i="4"/>
  <c r="Q319" i="4"/>
  <c r="P319" i="4"/>
  <c r="S319" i="4"/>
  <c r="R319" i="4"/>
  <c r="S318" i="4"/>
  <c r="R318" i="4"/>
  <c r="Q318" i="4"/>
  <c r="P318" i="4"/>
  <c r="S317" i="4"/>
  <c r="R317" i="4"/>
  <c r="Q317" i="4"/>
  <c r="P317" i="4"/>
  <c r="S316" i="4"/>
  <c r="P316" i="4"/>
  <c r="Q316" i="4"/>
  <c r="R316" i="4"/>
  <c r="Q315" i="4"/>
  <c r="S315" i="4"/>
  <c r="R315" i="4"/>
  <c r="P315" i="4"/>
  <c r="S314" i="4"/>
  <c r="R314" i="4"/>
  <c r="Q314" i="4"/>
  <c r="P314" i="4"/>
  <c r="S313" i="4"/>
  <c r="R313" i="4"/>
  <c r="Q313" i="4"/>
  <c r="P313" i="4"/>
  <c r="S312" i="4"/>
  <c r="R312" i="4"/>
  <c r="Q312" i="4"/>
  <c r="P312" i="4"/>
  <c r="S311" i="4"/>
  <c r="R311" i="4"/>
  <c r="Q311" i="4"/>
  <c r="P311" i="4"/>
  <c r="P310" i="4"/>
  <c r="Q310" i="4"/>
  <c r="S310" i="4"/>
  <c r="R310" i="4"/>
  <c r="P309" i="4"/>
  <c r="R309" i="4"/>
  <c r="Q309" i="4"/>
  <c r="S309" i="4"/>
  <c r="S308" i="4"/>
  <c r="R308" i="4"/>
  <c r="Q308" i="4"/>
  <c r="P308" i="4"/>
  <c r="S307" i="4"/>
  <c r="R307" i="4"/>
  <c r="Q307" i="4"/>
  <c r="P307" i="4"/>
  <c r="S306" i="4"/>
  <c r="R306" i="4"/>
  <c r="Q306" i="4"/>
  <c r="P306" i="4"/>
  <c r="S305" i="4"/>
  <c r="R305" i="4"/>
  <c r="Q305" i="4"/>
  <c r="P305" i="4"/>
  <c r="Q304" i="4"/>
  <c r="R304" i="4"/>
  <c r="P304" i="4"/>
  <c r="S304" i="4"/>
  <c r="S303" i="4"/>
  <c r="R303" i="4"/>
  <c r="P303" i="4"/>
  <c r="Q303" i="4"/>
  <c r="S301" i="4"/>
  <c r="R301" i="4"/>
  <c r="Q301" i="4"/>
  <c r="P301" i="4"/>
  <c r="S300" i="4"/>
  <c r="R300" i="4"/>
  <c r="Q300" i="4"/>
  <c r="P300" i="4"/>
  <c r="S299" i="4"/>
  <c r="R299" i="4"/>
  <c r="Q299" i="4"/>
  <c r="P299" i="4"/>
  <c r="S298" i="4"/>
  <c r="R298" i="4"/>
  <c r="Q298" i="4"/>
  <c r="P298" i="4"/>
  <c r="S297" i="4"/>
  <c r="R297" i="4"/>
  <c r="Q297" i="4"/>
  <c r="P297" i="4"/>
  <c r="S296" i="4"/>
  <c r="R296" i="4"/>
  <c r="Q296" i="4"/>
  <c r="P296" i="4"/>
  <c r="S295" i="4"/>
  <c r="R295" i="4"/>
  <c r="Q295" i="4"/>
  <c r="P295" i="4"/>
  <c r="S294" i="4"/>
  <c r="R294" i="4"/>
  <c r="Q294" i="4"/>
  <c r="P294" i="4"/>
  <c r="S293" i="4"/>
  <c r="R293" i="4"/>
  <c r="Q293" i="4"/>
  <c r="P293" i="4"/>
  <c r="S292" i="4"/>
  <c r="R292" i="4"/>
  <c r="Q292" i="4"/>
  <c r="P292" i="4"/>
  <c r="S291" i="4"/>
  <c r="R291" i="4"/>
  <c r="Q291" i="4"/>
  <c r="P291" i="4"/>
  <c r="S290" i="4"/>
  <c r="R290" i="4"/>
  <c r="Q290" i="4"/>
  <c r="P290" i="4"/>
  <c r="S289" i="4"/>
  <c r="R289" i="4"/>
  <c r="Q289" i="4"/>
  <c r="P289" i="4"/>
  <c r="R288" i="4"/>
  <c r="S288" i="4"/>
  <c r="Q288" i="4"/>
  <c r="P288" i="4"/>
  <c r="P287" i="4"/>
  <c r="R287" i="4"/>
  <c r="Q287" i="4"/>
  <c r="S287" i="4"/>
  <c r="S286" i="4"/>
  <c r="R286" i="4"/>
  <c r="P286" i="4"/>
  <c r="Q286" i="4"/>
  <c r="S285" i="4"/>
  <c r="R285" i="4"/>
  <c r="Q285" i="4"/>
  <c r="P285" i="4"/>
  <c r="S284" i="4"/>
  <c r="R284" i="4"/>
  <c r="Q284" i="4"/>
  <c r="P284" i="4"/>
  <c r="P283" i="4"/>
  <c r="S283" i="4"/>
  <c r="R283" i="4"/>
  <c r="Q283" i="4"/>
  <c r="Q282" i="4"/>
  <c r="P282" i="4"/>
  <c r="R282" i="4"/>
  <c r="S282" i="4"/>
  <c r="S281" i="4"/>
  <c r="R281" i="4"/>
  <c r="Q281" i="4"/>
  <c r="P281" i="4"/>
  <c r="S280" i="4"/>
  <c r="R280" i="4"/>
  <c r="Q280" i="4"/>
  <c r="P280" i="4"/>
  <c r="Q279" i="4"/>
  <c r="P279" i="4"/>
  <c r="S279" i="4"/>
  <c r="R279" i="4"/>
  <c r="P278" i="4"/>
  <c r="Q278" i="4"/>
  <c r="R278" i="4"/>
  <c r="S278" i="4"/>
  <c r="P277" i="4"/>
  <c r="Q277" i="4"/>
  <c r="R277" i="4"/>
  <c r="S277" i="4"/>
  <c r="R276" i="4"/>
  <c r="S276" i="4"/>
  <c r="Q276" i="4"/>
  <c r="P276" i="4"/>
  <c r="Q275" i="4"/>
  <c r="P275" i="4"/>
  <c r="R275" i="4"/>
  <c r="S275" i="4"/>
  <c r="P274" i="4"/>
  <c r="Q274" i="4"/>
  <c r="R274" i="4"/>
  <c r="S274" i="4"/>
  <c r="P273" i="4"/>
  <c r="Q273" i="4"/>
  <c r="R273" i="4"/>
  <c r="S273" i="4"/>
  <c r="S272" i="4"/>
  <c r="R272" i="4"/>
  <c r="Q272" i="4"/>
  <c r="P272" i="4"/>
  <c r="S271" i="4"/>
  <c r="P271" i="4"/>
  <c r="Q271" i="4"/>
  <c r="R271" i="4"/>
  <c r="P270" i="4"/>
  <c r="Q270" i="4"/>
  <c r="R270" i="4"/>
  <c r="S270" i="4"/>
  <c r="P269" i="4"/>
  <c r="Q269" i="4"/>
  <c r="R269" i="4"/>
  <c r="S269" i="4"/>
  <c r="Q268" i="4"/>
  <c r="P268" i="4"/>
  <c r="R268" i="4"/>
  <c r="S268" i="4"/>
  <c r="P267" i="4"/>
  <c r="S267" i="4"/>
  <c r="R267" i="4"/>
  <c r="Q267" i="4"/>
  <c r="S266" i="4"/>
  <c r="P266" i="4"/>
  <c r="Q266" i="4"/>
  <c r="R266" i="4"/>
  <c r="Q265" i="4"/>
  <c r="P265" i="4"/>
  <c r="S265" i="4"/>
  <c r="R265" i="4"/>
  <c r="S264" i="4"/>
  <c r="R264" i="4"/>
  <c r="Q264" i="4"/>
  <c r="P264" i="4"/>
  <c r="P263" i="4"/>
  <c r="R263" i="4"/>
  <c r="S263" i="4"/>
  <c r="Q263" i="4"/>
  <c r="P262" i="4"/>
  <c r="Q262" i="4"/>
  <c r="R262" i="4"/>
  <c r="S262" i="4"/>
  <c r="S261" i="4"/>
  <c r="Q261" i="4"/>
  <c r="P261" i="4"/>
  <c r="R261" i="4"/>
  <c r="Q260" i="4"/>
  <c r="P260" i="4"/>
  <c r="R260" i="4"/>
  <c r="S260" i="4"/>
  <c r="R259" i="4"/>
  <c r="P259" i="4"/>
  <c r="Q259" i="4"/>
  <c r="S259" i="4"/>
  <c r="P258" i="4"/>
  <c r="Q258" i="4"/>
  <c r="S258" i="4"/>
  <c r="R258" i="4"/>
  <c r="Q257" i="4"/>
  <c r="P257" i="4"/>
  <c r="R257" i="4"/>
  <c r="S257" i="4"/>
  <c r="S256" i="4"/>
  <c r="P256" i="4"/>
  <c r="Q256" i="4"/>
  <c r="R256" i="4"/>
  <c r="R255" i="4"/>
  <c r="S255" i="4"/>
  <c r="Q255" i="4"/>
  <c r="P255" i="4"/>
  <c r="P254" i="4"/>
  <c r="R254" i="4"/>
  <c r="Q254" i="4"/>
  <c r="S254" i="4"/>
  <c r="S253" i="4"/>
  <c r="P253" i="4"/>
  <c r="Q253" i="4"/>
  <c r="R253" i="4"/>
  <c r="Q252" i="4"/>
  <c r="S252" i="4"/>
  <c r="R252" i="4"/>
  <c r="P252" i="4"/>
  <c r="P251" i="4"/>
  <c r="Q251" i="4"/>
  <c r="R251" i="4"/>
  <c r="S251" i="4"/>
  <c r="R250" i="4"/>
  <c r="P250" i="4"/>
  <c r="Q250" i="4"/>
  <c r="S250" i="4"/>
  <c r="P249" i="4"/>
  <c r="Q249" i="4"/>
  <c r="R249" i="4"/>
  <c r="S249" i="4"/>
  <c r="Q248" i="4"/>
  <c r="P248" i="4"/>
  <c r="S248" i="4"/>
  <c r="R248" i="4"/>
  <c r="S247" i="4"/>
  <c r="R247" i="4"/>
  <c r="Q247" i="4"/>
  <c r="P247" i="4"/>
  <c r="S246" i="4"/>
  <c r="R246" i="4"/>
  <c r="P246" i="4"/>
  <c r="Q246" i="4"/>
  <c r="R245" i="4"/>
  <c r="S245" i="4"/>
  <c r="Q245" i="4"/>
  <c r="P245" i="4"/>
  <c r="S244" i="4"/>
  <c r="R244" i="4"/>
  <c r="Q244" i="4"/>
  <c r="P244" i="4"/>
  <c r="P243" i="4"/>
  <c r="Q243" i="4"/>
  <c r="S243" i="4"/>
  <c r="R243" i="4"/>
  <c r="P242" i="4"/>
  <c r="Q242" i="4"/>
  <c r="R242" i="4"/>
  <c r="S242" i="4"/>
  <c r="Q241" i="4"/>
  <c r="P241" i="4"/>
  <c r="S241" i="4"/>
  <c r="R241" i="4"/>
  <c r="Q240" i="4"/>
  <c r="R240" i="4"/>
  <c r="S240" i="4"/>
  <c r="P240" i="4"/>
  <c r="Q239" i="4"/>
  <c r="S239" i="4"/>
  <c r="R239" i="4"/>
  <c r="P239" i="4"/>
  <c r="Q238" i="4"/>
  <c r="P238" i="4"/>
  <c r="S238" i="4"/>
  <c r="R238" i="4"/>
  <c r="R237" i="4"/>
  <c r="P237" i="4"/>
  <c r="S237" i="4"/>
  <c r="Q237" i="4"/>
  <c r="P236" i="4"/>
  <c r="R236" i="4"/>
  <c r="Q236" i="4"/>
  <c r="S236" i="4"/>
  <c r="P235" i="4"/>
  <c r="R235" i="4"/>
  <c r="Q235" i="4"/>
  <c r="S235" i="4"/>
  <c r="Q234" i="4"/>
  <c r="P234" i="4"/>
  <c r="S234" i="4"/>
  <c r="R234" i="4"/>
  <c r="P233" i="4"/>
  <c r="Q233" i="4"/>
  <c r="R233" i="4"/>
  <c r="S233" i="4"/>
  <c r="P232" i="4"/>
  <c r="R232" i="4"/>
  <c r="S232" i="4"/>
  <c r="Q232" i="4"/>
  <c r="S231" i="4"/>
  <c r="R231" i="4"/>
  <c r="Q231" i="4"/>
  <c r="P231" i="4"/>
  <c r="R230" i="4"/>
  <c r="S230" i="4"/>
  <c r="Q230" i="4"/>
  <c r="P230" i="4"/>
  <c r="Q229" i="4"/>
  <c r="P229" i="4"/>
  <c r="R229" i="4"/>
  <c r="S229" i="4"/>
  <c r="S228" i="4"/>
  <c r="R228" i="4"/>
  <c r="Q228" i="4"/>
  <c r="P228" i="4"/>
  <c r="S227" i="4"/>
  <c r="R227" i="4"/>
  <c r="P227" i="4"/>
  <c r="Q227" i="4"/>
  <c r="S226" i="4"/>
  <c r="R226" i="4"/>
  <c r="Q226" i="4"/>
  <c r="P226" i="4"/>
  <c r="S225" i="4"/>
  <c r="Q225" i="4"/>
  <c r="R225" i="4"/>
  <c r="P225" i="4"/>
  <c r="S224" i="4"/>
  <c r="R224" i="4"/>
  <c r="Q224" i="4"/>
  <c r="P224" i="4"/>
  <c r="P223" i="4"/>
  <c r="S223" i="4"/>
  <c r="R223" i="4"/>
  <c r="Q223" i="4"/>
  <c r="Q222" i="4"/>
  <c r="R222" i="4"/>
  <c r="P222" i="4"/>
  <c r="S222" i="4"/>
  <c r="R221" i="4"/>
  <c r="Q221" i="4"/>
  <c r="P221" i="4"/>
  <c r="S221" i="4"/>
  <c r="R220" i="4"/>
  <c r="S220" i="4"/>
  <c r="P220" i="4"/>
  <c r="Q220" i="4"/>
  <c r="R219" i="4"/>
  <c r="S219" i="4"/>
  <c r="P219" i="4"/>
  <c r="Q219" i="4"/>
  <c r="S218" i="4"/>
  <c r="Q218" i="4"/>
  <c r="P218" i="4"/>
  <c r="R218" i="4"/>
  <c r="P217" i="4"/>
  <c r="Q217" i="4"/>
  <c r="R217" i="4"/>
  <c r="S217" i="4"/>
  <c r="Q216" i="4"/>
  <c r="P216" i="4"/>
  <c r="R216" i="4"/>
  <c r="S216" i="4"/>
  <c r="R215" i="4"/>
  <c r="Q215" i="4"/>
  <c r="S215" i="4"/>
  <c r="P215" i="4"/>
  <c r="S214" i="4"/>
  <c r="P214" i="4"/>
  <c r="Q214" i="4"/>
  <c r="R214" i="4"/>
  <c r="S213" i="4"/>
  <c r="R213" i="4"/>
  <c r="Q213" i="4"/>
  <c r="P213" i="4"/>
  <c r="S212" i="4"/>
  <c r="R212" i="4"/>
  <c r="Q212" i="4"/>
  <c r="P212" i="4"/>
  <c r="P211" i="4"/>
  <c r="S211" i="4"/>
  <c r="R211" i="4"/>
  <c r="Q211" i="4"/>
  <c r="S210" i="4"/>
  <c r="R210" i="4"/>
  <c r="Q210" i="4"/>
  <c r="P210" i="4"/>
  <c r="Q209" i="4"/>
  <c r="P209" i="4"/>
  <c r="S209" i="4"/>
  <c r="R209" i="4"/>
  <c r="S208" i="4"/>
  <c r="R208" i="4"/>
  <c r="Q208" i="4"/>
  <c r="P208" i="4"/>
  <c r="S207" i="4"/>
  <c r="R207" i="4"/>
  <c r="Q207" i="4"/>
  <c r="P207" i="4"/>
  <c r="Q206" i="4"/>
  <c r="S206" i="4"/>
  <c r="R206" i="4"/>
  <c r="P206" i="4"/>
  <c r="S205" i="4"/>
  <c r="R205" i="4"/>
  <c r="Q205" i="4"/>
  <c r="P205" i="4"/>
  <c r="S204" i="4"/>
  <c r="R204" i="4"/>
  <c r="Q204" i="4"/>
  <c r="P204" i="4"/>
  <c r="Q203" i="4"/>
  <c r="S203" i="4"/>
  <c r="R203" i="4"/>
  <c r="P203" i="4"/>
  <c r="P202" i="4"/>
  <c r="Q202" i="4"/>
  <c r="S202" i="4"/>
  <c r="R202" i="4"/>
  <c r="P201" i="4"/>
  <c r="Q201" i="4"/>
  <c r="R201" i="4"/>
  <c r="S201" i="4"/>
  <c r="P200" i="4"/>
  <c r="Q200" i="4"/>
  <c r="R200" i="4"/>
  <c r="S200" i="4"/>
  <c r="P199" i="4"/>
  <c r="R199" i="4"/>
  <c r="Q199" i="4"/>
  <c r="S199" i="4"/>
  <c r="P198" i="4"/>
  <c r="Q198" i="4"/>
  <c r="R198" i="4"/>
  <c r="S198" i="4"/>
  <c r="P197" i="4"/>
  <c r="Q197" i="4"/>
  <c r="R197" i="4"/>
  <c r="S197" i="4"/>
  <c r="R196" i="4"/>
  <c r="S196" i="4"/>
  <c r="Q196" i="4"/>
  <c r="P196" i="4"/>
  <c r="S195" i="4"/>
  <c r="R195" i="4"/>
  <c r="Q195" i="4"/>
  <c r="P195" i="4"/>
  <c r="S194" i="4"/>
  <c r="R194" i="4"/>
  <c r="P194" i="4"/>
  <c r="Q194" i="4"/>
  <c r="S193" i="4"/>
  <c r="R193" i="4"/>
  <c r="Q193" i="4"/>
  <c r="P193" i="4"/>
  <c r="P192" i="4"/>
  <c r="R192" i="4"/>
  <c r="S192" i="4"/>
  <c r="Q192" i="4"/>
  <c r="P191" i="4"/>
  <c r="S191" i="4"/>
  <c r="R191" i="4"/>
  <c r="Q191" i="4"/>
  <c r="R190" i="4"/>
  <c r="S190" i="4"/>
  <c r="P190" i="4"/>
  <c r="Q190" i="4"/>
  <c r="P189" i="4"/>
  <c r="S189" i="4"/>
  <c r="R189" i="4"/>
  <c r="Q189" i="4"/>
  <c r="R188" i="4"/>
  <c r="P188" i="4"/>
  <c r="Q188" i="4"/>
  <c r="S188" i="4"/>
  <c r="P187" i="4"/>
  <c r="Q187" i="4"/>
  <c r="R187" i="4"/>
  <c r="S187" i="4"/>
  <c r="P186" i="4"/>
  <c r="Q186" i="4"/>
  <c r="R186" i="4"/>
  <c r="S186" i="4"/>
  <c r="S185" i="4"/>
  <c r="R185" i="4"/>
  <c r="P185" i="4"/>
  <c r="Q185" i="4"/>
  <c r="P184" i="4"/>
  <c r="Q184" i="4"/>
  <c r="R184" i="4"/>
  <c r="S184" i="4"/>
  <c r="S183" i="4"/>
  <c r="R183" i="4"/>
  <c r="Q183" i="4"/>
  <c r="P183" i="4"/>
  <c r="Q182" i="4"/>
  <c r="S182" i="4"/>
  <c r="R182" i="4"/>
  <c r="P182" i="4"/>
  <c r="Q181" i="4"/>
  <c r="S181" i="4"/>
  <c r="P181" i="4"/>
  <c r="R181" i="4"/>
  <c r="P180" i="4"/>
  <c r="S180" i="4"/>
  <c r="R180" i="4"/>
  <c r="Q180" i="4"/>
  <c r="Q179" i="4"/>
  <c r="R179" i="4"/>
  <c r="S179" i="4"/>
  <c r="P179" i="4"/>
  <c r="S178" i="4"/>
  <c r="R178" i="4"/>
  <c r="P178" i="4"/>
  <c r="Q178" i="4"/>
  <c r="P177" i="4"/>
  <c r="Q177" i="4"/>
  <c r="R177" i="4"/>
  <c r="S177" i="4"/>
  <c r="R176" i="4"/>
  <c r="S176" i="4"/>
  <c r="Q176" i="4"/>
  <c r="P176" i="4"/>
  <c r="P175" i="4"/>
  <c r="S175" i="4"/>
  <c r="R175" i="4"/>
  <c r="Q175" i="4"/>
  <c r="S174" i="4"/>
  <c r="R174" i="4"/>
  <c r="P174" i="4"/>
  <c r="Q174" i="4"/>
  <c r="R173" i="4"/>
  <c r="S173" i="4"/>
  <c r="P173" i="4"/>
  <c r="Q173" i="4"/>
  <c r="P172" i="4"/>
  <c r="Q172" i="4"/>
  <c r="R172" i="4"/>
  <c r="S172" i="4"/>
  <c r="Q171" i="4"/>
  <c r="R171" i="4"/>
  <c r="S171" i="4"/>
  <c r="P171" i="4"/>
  <c r="R170" i="4"/>
  <c r="S170" i="4"/>
  <c r="P170" i="4"/>
  <c r="Q170" i="4"/>
  <c r="P169" i="4"/>
  <c r="S169" i="4"/>
  <c r="Q169" i="4"/>
  <c r="R169" i="4"/>
  <c r="P168" i="4"/>
  <c r="S168" i="4"/>
  <c r="R168" i="4"/>
  <c r="Q168" i="4"/>
  <c r="P167" i="4"/>
  <c r="Q167" i="4"/>
  <c r="S167" i="4"/>
  <c r="R167" i="4"/>
  <c r="P166" i="4"/>
  <c r="Q166" i="4"/>
  <c r="R166" i="4"/>
  <c r="S166" i="4"/>
  <c r="Q165" i="4"/>
  <c r="P165" i="4"/>
  <c r="S165" i="4"/>
  <c r="R165" i="4"/>
  <c r="P164" i="4"/>
  <c r="Q164" i="4"/>
  <c r="R164" i="4"/>
  <c r="S164" i="4"/>
  <c r="P163" i="4"/>
  <c r="R163" i="4"/>
  <c r="Q163" i="4"/>
  <c r="S163" i="4"/>
  <c r="P162" i="4"/>
  <c r="R162" i="4"/>
  <c r="S162" i="4"/>
  <c r="Q162" i="4"/>
  <c r="S161" i="4"/>
  <c r="R161" i="4"/>
  <c r="Q161" i="4"/>
  <c r="P161" i="4"/>
  <c r="R160" i="4"/>
  <c r="P160" i="4"/>
  <c r="Q160" i="4"/>
  <c r="S160" i="4"/>
  <c r="S159" i="4"/>
  <c r="Q159" i="4"/>
  <c r="P159" i="4"/>
  <c r="R159" i="4"/>
  <c r="S158" i="4"/>
  <c r="R158" i="4"/>
  <c r="Q158" i="4"/>
  <c r="P158" i="4"/>
  <c r="S157" i="4"/>
  <c r="R157" i="4"/>
  <c r="Q157" i="4"/>
  <c r="P157" i="4"/>
  <c r="P156" i="4"/>
  <c r="R156" i="4"/>
  <c r="Q156" i="4"/>
  <c r="S156" i="4"/>
  <c r="Q155" i="4"/>
  <c r="R155" i="4"/>
  <c r="S155" i="4"/>
  <c r="P155" i="4"/>
  <c r="S154" i="4"/>
  <c r="Q154" i="4"/>
  <c r="P154" i="4"/>
  <c r="R154" i="4"/>
  <c r="S153" i="4"/>
  <c r="Q153" i="4"/>
  <c r="P153" i="4"/>
  <c r="R153" i="4"/>
  <c r="Q152" i="4"/>
  <c r="R152" i="4"/>
  <c r="S152" i="4"/>
  <c r="P152" i="4"/>
  <c r="S151" i="4"/>
  <c r="R151" i="4"/>
  <c r="Q151" i="4"/>
  <c r="P151" i="4"/>
  <c r="R150" i="4"/>
  <c r="Q150" i="4"/>
  <c r="P150" i="4"/>
  <c r="S150" i="4"/>
  <c r="S149" i="4"/>
  <c r="R149" i="4"/>
  <c r="P149" i="4"/>
  <c r="S148" i="4"/>
  <c r="P148" i="4"/>
  <c r="Q148" i="4"/>
  <c r="R148" i="4"/>
  <c r="Q147" i="4"/>
  <c r="R147" i="4"/>
  <c r="S147" i="4"/>
  <c r="P147" i="4"/>
  <c r="R146" i="4"/>
  <c r="P146" i="4"/>
  <c r="Q146" i="4"/>
  <c r="S146" i="4"/>
  <c r="R145" i="4"/>
  <c r="P145" i="4"/>
  <c r="S145" i="4"/>
  <c r="Q145" i="4"/>
  <c r="P144" i="4"/>
  <c r="Q144" i="4"/>
  <c r="S144" i="4"/>
  <c r="R144" i="4"/>
  <c r="Q143" i="4"/>
  <c r="S143" i="4"/>
  <c r="R143" i="4"/>
  <c r="P143" i="4"/>
  <c r="Q142" i="4"/>
  <c r="S142" i="4"/>
  <c r="P142" i="4"/>
  <c r="R142" i="4"/>
  <c r="Q141" i="4"/>
  <c r="S141" i="4"/>
  <c r="R141" i="4"/>
  <c r="P141" i="4"/>
  <c r="S140" i="4"/>
  <c r="R140" i="4"/>
  <c r="Q140" i="4"/>
  <c r="P140" i="4"/>
  <c r="R139" i="4"/>
  <c r="P139" i="4"/>
  <c r="S139" i="4"/>
  <c r="Q139" i="4"/>
  <c r="P138" i="4"/>
  <c r="R138" i="4"/>
  <c r="S138" i="4"/>
  <c r="Q138" i="4"/>
  <c r="S137" i="4"/>
  <c r="P137" i="4"/>
  <c r="Q137" i="4"/>
  <c r="R137" i="4"/>
  <c r="R136" i="4"/>
  <c r="S136" i="4"/>
  <c r="Q136" i="4"/>
  <c r="P136" i="4"/>
  <c r="R135" i="4"/>
  <c r="S135" i="4"/>
  <c r="Q135" i="4"/>
  <c r="P135" i="4"/>
  <c r="S134" i="4"/>
  <c r="R134" i="4"/>
  <c r="P134" i="4"/>
  <c r="Q134" i="4"/>
  <c r="P133" i="4"/>
  <c r="Q133" i="4"/>
  <c r="R133" i="4"/>
  <c r="S133" i="4"/>
  <c r="P132" i="4"/>
  <c r="Q132" i="4"/>
  <c r="S132" i="4"/>
  <c r="R132" i="4"/>
  <c r="P131" i="4"/>
  <c r="S131" i="4"/>
  <c r="Q131" i="4"/>
  <c r="R131" i="4"/>
  <c r="R130" i="4"/>
  <c r="P130" i="4"/>
  <c r="Q130" i="4"/>
  <c r="S130" i="4"/>
  <c r="R129" i="4"/>
  <c r="S129" i="4"/>
  <c r="P129" i="4"/>
  <c r="Q129" i="4"/>
  <c r="S128" i="4"/>
  <c r="Q128" i="4"/>
  <c r="P128" i="4"/>
  <c r="R128" i="4"/>
  <c r="S127" i="4"/>
  <c r="R127" i="4"/>
  <c r="Q127" i="4"/>
  <c r="P127" i="4"/>
  <c r="P126" i="4"/>
  <c r="R126" i="4"/>
  <c r="Q126" i="4"/>
  <c r="S126" i="4"/>
  <c r="P125" i="4"/>
  <c r="R125" i="4"/>
  <c r="S125" i="4"/>
  <c r="Q125" i="4"/>
  <c r="R124" i="4"/>
  <c r="P124" i="4"/>
  <c r="S124" i="4"/>
  <c r="Q124" i="4"/>
  <c r="Q123" i="4"/>
  <c r="P123" i="4"/>
  <c r="R123" i="4"/>
  <c r="S123" i="4"/>
  <c r="S122" i="4"/>
  <c r="R122" i="4"/>
  <c r="P122" i="4"/>
  <c r="Q122" i="4"/>
  <c r="R121" i="4"/>
  <c r="P121" i="4"/>
  <c r="Q121" i="4"/>
  <c r="S121" i="4"/>
  <c r="P120" i="4"/>
  <c r="Q120" i="4"/>
  <c r="S120" i="4"/>
  <c r="R120" i="4"/>
  <c r="P119" i="4"/>
  <c r="R119" i="4"/>
  <c r="S119" i="4"/>
  <c r="Q119" i="4"/>
  <c r="S118" i="4"/>
  <c r="R118" i="4"/>
  <c r="Q118" i="4"/>
  <c r="P118" i="4"/>
  <c r="P117" i="4"/>
  <c r="S117" i="4"/>
  <c r="Q117" i="4"/>
  <c r="R117" i="4"/>
  <c r="Q116" i="4"/>
  <c r="S116" i="4"/>
  <c r="P116" i="4"/>
  <c r="R116" i="4"/>
  <c r="R115" i="4"/>
  <c r="P115" i="4"/>
  <c r="Q115" i="4"/>
  <c r="S115" i="4"/>
  <c r="R114" i="4"/>
  <c r="P114" i="4"/>
  <c r="Q114" i="4"/>
  <c r="S114" i="4"/>
  <c r="Q113" i="4"/>
  <c r="P113" i="4"/>
  <c r="R113" i="4"/>
  <c r="S113" i="4"/>
  <c r="Q112" i="4"/>
  <c r="P112" i="4"/>
  <c r="R112" i="4"/>
  <c r="S112" i="4"/>
  <c r="P111" i="4"/>
  <c r="S111" i="4"/>
  <c r="Q111" i="4"/>
  <c r="S110" i="4"/>
  <c r="R110" i="4"/>
  <c r="Q110" i="4"/>
  <c r="P110" i="4"/>
  <c r="S109" i="4"/>
  <c r="R109" i="4"/>
  <c r="Q109" i="4"/>
  <c r="P109" i="4"/>
  <c r="S108" i="4"/>
  <c r="Q108" i="4"/>
  <c r="P108" i="4"/>
  <c r="R108" i="4"/>
  <c r="Q107" i="4"/>
  <c r="R107" i="4"/>
  <c r="S107" i="4"/>
  <c r="P107" i="4"/>
  <c r="S106" i="4"/>
  <c r="R106" i="4"/>
  <c r="Q106" i="4"/>
  <c r="P106" i="4"/>
  <c r="P105" i="4"/>
  <c r="R105" i="4"/>
  <c r="Q105" i="4"/>
  <c r="S105" i="4"/>
  <c r="P104" i="4"/>
  <c r="Q104" i="4"/>
  <c r="R104" i="4"/>
  <c r="S104" i="4"/>
  <c r="Q103" i="4"/>
  <c r="P103" i="4"/>
  <c r="R103" i="4"/>
  <c r="S103" i="4"/>
  <c r="P102" i="4"/>
  <c r="S102" i="4"/>
  <c r="Q102" i="4"/>
  <c r="R102" i="4"/>
  <c r="R101" i="4"/>
  <c r="Q101" i="4"/>
  <c r="P101" i="4"/>
  <c r="S101" i="4"/>
  <c r="R100" i="4"/>
  <c r="Q100" i="4"/>
  <c r="S100" i="4"/>
  <c r="P100" i="4"/>
  <c r="R99" i="4"/>
  <c r="P99" i="4"/>
  <c r="S99" i="4"/>
  <c r="Q99" i="4"/>
  <c r="P98" i="4"/>
  <c r="S98" i="4"/>
  <c r="R98" i="4"/>
  <c r="Q98" i="4"/>
  <c r="P97" i="4"/>
  <c r="S97" i="4"/>
  <c r="R97" i="4"/>
  <c r="Q97" i="4"/>
  <c r="Q96" i="4"/>
  <c r="S96" i="4"/>
  <c r="R96" i="4"/>
  <c r="P96" i="4"/>
  <c r="Q95" i="4"/>
  <c r="R95" i="4"/>
  <c r="P95" i="4"/>
  <c r="S95" i="4"/>
  <c r="R94" i="4"/>
  <c r="Q94" i="4"/>
  <c r="P94" i="4"/>
  <c r="S94" i="4"/>
  <c r="S93" i="4"/>
  <c r="R93" i="4"/>
  <c r="Q93" i="4"/>
  <c r="P93" i="4"/>
  <c r="P92" i="4"/>
  <c r="S92" i="4"/>
  <c r="R92" i="4"/>
  <c r="Q92" i="4"/>
  <c r="P91" i="4"/>
  <c r="R91" i="4"/>
  <c r="S91" i="4"/>
  <c r="Q91" i="4"/>
  <c r="P90" i="4"/>
  <c r="S90" i="4"/>
  <c r="R90" i="4"/>
  <c r="Q90" i="4"/>
  <c r="S89" i="4"/>
  <c r="R89" i="4"/>
  <c r="Q89" i="4"/>
  <c r="P89" i="4"/>
  <c r="S88" i="4"/>
  <c r="R88" i="4"/>
  <c r="Q88" i="4"/>
  <c r="S87" i="4"/>
  <c r="P87" i="4"/>
  <c r="R87" i="4"/>
  <c r="Q87" i="4"/>
  <c r="R86" i="4"/>
  <c r="S86" i="4"/>
  <c r="Q86" i="4"/>
  <c r="P86" i="4"/>
  <c r="S85" i="4"/>
  <c r="R85" i="4"/>
  <c r="Q85" i="4"/>
  <c r="P85" i="4"/>
  <c r="Q84" i="4"/>
  <c r="P84" i="4"/>
  <c r="S84" i="4"/>
  <c r="R84" i="4"/>
  <c r="P83" i="4"/>
  <c r="Q83" i="4"/>
  <c r="R83" i="4"/>
  <c r="S83" i="4"/>
  <c r="Q82" i="4"/>
  <c r="R82" i="4"/>
  <c r="S82" i="4"/>
  <c r="P82" i="4"/>
  <c r="R81" i="4"/>
  <c r="S81" i="4"/>
  <c r="Q81" i="4"/>
  <c r="P81" i="4"/>
  <c r="P80" i="4"/>
  <c r="Q80" i="4"/>
  <c r="R80" i="4"/>
  <c r="S80" i="4"/>
  <c r="Q79" i="4"/>
  <c r="P79" i="4"/>
  <c r="R79" i="4"/>
  <c r="S79" i="4"/>
  <c r="R78" i="4"/>
  <c r="S78" i="4"/>
  <c r="P78" i="4"/>
  <c r="Q78" i="4"/>
  <c r="S77" i="4"/>
  <c r="R77" i="4"/>
  <c r="Q77" i="4"/>
  <c r="P77" i="4"/>
  <c r="S76" i="4"/>
  <c r="R76" i="4"/>
  <c r="Q76" i="4"/>
  <c r="P76" i="4"/>
  <c r="S75" i="4"/>
  <c r="P75" i="4"/>
  <c r="Q75" i="4"/>
  <c r="R75" i="4"/>
  <c r="S74" i="4"/>
  <c r="Q74" i="4"/>
  <c r="P74" i="4"/>
  <c r="R74" i="4"/>
  <c r="S73" i="4"/>
  <c r="R73" i="4"/>
  <c r="Q73" i="4"/>
  <c r="P73" i="4"/>
  <c r="S72" i="4"/>
  <c r="R72" i="4"/>
  <c r="Q72" i="4"/>
  <c r="P72" i="4"/>
  <c r="S71" i="4"/>
  <c r="P71" i="4"/>
  <c r="Q71" i="4"/>
  <c r="R71" i="4"/>
  <c r="S70" i="4"/>
  <c r="R70" i="4"/>
  <c r="Q70" i="4"/>
  <c r="P70" i="4"/>
  <c r="S69" i="4"/>
  <c r="R69" i="4"/>
  <c r="Q69" i="4"/>
  <c r="P69" i="4"/>
  <c r="S68" i="4"/>
  <c r="R68" i="4"/>
  <c r="Q68" i="4"/>
  <c r="P68" i="4"/>
  <c r="S67" i="4"/>
  <c r="R67" i="4"/>
  <c r="Q67" i="4"/>
  <c r="P67" i="4"/>
  <c r="S66" i="4"/>
  <c r="R66" i="4"/>
  <c r="Q66" i="4"/>
  <c r="P66" i="4"/>
  <c r="P65" i="4"/>
  <c r="S65" i="4"/>
  <c r="R65" i="4"/>
  <c r="Q65" i="4"/>
  <c r="Q64" i="4"/>
  <c r="R64" i="4"/>
  <c r="S64" i="4"/>
  <c r="P64" i="4"/>
  <c r="Q63" i="4"/>
  <c r="R63" i="4"/>
  <c r="S63" i="4"/>
  <c r="P63" i="4"/>
  <c r="Q62" i="4"/>
  <c r="P62" i="4"/>
  <c r="R62" i="4"/>
  <c r="S62" i="4"/>
  <c r="R61" i="4"/>
  <c r="S61" i="4"/>
  <c r="P61" i="4"/>
  <c r="Q61" i="4"/>
  <c r="R60" i="4"/>
  <c r="Q60" i="4"/>
  <c r="P60" i="4"/>
  <c r="S60" i="4"/>
  <c r="S59" i="4"/>
  <c r="R59" i="4"/>
  <c r="Q59" i="4"/>
  <c r="P59" i="4"/>
  <c r="P58" i="4"/>
  <c r="Q58" i="4"/>
  <c r="R58" i="4"/>
  <c r="S58" i="4"/>
  <c r="P57" i="4"/>
  <c r="Q57" i="4"/>
  <c r="R57" i="4"/>
  <c r="S57" i="4"/>
  <c r="S56" i="4"/>
  <c r="P56" i="4"/>
  <c r="R56" i="4"/>
  <c r="Q56" i="4"/>
  <c r="S55" i="4"/>
  <c r="Q55" i="4"/>
  <c r="P55" i="4"/>
  <c r="R55" i="4"/>
  <c r="S54" i="4"/>
  <c r="P54" i="4"/>
  <c r="Q54" i="4"/>
  <c r="R54" i="4"/>
  <c r="P53" i="4"/>
  <c r="Q53" i="4"/>
  <c r="R53" i="4"/>
  <c r="S53" i="4"/>
  <c r="P52" i="4"/>
  <c r="Q52" i="4"/>
  <c r="R52" i="4"/>
  <c r="S52" i="4"/>
  <c r="P51" i="4"/>
  <c r="Q51" i="4"/>
  <c r="R51" i="4"/>
  <c r="S51" i="4"/>
  <c r="R50" i="4"/>
  <c r="S50" i="4"/>
  <c r="Q50" i="4"/>
  <c r="P50" i="4"/>
  <c r="S49" i="4"/>
  <c r="R49" i="4"/>
  <c r="Q49" i="4"/>
  <c r="P49" i="4"/>
  <c r="S48" i="4"/>
  <c r="R48" i="4"/>
  <c r="Q48" i="4"/>
  <c r="P48" i="4"/>
  <c r="S47" i="4"/>
  <c r="R47" i="4"/>
  <c r="Q47" i="4"/>
  <c r="P47" i="4"/>
  <c r="S46" i="4"/>
  <c r="R46" i="4"/>
  <c r="Q46" i="4"/>
  <c r="P46" i="4"/>
  <c r="Q45" i="4"/>
  <c r="P45" i="4"/>
  <c r="S45" i="4"/>
  <c r="P44" i="4"/>
  <c r="S44" i="4"/>
  <c r="R44" i="4"/>
  <c r="Q44" i="4"/>
  <c r="P43" i="4"/>
  <c r="Q43" i="4"/>
  <c r="R43" i="4"/>
  <c r="S43" i="4"/>
  <c r="R42" i="4"/>
  <c r="P42" i="4"/>
  <c r="Q42" i="4"/>
  <c r="S42" i="4"/>
  <c r="P41" i="4"/>
  <c r="Q41" i="4"/>
  <c r="R41" i="4"/>
  <c r="S41" i="4"/>
  <c r="P40" i="4"/>
  <c r="Q40" i="4"/>
  <c r="R40" i="4"/>
  <c r="S40" i="4"/>
  <c r="P39" i="4"/>
  <c r="Q39" i="4"/>
  <c r="R39" i="4"/>
  <c r="S39" i="4"/>
  <c r="P38" i="4"/>
  <c r="Q38" i="4"/>
  <c r="R38" i="4"/>
  <c r="S38" i="4"/>
  <c r="S37" i="4"/>
  <c r="R37" i="4"/>
  <c r="P37" i="4"/>
  <c r="Q37" i="4"/>
  <c r="P36" i="4"/>
  <c r="S36" i="4"/>
  <c r="R36" i="4"/>
  <c r="Q36" i="4"/>
  <c r="R35" i="4"/>
  <c r="S35" i="4"/>
  <c r="P35" i="4"/>
  <c r="Q35" i="4"/>
  <c r="S34" i="4"/>
  <c r="R34" i="4"/>
  <c r="Q34" i="4"/>
  <c r="P34" i="4"/>
  <c r="Q33" i="4"/>
  <c r="P33" i="4"/>
  <c r="R33" i="4"/>
  <c r="S33" i="4"/>
  <c r="S32" i="4"/>
  <c r="R32" i="4"/>
  <c r="Q32" i="4"/>
  <c r="P32" i="4"/>
  <c r="S31" i="4"/>
  <c r="R31" i="4"/>
  <c r="Q31" i="4"/>
  <c r="P31" i="4"/>
  <c r="S30" i="4"/>
  <c r="R30" i="4"/>
  <c r="Q30" i="4"/>
  <c r="P30" i="4"/>
  <c r="S29" i="4"/>
  <c r="R29" i="4"/>
  <c r="Q29" i="4"/>
  <c r="P29" i="4"/>
  <c r="S28" i="4"/>
  <c r="R28" i="4"/>
  <c r="Q28" i="4"/>
  <c r="P28" i="4"/>
  <c r="S27" i="4"/>
  <c r="R27" i="4"/>
  <c r="Q27" i="4"/>
  <c r="P27" i="4"/>
  <c r="S26" i="4"/>
  <c r="R26" i="4"/>
  <c r="Q26" i="4"/>
  <c r="P26" i="4"/>
  <c r="S25" i="4"/>
  <c r="R25" i="4"/>
  <c r="P25" i="4"/>
  <c r="Q25" i="4"/>
  <c r="S24" i="4"/>
  <c r="R24" i="4"/>
  <c r="Q24" i="4"/>
  <c r="P24" i="4"/>
  <c r="S23" i="4"/>
  <c r="R23" i="4"/>
  <c r="Q23" i="4"/>
  <c r="P23" i="4"/>
  <c r="Q22" i="4"/>
  <c r="S22" i="4"/>
  <c r="R22" i="4"/>
  <c r="P22" i="4"/>
  <c r="S21" i="4"/>
  <c r="R21" i="4"/>
  <c r="Q21" i="4"/>
  <c r="P21" i="4"/>
  <c r="S20" i="4"/>
  <c r="R20" i="4"/>
  <c r="Q20" i="4"/>
  <c r="P20" i="4"/>
  <c r="S19" i="4"/>
  <c r="R19" i="4"/>
  <c r="Q19" i="4"/>
  <c r="P19" i="4"/>
  <c r="S18" i="4"/>
  <c r="R18" i="4"/>
  <c r="Q18" i="4"/>
  <c r="P18" i="4"/>
  <c r="S17" i="4"/>
  <c r="R17" i="4"/>
  <c r="Q17" i="4"/>
  <c r="P17" i="4"/>
  <c r="S16" i="4"/>
  <c r="R16" i="4"/>
  <c r="Q16" i="4"/>
  <c r="P16" i="4"/>
  <c r="S15" i="4"/>
  <c r="R15" i="4"/>
  <c r="Q15" i="4"/>
  <c r="P15" i="4"/>
  <c r="S14" i="4"/>
  <c r="R14" i="4"/>
  <c r="Q14" i="4"/>
  <c r="P14" i="4"/>
  <c r="R13" i="4"/>
  <c r="S13" i="4"/>
  <c r="Q13" i="4"/>
  <c r="P13" i="4"/>
  <c r="Q12" i="4"/>
  <c r="S12" i="4"/>
  <c r="R12" i="4"/>
  <c r="P12" i="4"/>
  <c r="S11" i="4"/>
  <c r="R11" i="4"/>
  <c r="Q11" i="4"/>
  <c r="P11" i="4"/>
  <c r="S10" i="4"/>
  <c r="R10" i="4"/>
  <c r="Q10" i="4"/>
  <c r="P10" i="4"/>
  <c r="S9" i="4"/>
  <c r="R9" i="4"/>
  <c r="Q9" i="4"/>
  <c r="P9" i="4"/>
  <c r="S8" i="4"/>
  <c r="R8" i="4"/>
  <c r="Q8" i="4"/>
  <c r="P8" i="4"/>
  <c r="S7" i="4"/>
  <c r="R7" i="4"/>
  <c r="Q7" i="4"/>
  <c r="P7" i="4"/>
  <c r="S6" i="4"/>
  <c r="R6" i="4"/>
  <c r="Q6" i="4"/>
  <c r="P6" i="4"/>
  <c r="S5" i="4"/>
  <c r="R5" i="4"/>
  <c r="Q5" i="4"/>
  <c r="P5" i="4"/>
  <c r="S4" i="4"/>
  <c r="R4" i="4"/>
  <c r="Q4" i="4"/>
  <c r="P4" i="4"/>
  <c r="R3" i="4"/>
  <c r="S3" i="4"/>
  <c r="P3" i="4"/>
  <c r="Q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charset val="1"/>
          </rPr>
          <t>This list feeds the dropdown on Combined Delivery Data, column A (Domain).
Add, remove, or rename values here and the dropdown updates automatically.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charset val="1"/>
          </rPr>
          <t>This list feeds the dropdown on Combined Delivery Data, column F (DB Developer).
Add, remove, or rename values here and the dropdown updates automatically.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charset val="1"/>
          </rPr>
          <t>This list feeds the dropdown on Combined Delivery Data, column G (PBI Developer).
Add, remove, or rename values here and the dropdown updates automatically.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charset val="1"/>
          </rPr>
          <t>This list feeds the dropdown on Combined Delivery Data, column E (PO).
Add, remove, or rename values here and the dropdown updates automatically.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charset val="1"/>
          </rPr>
          <t>This list feeds the dropdown on Combined Delivery Data, column Z (Blocked?).
Add, remove, or rename values here and the dropdown updates automatically.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charset val="1"/>
          </rPr>
          <t>This list feeds the dropdown on Combined Delivery Data, column C (Current Status).
Add, remove, or rename values here and the dropdown updates automatically.</t>
        </r>
      </text>
    </comment>
  </commentList>
</comments>
</file>

<file path=xl/sharedStrings.xml><?xml version="1.0" encoding="utf-8"?>
<sst xmlns="http://schemas.openxmlformats.org/spreadsheetml/2006/main" count="2165" uniqueCount="278">
  <si>
    <t>ONE ROW PER FIX ATTEMPT.  AMBER = sender (usually QA): fill A-F when sending back; you also own Resolved? (G) - set Yes when you accept the fix back, or "Did not pass re-test" if still broken (then log a NEW row for the next attempt).  BLUE = fixer: at pickup enter your Expected Fix Date and move your old completion date here (cut &amp; paste); when done, enter Date Fixed - the clock stops and the row turns BLUE = waiting on the sender to re-test.  Row colors answer "whose move is it?": AMBER = fixer's, BLUE = sender's, GREEN = accepted, GREY = attempt closed, new row carries it.  PURPLE columns are computed by the sheet and locked - you never type in purple.</t>
  </si>
  <si>
    <t>LIVE SUMMARY (auto) - the sheet computes this. Purple = never type here.</t>
  </si>
  <si>
    <t>Report Name</t>
  </si>
  <si>
    <t>Date Sent Back</t>
  </si>
  <si>
    <t>From Stage</t>
  </si>
  <si>
    <t>To Stage</t>
  </si>
  <si>
    <t>Sent Back By</t>
  </si>
  <si>
    <t>What Was Wrong</t>
  </si>
  <si>
    <t>Resolved?</t>
  </si>
  <si>
    <t>First Completed On (cut &amp; paste from main tab)</t>
  </si>
  <si>
    <t>Expected Fix Date</t>
  </si>
  <si>
    <t>Date Fixed</t>
  </si>
  <si>
    <t>Fixed By</t>
  </si>
  <si>
    <t>What Was Fixed</t>
  </si>
  <si>
    <t>Aging (auto)</t>
  </si>
  <si>
    <t>Times Sent Back</t>
  </si>
  <si>
    <t>Open Reworks</t>
  </si>
  <si>
    <t>Last Sent Back Date</t>
  </si>
  <si>
    <t>Last From -&gt; To</t>
  </si>
  <si>
    <t>RPT_02_Required Regulator Inspection Performed Control</t>
  </si>
  <si>
    <t>QA</t>
  </si>
  <si>
    <t>DB Dev</t>
  </si>
  <si>
    <t>Bardia</t>
  </si>
  <si>
    <t>the count does not match(count of records between ods and gdm</t>
  </si>
  <si>
    <t>Did not pass re-test</t>
  </si>
  <si>
    <t>Sreevarsha</t>
  </si>
  <si>
    <t>No</t>
  </si>
  <si>
    <t>GDM REPORT DELIVERY TRACKER</t>
  </si>
  <si>
    <t>THE TWO TABS</t>
  </si>
  <si>
    <t>Combined Delivery Data = what is true RIGHT NOW. One row per report, latest dates only - built for a 10-second executive read.
Rework Log = everything that ever went wrong. One row per bounce-back, kept forever. AMBER columns belong to the sender, BLUE to the fixer, PURPLE is automatic.</t>
  </si>
  <si>
    <t>COLORS</t>
  </si>
  <si>
    <t>RED = needs action now (blocked, overdue, late, unclaimed, or a red instruction in Data Check).
AMBER = open or waiting.   GREEN = good.   If nothing is red on your rows, you owe nothing.
PURPLE headers and purple-tinted cells = the sheet computes these and they are locked - you never type in purple. Everything else is yours to fill.</t>
  </si>
  <si>
    <t>NORMAL DAY - A STAGE FINISHES</t>
  </si>
  <si>
    <t>Two cells on Combined Delivery Data: your stage's Actual Completion Date, and Current Status to the next stage. Done.</t>
  </si>
  <si>
    <t>SOMETHING IS WRONG - SENDER (usually QA), about 30 seconds</t>
  </si>
  <si>
    <t>1. Main tab: Blocked? -&gt; "Yes - needs [stage] to fix", and Current Status -&gt; back to that stage
2. Rework Log, the AMBER columns of one new row: report (dropdown), Ctrl+; for today, From/To stage, your name, what was wrong
You never touch completion dates. The row now shows UNCLAIMED in red until the fixer commits.</t>
  </si>
  <si>
    <t>THE FIXER - AT PICKUP (two cells, both yours)</t>
  </si>
  <si>
    <t>1. Expected Fix Date: your promise. The main tab instantly shows everyone "Blocked - needs DB Dev to fix - promised 8/5", and your row starts counting "N d LATE" if you miss it
2. CUT your old completion date from the main tab, PASTE it into "First Completed On" - one motion. History saved forever; the main tab correctly shows no completion date while you redo the work. A red note in Data Check reminds you until it's done.</t>
  </si>
  <si>
    <t>THE FIXER - WHEN DONE</t>
  </si>
  <si>
    <t>1. Same row: Date Fixed (Ctrl+;), your name, what was fixed, Resolved? = Yes - the row turns green
2. Main tab: type the NEW completion date into the empty cell, set Blocked? -&gt; No. Everything red clears itself.</t>
  </si>
  <si>
    <t>WHAT NEVER GETS LOST</t>
  </si>
  <si>
    <t>Original target dates: never overwritten, always on the main tab.  First-time completion dates: "First Completed On" on the Rework Log, forever.  Every redo completion: Date Fixed.  Start dates: each stage starts when the previous one completes - and completions are moved (never deleted), so nothing disappears.  The main tab always shows only the LATEST truth.</t>
  </si>
  <si>
    <t>SPECIAL CASES - ONE LINE EACH</t>
  </si>
  <si>
    <t>Bounces again -&gt; repeat the moments; a NEW row each time.
Several small defects, one bounce -&gt; ONE row, list them in What Was Wrong. Separate rows only when fixes go to different stages (then point Blocked? at the earliest).
Bug found AFTER release -&gt; same moments; Confirmed Deployed stays Yes, update its date after redeploy.
Fixer needs more time -&gt; overwrite your Expected Fix Date.
"Not a bug" -&gt; close the row: What Was Fixed = "No change needed - working as designed".
Logged by mistake -&gt; delete the row, set Blocked? back to No. The sheet self-corrects.
Cancelled mid-fix -&gt; close the row with "Cancelled - descoped".
Told verbally, nothing entered -&gt; it did not happen. The Blocked? flip IS the send-back.</t>
  </si>
  <si>
    <t>THE SHEET POLICES ITSELF</t>
  </si>
  <si>
    <t>Blocked but not logged -&gt; red "Blocked - log it on Rework Log".   Picked up but old completion date still on main tab -&gt; red "Move old [stage] completion date...".   Row open but not marked blocked -&gt; red instruction.   Missing sent-back date -&gt; red in Aging.   Duplicates and impossible date orders -&gt; flagged. Hover any dropdown for guidance.</t>
  </si>
  <si>
    <t>Domain</t>
  </si>
  <si>
    <t>Current Status</t>
  </si>
  <si>
    <t>Status Flag (auto)</t>
  </si>
  <si>
    <t>Business Value Rank</t>
  </si>
  <si>
    <t>PO</t>
  </si>
  <si>
    <t>DB Developer</t>
  </si>
  <si>
    <t>PBI Developer</t>
  </si>
  <si>
    <t>QA Tester</t>
  </si>
  <si>
    <t>Schema</t>
  </si>
  <si>
    <t>Plan Delivery Date</t>
  </si>
  <si>
    <t>Plan Delivery Month</t>
  </si>
  <si>
    <t>DB Dev Baseline Completion Date</t>
  </si>
  <si>
    <t>DB Dev Reforecast Completion Date</t>
  </si>
  <si>
    <t>DB Dev Actual Completion Date</t>
  </si>
  <si>
    <t>PBI Dev Baseline Completion Date</t>
  </si>
  <si>
    <t>PBI Dev Reforecast Completion Date</t>
  </si>
  <si>
    <t>PBI Dev Actual Completion Date</t>
  </si>
  <si>
    <t>QA Baseline Completion Date</t>
  </si>
  <si>
    <t>QA Reforecast Completion Date</t>
  </si>
  <si>
    <t>QA Actual Completion Date</t>
  </si>
  <si>
    <t>DPO Approval Baseline Completion Date</t>
  </si>
  <si>
    <t>DPO Approval Reforecast Completion Date</t>
  </si>
  <si>
    <t>DPO Approval Reviewer</t>
  </si>
  <si>
    <t>Confirmed Deployed?</t>
  </si>
  <si>
    <t>Confirmed Deployed Date</t>
  </si>
  <si>
    <t>UAT Report URL</t>
  </si>
  <si>
    <t>Production URL</t>
  </si>
  <si>
    <t>Blocked?</t>
  </si>
  <si>
    <t>Data Check (auto)</t>
  </si>
  <si>
    <t>Comments</t>
  </si>
  <si>
    <t>Leaks</t>
  </si>
  <si>
    <t>RPT_04_Active Leaks</t>
  </si>
  <si>
    <t>RELEASED IN PROD</t>
  </si>
  <si>
    <t>Fetwi</t>
  </si>
  <si>
    <t>Sarath</t>
  </si>
  <si>
    <t>Preety</t>
  </si>
  <si>
    <t>April</t>
  </si>
  <si>
    <t>Kelvin Hu</t>
  </si>
  <si>
    <t>Yes</t>
  </si>
  <si>
    <t>https://app.powerbi.com/groups/me/apps/eedba83d-be9a-45f9-9504-7bfa41e6051a/reports/62307ec4-3158-4457-8dcc-4acc2150cdc3/ccfe9e7f0a40d49acb85?experience=power-bi</t>
  </si>
  <si>
    <t>https://app.powerbi.com/groups/me/apps/2c7180b1-0d3d-45be-979e-f7dc86b3557d/reports/8cd4a21d-3abe-4e55-a99e-3af846ab1c67/ccfe9e7f0a40d49acb85?ctid=f98a6a53-25f3-4212-901c-c7787fcd3495&amp;experience=power-bi</t>
  </si>
  <si>
    <t>[Historical, April 2026]: QA found an issue - date calendar dimension broken. Fetwi assigned to fix.</t>
  </si>
  <si>
    <t>RPT_04_Count of Active Leaks On Hand</t>
  </si>
  <si>
    <t>https://app.powerbi.com/groups/me/apps/eedba83d-be9a-45f9-9504-7bfa41e6051a/reports/c0b3f0ae-dedd-485b-8bbc-aa0e5f3fd077/24a66431d0637282f4b7?experience=power-bi</t>
  </si>
  <si>
    <t>https://app.powerbi.com/groups/me/apps/2c7180b1-0d3d-45be-979e-f7dc86b3557d/reports/5ffd546f-ad77-4a7f-8e6d-94dc08bef796/24a66431d0637282f4b7?ctid=f98a6a53-25f3-4212-901c-c7787fcd3495&amp;experience=power-bi</t>
  </si>
  <si>
    <t>RPT_04_Leak Scheduling</t>
  </si>
  <si>
    <t>RPT_04_Leak Days Remaining</t>
  </si>
  <si>
    <t>Siva</t>
  </si>
  <si>
    <t>Navya</t>
  </si>
  <si>
    <t>https://app.powerbi.com/groups/me/apps/eedba83d-be9a-45f9-9504-7bfa41e6051a/reports/8b9ae445-3a30-4ae6-a3fa-7a6d8e7ef349/d97da6159d0c87677529?experience=power-bi</t>
  </si>
  <si>
    <t>https://app.powerbi.com/groups/me/apps/2c7180b1-0d3d-45be-979e-f7dc86b3557d/reports/848ce65a-4e47-422b-aae5-7ea9e7d68a5f/d97da6159d0c87677529?ctid=f98a6a53-25f3-4212-901c-c7787fcd3495&amp;experience=power-bi</t>
  </si>
  <si>
    <t>16/04 - Testing completed in QA and created defect https://jira.prod.nationalgrid.com/browse/GDMP-2186; ETA -04/24</t>
  </si>
  <si>
    <t>RPT_04_Cleared Leaks</t>
  </si>
  <si>
    <t>https://app.powerbi.com/groups/me/apps/eedba83d-be9a-45f9-9504-7bfa41e6051a/reports/938a9ba1-8138-440e-842a-d9a679933d8c/44bb4fce98fafb2cace2?experience=power-bi</t>
  </si>
  <si>
    <t>https://app.powerbi.com/groups/me/apps/2c7180b1-0d3d-45be-979e-f7dc86b3557d/reports/677c6418-6db8-4ebf-9323-65be4cb2c960/ea184ec020032ecbdd43?ctid=f98a6a53-25f3-4212-901c-c7787fcd3495&amp;experience=power-bi</t>
  </si>
  <si>
    <t>[Historical, April 2026]: L_GRO_NUMBER columns had an issue in QA - DB team assigned to fix.</t>
  </si>
  <si>
    <t>RPT_04_Leaks Repaired Detail</t>
  </si>
  <si>
    <t>Rupa</t>
  </si>
  <si>
    <t>https://app.powerbi.com/groups/me/apps/eedba83d-be9a-45f9-9504-7bfa41e6051a/reports/cbaf2155-2cf3-4377-8af2-7e07a896e887/ea184ec020032ecbdd43?experience=power-bi</t>
  </si>
  <si>
    <t>https://app.powerbi.com/groups/me/apps/2c7180b1-0d3d-45be-979e-f7dc86b3557d/reports/9c6d5e21-4e57-4a64-9973-61ff3717468e/ea184ec020032ecbdd43?ctid=f98a6a53-25f3-4212-901c-c7787fcd3495&amp;experience=power-bi</t>
  </si>
  <si>
    <t>21/4 Testing completed in QA and defect raised https://jira.prod.nationalgrid.com/browse/GDMP-2190; Report ready for testing 04/23/2026</t>
  </si>
  <si>
    <t>RPT_04_Leaks Aging</t>
  </si>
  <si>
    <t>https://app.powerbi.com/groups/me/apps/eedba83d-be9a-45f9-9504-7bfa41e6051a/reports/383c1502-9c3c-4fa0-a321-321cfed3b4a1/ReportSection1e63b8fbeb9ea54074e1?experience=power-bi</t>
  </si>
  <si>
    <t>https://app.powerbi.com/groups/me/apps/2c7180b1-0d3d-45be-979e-f7dc86b3557d/reports/b7f15195-22d6-4ac4-8982-a8cadb215cbf/ReportSection1e63b8fbeb9ea54074e1?ctid=f98a6a53-25f3-4212-901c-c7787fcd3495&amp;experience=power-bi</t>
  </si>
  <si>
    <t>RPT_04_Prior Leak Readings</t>
  </si>
  <si>
    <t>Siddu</t>
  </si>
  <si>
    <t>https://app.powerbi.com/groups/me/apps/7767030c-f4c8-4488-b3cb-36a860cb6ff2/reports/acc74ccc-08b7-420d-b64e-5e4d786ac711/ReportSection6d915001f68ea4805272?experience=power-bi</t>
  </si>
  <si>
    <t>https://app.powerbi.com/groups/me/apps/5b29b0dd-a398-4801-84ce-f3a7d8435827/reports/5a06a5bd-88fb-4024-8841-570da23785ad/ReportSection6d915001f68ea4805272?ctid=f98a6a53-25f3-4212-901c-c7787fcd3495&amp;experience=power-bi</t>
  </si>
  <si>
    <t>RSS_04_Leak Grade Change History</t>
  </si>
  <si>
    <t>https://app.powerbi.com/groups/me/apps/7767030c-f4c8-4488-b3cb-36a860cb6ff2/reports/6fe40f7b-3dfe-45ee-9f81-cb977321242d/9d7e292e8fb40cfee194?experience=power-bi</t>
  </si>
  <si>
    <t>https://app.powerbi.com/groups/me/apps/5b29b0dd-a398-4801-84ce-f3a7d8435827/reports/4268caf5-dcbd-4b00-8518-baf8239fff69/9d7e292e8fb40cfee194?experience=power-bi</t>
  </si>
  <si>
    <t xml:space="preserve">
23/4 - Testing completed in QA and defect created https://jira.prod.nationalgrid.com/browse/GDMP-2227; Report is ready for testing 04/23/2026</t>
  </si>
  <si>
    <t>RPT_04_Surveillances With Zero Readings</t>
  </si>
  <si>
    <t>Kelvin</t>
  </si>
  <si>
    <t>May</t>
  </si>
  <si>
    <t>https://app.powerbi.com/groups/me/apps/eedba83d-be9a-45f9-9504-7bfa41e6051a/reports/743b79eb-5470-4cd4-ad54-81eb3b409ae8/ea184ec020032ecbdd43?ctid=f98a6a53-25f3-4212-901c-c7787fcd3495&amp;experience=power-bi</t>
  </si>
  <si>
    <t>https://app.powerbi.com/groups/me/apps/2c7180b1-0d3d-45be-979e-f7dc86b3557d/reports/c887cd5e-9172-4de3-921e-2c0edd2533bc/ea184ec020032ecbdd43?experience=power-bi</t>
  </si>
  <si>
    <t>RPT_04 High Emitter leaks</t>
  </si>
  <si>
    <t>https://app.powerbi.com/groups/me/apps/61b18507-2848-49b9-aacc-32c49ffe1e0b/reports/a44e7124-b1d0-4a09-a5d1-157e2043ba8e/ea184ec020032ecbdd43?ctid=f98a6a53-25f3-4212-901c-c7787fcd3495&amp;experience=power-bi</t>
  </si>
  <si>
    <t>https://app.powerbi.com/groups/me/apps/93d01997-58e0-48d8-bcca-ad8377094e64/reports/6d6fe558-e5d6-4a4b-b6fb-8a5f8735d1df/ea184ec020032ecbdd43?experience=power-bi</t>
  </si>
  <si>
    <t>05/05-  defect raised https://jira.prod.nationalgrid.com/browse/GDMP-2230</t>
  </si>
  <si>
    <t>RPT_04_School Zone Leaks Without Repair</t>
  </si>
  <si>
    <t>https://app.powerbi.com/groups/me/apps/eedba83d-be9a-45f9-9504-7bfa41e6051a/reports/0f3b2c1d-09ad-45db-9786-31e8c9401bc4/ReportSectionda782bb6769340acca9d?experience=power-bi</t>
  </si>
  <si>
    <t>https://app.powerbi.com/groups/me/apps/2c7180b1-0d3d-45be-979e-f7dc86b3557d/reports/5e101b4d-8b08-431a-8b3a-04aafc85f314/ReportSection1e63b8fbeb9ea54074e1?experience=power-bi</t>
  </si>
  <si>
    <t>RPT_04_PSC Quarterly Leak</t>
  </si>
  <si>
    <t>Geetha</t>
  </si>
  <si>
    <t>https://app.powerbi.com/groups/me/apps/93d01997-58e0-48d8-bcca-ad8377094e64/reports/bda83ba5-3e9d-4f8d-9496-bf14e91f7b20/ccfe9e7f0a40d49acb85?ctid=f98a6a53-25f3-4212-901c-c7787fcd3495&amp;experience=power-bi</t>
  </si>
  <si>
    <t>RPT_04_Rechecks Completed less than 14 days</t>
  </si>
  <si>
    <t>Shraddha</t>
  </si>
  <si>
    <t>https://app.powerbi.com/groups/me/apps/7767030c-f4c8-4488-b3cb-36a860cb6ff2/reports/de1ad11f-021b-4cc1-b465-67efd542031c/3122b8024291693794eb?ctid=f98a6a53-25f3-4212-901c-c7787fcd3495&amp;experience=power-bi</t>
  </si>
  <si>
    <t>https://app.powerbi.com/groups/me/apps/5b29b0dd-a398-4801-84ce-f3a7d8435827/reports/0e063b20-0b38-4000-b436-fcbec11daa46/3122b8024291693794eb?experience=power-bi</t>
  </si>
  <si>
    <t>RPT_04_SEI Leak Activity</t>
  </si>
  <si>
    <t>https://app.powerbi.com/groups/me/apps/7767030c-f4c8-4488-b3cb-36a860cb6ff2/reports/c76693f4-bab2-46a1-ab2a-16752d7664fd/ea184ec020032ecbdd43?experience=power-bi</t>
  </si>
  <si>
    <t>https://app.powerbi.com/groups/me/apps/5b29b0dd-a398-4801-84ce-f3a7d8435827/reports/9d9f5721-feb1-4ed3-91fd-18bc33ef38f1/ea184ec020032ecbdd43?experience=power-bi</t>
  </si>
  <si>
    <t>RPT_04_CMS Leak Productivity</t>
  </si>
  <si>
    <t>https://app.powerbi.com/groups/me/apps/eedba83d-be9a-45f9-9504-7bfa41e6051a/reports/3440832e-c72e-45f2-b154-f6b1d66314fc/51a6cefeab19522827a6?experience=power-bi</t>
  </si>
  <si>
    <t>https://app.powerbi.com/groups/me/apps/2c7180b1-0d3d-45be-979e-f7dc86b3557d/reports/18e31a06-f1af-4965-ad46-5a507f24ed56/51a6cefeab19522827a6?experience=power-bi</t>
  </si>
  <si>
    <t>RPT_04_Main Break Corrosion and Leak Cluster</t>
  </si>
  <si>
    <t>https://app.powerbi.com/groups/me/apps/eedba83d-be9a-45f9-9504-7bfa41e6051a/reports/efc0a204-1a7b-4be6-8334-c7582c9093b8/ReportSection81bc1123208781ca563a?experience=power-bi</t>
  </si>
  <si>
    <t>RPT_04_Leak Summary Status</t>
  </si>
  <si>
    <t>https://app.powerbi.com/groups/me/apps/7767030c-f4c8-4488-b3cb-36a860cb6ff2/reports/184a9cdc-83f5-40b0-940d-d901ad9fb404/ReportSection6d915001f68ea4805272?ctid=f98a6a53-25f3-4212-901c-c7787fcd3495&amp;experience=power-bi</t>
  </si>
  <si>
    <t>https://app.powerbi.com/groups/me/apps/5b29b0dd-a398-4801-84ce-f3a7d8435827/reports/f7af2903-2d63-497e-b262-100f5a3b500b/ReportSection6d915001f68ea4805272?ctid=f98a6a53-25f3-4212-901c-c7787fcd3495&amp;experience=power-bi</t>
  </si>
  <si>
    <t>RPT_04_PSC Leak Printout</t>
  </si>
  <si>
    <t>https://app.powerbi.com/groups/me/apps/61b18507-2848-49b9-aacc-32c49ffe1e0b/rdlreports/84ee7713-075e-496c-8610-43022c6a55ab?ctid=f98a6a53-25f3-4212-901c-c7787fcd3495&amp;experience=power-bi</t>
  </si>
  <si>
    <t>[Historical, May/June 2026]: Fetwi was investigating a slowness issue in this report.</t>
  </si>
  <si>
    <t>RPT_04_Leak Control Report</t>
  </si>
  <si>
    <t>June</t>
  </si>
  <si>
    <t>RPT_04_Leak Life Cycle</t>
  </si>
  <si>
    <t>[Historical, June 2026]: Waiting on Kelvin's approval to deploy to UAT.</t>
  </si>
  <si>
    <t>RPT_04_Leak Life Cycle Legacy LMS LI</t>
  </si>
  <si>
    <t>RPT_04_Leak Increase Reads</t>
  </si>
  <si>
    <t>https://app.powerbi.com/groups/me/apps/eedba83d-be9a-45f9-9504-7bfa41e6051a/reports/a410b442-fd2f-43d1-a053-40f2e4966d4d/ea184ec020032ecbdd43?ctid=f98a6a53-25f3-4212-901c-c7787fcd3495&amp;experience=power-bi</t>
  </si>
  <si>
    <t>https://app.powerbi.com/groups/me/apps/2c7180b1-0d3d-45be-979e-f7dc86b3557d/reports/1cec238a-ce10-4ed5-8e56-50efa21bb327/ea184ec020032ecbdd43?ctid=f98a6a53-25f3-4212-901c-c7787fcd3495&amp;experience=power-bi</t>
  </si>
  <si>
    <t>Leak 360 Dashboard</t>
  </si>
  <si>
    <t>[Source confirms QA complete but gives no exact date - using QA Expected date as the closest evidence-backed proxy]</t>
  </si>
  <si>
    <t>RPT_04_Leak Recheck Control</t>
  </si>
  <si>
    <t>RPT_04_Main_Replacement Report</t>
  </si>
  <si>
    <t>Sree</t>
  </si>
  <si>
    <t>https://app.powerbi.com/Redirect?action=OpenApp&amp;appId=eedba83d-be9a-45f9-9504-7bfa41e6051a&amp;ctid=f98a6a53-25f3-4212-901c-c7787fcd3495&amp;experience=power-bi</t>
  </si>
  <si>
    <t>https://app.powerbi.com/groups/me/apps/2c7180b1-0d3d-45be-979e-f7dc86b3557d/reports/3a63d51e-dbb3-4d03-8e38-924376751299/3122b8024291693794eb?ctid=f98a6a53-25f3-4212-901c-c7787fcd3495&amp;experience=power-bi</t>
  </si>
  <si>
    <t>New Report: Leak Repair Exception</t>
  </si>
  <si>
    <t>https://app.powerbi.com/groups/me/apps/eedba83d-be9a-45f9-9504-7bfa41e6051a/reports/f32957e8-b826-44b0-8c00-67ff417ed57e/e94cbcb8509576e1c578?ctid=f98a6a53-25f3-4212-901c-c7787fcd3495&amp;experience=power-bi</t>
  </si>
  <si>
    <t>New Report: (Leak reading sample point mismatch ) Creating a new report that...</t>
  </si>
  <si>
    <t>[QA Actual date recovered from source text: "6/24/2026; QA Completed. Waiting for the view to be deployed to UAT"]</t>
  </si>
  <si>
    <t>CMS</t>
  </si>
  <si>
    <t>RPT_02_CO Flue Warning Tag Control</t>
  </si>
  <si>
    <t>Kushal</t>
  </si>
  <si>
    <t>July</t>
  </si>
  <si>
    <t>Yes – needs PBI Dev to fix</t>
  </si>
  <si>
    <t>Blocked with  https://jira.prod.nationalgrid.com/browse/GDMP-2875</t>
  </si>
  <si>
    <t>RPT_02_Warning Tag HEFPA</t>
  </si>
  <si>
    <t>Count Msimatches Found between ODS and GDM
[QA note, 07/2026]: Observing count mismatch, Sree looking into it (07/22/2026).</t>
  </si>
  <si>
    <t>RPT_02_Warning tag Printout</t>
  </si>
  <si>
    <t>Note: this report's stage dates are not in chronological order in the source tracker (e.g. a later stage dated before an earlier one) - please verify with the assigned developer.
[QA note, 07/2026]: Development is completed, waiting for the view to be deployed to QA.</t>
  </si>
  <si>
    <t>RPT_02_Corrosion</t>
  </si>
  <si>
    <t>Note: this report's stage dates are not in chronological order in the source tracker (e.g. a later stage dated before an earlier one) - please verify with the assigned developer.</t>
  </si>
  <si>
    <t>RPT_02_House Pipe Test Comment Control</t>
  </si>
  <si>
    <t>Blocked with  https://jira.prod.nationalgrid.com/browse/GDMP-2876  , 17/7 - view don't have data in QA
[QA note, 07/2026]: Ready for UAT review.
[QA Actual date recovered from source text: "22/7 -Completed"]</t>
  </si>
  <si>
    <t>Yes – needs DB Dev to fix</t>
  </si>
  <si>
    <t>GDM_RPT.VW_REQUIRED_REGULATOR_INSPECTIONS_PERFORMED_CONTROL
[QA note, 07/2026]: Defects found and sent back for development.</t>
  </si>
  <si>
    <t>RPT_02_Service Regulator Inspections</t>
  </si>
  <si>
    <t>select * from DEV_GDM_DEV_DB.GDM_RPT.VW_SERVICE_REGULATOR_INSPECTIONS
[QA note, 07/2026]: Defects found and sent back for development.</t>
  </si>
  <si>
    <t>RPT_02_Service Regulator Inspection Printout</t>
  </si>
  <si>
    <t>this has a dependency on dt_wospecattributes , 15 attributes need to be addted eg NG_REGINVLVREM</t>
  </si>
  <si>
    <t>RPT_02_20 Year Regulator Inspection</t>
  </si>
  <si>
    <t>GDM_RPT.VW_20_YEAR_REGULATOR_INSPECTION_COMPLETED, GDM_RPT.VW_20_YEAR_REGULATOR_INSPECTION_MANDATED</t>
  </si>
  <si>
    <t>RPT_02_Fixed Factor</t>
  </si>
  <si>
    <t>10,12</t>
  </si>
  <si>
    <t>Nick</t>
  </si>
  <si>
    <t>RPT_02_Fixed Factor Printout</t>
  </si>
  <si>
    <t>[QA note, 07/2026]: Development is completed, QA validation in progress.</t>
  </si>
  <si>
    <t>RPT_02_Work Order Completion Printout</t>
  </si>
  <si>
    <t>RPT_02_GRO Control</t>
  </si>
  <si>
    <t>RPT_02_GRO Monitor</t>
  </si>
  <si>
    <t>RPT_02_Public Buildings Inspection</t>
  </si>
  <si>
    <t>16,17,24, 28</t>
  </si>
  <si>
    <t>August</t>
  </si>
  <si>
    <t>RPT_02_Investigate Wall Check and Service Check</t>
  </si>
  <si>
    <t>NOT STARTED</t>
  </si>
  <si>
    <t>RPT_02_Cut Out Orders</t>
  </si>
  <si>
    <t>RPT_02_Gas Trouble</t>
  </si>
  <si>
    <t>RPT_02_Wall Check Control</t>
  </si>
  <si>
    <t>RPT_02_High Pressure Steel Inside Inspection</t>
  </si>
  <si>
    <t>RPT_02_Large Gas Outage</t>
  </si>
  <si>
    <t>RPT_02_Fitting Work</t>
  </si>
  <si>
    <t>RPT_02_Field Collector Report</t>
  </si>
  <si>
    <t>RPT_02_Turn On for Non-Payment</t>
  </si>
  <si>
    <t>RPT_02_Collector Payment Recap</t>
  </si>
  <si>
    <t>RPT_02_Incentive Management</t>
  </si>
  <si>
    <t>RPT_02_UTC Report</t>
  </si>
  <si>
    <t>September</t>
  </si>
  <si>
    <t>RPT_02_Adjacent Property Checks</t>
  </si>
  <si>
    <t>RPT_02_High Bill Investigations</t>
  </si>
  <si>
    <t>RPT_02_Emergency Order Type</t>
  </si>
  <si>
    <t>RPT_02_Cut Out Curb Box</t>
  </si>
  <si>
    <t>RPT_02_New York Incident</t>
  </si>
  <si>
    <t>RPT_02_Outside Repeat Leaks</t>
  </si>
  <si>
    <t>RPT_02_Meter Change</t>
  </si>
  <si>
    <t>RPT_02_Field Order Value</t>
  </si>
  <si>
    <t>RPT_02_Same Day Reconnect</t>
  </si>
  <si>
    <t>RPT_02_Site Specific Analysis</t>
  </si>
  <si>
    <t>RPT_02_PSC Wire Down Response Time</t>
  </si>
  <si>
    <t>RPT_02_Hazardous Above Ground Leak</t>
  </si>
  <si>
    <t>RPT_02_AMI Contractor Completion Report</t>
  </si>
  <si>
    <t>RPT_02_Collection Statistic</t>
  </si>
  <si>
    <t>RPT_02_First and Last Job</t>
  </si>
  <si>
    <t>RPT_02_Rate Class</t>
  </si>
  <si>
    <t>RPT_04_Leak Recheck Times</t>
  </si>
  <si>
    <t>Find a Report</t>
  </si>
  <si>
    <t>Pick a report below - everything updates automatically.</t>
  </si>
  <si>
    <t>Report Name:</t>
  </si>
  <si>
    <t>Status Flag</t>
  </si>
  <si>
    <t>DB Dev Expected</t>
  </si>
  <si>
    <t>DB Dev Actual</t>
  </si>
  <si>
    <t>PBI Dev Expected</t>
  </si>
  <si>
    <t>PBI Dev Actual</t>
  </si>
  <si>
    <t>QA Expected</t>
  </si>
  <si>
    <t>QA Actual</t>
  </si>
  <si>
    <t>DPO Approval Expected</t>
  </si>
  <si>
    <t>Data Check</t>
  </si>
  <si>
    <t>Reference snapshot only - the app rebuilds this automatically from Combined Delivery Data on every upload. Editing this tab directly has no effect.</t>
  </si>
  <si>
    <t>Status</t>
  </si>
  <si>
    <t xml:space="preserve">DB Developers </t>
  </si>
  <si>
    <t>PBI Developers</t>
  </si>
  <si>
    <t>Status Start Date</t>
  </si>
  <si>
    <t>Expected Release Date</t>
  </si>
  <si>
    <t>Actual Release Date</t>
  </si>
  <si>
    <t>PBI Dev</t>
  </si>
  <si>
    <t>DPO Approval</t>
  </si>
  <si>
    <t>This tab is manually maintained - edit Expected Report Count / Expected Release Date directly, or add new domain/month rows, as delivery plans change. Unlike Fact Table, the app always reads this sheet as-is.</t>
  </si>
  <si>
    <t>Expected Report Count</t>
  </si>
  <si>
    <t>Maintenance and Construction</t>
  </si>
  <si>
    <t>Meter Management</t>
  </si>
  <si>
    <t>Assets and Engineering</t>
  </si>
  <si>
    <t>Yes / No</t>
  </si>
  <si>
    <t>All Developers</t>
  </si>
  <si>
    <t>Rework Stage</t>
  </si>
  <si>
    <t>-&gt; feeds column A on Combined Delivery Data</t>
  </si>
  <si>
    <t>-&gt; feeds column G on Combined Delivery Data</t>
  </si>
  <si>
    <t>-&gt; feeds column H on Combined Delivery Data</t>
  </si>
  <si>
    <t>-&gt; feeds column F on Combined Delivery Data</t>
  </si>
  <si>
    <t>-&gt; feeds column U (Confirmed Deployed?) on Combined Delivery Data</t>
  </si>
  <si>
    <t>-&gt; feeds column C on Combined Delivery Data</t>
  </si>
  <si>
    <t>-&gt; legacy combined list (Rework Log now uses per-stage lists via B/C/H/K)</t>
  </si>
  <si>
    <t>-&gt; feeds column I on Combined Delivery Data</t>
  </si>
  <si>
    <t>-&gt; feeds column Y on Combined Delivery Data</t>
  </si>
  <si>
    <t>-&gt; feeds From/To Stage on Rework Log</t>
  </si>
  <si>
    <t>-&gt; feeds Sent Back By / Fixed By when stage is DPO Approval</t>
  </si>
  <si>
    <t>-&gt; feeds Resolved? on Rework Log (sender-owned)</t>
  </si>
  <si>
    <t>Yes – other</t>
  </si>
  <si>
    <t>Yes – needs QA to fix</t>
  </si>
  <si>
    <t>Yes – needs DPO Approval to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</si>
</sst>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i/>
      <sz val="10"/>
      <color rgb="FF9C6500"/>
      <name val="Calibri"/>
      <family val="2"/>
      <charset val="1"/>
    </font>
    <font>
      <b/>
      <sz val="10"/>
      <color rgb="FFFFFFFF"/>
      <name val="Calibri"/>
      <family val="2"/>
      <charset val="1"/>
    </font>
    <font>
      <i/>
      <sz val="10"/>
      <color rgb="FF1F4E78"/>
      <name val="Calibri"/>
      <family val="2"/>
      <charset val="1"/>
    </font>
    <font>
      <b/>
      <sz val="11"/>
      <name val="Cambria"/>
      <family val="1"/>
    </font>
    <font>
      <i/>
      <sz val="9"/>
      <color rgb="FF666666"/>
      <name val="Cambria"/>
      <family val="1"/>
    </font>
    <font>
      <sz val="11"/>
      <name val="Calibri"/>
      <family val="2"/>
    </font>
    <font>
      <b/>
      <sz val="11"/>
      <name val="Calibri"/>
      <family val="2"/>
    </font>
    <font>
      <i/>
      <sz val="10"/>
      <color rgb="FF666666"/>
      <name val="Calibri"/>
      <family val="2"/>
    </font>
    <font>
      <b/>
      <sz val="16"/>
      <color rgb="FF1F4E78"/>
      <name val="Calibri"/>
      <family val="2"/>
    </font>
    <font>
      <b/>
      <sz val="12"/>
      <name val="Calibri"/>
      <family val="2"/>
    </font>
    <font>
      <b/>
      <sz val="10"/>
      <color rgb="FFFFFFFF"/>
      <name val="Calibri"/>
    </font>
    <font>
      <sz val="11"/>
      <name val="Calibri"/>
    </font>
    <font>
      <b/>
      <sz val="11"/>
      <name val="Calibri"/>
    </font>
    <font>
      <i/>
      <sz val="9"/>
      <name val="Calibri"/>
    </font>
    <font>
      <i/>
      <sz val="10"/>
      <color rgb="FF7B241C"/>
      <name val="Calibri"/>
    </font>
    <font>
      <i/>
      <sz val="10"/>
      <color rgb="FF1F4E78"/>
      <name val="Calibri"/>
    </font>
    <font>
      <sz val="12"/>
      <name val="Calibri"/>
    </font>
    <font>
      <b/>
      <sz val="16"/>
      <color rgb="FFFFFFFF"/>
      <name val="Calibri"/>
    </font>
    <font>
      <b/>
      <sz val="12"/>
      <color rgb="FFFFFFFF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2E5C8A"/>
      </patternFill>
    </fill>
    <fill>
      <patternFill patternType="solid">
        <fgColor rgb="FFFFF8E1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34495E"/>
        <bgColor rgb="FF34495E"/>
      </patternFill>
    </fill>
    <fill>
      <patternFill patternType="solid">
        <fgColor rgb="FF5D6D7E"/>
        <bgColor rgb="FF5D6D7E"/>
      </patternFill>
    </fill>
    <fill>
      <patternFill patternType="solid">
        <fgColor rgb="FF2874A6"/>
        <bgColor rgb="FF2874A6"/>
      </patternFill>
    </fill>
    <fill>
      <patternFill patternType="solid">
        <fgColor rgb="FF148F77"/>
        <bgColor rgb="FF148F77"/>
      </patternFill>
    </fill>
    <fill>
      <patternFill patternType="solid">
        <fgColor rgb="FFB9770E"/>
        <bgColor rgb="FFB9770E"/>
      </patternFill>
    </fill>
    <fill>
      <patternFill patternType="solid">
        <fgColor rgb="FF6C3483"/>
        <bgColor rgb="FF6C3483"/>
      </patternFill>
    </fill>
    <fill>
      <patternFill patternType="solid">
        <fgColor rgb="FF196F3D"/>
        <bgColor rgb="FF196F3D"/>
      </patternFill>
    </fill>
    <fill>
      <patternFill patternType="solid">
        <fgColor rgb="FF7D6608"/>
        <bgColor rgb="FF7D6608"/>
      </patternFill>
    </fill>
    <fill>
      <patternFill patternType="solid">
        <fgColor rgb="FFA93226"/>
        <bgColor rgb="FFA93226"/>
      </patternFill>
    </fill>
    <fill>
      <patternFill patternType="solid">
        <fgColor rgb="FF884EA0"/>
        <bgColor rgb="FF884EA0"/>
      </patternFill>
    </fill>
    <fill>
      <patternFill patternType="solid">
        <fgColor rgb="FFFFE699"/>
        <bgColor rgb="FFFFE699"/>
      </patternFill>
    </fill>
    <fill>
      <patternFill patternType="solid">
        <fgColor rgb="FF2E75B6"/>
        <bgColor rgb="FF2E75B6"/>
      </patternFill>
    </fill>
    <fill>
      <patternFill patternType="solid">
        <fgColor rgb="FFF3EEF9"/>
        <bgColor rgb="FFF3EEF9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34495E"/>
      </left>
      <right/>
      <top/>
      <bottom/>
      <diagonal/>
    </border>
    <border>
      <left style="medium">
        <color rgb="FF5D6D7E"/>
      </left>
      <right/>
      <top/>
      <bottom/>
      <diagonal/>
    </border>
    <border>
      <left style="medium">
        <color rgb="FF2874A6"/>
      </left>
      <right/>
      <top/>
      <bottom/>
      <diagonal/>
    </border>
    <border>
      <left style="medium">
        <color rgb="FF148F77"/>
      </left>
      <right/>
      <top/>
      <bottom/>
      <diagonal/>
    </border>
    <border>
      <left style="medium">
        <color rgb="FFB9770E"/>
      </left>
      <right/>
      <top/>
      <bottom/>
      <diagonal/>
    </border>
    <border>
      <left style="medium">
        <color rgb="FF6C3483"/>
      </left>
      <right/>
      <top/>
      <bottom/>
      <diagonal/>
    </border>
    <border>
      <left style="medium">
        <color rgb="FF196F3D"/>
      </left>
      <right/>
      <top/>
      <bottom/>
      <diagonal/>
    </border>
    <border>
      <left style="medium">
        <color rgb="FF7D6608"/>
      </left>
      <right/>
      <top/>
      <bottom/>
      <diagonal/>
    </border>
    <border>
      <left style="medium">
        <color rgb="FFA93226"/>
      </left>
      <right/>
      <top/>
      <bottom/>
      <diagonal/>
    </border>
    <border>
      <left style="medium">
        <color rgb="FF884EA0"/>
      </left>
      <right/>
      <top/>
      <bottom/>
      <diagonal/>
    </border>
    <border>
      <left style="medium">
        <color rgb="FF1F4E78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/>
    </xf>
    <xf numFmtId="14" fontId="6" fillId="0" borderId="1" xfId="0" applyNumberFormat="1" applyFont="1" applyBorder="1" applyAlignment="1">
      <alignment vertical="top"/>
    </xf>
    <xf numFmtId="0" fontId="0" fillId="0" borderId="1" xfId="0" applyBorder="1"/>
    <xf numFmtId="14" fontId="0" fillId="0" borderId="1" xfId="0" applyNumberFormat="1" applyBorder="1"/>
    <xf numFmtId="0" fontId="11" fillId="4" borderId="0" xfId="0" applyFont="1" applyFill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1" fillId="8" borderId="0" xfId="0" applyFont="1" applyFill="1" applyAlignment="1">
      <alignment vertical="center" wrapText="1"/>
    </xf>
    <xf numFmtId="0" fontId="11" fillId="9" borderId="0" xfId="0" applyFont="1" applyFill="1" applyAlignment="1">
      <alignment vertical="center" wrapText="1"/>
    </xf>
    <xf numFmtId="0" fontId="11" fillId="10" borderId="0" xfId="0" applyFont="1" applyFill="1" applyAlignment="1">
      <alignment vertical="center" wrapText="1"/>
    </xf>
    <xf numFmtId="0" fontId="11" fillId="11" borderId="0" xfId="0" applyFont="1" applyFill="1" applyAlignment="1">
      <alignment vertical="center" wrapText="1"/>
    </xf>
    <xf numFmtId="0" fontId="11" fillId="12" borderId="0" xfId="0" applyFont="1" applyFill="1" applyAlignment="1">
      <alignment vertical="center" wrapText="1"/>
    </xf>
    <xf numFmtId="0" fontId="11" fillId="14" borderId="0" xfId="0" applyFont="1" applyFill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11" fillId="6" borderId="5" xfId="0" applyFont="1" applyFill="1" applyBorder="1" applyAlignment="1">
      <alignment vertical="center" wrapText="1"/>
    </xf>
    <xf numFmtId="0" fontId="11" fillId="7" borderId="6" xfId="0" applyFont="1" applyFill="1" applyBorder="1" applyAlignment="1">
      <alignment vertical="center" wrapText="1"/>
    </xf>
    <xf numFmtId="0" fontId="11" fillId="8" borderId="7" xfId="0" applyFont="1" applyFill="1" applyBorder="1" applyAlignment="1">
      <alignment vertical="center" wrapText="1"/>
    </xf>
    <xf numFmtId="0" fontId="11" fillId="9" borderId="8" xfId="0" applyFont="1" applyFill="1" applyBorder="1" applyAlignment="1">
      <alignment vertical="center" wrapText="1"/>
    </xf>
    <xf numFmtId="0" fontId="11" fillId="10" borderId="9" xfId="0" applyFont="1" applyFill="1" applyBorder="1" applyAlignment="1">
      <alignment vertical="center" wrapText="1"/>
    </xf>
    <xf numFmtId="0" fontId="11" fillId="11" borderId="10" xfId="0" applyFont="1" applyFill="1" applyBorder="1" applyAlignment="1">
      <alignment vertical="center" wrapText="1"/>
    </xf>
    <xf numFmtId="0" fontId="11" fillId="12" borderId="11" xfId="0" applyFont="1" applyFill="1" applyBorder="1" applyAlignment="1">
      <alignment vertical="center" wrapText="1"/>
    </xf>
    <xf numFmtId="0" fontId="11" fillId="13" borderId="12" xfId="0" applyFont="1" applyFill="1" applyBorder="1" applyAlignment="1">
      <alignment vertical="center" wrapText="1"/>
    </xf>
    <xf numFmtId="0" fontId="11" fillId="14" borderId="13" xfId="0" applyFont="1" applyFill="1" applyBorder="1" applyAlignment="1">
      <alignment vertical="center" wrapText="1"/>
    </xf>
    <xf numFmtId="0" fontId="11" fillId="4" borderId="14" xfId="0" applyFont="1" applyFill="1" applyBorder="1" applyAlignment="1">
      <alignment vertical="center" wrapText="1"/>
    </xf>
    <xf numFmtId="0" fontId="13" fillId="0" borderId="1" xfId="0" applyFont="1" applyBorder="1"/>
    <xf numFmtId="0" fontId="13" fillId="0" borderId="0" xfId="0" applyFont="1"/>
    <xf numFmtId="0" fontId="14" fillId="0" borderId="0" xfId="0" applyFont="1"/>
    <xf numFmtId="0" fontId="18" fillId="4" borderId="0" xfId="0" applyFont="1" applyFill="1"/>
    <xf numFmtId="0" fontId="19" fillId="4" borderId="0" xfId="0" applyFont="1" applyFill="1"/>
    <xf numFmtId="0" fontId="12" fillId="0" borderId="0" xfId="0" applyFont="1" applyAlignment="1">
      <alignment vertical="top" wrapText="1"/>
    </xf>
    <xf numFmtId="0" fontId="19" fillId="11" borderId="0" xfId="0" applyFont="1" applyFill="1"/>
    <xf numFmtId="0" fontId="19" fillId="13" borderId="0" xfId="0" applyFont="1" applyFill="1"/>
    <xf numFmtId="0" fontId="19" fillId="9" borderId="0" xfId="0" applyFont="1" applyFill="1"/>
    <xf numFmtId="0" fontId="0" fillId="4" borderId="0" xfId="0" applyFill="1"/>
    <xf numFmtId="0" fontId="0" fillId="11" borderId="0" xfId="0" applyFill="1"/>
    <xf numFmtId="0" fontId="0" fillId="9" borderId="0" xfId="0" applyFill="1"/>
    <xf numFmtId="0" fontId="0" fillId="16" borderId="0" xfId="0" applyFill="1"/>
    <xf numFmtId="0" fontId="19" fillId="16" borderId="0" xfId="0" applyFont="1" applyFill="1"/>
    <xf numFmtId="0" fontId="0" fillId="13" borderId="0" xfId="0" applyFill="1"/>
    <xf numFmtId="0" fontId="11" fillId="16" borderId="0" xfId="0" applyFont="1" applyFill="1" applyAlignment="1">
      <alignment vertical="center" wrapText="1"/>
    </xf>
    <xf numFmtId="0" fontId="12" fillId="0" borderId="0" xfId="0" applyFont="1" applyProtection="1">
      <protection locked="0"/>
    </xf>
    <xf numFmtId="0" fontId="12" fillId="0" borderId="4" xfId="0" applyFont="1" applyBorder="1" applyProtection="1">
      <protection locked="0"/>
    </xf>
    <xf numFmtId="14" fontId="12" fillId="0" borderId="5" xfId="0" applyNumberFormat="1" applyFont="1" applyBorder="1" applyProtection="1">
      <protection locked="0"/>
    </xf>
    <xf numFmtId="14" fontId="12" fillId="0" borderId="6" xfId="0" applyNumberFormat="1" applyFont="1" applyBorder="1" applyProtection="1">
      <protection locked="0"/>
    </xf>
    <xf numFmtId="14" fontId="12" fillId="0" borderId="0" xfId="0" applyNumberFormat="1" applyFont="1" applyProtection="1">
      <protection locked="0"/>
    </xf>
    <xf numFmtId="14" fontId="12" fillId="0" borderId="7" xfId="0" applyNumberFormat="1" applyFont="1" applyBorder="1" applyProtection="1">
      <protection locked="0"/>
    </xf>
    <xf numFmtId="14" fontId="12" fillId="0" borderId="8" xfId="0" applyNumberFormat="1" applyFont="1" applyBorder="1" applyProtection="1">
      <protection locked="0"/>
    </xf>
    <xf numFmtId="14" fontId="12" fillId="0" borderId="9" xfId="0" applyNumberFormat="1" applyFont="1" applyBorder="1" applyProtection="1">
      <protection locked="0"/>
    </xf>
    <xf numFmtId="0" fontId="12" fillId="0" borderId="10" xfId="0" applyFont="1" applyBorder="1" applyProtection="1">
      <protection locked="0"/>
    </xf>
    <xf numFmtId="0" fontId="12" fillId="0" borderId="11" xfId="0" applyFont="1" applyBorder="1" applyProtection="1">
      <protection locked="0"/>
    </xf>
    <xf numFmtId="0" fontId="12" fillId="0" borderId="12" xfId="0" applyFont="1" applyBorder="1" applyProtection="1">
      <protection locked="0"/>
    </xf>
    <xf numFmtId="0" fontId="12" fillId="0" borderId="14" xfId="0" applyFont="1" applyBorder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12" fillId="17" borderId="0" xfId="0" applyFont="1" applyFill="1"/>
    <xf numFmtId="0" fontId="12" fillId="17" borderId="13" xfId="0" applyFont="1" applyFill="1" applyBorder="1"/>
    <xf numFmtId="0" fontId="0" fillId="17" borderId="0" xfId="0" applyFill="1"/>
    <xf numFmtId="14" fontId="0" fillId="17" borderId="0" xfId="0" applyNumberFormat="1" applyFill="1"/>
    <xf numFmtId="0" fontId="15" fillId="0" borderId="0" xfId="0" applyFont="1" applyAlignment="1">
      <alignment vertical="center" wrapText="1"/>
    </xf>
    <xf numFmtId="0" fontId="0" fillId="0" borderId="0" xfId="0"/>
    <xf numFmtId="0" fontId="16" fillId="0" borderId="0" xfId="0" applyFont="1"/>
    <xf numFmtId="0" fontId="17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14" fontId="17" fillId="0" borderId="1" xfId="0" applyNumberFormat="1" applyFont="1" applyBorder="1" applyAlignment="1">
      <alignment vertical="center" wrapText="1"/>
    </xf>
    <xf numFmtId="0" fontId="10" fillId="15" borderId="0" xfId="0" applyFont="1" applyFill="1" applyProtection="1">
      <protection locked="0"/>
    </xf>
    <xf numFmtId="0" fontId="17" fillId="0" borderId="0" xfId="0" applyFont="1"/>
    <xf numFmtId="0" fontId="1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49"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color rgb="FF9C6500"/>
      </font>
      <fill>
        <patternFill patternType="solid">
          <fgColor rgb="FFFFE699"/>
          <bgColor rgb="FFFFE699"/>
        </patternFill>
      </fill>
    </dxf>
    <dxf>
      <font>
        <b/>
        <color rgb="FF375623"/>
      </font>
      <fill>
        <patternFill patternType="solid">
          <fgColor rgb="FFC6E0B4"/>
          <bgColor rgb="FFC6E0B4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color rgb="FFB8BEC4"/>
      </font>
    </dxf>
    <dxf>
      <font>
        <color rgb="FFB8BEC4"/>
      </font>
    </dxf>
    <dxf>
      <font>
        <color rgb="FF9C6500"/>
      </font>
      <fill>
        <patternFill patternType="solid">
          <fgColor rgb="FFFFE699"/>
          <bgColor rgb="FFFFE699"/>
        </patternFill>
      </fill>
    </dxf>
    <dxf>
      <font>
        <color rgb="FF1F4E78"/>
      </font>
      <fill>
        <patternFill patternType="solid">
          <fgColor rgb="FFDEEBF7"/>
          <bgColor rgb="FFDEEBF7"/>
        </patternFill>
      </fill>
    </dxf>
    <dxf>
      <font>
        <color rgb="FF375623"/>
      </font>
      <fill>
        <patternFill patternType="solid">
          <fgColor rgb="FFC6E0B4"/>
          <bgColor rgb="FFC6E0B4"/>
        </patternFill>
      </fill>
    </dxf>
    <dxf>
      <font>
        <color rgb="FF6B7280"/>
      </font>
      <fill>
        <patternFill patternType="solid">
          <fgColor rgb="FFE3E5E8"/>
          <bgColor rgb="FFE3E5E8"/>
        </patternFill>
      </fill>
    </dxf>
    <dxf>
      <font>
        <color rgb="FF9C6500"/>
      </font>
      <fill>
        <patternFill patternType="solid">
          <fgColor rgb="FFFFE699"/>
          <bgColor rgb="FFFFE699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color rgb="FF9C0006"/>
      </font>
      <fill>
        <patternFill patternType="solid">
          <fgColor rgb="FFF8CBAD"/>
          <bgColor rgb="FFF8CBAD"/>
        </patternFill>
      </fill>
    </dxf>
    <dxf>
      <font>
        <color rgb="FF9C6500"/>
      </font>
      <fill>
        <patternFill patternType="solid">
          <fgColor rgb="FFFFE699"/>
          <bgColor rgb="FFFFE699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color rgb="FF9C0006"/>
      </font>
      <fill>
        <patternFill patternType="solid">
          <fgColor rgb="FFF8CBAD"/>
          <bgColor rgb="FFF8CBAD"/>
        </patternFill>
      </fill>
    </dxf>
    <dxf>
      <font>
        <color rgb="FF375623"/>
      </font>
      <fill>
        <patternFill patternType="solid">
          <fgColor rgb="FFC6E0B4"/>
          <bgColor rgb="FFC6E0B4"/>
        </patternFill>
      </fill>
    </dxf>
    <dxf>
      <font>
        <color rgb="FF9C0006"/>
      </font>
      <fill>
        <patternFill patternType="solid">
          <fgColor rgb="FFF8CBAD"/>
          <bgColor rgb="FFF8CBAD"/>
        </patternFill>
      </fill>
    </dxf>
    <dxf>
      <font>
        <color rgb="FF375623"/>
      </font>
      <fill>
        <patternFill patternType="solid">
          <fgColor rgb="FFC6E0B4"/>
          <bgColor rgb="FFC6E0B4"/>
        </patternFill>
      </fill>
    </dxf>
    <dxf>
      <font>
        <color rgb="FF9C0006"/>
      </font>
      <fill>
        <patternFill patternType="solid">
          <fgColor rgb="FFF8CBAD"/>
          <bgColor rgb="FFF8CBAD"/>
        </patternFill>
      </fill>
    </dxf>
    <dxf>
      <font>
        <color rgb="FF9C0006"/>
      </font>
      <fill>
        <patternFill patternType="solid">
          <fgColor rgb="FFF8CBAD"/>
          <bgColor rgb="FFF8CBAD"/>
        </patternFill>
      </fill>
    </dxf>
    <dxf>
      <font>
        <color rgb="FF9C0006"/>
      </font>
      <fill>
        <patternFill patternType="solid">
          <fgColor rgb="FFF8CBAD"/>
          <bgColor rgb="FFF8CBAD"/>
        </patternFill>
      </fill>
    </dxf>
    <dxf>
      <font>
        <color rgb="FF9C0006"/>
      </font>
      <fill>
        <patternFill patternType="solid">
          <fgColor rgb="FFF8CBAD"/>
          <bgColor rgb="FFF8CBAD"/>
        </patternFill>
      </fill>
    </dxf>
    <dxf>
      <font>
        <color rgb="FF9C0006"/>
      </font>
      <fill>
        <patternFill patternType="solid">
          <fgColor rgb="FFF8CBAD"/>
          <bgColor rgb="FFF8CBAD"/>
        </patternFill>
      </fill>
    </dxf>
    <dxf>
      <font>
        <color rgb="FF9C0006"/>
      </font>
      <fill>
        <patternFill patternType="solid">
          <fgColor rgb="FFF8CBAD"/>
          <bgColor rgb="FFF8CBAD"/>
        </patternFill>
      </fill>
    </dxf>
    <dxf>
      <font>
        <color rgb="FF9C0006"/>
      </font>
      <fill>
        <patternFill patternType="solid">
          <fgColor rgb="FFF8CBAD"/>
          <bgColor rgb="FFF8CBAD"/>
        </patternFill>
      </fill>
    </dxf>
    <dxf>
      <font>
        <color rgb="FF375623"/>
      </font>
      <fill>
        <patternFill patternType="solid">
          <fgColor rgb="FFC6E0B4"/>
          <bgColor rgb="FFC6E0B4"/>
        </patternFill>
      </fill>
    </dxf>
    <dxf>
      <font>
        <color rgb="FF9C6500"/>
      </font>
      <fill>
        <patternFill patternType="solid">
          <fgColor rgb="FFFFE699"/>
          <bgColor rgb="FFFFE699"/>
        </patternFill>
      </fill>
    </dxf>
    <dxf>
      <font>
        <color rgb="FF9C6500"/>
      </font>
      <fill>
        <patternFill patternType="solid">
          <fgColor rgb="FFFFE699"/>
          <bgColor rgb="FFFFE699"/>
        </patternFill>
      </fill>
    </dxf>
    <dxf>
      <font>
        <color rgb="FF9C0006"/>
      </font>
      <fill>
        <patternFill patternType="solid">
          <fgColor rgb="FFF8CBAD"/>
          <bgColor rgb="FFF8CBAD"/>
        </patternFill>
      </fill>
    </dxf>
    <dxf>
      <font>
        <color rgb="FF9C0006"/>
      </font>
      <fill>
        <patternFill patternType="solid">
          <fgColor rgb="FFF8CBAD"/>
          <bgColor rgb="FFF8CBAD"/>
        </patternFill>
      </fill>
    </dxf>
    <dxf>
      <fill>
        <patternFill patternType="solid">
          <fgColor rgb="FFF2F5F8"/>
          <bgColor rgb="FFF2F5F8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numFmt numFmtId="19" formatCode="m/d/yyyy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numFmt numFmtId="19" formatCode="m/d/yyyy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numFmt numFmtId="19" formatCode="m/d/yyyy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numFmt numFmtId="19" formatCode="m/d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6666"/>
      <rgbColor rgb="FFD9D9D9"/>
      <rgbColor rgb="FF555555"/>
      <rgbColor rgb="FF9999FF"/>
      <rgbColor rgb="FF993366"/>
      <rgbColor rgb="FFFFF8E1"/>
      <rgbColor rgb="FFD6EEEE"/>
      <rgbColor rgb="FF5B2C6F"/>
      <rgbColor rgb="FFFF8080"/>
      <rgbColor rgb="FF2E5C8A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0"/>
      <rgbColor rgb="FFC6E0B4"/>
      <rgbColor rgb="FFFFE699"/>
      <rgbColor rgb="FFE2E2E2"/>
      <rgbColor rgb="FFFF99CC"/>
      <rgbColor rgb="FFE8DCE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75623"/>
      <rgbColor rgb="FF993300"/>
      <rgbColor rgb="FF993366"/>
      <rgbColor rgb="FF1F4E78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binedDeliveryData" displayName="CombinedDeliveryData" ref="A1:AE73">
  <autoFilter ref="A1:AE73" xr:uid="{00000000-0009-0000-0100-000001000000}"/>
  <tableColumns count="31">
    <tableColumn id="1" xr3:uid="{00000000-0010-0000-0000-000001000000}" name="Domain"/>
    <tableColumn id="2" xr3:uid="{00000000-0010-0000-0000-000002000000}" name="Report Name"/>
    <tableColumn id="3" xr3:uid="{00000000-0010-0000-0000-000003000000}" name="Current Status"/>
    <tableColumn id="4" xr3:uid="{00000000-0010-0000-0000-000004000000}" name="Status Flag (auto)"/>
    <tableColumn id="5" xr3:uid="{00000000-0010-0000-0000-000005000000}" name="Business Value Rank"/>
    <tableColumn id="6" xr3:uid="{00000000-0010-0000-0000-000006000000}" name="PO"/>
    <tableColumn id="7" xr3:uid="{00000000-0010-0000-0000-000007000000}" name="DB Developer"/>
    <tableColumn id="8" xr3:uid="{00000000-0010-0000-0000-000008000000}" name="PBI Developer"/>
    <tableColumn id="9" xr3:uid="{00000000-0010-0000-0000-000009000000}" name="QA Tester"/>
    <tableColumn id="10" xr3:uid="{00000000-0010-0000-0000-00000A000000}" name="Schema"/>
    <tableColumn id="11" xr3:uid="{00000000-0010-0000-0000-00000B000000}" name="Plan Delivery Date"/>
    <tableColumn id="12" xr3:uid="{00000000-0010-0000-0000-00000C000000}" name="Plan Delivery Month"/>
    <tableColumn id="13" xr3:uid="{00000000-0010-0000-0000-00000D000000}" name="DB Dev Baseline Completion Date"/>
    <tableColumn id="30" xr3:uid="{00000000-0010-0000-0000-00001E000000}" name="DB Dev Reforecast Completion Date" dataDxfId="48"/>
    <tableColumn id="14" xr3:uid="{00000000-0010-0000-0000-00000E000000}" name="DB Dev Actual Completion Date"/>
    <tableColumn id="15" xr3:uid="{00000000-0010-0000-0000-00000F000000}" name="PBI Dev Baseline Completion Date"/>
    <tableColumn id="31" xr3:uid="{00000000-0010-0000-0000-00001F000000}" name="PBI Dev Reforecast Completion Date" dataDxfId="47"/>
    <tableColumn id="16" xr3:uid="{00000000-0010-0000-0000-000010000000}" name="PBI Dev Actual Completion Date"/>
    <tableColumn id="17" xr3:uid="{00000000-0010-0000-0000-000011000000}" name="QA Baseline Completion Date"/>
    <tableColumn id="32" xr3:uid="{00000000-0010-0000-0000-000020000000}" name="QA Reforecast Completion Date" dataDxfId="46"/>
    <tableColumn id="18" xr3:uid="{00000000-0010-0000-0000-000012000000}" name="QA Actual Completion Date"/>
    <tableColumn id="19" xr3:uid="{00000000-0010-0000-0000-000013000000}" name="DPO Approval Baseline Completion Date"/>
    <tableColumn id="33" xr3:uid="{00000000-0010-0000-0000-000021000000}" name="DPO Approval Reforecast Completion Date" dataDxfId="45"/>
    <tableColumn id="20" xr3:uid="{00000000-0010-0000-0000-000014000000}" name="DPO Approval Reviewer"/>
    <tableColumn id="21" xr3:uid="{00000000-0010-0000-0000-000015000000}" name="Confirmed Deployed?"/>
    <tableColumn id="22" xr3:uid="{00000000-0010-0000-0000-000016000000}" name="Confirmed Deployed Date"/>
    <tableColumn id="23" xr3:uid="{00000000-0010-0000-0000-000017000000}" name="UAT Report URL"/>
    <tableColumn id="24" xr3:uid="{00000000-0010-0000-0000-000018000000}" name="Production URL"/>
    <tableColumn id="25" xr3:uid="{00000000-0010-0000-0000-000019000000}" name="Blocked?"/>
    <tableColumn id="26" xr3:uid="{00000000-0010-0000-0000-00001A000000}" name="Data Check (auto)"/>
    <tableColumn id="27" xr3:uid="{00000000-0010-0000-0000-00001B000000}" name="Comment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B28"/>
  <sheetViews>
    <sheetView showGridLines="0" topLeftCell="A13" workbookViewId="0"/>
  </sheetViews>
  <sheetFormatPr defaultRowHeight="15" x14ac:dyDescent="0.25"/>
  <cols>
    <col min="1" max="1" width="3" customWidth="1"/>
    <col min="2" max="2" width="116" customWidth="1"/>
  </cols>
  <sheetData>
    <row r="1" spans="1:2" ht="27.95" customHeight="1" x14ac:dyDescent="0.35">
      <c r="A1" s="43"/>
      <c r="B1" s="37" t="s">
        <v>27</v>
      </c>
    </row>
    <row r="2" spans="1:2" ht="8.1" customHeight="1" x14ac:dyDescent="0.25"/>
    <row r="3" spans="1:2" ht="20.100000000000001" customHeight="1" x14ac:dyDescent="0.25">
      <c r="A3" s="43"/>
      <c r="B3" s="38" t="s">
        <v>28</v>
      </c>
    </row>
    <row r="4" spans="1:2" ht="48" customHeight="1" x14ac:dyDescent="0.25">
      <c r="A4" s="43"/>
      <c r="B4" s="39" t="s">
        <v>29</v>
      </c>
    </row>
    <row r="5" spans="1:2" ht="8.1" customHeight="1" x14ac:dyDescent="0.25"/>
    <row r="6" spans="1:2" ht="20.100000000000001" customHeight="1" x14ac:dyDescent="0.25">
      <c r="A6" s="43"/>
      <c r="B6" s="38" t="s">
        <v>30</v>
      </c>
    </row>
    <row r="7" spans="1:2" ht="50.1" customHeight="1" x14ac:dyDescent="0.25">
      <c r="A7" s="43"/>
      <c r="B7" s="39" t="s">
        <v>31</v>
      </c>
    </row>
    <row r="8" spans="1:2" ht="8.1" customHeight="1" x14ac:dyDescent="0.25"/>
    <row r="9" spans="1:2" ht="20.100000000000001" customHeight="1" x14ac:dyDescent="0.25">
      <c r="A9" s="44"/>
      <c r="B9" s="40" t="s">
        <v>32</v>
      </c>
    </row>
    <row r="10" spans="1:2" ht="20.100000000000001" customHeight="1" x14ac:dyDescent="0.25">
      <c r="A10" s="44"/>
      <c r="B10" s="39" t="s">
        <v>33</v>
      </c>
    </row>
    <row r="11" spans="1:2" ht="8.1" customHeight="1" x14ac:dyDescent="0.25"/>
    <row r="12" spans="1:2" ht="20.100000000000001" customHeight="1" x14ac:dyDescent="0.25">
      <c r="A12" s="45"/>
      <c r="B12" s="42" t="s">
        <v>34</v>
      </c>
    </row>
    <row r="13" spans="1:2" ht="63.95" customHeight="1" x14ac:dyDescent="0.25">
      <c r="A13" s="45"/>
      <c r="B13" s="39" t="s">
        <v>35</v>
      </c>
    </row>
    <row r="14" spans="1:2" ht="8.1" customHeight="1" x14ac:dyDescent="0.25"/>
    <row r="15" spans="1:2" ht="20.100000000000001" customHeight="1" x14ac:dyDescent="0.25">
      <c r="A15" s="46"/>
      <c r="B15" s="47" t="s">
        <v>36</v>
      </c>
    </row>
    <row r="16" spans="1:2" ht="80.099999999999994" customHeight="1" x14ac:dyDescent="0.25">
      <c r="A16" s="46"/>
      <c r="B16" s="39" t="s">
        <v>37</v>
      </c>
    </row>
    <row r="17" spans="1:2" ht="8.1" customHeight="1" x14ac:dyDescent="0.25"/>
    <row r="18" spans="1:2" ht="20.100000000000001" customHeight="1" x14ac:dyDescent="0.25">
      <c r="A18" s="46"/>
      <c r="B18" s="47" t="s">
        <v>38</v>
      </c>
    </row>
    <row r="19" spans="1:2" ht="39.950000000000003" customHeight="1" x14ac:dyDescent="0.25">
      <c r="A19" s="46"/>
      <c r="B19" s="39" t="s">
        <v>39</v>
      </c>
    </row>
    <row r="20" spans="1:2" ht="8.1" customHeight="1" x14ac:dyDescent="0.25"/>
    <row r="21" spans="1:2" ht="20.100000000000001" customHeight="1" x14ac:dyDescent="0.25">
      <c r="A21" s="43"/>
      <c r="B21" s="38" t="s">
        <v>40</v>
      </c>
    </row>
    <row r="22" spans="1:2" ht="62.1" customHeight="1" x14ac:dyDescent="0.25">
      <c r="A22" s="43"/>
      <c r="B22" s="39" t="s">
        <v>41</v>
      </c>
    </row>
    <row r="23" spans="1:2" ht="8.1" customHeight="1" x14ac:dyDescent="0.25"/>
    <row r="24" spans="1:2" ht="20.100000000000001" customHeight="1" x14ac:dyDescent="0.25">
      <c r="A24" s="48"/>
      <c r="B24" s="41" t="s">
        <v>42</v>
      </c>
    </row>
    <row r="25" spans="1:2" ht="126" customHeight="1" x14ac:dyDescent="0.25">
      <c r="A25" s="48"/>
      <c r="B25" s="39" t="s">
        <v>43</v>
      </c>
    </row>
    <row r="26" spans="1:2" ht="8.1" customHeight="1" x14ac:dyDescent="0.25"/>
    <row r="27" spans="1:2" ht="20.100000000000001" customHeight="1" x14ac:dyDescent="0.25">
      <c r="A27" s="43"/>
      <c r="B27" s="38" t="s">
        <v>44</v>
      </c>
    </row>
    <row r="28" spans="1:2" ht="48" customHeight="1" x14ac:dyDescent="0.25">
      <c r="A28" s="43"/>
      <c r="B28" s="39" t="s">
        <v>45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96F3D"/>
  </sheetPr>
  <dimension ref="A1:AE500"/>
  <sheetViews>
    <sheetView tabSelected="1" workbookViewId="0">
      <pane xSplit="2" ySplit="1" topLeftCell="C67" activePane="bottomRight" state="frozen"/>
      <selection pane="topRight"/>
      <selection pane="bottomLeft"/>
      <selection pane="bottomRight" activeCell="G62" sqref="G62"/>
    </sheetView>
  </sheetViews>
  <sheetFormatPr defaultRowHeight="15" x14ac:dyDescent="0.25"/>
  <cols>
    <col min="1" max="1" width="12" customWidth="1"/>
    <col min="2" max="2" width="38" customWidth="1"/>
    <col min="3" max="3" width="15" customWidth="1"/>
    <col min="4" max="4" width="34" customWidth="1"/>
    <col min="5" max="5" width="10" customWidth="1"/>
    <col min="6" max="6" width="11" customWidth="1"/>
    <col min="7" max="8" width="13" customWidth="1"/>
    <col min="9" max="10" width="11" customWidth="1"/>
    <col min="11" max="11" width="15" hidden="1" customWidth="1"/>
    <col min="12" max="12" width="13" customWidth="1"/>
    <col min="13" max="13" width="17" customWidth="1"/>
    <col min="14" max="14" width="15" customWidth="1"/>
    <col min="15" max="15" width="17" customWidth="1"/>
    <col min="16" max="16" width="15" customWidth="1"/>
    <col min="17" max="17" width="17" customWidth="1"/>
    <col min="18" max="18" width="15" customWidth="1"/>
    <col min="19" max="19" width="19" customWidth="1"/>
    <col min="20" max="20" width="16" customWidth="1"/>
    <col min="21" max="21" width="13" customWidth="1"/>
    <col min="22" max="22" width="15" customWidth="1"/>
    <col min="23" max="24" width="13" customWidth="1"/>
    <col min="25" max="25" width="28" customWidth="1"/>
    <col min="26" max="26" width="30" customWidth="1"/>
    <col min="27" max="27" width="42" customWidth="1"/>
  </cols>
  <sheetData>
    <row r="1" spans="1:31" ht="32.1" customHeight="1" x14ac:dyDescent="0.25">
      <c r="A1" s="13" t="s">
        <v>46</v>
      </c>
      <c r="B1" s="13" t="s">
        <v>2</v>
      </c>
      <c r="C1" s="13" t="s">
        <v>47</v>
      </c>
      <c r="D1" s="22" t="s">
        <v>48</v>
      </c>
      <c r="E1" s="13" t="s">
        <v>49</v>
      </c>
      <c r="F1" s="23" t="s">
        <v>50</v>
      </c>
      <c r="G1" s="14" t="s">
        <v>51</v>
      </c>
      <c r="H1" s="14" t="s">
        <v>52</v>
      </c>
      <c r="I1" s="14" t="s">
        <v>53</v>
      </c>
      <c r="J1" s="14" t="s">
        <v>54</v>
      </c>
      <c r="K1" s="24" t="s">
        <v>55</v>
      </c>
      <c r="L1" s="15" t="s">
        <v>56</v>
      </c>
      <c r="M1" s="25" t="s">
        <v>57</v>
      </c>
      <c r="N1" s="16" t="s">
        <v>58</v>
      </c>
      <c r="O1" s="16" t="s">
        <v>59</v>
      </c>
      <c r="P1" s="26" t="s">
        <v>60</v>
      </c>
      <c r="Q1" s="17" t="s">
        <v>61</v>
      </c>
      <c r="R1" s="17" t="s">
        <v>62</v>
      </c>
      <c r="S1" s="27" t="s">
        <v>63</v>
      </c>
      <c r="T1" s="18" t="s">
        <v>64</v>
      </c>
      <c r="U1" s="18" t="s">
        <v>65</v>
      </c>
      <c r="V1" s="28" t="s">
        <v>66</v>
      </c>
      <c r="W1" s="19" t="s">
        <v>67</v>
      </c>
      <c r="X1" s="19" t="s">
        <v>68</v>
      </c>
      <c r="Y1" s="29" t="s">
        <v>69</v>
      </c>
      <c r="Z1" s="20" t="s">
        <v>70</v>
      </c>
      <c r="AA1" s="30" t="s">
        <v>71</v>
      </c>
      <c r="AB1" s="21" t="s">
        <v>72</v>
      </c>
      <c r="AC1" s="31" t="s">
        <v>73</v>
      </c>
      <c r="AD1" s="32" t="s">
        <v>74</v>
      </c>
      <c r="AE1" s="33" t="s">
        <v>75</v>
      </c>
    </row>
    <row r="2" spans="1:31" x14ac:dyDescent="0.25">
      <c r="A2" s="50" t="s">
        <v>76</v>
      </c>
      <c r="B2" s="50" t="s">
        <v>77</v>
      </c>
      <c r="C2" s="50" t="s">
        <v>78</v>
      </c>
      <c r="D2" s="64" t="str">
        <f ca="1">IF($B2="","",IF(LEFT($AC2,3)="Yes",IF(LEN($AC2)&gt;5,"Blocked - "&amp;MID($AC2,7,100),"Blocked")&amp;IF(SUMPRODUCT((TRIM('Rework Log'!$A$3:$A$500)=TRIM($B2))*('Rework Log'!$G$3:$G$500&lt;&gt;"Yes")*('Rework Log'!$G$3:$G$500&lt;&gt;"Did not pass re-test"))=0,"",IF(SUMPRODUCT(((TRIM('Rework Log'!$A$3:$A$500)=TRIM($B2))*('Rework Log'!$G$3:$G$500&lt;&gt;"Yes")*('Rework Log'!$G$3:$G$500&lt;&gt;"Did not pass re-test"))*ISNUMBER('Rework Log'!$J$3:$J$500))&gt;0," - fixed, awaiting re-test",IF(SUMPRODUCT(MAX(((TRIM('Rework Log'!$A$3:$A$500)=TRIM($B2))*('Rework Log'!$G$3:$G$500&lt;&gt;"Yes")*('Rework Log'!$G$3:$G$500&lt;&gt;"Did not pass re-test"))*IFERROR('Rework Log'!$I$3:$I$500*1,0)))=0," - unclaimed"," - promised "&amp;TEXT(SUMPRODUCT(MAX(((TRIM('Rework Log'!$A$3:$A$500)=TRIM($B2))*('Rework Log'!$G$3:$G$500&lt;&gt;"Yes")*('Rework Log'!$G$3:$G$500&lt;&gt;"Did not pass re-test"))*IFERROR('Rework Log'!$I$3:$I$500*1,0))),"m/d")))),IF(TRIM(C2)="NOT STARTED",IF(K2="","No plan date set",IF(K2&lt;TODAY(),"Review - planned start passed","On track")),IF(TRIM(C2)="DB Dev",IF(M2="","No target set",IF(AND(M2&lt;TODAY(),O2=""),"Overdue","On track")),IF(TRIM(C2)="PBI Dev",IF(P2="","No target set",IF(AND(P2&lt;TODAY(),R2=""),"Overdue","On track")),IF(TRIM(C2)="QA",IF(S2="","No target set",IF(AND(S2&lt;TODAY(),U2=""),"Overdue","On track")),IF(TRIM(C2)="DPO Approval",IF(V2="","No target set",IF(V2&lt;TODAY(),"Overdue","On track")),IF(TRIM(C2)="RELEASED IN PROD","Delivered",""))))))))</f>
        <v>Delivered</v>
      </c>
      <c r="E2" s="50">
        <v>1</v>
      </c>
      <c r="F2" s="51"/>
      <c r="G2" s="50" t="s">
        <v>79</v>
      </c>
      <c r="H2" s="50" t="s">
        <v>80</v>
      </c>
      <c r="I2" s="50" t="s">
        <v>81</v>
      </c>
      <c r="J2" s="50"/>
      <c r="K2" s="52">
        <v>46142</v>
      </c>
      <c r="L2" s="50" t="s">
        <v>82</v>
      </c>
      <c r="M2" s="53">
        <v>46115</v>
      </c>
      <c r="N2" s="54"/>
      <c r="O2" s="54">
        <v>46115</v>
      </c>
      <c r="P2" s="55">
        <v>46114</v>
      </c>
      <c r="Q2" s="54"/>
      <c r="R2" s="54">
        <v>46114</v>
      </c>
      <c r="S2" s="56">
        <v>46122</v>
      </c>
      <c r="T2" s="54"/>
      <c r="U2" s="54">
        <v>46122</v>
      </c>
      <c r="V2" s="57"/>
      <c r="W2" s="54"/>
      <c r="X2" s="50" t="s">
        <v>83</v>
      </c>
      <c r="Y2" s="58" t="s">
        <v>84</v>
      </c>
      <c r="Z2" s="54">
        <v>46122</v>
      </c>
      <c r="AA2" s="59" t="s">
        <v>85</v>
      </c>
      <c r="AB2" s="50" t="s">
        <v>86</v>
      </c>
      <c r="AC2" s="60" t="s">
        <v>26</v>
      </c>
      <c r="AD2" s="65" t="e">
        <f>IF($B2="","",IF(AND(LEFT($AC2,3)="Yes",SUMPRODUCT((TRIM('Rework Log'!$A$3:$A$500)=TRIM($B2))*('Rework Log'!$G$3:$G$500&lt;&gt;"Yes")*('Rework Log'!$G$3:$G$500&lt;&gt;"Did not pass re-test"))=0),"Blocked - log it on Rework Log",IF(AND(LEFT($AC2,3)&lt;&gt;"Yes",SUMPRODUCT((TRIM('Rework Log'!$A$3:$A$500)=TRIM($B2))*('Rework Log'!$G$3:$G$500&lt;&gt;"Yes")*('Rework Log'!$G$3:$G$500&lt;&gt;"Did not pass re-test"))&gt;0),"Open rework row - mark Blocked? or close it",IF(AND(LEFT($AC2,3)&lt;&gt;"Yes",SUMPRODUCT((TRIM('Rework Log'!$A$3:$A$500)=TRIM($B2))*('Rework Log'!$G$3:$G$500&lt;&gt;"Yes")*('Rework Log'!$G$3:$G$500&lt;&gt;"Did not pass re-test"))=0,COUNTIF('Rework Log'!$A$3:$A$500,$B2)&gt;0,IFERROR(INDEX('Rework Log'!$G:$G,SUMPRODUCT(MAX((TRIM('Rework Log'!$A$3:$A$500)=TRIM($B2))*ROW('Rework Log'!$A$3:$A$500)))),"")="Did not pass re-test"),"Last fix rejected - re-block or log next attempt",IF(AND(LEFT($AC2,3)="Yes",ISNUMBER(SEARCH("needs DB Dev",$AC2)),O2&lt;&gt;"",SUMPRODUCT(MAX(((TRIM('Rework Log'!$A$3:$A$500)=TRIM($B2))*('Rework Log'!$G$3:$G$500&lt;&gt;"Yes")*('Rework Log'!$G$3:$G$500&lt;&gt;"Did not pass re-test"))*IFERROR('Rework Log'!$I$3:$I$500*1,0)))&gt;0),"Move old DB Dev completion date to Rework Log (col H)",IF(AND(LEFT($AC2,3)="Yes",ISNUMBER(SEARCH("needs PBI Dev",$AC2)),R2&lt;&gt;"",SUMPRODUCT(MAX(((TRIM('Rework Log'!$A$3:$A$500)=TRIM($B2))*('Rework Log'!$G$3:$G$500&lt;&gt;"Yes")*('Rework Log'!$G$3:$G$500&lt;&gt;"Did not pass re-test"))*IFERROR('Rework Log'!$I$3:$I$500*1,0)))&gt;0),"Move old PBI Dev completion date to Rework Log (col H)",IF(AND(LEFT($AC2,3)="Yes",ISNUMBER(SEARCH("needs QA",$AC2)),U2&lt;&gt;"",SUMPRODUCT(MAX(((TRIM('Rework Log'!$A$3:$A$500)=TRIM($B2))*('Rework Log'!$G$3:$G$500&lt;&gt;"Yes")*('Rework Log'!$G$3:$G$500&lt;&gt;"Did not pass re-test"))*IFERROR('Rework Log'!$I$3:$I$500*1,0)))&gt;0),"Move old QA completion date to Rework Log (col H)",IF(AND(LEFT($AC2,3)="Yes",ISNUMBER(SEARCH("needs DB Dev",$AC2)),TRIM(C2)&lt;&gt;"DB Dev"),"Set Current Status back to DB Dev",IF(AND(LEFT($AC2,3)="Yes",ISNUMBER(SEARCH("needs PBI Dev",$AC2)),TRIM(C2)&lt;&gt;"PBI Dev"),"Set Current Status back to PBI Dev",IF(AND(LEFT($AC2,3)="Yes",ISNUMBER(SEARCH("needs QA",$AC2)),TRIM(C2)&lt;&gt;"QA"),"Set Current Status back to QA",IF(COUNTIF($B$2:$B$500,$B2)&gt;1,"Duplicate name - check row",IF(AND(TRIM(C2)="RELEASED IN PROD",Y2&lt;&gt;"Yes"),"Released but Confirmed Deployed? is not Yes",IF(COUNTIF('Rework Log'!$A$3:$A$500,$B2)&gt;0,"",IF(AND(S2&lt;&gt;"",M2&lt;&gt;"",S2&lt;M2),"QA target is before DB Dev target",IF(AND(S2&lt;&gt;"",P2&lt;&gt;"",S2&lt;P2),"QA target is before PBI Dev target",IF(AND(V2&lt;&gt;"",S2&lt;&gt;"",V2&lt;S2),"DPO Approval target is before QA target",IF(AND(Z2&lt;&gt;"",V2&lt;&gt;"",Z2&lt;V2),"Confirmed Deployed date is before DPO Approval target","")))))))))))))))))</f>
        <v>#VALUE!</v>
      </c>
      <c r="AE2" s="61" t="s">
        <v>87</v>
      </c>
    </row>
    <row r="3" spans="1:31" x14ac:dyDescent="0.25">
      <c r="A3" s="50" t="s">
        <v>76</v>
      </c>
      <c r="B3" s="50" t="s">
        <v>88</v>
      </c>
      <c r="C3" s="50" t="s">
        <v>78</v>
      </c>
      <c r="D3" s="64" t="str">
        <f ca="1">IF($B3="","",IF(LEFT($AC3,3)="Yes",IF(LEN($AC3)&gt;5,"Blocked - "&amp;MID($AC3,7,100),"Blocked")&amp;IF(SUMPRODUCT((TRIM('Rework Log'!$A$3:$A$500)=TRIM($B3))*('Rework Log'!$G$3:$G$500&lt;&gt;"Yes")*('Rework Log'!$G$3:$G$500&lt;&gt;"Did not pass re-test"))=0,"",IF(SUMPRODUCT(((TRIM('Rework Log'!$A$3:$A$500)=TRIM($B3))*('Rework Log'!$G$3:$G$500&lt;&gt;"Yes")*('Rework Log'!$G$3:$G$500&lt;&gt;"Did not pass re-test"))*ISNUMBER('Rework Log'!$J$3:$J$500))&gt;0," - fixed, awaiting re-test",IF(SUMPRODUCT(MAX(((TRIM('Rework Log'!$A$3:$A$500)=TRIM($B3))*('Rework Log'!$G$3:$G$500&lt;&gt;"Yes")*('Rework Log'!$G$3:$G$500&lt;&gt;"Did not pass re-test"))*IFERROR('Rework Log'!$I$3:$I$500*1,0)))=0," - unclaimed"," - promised "&amp;TEXT(SUMPRODUCT(MAX(((TRIM('Rework Log'!$A$3:$A$500)=TRIM($B3))*('Rework Log'!$G$3:$G$500&lt;&gt;"Yes")*('Rework Log'!$G$3:$G$500&lt;&gt;"Did not pass re-test"))*IFERROR('Rework Log'!$I$3:$I$500*1,0))),"m/d")))),IF(TRIM(C3)="NOT STARTED",IF(K3="","No plan date set",IF(K3&lt;TODAY(),"Review - planned start passed","On track")),IF(TRIM(C3)="DB Dev",IF(M3="","No target set",IF(AND(M3&lt;TODAY(),O3=""),"Overdue","On track")),IF(TRIM(C3)="PBI Dev",IF(P3="","No target set",IF(AND(P3&lt;TODAY(),R3=""),"Overdue","On track")),IF(TRIM(C3)="QA",IF(S3="","No target set",IF(AND(S3&lt;TODAY(),U3=""),"Overdue","On track")),IF(TRIM(C3)="DPO Approval",IF(V3="","No target set",IF(V3&lt;TODAY(),"Overdue","On track")),IF(TRIM(C3)="RELEASED IN PROD","Delivered",""))))))))</f>
        <v>Delivered</v>
      </c>
      <c r="E3" s="50">
        <v>2</v>
      </c>
      <c r="F3" s="51"/>
      <c r="G3" s="50" t="s">
        <v>79</v>
      </c>
      <c r="H3" s="50" t="s">
        <v>80</v>
      </c>
      <c r="I3" s="50" t="s">
        <v>81</v>
      </c>
      <c r="J3" s="50"/>
      <c r="K3" s="52">
        <v>46142</v>
      </c>
      <c r="L3" s="50" t="s">
        <v>82</v>
      </c>
      <c r="M3" s="53">
        <v>46115</v>
      </c>
      <c r="N3" s="54"/>
      <c r="O3" s="54">
        <v>46115</v>
      </c>
      <c r="P3" s="55">
        <v>46114</v>
      </c>
      <c r="Q3" s="54"/>
      <c r="R3" s="54">
        <v>46114</v>
      </c>
      <c r="S3" s="56">
        <v>46122</v>
      </c>
      <c r="T3" s="54"/>
      <c r="U3" s="54">
        <v>46122</v>
      </c>
      <c r="V3" s="57"/>
      <c r="W3" s="54"/>
      <c r="X3" s="50" t="s">
        <v>83</v>
      </c>
      <c r="Y3" s="58" t="s">
        <v>84</v>
      </c>
      <c r="Z3" s="54">
        <v>46122</v>
      </c>
      <c r="AA3" s="59" t="s">
        <v>89</v>
      </c>
      <c r="AB3" s="50" t="s">
        <v>90</v>
      </c>
      <c r="AC3" s="60" t="s">
        <v>26</v>
      </c>
      <c r="AD3" s="65" t="str">
        <f>IF($B3="","",IF(AND(LEFT($AC3,3)="Yes",SUMPRODUCT((TRIM('Rework Log'!$A$3:$A$500)=TRIM($B3))*('Rework Log'!$G$3:$G$500&lt;&gt;"Yes")*('Rework Log'!$G$3:$G$500&lt;&gt;"Did not pass re-test"))=0),"Blocked - log it on Rework Log",IF(AND(LEFT($AC3,3)&lt;&gt;"Yes",SUMPRODUCT((TRIM('Rework Log'!$A$3:$A$500)=TRIM($B3))*('Rework Log'!$G$3:$G$500&lt;&gt;"Yes")*('Rework Log'!$G$3:$G$500&lt;&gt;"Did not pass re-test"))&gt;0),"Open rework row - mark Blocked? or close it",IF(AND(LEFT($AC3,3)&lt;&gt;"Yes",SUMPRODUCT((TRIM('Rework Log'!$A$3:$A$500)=TRIM($B3))*('Rework Log'!$G$3:$G$500&lt;&gt;"Yes")*('Rework Log'!$G$3:$G$500&lt;&gt;"Did not pass re-test"))=0,COUNTIF('Rework Log'!$A$3:$A$500,$B3)&gt;0,IFERROR(INDEX('Rework Log'!$G:$G,SUMPRODUCT(MAX((TRIM('Rework Log'!$A$3:$A$500)=TRIM($B3))*ROW('Rework Log'!$A$3:$A$500)))),"")="Did not pass re-test"),"Last fix rejected - re-block or log next attempt",IF(AND(LEFT($AC3,3)="Yes",ISNUMBER(SEARCH("needs DB Dev",$AC3)),O3&lt;&gt;"",SUMPRODUCT(MAX(((TRIM('Rework Log'!$A$3:$A$500)=TRIM($B3))*('Rework Log'!$G$3:$G$500&lt;&gt;"Yes")*('Rework Log'!$G$3:$G$500&lt;&gt;"Did not pass re-test"))*IFERROR('Rework Log'!$I$3:$I$500*1,0)))&gt;0),"Move old DB Dev completion date to Rework Log (col H)",IF(AND(LEFT($AC3,3)="Yes",ISNUMBER(SEARCH("needs PBI Dev",$AC3)),R3&lt;&gt;"",SUMPRODUCT(MAX(((TRIM('Rework Log'!$A$3:$A$500)=TRIM($B3))*('Rework Log'!$G$3:$G$500&lt;&gt;"Yes")*('Rework Log'!$G$3:$G$500&lt;&gt;"Did not pass re-test"))*IFERROR('Rework Log'!$I$3:$I$500*1,0)))&gt;0),"Move old PBI Dev completion date to Rework Log (col H)",IF(AND(LEFT($AC3,3)="Yes",ISNUMBER(SEARCH("needs QA",$AC3)),U3&lt;&gt;"",SUMPRODUCT(MAX(((TRIM('Rework Log'!$A$3:$A$500)=TRIM($B3))*('Rework Log'!$G$3:$G$500&lt;&gt;"Yes")*('Rework Log'!$G$3:$G$500&lt;&gt;"Did not pass re-test"))*IFERROR('Rework Log'!$I$3:$I$500*1,0)))&gt;0),"Move old QA completion date to Rework Log (col H)",IF(AND(LEFT($AC3,3)="Yes",ISNUMBER(SEARCH("needs DB Dev",$AC3)),TRIM(C3)&lt;&gt;"DB Dev"),"Set Current Status back to DB Dev",IF(AND(LEFT($AC3,3)="Yes",ISNUMBER(SEARCH("needs PBI Dev",$AC3)),TRIM(C3)&lt;&gt;"PBI Dev"),"Set Current Status back to PBI Dev",IF(AND(LEFT($AC3,3)="Yes",ISNUMBER(SEARCH("needs QA",$AC3)),TRIM(C3)&lt;&gt;"QA"),"Set Current Status back to QA",IF(COUNTIF($B$2:$B$500,$B3)&gt;1,"Duplicate name - check row",IF(AND(TRIM(C3)="RELEASED IN PROD",Y3&lt;&gt;"Yes"),"Released but Confirmed Deployed? is not Yes",IF(COUNTIF('Rework Log'!$A$3:$A$500,$B3)&gt;0,"",IF(AND(S3&lt;&gt;"",M3&lt;&gt;"",S3&lt;M3),"QA target is before DB Dev target",IF(AND(S3&lt;&gt;"",P3&lt;&gt;"",S3&lt;P3),"QA target is before PBI Dev target",IF(AND(V3&lt;&gt;"",S3&lt;&gt;"",V3&lt;S3),"DPO Approval target is before QA target",IF(AND(Z3&lt;&gt;"",V3&lt;&gt;"",Z3&lt;V3),"Confirmed Deployed date is before DPO Approval target","")))))))))))))))))</f>
        <v/>
      </c>
      <c r="AE3" s="61" t="s">
        <v>87</v>
      </c>
    </row>
    <row r="4" spans="1:31" x14ac:dyDescent="0.25">
      <c r="A4" s="50" t="s">
        <v>76</v>
      </c>
      <c r="B4" s="50" t="s">
        <v>91</v>
      </c>
      <c r="C4" s="50" t="s">
        <v>78</v>
      </c>
      <c r="D4" s="64" t="str">
        <f ca="1">IF($B4="","",IF(LEFT($AC4,3)="Yes",IF(LEN($AC4)&gt;5,"Blocked - "&amp;MID($AC4,7,100),"Blocked")&amp;IF(SUMPRODUCT((TRIM('Rework Log'!$A$3:$A$500)=TRIM($B4))*('Rework Log'!$G$3:$G$500&lt;&gt;"Yes")*('Rework Log'!$G$3:$G$500&lt;&gt;"Did not pass re-test"))=0,"",IF(SUMPRODUCT(((TRIM('Rework Log'!$A$3:$A$500)=TRIM($B4))*('Rework Log'!$G$3:$G$500&lt;&gt;"Yes")*('Rework Log'!$G$3:$G$500&lt;&gt;"Did not pass re-test"))*ISNUMBER('Rework Log'!$J$3:$J$500))&gt;0," - fixed, awaiting re-test",IF(SUMPRODUCT(MAX(((TRIM('Rework Log'!$A$3:$A$500)=TRIM($B4))*('Rework Log'!$G$3:$G$500&lt;&gt;"Yes")*('Rework Log'!$G$3:$G$500&lt;&gt;"Did not pass re-test"))*IFERROR('Rework Log'!$I$3:$I$500*1,0)))=0," - unclaimed"," - promised "&amp;TEXT(SUMPRODUCT(MAX(((TRIM('Rework Log'!$A$3:$A$500)=TRIM($B4))*('Rework Log'!$G$3:$G$500&lt;&gt;"Yes")*('Rework Log'!$G$3:$G$500&lt;&gt;"Did not pass re-test"))*IFERROR('Rework Log'!$I$3:$I$500*1,0))),"m/d")))),IF(TRIM(C4)="NOT STARTED",IF(K4="","No plan date set",IF(K4&lt;TODAY(),"Review - planned start passed","On track")),IF(TRIM(C4)="DB Dev",IF(M4="","No target set",IF(AND(M4&lt;TODAY(),O4=""),"Overdue","On track")),IF(TRIM(C4)="PBI Dev",IF(P4="","No target set",IF(AND(P4&lt;TODAY(),R4=""),"Overdue","On track")),IF(TRIM(C4)="QA",IF(S4="","No target set",IF(AND(S4&lt;TODAY(),U4=""),"Overdue","On track")),IF(TRIM(C4)="DPO Approval",IF(V4="","No target set",IF(V4&lt;TODAY(),"Overdue","On track")),IF(TRIM(C4)="RELEASED IN PROD","Delivered",""))))))))</f>
        <v>Delivered</v>
      </c>
      <c r="E4" s="50">
        <v>4</v>
      </c>
      <c r="F4" s="51"/>
      <c r="G4" s="50" t="s">
        <v>25</v>
      </c>
      <c r="H4" s="50" t="s">
        <v>80</v>
      </c>
      <c r="I4" s="50" t="s">
        <v>81</v>
      </c>
      <c r="J4" s="50"/>
      <c r="K4" s="52">
        <v>46142</v>
      </c>
      <c r="L4" s="50" t="s">
        <v>82</v>
      </c>
      <c r="M4" s="53">
        <v>46115</v>
      </c>
      <c r="N4" s="54"/>
      <c r="O4" s="54">
        <v>46115</v>
      </c>
      <c r="P4" s="55">
        <v>46120</v>
      </c>
      <c r="Q4" s="54"/>
      <c r="R4" s="54">
        <v>46120</v>
      </c>
      <c r="S4" s="56">
        <v>46122</v>
      </c>
      <c r="T4" s="54"/>
      <c r="U4" s="54">
        <v>46122</v>
      </c>
      <c r="V4" s="57"/>
      <c r="W4" s="54"/>
      <c r="X4" s="50" t="s">
        <v>83</v>
      </c>
      <c r="Y4" s="58" t="s">
        <v>84</v>
      </c>
      <c r="Z4" s="54">
        <v>46122</v>
      </c>
      <c r="AA4" s="59"/>
      <c r="AB4" s="50"/>
      <c r="AC4" s="60" t="s">
        <v>26</v>
      </c>
      <c r="AD4" s="65" t="str">
        <f>IF($B4="","",IF(AND(LEFT($AC4,3)="Yes",SUMPRODUCT((TRIM('Rework Log'!$A$3:$A$500)=TRIM($B4))*('Rework Log'!$G$3:$G$500&lt;&gt;"Yes")*('Rework Log'!$G$3:$G$500&lt;&gt;"Did not pass re-test"))=0),"Blocked - log it on Rework Log",IF(AND(LEFT($AC4,3)&lt;&gt;"Yes",SUMPRODUCT((TRIM('Rework Log'!$A$3:$A$500)=TRIM($B4))*('Rework Log'!$G$3:$G$500&lt;&gt;"Yes")*('Rework Log'!$G$3:$G$500&lt;&gt;"Did not pass re-test"))&gt;0),"Open rework row - mark Blocked? or close it",IF(AND(LEFT($AC4,3)&lt;&gt;"Yes",SUMPRODUCT((TRIM('Rework Log'!$A$3:$A$500)=TRIM($B4))*('Rework Log'!$G$3:$G$500&lt;&gt;"Yes")*('Rework Log'!$G$3:$G$500&lt;&gt;"Did not pass re-test"))=0,COUNTIF('Rework Log'!$A$3:$A$500,$B4)&gt;0,IFERROR(INDEX('Rework Log'!$G:$G,SUMPRODUCT(MAX((TRIM('Rework Log'!$A$3:$A$500)=TRIM($B4))*ROW('Rework Log'!$A$3:$A$500)))),"")="Did not pass re-test"),"Last fix rejected - re-block or log next attempt",IF(AND(LEFT($AC4,3)="Yes",ISNUMBER(SEARCH("needs DB Dev",$AC4)),O4&lt;&gt;"",SUMPRODUCT(MAX(((TRIM('Rework Log'!$A$3:$A$500)=TRIM($B4))*('Rework Log'!$G$3:$G$500&lt;&gt;"Yes")*('Rework Log'!$G$3:$G$500&lt;&gt;"Did not pass re-test"))*IFERROR('Rework Log'!$I$3:$I$500*1,0)))&gt;0),"Move old DB Dev completion date to Rework Log (col H)",IF(AND(LEFT($AC4,3)="Yes",ISNUMBER(SEARCH("needs PBI Dev",$AC4)),R4&lt;&gt;"",SUMPRODUCT(MAX(((TRIM('Rework Log'!$A$3:$A$500)=TRIM($B4))*('Rework Log'!$G$3:$G$500&lt;&gt;"Yes")*('Rework Log'!$G$3:$G$500&lt;&gt;"Did not pass re-test"))*IFERROR('Rework Log'!$I$3:$I$500*1,0)))&gt;0),"Move old PBI Dev completion date to Rework Log (col H)",IF(AND(LEFT($AC4,3)="Yes",ISNUMBER(SEARCH("needs QA",$AC4)),U4&lt;&gt;"",SUMPRODUCT(MAX(((TRIM('Rework Log'!$A$3:$A$500)=TRIM($B4))*('Rework Log'!$G$3:$G$500&lt;&gt;"Yes")*('Rework Log'!$G$3:$G$500&lt;&gt;"Did not pass re-test"))*IFERROR('Rework Log'!$I$3:$I$500*1,0)))&gt;0),"Move old QA completion date to Rework Log (col H)",IF(AND(LEFT($AC4,3)="Yes",ISNUMBER(SEARCH("needs DB Dev",$AC4)),TRIM(C4)&lt;&gt;"DB Dev"),"Set Current Status back to DB Dev",IF(AND(LEFT($AC4,3)="Yes",ISNUMBER(SEARCH("needs PBI Dev",$AC4)),TRIM(C4)&lt;&gt;"PBI Dev"),"Set Current Status back to PBI Dev",IF(AND(LEFT($AC4,3)="Yes",ISNUMBER(SEARCH("needs QA",$AC4)),TRIM(C4)&lt;&gt;"QA"),"Set Current Status back to QA",IF(COUNTIF($B$2:$B$500,$B4)&gt;1,"Duplicate name - check row",IF(AND(TRIM(C4)="RELEASED IN PROD",Y4&lt;&gt;"Yes"),"Released but Confirmed Deployed? is not Yes",IF(COUNTIF('Rework Log'!$A$3:$A$500,$B4)&gt;0,"",IF(AND(S4&lt;&gt;"",M4&lt;&gt;"",S4&lt;M4),"QA target is before DB Dev target",IF(AND(S4&lt;&gt;"",P4&lt;&gt;"",S4&lt;P4),"QA target is before PBI Dev target",IF(AND(V4&lt;&gt;"",S4&lt;&gt;"",V4&lt;S4),"DPO Approval target is before QA target",IF(AND(Z4&lt;&gt;"",V4&lt;&gt;"",Z4&lt;V4),"Confirmed Deployed date is before DPO Approval target","")))))))))))))))))</f>
        <v/>
      </c>
      <c r="AE4" s="61"/>
    </row>
    <row r="5" spans="1:31" x14ac:dyDescent="0.25">
      <c r="A5" s="50" t="s">
        <v>76</v>
      </c>
      <c r="B5" s="50" t="s">
        <v>92</v>
      </c>
      <c r="C5" s="50" t="s">
        <v>78</v>
      </c>
      <c r="D5" s="64" t="str">
        <f ca="1">IF($B5="","",IF(LEFT($AC5,3)="Yes",IF(LEN($AC5)&gt;5,"Blocked - "&amp;MID($AC5,7,100),"Blocked")&amp;IF(SUMPRODUCT((TRIM('Rework Log'!$A$3:$A$500)=TRIM($B5))*('Rework Log'!$G$3:$G$500&lt;&gt;"Yes")*('Rework Log'!$G$3:$G$500&lt;&gt;"Did not pass re-test"))=0,"",IF(SUMPRODUCT(((TRIM('Rework Log'!$A$3:$A$500)=TRIM($B5))*('Rework Log'!$G$3:$G$500&lt;&gt;"Yes")*('Rework Log'!$G$3:$G$500&lt;&gt;"Did not pass re-test"))*ISNUMBER('Rework Log'!$J$3:$J$500))&gt;0," - fixed, awaiting re-test",IF(SUMPRODUCT(MAX(((TRIM('Rework Log'!$A$3:$A$500)=TRIM($B5))*('Rework Log'!$G$3:$G$500&lt;&gt;"Yes")*('Rework Log'!$G$3:$G$500&lt;&gt;"Did not pass re-test"))*IFERROR('Rework Log'!$I$3:$I$500*1,0)))=0," - unclaimed"," - promised "&amp;TEXT(SUMPRODUCT(MAX(((TRIM('Rework Log'!$A$3:$A$500)=TRIM($B5))*('Rework Log'!$G$3:$G$500&lt;&gt;"Yes")*('Rework Log'!$G$3:$G$500&lt;&gt;"Did not pass re-test"))*IFERROR('Rework Log'!$I$3:$I$500*1,0))),"m/d")))),IF(TRIM(C5)="NOT STARTED",IF(K5="","No plan date set",IF(K5&lt;TODAY(),"Review - planned start passed","On track")),IF(TRIM(C5)="DB Dev",IF(M5="","No target set",IF(AND(M5&lt;TODAY(),O5=""),"Overdue","On track")),IF(TRIM(C5)="PBI Dev",IF(P5="","No target set",IF(AND(P5&lt;TODAY(),R5=""),"Overdue","On track")),IF(TRIM(C5)="QA",IF(S5="","No target set",IF(AND(S5&lt;TODAY(),U5=""),"Overdue","On track")),IF(TRIM(C5)="DPO Approval",IF(V5="","No target set",IF(V5&lt;TODAY(),"Overdue","On track")),IF(TRIM(C5)="RELEASED IN PROD","Delivered",""))))))))</f>
        <v>Delivered</v>
      </c>
      <c r="E5" s="50">
        <v>5</v>
      </c>
      <c r="F5" s="51"/>
      <c r="G5" s="50" t="s">
        <v>93</v>
      </c>
      <c r="H5" s="50" t="s">
        <v>94</v>
      </c>
      <c r="I5" s="50" t="s">
        <v>81</v>
      </c>
      <c r="J5" s="50"/>
      <c r="K5" s="52">
        <v>46142</v>
      </c>
      <c r="L5" s="50" t="s">
        <v>82</v>
      </c>
      <c r="M5" s="53">
        <v>46115</v>
      </c>
      <c r="N5" s="54"/>
      <c r="O5" s="54">
        <v>46115</v>
      </c>
      <c r="P5" s="55">
        <v>46126</v>
      </c>
      <c r="Q5" s="54"/>
      <c r="R5" s="54">
        <v>46126</v>
      </c>
      <c r="S5" s="56">
        <v>46122</v>
      </c>
      <c r="T5" s="54"/>
      <c r="U5" s="54">
        <v>46122</v>
      </c>
      <c r="V5" s="57"/>
      <c r="W5" s="54"/>
      <c r="X5" s="50" t="s">
        <v>83</v>
      </c>
      <c r="Y5" s="58" t="s">
        <v>84</v>
      </c>
      <c r="Z5" s="54">
        <v>46122</v>
      </c>
      <c r="AA5" s="59" t="s">
        <v>95</v>
      </c>
      <c r="AB5" s="50" t="s">
        <v>96</v>
      </c>
      <c r="AC5" s="60" t="s">
        <v>26</v>
      </c>
      <c r="AD5" s="65" t="str">
        <f>IF($B5="","",IF(AND(LEFT($AC5,3)="Yes",SUMPRODUCT((TRIM('Rework Log'!$A$3:$A$500)=TRIM($B5))*('Rework Log'!$G$3:$G$500&lt;&gt;"Yes")*('Rework Log'!$G$3:$G$500&lt;&gt;"Did not pass re-test"))=0),"Blocked - log it on Rework Log",IF(AND(LEFT($AC5,3)&lt;&gt;"Yes",SUMPRODUCT((TRIM('Rework Log'!$A$3:$A$500)=TRIM($B5))*('Rework Log'!$G$3:$G$500&lt;&gt;"Yes")*('Rework Log'!$G$3:$G$500&lt;&gt;"Did not pass re-test"))&gt;0),"Open rework row - mark Blocked? or close it",IF(AND(LEFT($AC5,3)&lt;&gt;"Yes",SUMPRODUCT((TRIM('Rework Log'!$A$3:$A$500)=TRIM($B5))*('Rework Log'!$G$3:$G$500&lt;&gt;"Yes")*('Rework Log'!$G$3:$G$500&lt;&gt;"Did not pass re-test"))=0,COUNTIF('Rework Log'!$A$3:$A$500,$B5)&gt;0,IFERROR(INDEX('Rework Log'!$G:$G,SUMPRODUCT(MAX((TRIM('Rework Log'!$A$3:$A$500)=TRIM($B5))*ROW('Rework Log'!$A$3:$A$500)))),"")="Did not pass re-test"),"Last fix rejected - re-block or log next attempt",IF(AND(LEFT($AC5,3)="Yes",ISNUMBER(SEARCH("needs DB Dev",$AC5)),O5&lt;&gt;"",SUMPRODUCT(MAX(((TRIM('Rework Log'!$A$3:$A$500)=TRIM($B5))*('Rework Log'!$G$3:$G$500&lt;&gt;"Yes")*('Rework Log'!$G$3:$G$500&lt;&gt;"Did not pass re-test"))*IFERROR('Rework Log'!$I$3:$I$500*1,0)))&gt;0),"Move old DB Dev completion date to Rework Log (col H)",IF(AND(LEFT($AC5,3)="Yes",ISNUMBER(SEARCH("needs PBI Dev",$AC5)),R5&lt;&gt;"",SUMPRODUCT(MAX(((TRIM('Rework Log'!$A$3:$A$500)=TRIM($B5))*('Rework Log'!$G$3:$G$500&lt;&gt;"Yes")*('Rework Log'!$G$3:$G$500&lt;&gt;"Did not pass re-test"))*IFERROR('Rework Log'!$I$3:$I$500*1,0)))&gt;0),"Move old PBI Dev completion date to Rework Log (col H)",IF(AND(LEFT($AC5,3)="Yes",ISNUMBER(SEARCH("needs QA",$AC5)),U5&lt;&gt;"",SUMPRODUCT(MAX(((TRIM('Rework Log'!$A$3:$A$500)=TRIM($B5))*('Rework Log'!$G$3:$G$500&lt;&gt;"Yes")*('Rework Log'!$G$3:$G$500&lt;&gt;"Did not pass re-test"))*IFERROR('Rework Log'!$I$3:$I$500*1,0)))&gt;0),"Move old QA completion date to Rework Log (col H)",IF(AND(LEFT($AC5,3)="Yes",ISNUMBER(SEARCH("needs DB Dev",$AC5)),TRIM(C5)&lt;&gt;"DB Dev"),"Set Current Status back to DB Dev",IF(AND(LEFT($AC5,3)="Yes",ISNUMBER(SEARCH("needs PBI Dev",$AC5)),TRIM(C5)&lt;&gt;"PBI Dev"),"Set Current Status back to PBI Dev",IF(AND(LEFT($AC5,3)="Yes",ISNUMBER(SEARCH("needs QA",$AC5)),TRIM(C5)&lt;&gt;"QA"),"Set Current Status back to QA",IF(COUNTIF($B$2:$B$500,$B5)&gt;1,"Duplicate name - check row",IF(AND(TRIM(C5)="RELEASED IN PROD",Y5&lt;&gt;"Yes"),"Released but Confirmed Deployed? is not Yes",IF(COUNTIF('Rework Log'!$A$3:$A$500,$B5)&gt;0,"",IF(AND(S5&lt;&gt;"",M5&lt;&gt;"",S5&lt;M5),"QA target is before DB Dev target",IF(AND(S5&lt;&gt;"",P5&lt;&gt;"",S5&lt;P5),"QA target is before PBI Dev target",IF(AND(V5&lt;&gt;"",S5&lt;&gt;"",V5&lt;S5),"DPO Approval target is before QA target",IF(AND(Z5&lt;&gt;"",V5&lt;&gt;"",Z5&lt;V5),"Confirmed Deployed date is before DPO Approval target","")))))))))))))))))</f>
        <v>QA target is before PBI Dev target</v>
      </c>
      <c r="AE5" s="61" t="s">
        <v>97</v>
      </c>
    </row>
    <row r="6" spans="1:31" x14ac:dyDescent="0.25">
      <c r="A6" s="50" t="s">
        <v>76</v>
      </c>
      <c r="B6" s="50" t="s">
        <v>98</v>
      </c>
      <c r="C6" s="50" t="s">
        <v>78</v>
      </c>
      <c r="D6" s="64" t="str">
        <f ca="1">IF($B6="","",IF(LEFT($AC6,3)="Yes",IF(LEN($AC6)&gt;5,"Blocked - "&amp;MID($AC6,7,100),"Blocked")&amp;IF(SUMPRODUCT((TRIM('Rework Log'!$A$3:$A$500)=TRIM($B6))*('Rework Log'!$G$3:$G$500&lt;&gt;"Yes")*('Rework Log'!$G$3:$G$500&lt;&gt;"Did not pass re-test"))=0,"",IF(SUMPRODUCT(((TRIM('Rework Log'!$A$3:$A$500)=TRIM($B6))*('Rework Log'!$G$3:$G$500&lt;&gt;"Yes")*('Rework Log'!$G$3:$G$500&lt;&gt;"Did not pass re-test"))*ISNUMBER('Rework Log'!$J$3:$J$500))&gt;0," - fixed, awaiting re-test",IF(SUMPRODUCT(MAX(((TRIM('Rework Log'!$A$3:$A$500)=TRIM($B6))*('Rework Log'!$G$3:$G$500&lt;&gt;"Yes")*('Rework Log'!$G$3:$G$500&lt;&gt;"Did not pass re-test"))*IFERROR('Rework Log'!$I$3:$I$500*1,0)))=0," - unclaimed"," - promised "&amp;TEXT(SUMPRODUCT(MAX(((TRIM('Rework Log'!$A$3:$A$500)=TRIM($B6))*('Rework Log'!$G$3:$G$500&lt;&gt;"Yes")*('Rework Log'!$G$3:$G$500&lt;&gt;"Did not pass re-test"))*IFERROR('Rework Log'!$I$3:$I$500*1,0))),"m/d")))),IF(TRIM(C6)="NOT STARTED",IF(K6="","No plan date set",IF(K6&lt;TODAY(),"Review - planned start passed","On track")),IF(TRIM(C6)="DB Dev",IF(M6="","No target set",IF(AND(M6&lt;TODAY(),O6=""),"Overdue","On track")),IF(TRIM(C6)="PBI Dev",IF(P6="","No target set",IF(AND(P6&lt;TODAY(),R6=""),"Overdue","On track")),IF(TRIM(C6)="QA",IF(S6="","No target set",IF(AND(S6&lt;TODAY(),U6=""),"Overdue","On track")),IF(TRIM(C6)="DPO Approval",IF(V6="","No target set",IF(V6&lt;TODAY(),"Overdue","On track")),IF(TRIM(C6)="RELEASED IN PROD","Delivered",""))))))))</f>
        <v>Delivered</v>
      </c>
      <c r="E6" s="50">
        <v>3</v>
      </c>
      <c r="F6" s="51"/>
      <c r="G6" s="50" t="s">
        <v>25</v>
      </c>
      <c r="H6" s="50" t="s">
        <v>80</v>
      </c>
      <c r="I6" s="50" t="s">
        <v>81</v>
      </c>
      <c r="J6" s="50"/>
      <c r="K6" s="52">
        <v>46142</v>
      </c>
      <c r="L6" s="50" t="s">
        <v>82</v>
      </c>
      <c r="M6" s="53">
        <v>46115</v>
      </c>
      <c r="N6" s="54"/>
      <c r="O6" s="54">
        <v>46115</v>
      </c>
      <c r="P6" s="55">
        <v>46120</v>
      </c>
      <c r="Q6" s="54"/>
      <c r="R6" s="54">
        <v>46120</v>
      </c>
      <c r="S6" s="56">
        <v>46122</v>
      </c>
      <c r="T6" s="54"/>
      <c r="U6" s="54">
        <v>46122</v>
      </c>
      <c r="V6" s="57"/>
      <c r="W6" s="54"/>
      <c r="X6" s="50" t="s">
        <v>83</v>
      </c>
      <c r="Y6" s="58" t="s">
        <v>84</v>
      </c>
      <c r="Z6" s="54">
        <v>46122</v>
      </c>
      <c r="AA6" s="59" t="s">
        <v>99</v>
      </c>
      <c r="AB6" s="50" t="s">
        <v>100</v>
      </c>
      <c r="AC6" s="60" t="s">
        <v>26</v>
      </c>
      <c r="AD6" s="65" t="str">
        <f>IF($B6="","",IF(AND(LEFT($AC6,3)="Yes",SUMPRODUCT((TRIM('Rework Log'!$A$3:$A$500)=TRIM($B6))*('Rework Log'!$G$3:$G$500&lt;&gt;"Yes")*('Rework Log'!$G$3:$G$500&lt;&gt;"Did not pass re-test"))=0),"Blocked - log it on Rework Log",IF(AND(LEFT($AC6,3)&lt;&gt;"Yes",SUMPRODUCT((TRIM('Rework Log'!$A$3:$A$500)=TRIM($B6))*('Rework Log'!$G$3:$G$500&lt;&gt;"Yes")*('Rework Log'!$G$3:$G$500&lt;&gt;"Did not pass re-test"))&gt;0),"Open rework row - mark Blocked? or close it",IF(AND(LEFT($AC6,3)&lt;&gt;"Yes",SUMPRODUCT((TRIM('Rework Log'!$A$3:$A$500)=TRIM($B6))*('Rework Log'!$G$3:$G$500&lt;&gt;"Yes")*('Rework Log'!$G$3:$G$500&lt;&gt;"Did not pass re-test"))=0,COUNTIF('Rework Log'!$A$3:$A$500,$B6)&gt;0,IFERROR(INDEX('Rework Log'!$G:$G,SUMPRODUCT(MAX((TRIM('Rework Log'!$A$3:$A$500)=TRIM($B6))*ROW('Rework Log'!$A$3:$A$500)))),"")="Did not pass re-test"),"Last fix rejected - re-block or log next attempt",IF(AND(LEFT($AC6,3)="Yes",ISNUMBER(SEARCH("needs DB Dev",$AC6)),O6&lt;&gt;"",SUMPRODUCT(MAX(((TRIM('Rework Log'!$A$3:$A$500)=TRIM($B6))*('Rework Log'!$G$3:$G$500&lt;&gt;"Yes")*('Rework Log'!$G$3:$G$500&lt;&gt;"Did not pass re-test"))*IFERROR('Rework Log'!$I$3:$I$500*1,0)))&gt;0),"Move old DB Dev completion date to Rework Log (col H)",IF(AND(LEFT($AC6,3)="Yes",ISNUMBER(SEARCH("needs PBI Dev",$AC6)),R6&lt;&gt;"",SUMPRODUCT(MAX(((TRIM('Rework Log'!$A$3:$A$500)=TRIM($B6))*('Rework Log'!$G$3:$G$500&lt;&gt;"Yes")*('Rework Log'!$G$3:$G$500&lt;&gt;"Did not pass re-test"))*IFERROR('Rework Log'!$I$3:$I$500*1,0)))&gt;0),"Move old PBI Dev completion date to Rework Log (col H)",IF(AND(LEFT($AC6,3)="Yes",ISNUMBER(SEARCH("needs QA",$AC6)),U6&lt;&gt;"",SUMPRODUCT(MAX(((TRIM('Rework Log'!$A$3:$A$500)=TRIM($B6))*('Rework Log'!$G$3:$G$500&lt;&gt;"Yes")*('Rework Log'!$G$3:$G$500&lt;&gt;"Did not pass re-test"))*IFERROR('Rework Log'!$I$3:$I$500*1,0)))&gt;0),"Move old QA completion date to Rework Log (col H)",IF(AND(LEFT($AC6,3)="Yes",ISNUMBER(SEARCH("needs DB Dev",$AC6)),TRIM(C6)&lt;&gt;"DB Dev"),"Set Current Status back to DB Dev",IF(AND(LEFT($AC6,3)="Yes",ISNUMBER(SEARCH("needs PBI Dev",$AC6)),TRIM(C6)&lt;&gt;"PBI Dev"),"Set Current Status back to PBI Dev",IF(AND(LEFT($AC6,3)="Yes",ISNUMBER(SEARCH("needs QA",$AC6)),TRIM(C6)&lt;&gt;"QA"),"Set Current Status back to QA",IF(COUNTIF($B$2:$B$500,$B6)&gt;1,"Duplicate name - check row",IF(AND(TRIM(C6)="RELEASED IN PROD",Y6&lt;&gt;"Yes"),"Released but Confirmed Deployed? is not Yes",IF(COUNTIF('Rework Log'!$A$3:$A$500,$B6)&gt;0,"",IF(AND(S6&lt;&gt;"",M6&lt;&gt;"",S6&lt;M6),"QA target is before DB Dev target",IF(AND(S6&lt;&gt;"",P6&lt;&gt;"",S6&lt;P6),"QA target is before PBI Dev target",IF(AND(V6&lt;&gt;"",S6&lt;&gt;"",V6&lt;S6),"DPO Approval target is before QA target",IF(AND(Z6&lt;&gt;"",V6&lt;&gt;"",Z6&lt;V6),"Confirmed Deployed date is before DPO Approval target","")))))))))))))))))</f>
        <v/>
      </c>
      <c r="AE6" s="61" t="s">
        <v>101</v>
      </c>
    </row>
    <row r="7" spans="1:31" x14ac:dyDescent="0.25">
      <c r="A7" s="50" t="s">
        <v>76</v>
      </c>
      <c r="B7" s="50" t="s">
        <v>102</v>
      </c>
      <c r="C7" s="50" t="s">
        <v>78</v>
      </c>
      <c r="D7" s="64" t="str">
        <f ca="1">IF($B7="","",IF(LEFT($AC7,3)="Yes",IF(LEN($AC7)&gt;5,"Blocked - "&amp;MID($AC7,7,100),"Blocked")&amp;IF(SUMPRODUCT((TRIM('Rework Log'!$A$3:$A$500)=TRIM($B7))*('Rework Log'!$G$3:$G$500&lt;&gt;"Yes")*('Rework Log'!$G$3:$G$500&lt;&gt;"Did not pass re-test"))=0,"",IF(SUMPRODUCT(((TRIM('Rework Log'!$A$3:$A$500)=TRIM($B7))*('Rework Log'!$G$3:$G$500&lt;&gt;"Yes")*('Rework Log'!$G$3:$G$500&lt;&gt;"Did not pass re-test"))*ISNUMBER('Rework Log'!$J$3:$J$500))&gt;0," - fixed, awaiting re-test",IF(SUMPRODUCT(MAX(((TRIM('Rework Log'!$A$3:$A$500)=TRIM($B7))*('Rework Log'!$G$3:$G$500&lt;&gt;"Yes")*('Rework Log'!$G$3:$G$500&lt;&gt;"Did not pass re-test"))*IFERROR('Rework Log'!$I$3:$I$500*1,0)))=0," - unclaimed"," - promised "&amp;TEXT(SUMPRODUCT(MAX(((TRIM('Rework Log'!$A$3:$A$500)=TRIM($B7))*('Rework Log'!$G$3:$G$500&lt;&gt;"Yes")*('Rework Log'!$G$3:$G$500&lt;&gt;"Did not pass re-test"))*IFERROR('Rework Log'!$I$3:$I$500*1,0))),"m/d")))),IF(TRIM(C7)="NOT STARTED",IF(K7="","No plan date set",IF(K7&lt;TODAY(),"Review - planned start passed","On track")),IF(TRIM(C7)="DB Dev",IF(M7="","No target set",IF(AND(M7&lt;TODAY(),O7=""),"Overdue","On track")),IF(TRIM(C7)="PBI Dev",IF(P7="","No target set",IF(AND(P7&lt;TODAY(),R7=""),"Overdue","On track")),IF(TRIM(C7)="QA",IF(S7="","No target set",IF(AND(S7&lt;TODAY(),U7=""),"Overdue","On track")),IF(TRIM(C7)="DPO Approval",IF(V7="","No target set",IF(V7&lt;TODAY(),"Overdue","On track")),IF(TRIM(C7)="RELEASED IN PROD","Delivered",""))))))))</f>
        <v>Delivered</v>
      </c>
      <c r="E7" s="50">
        <v>6</v>
      </c>
      <c r="F7" s="51"/>
      <c r="G7" s="50" t="s">
        <v>103</v>
      </c>
      <c r="H7" s="50" t="s">
        <v>94</v>
      </c>
      <c r="I7" s="50" t="s">
        <v>81</v>
      </c>
      <c r="J7" s="50"/>
      <c r="K7" s="52">
        <v>46142</v>
      </c>
      <c r="L7" s="50" t="s">
        <v>82</v>
      </c>
      <c r="M7" s="53">
        <v>46115</v>
      </c>
      <c r="N7" s="54"/>
      <c r="O7" s="54">
        <v>46115</v>
      </c>
      <c r="P7" s="55">
        <v>46126</v>
      </c>
      <c r="Q7" s="54"/>
      <c r="R7" s="54">
        <v>46126</v>
      </c>
      <c r="S7" s="56">
        <v>46122</v>
      </c>
      <c r="T7" s="54"/>
      <c r="U7" s="54">
        <v>46122</v>
      </c>
      <c r="V7" s="57"/>
      <c r="W7" s="54"/>
      <c r="X7" s="50" t="s">
        <v>83</v>
      </c>
      <c r="Y7" s="58" t="s">
        <v>84</v>
      </c>
      <c r="Z7" s="54">
        <v>46122</v>
      </c>
      <c r="AA7" s="59" t="s">
        <v>104</v>
      </c>
      <c r="AB7" s="50" t="s">
        <v>105</v>
      </c>
      <c r="AC7" s="60" t="s">
        <v>26</v>
      </c>
      <c r="AD7" s="65" t="str">
        <f>IF($B7="","",IF(AND(LEFT($AC7,3)="Yes",SUMPRODUCT((TRIM('Rework Log'!$A$3:$A$500)=TRIM($B7))*('Rework Log'!$G$3:$G$500&lt;&gt;"Yes")*('Rework Log'!$G$3:$G$500&lt;&gt;"Did not pass re-test"))=0),"Blocked - log it on Rework Log",IF(AND(LEFT($AC7,3)&lt;&gt;"Yes",SUMPRODUCT((TRIM('Rework Log'!$A$3:$A$500)=TRIM($B7))*('Rework Log'!$G$3:$G$500&lt;&gt;"Yes")*('Rework Log'!$G$3:$G$500&lt;&gt;"Did not pass re-test"))&gt;0),"Open rework row - mark Blocked? or close it",IF(AND(LEFT($AC7,3)&lt;&gt;"Yes",SUMPRODUCT((TRIM('Rework Log'!$A$3:$A$500)=TRIM($B7))*('Rework Log'!$G$3:$G$500&lt;&gt;"Yes")*('Rework Log'!$G$3:$G$500&lt;&gt;"Did not pass re-test"))=0,COUNTIF('Rework Log'!$A$3:$A$500,$B7)&gt;0,IFERROR(INDEX('Rework Log'!$G:$G,SUMPRODUCT(MAX((TRIM('Rework Log'!$A$3:$A$500)=TRIM($B7))*ROW('Rework Log'!$A$3:$A$500)))),"")="Did not pass re-test"),"Last fix rejected - re-block or log next attempt",IF(AND(LEFT($AC7,3)="Yes",ISNUMBER(SEARCH("needs DB Dev",$AC7)),O7&lt;&gt;"",SUMPRODUCT(MAX(((TRIM('Rework Log'!$A$3:$A$500)=TRIM($B7))*('Rework Log'!$G$3:$G$500&lt;&gt;"Yes")*('Rework Log'!$G$3:$G$500&lt;&gt;"Did not pass re-test"))*IFERROR('Rework Log'!$I$3:$I$500*1,0)))&gt;0),"Move old DB Dev completion date to Rework Log (col H)",IF(AND(LEFT($AC7,3)="Yes",ISNUMBER(SEARCH("needs PBI Dev",$AC7)),R7&lt;&gt;"",SUMPRODUCT(MAX(((TRIM('Rework Log'!$A$3:$A$500)=TRIM($B7))*('Rework Log'!$G$3:$G$500&lt;&gt;"Yes")*('Rework Log'!$G$3:$G$500&lt;&gt;"Did not pass re-test"))*IFERROR('Rework Log'!$I$3:$I$500*1,0)))&gt;0),"Move old PBI Dev completion date to Rework Log (col H)",IF(AND(LEFT($AC7,3)="Yes",ISNUMBER(SEARCH("needs QA",$AC7)),U7&lt;&gt;"",SUMPRODUCT(MAX(((TRIM('Rework Log'!$A$3:$A$500)=TRIM($B7))*('Rework Log'!$G$3:$G$500&lt;&gt;"Yes")*('Rework Log'!$G$3:$G$500&lt;&gt;"Did not pass re-test"))*IFERROR('Rework Log'!$I$3:$I$500*1,0)))&gt;0),"Move old QA completion date to Rework Log (col H)",IF(AND(LEFT($AC7,3)="Yes",ISNUMBER(SEARCH("needs DB Dev",$AC7)),TRIM(C7)&lt;&gt;"DB Dev"),"Set Current Status back to DB Dev",IF(AND(LEFT($AC7,3)="Yes",ISNUMBER(SEARCH("needs PBI Dev",$AC7)),TRIM(C7)&lt;&gt;"PBI Dev"),"Set Current Status back to PBI Dev",IF(AND(LEFT($AC7,3)="Yes",ISNUMBER(SEARCH("needs QA",$AC7)),TRIM(C7)&lt;&gt;"QA"),"Set Current Status back to QA",IF(COUNTIF($B$2:$B$500,$B7)&gt;1,"Duplicate name - check row",IF(AND(TRIM(C7)="RELEASED IN PROD",Y7&lt;&gt;"Yes"),"Released but Confirmed Deployed? is not Yes",IF(COUNTIF('Rework Log'!$A$3:$A$500,$B7)&gt;0,"",IF(AND(S7&lt;&gt;"",M7&lt;&gt;"",S7&lt;M7),"QA target is before DB Dev target",IF(AND(S7&lt;&gt;"",P7&lt;&gt;"",S7&lt;P7),"QA target is before PBI Dev target",IF(AND(V7&lt;&gt;"",S7&lt;&gt;"",V7&lt;S7),"DPO Approval target is before QA target",IF(AND(Z7&lt;&gt;"",V7&lt;&gt;"",Z7&lt;V7),"Confirmed Deployed date is before DPO Approval target","")))))))))))))))))</f>
        <v>QA target is before PBI Dev target</v>
      </c>
      <c r="AE7" s="61" t="s">
        <v>106</v>
      </c>
    </row>
    <row r="8" spans="1:31" x14ac:dyDescent="0.25">
      <c r="A8" s="50" t="s">
        <v>76</v>
      </c>
      <c r="B8" s="50" t="s">
        <v>107</v>
      </c>
      <c r="C8" s="50" t="s">
        <v>78</v>
      </c>
      <c r="D8" s="64" t="str">
        <f ca="1">IF($B8="","",IF(LEFT($AC8,3)="Yes",IF(LEN($AC8)&gt;5,"Blocked - "&amp;MID($AC8,7,100),"Blocked")&amp;IF(SUMPRODUCT((TRIM('Rework Log'!$A$3:$A$500)=TRIM($B8))*('Rework Log'!$G$3:$G$500&lt;&gt;"Yes")*('Rework Log'!$G$3:$G$500&lt;&gt;"Did not pass re-test"))=0,"",IF(SUMPRODUCT(((TRIM('Rework Log'!$A$3:$A$500)=TRIM($B8))*('Rework Log'!$G$3:$G$500&lt;&gt;"Yes")*('Rework Log'!$G$3:$G$500&lt;&gt;"Did not pass re-test"))*ISNUMBER('Rework Log'!$J$3:$J$500))&gt;0," - fixed, awaiting re-test",IF(SUMPRODUCT(MAX(((TRIM('Rework Log'!$A$3:$A$500)=TRIM($B8))*('Rework Log'!$G$3:$G$500&lt;&gt;"Yes")*('Rework Log'!$G$3:$G$500&lt;&gt;"Did not pass re-test"))*IFERROR('Rework Log'!$I$3:$I$500*1,0)))=0," - unclaimed"," - promised "&amp;TEXT(SUMPRODUCT(MAX(((TRIM('Rework Log'!$A$3:$A$500)=TRIM($B8))*('Rework Log'!$G$3:$G$500&lt;&gt;"Yes")*('Rework Log'!$G$3:$G$500&lt;&gt;"Did not pass re-test"))*IFERROR('Rework Log'!$I$3:$I$500*1,0))),"m/d")))),IF(TRIM(C8)="NOT STARTED",IF(K8="","No plan date set",IF(K8&lt;TODAY(),"Review - planned start passed","On track")),IF(TRIM(C8)="DB Dev",IF(M8="","No target set",IF(AND(M8&lt;TODAY(),O8=""),"Overdue","On track")),IF(TRIM(C8)="PBI Dev",IF(P8="","No target set",IF(AND(P8&lt;TODAY(),R8=""),"Overdue","On track")),IF(TRIM(C8)="QA",IF(S8="","No target set",IF(AND(S8&lt;TODAY(),U8=""),"Overdue","On track")),IF(TRIM(C8)="DPO Approval",IF(V8="","No target set",IF(V8&lt;TODAY(),"Overdue","On track")),IF(TRIM(C8)="RELEASED IN PROD","Delivered",""))))))))</f>
        <v>Delivered</v>
      </c>
      <c r="E8" s="50">
        <v>7</v>
      </c>
      <c r="F8" s="51"/>
      <c r="G8" s="50" t="s">
        <v>25</v>
      </c>
      <c r="H8" s="50" t="s">
        <v>94</v>
      </c>
      <c r="I8" s="50" t="s">
        <v>81</v>
      </c>
      <c r="J8" s="50"/>
      <c r="K8" s="52">
        <v>46142</v>
      </c>
      <c r="L8" s="50" t="s">
        <v>82</v>
      </c>
      <c r="M8" s="53">
        <v>46122</v>
      </c>
      <c r="N8" s="54"/>
      <c r="O8" s="54">
        <v>46122</v>
      </c>
      <c r="P8" s="55">
        <v>46126</v>
      </c>
      <c r="Q8" s="54"/>
      <c r="R8" s="54">
        <v>46126</v>
      </c>
      <c r="S8" s="56">
        <v>46122</v>
      </c>
      <c r="T8" s="54"/>
      <c r="U8" s="54">
        <v>46122</v>
      </c>
      <c r="V8" s="57"/>
      <c r="W8" s="54"/>
      <c r="X8" s="50" t="s">
        <v>83</v>
      </c>
      <c r="Y8" s="58" t="s">
        <v>84</v>
      </c>
      <c r="Z8" s="54">
        <v>46122</v>
      </c>
      <c r="AA8" s="59" t="s">
        <v>108</v>
      </c>
      <c r="AB8" s="50" t="s">
        <v>109</v>
      </c>
      <c r="AC8" s="60" t="s">
        <v>26</v>
      </c>
      <c r="AD8" s="65" t="str">
        <f>IF($B8="","",IF(AND(LEFT($AC8,3)="Yes",SUMPRODUCT((TRIM('Rework Log'!$A$3:$A$500)=TRIM($B8))*('Rework Log'!$G$3:$G$500&lt;&gt;"Yes")*('Rework Log'!$G$3:$G$500&lt;&gt;"Did not pass re-test"))=0),"Blocked - log it on Rework Log",IF(AND(LEFT($AC8,3)&lt;&gt;"Yes",SUMPRODUCT((TRIM('Rework Log'!$A$3:$A$500)=TRIM($B8))*('Rework Log'!$G$3:$G$500&lt;&gt;"Yes")*('Rework Log'!$G$3:$G$500&lt;&gt;"Did not pass re-test"))&gt;0),"Open rework row - mark Blocked? or close it",IF(AND(LEFT($AC8,3)&lt;&gt;"Yes",SUMPRODUCT((TRIM('Rework Log'!$A$3:$A$500)=TRIM($B8))*('Rework Log'!$G$3:$G$500&lt;&gt;"Yes")*('Rework Log'!$G$3:$G$500&lt;&gt;"Did not pass re-test"))=0,COUNTIF('Rework Log'!$A$3:$A$500,$B8)&gt;0,IFERROR(INDEX('Rework Log'!$G:$G,SUMPRODUCT(MAX((TRIM('Rework Log'!$A$3:$A$500)=TRIM($B8))*ROW('Rework Log'!$A$3:$A$500)))),"")="Did not pass re-test"),"Last fix rejected - re-block or log next attempt",IF(AND(LEFT($AC8,3)="Yes",ISNUMBER(SEARCH("needs DB Dev",$AC8)),O8&lt;&gt;"",SUMPRODUCT(MAX(((TRIM('Rework Log'!$A$3:$A$500)=TRIM($B8))*('Rework Log'!$G$3:$G$500&lt;&gt;"Yes")*('Rework Log'!$G$3:$G$500&lt;&gt;"Did not pass re-test"))*IFERROR('Rework Log'!$I$3:$I$500*1,0)))&gt;0),"Move old DB Dev completion date to Rework Log (col H)",IF(AND(LEFT($AC8,3)="Yes",ISNUMBER(SEARCH("needs PBI Dev",$AC8)),R8&lt;&gt;"",SUMPRODUCT(MAX(((TRIM('Rework Log'!$A$3:$A$500)=TRIM($B8))*('Rework Log'!$G$3:$G$500&lt;&gt;"Yes")*('Rework Log'!$G$3:$G$500&lt;&gt;"Did not pass re-test"))*IFERROR('Rework Log'!$I$3:$I$500*1,0)))&gt;0),"Move old PBI Dev completion date to Rework Log (col H)",IF(AND(LEFT($AC8,3)="Yes",ISNUMBER(SEARCH("needs QA",$AC8)),U8&lt;&gt;"",SUMPRODUCT(MAX(((TRIM('Rework Log'!$A$3:$A$500)=TRIM($B8))*('Rework Log'!$G$3:$G$500&lt;&gt;"Yes")*('Rework Log'!$G$3:$G$500&lt;&gt;"Did not pass re-test"))*IFERROR('Rework Log'!$I$3:$I$500*1,0)))&gt;0),"Move old QA completion date to Rework Log (col H)",IF(AND(LEFT($AC8,3)="Yes",ISNUMBER(SEARCH("needs DB Dev",$AC8)),TRIM(C8)&lt;&gt;"DB Dev"),"Set Current Status back to DB Dev",IF(AND(LEFT($AC8,3)="Yes",ISNUMBER(SEARCH("needs PBI Dev",$AC8)),TRIM(C8)&lt;&gt;"PBI Dev"),"Set Current Status back to PBI Dev",IF(AND(LEFT($AC8,3)="Yes",ISNUMBER(SEARCH("needs QA",$AC8)),TRIM(C8)&lt;&gt;"QA"),"Set Current Status back to QA",IF(COUNTIF($B$2:$B$500,$B8)&gt;1,"Duplicate name - check row",IF(AND(TRIM(C8)="RELEASED IN PROD",Y8&lt;&gt;"Yes"),"Released but Confirmed Deployed? is not Yes",IF(COUNTIF('Rework Log'!$A$3:$A$500,$B8)&gt;0,"",IF(AND(S8&lt;&gt;"",M8&lt;&gt;"",S8&lt;M8),"QA target is before DB Dev target",IF(AND(S8&lt;&gt;"",P8&lt;&gt;"",S8&lt;P8),"QA target is before PBI Dev target",IF(AND(V8&lt;&gt;"",S8&lt;&gt;"",V8&lt;S8),"DPO Approval target is before QA target",IF(AND(Z8&lt;&gt;"",V8&lt;&gt;"",Z8&lt;V8),"Confirmed Deployed date is before DPO Approval target","")))))))))))))))))</f>
        <v>QA target is before PBI Dev target</v>
      </c>
      <c r="AE8" s="61"/>
    </row>
    <row r="9" spans="1:31" x14ac:dyDescent="0.25">
      <c r="A9" s="50" t="s">
        <v>76</v>
      </c>
      <c r="B9" s="50" t="s">
        <v>110</v>
      </c>
      <c r="C9" s="50" t="s">
        <v>78</v>
      </c>
      <c r="D9" s="64" t="str">
        <f ca="1">IF($B9="","",IF(LEFT($AC9,3)="Yes",IF(LEN($AC9)&gt;5,"Blocked - "&amp;MID($AC9,7,100),"Blocked")&amp;IF(SUMPRODUCT((TRIM('Rework Log'!$A$3:$A$500)=TRIM($B9))*('Rework Log'!$G$3:$G$500&lt;&gt;"Yes")*('Rework Log'!$G$3:$G$500&lt;&gt;"Did not pass re-test"))=0,"",IF(SUMPRODUCT(((TRIM('Rework Log'!$A$3:$A$500)=TRIM($B9))*('Rework Log'!$G$3:$G$500&lt;&gt;"Yes")*('Rework Log'!$G$3:$G$500&lt;&gt;"Did not pass re-test"))*ISNUMBER('Rework Log'!$J$3:$J$500))&gt;0," - fixed, awaiting re-test",IF(SUMPRODUCT(MAX(((TRIM('Rework Log'!$A$3:$A$500)=TRIM($B9))*('Rework Log'!$G$3:$G$500&lt;&gt;"Yes")*('Rework Log'!$G$3:$G$500&lt;&gt;"Did not pass re-test"))*IFERROR('Rework Log'!$I$3:$I$500*1,0)))=0," - unclaimed"," - promised "&amp;TEXT(SUMPRODUCT(MAX(((TRIM('Rework Log'!$A$3:$A$500)=TRIM($B9))*('Rework Log'!$G$3:$G$500&lt;&gt;"Yes")*('Rework Log'!$G$3:$G$500&lt;&gt;"Did not pass re-test"))*IFERROR('Rework Log'!$I$3:$I$500*1,0))),"m/d")))),IF(TRIM(C9)="NOT STARTED",IF(K9="","No plan date set",IF(K9&lt;TODAY(),"Review - planned start passed","On track")),IF(TRIM(C9)="DB Dev",IF(M9="","No target set",IF(AND(M9&lt;TODAY(),O9=""),"Overdue","On track")),IF(TRIM(C9)="PBI Dev",IF(P9="","No target set",IF(AND(P9&lt;TODAY(),R9=""),"Overdue","On track")),IF(TRIM(C9)="QA",IF(S9="","No target set",IF(AND(S9&lt;TODAY(),U9=""),"Overdue","On track")),IF(TRIM(C9)="DPO Approval",IF(V9="","No target set",IF(V9&lt;TODAY(),"Overdue","On track")),IF(TRIM(C9)="RELEASED IN PROD","Delivered",""))))))))</f>
        <v>Delivered</v>
      </c>
      <c r="E9" s="50">
        <v>9</v>
      </c>
      <c r="F9" s="51"/>
      <c r="G9" s="50" t="s">
        <v>111</v>
      </c>
      <c r="H9" s="50" t="s">
        <v>94</v>
      </c>
      <c r="I9" s="50" t="s">
        <v>81</v>
      </c>
      <c r="J9" s="50"/>
      <c r="K9" s="52">
        <v>46142</v>
      </c>
      <c r="L9" s="50" t="s">
        <v>82</v>
      </c>
      <c r="M9" s="53">
        <v>46122</v>
      </c>
      <c r="N9" s="54"/>
      <c r="O9" s="54">
        <v>46122</v>
      </c>
      <c r="P9" s="55">
        <v>46126</v>
      </c>
      <c r="Q9" s="54"/>
      <c r="R9" s="54">
        <v>46126</v>
      </c>
      <c r="S9" s="56">
        <v>46122</v>
      </c>
      <c r="T9" s="54"/>
      <c r="U9" s="54">
        <v>46122</v>
      </c>
      <c r="V9" s="57"/>
      <c r="W9" s="54"/>
      <c r="X9" s="50" t="s">
        <v>83</v>
      </c>
      <c r="Y9" s="58" t="s">
        <v>84</v>
      </c>
      <c r="Z9" s="54">
        <v>46122</v>
      </c>
      <c r="AA9" s="59" t="s">
        <v>112</v>
      </c>
      <c r="AB9" s="50" t="s">
        <v>113</v>
      </c>
      <c r="AC9" s="60" t="s">
        <v>26</v>
      </c>
      <c r="AD9" s="65" t="str">
        <f>IF($B9="","",IF(AND(LEFT($AC9,3)="Yes",SUMPRODUCT((TRIM('Rework Log'!$A$3:$A$500)=TRIM($B9))*('Rework Log'!$G$3:$G$500&lt;&gt;"Yes")*('Rework Log'!$G$3:$G$500&lt;&gt;"Did not pass re-test"))=0),"Blocked - log it on Rework Log",IF(AND(LEFT($AC9,3)&lt;&gt;"Yes",SUMPRODUCT((TRIM('Rework Log'!$A$3:$A$500)=TRIM($B9))*('Rework Log'!$G$3:$G$500&lt;&gt;"Yes")*('Rework Log'!$G$3:$G$500&lt;&gt;"Did not pass re-test"))&gt;0),"Open rework row - mark Blocked? or close it",IF(AND(LEFT($AC9,3)&lt;&gt;"Yes",SUMPRODUCT((TRIM('Rework Log'!$A$3:$A$500)=TRIM($B9))*('Rework Log'!$G$3:$G$500&lt;&gt;"Yes")*('Rework Log'!$G$3:$G$500&lt;&gt;"Did not pass re-test"))=0,COUNTIF('Rework Log'!$A$3:$A$500,$B9)&gt;0,IFERROR(INDEX('Rework Log'!$G:$G,SUMPRODUCT(MAX((TRIM('Rework Log'!$A$3:$A$500)=TRIM($B9))*ROW('Rework Log'!$A$3:$A$500)))),"")="Did not pass re-test"),"Last fix rejected - re-block or log next attempt",IF(AND(LEFT($AC9,3)="Yes",ISNUMBER(SEARCH("needs DB Dev",$AC9)),O9&lt;&gt;"",SUMPRODUCT(MAX(((TRIM('Rework Log'!$A$3:$A$500)=TRIM($B9))*('Rework Log'!$G$3:$G$500&lt;&gt;"Yes")*('Rework Log'!$G$3:$G$500&lt;&gt;"Did not pass re-test"))*IFERROR('Rework Log'!$I$3:$I$500*1,0)))&gt;0),"Move old DB Dev completion date to Rework Log (col H)",IF(AND(LEFT($AC9,3)="Yes",ISNUMBER(SEARCH("needs PBI Dev",$AC9)),R9&lt;&gt;"",SUMPRODUCT(MAX(((TRIM('Rework Log'!$A$3:$A$500)=TRIM($B9))*('Rework Log'!$G$3:$G$500&lt;&gt;"Yes")*('Rework Log'!$G$3:$G$500&lt;&gt;"Did not pass re-test"))*IFERROR('Rework Log'!$I$3:$I$500*1,0)))&gt;0),"Move old PBI Dev completion date to Rework Log (col H)",IF(AND(LEFT($AC9,3)="Yes",ISNUMBER(SEARCH("needs QA",$AC9)),U9&lt;&gt;"",SUMPRODUCT(MAX(((TRIM('Rework Log'!$A$3:$A$500)=TRIM($B9))*('Rework Log'!$G$3:$G$500&lt;&gt;"Yes")*('Rework Log'!$G$3:$G$500&lt;&gt;"Did not pass re-test"))*IFERROR('Rework Log'!$I$3:$I$500*1,0)))&gt;0),"Move old QA completion date to Rework Log (col H)",IF(AND(LEFT($AC9,3)="Yes",ISNUMBER(SEARCH("needs DB Dev",$AC9)),TRIM(C9)&lt;&gt;"DB Dev"),"Set Current Status back to DB Dev",IF(AND(LEFT($AC9,3)="Yes",ISNUMBER(SEARCH("needs PBI Dev",$AC9)),TRIM(C9)&lt;&gt;"PBI Dev"),"Set Current Status back to PBI Dev",IF(AND(LEFT($AC9,3)="Yes",ISNUMBER(SEARCH("needs QA",$AC9)),TRIM(C9)&lt;&gt;"QA"),"Set Current Status back to QA",IF(COUNTIF($B$2:$B$500,$B9)&gt;1,"Duplicate name - check row",IF(AND(TRIM(C9)="RELEASED IN PROD",Y9&lt;&gt;"Yes"),"Released but Confirmed Deployed? is not Yes",IF(COUNTIF('Rework Log'!$A$3:$A$500,$B9)&gt;0,"",IF(AND(S9&lt;&gt;"",M9&lt;&gt;"",S9&lt;M9),"QA target is before DB Dev target",IF(AND(S9&lt;&gt;"",P9&lt;&gt;"",S9&lt;P9),"QA target is before PBI Dev target",IF(AND(V9&lt;&gt;"",S9&lt;&gt;"",V9&lt;S9),"DPO Approval target is before QA target",IF(AND(Z9&lt;&gt;"",V9&lt;&gt;"",Z9&lt;V9),"Confirmed Deployed date is before DPO Approval target","")))))))))))))))))</f>
        <v>QA target is before PBI Dev target</v>
      </c>
      <c r="AE9" s="61"/>
    </row>
    <row r="10" spans="1:31" x14ac:dyDescent="0.25">
      <c r="A10" s="50" t="s">
        <v>76</v>
      </c>
      <c r="B10" s="50" t="s">
        <v>114</v>
      </c>
      <c r="C10" s="50" t="s">
        <v>78</v>
      </c>
      <c r="D10" s="64" t="str">
        <f ca="1">IF($B10="","",IF(LEFT($AC10,3)="Yes",IF(LEN($AC10)&gt;5,"Blocked - "&amp;MID($AC10,7,100),"Blocked")&amp;IF(SUMPRODUCT((TRIM('Rework Log'!$A$3:$A$500)=TRIM($B10))*('Rework Log'!$G$3:$G$500&lt;&gt;"Yes")*('Rework Log'!$G$3:$G$500&lt;&gt;"Did not pass re-test"))=0,"",IF(SUMPRODUCT(((TRIM('Rework Log'!$A$3:$A$500)=TRIM($B10))*('Rework Log'!$G$3:$G$500&lt;&gt;"Yes")*('Rework Log'!$G$3:$G$500&lt;&gt;"Did not pass re-test"))*ISNUMBER('Rework Log'!$J$3:$J$500))&gt;0," - fixed, awaiting re-test",IF(SUMPRODUCT(MAX(((TRIM('Rework Log'!$A$3:$A$500)=TRIM($B10))*('Rework Log'!$G$3:$G$500&lt;&gt;"Yes")*('Rework Log'!$G$3:$G$500&lt;&gt;"Did not pass re-test"))*IFERROR('Rework Log'!$I$3:$I$500*1,0)))=0," - unclaimed"," - promised "&amp;TEXT(SUMPRODUCT(MAX(((TRIM('Rework Log'!$A$3:$A$500)=TRIM($B10))*('Rework Log'!$G$3:$G$500&lt;&gt;"Yes")*('Rework Log'!$G$3:$G$500&lt;&gt;"Did not pass re-test"))*IFERROR('Rework Log'!$I$3:$I$500*1,0))),"m/d")))),IF(TRIM(C10)="NOT STARTED",IF(K10="","No plan date set",IF(K10&lt;TODAY(),"Review - planned start passed","On track")),IF(TRIM(C10)="DB Dev",IF(M10="","No target set",IF(AND(M10&lt;TODAY(),O10=""),"Overdue","On track")),IF(TRIM(C10)="PBI Dev",IF(P10="","No target set",IF(AND(P10&lt;TODAY(),R10=""),"Overdue","On track")),IF(TRIM(C10)="QA",IF(S10="","No target set",IF(AND(S10&lt;TODAY(),U10=""),"Overdue","On track")),IF(TRIM(C10)="DPO Approval",IF(V10="","No target set",IF(V10&lt;TODAY(),"Overdue","On track")),IF(TRIM(C10)="RELEASED IN PROD","Delivered",""))))))))</f>
        <v>Delivered</v>
      </c>
      <c r="E10" s="50">
        <v>8</v>
      </c>
      <c r="F10" s="51"/>
      <c r="G10" s="50" t="s">
        <v>93</v>
      </c>
      <c r="H10" s="50" t="s">
        <v>94</v>
      </c>
      <c r="I10" s="50" t="s">
        <v>81</v>
      </c>
      <c r="J10" s="50"/>
      <c r="K10" s="52">
        <v>46142</v>
      </c>
      <c r="L10" s="50" t="s">
        <v>82</v>
      </c>
      <c r="M10" s="53">
        <v>46127</v>
      </c>
      <c r="N10" s="54"/>
      <c r="O10" s="54">
        <v>46127</v>
      </c>
      <c r="P10" s="55">
        <v>46126</v>
      </c>
      <c r="Q10" s="54"/>
      <c r="R10" s="54">
        <v>46126</v>
      </c>
      <c r="S10" s="56">
        <v>46122</v>
      </c>
      <c r="T10" s="54"/>
      <c r="U10" s="54">
        <v>46122</v>
      </c>
      <c r="V10" s="57"/>
      <c r="W10" s="54"/>
      <c r="X10" s="50" t="s">
        <v>83</v>
      </c>
      <c r="Y10" s="58" t="s">
        <v>84</v>
      </c>
      <c r="Z10" s="54">
        <v>46122</v>
      </c>
      <c r="AA10" s="59" t="s">
        <v>115</v>
      </c>
      <c r="AB10" s="50" t="s">
        <v>116</v>
      </c>
      <c r="AC10" s="60" t="s">
        <v>26</v>
      </c>
      <c r="AD10" s="65" t="str">
        <f>IF($B10="","",IF(AND(LEFT($AC10,3)="Yes",SUMPRODUCT((TRIM('Rework Log'!$A$3:$A$500)=TRIM($B10))*('Rework Log'!$G$3:$G$500&lt;&gt;"Yes")*('Rework Log'!$G$3:$G$500&lt;&gt;"Did not pass re-test"))=0),"Blocked - log it on Rework Log",IF(AND(LEFT($AC10,3)&lt;&gt;"Yes",SUMPRODUCT((TRIM('Rework Log'!$A$3:$A$500)=TRIM($B10))*('Rework Log'!$G$3:$G$500&lt;&gt;"Yes")*('Rework Log'!$G$3:$G$500&lt;&gt;"Did not pass re-test"))&gt;0),"Open rework row - mark Blocked? or close it",IF(AND(LEFT($AC10,3)&lt;&gt;"Yes",SUMPRODUCT((TRIM('Rework Log'!$A$3:$A$500)=TRIM($B10))*('Rework Log'!$G$3:$G$500&lt;&gt;"Yes")*('Rework Log'!$G$3:$G$500&lt;&gt;"Did not pass re-test"))=0,COUNTIF('Rework Log'!$A$3:$A$500,$B10)&gt;0,IFERROR(INDEX('Rework Log'!$G:$G,SUMPRODUCT(MAX((TRIM('Rework Log'!$A$3:$A$500)=TRIM($B10))*ROW('Rework Log'!$A$3:$A$500)))),"")="Did not pass re-test"),"Last fix rejected - re-block or log next attempt",IF(AND(LEFT($AC10,3)="Yes",ISNUMBER(SEARCH("needs DB Dev",$AC10)),O10&lt;&gt;"",SUMPRODUCT(MAX(((TRIM('Rework Log'!$A$3:$A$500)=TRIM($B10))*('Rework Log'!$G$3:$G$500&lt;&gt;"Yes")*('Rework Log'!$G$3:$G$500&lt;&gt;"Did not pass re-test"))*IFERROR('Rework Log'!$I$3:$I$500*1,0)))&gt;0),"Move old DB Dev completion date to Rework Log (col H)",IF(AND(LEFT($AC10,3)="Yes",ISNUMBER(SEARCH("needs PBI Dev",$AC10)),R10&lt;&gt;"",SUMPRODUCT(MAX(((TRIM('Rework Log'!$A$3:$A$500)=TRIM($B10))*('Rework Log'!$G$3:$G$500&lt;&gt;"Yes")*('Rework Log'!$G$3:$G$500&lt;&gt;"Did not pass re-test"))*IFERROR('Rework Log'!$I$3:$I$500*1,0)))&gt;0),"Move old PBI Dev completion date to Rework Log (col H)",IF(AND(LEFT($AC10,3)="Yes",ISNUMBER(SEARCH("needs QA",$AC10)),U10&lt;&gt;"",SUMPRODUCT(MAX(((TRIM('Rework Log'!$A$3:$A$500)=TRIM($B10))*('Rework Log'!$G$3:$G$500&lt;&gt;"Yes")*('Rework Log'!$G$3:$G$500&lt;&gt;"Did not pass re-test"))*IFERROR('Rework Log'!$I$3:$I$500*1,0)))&gt;0),"Move old QA completion date to Rework Log (col H)",IF(AND(LEFT($AC10,3)="Yes",ISNUMBER(SEARCH("needs DB Dev",$AC10)),TRIM(C10)&lt;&gt;"DB Dev"),"Set Current Status back to DB Dev",IF(AND(LEFT($AC10,3)="Yes",ISNUMBER(SEARCH("needs PBI Dev",$AC10)),TRIM(C10)&lt;&gt;"PBI Dev"),"Set Current Status back to PBI Dev",IF(AND(LEFT($AC10,3)="Yes",ISNUMBER(SEARCH("needs QA",$AC10)),TRIM(C10)&lt;&gt;"QA"),"Set Current Status back to QA",IF(COUNTIF($B$2:$B$500,$B10)&gt;1,"Duplicate name - check row",IF(AND(TRIM(C10)="RELEASED IN PROD",Y10&lt;&gt;"Yes"),"Released but Confirmed Deployed? is not Yes",IF(COUNTIF('Rework Log'!$A$3:$A$500,$B10)&gt;0,"",IF(AND(S10&lt;&gt;"",M10&lt;&gt;"",S10&lt;M10),"QA target is before DB Dev target",IF(AND(S10&lt;&gt;"",P10&lt;&gt;"",S10&lt;P10),"QA target is before PBI Dev target",IF(AND(V10&lt;&gt;"",S10&lt;&gt;"",V10&lt;S10),"DPO Approval target is before QA target",IF(AND(Z10&lt;&gt;"",V10&lt;&gt;"",Z10&lt;V10),"Confirmed Deployed date is before DPO Approval target","")))))))))))))))))</f>
        <v>QA target is before DB Dev target</v>
      </c>
      <c r="AE10" s="61" t="s">
        <v>117</v>
      </c>
    </row>
    <row r="11" spans="1:31" x14ac:dyDescent="0.25">
      <c r="A11" s="50" t="s">
        <v>76</v>
      </c>
      <c r="B11" s="50" t="s">
        <v>118</v>
      </c>
      <c r="C11" s="50" t="s">
        <v>78</v>
      </c>
      <c r="D11" s="64" t="str">
        <f ca="1">IF($B11="","",IF(LEFT($AC11,3)="Yes",IF(LEN($AC11)&gt;5,"Blocked - "&amp;MID($AC11,7,100),"Blocked")&amp;IF(SUMPRODUCT((TRIM('Rework Log'!$A$3:$A$500)=TRIM($B11))*('Rework Log'!$G$3:$G$500&lt;&gt;"Yes")*('Rework Log'!$G$3:$G$500&lt;&gt;"Did not pass re-test"))=0,"",IF(SUMPRODUCT(((TRIM('Rework Log'!$A$3:$A$500)=TRIM($B11))*('Rework Log'!$G$3:$G$500&lt;&gt;"Yes")*('Rework Log'!$G$3:$G$500&lt;&gt;"Did not pass re-test"))*ISNUMBER('Rework Log'!$J$3:$J$500))&gt;0," - fixed, awaiting re-test",IF(SUMPRODUCT(MAX(((TRIM('Rework Log'!$A$3:$A$500)=TRIM($B11))*('Rework Log'!$G$3:$G$500&lt;&gt;"Yes")*('Rework Log'!$G$3:$G$500&lt;&gt;"Did not pass re-test"))*IFERROR('Rework Log'!$I$3:$I$500*1,0)))=0," - unclaimed"," - promised "&amp;TEXT(SUMPRODUCT(MAX(((TRIM('Rework Log'!$A$3:$A$500)=TRIM($B11))*('Rework Log'!$G$3:$G$500&lt;&gt;"Yes")*('Rework Log'!$G$3:$G$500&lt;&gt;"Did not pass re-test"))*IFERROR('Rework Log'!$I$3:$I$500*1,0))),"m/d")))),IF(TRIM(C11)="NOT STARTED",IF(K11="","No plan date set",IF(K11&lt;TODAY(),"Review - planned start passed","On track")),IF(TRIM(C11)="DB Dev",IF(M11="","No target set",IF(AND(M11&lt;TODAY(),O11=""),"Overdue","On track")),IF(TRIM(C11)="PBI Dev",IF(P11="","No target set",IF(AND(P11&lt;TODAY(),R11=""),"Overdue","On track")),IF(TRIM(C11)="QA",IF(S11="","No target set",IF(AND(S11&lt;TODAY(),U11=""),"Overdue","On track")),IF(TRIM(C11)="DPO Approval",IF(V11="","No target set",IF(V11&lt;TODAY(),"Overdue","On track")),IF(TRIM(C11)="RELEASED IN PROD","Delivered",""))))))))</f>
        <v>Delivered</v>
      </c>
      <c r="E11" s="50">
        <v>10</v>
      </c>
      <c r="F11" s="51"/>
      <c r="G11" s="50" t="s">
        <v>25</v>
      </c>
      <c r="H11" s="50" t="s">
        <v>94</v>
      </c>
      <c r="I11" s="50" t="s">
        <v>119</v>
      </c>
      <c r="J11" s="50"/>
      <c r="K11" s="52">
        <v>46173</v>
      </c>
      <c r="L11" s="50" t="s">
        <v>120</v>
      </c>
      <c r="M11" s="53"/>
      <c r="N11" s="54"/>
      <c r="O11" s="54"/>
      <c r="P11" s="55">
        <v>46139</v>
      </c>
      <c r="Q11" s="54"/>
      <c r="R11" s="54">
        <v>46139</v>
      </c>
      <c r="S11" s="56">
        <v>46139</v>
      </c>
      <c r="T11" s="54"/>
      <c r="U11" s="54">
        <v>46139</v>
      </c>
      <c r="V11" s="57"/>
      <c r="W11" s="54"/>
      <c r="X11" s="50" t="s">
        <v>83</v>
      </c>
      <c r="Y11" s="58" t="s">
        <v>84</v>
      </c>
      <c r="Z11" s="54">
        <v>46139</v>
      </c>
      <c r="AA11" s="59" t="s">
        <v>121</v>
      </c>
      <c r="AB11" s="50" t="s">
        <v>122</v>
      </c>
      <c r="AC11" s="60" t="s">
        <v>26</v>
      </c>
      <c r="AD11" s="65" t="str">
        <f>IF($B11="","",IF(AND(LEFT($AC11,3)="Yes",SUMPRODUCT((TRIM('Rework Log'!$A$3:$A$500)=TRIM($B11))*('Rework Log'!$G$3:$G$500&lt;&gt;"Yes")*('Rework Log'!$G$3:$G$500&lt;&gt;"Did not pass re-test"))=0),"Blocked - log it on Rework Log",IF(AND(LEFT($AC11,3)&lt;&gt;"Yes",SUMPRODUCT((TRIM('Rework Log'!$A$3:$A$500)=TRIM($B11))*('Rework Log'!$G$3:$G$500&lt;&gt;"Yes")*('Rework Log'!$G$3:$G$500&lt;&gt;"Did not pass re-test"))&gt;0),"Open rework row - mark Blocked? or close it",IF(AND(LEFT($AC11,3)&lt;&gt;"Yes",SUMPRODUCT((TRIM('Rework Log'!$A$3:$A$500)=TRIM($B11))*('Rework Log'!$G$3:$G$500&lt;&gt;"Yes")*('Rework Log'!$G$3:$G$500&lt;&gt;"Did not pass re-test"))=0,COUNTIF('Rework Log'!$A$3:$A$500,$B11)&gt;0,IFERROR(INDEX('Rework Log'!$G:$G,SUMPRODUCT(MAX((TRIM('Rework Log'!$A$3:$A$500)=TRIM($B11))*ROW('Rework Log'!$A$3:$A$500)))),"")="Did not pass re-test"),"Last fix rejected - re-block or log next attempt",IF(AND(LEFT($AC11,3)="Yes",ISNUMBER(SEARCH("needs DB Dev",$AC11)),O11&lt;&gt;"",SUMPRODUCT(MAX(((TRIM('Rework Log'!$A$3:$A$500)=TRIM($B11))*('Rework Log'!$G$3:$G$500&lt;&gt;"Yes")*('Rework Log'!$G$3:$G$500&lt;&gt;"Did not pass re-test"))*IFERROR('Rework Log'!$I$3:$I$500*1,0)))&gt;0),"Move old DB Dev completion date to Rework Log (col H)",IF(AND(LEFT($AC11,3)="Yes",ISNUMBER(SEARCH("needs PBI Dev",$AC11)),R11&lt;&gt;"",SUMPRODUCT(MAX(((TRIM('Rework Log'!$A$3:$A$500)=TRIM($B11))*('Rework Log'!$G$3:$G$500&lt;&gt;"Yes")*('Rework Log'!$G$3:$G$500&lt;&gt;"Did not pass re-test"))*IFERROR('Rework Log'!$I$3:$I$500*1,0)))&gt;0),"Move old PBI Dev completion date to Rework Log (col H)",IF(AND(LEFT($AC11,3)="Yes",ISNUMBER(SEARCH("needs QA",$AC11)),U11&lt;&gt;"",SUMPRODUCT(MAX(((TRIM('Rework Log'!$A$3:$A$500)=TRIM($B11))*('Rework Log'!$G$3:$G$500&lt;&gt;"Yes")*('Rework Log'!$G$3:$G$500&lt;&gt;"Did not pass re-test"))*IFERROR('Rework Log'!$I$3:$I$500*1,0)))&gt;0),"Move old QA completion date to Rework Log (col H)",IF(AND(LEFT($AC11,3)="Yes",ISNUMBER(SEARCH("needs DB Dev",$AC11)),TRIM(C11)&lt;&gt;"DB Dev"),"Set Current Status back to DB Dev",IF(AND(LEFT($AC11,3)="Yes",ISNUMBER(SEARCH("needs PBI Dev",$AC11)),TRIM(C11)&lt;&gt;"PBI Dev"),"Set Current Status back to PBI Dev",IF(AND(LEFT($AC11,3)="Yes",ISNUMBER(SEARCH("needs QA",$AC11)),TRIM(C11)&lt;&gt;"QA"),"Set Current Status back to QA",IF(COUNTIF($B$2:$B$500,$B11)&gt;1,"Duplicate name - check row",IF(AND(TRIM(C11)="RELEASED IN PROD",Y11&lt;&gt;"Yes"),"Released but Confirmed Deployed? is not Yes",IF(COUNTIF('Rework Log'!$A$3:$A$500,$B11)&gt;0,"",IF(AND(S11&lt;&gt;"",M11&lt;&gt;"",S11&lt;M11),"QA target is before DB Dev target",IF(AND(S11&lt;&gt;"",P11&lt;&gt;"",S11&lt;P11),"QA target is before PBI Dev target",IF(AND(V11&lt;&gt;"",S11&lt;&gt;"",V11&lt;S11),"DPO Approval target is before QA target",IF(AND(Z11&lt;&gt;"",V11&lt;&gt;"",Z11&lt;V11),"Confirmed Deployed date is before DPO Approval target","")))))))))))))))))</f>
        <v/>
      </c>
      <c r="AE11" s="61"/>
    </row>
    <row r="12" spans="1:31" x14ac:dyDescent="0.25">
      <c r="A12" s="50" t="s">
        <v>76</v>
      </c>
      <c r="B12" s="50" t="s">
        <v>123</v>
      </c>
      <c r="C12" s="50" t="s">
        <v>78</v>
      </c>
      <c r="D12" s="64" t="str">
        <f ca="1">IF($B12="","",IF(LEFT($AC12,3)="Yes",IF(LEN($AC12)&gt;5,"Blocked - "&amp;MID($AC12,7,100),"Blocked")&amp;IF(SUMPRODUCT((TRIM('Rework Log'!$A$3:$A$500)=TRIM($B12))*('Rework Log'!$G$3:$G$500&lt;&gt;"Yes")*('Rework Log'!$G$3:$G$500&lt;&gt;"Did not pass re-test"))=0,"",IF(SUMPRODUCT(((TRIM('Rework Log'!$A$3:$A$500)=TRIM($B12))*('Rework Log'!$G$3:$G$500&lt;&gt;"Yes")*('Rework Log'!$G$3:$G$500&lt;&gt;"Did not pass re-test"))*ISNUMBER('Rework Log'!$J$3:$J$500))&gt;0," - fixed, awaiting re-test",IF(SUMPRODUCT(MAX(((TRIM('Rework Log'!$A$3:$A$500)=TRIM($B12))*('Rework Log'!$G$3:$G$500&lt;&gt;"Yes")*('Rework Log'!$G$3:$G$500&lt;&gt;"Did not pass re-test"))*IFERROR('Rework Log'!$I$3:$I$500*1,0)))=0," - unclaimed"," - promised "&amp;TEXT(SUMPRODUCT(MAX(((TRIM('Rework Log'!$A$3:$A$500)=TRIM($B12))*('Rework Log'!$G$3:$G$500&lt;&gt;"Yes")*('Rework Log'!$G$3:$G$500&lt;&gt;"Did not pass re-test"))*IFERROR('Rework Log'!$I$3:$I$500*1,0))),"m/d")))),IF(TRIM(C12)="NOT STARTED",IF(K12="","No plan date set",IF(K12&lt;TODAY(),"Review - planned start passed","On track")),IF(TRIM(C12)="DB Dev",IF(M12="","No target set",IF(AND(M12&lt;TODAY(),O12=""),"Overdue","On track")),IF(TRIM(C12)="PBI Dev",IF(P12="","No target set",IF(AND(P12&lt;TODAY(),R12=""),"Overdue","On track")),IF(TRIM(C12)="QA",IF(S12="","No target set",IF(AND(S12&lt;TODAY(),U12=""),"Overdue","On track")),IF(TRIM(C12)="DPO Approval",IF(V12="","No target set",IF(V12&lt;TODAY(),"Overdue","On track")),IF(TRIM(C12)="RELEASED IN PROD","Delivered",""))))))))</f>
        <v>Delivered</v>
      </c>
      <c r="E12" s="50">
        <v>11</v>
      </c>
      <c r="F12" s="51"/>
      <c r="G12" s="50" t="s">
        <v>25</v>
      </c>
      <c r="H12" s="50" t="s">
        <v>94</v>
      </c>
      <c r="I12" s="50" t="s">
        <v>81</v>
      </c>
      <c r="J12" s="50"/>
      <c r="K12" s="52">
        <v>46173</v>
      </c>
      <c r="L12" s="50" t="s">
        <v>120</v>
      </c>
      <c r="M12" s="53"/>
      <c r="N12" s="54"/>
      <c r="O12" s="54"/>
      <c r="P12" s="55">
        <v>46141</v>
      </c>
      <c r="Q12" s="54"/>
      <c r="R12" s="54">
        <v>46141</v>
      </c>
      <c r="S12" s="56">
        <v>46141</v>
      </c>
      <c r="T12" s="54"/>
      <c r="U12" s="54">
        <v>46141</v>
      </c>
      <c r="V12" s="57"/>
      <c r="W12" s="54"/>
      <c r="X12" s="50" t="s">
        <v>83</v>
      </c>
      <c r="Y12" s="58" t="s">
        <v>84</v>
      </c>
      <c r="Z12" s="54">
        <v>46141</v>
      </c>
      <c r="AA12" s="59" t="s">
        <v>124</v>
      </c>
      <c r="AB12" s="50" t="s">
        <v>125</v>
      </c>
      <c r="AC12" s="60" t="s">
        <v>26</v>
      </c>
      <c r="AD12" s="65" t="str">
        <f>IF($B12="","",IF(AND(LEFT($AC12,3)="Yes",SUMPRODUCT((TRIM('Rework Log'!$A$3:$A$500)=TRIM($B12))*('Rework Log'!$G$3:$G$500&lt;&gt;"Yes")*('Rework Log'!$G$3:$G$500&lt;&gt;"Did not pass re-test"))=0),"Blocked - log it on Rework Log",IF(AND(LEFT($AC12,3)&lt;&gt;"Yes",SUMPRODUCT((TRIM('Rework Log'!$A$3:$A$500)=TRIM($B12))*('Rework Log'!$G$3:$G$500&lt;&gt;"Yes")*('Rework Log'!$G$3:$G$500&lt;&gt;"Did not pass re-test"))&gt;0),"Open rework row - mark Blocked? or close it",IF(AND(LEFT($AC12,3)&lt;&gt;"Yes",SUMPRODUCT((TRIM('Rework Log'!$A$3:$A$500)=TRIM($B12))*('Rework Log'!$G$3:$G$500&lt;&gt;"Yes")*('Rework Log'!$G$3:$G$500&lt;&gt;"Did not pass re-test"))=0,COUNTIF('Rework Log'!$A$3:$A$500,$B12)&gt;0,IFERROR(INDEX('Rework Log'!$G:$G,SUMPRODUCT(MAX((TRIM('Rework Log'!$A$3:$A$500)=TRIM($B12))*ROW('Rework Log'!$A$3:$A$500)))),"")="Did not pass re-test"),"Last fix rejected - re-block or log next attempt",IF(AND(LEFT($AC12,3)="Yes",ISNUMBER(SEARCH("needs DB Dev",$AC12)),O12&lt;&gt;"",SUMPRODUCT(MAX(((TRIM('Rework Log'!$A$3:$A$500)=TRIM($B12))*('Rework Log'!$G$3:$G$500&lt;&gt;"Yes")*('Rework Log'!$G$3:$G$500&lt;&gt;"Did not pass re-test"))*IFERROR('Rework Log'!$I$3:$I$500*1,0)))&gt;0),"Move old DB Dev completion date to Rework Log (col H)",IF(AND(LEFT($AC12,3)="Yes",ISNUMBER(SEARCH("needs PBI Dev",$AC12)),R12&lt;&gt;"",SUMPRODUCT(MAX(((TRIM('Rework Log'!$A$3:$A$500)=TRIM($B12))*('Rework Log'!$G$3:$G$500&lt;&gt;"Yes")*('Rework Log'!$G$3:$G$500&lt;&gt;"Did not pass re-test"))*IFERROR('Rework Log'!$I$3:$I$500*1,0)))&gt;0),"Move old PBI Dev completion date to Rework Log (col H)",IF(AND(LEFT($AC12,3)="Yes",ISNUMBER(SEARCH("needs QA",$AC12)),U12&lt;&gt;"",SUMPRODUCT(MAX(((TRIM('Rework Log'!$A$3:$A$500)=TRIM($B12))*('Rework Log'!$G$3:$G$500&lt;&gt;"Yes")*('Rework Log'!$G$3:$G$500&lt;&gt;"Did not pass re-test"))*IFERROR('Rework Log'!$I$3:$I$500*1,0)))&gt;0),"Move old QA completion date to Rework Log (col H)",IF(AND(LEFT($AC12,3)="Yes",ISNUMBER(SEARCH("needs DB Dev",$AC12)),TRIM(C12)&lt;&gt;"DB Dev"),"Set Current Status back to DB Dev",IF(AND(LEFT($AC12,3)="Yes",ISNUMBER(SEARCH("needs PBI Dev",$AC12)),TRIM(C12)&lt;&gt;"PBI Dev"),"Set Current Status back to PBI Dev",IF(AND(LEFT($AC12,3)="Yes",ISNUMBER(SEARCH("needs QA",$AC12)),TRIM(C12)&lt;&gt;"QA"),"Set Current Status back to QA",IF(COUNTIF($B$2:$B$500,$B12)&gt;1,"Duplicate name - check row",IF(AND(TRIM(C12)="RELEASED IN PROD",Y12&lt;&gt;"Yes"),"Released but Confirmed Deployed? is not Yes",IF(COUNTIF('Rework Log'!$A$3:$A$500,$B12)&gt;0,"",IF(AND(S12&lt;&gt;"",M12&lt;&gt;"",S12&lt;M12),"QA target is before DB Dev target",IF(AND(S12&lt;&gt;"",P12&lt;&gt;"",S12&lt;P12),"QA target is before PBI Dev target",IF(AND(V12&lt;&gt;"",S12&lt;&gt;"",V12&lt;S12),"DPO Approval target is before QA target",IF(AND(Z12&lt;&gt;"",V12&lt;&gt;"",Z12&lt;V12),"Confirmed Deployed date is before DPO Approval target","")))))))))))))))))</f>
        <v/>
      </c>
      <c r="AE12" s="61" t="s">
        <v>126</v>
      </c>
    </row>
    <row r="13" spans="1:31" x14ac:dyDescent="0.25">
      <c r="A13" s="50" t="s">
        <v>76</v>
      </c>
      <c r="B13" s="50" t="s">
        <v>127</v>
      </c>
      <c r="C13" s="50" t="s">
        <v>78</v>
      </c>
      <c r="D13" s="64" t="str">
        <f ca="1">IF($B13="","",IF(LEFT($AC13,3)="Yes",IF(LEN($AC13)&gt;5,"Blocked - "&amp;MID($AC13,7,100),"Blocked")&amp;IF(SUMPRODUCT((TRIM('Rework Log'!$A$3:$A$500)=TRIM($B13))*('Rework Log'!$G$3:$G$500&lt;&gt;"Yes")*('Rework Log'!$G$3:$G$500&lt;&gt;"Did not pass re-test"))=0,"",IF(SUMPRODUCT(((TRIM('Rework Log'!$A$3:$A$500)=TRIM($B13))*('Rework Log'!$G$3:$G$500&lt;&gt;"Yes")*('Rework Log'!$G$3:$G$500&lt;&gt;"Did not pass re-test"))*ISNUMBER('Rework Log'!$J$3:$J$500))&gt;0," - fixed, awaiting re-test",IF(SUMPRODUCT(MAX(((TRIM('Rework Log'!$A$3:$A$500)=TRIM($B13))*('Rework Log'!$G$3:$G$500&lt;&gt;"Yes")*('Rework Log'!$G$3:$G$500&lt;&gt;"Did not pass re-test"))*IFERROR('Rework Log'!$I$3:$I$500*1,0)))=0," - unclaimed"," - promised "&amp;TEXT(SUMPRODUCT(MAX(((TRIM('Rework Log'!$A$3:$A$500)=TRIM($B13))*('Rework Log'!$G$3:$G$500&lt;&gt;"Yes")*('Rework Log'!$G$3:$G$500&lt;&gt;"Did not pass re-test"))*IFERROR('Rework Log'!$I$3:$I$500*1,0))),"m/d")))),IF(TRIM(C13)="NOT STARTED",IF(K13="","No plan date set",IF(K13&lt;TODAY(),"Review - planned start passed","On track")),IF(TRIM(C13)="DB Dev",IF(M13="","No target set",IF(AND(M13&lt;TODAY(),O13=""),"Overdue","On track")),IF(TRIM(C13)="PBI Dev",IF(P13="","No target set",IF(AND(P13&lt;TODAY(),R13=""),"Overdue","On track")),IF(TRIM(C13)="QA",IF(S13="","No target set",IF(AND(S13&lt;TODAY(),U13=""),"Overdue","On track")),IF(TRIM(C13)="DPO Approval",IF(V13="","No target set",IF(V13&lt;TODAY(),"Overdue","On track")),IF(TRIM(C13)="RELEASED IN PROD","Delivered",""))))))))</f>
        <v>Delivered</v>
      </c>
      <c r="E13" s="50">
        <v>12</v>
      </c>
      <c r="F13" s="51"/>
      <c r="G13" s="50" t="s">
        <v>25</v>
      </c>
      <c r="H13" s="50" t="s">
        <v>80</v>
      </c>
      <c r="I13" s="50" t="s">
        <v>81</v>
      </c>
      <c r="J13" s="50"/>
      <c r="K13" s="52">
        <v>46173</v>
      </c>
      <c r="L13" s="50" t="s">
        <v>120</v>
      </c>
      <c r="M13" s="53"/>
      <c r="N13" s="54"/>
      <c r="O13" s="54"/>
      <c r="P13" s="55">
        <v>46161</v>
      </c>
      <c r="Q13" s="54"/>
      <c r="R13" s="54">
        <v>46161</v>
      </c>
      <c r="S13" s="56">
        <v>46161</v>
      </c>
      <c r="T13" s="54"/>
      <c r="U13" s="54">
        <v>46161</v>
      </c>
      <c r="V13" s="57"/>
      <c r="W13" s="54"/>
      <c r="X13" s="50" t="s">
        <v>83</v>
      </c>
      <c r="Y13" s="58" t="s">
        <v>84</v>
      </c>
      <c r="Z13" s="54">
        <v>46161</v>
      </c>
      <c r="AA13" s="59" t="s">
        <v>128</v>
      </c>
      <c r="AB13" s="50" t="s">
        <v>129</v>
      </c>
      <c r="AC13" s="60" t="s">
        <v>26</v>
      </c>
      <c r="AD13" s="65" t="str">
        <f>IF($B13="","",IF(AND(LEFT($AC13,3)="Yes",SUMPRODUCT((TRIM('Rework Log'!$A$3:$A$500)=TRIM($B13))*('Rework Log'!$G$3:$G$500&lt;&gt;"Yes")*('Rework Log'!$G$3:$G$500&lt;&gt;"Did not pass re-test"))=0),"Blocked - log it on Rework Log",IF(AND(LEFT($AC13,3)&lt;&gt;"Yes",SUMPRODUCT((TRIM('Rework Log'!$A$3:$A$500)=TRIM($B13))*('Rework Log'!$G$3:$G$500&lt;&gt;"Yes")*('Rework Log'!$G$3:$G$500&lt;&gt;"Did not pass re-test"))&gt;0),"Open rework row - mark Blocked? or close it",IF(AND(LEFT($AC13,3)&lt;&gt;"Yes",SUMPRODUCT((TRIM('Rework Log'!$A$3:$A$500)=TRIM($B13))*('Rework Log'!$G$3:$G$500&lt;&gt;"Yes")*('Rework Log'!$G$3:$G$500&lt;&gt;"Did not pass re-test"))=0,COUNTIF('Rework Log'!$A$3:$A$500,$B13)&gt;0,IFERROR(INDEX('Rework Log'!$G:$G,SUMPRODUCT(MAX((TRIM('Rework Log'!$A$3:$A$500)=TRIM($B13))*ROW('Rework Log'!$A$3:$A$500)))),"")="Did not pass re-test"),"Last fix rejected - re-block or log next attempt",IF(AND(LEFT($AC13,3)="Yes",ISNUMBER(SEARCH("needs DB Dev",$AC13)),O13&lt;&gt;"",SUMPRODUCT(MAX(((TRIM('Rework Log'!$A$3:$A$500)=TRIM($B13))*('Rework Log'!$G$3:$G$500&lt;&gt;"Yes")*('Rework Log'!$G$3:$G$500&lt;&gt;"Did not pass re-test"))*IFERROR('Rework Log'!$I$3:$I$500*1,0)))&gt;0),"Move old DB Dev completion date to Rework Log (col H)",IF(AND(LEFT($AC13,3)="Yes",ISNUMBER(SEARCH("needs PBI Dev",$AC13)),R13&lt;&gt;"",SUMPRODUCT(MAX(((TRIM('Rework Log'!$A$3:$A$500)=TRIM($B13))*('Rework Log'!$G$3:$G$500&lt;&gt;"Yes")*('Rework Log'!$G$3:$G$500&lt;&gt;"Did not pass re-test"))*IFERROR('Rework Log'!$I$3:$I$500*1,0)))&gt;0),"Move old PBI Dev completion date to Rework Log (col H)",IF(AND(LEFT($AC13,3)="Yes",ISNUMBER(SEARCH("needs QA",$AC13)),U13&lt;&gt;"",SUMPRODUCT(MAX(((TRIM('Rework Log'!$A$3:$A$500)=TRIM($B13))*('Rework Log'!$G$3:$G$500&lt;&gt;"Yes")*('Rework Log'!$G$3:$G$500&lt;&gt;"Did not pass re-test"))*IFERROR('Rework Log'!$I$3:$I$500*1,0)))&gt;0),"Move old QA completion date to Rework Log (col H)",IF(AND(LEFT($AC13,3)="Yes",ISNUMBER(SEARCH("needs DB Dev",$AC13)),TRIM(C13)&lt;&gt;"DB Dev"),"Set Current Status back to DB Dev",IF(AND(LEFT($AC13,3)="Yes",ISNUMBER(SEARCH("needs PBI Dev",$AC13)),TRIM(C13)&lt;&gt;"PBI Dev"),"Set Current Status back to PBI Dev",IF(AND(LEFT($AC13,3)="Yes",ISNUMBER(SEARCH("needs QA",$AC13)),TRIM(C13)&lt;&gt;"QA"),"Set Current Status back to QA",IF(COUNTIF($B$2:$B$500,$B13)&gt;1,"Duplicate name - check row",IF(AND(TRIM(C13)="RELEASED IN PROD",Y13&lt;&gt;"Yes"),"Released but Confirmed Deployed? is not Yes",IF(COUNTIF('Rework Log'!$A$3:$A$500,$B13)&gt;0,"",IF(AND(S13&lt;&gt;"",M13&lt;&gt;"",S13&lt;M13),"QA target is before DB Dev target",IF(AND(S13&lt;&gt;"",P13&lt;&gt;"",S13&lt;P13),"QA target is before PBI Dev target",IF(AND(V13&lt;&gt;"",S13&lt;&gt;"",V13&lt;S13),"DPO Approval target is before QA target",IF(AND(Z13&lt;&gt;"",V13&lt;&gt;"",Z13&lt;V13),"Confirmed Deployed date is before DPO Approval target","")))))))))))))))))</f>
        <v/>
      </c>
      <c r="AE13" s="61"/>
    </row>
    <row r="14" spans="1:31" x14ac:dyDescent="0.25">
      <c r="A14" s="50" t="s">
        <v>76</v>
      </c>
      <c r="B14" s="50" t="s">
        <v>130</v>
      </c>
      <c r="C14" s="50" t="s">
        <v>78</v>
      </c>
      <c r="D14" s="64" t="str">
        <f ca="1">IF($B14="","",IF(LEFT($AC14,3)="Yes",IF(LEN($AC14)&gt;5,"Blocked - "&amp;MID($AC14,7,100),"Blocked")&amp;IF(SUMPRODUCT((TRIM('Rework Log'!$A$3:$A$500)=TRIM($B14))*('Rework Log'!$G$3:$G$500&lt;&gt;"Yes")*('Rework Log'!$G$3:$G$500&lt;&gt;"Did not pass re-test"))=0,"",IF(SUMPRODUCT(((TRIM('Rework Log'!$A$3:$A$500)=TRIM($B14))*('Rework Log'!$G$3:$G$500&lt;&gt;"Yes")*('Rework Log'!$G$3:$G$500&lt;&gt;"Did not pass re-test"))*ISNUMBER('Rework Log'!$J$3:$J$500))&gt;0," - fixed, awaiting re-test",IF(SUMPRODUCT(MAX(((TRIM('Rework Log'!$A$3:$A$500)=TRIM($B14))*('Rework Log'!$G$3:$G$500&lt;&gt;"Yes")*('Rework Log'!$G$3:$G$500&lt;&gt;"Did not pass re-test"))*IFERROR('Rework Log'!$I$3:$I$500*1,0)))=0," - unclaimed"," - promised "&amp;TEXT(SUMPRODUCT(MAX(((TRIM('Rework Log'!$A$3:$A$500)=TRIM($B14))*('Rework Log'!$G$3:$G$500&lt;&gt;"Yes")*('Rework Log'!$G$3:$G$500&lt;&gt;"Did not pass re-test"))*IFERROR('Rework Log'!$I$3:$I$500*1,0))),"m/d")))),IF(TRIM(C14)="NOT STARTED",IF(K14="","No plan date set",IF(K14&lt;TODAY(),"Review - planned start passed","On track")),IF(TRIM(C14)="DB Dev",IF(M14="","No target set",IF(AND(M14&lt;TODAY(),O14=""),"Overdue","On track")),IF(TRIM(C14)="PBI Dev",IF(P14="","No target set",IF(AND(P14&lt;TODAY(),R14=""),"Overdue","On track")),IF(TRIM(C14)="QA",IF(S14="","No target set",IF(AND(S14&lt;TODAY(),U14=""),"Overdue","On track")),IF(TRIM(C14)="DPO Approval",IF(V14="","No target set",IF(V14&lt;TODAY(),"Overdue","On track")),IF(TRIM(C14)="RELEASED IN PROD","Delivered",""))))))))</f>
        <v>Delivered</v>
      </c>
      <c r="E14" s="50">
        <v>13</v>
      </c>
      <c r="F14" s="51"/>
      <c r="G14" s="50" t="s">
        <v>131</v>
      </c>
      <c r="H14" s="50" t="s">
        <v>80</v>
      </c>
      <c r="I14" s="50" t="s">
        <v>119</v>
      </c>
      <c r="J14" s="50"/>
      <c r="K14" s="52">
        <v>46173</v>
      </c>
      <c r="L14" s="50" t="s">
        <v>120</v>
      </c>
      <c r="M14" s="53"/>
      <c r="N14" s="54"/>
      <c r="O14" s="54"/>
      <c r="P14" s="55">
        <v>46175</v>
      </c>
      <c r="Q14" s="54"/>
      <c r="R14" s="54">
        <v>46175</v>
      </c>
      <c r="S14" s="56">
        <v>46175</v>
      </c>
      <c r="T14" s="54"/>
      <c r="U14" s="54">
        <v>46175</v>
      </c>
      <c r="V14" s="57">
        <v>46184</v>
      </c>
      <c r="W14" s="54"/>
      <c r="X14" s="50" t="s">
        <v>83</v>
      </c>
      <c r="Y14" s="58" t="s">
        <v>84</v>
      </c>
      <c r="Z14" s="54">
        <v>46184</v>
      </c>
      <c r="AA14" s="59"/>
      <c r="AB14" s="50" t="s">
        <v>132</v>
      </c>
      <c r="AC14" s="60" t="s">
        <v>26</v>
      </c>
      <c r="AD14" s="65" t="str">
        <f>IF($B14="","",IF(AND(LEFT($AC14,3)="Yes",SUMPRODUCT((TRIM('Rework Log'!$A$3:$A$500)=TRIM($B14))*('Rework Log'!$G$3:$G$500&lt;&gt;"Yes")*('Rework Log'!$G$3:$G$500&lt;&gt;"Did not pass re-test"))=0),"Blocked - log it on Rework Log",IF(AND(LEFT($AC14,3)&lt;&gt;"Yes",SUMPRODUCT((TRIM('Rework Log'!$A$3:$A$500)=TRIM($B14))*('Rework Log'!$G$3:$G$500&lt;&gt;"Yes")*('Rework Log'!$G$3:$G$500&lt;&gt;"Did not pass re-test"))&gt;0),"Open rework row - mark Blocked? or close it",IF(AND(LEFT($AC14,3)&lt;&gt;"Yes",SUMPRODUCT((TRIM('Rework Log'!$A$3:$A$500)=TRIM($B14))*('Rework Log'!$G$3:$G$500&lt;&gt;"Yes")*('Rework Log'!$G$3:$G$500&lt;&gt;"Did not pass re-test"))=0,COUNTIF('Rework Log'!$A$3:$A$500,$B14)&gt;0,IFERROR(INDEX('Rework Log'!$G:$G,SUMPRODUCT(MAX((TRIM('Rework Log'!$A$3:$A$500)=TRIM($B14))*ROW('Rework Log'!$A$3:$A$500)))),"")="Did not pass re-test"),"Last fix rejected - re-block or log next attempt",IF(AND(LEFT($AC14,3)="Yes",ISNUMBER(SEARCH("needs DB Dev",$AC14)),O14&lt;&gt;"",SUMPRODUCT(MAX(((TRIM('Rework Log'!$A$3:$A$500)=TRIM($B14))*('Rework Log'!$G$3:$G$500&lt;&gt;"Yes")*('Rework Log'!$G$3:$G$500&lt;&gt;"Did not pass re-test"))*IFERROR('Rework Log'!$I$3:$I$500*1,0)))&gt;0),"Move old DB Dev completion date to Rework Log (col H)",IF(AND(LEFT($AC14,3)="Yes",ISNUMBER(SEARCH("needs PBI Dev",$AC14)),R14&lt;&gt;"",SUMPRODUCT(MAX(((TRIM('Rework Log'!$A$3:$A$500)=TRIM($B14))*('Rework Log'!$G$3:$G$500&lt;&gt;"Yes")*('Rework Log'!$G$3:$G$500&lt;&gt;"Did not pass re-test"))*IFERROR('Rework Log'!$I$3:$I$500*1,0)))&gt;0),"Move old PBI Dev completion date to Rework Log (col H)",IF(AND(LEFT($AC14,3)="Yes",ISNUMBER(SEARCH("needs QA",$AC14)),U14&lt;&gt;"",SUMPRODUCT(MAX(((TRIM('Rework Log'!$A$3:$A$500)=TRIM($B14))*('Rework Log'!$G$3:$G$500&lt;&gt;"Yes")*('Rework Log'!$G$3:$G$500&lt;&gt;"Did not pass re-test"))*IFERROR('Rework Log'!$I$3:$I$500*1,0)))&gt;0),"Move old QA completion date to Rework Log (col H)",IF(AND(LEFT($AC14,3)="Yes",ISNUMBER(SEARCH("needs DB Dev",$AC14)),TRIM(C14)&lt;&gt;"DB Dev"),"Set Current Status back to DB Dev",IF(AND(LEFT($AC14,3)="Yes",ISNUMBER(SEARCH("needs PBI Dev",$AC14)),TRIM(C14)&lt;&gt;"PBI Dev"),"Set Current Status back to PBI Dev",IF(AND(LEFT($AC14,3)="Yes",ISNUMBER(SEARCH("needs QA",$AC14)),TRIM(C14)&lt;&gt;"QA"),"Set Current Status back to QA",IF(COUNTIF($B$2:$B$500,$B14)&gt;1,"Duplicate name - check row",IF(AND(TRIM(C14)="RELEASED IN PROD",Y14&lt;&gt;"Yes"),"Released but Confirmed Deployed? is not Yes",IF(COUNTIF('Rework Log'!$A$3:$A$500,$B14)&gt;0,"",IF(AND(S14&lt;&gt;"",M14&lt;&gt;"",S14&lt;M14),"QA target is before DB Dev target",IF(AND(S14&lt;&gt;"",P14&lt;&gt;"",S14&lt;P14),"QA target is before PBI Dev target",IF(AND(V14&lt;&gt;"",S14&lt;&gt;"",V14&lt;S14),"DPO Approval target is before QA target",IF(AND(Z14&lt;&gt;"",V14&lt;&gt;"",Z14&lt;V14),"Confirmed Deployed date is before DPO Approval target","")))))))))))))))))</f>
        <v/>
      </c>
      <c r="AE14" s="61"/>
    </row>
    <row r="15" spans="1:31" x14ac:dyDescent="0.25">
      <c r="A15" s="50" t="s">
        <v>76</v>
      </c>
      <c r="B15" s="50" t="s">
        <v>133</v>
      </c>
      <c r="C15" s="50" t="s">
        <v>78</v>
      </c>
      <c r="D15" s="64" t="str">
        <f ca="1">IF($B15="","",IF(LEFT($AC15,3)="Yes",IF(LEN($AC15)&gt;5,"Blocked - "&amp;MID($AC15,7,100),"Blocked")&amp;IF(SUMPRODUCT((TRIM('Rework Log'!$A$3:$A$500)=TRIM($B15))*('Rework Log'!$G$3:$G$500&lt;&gt;"Yes")*('Rework Log'!$G$3:$G$500&lt;&gt;"Did not pass re-test"))=0,"",IF(SUMPRODUCT(((TRIM('Rework Log'!$A$3:$A$500)=TRIM($B15))*('Rework Log'!$G$3:$G$500&lt;&gt;"Yes")*('Rework Log'!$G$3:$G$500&lt;&gt;"Did not pass re-test"))*ISNUMBER('Rework Log'!$J$3:$J$500))&gt;0," - fixed, awaiting re-test",IF(SUMPRODUCT(MAX(((TRIM('Rework Log'!$A$3:$A$500)=TRIM($B15))*('Rework Log'!$G$3:$G$500&lt;&gt;"Yes")*('Rework Log'!$G$3:$G$500&lt;&gt;"Did not pass re-test"))*IFERROR('Rework Log'!$I$3:$I$500*1,0)))=0," - unclaimed"," - promised "&amp;TEXT(SUMPRODUCT(MAX(((TRIM('Rework Log'!$A$3:$A$500)=TRIM($B15))*('Rework Log'!$G$3:$G$500&lt;&gt;"Yes")*('Rework Log'!$G$3:$G$500&lt;&gt;"Did not pass re-test"))*IFERROR('Rework Log'!$I$3:$I$500*1,0))),"m/d")))),IF(TRIM(C15)="NOT STARTED",IF(K15="","No plan date set",IF(K15&lt;TODAY(),"Review - planned start passed","On track")),IF(TRIM(C15)="DB Dev",IF(M15="","No target set",IF(AND(M15&lt;TODAY(),O15=""),"Overdue","On track")),IF(TRIM(C15)="PBI Dev",IF(P15="","No target set",IF(AND(P15&lt;TODAY(),R15=""),"Overdue","On track")),IF(TRIM(C15)="QA",IF(S15="","No target set",IF(AND(S15&lt;TODAY(),U15=""),"Overdue","On track")),IF(TRIM(C15)="DPO Approval",IF(V15="","No target set",IF(V15&lt;TODAY(),"Overdue","On track")),IF(TRIM(C15)="RELEASED IN PROD","Delivered",""))))))))</f>
        <v>Delivered</v>
      </c>
      <c r="E15" s="50">
        <v>14</v>
      </c>
      <c r="F15" s="51"/>
      <c r="G15" s="50" t="s">
        <v>103</v>
      </c>
      <c r="H15" s="50" t="s">
        <v>134</v>
      </c>
      <c r="I15" s="50" t="s">
        <v>81</v>
      </c>
      <c r="J15" s="50"/>
      <c r="K15" s="52">
        <v>46173</v>
      </c>
      <c r="L15" s="50" t="s">
        <v>120</v>
      </c>
      <c r="M15" s="53"/>
      <c r="N15" s="54"/>
      <c r="O15" s="54"/>
      <c r="P15" s="55">
        <v>46134</v>
      </c>
      <c r="Q15" s="54"/>
      <c r="R15" s="54">
        <v>46134</v>
      </c>
      <c r="S15" s="56">
        <v>46134</v>
      </c>
      <c r="T15" s="54"/>
      <c r="U15" s="54">
        <v>46134</v>
      </c>
      <c r="V15" s="57"/>
      <c r="W15" s="54"/>
      <c r="X15" s="50" t="s">
        <v>83</v>
      </c>
      <c r="Y15" s="58" t="s">
        <v>84</v>
      </c>
      <c r="Z15" s="54">
        <v>46134</v>
      </c>
      <c r="AA15" s="59" t="s">
        <v>135</v>
      </c>
      <c r="AB15" s="50" t="s">
        <v>136</v>
      </c>
      <c r="AC15" s="60" t="s">
        <v>26</v>
      </c>
      <c r="AD15" s="65" t="str">
        <f>IF($B15="","",IF(AND(LEFT($AC15,3)="Yes",SUMPRODUCT((TRIM('Rework Log'!$A$3:$A$500)=TRIM($B15))*('Rework Log'!$G$3:$G$500&lt;&gt;"Yes")*('Rework Log'!$G$3:$G$500&lt;&gt;"Did not pass re-test"))=0),"Blocked - log it on Rework Log",IF(AND(LEFT($AC15,3)&lt;&gt;"Yes",SUMPRODUCT((TRIM('Rework Log'!$A$3:$A$500)=TRIM($B15))*('Rework Log'!$G$3:$G$500&lt;&gt;"Yes")*('Rework Log'!$G$3:$G$500&lt;&gt;"Did not pass re-test"))&gt;0),"Open rework row - mark Blocked? or close it",IF(AND(LEFT($AC15,3)&lt;&gt;"Yes",SUMPRODUCT((TRIM('Rework Log'!$A$3:$A$500)=TRIM($B15))*('Rework Log'!$G$3:$G$500&lt;&gt;"Yes")*('Rework Log'!$G$3:$G$500&lt;&gt;"Did not pass re-test"))=0,COUNTIF('Rework Log'!$A$3:$A$500,$B15)&gt;0,IFERROR(INDEX('Rework Log'!$G:$G,SUMPRODUCT(MAX((TRIM('Rework Log'!$A$3:$A$500)=TRIM($B15))*ROW('Rework Log'!$A$3:$A$500)))),"")="Did not pass re-test"),"Last fix rejected - re-block or log next attempt",IF(AND(LEFT($AC15,3)="Yes",ISNUMBER(SEARCH("needs DB Dev",$AC15)),O15&lt;&gt;"",SUMPRODUCT(MAX(((TRIM('Rework Log'!$A$3:$A$500)=TRIM($B15))*('Rework Log'!$G$3:$G$500&lt;&gt;"Yes")*('Rework Log'!$G$3:$G$500&lt;&gt;"Did not pass re-test"))*IFERROR('Rework Log'!$I$3:$I$500*1,0)))&gt;0),"Move old DB Dev completion date to Rework Log (col H)",IF(AND(LEFT($AC15,3)="Yes",ISNUMBER(SEARCH("needs PBI Dev",$AC15)),R15&lt;&gt;"",SUMPRODUCT(MAX(((TRIM('Rework Log'!$A$3:$A$500)=TRIM($B15))*('Rework Log'!$G$3:$G$500&lt;&gt;"Yes")*('Rework Log'!$G$3:$G$500&lt;&gt;"Did not pass re-test"))*IFERROR('Rework Log'!$I$3:$I$500*1,0)))&gt;0),"Move old PBI Dev completion date to Rework Log (col H)",IF(AND(LEFT($AC15,3)="Yes",ISNUMBER(SEARCH("needs QA",$AC15)),U15&lt;&gt;"",SUMPRODUCT(MAX(((TRIM('Rework Log'!$A$3:$A$500)=TRIM($B15))*('Rework Log'!$G$3:$G$500&lt;&gt;"Yes")*('Rework Log'!$G$3:$G$500&lt;&gt;"Did not pass re-test"))*IFERROR('Rework Log'!$I$3:$I$500*1,0)))&gt;0),"Move old QA completion date to Rework Log (col H)",IF(AND(LEFT($AC15,3)="Yes",ISNUMBER(SEARCH("needs DB Dev",$AC15)),TRIM(C15)&lt;&gt;"DB Dev"),"Set Current Status back to DB Dev",IF(AND(LEFT($AC15,3)="Yes",ISNUMBER(SEARCH("needs PBI Dev",$AC15)),TRIM(C15)&lt;&gt;"PBI Dev"),"Set Current Status back to PBI Dev",IF(AND(LEFT($AC15,3)="Yes",ISNUMBER(SEARCH("needs QA",$AC15)),TRIM(C15)&lt;&gt;"QA"),"Set Current Status back to QA",IF(COUNTIF($B$2:$B$500,$B15)&gt;1,"Duplicate name - check row",IF(AND(TRIM(C15)="RELEASED IN PROD",Y15&lt;&gt;"Yes"),"Released but Confirmed Deployed? is not Yes",IF(COUNTIF('Rework Log'!$A$3:$A$500,$B15)&gt;0,"",IF(AND(S15&lt;&gt;"",M15&lt;&gt;"",S15&lt;M15),"QA target is before DB Dev target",IF(AND(S15&lt;&gt;"",P15&lt;&gt;"",S15&lt;P15),"QA target is before PBI Dev target",IF(AND(V15&lt;&gt;"",S15&lt;&gt;"",V15&lt;S15),"DPO Approval target is before QA target",IF(AND(Z15&lt;&gt;"",V15&lt;&gt;"",Z15&lt;V15),"Confirmed Deployed date is before DPO Approval target","")))))))))))))))))</f>
        <v/>
      </c>
      <c r="AE15" s="61"/>
    </row>
    <row r="16" spans="1:31" x14ac:dyDescent="0.25">
      <c r="A16" s="50" t="s">
        <v>76</v>
      </c>
      <c r="B16" s="50" t="s">
        <v>137</v>
      </c>
      <c r="C16" s="50" t="s">
        <v>78</v>
      </c>
      <c r="D16" s="64" t="str">
        <f ca="1">IF($B16="","",IF(LEFT($AC16,3)="Yes",IF(LEN($AC16)&gt;5,"Blocked - "&amp;MID($AC16,7,100),"Blocked")&amp;IF(SUMPRODUCT((TRIM('Rework Log'!$A$3:$A$500)=TRIM($B16))*('Rework Log'!$G$3:$G$500&lt;&gt;"Yes")*('Rework Log'!$G$3:$G$500&lt;&gt;"Did not pass re-test"))=0,"",IF(SUMPRODUCT(((TRIM('Rework Log'!$A$3:$A$500)=TRIM($B16))*('Rework Log'!$G$3:$G$500&lt;&gt;"Yes")*('Rework Log'!$G$3:$G$500&lt;&gt;"Did not pass re-test"))*ISNUMBER('Rework Log'!$J$3:$J$500))&gt;0," - fixed, awaiting re-test",IF(SUMPRODUCT(MAX(((TRIM('Rework Log'!$A$3:$A$500)=TRIM($B16))*('Rework Log'!$G$3:$G$500&lt;&gt;"Yes")*('Rework Log'!$G$3:$G$500&lt;&gt;"Did not pass re-test"))*IFERROR('Rework Log'!$I$3:$I$500*1,0)))=0," - unclaimed"," - promised "&amp;TEXT(SUMPRODUCT(MAX(((TRIM('Rework Log'!$A$3:$A$500)=TRIM($B16))*('Rework Log'!$G$3:$G$500&lt;&gt;"Yes")*('Rework Log'!$G$3:$G$500&lt;&gt;"Did not pass re-test"))*IFERROR('Rework Log'!$I$3:$I$500*1,0))),"m/d")))),IF(TRIM(C16)="NOT STARTED",IF(K16="","No plan date set",IF(K16&lt;TODAY(),"Review - planned start passed","On track")),IF(TRIM(C16)="DB Dev",IF(M16="","No target set",IF(AND(M16&lt;TODAY(),O16=""),"Overdue","On track")),IF(TRIM(C16)="PBI Dev",IF(P16="","No target set",IF(AND(P16&lt;TODAY(),R16=""),"Overdue","On track")),IF(TRIM(C16)="QA",IF(S16="","No target set",IF(AND(S16&lt;TODAY(),U16=""),"Overdue","On track")),IF(TRIM(C16)="DPO Approval",IF(V16="","No target set",IF(V16&lt;TODAY(),"Overdue","On track")),IF(TRIM(C16)="RELEASED IN PROD","Delivered",""))))))))</f>
        <v>Delivered</v>
      </c>
      <c r="E16" s="50">
        <v>15</v>
      </c>
      <c r="F16" s="51"/>
      <c r="G16" s="50" t="s">
        <v>93</v>
      </c>
      <c r="H16" s="50" t="s">
        <v>134</v>
      </c>
      <c r="I16" s="50" t="s">
        <v>81</v>
      </c>
      <c r="J16" s="50"/>
      <c r="K16" s="52">
        <v>46173</v>
      </c>
      <c r="L16" s="50" t="s">
        <v>120</v>
      </c>
      <c r="M16" s="53"/>
      <c r="N16" s="54"/>
      <c r="O16" s="54"/>
      <c r="P16" s="55">
        <v>46139</v>
      </c>
      <c r="Q16" s="54"/>
      <c r="R16" s="54">
        <v>46139</v>
      </c>
      <c r="S16" s="56">
        <v>46139</v>
      </c>
      <c r="T16" s="54"/>
      <c r="U16" s="54">
        <v>46139</v>
      </c>
      <c r="V16" s="57"/>
      <c r="W16" s="54"/>
      <c r="X16" s="50" t="s">
        <v>83</v>
      </c>
      <c r="Y16" s="58" t="s">
        <v>84</v>
      </c>
      <c r="Z16" s="54">
        <v>46139</v>
      </c>
      <c r="AA16" s="59" t="s">
        <v>138</v>
      </c>
      <c r="AB16" s="50" t="s">
        <v>139</v>
      </c>
      <c r="AC16" s="60" t="s">
        <v>26</v>
      </c>
      <c r="AD16" s="65" t="str">
        <f>IF($B16="","",IF(AND(LEFT($AC16,3)="Yes",SUMPRODUCT((TRIM('Rework Log'!$A$3:$A$500)=TRIM($B16))*('Rework Log'!$G$3:$G$500&lt;&gt;"Yes")*('Rework Log'!$G$3:$G$500&lt;&gt;"Did not pass re-test"))=0),"Blocked - log it on Rework Log",IF(AND(LEFT($AC16,3)&lt;&gt;"Yes",SUMPRODUCT((TRIM('Rework Log'!$A$3:$A$500)=TRIM($B16))*('Rework Log'!$G$3:$G$500&lt;&gt;"Yes")*('Rework Log'!$G$3:$G$500&lt;&gt;"Did not pass re-test"))&gt;0),"Open rework row - mark Blocked? or close it",IF(AND(LEFT($AC16,3)&lt;&gt;"Yes",SUMPRODUCT((TRIM('Rework Log'!$A$3:$A$500)=TRIM($B16))*('Rework Log'!$G$3:$G$500&lt;&gt;"Yes")*('Rework Log'!$G$3:$G$500&lt;&gt;"Did not pass re-test"))=0,COUNTIF('Rework Log'!$A$3:$A$500,$B16)&gt;0,IFERROR(INDEX('Rework Log'!$G:$G,SUMPRODUCT(MAX((TRIM('Rework Log'!$A$3:$A$500)=TRIM($B16))*ROW('Rework Log'!$A$3:$A$500)))),"")="Did not pass re-test"),"Last fix rejected - re-block or log next attempt",IF(AND(LEFT($AC16,3)="Yes",ISNUMBER(SEARCH("needs DB Dev",$AC16)),O16&lt;&gt;"",SUMPRODUCT(MAX(((TRIM('Rework Log'!$A$3:$A$500)=TRIM($B16))*('Rework Log'!$G$3:$G$500&lt;&gt;"Yes")*('Rework Log'!$G$3:$G$500&lt;&gt;"Did not pass re-test"))*IFERROR('Rework Log'!$I$3:$I$500*1,0)))&gt;0),"Move old DB Dev completion date to Rework Log (col H)",IF(AND(LEFT($AC16,3)="Yes",ISNUMBER(SEARCH("needs PBI Dev",$AC16)),R16&lt;&gt;"",SUMPRODUCT(MAX(((TRIM('Rework Log'!$A$3:$A$500)=TRIM($B16))*('Rework Log'!$G$3:$G$500&lt;&gt;"Yes")*('Rework Log'!$G$3:$G$500&lt;&gt;"Did not pass re-test"))*IFERROR('Rework Log'!$I$3:$I$500*1,0)))&gt;0),"Move old PBI Dev completion date to Rework Log (col H)",IF(AND(LEFT($AC16,3)="Yes",ISNUMBER(SEARCH("needs QA",$AC16)),U16&lt;&gt;"",SUMPRODUCT(MAX(((TRIM('Rework Log'!$A$3:$A$500)=TRIM($B16))*('Rework Log'!$G$3:$G$500&lt;&gt;"Yes")*('Rework Log'!$G$3:$G$500&lt;&gt;"Did not pass re-test"))*IFERROR('Rework Log'!$I$3:$I$500*1,0)))&gt;0),"Move old QA completion date to Rework Log (col H)",IF(AND(LEFT($AC16,3)="Yes",ISNUMBER(SEARCH("needs DB Dev",$AC16)),TRIM(C16)&lt;&gt;"DB Dev"),"Set Current Status back to DB Dev",IF(AND(LEFT($AC16,3)="Yes",ISNUMBER(SEARCH("needs PBI Dev",$AC16)),TRIM(C16)&lt;&gt;"PBI Dev"),"Set Current Status back to PBI Dev",IF(AND(LEFT($AC16,3)="Yes",ISNUMBER(SEARCH("needs QA",$AC16)),TRIM(C16)&lt;&gt;"QA"),"Set Current Status back to QA",IF(COUNTIF($B$2:$B$500,$B16)&gt;1,"Duplicate name - check row",IF(AND(TRIM(C16)="RELEASED IN PROD",Y16&lt;&gt;"Yes"),"Released but Confirmed Deployed? is not Yes",IF(COUNTIF('Rework Log'!$A$3:$A$500,$B16)&gt;0,"",IF(AND(S16&lt;&gt;"",M16&lt;&gt;"",S16&lt;M16),"QA target is before DB Dev target",IF(AND(S16&lt;&gt;"",P16&lt;&gt;"",S16&lt;P16),"QA target is before PBI Dev target",IF(AND(V16&lt;&gt;"",S16&lt;&gt;"",V16&lt;S16),"DPO Approval target is before QA target",IF(AND(Z16&lt;&gt;"",V16&lt;&gt;"",Z16&lt;V16),"Confirmed Deployed date is before DPO Approval target","")))))))))))))))))</f>
        <v/>
      </c>
      <c r="AE16" s="61"/>
    </row>
    <row r="17" spans="1:31" x14ac:dyDescent="0.25">
      <c r="A17" s="50" t="s">
        <v>76</v>
      </c>
      <c r="B17" s="50" t="s">
        <v>140</v>
      </c>
      <c r="C17" s="50" t="s">
        <v>78</v>
      </c>
      <c r="D17" s="64" t="str">
        <f ca="1">IF($B17="","",IF(LEFT($AC17,3)="Yes",IF(LEN($AC17)&gt;5,"Blocked - "&amp;MID($AC17,7,100),"Blocked")&amp;IF(SUMPRODUCT((TRIM('Rework Log'!$A$3:$A$500)=TRIM($B17))*('Rework Log'!$G$3:$G$500&lt;&gt;"Yes")*('Rework Log'!$G$3:$G$500&lt;&gt;"Did not pass re-test"))=0,"",IF(SUMPRODUCT(((TRIM('Rework Log'!$A$3:$A$500)=TRIM($B17))*('Rework Log'!$G$3:$G$500&lt;&gt;"Yes")*('Rework Log'!$G$3:$G$500&lt;&gt;"Did not pass re-test"))*ISNUMBER('Rework Log'!$J$3:$J$500))&gt;0," - fixed, awaiting re-test",IF(SUMPRODUCT(MAX(((TRIM('Rework Log'!$A$3:$A$500)=TRIM($B17))*('Rework Log'!$G$3:$G$500&lt;&gt;"Yes")*('Rework Log'!$G$3:$G$500&lt;&gt;"Did not pass re-test"))*IFERROR('Rework Log'!$I$3:$I$500*1,0)))=0," - unclaimed"," - promised "&amp;TEXT(SUMPRODUCT(MAX(((TRIM('Rework Log'!$A$3:$A$500)=TRIM($B17))*('Rework Log'!$G$3:$G$500&lt;&gt;"Yes")*('Rework Log'!$G$3:$G$500&lt;&gt;"Did not pass re-test"))*IFERROR('Rework Log'!$I$3:$I$500*1,0))),"m/d")))),IF(TRIM(C17)="NOT STARTED",IF(K17="","No plan date set",IF(K17&lt;TODAY(),"Review - planned start passed","On track")),IF(TRIM(C17)="DB Dev",IF(M17="","No target set",IF(AND(M17&lt;TODAY(),O17=""),"Overdue","On track")),IF(TRIM(C17)="PBI Dev",IF(P17="","No target set",IF(AND(P17&lt;TODAY(),R17=""),"Overdue","On track")),IF(TRIM(C17)="QA",IF(S17="","No target set",IF(AND(S17&lt;TODAY(),U17=""),"Overdue","On track")),IF(TRIM(C17)="DPO Approval",IF(V17="","No target set",IF(V17&lt;TODAY(),"Overdue","On track")),IF(TRIM(C17)="RELEASED IN PROD","Delivered",""))))))))</f>
        <v>Delivered</v>
      </c>
      <c r="E17" s="50">
        <v>16</v>
      </c>
      <c r="F17" s="51"/>
      <c r="G17" s="50" t="s">
        <v>111</v>
      </c>
      <c r="H17" s="50" t="s">
        <v>94</v>
      </c>
      <c r="I17" s="50" t="s">
        <v>81</v>
      </c>
      <c r="J17" s="50"/>
      <c r="K17" s="52">
        <v>46173</v>
      </c>
      <c r="L17" s="50" t="s">
        <v>120</v>
      </c>
      <c r="M17" s="53"/>
      <c r="N17" s="54"/>
      <c r="O17" s="54"/>
      <c r="P17" s="55">
        <v>46147</v>
      </c>
      <c r="Q17" s="54"/>
      <c r="R17" s="54">
        <v>46147</v>
      </c>
      <c r="S17" s="56">
        <v>46147</v>
      </c>
      <c r="T17" s="54"/>
      <c r="U17" s="54">
        <v>46147</v>
      </c>
      <c r="V17" s="57"/>
      <c r="W17" s="54"/>
      <c r="X17" s="50" t="s">
        <v>83</v>
      </c>
      <c r="Y17" s="58" t="s">
        <v>84</v>
      </c>
      <c r="Z17" s="54">
        <v>46147</v>
      </c>
      <c r="AA17" s="59" t="s">
        <v>141</v>
      </c>
      <c r="AB17" s="50" t="s">
        <v>142</v>
      </c>
      <c r="AC17" s="60" t="s">
        <v>26</v>
      </c>
      <c r="AD17" s="65" t="str">
        <f>IF($B17="","",IF(AND(LEFT($AC17,3)="Yes",SUMPRODUCT((TRIM('Rework Log'!$A$3:$A$500)=TRIM($B17))*('Rework Log'!$G$3:$G$500&lt;&gt;"Yes")*('Rework Log'!$G$3:$G$500&lt;&gt;"Did not pass re-test"))=0),"Blocked - log it on Rework Log",IF(AND(LEFT($AC17,3)&lt;&gt;"Yes",SUMPRODUCT((TRIM('Rework Log'!$A$3:$A$500)=TRIM($B17))*('Rework Log'!$G$3:$G$500&lt;&gt;"Yes")*('Rework Log'!$G$3:$G$500&lt;&gt;"Did not pass re-test"))&gt;0),"Open rework row - mark Blocked? or close it",IF(AND(LEFT($AC17,3)&lt;&gt;"Yes",SUMPRODUCT((TRIM('Rework Log'!$A$3:$A$500)=TRIM($B17))*('Rework Log'!$G$3:$G$500&lt;&gt;"Yes")*('Rework Log'!$G$3:$G$500&lt;&gt;"Did not pass re-test"))=0,COUNTIF('Rework Log'!$A$3:$A$500,$B17)&gt;0,IFERROR(INDEX('Rework Log'!$G:$G,SUMPRODUCT(MAX((TRIM('Rework Log'!$A$3:$A$500)=TRIM($B17))*ROW('Rework Log'!$A$3:$A$500)))),"")="Did not pass re-test"),"Last fix rejected - re-block or log next attempt",IF(AND(LEFT($AC17,3)="Yes",ISNUMBER(SEARCH("needs DB Dev",$AC17)),O17&lt;&gt;"",SUMPRODUCT(MAX(((TRIM('Rework Log'!$A$3:$A$500)=TRIM($B17))*('Rework Log'!$G$3:$G$500&lt;&gt;"Yes")*('Rework Log'!$G$3:$G$500&lt;&gt;"Did not pass re-test"))*IFERROR('Rework Log'!$I$3:$I$500*1,0)))&gt;0),"Move old DB Dev completion date to Rework Log (col H)",IF(AND(LEFT($AC17,3)="Yes",ISNUMBER(SEARCH("needs PBI Dev",$AC17)),R17&lt;&gt;"",SUMPRODUCT(MAX(((TRIM('Rework Log'!$A$3:$A$500)=TRIM($B17))*('Rework Log'!$G$3:$G$500&lt;&gt;"Yes")*('Rework Log'!$G$3:$G$500&lt;&gt;"Did not pass re-test"))*IFERROR('Rework Log'!$I$3:$I$500*1,0)))&gt;0),"Move old PBI Dev completion date to Rework Log (col H)",IF(AND(LEFT($AC17,3)="Yes",ISNUMBER(SEARCH("needs QA",$AC17)),U17&lt;&gt;"",SUMPRODUCT(MAX(((TRIM('Rework Log'!$A$3:$A$500)=TRIM($B17))*('Rework Log'!$G$3:$G$500&lt;&gt;"Yes")*('Rework Log'!$G$3:$G$500&lt;&gt;"Did not pass re-test"))*IFERROR('Rework Log'!$I$3:$I$500*1,0)))&gt;0),"Move old QA completion date to Rework Log (col H)",IF(AND(LEFT($AC17,3)="Yes",ISNUMBER(SEARCH("needs DB Dev",$AC17)),TRIM(C17)&lt;&gt;"DB Dev"),"Set Current Status back to DB Dev",IF(AND(LEFT($AC17,3)="Yes",ISNUMBER(SEARCH("needs PBI Dev",$AC17)),TRIM(C17)&lt;&gt;"PBI Dev"),"Set Current Status back to PBI Dev",IF(AND(LEFT($AC17,3)="Yes",ISNUMBER(SEARCH("needs QA",$AC17)),TRIM(C17)&lt;&gt;"QA"),"Set Current Status back to QA",IF(COUNTIF($B$2:$B$500,$B17)&gt;1,"Duplicate name - check row",IF(AND(TRIM(C17)="RELEASED IN PROD",Y17&lt;&gt;"Yes"),"Released but Confirmed Deployed? is not Yes",IF(COUNTIF('Rework Log'!$A$3:$A$500,$B17)&gt;0,"",IF(AND(S17&lt;&gt;"",M17&lt;&gt;"",S17&lt;M17),"QA target is before DB Dev target",IF(AND(S17&lt;&gt;"",P17&lt;&gt;"",S17&lt;P17),"QA target is before PBI Dev target",IF(AND(V17&lt;&gt;"",S17&lt;&gt;"",V17&lt;S17),"DPO Approval target is before QA target",IF(AND(Z17&lt;&gt;"",V17&lt;&gt;"",Z17&lt;V17),"Confirmed Deployed date is before DPO Approval target","")))))))))))))))))</f>
        <v/>
      </c>
      <c r="AE17" s="61"/>
    </row>
    <row r="18" spans="1:31" x14ac:dyDescent="0.25">
      <c r="A18" s="50" t="s">
        <v>76</v>
      </c>
      <c r="B18" s="50" t="s">
        <v>143</v>
      </c>
      <c r="C18" s="50" t="s">
        <v>78</v>
      </c>
      <c r="D18" s="64" t="str">
        <f ca="1">IF($B18="","",IF(LEFT($AC18,3)="Yes",IF(LEN($AC18)&gt;5,"Blocked - "&amp;MID($AC18,7,100),"Blocked")&amp;IF(SUMPRODUCT((TRIM('Rework Log'!$A$3:$A$500)=TRIM($B18))*('Rework Log'!$G$3:$G$500&lt;&gt;"Yes")*('Rework Log'!$G$3:$G$500&lt;&gt;"Did not pass re-test"))=0,"",IF(SUMPRODUCT(((TRIM('Rework Log'!$A$3:$A$500)=TRIM($B18))*('Rework Log'!$G$3:$G$500&lt;&gt;"Yes")*('Rework Log'!$G$3:$G$500&lt;&gt;"Did not pass re-test"))*ISNUMBER('Rework Log'!$J$3:$J$500))&gt;0," - fixed, awaiting re-test",IF(SUMPRODUCT(MAX(((TRIM('Rework Log'!$A$3:$A$500)=TRIM($B18))*('Rework Log'!$G$3:$G$500&lt;&gt;"Yes")*('Rework Log'!$G$3:$G$500&lt;&gt;"Did not pass re-test"))*IFERROR('Rework Log'!$I$3:$I$500*1,0)))=0," - unclaimed"," - promised "&amp;TEXT(SUMPRODUCT(MAX(((TRIM('Rework Log'!$A$3:$A$500)=TRIM($B18))*('Rework Log'!$G$3:$G$500&lt;&gt;"Yes")*('Rework Log'!$G$3:$G$500&lt;&gt;"Did not pass re-test"))*IFERROR('Rework Log'!$I$3:$I$500*1,0))),"m/d")))),IF(TRIM(C18)="NOT STARTED",IF(K18="","No plan date set",IF(K18&lt;TODAY(),"Review - planned start passed","On track")),IF(TRIM(C18)="DB Dev",IF(M18="","No target set",IF(AND(M18&lt;TODAY(),O18=""),"Overdue","On track")),IF(TRIM(C18)="PBI Dev",IF(P18="","No target set",IF(AND(P18&lt;TODAY(),R18=""),"Overdue","On track")),IF(TRIM(C18)="QA",IF(S18="","No target set",IF(AND(S18&lt;TODAY(),U18=""),"Overdue","On track")),IF(TRIM(C18)="DPO Approval",IF(V18="","No target set",IF(V18&lt;TODAY(),"Overdue","On track")),IF(TRIM(C18)="RELEASED IN PROD","Delivered",""))))))))</f>
        <v>Delivered</v>
      </c>
      <c r="E18" s="50">
        <v>17</v>
      </c>
      <c r="F18" s="51"/>
      <c r="G18" s="50" t="s">
        <v>111</v>
      </c>
      <c r="H18" s="50" t="s">
        <v>80</v>
      </c>
      <c r="I18" s="50" t="s">
        <v>119</v>
      </c>
      <c r="J18" s="50"/>
      <c r="K18" s="52">
        <v>46173</v>
      </c>
      <c r="L18" s="50" t="s">
        <v>120</v>
      </c>
      <c r="M18" s="53"/>
      <c r="N18" s="54"/>
      <c r="O18" s="54"/>
      <c r="P18" s="55">
        <v>46175</v>
      </c>
      <c r="Q18" s="54"/>
      <c r="R18" s="54">
        <v>46175</v>
      </c>
      <c r="S18" s="56">
        <v>46179</v>
      </c>
      <c r="T18" s="54"/>
      <c r="U18" s="54">
        <v>46179</v>
      </c>
      <c r="V18" s="57"/>
      <c r="W18" s="54"/>
      <c r="X18" s="50" t="s">
        <v>83</v>
      </c>
      <c r="Y18" s="58" t="s">
        <v>84</v>
      </c>
      <c r="Z18" s="54">
        <v>46179</v>
      </c>
      <c r="AA18" s="59" t="s">
        <v>144</v>
      </c>
      <c r="AB18" s="50"/>
      <c r="AC18" s="60" t="s">
        <v>26</v>
      </c>
      <c r="AD18" s="65" t="str">
        <f>IF($B18="","",IF(AND(LEFT($AC18,3)="Yes",SUMPRODUCT((TRIM('Rework Log'!$A$3:$A$500)=TRIM($B18))*('Rework Log'!$G$3:$G$500&lt;&gt;"Yes")*('Rework Log'!$G$3:$G$500&lt;&gt;"Did not pass re-test"))=0),"Blocked - log it on Rework Log",IF(AND(LEFT($AC18,3)&lt;&gt;"Yes",SUMPRODUCT((TRIM('Rework Log'!$A$3:$A$500)=TRIM($B18))*('Rework Log'!$G$3:$G$500&lt;&gt;"Yes")*('Rework Log'!$G$3:$G$500&lt;&gt;"Did not pass re-test"))&gt;0),"Open rework row - mark Blocked? or close it",IF(AND(LEFT($AC18,3)&lt;&gt;"Yes",SUMPRODUCT((TRIM('Rework Log'!$A$3:$A$500)=TRIM($B18))*('Rework Log'!$G$3:$G$500&lt;&gt;"Yes")*('Rework Log'!$G$3:$G$500&lt;&gt;"Did not pass re-test"))=0,COUNTIF('Rework Log'!$A$3:$A$500,$B18)&gt;0,IFERROR(INDEX('Rework Log'!$G:$G,SUMPRODUCT(MAX((TRIM('Rework Log'!$A$3:$A$500)=TRIM($B18))*ROW('Rework Log'!$A$3:$A$500)))),"")="Did not pass re-test"),"Last fix rejected - re-block or log next attempt",IF(AND(LEFT($AC18,3)="Yes",ISNUMBER(SEARCH("needs DB Dev",$AC18)),O18&lt;&gt;"",SUMPRODUCT(MAX(((TRIM('Rework Log'!$A$3:$A$500)=TRIM($B18))*('Rework Log'!$G$3:$G$500&lt;&gt;"Yes")*('Rework Log'!$G$3:$G$500&lt;&gt;"Did not pass re-test"))*IFERROR('Rework Log'!$I$3:$I$500*1,0)))&gt;0),"Move old DB Dev completion date to Rework Log (col H)",IF(AND(LEFT($AC18,3)="Yes",ISNUMBER(SEARCH("needs PBI Dev",$AC18)),R18&lt;&gt;"",SUMPRODUCT(MAX(((TRIM('Rework Log'!$A$3:$A$500)=TRIM($B18))*('Rework Log'!$G$3:$G$500&lt;&gt;"Yes")*('Rework Log'!$G$3:$G$500&lt;&gt;"Did not pass re-test"))*IFERROR('Rework Log'!$I$3:$I$500*1,0)))&gt;0),"Move old PBI Dev completion date to Rework Log (col H)",IF(AND(LEFT($AC18,3)="Yes",ISNUMBER(SEARCH("needs QA",$AC18)),U18&lt;&gt;"",SUMPRODUCT(MAX(((TRIM('Rework Log'!$A$3:$A$500)=TRIM($B18))*('Rework Log'!$G$3:$G$500&lt;&gt;"Yes")*('Rework Log'!$G$3:$G$500&lt;&gt;"Did not pass re-test"))*IFERROR('Rework Log'!$I$3:$I$500*1,0)))&gt;0),"Move old QA completion date to Rework Log (col H)",IF(AND(LEFT($AC18,3)="Yes",ISNUMBER(SEARCH("needs DB Dev",$AC18)),TRIM(C18)&lt;&gt;"DB Dev"),"Set Current Status back to DB Dev",IF(AND(LEFT($AC18,3)="Yes",ISNUMBER(SEARCH("needs PBI Dev",$AC18)),TRIM(C18)&lt;&gt;"PBI Dev"),"Set Current Status back to PBI Dev",IF(AND(LEFT($AC18,3)="Yes",ISNUMBER(SEARCH("needs QA",$AC18)),TRIM(C18)&lt;&gt;"QA"),"Set Current Status back to QA",IF(COUNTIF($B$2:$B$500,$B18)&gt;1,"Duplicate name - check row",IF(AND(TRIM(C18)="RELEASED IN PROD",Y18&lt;&gt;"Yes"),"Released but Confirmed Deployed? is not Yes",IF(COUNTIF('Rework Log'!$A$3:$A$500,$B18)&gt;0,"",IF(AND(S18&lt;&gt;"",M18&lt;&gt;"",S18&lt;M18),"QA target is before DB Dev target",IF(AND(S18&lt;&gt;"",P18&lt;&gt;"",S18&lt;P18),"QA target is before PBI Dev target",IF(AND(V18&lt;&gt;"",S18&lt;&gt;"",V18&lt;S18),"DPO Approval target is before QA target",IF(AND(Z18&lt;&gt;"",V18&lt;&gt;"",Z18&lt;V18),"Confirmed Deployed date is before DPO Approval target","")))))))))))))))))</f>
        <v/>
      </c>
      <c r="AE18" s="61"/>
    </row>
    <row r="19" spans="1:31" x14ac:dyDescent="0.25">
      <c r="A19" s="50" t="s">
        <v>76</v>
      </c>
      <c r="B19" s="50" t="s">
        <v>145</v>
      </c>
      <c r="C19" s="50" t="s">
        <v>78</v>
      </c>
      <c r="D19" s="64" t="str">
        <f ca="1">IF($B19="","",IF(LEFT($AC19,3)="Yes",IF(LEN($AC19)&gt;5,"Blocked - "&amp;MID($AC19,7,100),"Blocked")&amp;IF(SUMPRODUCT((TRIM('Rework Log'!$A$3:$A$500)=TRIM($B19))*('Rework Log'!$G$3:$G$500&lt;&gt;"Yes")*('Rework Log'!$G$3:$G$500&lt;&gt;"Did not pass re-test"))=0,"",IF(SUMPRODUCT(((TRIM('Rework Log'!$A$3:$A$500)=TRIM($B19))*('Rework Log'!$G$3:$G$500&lt;&gt;"Yes")*('Rework Log'!$G$3:$G$500&lt;&gt;"Did not pass re-test"))*ISNUMBER('Rework Log'!$J$3:$J$500))&gt;0," - fixed, awaiting re-test",IF(SUMPRODUCT(MAX(((TRIM('Rework Log'!$A$3:$A$500)=TRIM($B19))*('Rework Log'!$G$3:$G$500&lt;&gt;"Yes")*('Rework Log'!$G$3:$G$500&lt;&gt;"Did not pass re-test"))*IFERROR('Rework Log'!$I$3:$I$500*1,0)))=0," - unclaimed"," - promised "&amp;TEXT(SUMPRODUCT(MAX(((TRIM('Rework Log'!$A$3:$A$500)=TRIM($B19))*('Rework Log'!$G$3:$G$500&lt;&gt;"Yes")*('Rework Log'!$G$3:$G$500&lt;&gt;"Did not pass re-test"))*IFERROR('Rework Log'!$I$3:$I$500*1,0))),"m/d")))),IF(TRIM(C19)="NOT STARTED",IF(K19="","No plan date set",IF(K19&lt;TODAY(),"Review - planned start passed","On track")),IF(TRIM(C19)="DB Dev",IF(M19="","No target set",IF(AND(M19&lt;TODAY(),O19=""),"Overdue","On track")),IF(TRIM(C19)="PBI Dev",IF(P19="","No target set",IF(AND(P19&lt;TODAY(),R19=""),"Overdue","On track")),IF(TRIM(C19)="QA",IF(S19="","No target set",IF(AND(S19&lt;TODAY(),U19=""),"Overdue","On track")),IF(TRIM(C19)="DPO Approval",IF(V19="","No target set",IF(V19&lt;TODAY(),"Overdue","On track")),IF(TRIM(C19)="RELEASED IN PROD","Delivered",""))))))))</f>
        <v>Delivered</v>
      </c>
      <c r="E19" s="50">
        <v>18</v>
      </c>
      <c r="F19" s="51"/>
      <c r="G19" s="50" t="s">
        <v>79</v>
      </c>
      <c r="H19" s="50" t="s">
        <v>94</v>
      </c>
      <c r="I19" s="50" t="s">
        <v>119</v>
      </c>
      <c r="J19" s="50"/>
      <c r="K19" s="52">
        <v>46173</v>
      </c>
      <c r="L19" s="50" t="s">
        <v>120</v>
      </c>
      <c r="M19" s="53"/>
      <c r="N19" s="54"/>
      <c r="O19" s="54"/>
      <c r="P19" s="55">
        <v>46143</v>
      </c>
      <c r="Q19" s="54"/>
      <c r="R19" s="54">
        <v>46143</v>
      </c>
      <c r="S19" s="56">
        <v>46175</v>
      </c>
      <c r="T19" s="54"/>
      <c r="U19" s="54">
        <v>46175</v>
      </c>
      <c r="V19" s="57">
        <v>46184</v>
      </c>
      <c r="W19" s="54"/>
      <c r="X19" s="50" t="s">
        <v>83</v>
      </c>
      <c r="Y19" s="58" t="s">
        <v>84</v>
      </c>
      <c r="Z19" s="54">
        <v>46184</v>
      </c>
      <c r="AA19" s="59" t="s">
        <v>146</v>
      </c>
      <c r="AB19" s="50" t="s">
        <v>147</v>
      </c>
      <c r="AC19" s="60" t="s">
        <v>26</v>
      </c>
      <c r="AD19" s="65" t="str">
        <f>IF($B19="","",IF(AND(LEFT($AC19,3)="Yes",SUMPRODUCT((TRIM('Rework Log'!$A$3:$A$500)=TRIM($B19))*('Rework Log'!$G$3:$G$500&lt;&gt;"Yes")*('Rework Log'!$G$3:$G$500&lt;&gt;"Did not pass re-test"))=0),"Blocked - log it on Rework Log",IF(AND(LEFT($AC19,3)&lt;&gt;"Yes",SUMPRODUCT((TRIM('Rework Log'!$A$3:$A$500)=TRIM($B19))*('Rework Log'!$G$3:$G$500&lt;&gt;"Yes")*('Rework Log'!$G$3:$G$500&lt;&gt;"Did not pass re-test"))&gt;0),"Open rework row - mark Blocked? or close it",IF(AND(LEFT($AC19,3)&lt;&gt;"Yes",SUMPRODUCT((TRIM('Rework Log'!$A$3:$A$500)=TRIM($B19))*('Rework Log'!$G$3:$G$500&lt;&gt;"Yes")*('Rework Log'!$G$3:$G$500&lt;&gt;"Did not pass re-test"))=0,COUNTIF('Rework Log'!$A$3:$A$500,$B19)&gt;0,IFERROR(INDEX('Rework Log'!$G:$G,SUMPRODUCT(MAX((TRIM('Rework Log'!$A$3:$A$500)=TRIM($B19))*ROW('Rework Log'!$A$3:$A$500)))),"")="Did not pass re-test"),"Last fix rejected - re-block or log next attempt",IF(AND(LEFT($AC19,3)="Yes",ISNUMBER(SEARCH("needs DB Dev",$AC19)),O19&lt;&gt;"",SUMPRODUCT(MAX(((TRIM('Rework Log'!$A$3:$A$500)=TRIM($B19))*('Rework Log'!$G$3:$G$500&lt;&gt;"Yes")*('Rework Log'!$G$3:$G$500&lt;&gt;"Did not pass re-test"))*IFERROR('Rework Log'!$I$3:$I$500*1,0)))&gt;0),"Move old DB Dev completion date to Rework Log (col H)",IF(AND(LEFT($AC19,3)="Yes",ISNUMBER(SEARCH("needs PBI Dev",$AC19)),R19&lt;&gt;"",SUMPRODUCT(MAX(((TRIM('Rework Log'!$A$3:$A$500)=TRIM($B19))*('Rework Log'!$G$3:$G$500&lt;&gt;"Yes")*('Rework Log'!$G$3:$G$500&lt;&gt;"Did not pass re-test"))*IFERROR('Rework Log'!$I$3:$I$500*1,0)))&gt;0),"Move old PBI Dev completion date to Rework Log (col H)",IF(AND(LEFT($AC19,3)="Yes",ISNUMBER(SEARCH("needs QA",$AC19)),U19&lt;&gt;"",SUMPRODUCT(MAX(((TRIM('Rework Log'!$A$3:$A$500)=TRIM($B19))*('Rework Log'!$G$3:$G$500&lt;&gt;"Yes")*('Rework Log'!$G$3:$G$500&lt;&gt;"Did not pass re-test"))*IFERROR('Rework Log'!$I$3:$I$500*1,0)))&gt;0),"Move old QA completion date to Rework Log (col H)",IF(AND(LEFT($AC19,3)="Yes",ISNUMBER(SEARCH("needs DB Dev",$AC19)),TRIM(C19)&lt;&gt;"DB Dev"),"Set Current Status back to DB Dev",IF(AND(LEFT($AC19,3)="Yes",ISNUMBER(SEARCH("needs PBI Dev",$AC19)),TRIM(C19)&lt;&gt;"PBI Dev"),"Set Current Status back to PBI Dev",IF(AND(LEFT($AC19,3)="Yes",ISNUMBER(SEARCH("needs QA",$AC19)),TRIM(C19)&lt;&gt;"QA"),"Set Current Status back to QA",IF(COUNTIF($B$2:$B$500,$B19)&gt;1,"Duplicate name - check row",IF(AND(TRIM(C19)="RELEASED IN PROD",Y19&lt;&gt;"Yes"),"Released but Confirmed Deployed? is not Yes",IF(COUNTIF('Rework Log'!$A$3:$A$500,$B19)&gt;0,"",IF(AND(S19&lt;&gt;"",M19&lt;&gt;"",S19&lt;M19),"QA target is before DB Dev target",IF(AND(S19&lt;&gt;"",P19&lt;&gt;"",S19&lt;P19),"QA target is before PBI Dev target",IF(AND(V19&lt;&gt;"",S19&lt;&gt;"",V19&lt;S19),"DPO Approval target is before QA target",IF(AND(Z19&lt;&gt;"",V19&lt;&gt;"",Z19&lt;V19),"Confirmed Deployed date is before DPO Approval target","")))))))))))))))))</f>
        <v/>
      </c>
      <c r="AE19" s="61"/>
    </row>
    <row r="20" spans="1:31" x14ac:dyDescent="0.25">
      <c r="A20" s="50" t="s">
        <v>76</v>
      </c>
      <c r="B20" s="50" t="s">
        <v>148</v>
      </c>
      <c r="C20" s="50" t="s">
        <v>78</v>
      </c>
      <c r="D20" s="64" t="str">
        <f ca="1">IF($B20="","",IF(LEFT($AC20,3)="Yes",IF(LEN($AC20)&gt;5,"Blocked - "&amp;MID($AC20,7,100),"Blocked")&amp;IF(SUMPRODUCT((TRIM('Rework Log'!$A$3:$A$500)=TRIM($B20))*('Rework Log'!$G$3:$G$500&lt;&gt;"Yes")*('Rework Log'!$G$3:$G$500&lt;&gt;"Did not pass re-test"))=0,"",IF(SUMPRODUCT(((TRIM('Rework Log'!$A$3:$A$500)=TRIM($B20))*('Rework Log'!$G$3:$G$500&lt;&gt;"Yes")*('Rework Log'!$G$3:$G$500&lt;&gt;"Did not pass re-test"))*ISNUMBER('Rework Log'!$J$3:$J$500))&gt;0," - fixed, awaiting re-test",IF(SUMPRODUCT(MAX(((TRIM('Rework Log'!$A$3:$A$500)=TRIM($B20))*('Rework Log'!$G$3:$G$500&lt;&gt;"Yes")*('Rework Log'!$G$3:$G$500&lt;&gt;"Did not pass re-test"))*IFERROR('Rework Log'!$I$3:$I$500*1,0)))=0," - unclaimed"," - promised "&amp;TEXT(SUMPRODUCT(MAX(((TRIM('Rework Log'!$A$3:$A$500)=TRIM($B20))*('Rework Log'!$G$3:$G$500&lt;&gt;"Yes")*('Rework Log'!$G$3:$G$500&lt;&gt;"Did not pass re-test"))*IFERROR('Rework Log'!$I$3:$I$500*1,0))),"m/d")))),IF(TRIM(C20)="NOT STARTED",IF(K20="","No plan date set",IF(K20&lt;TODAY(),"Review - planned start passed","On track")),IF(TRIM(C20)="DB Dev",IF(M20="","No target set",IF(AND(M20&lt;TODAY(),O20=""),"Overdue","On track")),IF(TRIM(C20)="PBI Dev",IF(P20="","No target set",IF(AND(P20&lt;TODAY(),R20=""),"Overdue","On track")),IF(TRIM(C20)="QA",IF(S20="","No target set",IF(AND(S20&lt;TODAY(),U20=""),"Overdue","On track")),IF(TRIM(C20)="DPO Approval",IF(V20="","No target set",IF(V20&lt;TODAY(),"Overdue","On track")),IF(TRIM(C20)="RELEASED IN PROD","Delivered",""))))))))</f>
        <v>Delivered</v>
      </c>
      <c r="E20" s="50">
        <v>19</v>
      </c>
      <c r="F20" s="51"/>
      <c r="G20" s="50" t="s">
        <v>79</v>
      </c>
      <c r="H20" s="50" t="s">
        <v>134</v>
      </c>
      <c r="I20" s="50" t="s">
        <v>81</v>
      </c>
      <c r="J20" s="50"/>
      <c r="K20" s="52">
        <v>46173</v>
      </c>
      <c r="L20" s="50" t="s">
        <v>120</v>
      </c>
      <c r="M20" s="53">
        <v>46175</v>
      </c>
      <c r="N20" s="54"/>
      <c r="O20" s="54">
        <v>46175</v>
      </c>
      <c r="P20" s="55">
        <v>46178</v>
      </c>
      <c r="Q20" s="54"/>
      <c r="R20" s="54">
        <v>46178</v>
      </c>
      <c r="S20" s="56">
        <v>46175</v>
      </c>
      <c r="T20" s="54"/>
      <c r="U20" s="54">
        <v>46175</v>
      </c>
      <c r="V20" s="57">
        <v>46192</v>
      </c>
      <c r="W20" s="54"/>
      <c r="X20" s="50" t="s">
        <v>83</v>
      </c>
      <c r="Y20" s="58" t="s">
        <v>84</v>
      </c>
      <c r="Z20" s="54">
        <v>46192</v>
      </c>
      <c r="AA20" s="59" t="s">
        <v>149</v>
      </c>
      <c r="AB20" s="50"/>
      <c r="AC20" s="60" t="s">
        <v>26</v>
      </c>
      <c r="AD20" s="65" t="str">
        <f>IF($B20="","",IF(AND(LEFT($AC20,3)="Yes",SUMPRODUCT((TRIM('Rework Log'!$A$3:$A$500)=TRIM($B20))*('Rework Log'!$G$3:$G$500&lt;&gt;"Yes")*('Rework Log'!$G$3:$G$500&lt;&gt;"Did not pass re-test"))=0),"Blocked - log it on Rework Log",IF(AND(LEFT($AC20,3)&lt;&gt;"Yes",SUMPRODUCT((TRIM('Rework Log'!$A$3:$A$500)=TRIM($B20))*('Rework Log'!$G$3:$G$500&lt;&gt;"Yes")*('Rework Log'!$G$3:$G$500&lt;&gt;"Did not pass re-test"))&gt;0),"Open rework row - mark Blocked? or close it",IF(AND(LEFT($AC20,3)&lt;&gt;"Yes",SUMPRODUCT((TRIM('Rework Log'!$A$3:$A$500)=TRIM($B20))*('Rework Log'!$G$3:$G$500&lt;&gt;"Yes")*('Rework Log'!$G$3:$G$500&lt;&gt;"Did not pass re-test"))=0,COUNTIF('Rework Log'!$A$3:$A$500,$B20)&gt;0,IFERROR(INDEX('Rework Log'!$G:$G,SUMPRODUCT(MAX((TRIM('Rework Log'!$A$3:$A$500)=TRIM($B20))*ROW('Rework Log'!$A$3:$A$500)))),"")="Did not pass re-test"),"Last fix rejected - re-block or log next attempt",IF(AND(LEFT($AC20,3)="Yes",ISNUMBER(SEARCH("needs DB Dev",$AC20)),O20&lt;&gt;"",SUMPRODUCT(MAX(((TRIM('Rework Log'!$A$3:$A$500)=TRIM($B20))*('Rework Log'!$G$3:$G$500&lt;&gt;"Yes")*('Rework Log'!$G$3:$G$500&lt;&gt;"Did not pass re-test"))*IFERROR('Rework Log'!$I$3:$I$500*1,0)))&gt;0),"Move old DB Dev completion date to Rework Log (col H)",IF(AND(LEFT($AC20,3)="Yes",ISNUMBER(SEARCH("needs PBI Dev",$AC20)),R20&lt;&gt;"",SUMPRODUCT(MAX(((TRIM('Rework Log'!$A$3:$A$500)=TRIM($B20))*('Rework Log'!$G$3:$G$500&lt;&gt;"Yes")*('Rework Log'!$G$3:$G$500&lt;&gt;"Did not pass re-test"))*IFERROR('Rework Log'!$I$3:$I$500*1,0)))&gt;0),"Move old PBI Dev completion date to Rework Log (col H)",IF(AND(LEFT($AC20,3)="Yes",ISNUMBER(SEARCH("needs QA",$AC20)),U20&lt;&gt;"",SUMPRODUCT(MAX(((TRIM('Rework Log'!$A$3:$A$500)=TRIM($B20))*('Rework Log'!$G$3:$G$500&lt;&gt;"Yes")*('Rework Log'!$G$3:$G$500&lt;&gt;"Did not pass re-test"))*IFERROR('Rework Log'!$I$3:$I$500*1,0)))&gt;0),"Move old QA completion date to Rework Log (col H)",IF(AND(LEFT($AC20,3)="Yes",ISNUMBER(SEARCH("needs DB Dev",$AC20)),TRIM(C20)&lt;&gt;"DB Dev"),"Set Current Status back to DB Dev",IF(AND(LEFT($AC20,3)="Yes",ISNUMBER(SEARCH("needs PBI Dev",$AC20)),TRIM(C20)&lt;&gt;"PBI Dev"),"Set Current Status back to PBI Dev",IF(AND(LEFT($AC20,3)="Yes",ISNUMBER(SEARCH("needs QA",$AC20)),TRIM(C20)&lt;&gt;"QA"),"Set Current Status back to QA",IF(COUNTIF($B$2:$B$500,$B20)&gt;1,"Duplicate name - check row",IF(AND(TRIM(C20)="RELEASED IN PROD",Y20&lt;&gt;"Yes"),"Released but Confirmed Deployed? is not Yes",IF(COUNTIF('Rework Log'!$A$3:$A$500,$B20)&gt;0,"",IF(AND(S20&lt;&gt;"",M20&lt;&gt;"",S20&lt;M20),"QA target is before DB Dev target",IF(AND(S20&lt;&gt;"",P20&lt;&gt;"",S20&lt;P20),"QA target is before PBI Dev target",IF(AND(V20&lt;&gt;"",S20&lt;&gt;"",V20&lt;S20),"DPO Approval target is before QA target",IF(AND(Z20&lt;&gt;"",V20&lt;&gt;"",Z20&lt;V20),"Confirmed Deployed date is before DPO Approval target","")))))))))))))))))</f>
        <v>QA target is before PBI Dev target</v>
      </c>
      <c r="AE20" s="61" t="s">
        <v>150</v>
      </c>
    </row>
    <row r="21" spans="1:31" x14ac:dyDescent="0.25">
      <c r="A21" s="50" t="s">
        <v>76</v>
      </c>
      <c r="B21" s="50" t="s">
        <v>151</v>
      </c>
      <c r="C21" s="50" t="s">
        <v>78</v>
      </c>
      <c r="D21" s="64" t="str">
        <f ca="1">IF($B21="","",IF(LEFT($AC21,3)="Yes",IF(LEN($AC21)&gt;5,"Blocked - "&amp;MID($AC21,7,100),"Blocked")&amp;IF(SUMPRODUCT((TRIM('Rework Log'!$A$3:$A$500)=TRIM($B21))*('Rework Log'!$G$3:$G$500&lt;&gt;"Yes")*('Rework Log'!$G$3:$G$500&lt;&gt;"Did not pass re-test"))=0,"",IF(SUMPRODUCT(((TRIM('Rework Log'!$A$3:$A$500)=TRIM($B21))*('Rework Log'!$G$3:$G$500&lt;&gt;"Yes")*('Rework Log'!$G$3:$G$500&lt;&gt;"Did not pass re-test"))*ISNUMBER('Rework Log'!$J$3:$J$500))&gt;0," - fixed, awaiting re-test",IF(SUMPRODUCT(MAX(((TRIM('Rework Log'!$A$3:$A$500)=TRIM($B21))*('Rework Log'!$G$3:$G$500&lt;&gt;"Yes")*('Rework Log'!$G$3:$G$500&lt;&gt;"Did not pass re-test"))*IFERROR('Rework Log'!$I$3:$I$500*1,0)))=0," - unclaimed"," - promised "&amp;TEXT(SUMPRODUCT(MAX(((TRIM('Rework Log'!$A$3:$A$500)=TRIM($B21))*('Rework Log'!$G$3:$G$500&lt;&gt;"Yes")*('Rework Log'!$G$3:$G$500&lt;&gt;"Did not pass re-test"))*IFERROR('Rework Log'!$I$3:$I$500*1,0))),"m/d")))),IF(TRIM(C21)="NOT STARTED",IF(K21="","No plan date set",IF(K21&lt;TODAY(),"Review - planned start passed","On track")),IF(TRIM(C21)="DB Dev",IF(M21="","No target set",IF(AND(M21&lt;TODAY(),O21=""),"Overdue","On track")),IF(TRIM(C21)="PBI Dev",IF(P21="","No target set",IF(AND(P21&lt;TODAY(),R21=""),"Overdue","On track")),IF(TRIM(C21)="QA",IF(S21="","No target set",IF(AND(S21&lt;TODAY(),U21=""),"Overdue","On track")),IF(TRIM(C21)="DPO Approval",IF(V21="","No target set",IF(V21&lt;TODAY(),"Overdue","On track")),IF(TRIM(C21)="RELEASED IN PROD","Delivered",""))))))))</f>
        <v>Delivered</v>
      </c>
      <c r="E21" s="50">
        <v>20</v>
      </c>
      <c r="F21" s="51"/>
      <c r="G21" s="50" t="s">
        <v>131</v>
      </c>
      <c r="H21" s="50" t="s">
        <v>94</v>
      </c>
      <c r="I21" s="50" t="s">
        <v>81</v>
      </c>
      <c r="J21" s="50"/>
      <c r="K21" s="52">
        <v>46203</v>
      </c>
      <c r="L21" s="50" t="s">
        <v>152</v>
      </c>
      <c r="M21" s="53">
        <v>46148</v>
      </c>
      <c r="N21" s="54"/>
      <c r="O21" s="54">
        <v>46148</v>
      </c>
      <c r="P21" s="55">
        <v>46183</v>
      </c>
      <c r="Q21" s="54"/>
      <c r="R21" s="54">
        <v>46183</v>
      </c>
      <c r="S21" s="56">
        <v>46195</v>
      </c>
      <c r="T21" s="54"/>
      <c r="U21" s="54">
        <v>46195</v>
      </c>
      <c r="V21" s="57"/>
      <c r="W21" s="54"/>
      <c r="X21" s="50"/>
      <c r="Y21" s="58" t="s">
        <v>84</v>
      </c>
      <c r="Z21" s="54">
        <v>46195</v>
      </c>
      <c r="AA21" s="59"/>
      <c r="AB21" s="50"/>
      <c r="AC21" s="60" t="s">
        <v>26</v>
      </c>
      <c r="AD21" s="65" t="str">
        <f>IF($B21="","",IF(AND(LEFT($AC21,3)="Yes",SUMPRODUCT((TRIM('Rework Log'!$A$3:$A$500)=TRIM($B21))*('Rework Log'!$G$3:$G$500&lt;&gt;"Yes")*('Rework Log'!$G$3:$G$500&lt;&gt;"Did not pass re-test"))=0),"Blocked - log it on Rework Log",IF(AND(LEFT($AC21,3)&lt;&gt;"Yes",SUMPRODUCT((TRIM('Rework Log'!$A$3:$A$500)=TRIM($B21))*('Rework Log'!$G$3:$G$500&lt;&gt;"Yes")*('Rework Log'!$G$3:$G$500&lt;&gt;"Did not pass re-test"))&gt;0),"Open rework row - mark Blocked? or close it",IF(AND(LEFT($AC21,3)&lt;&gt;"Yes",SUMPRODUCT((TRIM('Rework Log'!$A$3:$A$500)=TRIM($B21))*('Rework Log'!$G$3:$G$500&lt;&gt;"Yes")*('Rework Log'!$G$3:$G$500&lt;&gt;"Did not pass re-test"))=0,COUNTIF('Rework Log'!$A$3:$A$500,$B21)&gt;0,IFERROR(INDEX('Rework Log'!$G:$G,SUMPRODUCT(MAX((TRIM('Rework Log'!$A$3:$A$500)=TRIM($B21))*ROW('Rework Log'!$A$3:$A$500)))),"")="Did not pass re-test"),"Last fix rejected - re-block or log next attempt",IF(AND(LEFT($AC21,3)="Yes",ISNUMBER(SEARCH("needs DB Dev",$AC21)),O21&lt;&gt;"",SUMPRODUCT(MAX(((TRIM('Rework Log'!$A$3:$A$500)=TRIM($B21))*('Rework Log'!$G$3:$G$500&lt;&gt;"Yes")*('Rework Log'!$G$3:$G$500&lt;&gt;"Did not pass re-test"))*IFERROR('Rework Log'!$I$3:$I$500*1,0)))&gt;0),"Move old DB Dev completion date to Rework Log (col H)",IF(AND(LEFT($AC21,3)="Yes",ISNUMBER(SEARCH("needs PBI Dev",$AC21)),R21&lt;&gt;"",SUMPRODUCT(MAX(((TRIM('Rework Log'!$A$3:$A$500)=TRIM($B21))*('Rework Log'!$G$3:$G$500&lt;&gt;"Yes")*('Rework Log'!$G$3:$G$500&lt;&gt;"Did not pass re-test"))*IFERROR('Rework Log'!$I$3:$I$500*1,0)))&gt;0),"Move old PBI Dev completion date to Rework Log (col H)",IF(AND(LEFT($AC21,3)="Yes",ISNUMBER(SEARCH("needs QA",$AC21)),U21&lt;&gt;"",SUMPRODUCT(MAX(((TRIM('Rework Log'!$A$3:$A$500)=TRIM($B21))*('Rework Log'!$G$3:$G$500&lt;&gt;"Yes")*('Rework Log'!$G$3:$G$500&lt;&gt;"Did not pass re-test"))*IFERROR('Rework Log'!$I$3:$I$500*1,0)))&gt;0),"Move old QA completion date to Rework Log (col H)",IF(AND(LEFT($AC21,3)="Yes",ISNUMBER(SEARCH("needs DB Dev",$AC21)),TRIM(C21)&lt;&gt;"DB Dev"),"Set Current Status back to DB Dev",IF(AND(LEFT($AC21,3)="Yes",ISNUMBER(SEARCH("needs PBI Dev",$AC21)),TRIM(C21)&lt;&gt;"PBI Dev"),"Set Current Status back to PBI Dev",IF(AND(LEFT($AC21,3)="Yes",ISNUMBER(SEARCH("needs QA",$AC21)),TRIM(C21)&lt;&gt;"QA"),"Set Current Status back to QA",IF(COUNTIF($B$2:$B$500,$B21)&gt;1,"Duplicate name - check row",IF(AND(TRIM(C21)="RELEASED IN PROD",Y21&lt;&gt;"Yes"),"Released but Confirmed Deployed? is not Yes",IF(COUNTIF('Rework Log'!$A$3:$A$500,$B21)&gt;0,"",IF(AND(S21&lt;&gt;"",M21&lt;&gt;"",S21&lt;M21),"QA target is before DB Dev target",IF(AND(S21&lt;&gt;"",P21&lt;&gt;"",S21&lt;P21),"QA target is before PBI Dev target",IF(AND(V21&lt;&gt;"",S21&lt;&gt;"",V21&lt;S21),"DPO Approval target is before QA target",IF(AND(Z21&lt;&gt;"",V21&lt;&gt;"",Z21&lt;V21),"Confirmed Deployed date is before DPO Approval target","")))))))))))))))))</f>
        <v/>
      </c>
      <c r="AE21" s="61"/>
    </row>
    <row r="22" spans="1:31" x14ac:dyDescent="0.25">
      <c r="A22" s="50" t="s">
        <v>76</v>
      </c>
      <c r="B22" s="50" t="s">
        <v>153</v>
      </c>
      <c r="C22" s="50" t="s">
        <v>78</v>
      </c>
      <c r="D22" s="64" t="str">
        <f ca="1">IF($B22="","",IF(LEFT($AC22,3)="Yes",IF(LEN($AC22)&gt;5,"Blocked - "&amp;MID($AC22,7,100),"Blocked")&amp;IF(SUMPRODUCT((TRIM('Rework Log'!$A$3:$A$500)=TRIM($B22))*('Rework Log'!$G$3:$G$500&lt;&gt;"Yes")*('Rework Log'!$G$3:$G$500&lt;&gt;"Did not pass re-test"))=0,"",IF(SUMPRODUCT(((TRIM('Rework Log'!$A$3:$A$500)=TRIM($B22))*('Rework Log'!$G$3:$G$500&lt;&gt;"Yes")*('Rework Log'!$G$3:$G$500&lt;&gt;"Did not pass re-test"))*ISNUMBER('Rework Log'!$J$3:$J$500))&gt;0," - fixed, awaiting re-test",IF(SUMPRODUCT(MAX(((TRIM('Rework Log'!$A$3:$A$500)=TRIM($B22))*('Rework Log'!$G$3:$G$500&lt;&gt;"Yes")*('Rework Log'!$G$3:$G$500&lt;&gt;"Did not pass re-test"))*IFERROR('Rework Log'!$I$3:$I$500*1,0)))=0," - unclaimed"," - promised "&amp;TEXT(SUMPRODUCT(MAX(((TRIM('Rework Log'!$A$3:$A$500)=TRIM($B22))*('Rework Log'!$G$3:$G$500&lt;&gt;"Yes")*('Rework Log'!$G$3:$G$500&lt;&gt;"Did not pass re-test"))*IFERROR('Rework Log'!$I$3:$I$500*1,0))),"m/d")))),IF(TRIM(C22)="NOT STARTED",IF(K22="","No plan date set",IF(K22&lt;TODAY(),"Review - planned start passed","On track")),IF(TRIM(C22)="DB Dev",IF(M22="","No target set",IF(AND(M22&lt;TODAY(),O22=""),"Overdue","On track")),IF(TRIM(C22)="PBI Dev",IF(P22="","No target set",IF(AND(P22&lt;TODAY(),R22=""),"Overdue","On track")),IF(TRIM(C22)="QA",IF(S22="","No target set",IF(AND(S22&lt;TODAY(),U22=""),"Overdue","On track")),IF(TRIM(C22)="DPO Approval",IF(V22="","No target set",IF(V22&lt;TODAY(),"Overdue","On track")),IF(TRIM(C22)="RELEASED IN PROD","Delivered",""))))))))</f>
        <v>Delivered</v>
      </c>
      <c r="E22" s="50">
        <v>21</v>
      </c>
      <c r="F22" s="51"/>
      <c r="G22" s="50" t="s">
        <v>131</v>
      </c>
      <c r="H22" s="50" t="s">
        <v>134</v>
      </c>
      <c r="I22" s="50" t="s">
        <v>81</v>
      </c>
      <c r="J22" s="50"/>
      <c r="K22" s="52">
        <v>46203</v>
      </c>
      <c r="L22" s="50" t="s">
        <v>152</v>
      </c>
      <c r="M22" s="53">
        <v>46162</v>
      </c>
      <c r="N22" s="54"/>
      <c r="O22" s="54">
        <v>46162</v>
      </c>
      <c r="P22" s="55">
        <v>46182</v>
      </c>
      <c r="Q22" s="54"/>
      <c r="R22" s="54">
        <v>46182</v>
      </c>
      <c r="S22" s="56">
        <v>46198</v>
      </c>
      <c r="T22" s="54"/>
      <c r="U22" s="54">
        <v>46198</v>
      </c>
      <c r="V22" s="57"/>
      <c r="W22" s="54"/>
      <c r="X22" s="50"/>
      <c r="Y22" s="58" t="s">
        <v>84</v>
      </c>
      <c r="Z22" s="54">
        <v>46198</v>
      </c>
      <c r="AA22" s="59"/>
      <c r="AB22" s="50"/>
      <c r="AC22" s="60" t="s">
        <v>26</v>
      </c>
      <c r="AD22" s="65" t="str">
        <f>IF($B22="","",IF(AND(LEFT($AC22,3)="Yes",SUMPRODUCT((TRIM('Rework Log'!$A$3:$A$500)=TRIM($B22))*('Rework Log'!$G$3:$G$500&lt;&gt;"Yes")*('Rework Log'!$G$3:$G$500&lt;&gt;"Did not pass re-test"))=0),"Blocked - log it on Rework Log",IF(AND(LEFT($AC22,3)&lt;&gt;"Yes",SUMPRODUCT((TRIM('Rework Log'!$A$3:$A$500)=TRIM($B22))*('Rework Log'!$G$3:$G$500&lt;&gt;"Yes")*('Rework Log'!$G$3:$G$500&lt;&gt;"Did not pass re-test"))&gt;0),"Open rework row - mark Blocked? or close it",IF(AND(LEFT($AC22,3)&lt;&gt;"Yes",SUMPRODUCT((TRIM('Rework Log'!$A$3:$A$500)=TRIM($B22))*('Rework Log'!$G$3:$G$500&lt;&gt;"Yes")*('Rework Log'!$G$3:$G$500&lt;&gt;"Did not pass re-test"))=0,COUNTIF('Rework Log'!$A$3:$A$500,$B22)&gt;0,IFERROR(INDEX('Rework Log'!$G:$G,SUMPRODUCT(MAX((TRIM('Rework Log'!$A$3:$A$500)=TRIM($B22))*ROW('Rework Log'!$A$3:$A$500)))),"")="Did not pass re-test"),"Last fix rejected - re-block or log next attempt",IF(AND(LEFT($AC22,3)="Yes",ISNUMBER(SEARCH("needs DB Dev",$AC22)),O22&lt;&gt;"",SUMPRODUCT(MAX(((TRIM('Rework Log'!$A$3:$A$500)=TRIM($B22))*('Rework Log'!$G$3:$G$500&lt;&gt;"Yes")*('Rework Log'!$G$3:$G$500&lt;&gt;"Did not pass re-test"))*IFERROR('Rework Log'!$I$3:$I$500*1,0)))&gt;0),"Move old DB Dev completion date to Rework Log (col H)",IF(AND(LEFT($AC22,3)="Yes",ISNUMBER(SEARCH("needs PBI Dev",$AC22)),R22&lt;&gt;"",SUMPRODUCT(MAX(((TRIM('Rework Log'!$A$3:$A$500)=TRIM($B22))*('Rework Log'!$G$3:$G$500&lt;&gt;"Yes")*('Rework Log'!$G$3:$G$500&lt;&gt;"Did not pass re-test"))*IFERROR('Rework Log'!$I$3:$I$500*1,0)))&gt;0),"Move old PBI Dev completion date to Rework Log (col H)",IF(AND(LEFT($AC22,3)="Yes",ISNUMBER(SEARCH("needs QA",$AC22)),U22&lt;&gt;"",SUMPRODUCT(MAX(((TRIM('Rework Log'!$A$3:$A$500)=TRIM($B22))*('Rework Log'!$G$3:$G$500&lt;&gt;"Yes")*('Rework Log'!$G$3:$G$500&lt;&gt;"Did not pass re-test"))*IFERROR('Rework Log'!$I$3:$I$500*1,0)))&gt;0),"Move old QA completion date to Rework Log (col H)",IF(AND(LEFT($AC22,3)="Yes",ISNUMBER(SEARCH("needs DB Dev",$AC22)),TRIM(C22)&lt;&gt;"DB Dev"),"Set Current Status back to DB Dev",IF(AND(LEFT($AC22,3)="Yes",ISNUMBER(SEARCH("needs PBI Dev",$AC22)),TRIM(C22)&lt;&gt;"PBI Dev"),"Set Current Status back to PBI Dev",IF(AND(LEFT($AC22,3)="Yes",ISNUMBER(SEARCH("needs QA",$AC22)),TRIM(C22)&lt;&gt;"QA"),"Set Current Status back to QA",IF(COUNTIF($B$2:$B$500,$B22)&gt;1,"Duplicate name - check row",IF(AND(TRIM(C22)="RELEASED IN PROD",Y22&lt;&gt;"Yes"),"Released but Confirmed Deployed? is not Yes",IF(COUNTIF('Rework Log'!$A$3:$A$500,$B22)&gt;0,"",IF(AND(S22&lt;&gt;"",M22&lt;&gt;"",S22&lt;M22),"QA target is before DB Dev target",IF(AND(S22&lt;&gt;"",P22&lt;&gt;"",S22&lt;P22),"QA target is before PBI Dev target",IF(AND(V22&lt;&gt;"",S22&lt;&gt;"",V22&lt;S22),"DPO Approval target is before QA target",IF(AND(Z22&lt;&gt;"",V22&lt;&gt;"",Z22&lt;V22),"Confirmed Deployed date is before DPO Approval target","")))))))))))))))))</f>
        <v/>
      </c>
      <c r="AE22" s="61" t="s">
        <v>154</v>
      </c>
    </row>
    <row r="23" spans="1:31" x14ac:dyDescent="0.25">
      <c r="A23" s="50" t="s">
        <v>76</v>
      </c>
      <c r="B23" s="50" t="s">
        <v>155</v>
      </c>
      <c r="C23" s="50" t="s">
        <v>78</v>
      </c>
      <c r="D23" s="64" t="str">
        <f ca="1">IF($B23="","",IF(LEFT($AC23,3)="Yes",IF(LEN($AC23)&gt;5,"Blocked - "&amp;MID($AC23,7,100),"Blocked")&amp;IF(SUMPRODUCT((TRIM('Rework Log'!$A$3:$A$500)=TRIM($B23))*('Rework Log'!$G$3:$G$500&lt;&gt;"Yes")*('Rework Log'!$G$3:$G$500&lt;&gt;"Did not pass re-test"))=0,"",IF(SUMPRODUCT(((TRIM('Rework Log'!$A$3:$A$500)=TRIM($B23))*('Rework Log'!$G$3:$G$500&lt;&gt;"Yes")*('Rework Log'!$G$3:$G$500&lt;&gt;"Did not pass re-test"))*ISNUMBER('Rework Log'!$J$3:$J$500))&gt;0," - fixed, awaiting re-test",IF(SUMPRODUCT(MAX(((TRIM('Rework Log'!$A$3:$A$500)=TRIM($B23))*('Rework Log'!$G$3:$G$500&lt;&gt;"Yes")*('Rework Log'!$G$3:$G$500&lt;&gt;"Did not pass re-test"))*IFERROR('Rework Log'!$I$3:$I$500*1,0)))=0," - unclaimed"," - promised "&amp;TEXT(SUMPRODUCT(MAX(((TRIM('Rework Log'!$A$3:$A$500)=TRIM($B23))*('Rework Log'!$G$3:$G$500&lt;&gt;"Yes")*('Rework Log'!$G$3:$G$500&lt;&gt;"Did not pass re-test"))*IFERROR('Rework Log'!$I$3:$I$500*1,0))),"m/d")))),IF(TRIM(C23)="NOT STARTED",IF(K23="","No plan date set",IF(K23&lt;TODAY(),"Review - planned start passed","On track")),IF(TRIM(C23)="DB Dev",IF(M23="","No target set",IF(AND(M23&lt;TODAY(),O23=""),"Overdue","On track")),IF(TRIM(C23)="PBI Dev",IF(P23="","No target set",IF(AND(P23&lt;TODAY(),R23=""),"Overdue","On track")),IF(TRIM(C23)="QA",IF(S23="","No target set",IF(AND(S23&lt;TODAY(),U23=""),"Overdue","On track")),IF(TRIM(C23)="DPO Approval",IF(V23="","No target set",IF(V23&lt;TODAY(),"Overdue","On track")),IF(TRIM(C23)="RELEASED IN PROD","Delivered",""))))))))</f>
        <v>Delivered</v>
      </c>
      <c r="E23" s="50">
        <v>22</v>
      </c>
      <c r="F23" s="51"/>
      <c r="G23" s="50" t="s">
        <v>79</v>
      </c>
      <c r="H23" s="50" t="s">
        <v>94</v>
      </c>
      <c r="I23" s="50" t="s">
        <v>81</v>
      </c>
      <c r="J23" s="50"/>
      <c r="K23" s="52">
        <v>46203</v>
      </c>
      <c r="L23" s="50" t="s">
        <v>152</v>
      </c>
      <c r="M23" s="53">
        <v>46168</v>
      </c>
      <c r="N23" s="54"/>
      <c r="O23" s="54">
        <v>46168</v>
      </c>
      <c r="P23" s="55">
        <v>46183</v>
      </c>
      <c r="Q23" s="54"/>
      <c r="R23" s="54">
        <v>46183</v>
      </c>
      <c r="S23" s="56">
        <v>46198</v>
      </c>
      <c r="T23" s="54"/>
      <c r="U23" s="54">
        <v>46198</v>
      </c>
      <c r="V23" s="57"/>
      <c r="W23" s="54"/>
      <c r="X23" s="50"/>
      <c r="Y23" s="58" t="s">
        <v>84</v>
      </c>
      <c r="Z23" s="54">
        <v>46198</v>
      </c>
      <c r="AA23" s="59"/>
      <c r="AB23" s="50"/>
      <c r="AC23" s="60" t="s">
        <v>26</v>
      </c>
      <c r="AD23" s="65" t="str">
        <f>IF($B23="","",IF(AND(LEFT($AC23,3)="Yes",SUMPRODUCT((TRIM('Rework Log'!$A$3:$A$500)=TRIM($B23))*('Rework Log'!$G$3:$G$500&lt;&gt;"Yes")*('Rework Log'!$G$3:$G$500&lt;&gt;"Did not pass re-test"))=0),"Blocked - log it on Rework Log",IF(AND(LEFT($AC23,3)&lt;&gt;"Yes",SUMPRODUCT((TRIM('Rework Log'!$A$3:$A$500)=TRIM($B23))*('Rework Log'!$G$3:$G$500&lt;&gt;"Yes")*('Rework Log'!$G$3:$G$500&lt;&gt;"Did not pass re-test"))&gt;0),"Open rework row - mark Blocked? or close it",IF(AND(LEFT($AC23,3)&lt;&gt;"Yes",SUMPRODUCT((TRIM('Rework Log'!$A$3:$A$500)=TRIM($B23))*('Rework Log'!$G$3:$G$500&lt;&gt;"Yes")*('Rework Log'!$G$3:$G$500&lt;&gt;"Did not pass re-test"))=0,COUNTIF('Rework Log'!$A$3:$A$500,$B23)&gt;0,IFERROR(INDEX('Rework Log'!$G:$G,SUMPRODUCT(MAX((TRIM('Rework Log'!$A$3:$A$500)=TRIM($B23))*ROW('Rework Log'!$A$3:$A$500)))),"")="Did not pass re-test"),"Last fix rejected - re-block or log next attempt",IF(AND(LEFT($AC23,3)="Yes",ISNUMBER(SEARCH("needs DB Dev",$AC23)),O23&lt;&gt;"",SUMPRODUCT(MAX(((TRIM('Rework Log'!$A$3:$A$500)=TRIM($B23))*('Rework Log'!$G$3:$G$500&lt;&gt;"Yes")*('Rework Log'!$G$3:$G$500&lt;&gt;"Did not pass re-test"))*IFERROR('Rework Log'!$I$3:$I$500*1,0)))&gt;0),"Move old DB Dev completion date to Rework Log (col H)",IF(AND(LEFT($AC23,3)="Yes",ISNUMBER(SEARCH("needs PBI Dev",$AC23)),R23&lt;&gt;"",SUMPRODUCT(MAX(((TRIM('Rework Log'!$A$3:$A$500)=TRIM($B23))*('Rework Log'!$G$3:$G$500&lt;&gt;"Yes")*('Rework Log'!$G$3:$G$500&lt;&gt;"Did not pass re-test"))*IFERROR('Rework Log'!$I$3:$I$500*1,0)))&gt;0),"Move old PBI Dev completion date to Rework Log (col H)",IF(AND(LEFT($AC23,3)="Yes",ISNUMBER(SEARCH("needs QA",$AC23)),U23&lt;&gt;"",SUMPRODUCT(MAX(((TRIM('Rework Log'!$A$3:$A$500)=TRIM($B23))*('Rework Log'!$G$3:$G$500&lt;&gt;"Yes")*('Rework Log'!$G$3:$G$500&lt;&gt;"Did not pass re-test"))*IFERROR('Rework Log'!$I$3:$I$500*1,0)))&gt;0),"Move old QA completion date to Rework Log (col H)",IF(AND(LEFT($AC23,3)="Yes",ISNUMBER(SEARCH("needs DB Dev",$AC23)),TRIM(C23)&lt;&gt;"DB Dev"),"Set Current Status back to DB Dev",IF(AND(LEFT($AC23,3)="Yes",ISNUMBER(SEARCH("needs PBI Dev",$AC23)),TRIM(C23)&lt;&gt;"PBI Dev"),"Set Current Status back to PBI Dev",IF(AND(LEFT($AC23,3)="Yes",ISNUMBER(SEARCH("needs QA",$AC23)),TRIM(C23)&lt;&gt;"QA"),"Set Current Status back to QA",IF(COUNTIF($B$2:$B$500,$B23)&gt;1,"Duplicate name - check row",IF(AND(TRIM(C23)="RELEASED IN PROD",Y23&lt;&gt;"Yes"),"Released but Confirmed Deployed? is not Yes",IF(COUNTIF('Rework Log'!$A$3:$A$500,$B23)&gt;0,"",IF(AND(S23&lt;&gt;"",M23&lt;&gt;"",S23&lt;M23),"QA target is before DB Dev target",IF(AND(S23&lt;&gt;"",P23&lt;&gt;"",S23&lt;P23),"QA target is before PBI Dev target",IF(AND(V23&lt;&gt;"",S23&lt;&gt;"",V23&lt;S23),"DPO Approval target is before QA target",IF(AND(Z23&lt;&gt;"",V23&lt;&gt;"",Z23&lt;V23),"Confirmed Deployed date is before DPO Approval target","")))))))))))))))))</f>
        <v/>
      </c>
      <c r="AE23" s="61"/>
    </row>
    <row r="24" spans="1:31" x14ac:dyDescent="0.25">
      <c r="A24" s="50" t="s">
        <v>76</v>
      </c>
      <c r="B24" s="50" t="s">
        <v>156</v>
      </c>
      <c r="C24" s="50" t="s">
        <v>78</v>
      </c>
      <c r="D24" s="64" t="str">
        <f ca="1">IF($B24="","",IF(LEFT($AC24,3)="Yes",IF(LEN($AC24)&gt;5,"Blocked - "&amp;MID($AC24,7,100),"Blocked")&amp;IF(SUMPRODUCT((TRIM('Rework Log'!$A$3:$A$500)=TRIM($B24))*('Rework Log'!$G$3:$G$500&lt;&gt;"Yes")*('Rework Log'!$G$3:$G$500&lt;&gt;"Did not pass re-test"))=0,"",IF(SUMPRODUCT(((TRIM('Rework Log'!$A$3:$A$500)=TRIM($B24))*('Rework Log'!$G$3:$G$500&lt;&gt;"Yes")*('Rework Log'!$G$3:$G$500&lt;&gt;"Did not pass re-test"))*ISNUMBER('Rework Log'!$J$3:$J$500))&gt;0," - fixed, awaiting re-test",IF(SUMPRODUCT(MAX(((TRIM('Rework Log'!$A$3:$A$500)=TRIM($B24))*('Rework Log'!$G$3:$G$500&lt;&gt;"Yes")*('Rework Log'!$G$3:$G$500&lt;&gt;"Did not pass re-test"))*IFERROR('Rework Log'!$I$3:$I$500*1,0)))=0," - unclaimed"," - promised "&amp;TEXT(SUMPRODUCT(MAX(((TRIM('Rework Log'!$A$3:$A$500)=TRIM($B24))*('Rework Log'!$G$3:$G$500&lt;&gt;"Yes")*('Rework Log'!$G$3:$G$500&lt;&gt;"Did not pass re-test"))*IFERROR('Rework Log'!$I$3:$I$500*1,0))),"m/d")))),IF(TRIM(C24)="NOT STARTED",IF(K24="","No plan date set",IF(K24&lt;TODAY(),"Review - planned start passed","On track")),IF(TRIM(C24)="DB Dev",IF(M24="","No target set",IF(AND(M24&lt;TODAY(),O24=""),"Overdue","On track")),IF(TRIM(C24)="PBI Dev",IF(P24="","No target set",IF(AND(P24&lt;TODAY(),R24=""),"Overdue","On track")),IF(TRIM(C24)="QA",IF(S24="","No target set",IF(AND(S24&lt;TODAY(),U24=""),"Overdue","On track")),IF(TRIM(C24)="DPO Approval",IF(V24="","No target set",IF(V24&lt;TODAY(),"Overdue","On track")),IF(TRIM(C24)="RELEASED IN PROD","Delivered",""))))))))</f>
        <v>Delivered</v>
      </c>
      <c r="E24" s="50">
        <v>23</v>
      </c>
      <c r="F24" s="51"/>
      <c r="G24" s="50" t="s">
        <v>79</v>
      </c>
      <c r="H24" s="50" t="s">
        <v>94</v>
      </c>
      <c r="I24" s="50" t="s">
        <v>81</v>
      </c>
      <c r="J24" s="50"/>
      <c r="K24" s="52">
        <v>46203</v>
      </c>
      <c r="L24" s="50" t="s">
        <v>152</v>
      </c>
      <c r="M24" s="53">
        <v>46165</v>
      </c>
      <c r="N24" s="54"/>
      <c r="O24" s="54">
        <v>46165</v>
      </c>
      <c r="P24" s="55">
        <v>46153</v>
      </c>
      <c r="Q24" s="54"/>
      <c r="R24" s="54">
        <v>46153</v>
      </c>
      <c r="S24" s="56">
        <v>46154</v>
      </c>
      <c r="T24" s="54"/>
      <c r="U24" s="54">
        <v>46154</v>
      </c>
      <c r="V24" s="57">
        <v>46184</v>
      </c>
      <c r="W24" s="54"/>
      <c r="X24" s="50"/>
      <c r="Y24" s="58" t="s">
        <v>84</v>
      </c>
      <c r="Z24" s="54">
        <v>46184</v>
      </c>
      <c r="AA24" s="59" t="s">
        <v>157</v>
      </c>
      <c r="AB24" s="50" t="s">
        <v>158</v>
      </c>
      <c r="AC24" s="60" t="s">
        <v>26</v>
      </c>
      <c r="AD24" s="65" t="str">
        <f>IF($B24="","",IF(AND(LEFT($AC24,3)="Yes",SUMPRODUCT((TRIM('Rework Log'!$A$3:$A$500)=TRIM($B24))*('Rework Log'!$G$3:$G$500&lt;&gt;"Yes")*('Rework Log'!$G$3:$G$500&lt;&gt;"Did not pass re-test"))=0),"Blocked - log it on Rework Log",IF(AND(LEFT($AC24,3)&lt;&gt;"Yes",SUMPRODUCT((TRIM('Rework Log'!$A$3:$A$500)=TRIM($B24))*('Rework Log'!$G$3:$G$500&lt;&gt;"Yes")*('Rework Log'!$G$3:$G$500&lt;&gt;"Did not pass re-test"))&gt;0),"Open rework row - mark Blocked? or close it",IF(AND(LEFT($AC24,3)&lt;&gt;"Yes",SUMPRODUCT((TRIM('Rework Log'!$A$3:$A$500)=TRIM($B24))*('Rework Log'!$G$3:$G$500&lt;&gt;"Yes")*('Rework Log'!$G$3:$G$500&lt;&gt;"Did not pass re-test"))=0,COUNTIF('Rework Log'!$A$3:$A$500,$B24)&gt;0,IFERROR(INDEX('Rework Log'!$G:$G,SUMPRODUCT(MAX((TRIM('Rework Log'!$A$3:$A$500)=TRIM($B24))*ROW('Rework Log'!$A$3:$A$500)))),"")="Did not pass re-test"),"Last fix rejected - re-block or log next attempt",IF(AND(LEFT($AC24,3)="Yes",ISNUMBER(SEARCH("needs DB Dev",$AC24)),O24&lt;&gt;"",SUMPRODUCT(MAX(((TRIM('Rework Log'!$A$3:$A$500)=TRIM($B24))*('Rework Log'!$G$3:$G$500&lt;&gt;"Yes")*('Rework Log'!$G$3:$G$500&lt;&gt;"Did not pass re-test"))*IFERROR('Rework Log'!$I$3:$I$500*1,0)))&gt;0),"Move old DB Dev completion date to Rework Log (col H)",IF(AND(LEFT($AC24,3)="Yes",ISNUMBER(SEARCH("needs PBI Dev",$AC24)),R24&lt;&gt;"",SUMPRODUCT(MAX(((TRIM('Rework Log'!$A$3:$A$500)=TRIM($B24))*('Rework Log'!$G$3:$G$500&lt;&gt;"Yes")*('Rework Log'!$G$3:$G$500&lt;&gt;"Did not pass re-test"))*IFERROR('Rework Log'!$I$3:$I$500*1,0)))&gt;0),"Move old PBI Dev completion date to Rework Log (col H)",IF(AND(LEFT($AC24,3)="Yes",ISNUMBER(SEARCH("needs QA",$AC24)),U24&lt;&gt;"",SUMPRODUCT(MAX(((TRIM('Rework Log'!$A$3:$A$500)=TRIM($B24))*('Rework Log'!$G$3:$G$500&lt;&gt;"Yes")*('Rework Log'!$G$3:$G$500&lt;&gt;"Did not pass re-test"))*IFERROR('Rework Log'!$I$3:$I$500*1,0)))&gt;0),"Move old QA completion date to Rework Log (col H)",IF(AND(LEFT($AC24,3)="Yes",ISNUMBER(SEARCH("needs DB Dev",$AC24)),TRIM(C24)&lt;&gt;"DB Dev"),"Set Current Status back to DB Dev",IF(AND(LEFT($AC24,3)="Yes",ISNUMBER(SEARCH("needs PBI Dev",$AC24)),TRIM(C24)&lt;&gt;"PBI Dev"),"Set Current Status back to PBI Dev",IF(AND(LEFT($AC24,3)="Yes",ISNUMBER(SEARCH("needs QA",$AC24)),TRIM(C24)&lt;&gt;"QA"),"Set Current Status back to QA",IF(COUNTIF($B$2:$B$500,$B24)&gt;1,"Duplicate name - check row",IF(AND(TRIM(C24)="RELEASED IN PROD",Y24&lt;&gt;"Yes"),"Released but Confirmed Deployed? is not Yes",IF(COUNTIF('Rework Log'!$A$3:$A$500,$B24)&gt;0,"",IF(AND(S24&lt;&gt;"",M24&lt;&gt;"",S24&lt;M24),"QA target is before DB Dev target",IF(AND(S24&lt;&gt;"",P24&lt;&gt;"",S24&lt;P24),"QA target is before PBI Dev target",IF(AND(V24&lt;&gt;"",S24&lt;&gt;"",V24&lt;S24),"DPO Approval target is before QA target",IF(AND(Z24&lt;&gt;"",V24&lt;&gt;"",Z24&lt;V24),"Confirmed Deployed date is before DPO Approval target","")))))))))))))))))</f>
        <v>QA target is before DB Dev target</v>
      </c>
      <c r="AE24" s="61"/>
    </row>
    <row r="25" spans="1:31" x14ac:dyDescent="0.25">
      <c r="A25" s="50" t="s">
        <v>76</v>
      </c>
      <c r="B25" s="50" t="s">
        <v>159</v>
      </c>
      <c r="C25" s="50" t="s">
        <v>78</v>
      </c>
      <c r="D25" s="64" t="str">
        <f ca="1">IF($B25="","",IF(LEFT($AC25,3)="Yes",IF(LEN($AC25)&gt;5,"Blocked - "&amp;MID($AC25,7,100),"Blocked")&amp;IF(SUMPRODUCT((TRIM('Rework Log'!$A$3:$A$500)=TRIM($B25))*('Rework Log'!$G$3:$G$500&lt;&gt;"Yes")*('Rework Log'!$G$3:$G$500&lt;&gt;"Did not pass re-test"))=0,"",IF(SUMPRODUCT(((TRIM('Rework Log'!$A$3:$A$500)=TRIM($B25))*('Rework Log'!$G$3:$G$500&lt;&gt;"Yes")*('Rework Log'!$G$3:$G$500&lt;&gt;"Did not pass re-test"))*ISNUMBER('Rework Log'!$J$3:$J$500))&gt;0," - fixed, awaiting re-test",IF(SUMPRODUCT(MAX(((TRIM('Rework Log'!$A$3:$A$500)=TRIM($B25))*('Rework Log'!$G$3:$G$500&lt;&gt;"Yes")*('Rework Log'!$G$3:$G$500&lt;&gt;"Did not pass re-test"))*IFERROR('Rework Log'!$I$3:$I$500*1,0)))=0," - unclaimed"," - promised "&amp;TEXT(SUMPRODUCT(MAX(((TRIM('Rework Log'!$A$3:$A$500)=TRIM($B25))*('Rework Log'!$G$3:$G$500&lt;&gt;"Yes")*('Rework Log'!$G$3:$G$500&lt;&gt;"Did not pass re-test"))*IFERROR('Rework Log'!$I$3:$I$500*1,0))),"m/d")))),IF(TRIM(C25)="NOT STARTED",IF(K25="","No plan date set",IF(K25&lt;TODAY(),"Review - planned start passed","On track")),IF(TRIM(C25)="DB Dev",IF(M25="","No target set",IF(AND(M25&lt;TODAY(),O25=""),"Overdue","On track")),IF(TRIM(C25)="PBI Dev",IF(P25="","No target set",IF(AND(P25&lt;TODAY(),R25=""),"Overdue","On track")),IF(TRIM(C25)="QA",IF(S25="","No target set",IF(AND(S25&lt;TODAY(),U25=""),"Overdue","On track")),IF(TRIM(C25)="DPO Approval",IF(V25="","No target set",IF(V25&lt;TODAY(),"Overdue","On track")),IF(TRIM(C25)="RELEASED IN PROD","Delivered",""))))))))</f>
        <v>Delivered</v>
      </c>
      <c r="E25" s="50">
        <v>24</v>
      </c>
      <c r="F25" s="51"/>
      <c r="G25" s="50" t="s">
        <v>93</v>
      </c>
      <c r="H25" s="50" t="s">
        <v>80</v>
      </c>
      <c r="I25" s="50" t="s">
        <v>119</v>
      </c>
      <c r="J25" s="50"/>
      <c r="K25" s="52">
        <v>46203</v>
      </c>
      <c r="L25" s="50" t="s">
        <v>152</v>
      </c>
      <c r="M25" s="53">
        <v>46162</v>
      </c>
      <c r="N25" s="54"/>
      <c r="O25" s="54">
        <v>46162</v>
      </c>
      <c r="P25" s="55">
        <v>46186</v>
      </c>
      <c r="Q25" s="54"/>
      <c r="R25" s="54">
        <v>46186</v>
      </c>
      <c r="S25" s="56">
        <v>46227</v>
      </c>
      <c r="T25" s="54"/>
      <c r="U25" s="54"/>
      <c r="V25" s="57"/>
      <c r="W25" s="54"/>
      <c r="X25" s="50"/>
      <c r="Y25" s="58" t="s">
        <v>84</v>
      </c>
      <c r="Z25" s="54">
        <v>46227</v>
      </c>
      <c r="AA25" s="59"/>
      <c r="AB25" s="50"/>
      <c r="AC25" s="60" t="s">
        <v>26</v>
      </c>
      <c r="AD25" s="65" t="str">
        <f>IF($B25="","",IF(AND(LEFT($AC25,3)="Yes",SUMPRODUCT((TRIM('Rework Log'!$A$3:$A$500)=TRIM($B25))*('Rework Log'!$G$3:$G$500&lt;&gt;"Yes")*('Rework Log'!$G$3:$G$500&lt;&gt;"Did not pass re-test"))=0),"Blocked - log it on Rework Log",IF(AND(LEFT($AC25,3)&lt;&gt;"Yes",SUMPRODUCT((TRIM('Rework Log'!$A$3:$A$500)=TRIM($B25))*('Rework Log'!$G$3:$G$500&lt;&gt;"Yes")*('Rework Log'!$G$3:$G$500&lt;&gt;"Did not pass re-test"))&gt;0),"Open rework row - mark Blocked? or close it",IF(AND(LEFT($AC25,3)&lt;&gt;"Yes",SUMPRODUCT((TRIM('Rework Log'!$A$3:$A$500)=TRIM($B25))*('Rework Log'!$G$3:$G$500&lt;&gt;"Yes")*('Rework Log'!$G$3:$G$500&lt;&gt;"Did not pass re-test"))=0,COUNTIF('Rework Log'!$A$3:$A$500,$B25)&gt;0,IFERROR(INDEX('Rework Log'!$G:$G,SUMPRODUCT(MAX((TRIM('Rework Log'!$A$3:$A$500)=TRIM($B25))*ROW('Rework Log'!$A$3:$A$500)))),"")="Did not pass re-test"),"Last fix rejected - re-block or log next attempt",IF(AND(LEFT($AC25,3)="Yes",ISNUMBER(SEARCH("needs DB Dev",$AC25)),O25&lt;&gt;"",SUMPRODUCT(MAX(((TRIM('Rework Log'!$A$3:$A$500)=TRIM($B25))*('Rework Log'!$G$3:$G$500&lt;&gt;"Yes")*('Rework Log'!$G$3:$G$500&lt;&gt;"Did not pass re-test"))*IFERROR('Rework Log'!$I$3:$I$500*1,0)))&gt;0),"Move old DB Dev completion date to Rework Log (col H)",IF(AND(LEFT($AC25,3)="Yes",ISNUMBER(SEARCH("needs PBI Dev",$AC25)),R25&lt;&gt;"",SUMPRODUCT(MAX(((TRIM('Rework Log'!$A$3:$A$500)=TRIM($B25))*('Rework Log'!$G$3:$G$500&lt;&gt;"Yes")*('Rework Log'!$G$3:$G$500&lt;&gt;"Did not pass re-test"))*IFERROR('Rework Log'!$I$3:$I$500*1,0)))&gt;0),"Move old PBI Dev completion date to Rework Log (col H)",IF(AND(LEFT($AC25,3)="Yes",ISNUMBER(SEARCH("needs QA",$AC25)),U25&lt;&gt;"",SUMPRODUCT(MAX(((TRIM('Rework Log'!$A$3:$A$500)=TRIM($B25))*('Rework Log'!$G$3:$G$500&lt;&gt;"Yes")*('Rework Log'!$G$3:$G$500&lt;&gt;"Did not pass re-test"))*IFERROR('Rework Log'!$I$3:$I$500*1,0)))&gt;0),"Move old QA completion date to Rework Log (col H)",IF(AND(LEFT($AC25,3)="Yes",ISNUMBER(SEARCH("needs DB Dev",$AC25)),TRIM(C25)&lt;&gt;"DB Dev"),"Set Current Status back to DB Dev",IF(AND(LEFT($AC25,3)="Yes",ISNUMBER(SEARCH("needs PBI Dev",$AC25)),TRIM(C25)&lt;&gt;"PBI Dev"),"Set Current Status back to PBI Dev",IF(AND(LEFT($AC25,3)="Yes",ISNUMBER(SEARCH("needs QA",$AC25)),TRIM(C25)&lt;&gt;"QA"),"Set Current Status back to QA",IF(COUNTIF($B$2:$B$500,$B25)&gt;1,"Duplicate name - check row",IF(AND(TRIM(C25)="RELEASED IN PROD",Y25&lt;&gt;"Yes"),"Released but Confirmed Deployed? is not Yes",IF(COUNTIF('Rework Log'!$A$3:$A$500,$B25)&gt;0,"",IF(AND(S25&lt;&gt;"",M25&lt;&gt;"",S25&lt;M25),"QA target is before DB Dev target",IF(AND(S25&lt;&gt;"",P25&lt;&gt;"",S25&lt;P25),"QA target is before PBI Dev target",IF(AND(V25&lt;&gt;"",S25&lt;&gt;"",V25&lt;S25),"DPO Approval target is before QA target",IF(AND(Z25&lt;&gt;"",V25&lt;&gt;"",Z25&lt;V25),"Confirmed Deployed date is before DPO Approval target","")))))))))))))))))</f>
        <v/>
      </c>
      <c r="AE25" s="61" t="s">
        <v>160</v>
      </c>
    </row>
    <row r="26" spans="1:31" x14ac:dyDescent="0.25">
      <c r="A26" s="50" t="s">
        <v>76</v>
      </c>
      <c r="B26" s="50" t="s">
        <v>161</v>
      </c>
      <c r="C26" s="50" t="s">
        <v>78</v>
      </c>
      <c r="D26" s="64" t="str">
        <f ca="1">IF($B26="","",IF(LEFT($AC26,3)="Yes",IF(LEN($AC26)&gt;5,"Blocked - "&amp;MID($AC26,7,100),"Blocked")&amp;IF(SUMPRODUCT((TRIM('Rework Log'!$A$3:$A$500)=TRIM($B26))*('Rework Log'!$G$3:$G$500&lt;&gt;"Yes")*('Rework Log'!$G$3:$G$500&lt;&gt;"Did not pass re-test"))=0,"",IF(SUMPRODUCT(((TRIM('Rework Log'!$A$3:$A$500)=TRIM($B26))*('Rework Log'!$G$3:$G$500&lt;&gt;"Yes")*('Rework Log'!$G$3:$G$500&lt;&gt;"Did not pass re-test"))*ISNUMBER('Rework Log'!$J$3:$J$500))&gt;0," - fixed, awaiting re-test",IF(SUMPRODUCT(MAX(((TRIM('Rework Log'!$A$3:$A$500)=TRIM($B26))*('Rework Log'!$G$3:$G$500&lt;&gt;"Yes")*('Rework Log'!$G$3:$G$500&lt;&gt;"Did not pass re-test"))*IFERROR('Rework Log'!$I$3:$I$500*1,0)))=0," - unclaimed"," - promised "&amp;TEXT(SUMPRODUCT(MAX(((TRIM('Rework Log'!$A$3:$A$500)=TRIM($B26))*('Rework Log'!$G$3:$G$500&lt;&gt;"Yes")*('Rework Log'!$G$3:$G$500&lt;&gt;"Did not pass re-test"))*IFERROR('Rework Log'!$I$3:$I$500*1,0))),"m/d")))),IF(TRIM(C26)="NOT STARTED",IF(K26="","No plan date set",IF(K26&lt;TODAY(),"Review - planned start passed","On track")),IF(TRIM(C26)="DB Dev",IF(M26="","No target set",IF(AND(M26&lt;TODAY(),O26=""),"Overdue","On track")),IF(TRIM(C26)="PBI Dev",IF(P26="","No target set",IF(AND(P26&lt;TODAY(),R26=""),"Overdue","On track")),IF(TRIM(C26)="QA",IF(S26="","No target set",IF(AND(S26&lt;TODAY(),U26=""),"Overdue","On track")),IF(TRIM(C26)="DPO Approval",IF(V26="","No target set",IF(V26&lt;TODAY(),"Overdue","On track")),IF(TRIM(C26)="RELEASED IN PROD","Delivered",""))))))))</f>
        <v>Delivered</v>
      </c>
      <c r="E26" s="50">
        <v>25</v>
      </c>
      <c r="F26" s="51"/>
      <c r="G26" s="50" t="s">
        <v>93</v>
      </c>
      <c r="H26" s="50" t="s">
        <v>134</v>
      </c>
      <c r="I26" s="50" t="s">
        <v>81</v>
      </c>
      <c r="J26" s="50"/>
      <c r="K26" s="52">
        <v>46203</v>
      </c>
      <c r="L26" s="50" t="s">
        <v>152</v>
      </c>
      <c r="M26" s="53">
        <v>46162</v>
      </c>
      <c r="N26" s="54"/>
      <c r="O26" s="54">
        <v>46162</v>
      </c>
      <c r="P26" s="55">
        <v>46164</v>
      </c>
      <c r="Q26" s="54"/>
      <c r="R26" s="54">
        <v>46164</v>
      </c>
      <c r="S26" s="56">
        <v>46204</v>
      </c>
      <c r="T26" s="54"/>
      <c r="U26" s="54">
        <v>46204</v>
      </c>
      <c r="V26" s="57"/>
      <c r="W26" s="54"/>
      <c r="X26" s="50"/>
      <c r="Y26" s="58" t="s">
        <v>84</v>
      </c>
      <c r="Z26" s="54">
        <v>46204</v>
      </c>
      <c r="AA26" s="59"/>
      <c r="AB26" s="50"/>
      <c r="AC26" s="60" t="s">
        <v>26</v>
      </c>
      <c r="AD26" s="65" t="str">
        <f>IF($B26="","",IF(AND(LEFT($AC26,3)="Yes",SUMPRODUCT((TRIM('Rework Log'!$A$3:$A$500)=TRIM($B26))*('Rework Log'!$G$3:$G$500&lt;&gt;"Yes")*('Rework Log'!$G$3:$G$500&lt;&gt;"Did not pass re-test"))=0),"Blocked - log it on Rework Log",IF(AND(LEFT($AC26,3)&lt;&gt;"Yes",SUMPRODUCT((TRIM('Rework Log'!$A$3:$A$500)=TRIM($B26))*('Rework Log'!$G$3:$G$500&lt;&gt;"Yes")*('Rework Log'!$G$3:$G$500&lt;&gt;"Did not pass re-test"))&gt;0),"Open rework row - mark Blocked? or close it",IF(AND(LEFT($AC26,3)&lt;&gt;"Yes",SUMPRODUCT((TRIM('Rework Log'!$A$3:$A$500)=TRIM($B26))*('Rework Log'!$G$3:$G$500&lt;&gt;"Yes")*('Rework Log'!$G$3:$G$500&lt;&gt;"Did not pass re-test"))=0,COUNTIF('Rework Log'!$A$3:$A$500,$B26)&gt;0,IFERROR(INDEX('Rework Log'!$G:$G,SUMPRODUCT(MAX((TRIM('Rework Log'!$A$3:$A$500)=TRIM($B26))*ROW('Rework Log'!$A$3:$A$500)))),"")="Did not pass re-test"),"Last fix rejected - re-block or log next attempt",IF(AND(LEFT($AC26,3)="Yes",ISNUMBER(SEARCH("needs DB Dev",$AC26)),O26&lt;&gt;"",SUMPRODUCT(MAX(((TRIM('Rework Log'!$A$3:$A$500)=TRIM($B26))*('Rework Log'!$G$3:$G$500&lt;&gt;"Yes")*('Rework Log'!$G$3:$G$500&lt;&gt;"Did not pass re-test"))*IFERROR('Rework Log'!$I$3:$I$500*1,0)))&gt;0),"Move old DB Dev completion date to Rework Log (col H)",IF(AND(LEFT($AC26,3)="Yes",ISNUMBER(SEARCH("needs PBI Dev",$AC26)),R26&lt;&gt;"",SUMPRODUCT(MAX(((TRIM('Rework Log'!$A$3:$A$500)=TRIM($B26))*('Rework Log'!$G$3:$G$500&lt;&gt;"Yes")*('Rework Log'!$G$3:$G$500&lt;&gt;"Did not pass re-test"))*IFERROR('Rework Log'!$I$3:$I$500*1,0)))&gt;0),"Move old PBI Dev completion date to Rework Log (col H)",IF(AND(LEFT($AC26,3)="Yes",ISNUMBER(SEARCH("needs QA",$AC26)),U26&lt;&gt;"",SUMPRODUCT(MAX(((TRIM('Rework Log'!$A$3:$A$500)=TRIM($B26))*('Rework Log'!$G$3:$G$500&lt;&gt;"Yes")*('Rework Log'!$G$3:$G$500&lt;&gt;"Did not pass re-test"))*IFERROR('Rework Log'!$I$3:$I$500*1,0)))&gt;0),"Move old QA completion date to Rework Log (col H)",IF(AND(LEFT($AC26,3)="Yes",ISNUMBER(SEARCH("needs DB Dev",$AC26)),TRIM(C26)&lt;&gt;"DB Dev"),"Set Current Status back to DB Dev",IF(AND(LEFT($AC26,3)="Yes",ISNUMBER(SEARCH("needs PBI Dev",$AC26)),TRIM(C26)&lt;&gt;"PBI Dev"),"Set Current Status back to PBI Dev",IF(AND(LEFT($AC26,3)="Yes",ISNUMBER(SEARCH("needs QA",$AC26)),TRIM(C26)&lt;&gt;"QA"),"Set Current Status back to QA",IF(COUNTIF($B$2:$B$500,$B26)&gt;1,"Duplicate name - check row",IF(AND(TRIM(C26)="RELEASED IN PROD",Y26&lt;&gt;"Yes"),"Released but Confirmed Deployed? is not Yes",IF(COUNTIF('Rework Log'!$A$3:$A$500,$B26)&gt;0,"",IF(AND(S26&lt;&gt;"",M26&lt;&gt;"",S26&lt;M26),"QA target is before DB Dev target",IF(AND(S26&lt;&gt;"",P26&lt;&gt;"",S26&lt;P26),"QA target is before PBI Dev target",IF(AND(V26&lt;&gt;"",S26&lt;&gt;"",V26&lt;S26),"DPO Approval target is before QA target",IF(AND(Z26&lt;&gt;"",V26&lt;&gt;"",Z26&lt;V26),"Confirmed Deployed date is before DPO Approval target","")))))))))))))))))</f>
        <v/>
      </c>
      <c r="AE26" s="61" t="s">
        <v>160</v>
      </c>
    </row>
    <row r="27" spans="1:31" x14ac:dyDescent="0.25">
      <c r="A27" s="50" t="s">
        <v>76</v>
      </c>
      <c r="B27" s="50" t="s">
        <v>162</v>
      </c>
      <c r="C27" s="50" t="s">
        <v>78</v>
      </c>
      <c r="D27" s="64" t="str">
        <f ca="1">IF($B27="","",IF(LEFT($AC27,3)="Yes",IF(LEN($AC27)&gt;5,"Blocked - "&amp;MID($AC27,7,100),"Blocked")&amp;IF(SUMPRODUCT((TRIM('Rework Log'!$A$3:$A$500)=TRIM($B27))*('Rework Log'!$G$3:$G$500&lt;&gt;"Yes")*('Rework Log'!$G$3:$G$500&lt;&gt;"Did not pass re-test"))=0,"",IF(SUMPRODUCT(((TRIM('Rework Log'!$A$3:$A$500)=TRIM($B27))*('Rework Log'!$G$3:$G$500&lt;&gt;"Yes")*('Rework Log'!$G$3:$G$500&lt;&gt;"Did not pass re-test"))*ISNUMBER('Rework Log'!$J$3:$J$500))&gt;0," - fixed, awaiting re-test",IF(SUMPRODUCT(MAX(((TRIM('Rework Log'!$A$3:$A$500)=TRIM($B27))*('Rework Log'!$G$3:$G$500&lt;&gt;"Yes")*('Rework Log'!$G$3:$G$500&lt;&gt;"Did not pass re-test"))*IFERROR('Rework Log'!$I$3:$I$500*1,0)))=0," - unclaimed"," - promised "&amp;TEXT(SUMPRODUCT(MAX(((TRIM('Rework Log'!$A$3:$A$500)=TRIM($B27))*('Rework Log'!$G$3:$G$500&lt;&gt;"Yes")*('Rework Log'!$G$3:$G$500&lt;&gt;"Did not pass re-test"))*IFERROR('Rework Log'!$I$3:$I$500*1,0))),"m/d")))),IF(TRIM(C27)="NOT STARTED",IF(K27="","No plan date set",IF(K27&lt;TODAY(),"Review - planned start passed","On track")),IF(TRIM(C27)="DB Dev",IF(M27="","No target set",IF(AND(M27&lt;TODAY(),O27=""),"Overdue","On track")),IF(TRIM(C27)="PBI Dev",IF(P27="","No target set",IF(AND(P27&lt;TODAY(),R27=""),"Overdue","On track")),IF(TRIM(C27)="QA",IF(S27="","No target set",IF(AND(S27&lt;TODAY(),U27=""),"Overdue","On track")),IF(TRIM(C27)="DPO Approval",IF(V27="","No target set",IF(V27&lt;TODAY(),"Overdue","On track")),IF(TRIM(C27)="RELEASED IN PROD","Delivered",""))))))))</f>
        <v>Delivered</v>
      </c>
      <c r="E27" s="50">
        <v>26</v>
      </c>
      <c r="F27" s="51"/>
      <c r="G27" s="50" t="s">
        <v>163</v>
      </c>
      <c r="H27" s="50" t="s">
        <v>94</v>
      </c>
      <c r="I27" s="50" t="s">
        <v>119</v>
      </c>
      <c r="J27" s="50"/>
      <c r="K27" s="52">
        <v>46203</v>
      </c>
      <c r="L27" s="50" t="s">
        <v>152</v>
      </c>
      <c r="M27" s="53">
        <v>46169</v>
      </c>
      <c r="N27" s="54"/>
      <c r="O27" s="54">
        <v>46169</v>
      </c>
      <c r="P27" s="55">
        <v>46191</v>
      </c>
      <c r="Q27" s="54"/>
      <c r="R27" s="54">
        <v>46191</v>
      </c>
      <c r="S27" s="56">
        <v>46196</v>
      </c>
      <c r="T27" s="54"/>
      <c r="U27" s="54">
        <v>46196</v>
      </c>
      <c r="V27" s="57"/>
      <c r="W27" s="54"/>
      <c r="X27" s="50"/>
      <c r="Y27" s="58" t="s">
        <v>84</v>
      </c>
      <c r="Z27" s="54">
        <v>46196</v>
      </c>
      <c r="AA27" s="59" t="s">
        <v>164</v>
      </c>
      <c r="AB27" s="50" t="s">
        <v>165</v>
      </c>
      <c r="AC27" s="60" t="s">
        <v>26</v>
      </c>
      <c r="AD27" s="65" t="str">
        <f>IF($B27="","",IF(AND(LEFT($AC27,3)="Yes",SUMPRODUCT((TRIM('Rework Log'!$A$3:$A$500)=TRIM($B27))*('Rework Log'!$G$3:$G$500&lt;&gt;"Yes")*('Rework Log'!$G$3:$G$500&lt;&gt;"Did not pass re-test"))=0),"Blocked - log it on Rework Log",IF(AND(LEFT($AC27,3)&lt;&gt;"Yes",SUMPRODUCT((TRIM('Rework Log'!$A$3:$A$500)=TRIM($B27))*('Rework Log'!$G$3:$G$500&lt;&gt;"Yes")*('Rework Log'!$G$3:$G$500&lt;&gt;"Did not pass re-test"))&gt;0),"Open rework row - mark Blocked? or close it",IF(AND(LEFT($AC27,3)&lt;&gt;"Yes",SUMPRODUCT((TRIM('Rework Log'!$A$3:$A$500)=TRIM($B27))*('Rework Log'!$G$3:$G$500&lt;&gt;"Yes")*('Rework Log'!$G$3:$G$500&lt;&gt;"Did not pass re-test"))=0,COUNTIF('Rework Log'!$A$3:$A$500,$B27)&gt;0,IFERROR(INDEX('Rework Log'!$G:$G,SUMPRODUCT(MAX((TRIM('Rework Log'!$A$3:$A$500)=TRIM($B27))*ROW('Rework Log'!$A$3:$A$500)))),"")="Did not pass re-test"),"Last fix rejected - re-block or log next attempt",IF(AND(LEFT($AC27,3)="Yes",ISNUMBER(SEARCH("needs DB Dev",$AC27)),O27&lt;&gt;"",SUMPRODUCT(MAX(((TRIM('Rework Log'!$A$3:$A$500)=TRIM($B27))*('Rework Log'!$G$3:$G$500&lt;&gt;"Yes")*('Rework Log'!$G$3:$G$500&lt;&gt;"Did not pass re-test"))*IFERROR('Rework Log'!$I$3:$I$500*1,0)))&gt;0),"Move old DB Dev completion date to Rework Log (col H)",IF(AND(LEFT($AC27,3)="Yes",ISNUMBER(SEARCH("needs PBI Dev",$AC27)),R27&lt;&gt;"",SUMPRODUCT(MAX(((TRIM('Rework Log'!$A$3:$A$500)=TRIM($B27))*('Rework Log'!$G$3:$G$500&lt;&gt;"Yes")*('Rework Log'!$G$3:$G$500&lt;&gt;"Did not pass re-test"))*IFERROR('Rework Log'!$I$3:$I$500*1,0)))&gt;0),"Move old PBI Dev completion date to Rework Log (col H)",IF(AND(LEFT($AC27,3)="Yes",ISNUMBER(SEARCH("needs QA",$AC27)),U27&lt;&gt;"",SUMPRODUCT(MAX(((TRIM('Rework Log'!$A$3:$A$500)=TRIM($B27))*('Rework Log'!$G$3:$G$500&lt;&gt;"Yes")*('Rework Log'!$G$3:$G$500&lt;&gt;"Did not pass re-test"))*IFERROR('Rework Log'!$I$3:$I$500*1,0)))&gt;0),"Move old QA completion date to Rework Log (col H)",IF(AND(LEFT($AC27,3)="Yes",ISNUMBER(SEARCH("needs DB Dev",$AC27)),TRIM(C27)&lt;&gt;"DB Dev"),"Set Current Status back to DB Dev",IF(AND(LEFT($AC27,3)="Yes",ISNUMBER(SEARCH("needs PBI Dev",$AC27)),TRIM(C27)&lt;&gt;"PBI Dev"),"Set Current Status back to PBI Dev",IF(AND(LEFT($AC27,3)="Yes",ISNUMBER(SEARCH("needs QA",$AC27)),TRIM(C27)&lt;&gt;"QA"),"Set Current Status back to QA",IF(COUNTIF($B$2:$B$500,$B27)&gt;1,"Duplicate name - check row",IF(AND(TRIM(C27)="RELEASED IN PROD",Y27&lt;&gt;"Yes"),"Released but Confirmed Deployed? is not Yes",IF(COUNTIF('Rework Log'!$A$3:$A$500,$B27)&gt;0,"",IF(AND(S27&lt;&gt;"",M27&lt;&gt;"",S27&lt;M27),"QA target is before DB Dev target",IF(AND(S27&lt;&gt;"",P27&lt;&gt;"",S27&lt;P27),"QA target is before PBI Dev target",IF(AND(V27&lt;&gt;"",S27&lt;&gt;"",V27&lt;S27),"DPO Approval target is before QA target",IF(AND(Z27&lt;&gt;"",V27&lt;&gt;"",Z27&lt;V27),"Confirmed Deployed date is before DPO Approval target","")))))))))))))))))</f>
        <v/>
      </c>
      <c r="AE27" s="61"/>
    </row>
    <row r="28" spans="1:31" x14ac:dyDescent="0.25">
      <c r="A28" s="50" t="s">
        <v>76</v>
      </c>
      <c r="B28" s="50" t="s">
        <v>166</v>
      </c>
      <c r="C28" s="50" t="s">
        <v>78</v>
      </c>
      <c r="D28" s="64" t="str">
        <f ca="1">IF($B28="","",IF(LEFT($AC28,3)="Yes",IF(LEN($AC28)&gt;5,"Blocked - "&amp;MID($AC28,7,100),"Blocked")&amp;IF(SUMPRODUCT((TRIM('Rework Log'!$A$3:$A$500)=TRIM($B28))*('Rework Log'!$G$3:$G$500&lt;&gt;"Yes")*('Rework Log'!$G$3:$G$500&lt;&gt;"Did not pass re-test"))=0,"",IF(SUMPRODUCT(((TRIM('Rework Log'!$A$3:$A$500)=TRIM($B28))*('Rework Log'!$G$3:$G$500&lt;&gt;"Yes")*('Rework Log'!$G$3:$G$500&lt;&gt;"Did not pass re-test"))*ISNUMBER('Rework Log'!$J$3:$J$500))&gt;0," - fixed, awaiting re-test",IF(SUMPRODUCT(MAX(((TRIM('Rework Log'!$A$3:$A$500)=TRIM($B28))*('Rework Log'!$G$3:$G$500&lt;&gt;"Yes")*('Rework Log'!$G$3:$G$500&lt;&gt;"Did not pass re-test"))*IFERROR('Rework Log'!$I$3:$I$500*1,0)))=0," - unclaimed"," - promised "&amp;TEXT(SUMPRODUCT(MAX(((TRIM('Rework Log'!$A$3:$A$500)=TRIM($B28))*('Rework Log'!$G$3:$G$500&lt;&gt;"Yes")*('Rework Log'!$G$3:$G$500&lt;&gt;"Did not pass re-test"))*IFERROR('Rework Log'!$I$3:$I$500*1,0))),"m/d")))),IF(TRIM(C28)="NOT STARTED",IF(K28="","No plan date set",IF(K28&lt;TODAY(),"Review - planned start passed","On track")),IF(TRIM(C28)="DB Dev",IF(M28="","No target set",IF(AND(M28&lt;TODAY(),O28=""),"Overdue","On track")),IF(TRIM(C28)="PBI Dev",IF(P28="","No target set",IF(AND(P28&lt;TODAY(),R28=""),"Overdue","On track")),IF(TRIM(C28)="QA",IF(S28="","No target set",IF(AND(S28&lt;TODAY(),U28=""),"Overdue","On track")),IF(TRIM(C28)="DPO Approval",IF(V28="","No target set",IF(V28&lt;TODAY(),"Overdue","On track")),IF(TRIM(C28)="RELEASED IN PROD","Delivered",""))))))))</f>
        <v>Delivered</v>
      </c>
      <c r="E28" s="50">
        <v>27</v>
      </c>
      <c r="F28" s="51"/>
      <c r="G28" s="50" t="s">
        <v>131</v>
      </c>
      <c r="H28" s="50" t="s">
        <v>134</v>
      </c>
      <c r="I28" s="50" t="s">
        <v>119</v>
      </c>
      <c r="J28" s="50"/>
      <c r="K28" s="52">
        <v>46203</v>
      </c>
      <c r="L28" s="50" t="s">
        <v>152</v>
      </c>
      <c r="M28" s="53">
        <v>46168</v>
      </c>
      <c r="N28" s="54"/>
      <c r="O28" s="54">
        <v>46168</v>
      </c>
      <c r="P28" s="55">
        <v>46189</v>
      </c>
      <c r="Q28" s="54"/>
      <c r="R28" s="54">
        <v>46189</v>
      </c>
      <c r="S28" s="56">
        <v>46189</v>
      </c>
      <c r="T28" s="54"/>
      <c r="U28" s="54">
        <v>46189</v>
      </c>
      <c r="V28" s="57">
        <v>46192</v>
      </c>
      <c r="W28" s="54"/>
      <c r="X28" s="50"/>
      <c r="Y28" s="58" t="s">
        <v>84</v>
      </c>
      <c r="Z28" s="54">
        <v>46192</v>
      </c>
      <c r="AA28" s="59" t="s">
        <v>167</v>
      </c>
      <c r="AB28" s="50"/>
      <c r="AC28" s="60" t="s">
        <v>26</v>
      </c>
      <c r="AD28" s="65" t="str">
        <f>IF($B28="","",IF(AND(LEFT($AC28,3)="Yes",SUMPRODUCT((TRIM('Rework Log'!$A$3:$A$500)=TRIM($B28))*('Rework Log'!$G$3:$G$500&lt;&gt;"Yes")*('Rework Log'!$G$3:$G$500&lt;&gt;"Did not pass re-test"))=0),"Blocked - log it on Rework Log",IF(AND(LEFT($AC28,3)&lt;&gt;"Yes",SUMPRODUCT((TRIM('Rework Log'!$A$3:$A$500)=TRIM($B28))*('Rework Log'!$G$3:$G$500&lt;&gt;"Yes")*('Rework Log'!$G$3:$G$500&lt;&gt;"Did not pass re-test"))&gt;0),"Open rework row - mark Blocked? or close it",IF(AND(LEFT($AC28,3)&lt;&gt;"Yes",SUMPRODUCT((TRIM('Rework Log'!$A$3:$A$500)=TRIM($B28))*('Rework Log'!$G$3:$G$500&lt;&gt;"Yes")*('Rework Log'!$G$3:$G$500&lt;&gt;"Did not pass re-test"))=0,COUNTIF('Rework Log'!$A$3:$A$500,$B28)&gt;0,IFERROR(INDEX('Rework Log'!$G:$G,SUMPRODUCT(MAX((TRIM('Rework Log'!$A$3:$A$500)=TRIM($B28))*ROW('Rework Log'!$A$3:$A$500)))),"")="Did not pass re-test"),"Last fix rejected - re-block or log next attempt",IF(AND(LEFT($AC28,3)="Yes",ISNUMBER(SEARCH("needs DB Dev",$AC28)),O28&lt;&gt;"",SUMPRODUCT(MAX(((TRIM('Rework Log'!$A$3:$A$500)=TRIM($B28))*('Rework Log'!$G$3:$G$500&lt;&gt;"Yes")*('Rework Log'!$G$3:$G$500&lt;&gt;"Did not pass re-test"))*IFERROR('Rework Log'!$I$3:$I$500*1,0)))&gt;0),"Move old DB Dev completion date to Rework Log (col H)",IF(AND(LEFT($AC28,3)="Yes",ISNUMBER(SEARCH("needs PBI Dev",$AC28)),R28&lt;&gt;"",SUMPRODUCT(MAX(((TRIM('Rework Log'!$A$3:$A$500)=TRIM($B28))*('Rework Log'!$G$3:$G$500&lt;&gt;"Yes")*('Rework Log'!$G$3:$G$500&lt;&gt;"Did not pass re-test"))*IFERROR('Rework Log'!$I$3:$I$500*1,0)))&gt;0),"Move old PBI Dev completion date to Rework Log (col H)",IF(AND(LEFT($AC28,3)="Yes",ISNUMBER(SEARCH("needs QA",$AC28)),U28&lt;&gt;"",SUMPRODUCT(MAX(((TRIM('Rework Log'!$A$3:$A$500)=TRIM($B28))*('Rework Log'!$G$3:$G$500&lt;&gt;"Yes")*('Rework Log'!$G$3:$G$500&lt;&gt;"Did not pass re-test"))*IFERROR('Rework Log'!$I$3:$I$500*1,0)))&gt;0),"Move old QA completion date to Rework Log (col H)",IF(AND(LEFT($AC28,3)="Yes",ISNUMBER(SEARCH("needs DB Dev",$AC28)),TRIM(C28)&lt;&gt;"DB Dev"),"Set Current Status back to DB Dev",IF(AND(LEFT($AC28,3)="Yes",ISNUMBER(SEARCH("needs PBI Dev",$AC28)),TRIM(C28)&lt;&gt;"PBI Dev"),"Set Current Status back to PBI Dev",IF(AND(LEFT($AC28,3)="Yes",ISNUMBER(SEARCH("needs QA",$AC28)),TRIM(C28)&lt;&gt;"QA"),"Set Current Status back to QA",IF(COUNTIF($B$2:$B$500,$B28)&gt;1,"Duplicate name - check row",IF(AND(TRIM(C28)="RELEASED IN PROD",Y28&lt;&gt;"Yes"),"Released but Confirmed Deployed? is not Yes",IF(COUNTIF('Rework Log'!$A$3:$A$500,$B28)&gt;0,"",IF(AND(S28&lt;&gt;"",M28&lt;&gt;"",S28&lt;M28),"QA target is before DB Dev target",IF(AND(S28&lt;&gt;"",P28&lt;&gt;"",S28&lt;P28),"QA target is before PBI Dev target",IF(AND(V28&lt;&gt;"",S28&lt;&gt;"",V28&lt;S28),"DPO Approval target is before QA target",IF(AND(Z28&lt;&gt;"",V28&lt;&gt;"",Z28&lt;V28),"Confirmed Deployed date is before DPO Approval target","")))))))))))))))))</f>
        <v/>
      </c>
      <c r="AE28" s="61"/>
    </row>
    <row r="29" spans="1:31" x14ac:dyDescent="0.25">
      <c r="A29" s="50" t="s">
        <v>76</v>
      </c>
      <c r="B29" s="50" t="s">
        <v>168</v>
      </c>
      <c r="C29" s="50" t="s">
        <v>78</v>
      </c>
      <c r="D29" s="64" t="str">
        <f ca="1">IF($B29="","",IF(LEFT($AC29,3)="Yes",IF(LEN($AC29)&gt;5,"Blocked - "&amp;MID($AC29,7,100),"Blocked")&amp;IF(SUMPRODUCT((TRIM('Rework Log'!$A$3:$A$500)=TRIM($B29))*('Rework Log'!$G$3:$G$500&lt;&gt;"Yes")*('Rework Log'!$G$3:$G$500&lt;&gt;"Did not pass re-test"))=0,"",IF(SUMPRODUCT(((TRIM('Rework Log'!$A$3:$A$500)=TRIM($B29))*('Rework Log'!$G$3:$G$500&lt;&gt;"Yes")*('Rework Log'!$G$3:$G$500&lt;&gt;"Did not pass re-test"))*ISNUMBER('Rework Log'!$J$3:$J$500))&gt;0," - fixed, awaiting re-test",IF(SUMPRODUCT(MAX(((TRIM('Rework Log'!$A$3:$A$500)=TRIM($B29))*('Rework Log'!$G$3:$G$500&lt;&gt;"Yes")*('Rework Log'!$G$3:$G$500&lt;&gt;"Did not pass re-test"))*IFERROR('Rework Log'!$I$3:$I$500*1,0)))=0," - unclaimed"," - promised "&amp;TEXT(SUMPRODUCT(MAX(((TRIM('Rework Log'!$A$3:$A$500)=TRIM($B29))*('Rework Log'!$G$3:$G$500&lt;&gt;"Yes")*('Rework Log'!$G$3:$G$500&lt;&gt;"Did not pass re-test"))*IFERROR('Rework Log'!$I$3:$I$500*1,0))),"m/d")))),IF(TRIM(C29)="NOT STARTED",IF(K29="","No plan date set",IF(K29&lt;TODAY(),"Review - planned start passed","On track")),IF(TRIM(C29)="DB Dev",IF(M29="","No target set",IF(AND(M29&lt;TODAY(),O29=""),"Overdue","On track")),IF(TRIM(C29)="PBI Dev",IF(P29="","No target set",IF(AND(P29&lt;TODAY(),R29=""),"Overdue","On track")),IF(TRIM(C29)="QA",IF(S29="","No target set",IF(AND(S29&lt;TODAY(),U29=""),"Overdue","On track")),IF(TRIM(C29)="DPO Approval",IF(V29="","No target set",IF(V29&lt;TODAY(),"Overdue","On track")),IF(TRIM(C29)="RELEASED IN PROD","Delivered",""))))))))</f>
        <v>Delivered</v>
      </c>
      <c r="E29" s="50"/>
      <c r="F29" s="51"/>
      <c r="G29" s="50" t="s">
        <v>111</v>
      </c>
      <c r="H29" s="50" t="s">
        <v>134</v>
      </c>
      <c r="I29" s="50"/>
      <c r="J29" s="50"/>
      <c r="K29" s="52">
        <v>46203</v>
      </c>
      <c r="L29" s="50" t="s">
        <v>152</v>
      </c>
      <c r="M29" s="53">
        <v>46169</v>
      </c>
      <c r="N29" s="54"/>
      <c r="O29" s="54">
        <v>46169</v>
      </c>
      <c r="P29" s="55">
        <v>46195</v>
      </c>
      <c r="Q29" s="54"/>
      <c r="R29" s="54">
        <v>46195</v>
      </c>
      <c r="S29" s="56">
        <v>46197</v>
      </c>
      <c r="T29" s="54"/>
      <c r="U29" s="54">
        <v>46197</v>
      </c>
      <c r="V29" s="57"/>
      <c r="W29" s="54"/>
      <c r="X29" s="50"/>
      <c r="Y29" s="58" t="s">
        <v>84</v>
      </c>
      <c r="Z29" s="54">
        <v>46197</v>
      </c>
      <c r="AA29" s="59"/>
      <c r="AB29" s="50"/>
      <c r="AC29" s="60" t="s">
        <v>26</v>
      </c>
      <c r="AD29" s="65" t="str">
        <f>IF($B29="","",IF(AND(LEFT($AC29,3)="Yes",SUMPRODUCT((TRIM('Rework Log'!$A$3:$A$500)=TRIM($B29))*('Rework Log'!$G$3:$G$500&lt;&gt;"Yes")*('Rework Log'!$G$3:$G$500&lt;&gt;"Did not pass re-test"))=0),"Blocked - log it on Rework Log",IF(AND(LEFT($AC29,3)&lt;&gt;"Yes",SUMPRODUCT((TRIM('Rework Log'!$A$3:$A$500)=TRIM($B29))*('Rework Log'!$G$3:$G$500&lt;&gt;"Yes")*('Rework Log'!$G$3:$G$500&lt;&gt;"Did not pass re-test"))&gt;0),"Open rework row - mark Blocked? or close it",IF(AND(LEFT($AC29,3)&lt;&gt;"Yes",SUMPRODUCT((TRIM('Rework Log'!$A$3:$A$500)=TRIM($B29))*('Rework Log'!$G$3:$G$500&lt;&gt;"Yes")*('Rework Log'!$G$3:$G$500&lt;&gt;"Did not pass re-test"))=0,COUNTIF('Rework Log'!$A$3:$A$500,$B29)&gt;0,IFERROR(INDEX('Rework Log'!$G:$G,SUMPRODUCT(MAX((TRIM('Rework Log'!$A$3:$A$500)=TRIM($B29))*ROW('Rework Log'!$A$3:$A$500)))),"")="Did not pass re-test"),"Last fix rejected - re-block or log next attempt",IF(AND(LEFT($AC29,3)="Yes",ISNUMBER(SEARCH("needs DB Dev",$AC29)),O29&lt;&gt;"",SUMPRODUCT(MAX(((TRIM('Rework Log'!$A$3:$A$500)=TRIM($B29))*('Rework Log'!$G$3:$G$500&lt;&gt;"Yes")*('Rework Log'!$G$3:$G$500&lt;&gt;"Did not pass re-test"))*IFERROR('Rework Log'!$I$3:$I$500*1,0)))&gt;0),"Move old DB Dev completion date to Rework Log (col H)",IF(AND(LEFT($AC29,3)="Yes",ISNUMBER(SEARCH("needs PBI Dev",$AC29)),R29&lt;&gt;"",SUMPRODUCT(MAX(((TRIM('Rework Log'!$A$3:$A$500)=TRIM($B29))*('Rework Log'!$G$3:$G$500&lt;&gt;"Yes")*('Rework Log'!$G$3:$G$500&lt;&gt;"Did not pass re-test"))*IFERROR('Rework Log'!$I$3:$I$500*1,0)))&gt;0),"Move old PBI Dev completion date to Rework Log (col H)",IF(AND(LEFT($AC29,3)="Yes",ISNUMBER(SEARCH("needs QA",$AC29)),U29&lt;&gt;"",SUMPRODUCT(MAX(((TRIM('Rework Log'!$A$3:$A$500)=TRIM($B29))*('Rework Log'!$G$3:$G$500&lt;&gt;"Yes")*('Rework Log'!$G$3:$G$500&lt;&gt;"Did not pass re-test"))*IFERROR('Rework Log'!$I$3:$I$500*1,0)))&gt;0),"Move old QA completion date to Rework Log (col H)",IF(AND(LEFT($AC29,3)="Yes",ISNUMBER(SEARCH("needs DB Dev",$AC29)),TRIM(C29)&lt;&gt;"DB Dev"),"Set Current Status back to DB Dev",IF(AND(LEFT($AC29,3)="Yes",ISNUMBER(SEARCH("needs PBI Dev",$AC29)),TRIM(C29)&lt;&gt;"PBI Dev"),"Set Current Status back to PBI Dev",IF(AND(LEFT($AC29,3)="Yes",ISNUMBER(SEARCH("needs QA",$AC29)),TRIM(C29)&lt;&gt;"QA"),"Set Current Status back to QA",IF(COUNTIF($B$2:$B$500,$B29)&gt;1,"Duplicate name - check row",IF(AND(TRIM(C29)="RELEASED IN PROD",Y29&lt;&gt;"Yes"),"Released but Confirmed Deployed? is not Yes",IF(COUNTIF('Rework Log'!$A$3:$A$500,$B29)&gt;0,"",IF(AND(S29&lt;&gt;"",M29&lt;&gt;"",S29&lt;M29),"QA target is before DB Dev target",IF(AND(S29&lt;&gt;"",P29&lt;&gt;"",S29&lt;P29),"QA target is before PBI Dev target",IF(AND(V29&lt;&gt;"",S29&lt;&gt;"",V29&lt;S29),"DPO Approval target is before QA target",IF(AND(Z29&lt;&gt;"",V29&lt;&gt;"",Z29&lt;V29),"Confirmed Deployed date is before DPO Approval target","")))))))))))))))))</f>
        <v/>
      </c>
      <c r="AE29" s="61" t="s">
        <v>169</v>
      </c>
    </row>
    <row r="30" spans="1:31" x14ac:dyDescent="0.25">
      <c r="A30" s="50" t="s">
        <v>170</v>
      </c>
      <c r="B30" s="50" t="s">
        <v>171</v>
      </c>
      <c r="C30" s="50" t="s">
        <v>20</v>
      </c>
      <c r="D30" s="64" t="str">
        <f ca="1">IF($B30="","",IF(LEFT($AC30,3)="Yes",IF(LEN($AC30)&gt;5,"Blocked - "&amp;MID($AC30,7,100),"Blocked")&amp;IF(SUMPRODUCT((TRIM('Rework Log'!$A$3:$A$500)=TRIM($B30))*('Rework Log'!$G$3:$G$500&lt;&gt;"Yes")*('Rework Log'!$G$3:$G$500&lt;&gt;"Did not pass re-test"))=0,"",IF(SUMPRODUCT(((TRIM('Rework Log'!$A$3:$A$500)=TRIM($B30))*('Rework Log'!$G$3:$G$500&lt;&gt;"Yes")*('Rework Log'!$G$3:$G$500&lt;&gt;"Did not pass re-test"))*ISNUMBER('Rework Log'!$J$3:$J$500))&gt;0," - fixed, awaiting re-test",IF(SUMPRODUCT(MAX(((TRIM('Rework Log'!$A$3:$A$500)=TRIM($B30))*('Rework Log'!$G$3:$G$500&lt;&gt;"Yes")*('Rework Log'!$G$3:$G$500&lt;&gt;"Did not pass re-test"))*IFERROR('Rework Log'!$I$3:$I$500*1,0)))=0," - unclaimed"," - promised "&amp;TEXT(SUMPRODUCT(MAX(((TRIM('Rework Log'!$A$3:$A$500)=TRIM($B30))*('Rework Log'!$G$3:$G$500&lt;&gt;"Yes")*('Rework Log'!$G$3:$G$500&lt;&gt;"Did not pass re-test"))*IFERROR('Rework Log'!$I$3:$I$500*1,0))),"m/d")))),IF(TRIM(C30)="NOT STARTED",IF(K30="","No plan date set",IF(K30&lt;TODAY(),"Review - planned start passed","On track")),IF(TRIM(C30)="DB Dev",IF(M30="","No target set",IF(AND(M30&lt;TODAY(),O30=""),"Overdue","On track")),IF(TRIM(C30)="PBI Dev",IF(P30="","No target set",IF(AND(P30&lt;TODAY(),R30=""),"Overdue","On track")),IF(TRIM(C30)="QA",IF(S30="","No target set",IF(AND(S30&lt;TODAY(),U30=""),"Overdue","On track")),IF(TRIM(C30)="DPO Approval",IF(V30="","No target set",IF(V30&lt;TODAY(),"Overdue","On track")),IF(TRIM(C30)="RELEASED IN PROD","Delivered",""))))))))</f>
        <v>Blocked - needs PBI Dev to fix</v>
      </c>
      <c r="E30" s="50">
        <v>1</v>
      </c>
      <c r="F30" s="51" t="s">
        <v>172</v>
      </c>
      <c r="G30" s="50" t="s">
        <v>103</v>
      </c>
      <c r="H30" s="50" t="s">
        <v>94</v>
      </c>
      <c r="I30" s="50" t="s">
        <v>172</v>
      </c>
      <c r="J30" s="50"/>
      <c r="K30" s="52">
        <v>46234</v>
      </c>
      <c r="L30" s="50" t="s">
        <v>173</v>
      </c>
      <c r="M30" s="53"/>
      <c r="N30" s="54"/>
      <c r="O30" s="54"/>
      <c r="P30" s="55">
        <v>46223</v>
      </c>
      <c r="Q30" s="54"/>
      <c r="R30" s="54">
        <v>46223</v>
      </c>
      <c r="S30" s="56">
        <v>46227</v>
      </c>
      <c r="T30" s="54"/>
      <c r="U30" s="54">
        <v>46227</v>
      </c>
      <c r="V30" s="57"/>
      <c r="W30" s="54"/>
      <c r="X30" s="50"/>
      <c r="Y30" s="58"/>
      <c r="Z30" s="54"/>
      <c r="AA30" s="59"/>
      <c r="AB30" s="50"/>
      <c r="AC30" s="60" t="s">
        <v>174</v>
      </c>
      <c r="AD30" s="65" t="str">
        <f>IF($B30="","",IF(AND(LEFT($AC30,3)="Yes",SUMPRODUCT((TRIM('Rework Log'!$A$3:$A$500)=TRIM($B30))*('Rework Log'!$G$3:$G$500&lt;&gt;"Yes")*('Rework Log'!$G$3:$G$500&lt;&gt;"Did not pass re-test"))=0),"Blocked - log it on Rework Log",IF(AND(LEFT($AC30,3)&lt;&gt;"Yes",SUMPRODUCT((TRIM('Rework Log'!$A$3:$A$500)=TRIM($B30))*('Rework Log'!$G$3:$G$500&lt;&gt;"Yes")*('Rework Log'!$G$3:$G$500&lt;&gt;"Did not pass re-test"))&gt;0),"Open rework row - mark Blocked? or close it",IF(AND(LEFT($AC30,3)&lt;&gt;"Yes",SUMPRODUCT((TRIM('Rework Log'!$A$3:$A$500)=TRIM($B30))*('Rework Log'!$G$3:$G$500&lt;&gt;"Yes")*('Rework Log'!$G$3:$G$500&lt;&gt;"Did not pass re-test"))=0,COUNTIF('Rework Log'!$A$3:$A$500,$B30)&gt;0,IFERROR(INDEX('Rework Log'!$G:$G,SUMPRODUCT(MAX((TRIM('Rework Log'!$A$3:$A$500)=TRIM($B30))*ROW('Rework Log'!$A$3:$A$500)))),"")="Did not pass re-test"),"Last fix rejected - re-block or log next attempt",IF(AND(LEFT($AC30,3)="Yes",ISNUMBER(SEARCH("needs DB Dev",$AC30)),O30&lt;&gt;"",SUMPRODUCT(MAX(((TRIM('Rework Log'!$A$3:$A$500)=TRIM($B30))*('Rework Log'!$G$3:$G$500&lt;&gt;"Yes")*('Rework Log'!$G$3:$G$500&lt;&gt;"Did not pass re-test"))*IFERROR('Rework Log'!$I$3:$I$500*1,0)))&gt;0),"Move old DB Dev completion date to Rework Log (col H)",IF(AND(LEFT($AC30,3)="Yes",ISNUMBER(SEARCH("needs PBI Dev",$AC30)),R30&lt;&gt;"",SUMPRODUCT(MAX(((TRIM('Rework Log'!$A$3:$A$500)=TRIM($B30))*('Rework Log'!$G$3:$G$500&lt;&gt;"Yes")*('Rework Log'!$G$3:$G$500&lt;&gt;"Did not pass re-test"))*IFERROR('Rework Log'!$I$3:$I$500*1,0)))&gt;0),"Move old PBI Dev completion date to Rework Log (col H)",IF(AND(LEFT($AC30,3)="Yes",ISNUMBER(SEARCH("needs QA",$AC30)),U30&lt;&gt;"",SUMPRODUCT(MAX(((TRIM('Rework Log'!$A$3:$A$500)=TRIM($B30))*('Rework Log'!$G$3:$G$500&lt;&gt;"Yes")*('Rework Log'!$G$3:$G$500&lt;&gt;"Did not pass re-test"))*IFERROR('Rework Log'!$I$3:$I$500*1,0)))&gt;0),"Move old QA completion date to Rework Log (col H)",IF(AND(LEFT($AC30,3)="Yes",ISNUMBER(SEARCH("needs DB Dev",$AC30)),TRIM(C30)&lt;&gt;"DB Dev"),"Set Current Status back to DB Dev",IF(AND(LEFT($AC30,3)="Yes",ISNUMBER(SEARCH("needs PBI Dev",$AC30)),TRIM(C30)&lt;&gt;"PBI Dev"),"Set Current Status back to PBI Dev",IF(AND(LEFT($AC30,3)="Yes",ISNUMBER(SEARCH("needs QA",$AC30)),TRIM(C30)&lt;&gt;"QA"),"Set Current Status back to QA",IF(COUNTIF($B$2:$B$500,$B30)&gt;1,"Duplicate name - check row",IF(AND(TRIM(C30)="RELEASED IN PROD",Y30&lt;&gt;"Yes"),"Released but Confirmed Deployed? is not Yes",IF(COUNTIF('Rework Log'!$A$3:$A$500,$B30)&gt;0,"",IF(AND(S30&lt;&gt;"",M30&lt;&gt;"",S30&lt;M30),"QA target is before DB Dev target",IF(AND(S30&lt;&gt;"",P30&lt;&gt;"",S30&lt;P30),"QA target is before PBI Dev target",IF(AND(V30&lt;&gt;"",S30&lt;&gt;"",V30&lt;S30),"DPO Approval target is before QA target",IF(AND(Z30&lt;&gt;"",V30&lt;&gt;"",Z30&lt;V30),"Confirmed Deployed date is before DPO Approval target","")))))))))))))))))</f>
        <v>Blocked - log it on Rework Log</v>
      </c>
      <c r="AE30" s="61" t="s">
        <v>175</v>
      </c>
    </row>
    <row r="31" spans="1:31" x14ac:dyDescent="0.25">
      <c r="A31" s="50" t="s">
        <v>170</v>
      </c>
      <c r="B31" s="50" t="s">
        <v>176</v>
      </c>
      <c r="C31" s="50" t="s">
        <v>20</v>
      </c>
      <c r="D31" s="64" t="str">
        <f ca="1">IF($B31="","",IF(LEFT($AC31,3)="Yes",IF(LEN($AC31)&gt;5,"Blocked - "&amp;MID($AC31,7,100),"Blocked")&amp;IF(SUMPRODUCT((TRIM('Rework Log'!$A$3:$A$500)=TRIM($B31))*('Rework Log'!$G$3:$G$500&lt;&gt;"Yes")*('Rework Log'!$G$3:$G$500&lt;&gt;"Did not pass re-test"))=0,"",IF(SUMPRODUCT(((TRIM('Rework Log'!$A$3:$A$500)=TRIM($B31))*('Rework Log'!$G$3:$G$500&lt;&gt;"Yes")*('Rework Log'!$G$3:$G$500&lt;&gt;"Did not pass re-test"))*ISNUMBER('Rework Log'!$J$3:$J$500))&gt;0," - fixed, awaiting re-test",IF(SUMPRODUCT(MAX(((TRIM('Rework Log'!$A$3:$A$500)=TRIM($B31))*('Rework Log'!$G$3:$G$500&lt;&gt;"Yes")*('Rework Log'!$G$3:$G$500&lt;&gt;"Did not pass re-test"))*IFERROR('Rework Log'!$I$3:$I$500*1,0)))=0," - unclaimed"," - promised "&amp;TEXT(SUMPRODUCT(MAX(((TRIM('Rework Log'!$A$3:$A$500)=TRIM($B31))*('Rework Log'!$G$3:$G$500&lt;&gt;"Yes")*('Rework Log'!$G$3:$G$500&lt;&gt;"Did not pass re-test"))*IFERROR('Rework Log'!$I$3:$I$500*1,0))),"m/d")))),IF(TRIM(C31)="NOT STARTED",IF(K31="","No plan date set",IF(K31&lt;TODAY(),"Review - planned start passed","On track")),IF(TRIM(C31)="DB Dev",IF(M31="","No target set",IF(AND(M31&lt;TODAY(),O31=""),"Overdue","On track")),IF(TRIM(C31)="PBI Dev",IF(P31="","No target set",IF(AND(P31&lt;TODAY(),R31=""),"Overdue","On track")),IF(TRIM(C31)="QA",IF(S31="","No target set",IF(AND(S31&lt;TODAY(),U31=""),"Overdue","On track")),IF(TRIM(C31)="DPO Approval",IF(V31="","No target set",IF(V31&lt;TODAY(),"Overdue","On track")),IF(TRIM(C31)="RELEASED IN PROD","Delivered",""))))))))</f>
        <v>On track</v>
      </c>
      <c r="E31" s="50">
        <v>2</v>
      </c>
      <c r="F31" s="51" t="s">
        <v>172</v>
      </c>
      <c r="G31" s="50" t="s">
        <v>163</v>
      </c>
      <c r="H31" s="50" t="s">
        <v>134</v>
      </c>
      <c r="I31" s="50" t="s">
        <v>172</v>
      </c>
      <c r="J31" s="50"/>
      <c r="K31" s="52">
        <v>46234</v>
      </c>
      <c r="L31" s="50" t="s">
        <v>173</v>
      </c>
      <c r="M31" s="53"/>
      <c r="N31" s="54"/>
      <c r="O31" s="54"/>
      <c r="P31" s="55">
        <v>46224</v>
      </c>
      <c r="Q31" s="54"/>
      <c r="R31" s="54">
        <v>46224</v>
      </c>
      <c r="S31" s="56">
        <v>46227</v>
      </c>
      <c r="T31" s="54"/>
      <c r="U31" s="54">
        <v>46227</v>
      </c>
      <c r="V31" s="57"/>
      <c r="W31" s="54"/>
      <c r="X31" s="50"/>
      <c r="Y31" s="58"/>
      <c r="Z31" s="54"/>
      <c r="AA31" s="59"/>
      <c r="AB31" s="50"/>
      <c r="AC31" s="60" t="s">
        <v>26</v>
      </c>
      <c r="AD31" s="65" t="str">
        <f>IF($B31="","",IF(AND(LEFT($AC31,3)="Yes",SUMPRODUCT((TRIM('Rework Log'!$A$3:$A$500)=TRIM($B31))*('Rework Log'!$G$3:$G$500&lt;&gt;"Yes")*('Rework Log'!$G$3:$G$500&lt;&gt;"Did not pass re-test"))=0),"Blocked - log it on Rework Log",IF(AND(LEFT($AC31,3)&lt;&gt;"Yes",SUMPRODUCT((TRIM('Rework Log'!$A$3:$A$500)=TRIM($B31))*('Rework Log'!$G$3:$G$500&lt;&gt;"Yes")*('Rework Log'!$G$3:$G$500&lt;&gt;"Did not pass re-test"))&gt;0),"Open rework row - mark Blocked? or close it",IF(AND(LEFT($AC31,3)&lt;&gt;"Yes",SUMPRODUCT((TRIM('Rework Log'!$A$3:$A$500)=TRIM($B31))*('Rework Log'!$G$3:$G$500&lt;&gt;"Yes")*('Rework Log'!$G$3:$G$500&lt;&gt;"Did not pass re-test"))=0,COUNTIF('Rework Log'!$A$3:$A$500,$B31)&gt;0,IFERROR(INDEX('Rework Log'!$G:$G,SUMPRODUCT(MAX((TRIM('Rework Log'!$A$3:$A$500)=TRIM($B31))*ROW('Rework Log'!$A$3:$A$500)))),"")="Did not pass re-test"),"Last fix rejected - re-block or log next attempt",IF(AND(LEFT($AC31,3)="Yes",ISNUMBER(SEARCH("needs DB Dev",$AC31)),O31&lt;&gt;"",SUMPRODUCT(MAX(((TRIM('Rework Log'!$A$3:$A$500)=TRIM($B31))*('Rework Log'!$G$3:$G$500&lt;&gt;"Yes")*('Rework Log'!$G$3:$G$500&lt;&gt;"Did not pass re-test"))*IFERROR('Rework Log'!$I$3:$I$500*1,0)))&gt;0),"Move old DB Dev completion date to Rework Log (col H)",IF(AND(LEFT($AC31,3)="Yes",ISNUMBER(SEARCH("needs PBI Dev",$AC31)),R31&lt;&gt;"",SUMPRODUCT(MAX(((TRIM('Rework Log'!$A$3:$A$500)=TRIM($B31))*('Rework Log'!$G$3:$G$500&lt;&gt;"Yes")*('Rework Log'!$G$3:$G$500&lt;&gt;"Did not pass re-test"))*IFERROR('Rework Log'!$I$3:$I$500*1,0)))&gt;0),"Move old PBI Dev completion date to Rework Log (col H)",IF(AND(LEFT($AC31,3)="Yes",ISNUMBER(SEARCH("needs QA",$AC31)),U31&lt;&gt;"",SUMPRODUCT(MAX(((TRIM('Rework Log'!$A$3:$A$500)=TRIM($B31))*('Rework Log'!$G$3:$G$500&lt;&gt;"Yes")*('Rework Log'!$G$3:$G$500&lt;&gt;"Did not pass re-test"))*IFERROR('Rework Log'!$I$3:$I$500*1,0)))&gt;0),"Move old QA completion date to Rework Log (col H)",IF(AND(LEFT($AC31,3)="Yes",ISNUMBER(SEARCH("needs DB Dev",$AC31)),TRIM(C31)&lt;&gt;"DB Dev"),"Set Current Status back to DB Dev",IF(AND(LEFT($AC31,3)="Yes",ISNUMBER(SEARCH("needs PBI Dev",$AC31)),TRIM(C31)&lt;&gt;"PBI Dev"),"Set Current Status back to PBI Dev",IF(AND(LEFT($AC31,3)="Yes",ISNUMBER(SEARCH("needs QA",$AC31)),TRIM(C31)&lt;&gt;"QA"),"Set Current Status back to QA",IF(COUNTIF($B$2:$B$500,$B31)&gt;1,"Duplicate name - check row",IF(AND(TRIM(C31)="RELEASED IN PROD",Y31&lt;&gt;"Yes"),"Released but Confirmed Deployed? is not Yes",IF(COUNTIF('Rework Log'!$A$3:$A$500,$B31)&gt;0,"",IF(AND(S31&lt;&gt;"",M31&lt;&gt;"",S31&lt;M31),"QA target is before DB Dev target",IF(AND(S31&lt;&gt;"",P31&lt;&gt;"",S31&lt;P31),"QA target is before PBI Dev target",IF(AND(V31&lt;&gt;"",S31&lt;&gt;"",V31&lt;S31),"DPO Approval target is before QA target",IF(AND(Z31&lt;&gt;"",V31&lt;&gt;"",Z31&lt;V31),"Confirmed Deployed date is before DPO Approval target","")))))))))))))))))</f>
        <v/>
      </c>
      <c r="AE31" s="61" t="s">
        <v>177</v>
      </c>
    </row>
    <row r="32" spans="1:31" x14ac:dyDescent="0.25">
      <c r="A32" s="50" t="s">
        <v>170</v>
      </c>
      <c r="B32" s="50" t="s">
        <v>178</v>
      </c>
      <c r="C32" s="50" t="s">
        <v>20</v>
      </c>
      <c r="D32" s="64" t="str">
        <f ca="1">IF($B32="","",IF(LEFT($AC32,3)="Yes",IF(LEN($AC32)&gt;5,"Blocked - "&amp;MID($AC32,7,100),"Blocked")&amp;IF(SUMPRODUCT((TRIM('Rework Log'!$A$3:$A$500)=TRIM($B32))*('Rework Log'!$G$3:$G$500&lt;&gt;"Yes")*('Rework Log'!$G$3:$G$500&lt;&gt;"Did not pass re-test"))=0,"",IF(SUMPRODUCT(((TRIM('Rework Log'!$A$3:$A$500)=TRIM($B32))*('Rework Log'!$G$3:$G$500&lt;&gt;"Yes")*('Rework Log'!$G$3:$G$500&lt;&gt;"Did not pass re-test"))*ISNUMBER('Rework Log'!$J$3:$J$500))&gt;0," - fixed, awaiting re-test",IF(SUMPRODUCT(MAX(((TRIM('Rework Log'!$A$3:$A$500)=TRIM($B32))*('Rework Log'!$G$3:$G$500&lt;&gt;"Yes")*('Rework Log'!$G$3:$G$500&lt;&gt;"Did not pass re-test"))*IFERROR('Rework Log'!$I$3:$I$500*1,0)))=0," - unclaimed"," - promised "&amp;TEXT(SUMPRODUCT(MAX(((TRIM('Rework Log'!$A$3:$A$500)=TRIM($B32))*('Rework Log'!$G$3:$G$500&lt;&gt;"Yes")*('Rework Log'!$G$3:$G$500&lt;&gt;"Did not pass re-test"))*IFERROR('Rework Log'!$I$3:$I$500*1,0))),"m/d")))),IF(TRIM(C32)="NOT STARTED",IF(K32="","No plan date set",IF(K32&lt;TODAY(),"Review - planned start passed","On track")),IF(TRIM(C32)="DB Dev",IF(M32="","No target set",IF(AND(M32&lt;TODAY(),O32=""),"Overdue","On track")),IF(TRIM(C32)="PBI Dev",IF(P32="","No target set",IF(AND(P32&lt;TODAY(),R32=""),"Overdue","On track")),IF(TRIM(C32)="QA",IF(S32="","No target set",IF(AND(S32&lt;TODAY(),U32=""),"Overdue","On track")),IF(TRIM(C32)="DPO Approval",IF(V32="","No target set",IF(V32&lt;TODAY(),"Overdue","On track")),IF(TRIM(C32)="RELEASED IN PROD","Delivered",""))))))))</f>
        <v>No target set</v>
      </c>
      <c r="E32" s="50">
        <v>3</v>
      </c>
      <c r="F32" s="51" t="s">
        <v>172</v>
      </c>
      <c r="G32" s="50" t="s">
        <v>163</v>
      </c>
      <c r="H32" s="50" t="s">
        <v>134</v>
      </c>
      <c r="I32" s="50" t="s">
        <v>172</v>
      </c>
      <c r="J32" s="50"/>
      <c r="K32" s="52">
        <v>46234</v>
      </c>
      <c r="L32" s="50" t="s">
        <v>173</v>
      </c>
      <c r="M32" s="53"/>
      <c r="N32" s="54"/>
      <c r="O32" s="54"/>
      <c r="P32" s="55">
        <v>46230</v>
      </c>
      <c r="Q32" s="54"/>
      <c r="R32" s="54"/>
      <c r="S32" s="56"/>
      <c r="T32" s="54"/>
      <c r="U32" s="54"/>
      <c r="V32" s="57"/>
      <c r="W32" s="54"/>
      <c r="X32" s="50"/>
      <c r="Y32" s="58"/>
      <c r="Z32" s="54"/>
      <c r="AA32" s="59"/>
      <c r="AB32" s="50"/>
      <c r="AC32" s="60" t="s">
        <v>26</v>
      </c>
      <c r="AD32" s="65" t="str">
        <f>IF($B32="","",IF(AND(LEFT($AC32,3)="Yes",SUMPRODUCT((TRIM('Rework Log'!$A$3:$A$500)=TRIM($B32))*('Rework Log'!$G$3:$G$500&lt;&gt;"Yes")*('Rework Log'!$G$3:$G$500&lt;&gt;"Did not pass re-test"))=0),"Blocked - log it on Rework Log",IF(AND(LEFT($AC32,3)&lt;&gt;"Yes",SUMPRODUCT((TRIM('Rework Log'!$A$3:$A$500)=TRIM($B32))*('Rework Log'!$G$3:$G$500&lt;&gt;"Yes")*('Rework Log'!$G$3:$G$500&lt;&gt;"Did not pass re-test"))&gt;0),"Open rework row - mark Blocked? or close it",IF(AND(LEFT($AC32,3)&lt;&gt;"Yes",SUMPRODUCT((TRIM('Rework Log'!$A$3:$A$500)=TRIM($B32))*('Rework Log'!$G$3:$G$500&lt;&gt;"Yes")*('Rework Log'!$G$3:$G$500&lt;&gt;"Did not pass re-test"))=0,COUNTIF('Rework Log'!$A$3:$A$500,$B32)&gt;0,IFERROR(INDEX('Rework Log'!$G:$G,SUMPRODUCT(MAX((TRIM('Rework Log'!$A$3:$A$500)=TRIM($B32))*ROW('Rework Log'!$A$3:$A$500)))),"")="Did not pass re-test"),"Last fix rejected - re-block or log next attempt",IF(AND(LEFT($AC32,3)="Yes",ISNUMBER(SEARCH("needs DB Dev",$AC32)),O32&lt;&gt;"",SUMPRODUCT(MAX(((TRIM('Rework Log'!$A$3:$A$500)=TRIM($B32))*('Rework Log'!$G$3:$G$500&lt;&gt;"Yes")*('Rework Log'!$G$3:$G$500&lt;&gt;"Did not pass re-test"))*IFERROR('Rework Log'!$I$3:$I$500*1,0)))&gt;0),"Move old DB Dev completion date to Rework Log (col H)",IF(AND(LEFT($AC32,3)="Yes",ISNUMBER(SEARCH("needs PBI Dev",$AC32)),R32&lt;&gt;"",SUMPRODUCT(MAX(((TRIM('Rework Log'!$A$3:$A$500)=TRIM($B32))*('Rework Log'!$G$3:$G$500&lt;&gt;"Yes")*('Rework Log'!$G$3:$G$500&lt;&gt;"Did not pass re-test"))*IFERROR('Rework Log'!$I$3:$I$500*1,0)))&gt;0),"Move old PBI Dev completion date to Rework Log (col H)",IF(AND(LEFT($AC32,3)="Yes",ISNUMBER(SEARCH("needs QA",$AC32)),U32&lt;&gt;"",SUMPRODUCT(MAX(((TRIM('Rework Log'!$A$3:$A$500)=TRIM($B32))*('Rework Log'!$G$3:$G$500&lt;&gt;"Yes")*('Rework Log'!$G$3:$G$500&lt;&gt;"Did not pass re-test"))*IFERROR('Rework Log'!$I$3:$I$500*1,0)))&gt;0),"Move old QA completion date to Rework Log (col H)",IF(AND(LEFT($AC32,3)="Yes",ISNUMBER(SEARCH("needs DB Dev",$AC32)),TRIM(C32)&lt;&gt;"DB Dev"),"Set Current Status back to DB Dev",IF(AND(LEFT($AC32,3)="Yes",ISNUMBER(SEARCH("needs PBI Dev",$AC32)),TRIM(C32)&lt;&gt;"PBI Dev"),"Set Current Status back to PBI Dev",IF(AND(LEFT($AC32,3)="Yes",ISNUMBER(SEARCH("needs QA",$AC32)),TRIM(C32)&lt;&gt;"QA"),"Set Current Status back to QA",IF(COUNTIF($B$2:$B$500,$B32)&gt;1,"Duplicate name - check row",IF(AND(TRIM(C32)="RELEASED IN PROD",Y32&lt;&gt;"Yes"),"Released but Confirmed Deployed? is not Yes",IF(COUNTIF('Rework Log'!$A$3:$A$500,$B32)&gt;0,"",IF(AND(S32&lt;&gt;"",M32&lt;&gt;"",S32&lt;M32),"QA target is before DB Dev target",IF(AND(S32&lt;&gt;"",P32&lt;&gt;"",S32&lt;P32),"QA target is before PBI Dev target",IF(AND(V32&lt;&gt;"",S32&lt;&gt;"",V32&lt;S32),"DPO Approval target is before QA target",IF(AND(Z32&lt;&gt;"",V32&lt;&gt;"",Z32&lt;V32),"Confirmed Deployed date is before DPO Approval target","")))))))))))))))))</f>
        <v/>
      </c>
      <c r="AE32" s="61" t="s">
        <v>179</v>
      </c>
    </row>
    <row r="33" spans="1:31" x14ac:dyDescent="0.25">
      <c r="A33" s="50" t="s">
        <v>170</v>
      </c>
      <c r="B33" s="50" t="s">
        <v>180</v>
      </c>
      <c r="C33" s="50" t="s">
        <v>20</v>
      </c>
      <c r="D33" s="64" t="str">
        <f ca="1">IF($B33="","",IF(LEFT($AC33,3)="Yes",IF(LEN($AC33)&gt;5,"Blocked - "&amp;MID($AC33,7,100),"Blocked")&amp;IF(SUMPRODUCT((TRIM('Rework Log'!$A$3:$A$500)=TRIM($B33))*('Rework Log'!$G$3:$G$500&lt;&gt;"Yes")*('Rework Log'!$G$3:$G$500&lt;&gt;"Did not pass re-test"))=0,"",IF(SUMPRODUCT(((TRIM('Rework Log'!$A$3:$A$500)=TRIM($B33))*('Rework Log'!$G$3:$G$500&lt;&gt;"Yes")*('Rework Log'!$G$3:$G$500&lt;&gt;"Did not pass re-test"))*ISNUMBER('Rework Log'!$J$3:$J$500))&gt;0," - fixed, awaiting re-test",IF(SUMPRODUCT(MAX(((TRIM('Rework Log'!$A$3:$A$500)=TRIM($B33))*('Rework Log'!$G$3:$G$500&lt;&gt;"Yes")*('Rework Log'!$G$3:$G$500&lt;&gt;"Did not pass re-test"))*IFERROR('Rework Log'!$I$3:$I$500*1,0)))=0," - unclaimed"," - promised "&amp;TEXT(SUMPRODUCT(MAX(((TRIM('Rework Log'!$A$3:$A$500)=TRIM($B33))*('Rework Log'!$G$3:$G$500&lt;&gt;"Yes")*('Rework Log'!$G$3:$G$500&lt;&gt;"Did not pass re-test"))*IFERROR('Rework Log'!$I$3:$I$500*1,0))),"m/d")))),IF(TRIM(C33)="NOT STARTED",IF(K33="","No plan date set",IF(K33&lt;TODAY(),"Review - planned start passed","On track")),IF(TRIM(C33)="DB Dev",IF(M33="","No target set",IF(AND(M33&lt;TODAY(),O33=""),"Overdue","On track")),IF(TRIM(C33)="PBI Dev",IF(P33="","No target set",IF(AND(P33&lt;TODAY(),R33=""),"Overdue","On track")),IF(TRIM(C33)="QA",IF(S33="","No target set",IF(AND(S33&lt;TODAY(),U33=""),"Overdue","On track")),IF(TRIM(C33)="DPO Approval",IF(V33="","No target set",IF(V33&lt;TODAY(),"Overdue","On track")),IF(TRIM(C33)="RELEASED IN PROD","Delivered",""))))))))</f>
        <v>No target set</v>
      </c>
      <c r="E33" s="50">
        <v>4</v>
      </c>
      <c r="F33" s="51" t="s">
        <v>172</v>
      </c>
      <c r="G33" s="50" t="s">
        <v>93</v>
      </c>
      <c r="H33" s="50" t="s">
        <v>80</v>
      </c>
      <c r="I33" s="50" t="s">
        <v>172</v>
      </c>
      <c r="J33" s="50"/>
      <c r="K33" s="52">
        <v>46234</v>
      </c>
      <c r="L33" s="50" t="s">
        <v>173</v>
      </c>
      <c r="M33" s="53"/>
      <c r="N33" s="54"/>
      <c r="O33" s="54"/>
      <c r="P33" s="55">
        <v>46230</v>
      </c>
      <c r="Q33" s="54"/>
      <c r="R33" s="54"/>
      <c r="S33" s="56"/>
      <c r="T33" s="54"/>
      <c r="U33" s="54"/>
      <c r="V33" s="57"/>
      <c r="W33" s="54"/>
      <c r="X33" s="50"/>
      <c r="Y33" s="58"/>
      <c r="Z33" s="54"/>
      <c r="AA33" s="59"/>
      <c r="AB33" s="50"/>
      <c r="AC33" s="60" t="s">
        <v>26</v>
      </c>
      <c r="AD33" s="65" t="str">
        <f>IF($B33="","",IF(AND(LEFT($AC33,3)="Yes",SUMPRODUCT((TRIM('Rework Log'!$A$3:$A$500)=TRIM($B33))*('Rework Log'!$G$3:$G$500&lt;&gt;"Yes")*('Rework Log'!$G$3:$G$500&lt;&gt;"Did not pass re-test"))=0),"Blocked - log it on Rework Log",IF(AND(LEFT($AC33,3)&lt;&gt;"Yes",SUMPRODUCT((TRIM('Rework Log'!$A$3:$A$500)=TRIM($B33))*('Rework Log'!$G$3:$G$500&lt;&gt;"Yes")*('Rework Log'!$G$3:$G$500&lt;&gt;"Did not pass re-test"))&gt;0),"Open rework row - mark Blocked? or close it",IF(AND(LEFT($AC33,3)&lt;&gt;"Yes",SUMPRODUCT((TRIM('Rework Log'!$A$3:$A$500)=TRIM($B33))*('Rework Log'!$G$3:$G$500&lt;&gt;"Yes")*('Rework Log'!$G$3:$G$500&lt;&gt;"Did not pass re-test"))=0,COUNTIF('Rework Log'!$A$3:$A$500,$B33)&gt;0,IFERROR(INDEX('Rework Log'!$G:$G,SUMPRODUCT(MAX((TRIM('Rework Log'!$A$3:$A$500)=TRIM($B33))*ROW('Rework Log'!$A$3:$A$500)))),"")="Did not pass re-test"),"Last fix rejected - re-block or log next attempt",IF(AND(LEFT($AC33,3)="Yes",ISNUMBER(SEARCH("needs DB Dev",$AC33)),O33&lt;&gt;"",SUMPRODUCT(MAX(((TRIM('Rework Log'!$A$3:$A$500)=TRIM($B33))*('Rework Log'!$G$3:$G$500&lt;&gt;"Yes")*('Rework Log'!$G$3:$G$500&lt;&gt;"Did not pass re-test"))*IFERROR('Rework Log'!$I$3:$I$500*1,0)))&gt;0),"Move old DB Dev completion date to Rework Log (col H)",IF(AND(LEFT($AC33,3)="Yes",ISNUMBER(SEARCH("needs PBI Dev",$AC33)),R33&lt;&gt;"",SUMPRODUCT(MAX(((TRIM('Rework Log'!$A$3:$A$500)=TRIM($B33))*('Rework Log'!$G$3:$G$500&lt;&gt;"Yes")*('Rework Log'!$G$3:$G$500&lt;&gt;"Did not pass re-test"))*IFERROR('Rework Log'!$I$3:$I$500*1,0)))&gt;0),"Move old PBI Dev completion date to Rework Log (col H)",IF(AND(LEFT($AC33,3)="Yes",ISNUMBER(SEARCH("needs QA",$AC33)),U33&lt;&gt;"",SUMPRODUCT(MAX(((TRIM('Rework Log'!$A$3:$A$500)=TRIM($B33))*('Rework Log'!$G$3:$G$500&lt;&gt;"Yes")*('Rework Log'!$G$3:$G$500&lt;&gt;"Did not pass re-test"))*IFERROR('Rework Log'!$I$3:$I$500*1,0)))&gt;0),"Move old QA completion date to Rework Log (col H)",IF(AND(LEFT($AC33,3)="Yes",ISNUMBER(SEARCH("needs DB Dev",$AC33)),TRIM(C33)&lt;&gt;"DB Dev"),"Set Current Status back to DB Dev",IF(AND(LEFT($AC33,3)="Yes",ISNUMBER(SEARCH("needs PBI Dev",$AC33)),TRIM(C33)&lt;&gt;"PBI Dev"),"Set Current Status back to PBI Dev",IF(AND(LEFT($AC33,3)="Yes",ISNUMBER(SEARCH("needs QA",$AC33)),TRIM(C33)&lt;&gt;"QA"),"Set Current Status back to QA",IF(COUNTIF($B$2:$B$500,$B33)&gt;1,"Duplicate name - check row",IF(AND(TRIM(C33)="RELEASED IN PROD",Y33&lt;&gt;"Yes"),"Released but Confirmed Deployed? is not Yes",IF(COUNTIF('Rework Log'!$A$3:$A$500,$B33)&gt;0,"",IF(AND(S33&lt;&gt;"",M33&lt;&gt;"",S33&lt;M33),"QA target is before DB Dev target",IF(AND(S33&lt;&gt;"",P33&lt;&gt;"",S33&lt;P33),"QA target is before PBI Dev target",IF(AND(V33&lt;&gt;"",S33&lt;&gt;"",V33&lt;S33),"DPO Approval target is before QA target",IF(AND(Z33&lt;&gt;"",V33&lt;&gt;"",Z33&lt;V33),"Confirmed Deployed date is before DPO Approval target","")))))))))))))))))</f>
        <v/>
      </c>
      <c r="AE33" s="61" t="s">
        <v>181</v>
      </c>
    </row>
    <row r="34" spans="1:31" x14ac:dyDescent="0.25">
      <c r="A34" s="50" t="s">
        <v>170</v>
      </c>
      <c r="B34" s="50" t="s">
        <v>182</v>
      </c>
      <c r="C34" s="50" t="s">
        <v>20</v>
      </c>
      <c r="D34" s="64" t="str">
        <f ca="1">IF($B34="","",IF(LEFT($AC34,3)="Yes",IF(LEN($AC34)&gt;5,"Blocked - "&amp;MID($AC34,7,100),"Blocked")&amp;IF(SUMPRODUCT((TRIM('Rework Log'!$A$3:$A$500)=TRIM($B34))*('Rework Log'!$G$3:$G$500&lt;&gt;"Yes")*('Rework Log'!$G$3:$G$500&lt;&gt;"Did not pass re-test"))=0,"",IF(SUMPRODUCT(((TRIM('Rework Log'!$A$3:$A$500)=TRIM($B34))*('Rework Log'!$G$3:$G$500&lt;&gt;"Yes")*('Rework Log'!$G$3:$G$500&lt;&gt;"Did not pass re-test"))*ISNUMBER('Rework Log'!$J$3:$J$500))&gt;0," - fixed, awaiting re-test",IF(SUMPRODUCT(MAX(((TRIM('Rework Log'!$A$3:$A$500)=TRIM($B34))*('Rework Log'!$G$3:$G$500&lt;&gt;"Yes")*('Rework Log'!$G$3:$G$500&lt;&gt;"Did not pass re-test"))*IFERROR('Rework Log'!$I$3:$I$500*1,0)))=0," - unclaimed"," - promised "&amp;TEXT(SUMPRODUCT(MAX(((TRIM('Rework Log'!$A$3:$A$500)=TRIM($B34))*('Rework Log'!$G$3:$G$500&lt;&gt;"Yes")*('Rework Log'!$G$3:$G$500&lt;&gt;"Did not pass re-test"))*IFERROR('Rework Log'!$I$3:$I$500*1,0))),"m/d")))),IF(TRIM(C34)="NOT STARTED",IF(K34="","No plan date set",IF(K34&lt;TODAY(),"Review - planned start passed","On track")),IF(TRIM(C34)="DB Dev",IF(M34="","No target set",IF(AND(M34&lt;TODAY(),O34=""),"Overdue","On track")),IF(TRIM(C34)="PBI Dev",IF(P34="","No target set",IF(AND(P34&lt;TODAY(),R34=""),"Overdue","On track")),IF(TRIM(C34)="QA",IF(S34="","No target set",IF(AND(S34&lt;TODAY(),U34=""),"Overdue","On track")),IF(TRIM(C34)="DPO Approval",IF(V34="","No target set",IF(V34&lt;TODAY(),"Overdue","On track")),IF(TRIM(C34)="RELEASED IN PROD","Delivered",""))))))))</f>
        <v>On track</v>
      </c>
      <c r="E34" s="50">
        <v>5</v>
      </c>
      <c r="F34" s="51" t="s">
        <v>172</v>
      </c>
      <c r="G34" s="50" t="s">
        <v>131</v>
      </c>
      <c r="H34" s="50" t="s">
        <v>134</v>
      </c>
      <c r="I34" s="50" t="s">
        <v>81</v>
      </c>
      <c r="J34" s="50"/>
      <c r="K34" s="52">
        <v>46234</v>
      </c>
      <c r="L34" s="50" t="s">
        <v>173</v>
      </c>
      <c r="M34" s="53"/>
      <c r="N34" s="54"/>
      <c r="O34" s="54"/>
      <c r="P34" s="55">
        <v>46218</v>
      </c>
      <c r="Q34" s="54"/>
      <c r="R34" s="54">
        <v>46226</v>
      </c>
      <c r="S34" s="56">
        <v>46225</v>
      </c>
      <c r="T34" s="54"/>
      <c r="U34" s="54">
        <v>46225</v>
      </c>
      <c r="V34" s="57"/>
      <c r="W34" s="54"/>
      <c r="X34" s="50"/>
      <c r="Y34" s="58"/>
      <c r="Z34" s="54"/>
      <c r="AA34" s="59"/>
      <c r="AB34" s="50"/>
      <c r="AC34" s="60" t="s">
        <v>26</v>
      </c>
      <c r="AD34" s="65" t="str">
        <f>IF($B34="","",IF(AND(LEFT($AC34,3)="Yes",SUMPRODUCT((TRIM('Rework Log'!$A$3:$A$500)=TRIM($B34))*('Rework Log'!$G$3:$G$500&lt;&gt;"Yes")*('Rework Log'!$G$3:$G$500&lt;&gt;"Did not pass re-test"))=0),"Blocked - log it on Rework Log",IF(AND(LEFT($AC34,3)&lt;&gt;"Yes",SUMPRODUCT((TRIM('Rework Log'!$A$3:$A$500)=TRIM($B34))*('Rework Log'!$G$3:$G$500&lt;&gt;"Yes")*('Rework Log'!$G$3:$G$500&lt;&gt;"Did not pass re-test"))&gt;0),"Open rework row - mark Blocked? or close it",IF(AND(LEFT($AC34,3)&lt;&gt;"Yes",SUMPRODUCT((TRIM('Rework Log'!$A$3:$A$500)=TRIM($B34))*('Rework Log'!$G$3:$G$500&lt;&gt;"Yes")*('Rework Log'!$G$3:$G$500&lt;&gt;"Did not pass re-test"))=0,COUNTIF('Rework Log'!$A$3:$A$500,$B34)&gt;0,IFERROR(INDEX('Rework Log'!$G:$G,SUMPRODUCT(MAX((TRIM('Rework Log'!$A$3:$A$500)=TRIM($B34))*ROW('Rework Log'!$A$3:$A$500)))),"")="Did not pass re-test"),"Last fix rejected - re-block or log next attempt",IF(AND(LEFT($AC34,3)="Yes",ISNUMBER(SEARCH("needs DB Dev",$AC34)),O34&lt;&gt;"",SUMPRODUCT(MAX(((TRIM('Rework Log'!$A$3:$A$500)=TRIM($B34))*('Rework Log'!$G$3:$G$500&lt;&gt;"Yes")*('Rework Log'!$G$3:$G$500&lt;&gt;"Did not pass re-test"))*IFERROR('Rework Log'!$I$3:$I$500*1,0)))&gt;0),"Move old DB Dev completion date to Rework Log (col H)",IF(AND(LEFT($AC34,3)="Yes",ISNUMBER(SEARCH("needs PBI Dev",$AC34)),R34&lt;&gt;"",SUMPRODUCT(MAX(((TRIM('Rework Log'!$A$3:$A$500)=TRIM($B34))*('Rework Log'!$G$3:$G$500&lt;&gt;"Yes")*('Rework Log'!$G$3:$G$500&lt;&gt;"Did not pass re-test"))*IFERROR('Rework Log'!$I$3:$I$500*1,0)))&gt;0),"Move old PBI Dev completion date to Rework Log (col H)",IF(AND(LEFT($AC34,3)="Yes",ISNUMBER(SEARCH("needs QA",$AC34)),U34&lt;&gt;"",SUMPRODUCT(MAX(((TRIM('Rework Log'!$A$3:$A$500)=TRIM($B34))*('Rework Log'!$G$3:$G$500&lt;&gt;"Yes")*('Rework Log'!$G$3:$G$500&lt;&gt;"Did not pass re-test"))*IFERROR('Rework Log'!$I$3:$I$500*1,0)))&gt;0),"Move old QA completion date to Rework Log (col H)",IF(AND(LEFT($AC34,3)="Yes",ISNUMBER(SEARCH("needs DB Dev",$AC34)),TRIM(C34)&lt;&gt;"DB Dev"),"Set Current Status back to DB Dev",IF(AND(LEFT($AC34,3)="Yes",ISNUMBER(SEARCH("needs PBI Dev",$AC34)),TRIM(C34)&lt;&gt;"PBI Dev"),"Set Current Status back to PBI Dev",IF(AND(LEFT($AC34,3)="Yes",ISNUMBER(SEARCH("needs QA",$AC34)),TRIM(C34)&lt;&gt;"QA"),"Set Current Status back to QA",IF(COUNTIF($B$2:$B$500,$B34)&gt;1,"Duplicate name - check row",IF(AND(TRIM(C34)="RELEASED IN PROD",Y34&lt;&gt;"Yes"),"Released but Confirmed Deployed? is not Yes",IF(COUNTIF('Rework Log'!$A$3:$A$500,$B34)&gt;0,"",IF(AND(S34&lt;&gt;"",M34&lt;&gt;"",S34&lt;M34),"QA target is before DB Dev target",IF(AND(S34&lt;&gt;"",P34&lt;&gt;"",S34&lt;P34),"QA target is before PBI Dev target",IF(AND(V34&lt;&gt;"",S34&lt;&gt;"",V34&lt;S34),"DPO Approval target is before QA target",IF(AND(Z34&lt;&gt;"",V34&lt;&gt;"",Z34&lt;V34),"Confirmed Deployed date is before DPO Approval target","")))))))))))))))))</f>
        <v/>
      </c>
      <c r="AE34" s="61" t="s">
        <v>183</v>
      </c>
    </row>
    <row r="35" spans="1:31" x14ac:dyDescent="0.25">
      <c r="A35" s="50" t="s">
        <v>170</v>
      </c>
      <c r="B35" s="50" t="s">
        <v>19</v>
      </c>
      <c r="C35" s="50" t="s">
        <v>21</v>
      </c>
      <c r="D35" s="64" t="str">
        <f ca="1">IF($B35="","",IF(LEFT($AC35,3)="Yes",IF(LEN($AC35)&gt;5,"Blocked - "&amp;MID($AC35,7,100),"Blocked")&amp;IF(SUMPRODUCT((TRIM('Rework Log'!$A$3:$A$500)=TRIM($B35))*('Rework Log'!$G$3:$G$500&lt;&gt;"Yes")*('Rework Log'!$G$3:$G$500&lt;&gt;"Did not pass re-test"))=0,"",IF(SUMPRODUCT(((TRIM('Rework Log'!$A$3:$A$500)=TRIM($B35))*('Rework Log'!$G$3:$G$500&lt;&gt;"Yes")*('Rework Log'!$G$3:$G$500&lt;&gt;"Did not pass re-test"))*ISNUMBER('Rework Log'!$J$3:$J$500))&gt;0," - fixed, awaiting re-test",IF(SUMPRODUCT(MAX(((TRIM('Rework Log'!$A$3:$A$500)=TRIM($B35))*('Rework Log'!$G$3:$G$500&lt;&gt;"Yes")*('Rework Log'!$G$3:$G$500&lt;&gt;"Did not pass re-test"))*IFERROR('Rework Log'!$I$3:$I$500*1,0)))=0," - unclaimed"," - promised "&amp;TEXT(SUMPRODUCT(MAX(((TRIM('Rework Log'!$A$3:$A$500)=TRIM($B35))*('Rework Log'!$G$3:$G$500&lt;&gt;"Yes")*('Rework Log'!$G$3:$G$500&lt;&gt;"Did not pass re-test"))*IFERROR('Rework Log'!$I$3:$I$500*1,0))),"m/d")))),IF(TRIM(C35)="NOT STARTED",IF(K35="","No plan date set",IF(K35&lt;TODAY(),"Review - planned start passed","On track")),IF(TRIM(C35)="DB Dev",IF(M35="","No target set",IF(AND(M35&lt;TODAY(),O35=""),"Overdue","On track")),IF(TRIM(C35)="PBI Dev",IF(P35="","No target set",IF(AND(P35&lt;TODAY(),R35=""),"Overdue","On track")),IF(TRIM(C35)="QA",IF(S35="","No target set",IF(AND(S35&lt;TODAY(),U35=""),"Overdue","On track")),IF(TRIM(C35)="DPO Approval",IF(V35="","No target set",IF(V35&lt;TODAY(),"Overdue","On track")),IF(TRIM(C35)="RELEASED IN PROD","Delivered",""))))))))</f>
        <v>Blocked - needs DB Dev to fix</v>
      </c>
      <c r="E35" s="50">
        <v>6</v>
      </c>
      <c r="F35" s="51" t="s">
        <v>22</v>
      </c>
      <c r="G35" s="50" t="s">
        <v>111</v>
      </c>
      <c r="H35" s="50" t="s">
        <v>94</v>
      </c>
      <c r="I35" s="50" t="s">
        <v>22</v>
      </c>
      <c r="J35" s="50"/>
      <c r="K35" s="52">
        <v>46234</v>
      </c>
      <c r="L35" s="50" t="s">
        <v>173</v>
      </c>
      <c r="M35" s="53"/>
      <c r="N35" s="54"/>
      <c r="O35" s="54"/>
      <c r="P35" s="55">
        <v>46220</v>
      </c>
      <c r="Q35" s="54"/>
      <c r="R35" s="54">
        <v>46220</v>
      </c>
      <c r="S35" s="56">
        <v>46225</v>
      </c>
      <c r="T35" s="54"/>
      <c r="U35" s="54">
        <v>46225</v>
      </c>
      <c r="V35" s="57"/>
      <c r="W35" s="54"/>
      <c r="X35" s="50"/>
      <c r="Y35" s="58"/>
      <c r="Z35" s="54"/>
      <c r="AA35" s="59"/>
      <c r="AB35" s="50"/>
      <c r="AC35" s="60" t="s">
        <v>184</v>
      </c>
      <c r="AD35" s="65" t="str">
        <f>IF($B35="","",IF(AND(LEFT($AC35,3)="Yes",SUMPRODUCT((TRIM('Rework Log'!$A$3:$A$500)=TRIM($B35))*('Rework Log'!$G$3:$G$500&lt;&gt;"Yes")*('Rework Log'!$G$3:$G$500&lt;&gt;"Did not pass re-test"))=0),"Blocked - log it on Rework Log",IF(AND(LEFT($AC35,3)&lt;&gt;"Yes",SUMPRODUCT((TRIM('Rework Log'!$A$3:$A$500)=TRIM($B35))*('Rework Log'!$G$3:$G$500&lt;&gt;"Yes")*('Rework Log'!$G$3:$G$500&lt;&gt;"Did not pass re-test"))&gt;0),"Open rework row - mark Blocked? or close it",IF(AND(LEFT($AC35,3)&lt;&gt;"Yes",SUMPRODUCT((TRIM('Rework Log'!$A$3:$A$500)=TRIM($B35))*('Rework Log'!$G$3:$G$500&lt;&gt;"Yes")*('Rework Log'!$G$3:$G$500&lt;&gt;"Did not pass re-test"))=0,COUNTIF('Rework Log'!$A$3:$A$500,$B35)&gt;0,IFERROR(INDEX('Rework Log'!$G:$G,SUMPRODUCT(MAX((TRIM('Rework Log'!$A$3:$A$500)=TRIM($B35))*ROW('Rework Log'!$A$3:$A$500)))),"")="Did not pass re-test"),"Last fix rejected - re-block or log next attempt",IF(AND(LEFT($AC35,3)="Yes",ISNUMBER(SEARCH("needs DB Dev",$AC35)),O35&lt;&gt;"",SUMPRODUCT(MAX(((TRIM('Rework Log'!$A$3:$A$500)=TRIM($B35))*('Rework Log'!$G$3:$G$500&lt;&gt;"Yes")*('Rework Log'!$G$3:$G$500&lt;&gt;"Did not pass re-test"))*IFERROR('Rework Log'!$I$3:$I$500*1,0)))&gt;0),"Move old DB Dev completion date to Rework Log (col H)",IF(AND(LEFT($AC35,3)="Yes",ISNUMBER(SEARCH("needs PBI Dev",$AC35)),R35&lt;&gt;"",SUMPRODUCT(MAX(((TRIM('Rework Log'!$A$3:$A$500)=TRIM($B35))*('Rework Log'!$G$3:$G$500&lt;&gt;"Yes")*('Rework Log'!$G$3:$G$500&lt;&gt;"Did not pass re-test"))*IFERROR('Rework Log'!$I$3:$I$500*1,0)))&gt;0),"Move old PBI Dev completion date to Rework Log (col H)",IF(AND(LEFT($AC35,3)="Yes",ISNUMBER(SEARCH("needs QA",$AC35)),U35&lt;&gt;"",SUMPRODUCT(MAX(((TRIM('Rework Log'!$A$3:$A$500)=TRIM($B35))*('Rework Log'!$G$3:$G$500&lt;&gt;"Yes")*('Rework Log'!$G$3:$G$500&lt;&gt;"Did not pass re-test"))*IFERROR('Rework Log'!$I$3:$I$500*1,0)))&gt;0),"Move old QA completion date to Rework Log (col H)",IF(AND(LEFT($AC35,3)="Yes",ISNUMBER(SEARCH("needs DB Dev",$AC35)),TRIM(C35)&lt;&gt;"DB Dev"),"Set Current Status back to DB Dev",IF(AND(LEFT($AC35,3)="Yes",ISNUMBER(SEARCH("needs PBI Dev",$AC35)),TRIM(C35)&lt;&gt;"PBI Dev"),"Set Current Status back to PBI Dev",IF(AND(LEFT($AC35,3)="Yes",ISNUMBER(SEARCH("needs QA",$AC35)),TRIM(C35)&lt;&gt;"QA"),"Set Current Status back to QA",IF(COUNTIF($B$2:$B$500,$B35)&gt;1,"Duplicate name - check row",IF(AND(TRIM(C35)="RELEASED IN PROD",Y35&lt;&gt;"Yes"),"Released but Confirmed Deployed? is not Yes",IF(COUNTIF('Rework Log'!$A$3:$A$500,$B35)&gt;0,"",IF(AND(S35&lt;&gt;"",M35&lt;&gt;"",S35&lt;M35),"QA target is before DB Dev target",IF(AND(S35&lt;&gt;"",P35&lt;&gt;"",S35&lt;P35),"QA target is before PBI Dev target",IF(AND(V35&lt;&gt;"",S35&lt;&gt;"",V35&lt;S35),"DPO Approval target is before QA target",IF(AND(Z35&lt;&gt;"",V35&lt;&gt;"",Z35&lt;V35),"Confirmed Deployed date is before DPO Approval target","")))))))))))))))))</f>
        <v>Blocked - log it on Rework Log</v>
      </c>
      <c r="AE35" s="61" t="s">
        <v>185</v>
      </c>
    </row>
    <row r="36" spans="1:31" x14ac:dyDescent="0.25">
      <c r="A36" s="50" t="s">
        <v>170</v>
      </c>
      <c r="B36" s="50" t="s">
        <v>186</v>
      </c>
      <c r="C36" s="50" t="s">
        <v>21</v>
      </c>
      <c r="D36" s="64" t="str">
        <f ca="1">IF($B36="","",IF(LEFT($AC36,3)="Yes",IF(LEN($AC36)&gt;5,"Blocked - "&amp;MID($AC36,7,100),"Blocked")&amp;IF(SUMPRODUCT((TRIM('Rework Log'!$A$3:$A$500)=TRIM($B36))*('Rework Log'!$G$3:$G$500&lt;&gt;"Yes")*('Rework Log'!$G$3:$G$500&lt;&gt;"Did not pass re-test"))=0,"",IF(SUMPRODUCT(((TRIM('Rework Log'!$A$3:$A$500)=TRIM($B36))*('Rework Log'!$G$3:$G$500&lt;&gt;"Yes")*('Rework Log'!$G$3:$G$500&lt;&gt;"Did not pass re-test"))*ISNUMBER('Rework Log'!$J$3:$J$500))&gt;0," - fixed, awaiting re-test",IF(SUMPRODUCT(MAX(((TRIM('Rework Log'!$A$3:$A$500)=TRIM($B36))*('Rework Log'!$G$3:$G$500&lt;&gt;"Yes")*('Rework Log'!$G$3:$G$500&lt;&gt;"Did not pass re-test"))*IFERROR('Rework Log'!$I$3:$I$500*1,0)))=0," - unclaimed"," - promised "&amp;TEXT(SUMPRODUCT(MAX(((TRIM('Rework Log'!$A$3:$A$500)=TRIM($B36))*('Rework Log'!$G$3:$G$500&lt;&gt;"Yes")*('Rework Log'!$G$3:$G$500&lt;&gt;"Did not pass re-test"))*IFERROR('Rework Log'!$I$3:$I$500*1,0))),"m/d")))),IF(TRIM(C36)="NOT STARTED",IF(K36="","No plan date set",IF(K36&lt;TODAY(),"Review - planned start passed","On track")),IF(TRIM(C36)="DB Dev",IF(M36="","No target set",IF(AND(M36&lt;TODAY(),O36=""),"Overdue","On track")),IF(TRIM(C36)="PBI Dev",IF(P36="","No target set",IF(AND(P36&lt;TODAY(),R36=""),"Overdue","On track")),IF(TRIM(C36)="QA",IF(S36="","No target set",IF(AND(S36&lt;TODAY(),U36=""),"Overdue","On track")),IF(TRIM(C36)="DPO Approval",IF(V36="","No target set",IF(V36&lt;TODAY(),"Overdue","On track")),IF(TRIM(C36)="RELEASED IN PROD","Delivered",""))))))))</f>
        <v>No target set</v>
      </c>
      <c r="E36" s="50">
        <v>7</v>
      </c>
      <c r="F36" s="51" t="s">
        <v>22</v>
      </c>
      <c r="G36" s="50" t="s">
        <v>163</v>
      </c>
      <c r="H36" s="50" t="s">
        <v>80</v>
      </c>
      <c r="I36" s="50" t="s">
        <v>22</v>
      </c>
      <c r="J36" s="50"/>
      <c r="K36" s="52">
        <v>46234</v>
      </c>
      <c r="L36" s="50" t="s">
        <v>173</v>
      </c>
      <c r="M36" s="53"/>
      <c r="N36" s="54"/>
      <c r="O36" s="54"/>
      <c r="P36" s="55">
        <v>46223</v>
      </c>
      <c r="Q36" s="54"/>
      <c r="R36" s="54">
        <v>46223</v>
      </c>
      <c r="S36" s="56">
        <v>46225</v>
      </c>
      <c r="T36" s="54"/>
      <c r="U36" s="54">
        <v>46225</v>
      </c>
      <c r="V36" s="57"/>
      <c r="W36" s="54"/>
      <c r="X36" s="50"/>
      <c r="Y36" s="58"/>
      <c r="Z36" s="54"/>
      <c r="AA36" s="59"/>
      <c r="AB36" s="50"/>
      <c r="AC36" s="60" t="s">
        <v>26</v>
      </c>
      <c r="AD36" s="65" t="str">
        <f>IF($B36="","",IF(AND(LEFT($AC36,3)="Yes",SUMPRODUCT((TRIM('Rework Log'!$A$3:$A$500)=TRIM($B36))*('Rework Log'!$G$3:$G$500&lt;&gt;"Yes")*('Rework Log'!$G$3:$G$500&lt;&gt;"Did not pass re-test"))=0),"Blocked - log it on Rework Log",IF(AND(LEFT($AC36,3)&lt;&gt;"Yes",SUMPRODUCT((TRIM('Rework Log'!$A$3:$A$500)=TRIM($B36))*('Rework Log'!$G$3:$G$500&lt;&gt;"Yes")*('Rework Log'!$G$3:$G$500&lt;&gt;"Did not pass re-test"))&gt;0),"Open rework row - mark Blocked? or close it",IF(AND(LEFT($AC36,3)&lt;&gt;"Yes",SUMPRODUCT((TRIM('Rework Log'!$A$3:$A$500)=TRIM($B36))*('Rework Log'!$G$3:$G$500&lt;&gt;"Yes")*('Rework Log'!$G$3:$G$500&lt;&gt;"Did not pass re-test"))=0,COUNTIF('Rework Log'!$A$3:$A$500,$B36)&gt;0,IFERROR(INDEX('Rework Log'!$G:$G,SUMPRODUCT(MAX((TRIM('Rework Log'!$A$3:$A$500)=TRIM($B36))*ROW('Rework Log'!$A$3:$A$500)))),"")="Did not pass re-test"),"Last fix rejected - re-block or log next attempt",IF(AND(LEFT($AC36,3)="Yes",ISNUMBER(SEARCH("needs DB Dev",$AC36)),O36&lt;&gt;"",SUMPRODUCT(MAX(((TRIM('Rework Log'!$A$3:$A$500)=TRIM($B36))*('Rework Log'!$G$3:$G$500&lt;&gt;"Yes")*('Rework Log'!$G$3:$G$500&lt;&gt;"Did not pass re-test"))*IFERROR('Rework Log'!$I$3:$I$500*1,0)))&gt;0),"Move old DB Dev completion date to Rework Log (col H)",IF(AND(LEFT($AC36,3)="Yes",ISNUMBER(SEARCH("needs PBI Dev",$AC36)),R36&lt;&gt;"",SUMPRODUCT(MAX(((TRIM('Rework Log'!$A$3:$A$500)=TRIM($B36))*('Rework Log'!$G$3:$G$500&lt;&gt;"Yes")*('Rework Log'!$G$3:$G$500&lt;&gt;"Did not pass re-test"))*IFERROR('Rework Log'!$I$3:$I$500*1,0)))&gt;0),"Move old PBI Dev completion date to Rework Log (col H)",IF(AND(LEFT($AC36,3)="Yes",ISNUMBER(SEARCH("needs QA",$AC36)),U36&lt;&gt;"",SUMPRODUCT(MAX(((TRIM('Rework Log'!$A$3:$A$500)=TRIM($B36))*('Rework Log'!$G$3:$G$500&lt;&gt;"Yes")*('Rework Log'!$G$3:$G$500&lt;&gt;"Did not pass re-test"))*IFERROR('Rework Log'!$I$3:$I$500*1,0)))&gt;0),"Move old QA completion date to Rework Log (col H)",IF(AND(LEFT($AC36,3)="Yes",ISNUMBER(SEARCH("needs DB Dev",$AC36)),TRIM(C36)&lt;&gt;"DB Dev"),"Set Current Status back to DB Dev",IF(AND(LEFT($AC36,3)="Yes",ISNUMBER(SEARCH("needs PBI Dev",$AC36)),TRIM(C36)&lt;&gt;"PBI Dev"),"Set Current Status back to PBI Dev",IF(AND(LEFT($AC36,3)="Yes",ISNUMBER(SEARCH("needs QA",$AC36)),TRIM(C36)&lt;&gt;"QA"),"Set Current Status back to QA",IF(COUNTIF($B$2:$B$500,$B36)&gt;1,"Duplicate name - check row",IF(AND(TRIM(C36)="RELEASED IN PROD",Y36&lt;&gt;"Yes"),"Released but Confirmed Deployed? is not Yes",IF(COUNTIF('Rework Log'!$A$3:$A$500,$B36)&gt;0,"",IF(AND(S36&lt;&gt;"",M36&lt;&gt;"",S36&lt;M36),"QA target is before DB Dev target",IF(AND(S36&lt;&gt;"",P36&lt;&gt;"",S36&lt;P36),"QA target is before PBI Dev target",IF(AND(V36&lt;&gt;"",S36&lt;&gt;"",V36&lt;S36),"DPO Approval target is before QA target",IF(AND(Z36&lt;&gt;"",V36&lt;&gt;"",Z36&lt;V36),"Confirmed Deployed date is before DPO Approval target","")))))))))))))))))</f>
        <v/>
      </c>
      <c r="AE36" s="61" t="s">
        <v>187</v>
      </c>
    </row>
    <row r="37" spans="1:31" x14ac:dyDescent="0.25">
      <c r="A37" s="50" t="s">
        <v>170</v>
      </c>
      <c r="B37" s="50" t="s">
        <v>188</v>
      </c>
      <c r="C37" s="50" t="s">
        <v>20</v>
      </c>
      <c r="D37" s="64" t="str">
        <f ca="1">IF($B37="","",IF(LEFT($AC37,3)="Yes",IF(LEN($AC37)&gt;5,"Blocked - "&amp;MID($AC37,7,100),"Blocked")&amp;IF(SUMPRODUCT((TRIM('Rework Log'!$A$3:$A$500)=TRIM($B37))*('Rework Log'!$G$3:$G$500&lt;&gt;"Yes")*('Rework Log'!$G$3:$G$500&lt;&gt;"Did not pass re-test"))=0,"",IF(SUMPRODUCT(((TRIM('Rework Log'!$A$3:$A$500)=TRIM($B37))*('Rework Log'!$G$3:$G$500&lt;&gt;"Yes")*('Rework Log'!$G$3:$G$500&lt;&gt;"Did not pass re-test"))*ISNUMBER('Rework Log'!$J$3:$J$500))&gt;0," - fixed, awaiting re-test",IF(SUMPRODUCT(MAX(((TRIM('Rework Log'!$A$3:$A$500)=TRIM($B37))*('Rework Log'!$G$3:$G$500&lt;&gt;"Yes")*('Rework Log'!$G$3:$G$500&lt;&gt;"Did not pass re-test"))*IFERROR('Rework Log'!$I$3:$I$500*1,0)))=0," - unclaimed"," - promised "&amp;TEXT(SUMPRODUCT(MAX(((TRIM('Rework Log'!$A$3:$A$500)=TRIM($B37))*('Rework Log'!$G$3:$G$500&lt;&gt;"Yes")*('Rework Log'!$G$3:$G$500&lt;&gt;"Did not pass re-test"))*IFERROR('Rework Log'!$I$3:$I$500*1,0))),"m/d")))),IF(TRIM(C37)="NOT STARTED",IF(K37="","No plan date set",IF(K37&lt;TODAY(),"Review - planned start passed","On track")),IF(TRIM(C37)="DB Dev",IF(M37="","No target set",IF(AND(M37&lt;TODAY(),O37=""),"Overdue","On track")),IF(TRIM(C37)="PBI Dev",IF(P37="","No target set",IF(AND(P37&lt;TODAY(),R37=""),"Overdue","On track")),IF(TRIM(C37)="QA",IF(S37="","No target set",IF(AND(S37&lt;TODAY(),U37=""),"Overdue","On track")),IF(TRIM(C37)="DPO Approval",IF(V37="","No target set",IF(V37&lt;TODAY(),"Overdue","On track")),IF(TRIM(C37)="RELEASED IN PROD","Delivered",""))))))))</f>
        <v>No target set</v>
      </c>
      <c r="E37" s="50">
        <v>8</v>
      </c>
      <c r="F37" s="51" t="s">
        <v>22</v>
      </c>
      <c r="G37" s="50" t="s">
        <v>163</v>
      </c>
      <c r="H37" s="50" t="s">
        <v>80</v>
      </c>
      <c r="I37" s="50" t="s">
        <v>22</v>
      </c>
      <c r="J37" s="50"/>
      <c r="K37" s="52">
        <v>46234</v>
      </c>
      <c r="L37" s="50" t="s">
        <v>173</v>
      </c>
      <c r="M37" s="53"/>
      <c r="N37" s="54"/>
      <c r="O37" s="54"/>
      <c r="P37" s="55">
        <v>46224</v>
      </c>
      <c r="Q37" s="54"/>
      <c r="R37" s="54"/>
      <c r="S37" s="56"/>
      <c r="T37" s="54"/>
      <c r="U37" s="54"/>
      <c r="V37" s="57"/>
      <c r="W37" s="54"/>
      <c r="X37" s="50"/>
      <c r="Y37" s="58"/>
      <c r="Z37" s="54"/>
      <c r="AA37" s="59"/>
      <c r="AB37" s="50"/>
      <c r="AC37" s="60" t="s">
        <v>26</v>
      </c>
      <c r="AD37" s="65" t="str">
        <f>IF($B37="","",IF(AND(LEFT($AC37,3)="Yes",SUMPRODUCT((TRIM('Rework Log'!$A$3:$A$500)=TRIM($B37))*('Rework Log'!$G$3:$G$500&lt;&gt;"Yes")*('Rework Log'!$G$3:$G$500&lt;&gt;"Did not pass re-test"))=0),"Blocked - log it on Rework Log",IF(AND(LEFT($AC37,3)&lt;&gt;"Yes",SUMPRODUCT((TRIM('Rework Log'!$A$3:$A$500)=TRIM($B37))*('Rework Log'!$G$3:$G$500&lt;&gt;"Yes")*('Rework Log'!$G$3:$G$500&lt;&gt;"Did not pass re-test"))&gt;0),"Open rework row - mark Blocked? or close it",IF(AND(LEFT($AC37,3)&lt;&gt;"Yes",SUMPRODUCT((TRIM('Rework Log'!$A$3:$A$500)=TRIM($B37))*('Rework Log'!$G$3:$G$500&lt;&gt;"Yes")*('Rework Log'!$G$3:$G$500&lt;&gt;"Did not pass re-test"))=0,COUNTIF('Rework Log'!$A$3:$A$500,$B37)&gt;0,IFERROR(INDEX('Rework Log'!$G:$G,SUMPRODUCT(MAX((TRIM('Rework Log'!$A$3:$A$500)=TRIM($B37))*ROW('Rework Log'!$A$3:$A$500)))),"")="Did not pass re-test"),"Last fix rejected - re-block or log next attempt",IF(AND(LEFT($AC37,3)="Yes",ISNUMBER(SEARCH("needs DB Dev",$AC37)),O37&lt;&gt;"",SUMPRODUCT(MAX(((TRIM('Rework Log'!$A$3:$A$500)=TRIM($B37))*('Rework Log'!$G$3:$G$500&lt;&gt;"Yes")*('Rework Log'!$G$3:$G$500&lt;&gt;"Did not pass re-test"))*IFERROR('Rework Log'!$I$3:$I$500*1,0)))&gt;0),"Move old DB Dev completion date to Rework Log (col H)",IF(AND(LEFT($AC37,3)="Yes",ISNUMBER(SEARCH("needs PBI Dev",$AC37)),R37&lt;&gt;"",SUMPRODUCT(MAX(((TRIM('Rework Log'!$A$3:$A$500)=TRIM($B37))*('Rework Log'!$G$3:$G$500&lt;&gt;"Yes")*('Rework Log'!$G$3:$G$500&lt;&gt;"Did not pass re-test"))*IFERROR('Rework Log'!$I$3:$I$500*1,0)))&gt;0),"Move old PBI Dev completion date to Rework Log (col H)",IF(AND(LEFT($AC37,3)="Yes",ISNUMBER(SEARCH("needs QA",$AC37)),U37&lt;&gt;"",SUMPRODUCT(MAX(((TRIM('Rework Log'!$A$3:$A$500)=TRIM($B37))*('Rework Log'!$G$3:$G$500&lt;&gt;"Yes")*('Rework Log'!$G$3:$G$500&lt;&gt;"Did not pass re-test"))*IFERROR('Rework Log'!$I$3:$I$500*1,0)))&gt;0),"Move old QA completion date to Rework Log (col H)",IF(AND(LEFT($AC37,3)="Yes",ISNUMBER(SEARCH("needs DB Dev",$AC37)),TRIM(C37)&lt;&gt;"DB Dev"),"Set Current Status back to DB Dev",IF(AND(LEFT($AC37,3)="Yes",ISNUMBER(SEARCH("needs PBI Dev",$AC37)),TRIM(C37)&lt;&gt;"PBI Dev"),"Set Current Status back to PBI Dev",IF(AND(LEFT($AC37,3)="Yes",ISNUMBER(SEARCH("needs QA",$AC37)),TRIM(C37)&lt;&gt;"QA"),"Set Current Status back to QA",IF(COUNTIF($B$2:$B$500,$B37)&gt;1,"Duplicate name - check row",IF(AND(TRIM(C37)="RELEASED IN PROD",Y37&lt;&gt;"Yes"),"Released but Confirmed Deployed? is not Yes",IF(COUNTIF('Rework Log'!$A$3:$A$500,$B37)&gt;0,"",IF(AND(S37&lt;&gt;"",M37&lt;&gt;"",S37&lt;M37),"QA target is before DB Dev target",IF(AND(S37&lt;&gt;"",P37&lt;&gt;"",S37&lt;P37),"QA target is before PBI Dev target",IF(AND(V37&lt;&gt;"",S37&lt;&gt;"",V37&lt;S37),"DPO Approval target is before QA target",IF(AND(Z37&lt;&gt;"",V37&lt;&gt;"",Z37&lt;V37),"Confirmed Deployed date is before DPO Approval target","")))))))))))))))))</f>
        <v/>
      </c>
      <c r="AE37" s="61" t="s">
        <v>189</v>
      </c>
    </row>
    <row r="38" spans="1:31" x14ac:dyDescent="0.25">
      <c r="A38" s="50" t="s">
        <v>170</v>
      </c>
      <c r="B38" s="50" t="s">
        <v>190</v>
      </c>
      <c r="C38" s="50" t="s">
        <v>20</v>
      </c>
      <c r="D38" s="64" t="str">
        <f ca="1">IF($B38="","",IF(LEFT($AC38,3)="Yes",IF(LEN($AC38)&gt;5,"Blocked - "&amp;MID($AC38,7,100),"Blocked")&amp;IF(SUMPRODUCT((TRIM('Rework Log'!$A$3:$A$500)=TRIM($B38))*('Rework Log'!$G$3:$G$500&lt;&gt;"Yes")*('Rework Log'!$G$3:$G$500&lt;&gt;"Did not pass re-test"))=0,"",IF(SUMPRODUCT(((TRIM('Rework Log'!$A$3:$A$500)=TRIM($B38))*('Rework Log'!$G$3:$G$500&lt;&gt;"Yes")*('Rework Log'!$G$3:$G$500&lt;&gt;"Did not pass re-test"))*ISNUMBER('Rework Log'!$J$3:$J$500))&gt;0," - fixed, awaiting re-test",IF(SUMPRODUCT(MAX(((TRIM('Rework Log'!$A$3:$A$500)=TRIM($B38))*('Rework Log'!$G$3:$G$500&lt;&gt;"Yes")*('Rework Log'!$G$3:$G$500&lt;&gt;"Did not pass re-test"))*IFERROR('Rework Log'!$I$3:$I$500*1,0)))=0," - unclaimed"," - promised "&amp;TEXT(SUMPRODUCT(MAX(((TRIM('Rework Log'!$A$3:$A$500)=TRIM($B38))*('Rework Log'!$G$3:$G$500&lt;&gt;"Yes")*('Rework Log'!$G$3:$G$500&lt;&gt;"Did not pass re-test"))*IFERROR('Rework Log'!$I$3:$I$500*1,0))),"m/d")))),IF(TRIM(C38)="NOT STARTED",IF(K38="","No plan date set",IF(K38&lt;TODAY(),"Review - planned start passed","On track")),IF(TRIM(C38)="DB Dev",IF(M38="","No target set",IF(AND(M38&lt;TODAY(),O38=""),"Overdue","On track")),IF(TRIM(C38)="PBI Dev",IF(P38="","No target set",IF(AND(P38&lt;TODAY(),R38=""),"Overdue","On track")),IF(TRIM(C38)="QA",IF(S38="","No target set",IF(AND(S38&lt;TODAY(),U38=""),"Overdue","On track")),IF(TRIM(C38)="DPO Approval",IF(V38="","No target set",IF(V38&lt;TODAY(),"Overdue","On track")),IF(TRIM(C38)="RELEASED IN PROD","Delivered",""))))))))</f>
        <v>No target set</v>
      </c>
      <c r="E38" s="50">
        <v>9</v>
      </c>
      <c r="F38" s="51" t="s">
        <v>22</v>
      </c>
      <c r="G38" s="50" t="s">
        <v>111</v>
      </c>
      <c r="H38" s="50" t="s">
        <v>94</v>
      </c>
      <c r="I38" s="50" t="s">
        <v>22</v>
      </c>
      <c r="J38" s="50"/>
      <c r="K38" s="52">
        <v>46234</v>
      </c>
      <c r="L38" s="50" t="s">
        <v>173</v>
      </c>
      <c r="M38" s="53"/>
      <c r="N38" s="54"/>
      <c r="O38" s="54"/>
      <c r="P38" s="55">
        <v>46230</v>
      </c>
      <c r="Q38" s="54"/>
      <c r="R38" s="54"/>
      <c r="S38" s="56"/>
      <c r="T38" s="54"/>
      <c r="U38" s="54"/>
      <c r="V38" s="57"/>
      <c r="W38" s="54"/>
      <c r="X38" s="50"/>
      <c r="Y38" s="58"/>
      <c r="Z38" s="54"/>
      <c r="AA38" s="59"/>
      <c r="AB38" s="50"/>
      <c r="AC38" s="60" t="s">
        <v>26</v>
      </c>
      <c r="AD38" s="65" t="str">
        <f>IF($B38="","",IF(AND(LEFT($AC38,3)="Yes",SUMPRODUCT((TRIM('Rework Log'!$A$3:$A$500)=TRIM($B38))*('Rework Log'!$G$3:$G$500&lt;&gt;"Yes")*('Rework Log'!$G$3:$G$500&lt;&gt;"Did not pass re-test"))=0),"Blocked - log it on Rework Log",IF(AND(LEFT($AC38,3)&lt;&gt;"Yes",SUMPRODUCT((TRIM('Rework Log'!$A$3:$A$500)=TRIM($B38))*('Rework Log'!$G$3:$G$500&lt;&gt;"Yes")*('Rework Log'!$G$3:$G$500&lt;&gt;"Did not pass re-test"))&gt;0),"Open rework row - mark Blocked? or close it",IF(AND(LEFT($AC38,3)&lt;&gt;"Yes",SUMPRODUCT((TRIM('Rework Log'!$A$3:$A$500)=TRIM($B38))*('Rework Log'!$G$3:$G$500&lt;&gt;"Yes")*('Rework Log'!$G$3:$G$500&lt;&gt;"Did not pass re-test"))=0,COUNTIF('Rework Log'!$A$3:$A$500,$B38)&gt;0,IFERROR(INDEX('Rework Log'!$G:$G,SUMPRODUCT(MAX((TRIM('Rework Log'!$A$3:$A$500)=TRIM($B38))*ROW('Rework Log'!$A$3:$A$500)))),"")="Did not pass re-test"),"Last fix rejected - re-block or log next attempt",IF(AND(LEFT($AC38,3)="Yes",ISNUMBER(SEARCH("needs DB Dev",$AC38)),O38&lt;&gt;"",SUMPRODUCT(MAX(((TRIM('Rework Log'!$A$3:$A$500)=TRIM($B38))*('Rework Log'!$G$3:$G$500&lt;&gt;"Yes")*('Rework Log'!$G$3:$G$500&lt;&gt;"Did not pass re-test"))*IFERROR('Rework Log'!$I$3:$I$500*1,0)))&gt;0),"Move old DB Dev completion date to Rework Log (col H)",IF(AND(LEFT($AC38,3)="Yes",ISNUMBER(SEARCH("needs PBI Dev",$AC38)),R38&lt;&gt;"",SUMPRODUCT(MAX(((TRIM('Rework Log'!$A$3:$A$500)=TRIM($B38))*('Rework Log'!$G$3:$G$500&lt;&gt;"Yes")*('Rework Log'!$G$3:$G$500&lt;&gt;"Did not pass re-test"))*IFERROR('Rework Log'!$I$3:$I$500*1,0)))&gt;0),"Move old PBI Dev completion date to Rework Log (col H)",IF(AND(LEFT($AC38,3)="Yes",ISNUMBER(SEARCH("needs QA",$AC38)),U38&lt;&gt;"",SUMPRODUCT(MAX(((TRIM('Rework Log'!$A$3:$A$500)=TRIM($B38))*('Rework Log'!$G$3:$G$500&lt;&gt;"Yes")*('Rework Log'!$G$3:$G$500&lt;&gt;"Did not pass re-test"))*IFERROR('Rework Log'!$I$3:$I$500*1,0)))&gt;0),"Move old QA completion date to Rework Log (col H)",IF(AND(LEFT($AC38,3)="Yes",ISNUMBER(SEARCH("needs DB Dev",$AC38)),TRIM(C38)&lt;&gt;"DB Dev"),"Set Current Status back to DB Dev",IF(AND(LEFT($AC38,3)="Yes",ISNUMBER(SEARCH("needs PBI Dev",$AC38)),TRIM(C38)&lt;&gt;"PBI Dev"),"Set Current Status back to PBI Dev",IF(AND(LEFT($AC38,3)="Yes",ISNUMBER(SEARCH("needs QA",$AC38)),TRIM(C38)&lt;&gt;"QA"),"Set Current Status back to QA",IF(COUNTIF($B$2:$B$500,$B38)&gt;1,"Duplicate name - check row",IF(AND(TRIM(C38)="RELEASED IN PROD",Y38&lt;&gt;"Yes"),"Released but Confirmed Deployed? is not Yes",IF(COUNTIF('Rework Log'!$A$3:$A$500,$B38)&gt;0,"",IF(AND(S38&lt;&gt;"",M38&lt;&gt;"",S38&lt;M38),"QA target is before DB Dev target",IF(AND(S38&lt;&gt;"",P38&lt;&gt;"",S38&lt;P38),"QA target is before PBI Dev target",IF(AND(V38&lt;&gt;"",S38&lt;&gt;"",V38&lt;S38),"DPO Approval target is before QA target",IF(AND(Z38&lt;&gt;"",V38&lt;&gt;"",Z38&lt;V38),"Confirmed Deployed date is before DPO Approval target","")))))))))))))))))</f>
        <v/>
      </c>
      <c r="AE38" s="61" t="s">
        <v>191</v>
      </c>
    </row>
    <row r="39" spans="1:31" x14ac:dyDescent="0.25">
      <c r="A39" s="50" t="s">
        <v>170</v>
      </c>
      <c r="B39" s="50" t="s">
        <v>192</v>
      </c>
      <c r="C39" s="50" t="s">
        <v>20</v>
      </c>
      <c r="D39" s="64" t="str">
        <f ca="1">IF($B39="","",IF(LEFT($AC39,3)="Yes",IF(LEN($AC39)&gt;5,"Blocked - "&amp;MID($AC39,7,100),"Blocked")&amp;IF(SUMPRODUCT((TRIM('Rework Log'!$A$3:$A$500)=TRIM($B39))*('Rework Log'!$G$3:$G$500&lt;&gt;"Yes")*('Rework Log'!$G$3:$G$500&lt;&gt;"Did not pass re-test"))=0,"",IF(SUMPRODUCT(((TRIM('Rework Log'!$A$3:$A$500)=TRIM($B39))*('Rework Log'!$G$3:$G$500&lt;&gt;"Yes")*('Rework Log'!$G$3:$G$500&lt;&gt;"Did not pass re-test"))*ISNUMBER('Rework Log'!$J$3:$J$500))&gt;0," - fixed, awaiting re-test",IF(SUMPRODUCT(MAX(((TRIM('Rework Log'!$A$3:$A$500)=TRIM($B39))*('Rework Log'!$G$3:$G$500&lt;&gt;"Yes")*('Rework Log'!$G$3:$G$500&lt;&gt;"Did not pass re-test"))*IFERROR('Rework Log'!$I$3:$I$500*1,0)))=0," - unclaimed"," - promised "&amp;TEXT(SUMPRODUCT(MAX(((TRIM('Rework Log'!$A$3:$A$500)=TRIM($B39))*('Rework Log'!$G$3:$G$500&lt;&gt;"Yes")*('Rework Log'!$G$3:$G$500&lt;&gt;"Did not pass re-test"))*IFERROR('Rework Log'!$I$3:$I$500*1,0))),"m/d")))),IF(TRIM(C39)="NOT STARTED",IF(K39="","No plan date set",IF(K39&lt;TODAY(),"Review - planned start passed","On track")),IF(TRIM(C39)="DB Dev",IF(M39="","No target set",IF(AND(M39&lt;TODAY(),O39=""),"Overdue","On track")),IF(TRIM(C39)="PBI Dev",IF(P39="","No target set",IF(AND(P39&lt;TODAY(),R39=""),"Overdue","On track")),IF(TRIM(C39)="QA",IF(S39="","No target set",IF(AND(S39&lt;TODAY(),U39=""),"Overdue","On track")),IF(TRIM(C39)="DPO Approval",IF(V39="","No target set",IF(V39&lt;TODAY(),"Overdue","On track")),IF(TRIM(C39)="RELEASED IN PROD","Delivered",""))))))))</f>
        <v>No target set</v>
      </c>
      <c r="E39" s="50" t="s">
        <v>193</v>
      </c>
      <c r="F39" s="51" t="s">
        <v>22</v>
      </c>
      <c r="G39" s="50" t="s">
        <v>194</v>
      </c>
      <c r="H39" s="50" t="s">
        <v>94</v>
      </c>
      <c r="I39" s="50" t="s">
        <v>22</v>
      </c>
      <c r="J39" s="50"/>
      <c r="K39" s="52">
        <v>46234</v>
      </c>
      <c r="L39" s="50" t="s">
        <v>173</v>
      </c>
      <c r="M39" s="53"/>
      <c r="N39" s="54"/>
      <c r="O39" s="54"/>
      <c r="P39" s="55">
        <v>46230</v>
      </c>
      <c r="Q39" s="54"/>
      <c r="R39" s="54"/>
      <c r="S39" s="56"/>
      <c r="T39" s="54"/>
      <c r="U39" s="54"/>
      <c r="V39" s="57"/>
      <c r="W39" s="54"/>
      <c r="X39" s="50"/>
      <c r="Y39" s="58"/>
      <c r="Z39" s="54"/>
      <c r="AA39" s="59"/>
      <c r="AB39" s="50"/>
      <c r="AC39" s="60" t="s">
        <v>26</v>
      </c>
      <c r="AD39" s="65" t="str">
        <f>IF($B39="","",IF(AND(LEFT($AC39,3)="Yes",SUMPRODUCT((TRIM('Rework Log'!$A$3:$A$500)=TRIM($B39))*('Rework Log'!$G$3:$G$500&lt;&gt;"Yes")*('Rework Log'!$G$3:$G$500&lt;&gt;"Did not pass re-test"))=0),"Blocked - log it on Rework Log",IF(AND(LEFT($AC39,3)&lt;&gt;"Yes",SUMPRODUCT((TRIM('Rework Log'!$A$3:$A$500)=TRIM($B39))*('Rework Log'!$G$3:$G$500&lt;&gt;"Yes")*('Rework Log'!$G$3:$G$500&lt;&gt;"Did not pass re-test"))&gt;0),"Open rework row - mark Blocked? or close it",IF(AND(LEFT($AC39,3)&lt;&gt;"Yes",SUMPRODUCT((TRIM('Rework Log'!$A$3:$A$500)=TRIM($B39))*('Rework Log'!$G$3:$G$500&lt;&gt;"Yes")*('Rework Log'!$G$3:$G$500&lt;&gt;"Did not pass re-test"))=0,COUNTIF('Rework Log'!$A$3:$A$500,$B39)&gt;0,IFERROR(INDEX('Rework Log'!$G:$G,SUMPRODUCT(MAX((TRIM('Rework Log'!$A$3:$A$500)=TRIM($B39))*ROW('Rework Log'!$A$3:$A$500)))),"")="Did not pass re-test"),"Last fix rejected - re-block or log next attempt",IF(AND(LEFT($AC39,3)="Yes",ISNUMBER(SEARCH("needs DB Dev",$AC39)),O39&lt;&gt;"",SUMPRODUCT(MAX(((TRIM('Rework Log'!$A$3:$A$500)=TRIM($B39))*('Rework Log'!$G$3:$G$500&lt;&gt;"Yes")*('Rework Log'!$G$3:$G$500&lt;&gt;"Did not pass re-test"))*IFERROR('Rework Log'!$I$3:$I$500*1,0)))&gt;0),"Move old DB Dev completion date to Rework Log (col H)",IF(AND(LEFT($AC39,3)="Yes",ISNUMBER(SEARCH("needs PBI Dev",$AC39)),R39&lt;&gt;"",SUMPRODUCT(MAX(((TRIM('Rework Log'!$A$3:$A$500)=TRIM($B39))*('Rework Log'!$G$3:$G$500&lt;&gt;"Yes")*('Rework Log'!$G$3:$G$500&lt;&gt;"Did not pass re-test"))*IFERROR('Rework Log'!$I$3:$I$500*1,0)))&gt;0),"Move old PBI Dev completion date to Rework Log (col H)",IF(AND(LEFT($AC39,3)="Yes",ISNUMBER(SEARCH("needs QA",$AC39)),U39&lt;&gt;"",SUMPRODUCT(MAX(((TRIM('Rework Log'!$A$3:$A$500)=TRIM($B39))*('Rework Log'!$G$3:$G$500&lt;&gt;"Yes")*('Rework Log'!$G$3:$G$500&lt;&gt;"Did not pass re-test"))*IFERROR('Rework Log'!$I$3:$I$500*1,0)))&gt;0),"Move old QA completion date to Rework Log (col H)",IF(AND(LEFT($AC39,3)="Yes",ISNUMBER(SEARCH("needs DB Dev",$AC39)),TRIM(C39)&lt;&gt;"DB Dev"),"Set Current Status back to DB Dev",IF(AND(LEFT($AC39,3)="Yes",ISNUMBER(SEARCH("needs PBI Dev",$AC39)),TRIM(C39)&lt;&gt;"PBI Dev"),"Set Current Status back to PBI Dev",IF(AND(LEFT($AC39,3)="Yes",ISNUMBER(SEARCH("needs QA",$AC39)),TRIM(C39)&lt;&gt;"QA"),"Set Current Status back to QA",IF(COUNTIF($B$2:$B$500,$B39)&gt;1,"Duplicate name - check row",IF(AND(TRIM(C39)="RELEASED IN PROD",Y39&lt;&gt;"Yes"),"Released but Confirmed Deployed? is not Yes",IF(COUNTIF('Rework Log'!$A$3:$A$500,$B39)&gt;0,"",IF(AND(S39&lt;&gt;"",M39&lt;&gt;"",S39&lt;M39),"QA target is before DB Dev target",IF(AND(S39&lt;&gt;"",P39&lt;&gt;"",S39&lt;P39),"QA target is before PBI Dev target",IF(AND(V39&lt;&gt;"",S39&lt;&gt;"",V39&lt;S39),"DPO Approval target is before QA target",IF(AND(Z39&lt;&gt;"",V39&lt;&gt;"",Z39&lt;V39),"Confirmed Deployed date is before DPO Approval target","")))))))))))))))))</f>
        <v/>
      </c>
      <c r="AE39" s="61"/>
    </row>
    <row r="40" spans="1:31" x14ac:dyDescent="0.25">
      <c r="A40" s="50" t="s">
        <v>170</v>
      </c>
      <c r="B40" s="50" t="s">
        <v>195</v>
      </c>
      <c r="C40" s="50" t="s">
        <v>20</v>
      </c>
      <c r="D40" s="64" t="str">
        <f ca="1">IF($B40="","",IF(LEFT($AC40,3)="Yes",IF(LEN($AC40)&gt;5,"Blocked - "&amp;MID($AC40,7,100),"Blocked")&amp;IF(SUMPRODUCT((TRIM('Rework Log'!$A$3:$A$500)=TRIM($B40))*('Rework Log'!$G$3:$G$500&lt;&gt;"Yes")*('Rework Log'!$G$3:$G$500&lt;&gt;"Did not pass re-test"))=0,"",IF(SUMPRODUCT(((TRIM('Rework Log'!$A$3:$A$500)=TRIM($B40))*('Rework Log'!$G$3:$G$500&lt;&gt;"Yes")*('Rework Log'!$G$3:$G$500&lt;&gt;"Did not pass re-test"))*ISNUMBER('Rework Log'!$J$3:$J$500))&gt;0," - fixed, awaiting re-test",IF(SUMPRODUCT(MAX(((TRIM('Rework Log'!$A$3:$A$500)=TRIM($B40))*('Rework Log'!$G$3:$G$500&lt;&gt;"Yes")*('Rework Log'!$G$3:$G$500&lt;&gt;"Did not pass re-test"))*IFERROR('Rework Log'!$I$3:$I$500*1,0)))=0," - unclaimed"," - promised "&amp;TEXT(SUMPRODUCT(MAX(((TRIM('Rework Log'!$A$3:$A$500)=TRIM($B40))*('Rework Log'!$G$3:$G$500&lt;&gt;"Yes")*('Rework Log'!$G$3:$G$500&lt;&gt;"Did not pass re-test"))*IFERROR('Rework Log'!$I$3:$I$500*1,0))),"m/d")))),IF(TRIM(C40)="NOT STARTED",IF(K40="","No plan date set",IF(K40&lt;TODAY(),"Review - planned start passed","On track")),IF(TRIM(C40)="DB Dev",IF(M40="","No target set",IF(AND(M40&lt;TODAY(),O40=""),"Overdue","On track")),IF(TRIM(C40)="PBI Dev",IF(P40="","No target set",IF(AND(P40&lt;TODAY(),R40=""),"Overdue","On track")),IF(TRIM(C40)="QA",IF(S40="","No target set",IF(AND(S40&lt;TODAY(),U40=""),"Overdue","On track")),IF(TRIM(C40)="DPO Approval",IF(V40="","No target set",IF(V40&lt;TODAY(),"Overdue","On track")),IF(TRIM(C40)="RELEASED IN PROD","Delivered",""))))))))</f>
        <v>No target set</v>
      </c>
      <c r="E40" s="50">
        <v>11</v>
      </c>
      <c r="F40" s="51" t="s">
        <v>22</v>
      </c>
      <c r="G40" s="50" t="s">
        <v>194</v>
      </c>
      <c r="H40" s="50" t="s">
        <v>134</v>
      </c>
      <c r="I40" s="50" t="s">
        <v>81</v>
      </c>
      <c r="J40" s="50"/>
      <c r="K40" s="52">
        <v>46234</v>
      </c>
      <c r="L40" s="50" t="s">
        <v>173</v>
      </c>
      <c r="M40" s="53">
        <v>46223</v>
      </c>
      <c r="N40" s="54"/>
      <c r="O40" s="54">
        <v>46223</v>
      </c>
      <c r="P40" s="55">
        <v>46230</v>
      </c>
      <c r="Q40" s="54"/>
      <c r="R40" s="54">
        <v>46226</v>
      </c>
      <c r="S40" s="56"/>
      <c r="T40" s="54"/>
      <c r="U40" s="54"/>
      <c r="V40" s="57"/>
      <c r="W40" s="54"/>
      <c r="X40" s="50"/>
      <c r="Y40" s="58"/>
      <c r="Z40" s="54"/>
      <c r="AA40" s="59"/>
      <c r="AB40" s="50"/>
      <c r="AC40" s="60" t="s">
        <v>26</v>
      </c>
      <c r="AD40" s="65" t="str">
        <f>IF($B40="","",IF(AND(LEFT($AC40,3)="Yes",SUMPRODUCT((TRIM('Rework Log'!$A$3:$A$500)=TRIM($B40))*('Rework Log'!$G$3:$G$500&lt;&gt;"Yes")*('Rework Log'!$G$3:$G$500&lt;&gt;"Did not pass re-test"))=0),"Blocked - log it on Rework Log",IF(AND(LEFT($AC40,3)&lt;&gt;"Yes",SUMPRODUCT((TRIM('Rework Log'!$A$3:$A$500)=TRIM($B40))*('Rework Log'!$G$3:$G$500&lt;&gt;"Yes")*('Rework Log'!$G$3:$G$500&lt;&gt;"Did not pass re-test"))&gt;0),"Open rework row - mark Blocked? or close it",IF(AND(LEFT($AC40,3)&lt;&gt;"Yes",SUMPRODUCT((TRIM('Rework Log'!$A$3:$A$500)=TRIM($B40))*('Rework Log'!$G$3:$G$500&lt;&gt;"Yes")*('Rework Log'!$G$3:$G$500&lt;&gt;"Did not pass re-test"))=0,COUNTIF('Rework Log'!$A$3:$A$500,$B40)&gt;0,IFERROR(INDEX('Rework Log'!$G:$G,SUMPRODUCT(MAX((TRIM('Rework Log'!$A$3:$A$500)=TRIM($B40))*ROW('Rework Log'!$A$3:$A$500)))),"")="Did not pass re-test"),"Last fix rejected - re-block or log next attempt",IF(AND(LEFT($AC40,3)="Yes",ISNUMBER(SEARCH("needs DB Dev",$AC40)),O40&lt;&gt;"",SUMPRODUCT(MAX(((TRIM('Rework Log'!$A$3:$A$500)=TRIM($B40))*('Rework Log'!$G$3:$G$500&lt;&gt;"Yes")*('Rework Log'!$G$3:$G$500&lt;&gt;"Did not pass re-test"))*IFERROR('Rework Log'!$I$3:$I$500*1,0)))&gt;0),"Move old DB Dev completion date to Rework Log (col H)",IF(AND(LEFT($AC40,3)="Yes",ISNUMBER(SEARCH("needs PBI Dev",$AC40)),R40&lt;&gt;"",SUMPRODUCT(MAX(((TRIM('Rework Log'!$A$3:$A$500)=TRIM($B40))*('Rework Log'!$G$3:$G$500&lt;&gt;"Yes")*('Rework Log'!$G$3:$G$500&lt;&gt;"Did not pass re-test"))*IFERROR('Rework Log'!$I$3:$I$500*1,0)))&gt;0),"Move old PBI Dev completion date to Rework Log (col H)",IF(AND(LEFT($AC40,3)="Yes",ISNUMBER(SEARCH("needs QA",$AC40)),U40&lt;&gt;"",SUMPRODUCT(MAX(((TRIM('Rework Log'!$A$3:$A$500)=TRIM($B40))*('Rework Log'!$G$3:$G$500&lt;&gt;"Yes")*('Rework Log'!$G$3:$G$500&lt;&gt;"Did not pass re-test"))*IFERROR('Rework Log'!$I$3:$I$500*1,0)))&gt;0),"Move old QA completion date to Rework Log (col H)",IF(AND(LEFT($AC40,3)="Yes",ISNUMBER(SEARCH("needs DB Dev",$AC40)),TRIM(C40)&lt;&gt;"DB Dev"),"Set Current Status back to DB Dev",IF(AND(LEFT($AC40,3)="Yes",ISNUMBER(SEARCH("needs PBI Dev",$AC40)),TRIM(C40)&lt;&gt;"PBI Dev"),"Set Current Status back to PBI Dev",IF(AND(LEFT($AC40,3)="Yes",ISNUMBER(SEARCH("needs QA",$AC40)),TRIM(C40)&lt;&gt;"QA"),"Set Current Status back to QA",IF(COUNTIF($B$2:$B$500,$B40)&gt;1,"Duplicate name - check row",IF(AND(TRIM(C40)="RELEASED IN PROD",Y40&lt;&gt;"Yes"),"Released but Confirmed Deployed? is not Yes",IF(COUNTIF('Rework Log'!$A$3:$A$500,$B40)&gt;0,"",IF(AND(S40&lt;&gt;"",M40&lt;&gt;"",S40&lt;M40),"QA target is before DB Dev target",IF(AND(S40&lt;&gt;"",P40&lt;&gt;"",S40&lt;P40),"QA target is before PBI Dev target",IF(AND(V40&lt;&gt;"",S40&lt;&gt;"",V40&lt;S40),"DPO Approval target is before QA target",IF(AND(Z40&lt;&gt;"",V40&lt;&gt;"",Z40&lt;V40),"Confirmed Deployed date is before DPO Approval target","")))))))))))))))))</f>
        <v/>
      </c>
      <c r="AE40" s="61" t="s">
        <v>196</v>
      </c>
    </row>
    <row r="41" spans="1:31" x14ac:dyDescent="0.25">
      <c r="A41" s="50" t="s">
        <v>170</v>
      </c>
      <c r="B41" s="50" t="s">
        <v>197</v>
      </c>
      <c r="C41" s="50" t="s">
        <v>20</v>
      </c>
      <c r="D41" s="64" t="str">
        <f ca="1">IF($B41="","",IF(LEFT($AC41,3)="Yes",IF(LEN($AC41)&gt;5,"Blocked - "&amp;MID($AC41,7,100),"Blocked")&amp;IF(SUMPRODUCT((TRIM('Rework Log'!$A$3:$A$500)=TRIM($B41))*('Rework Log'!$G$3:$G$500&lt;&gt;"Yes")*('Rework Log'!$G$3:$G$500&lt;&gt;"Did not pass re-test"))=0,"",IF(SUMPRODUCT(((TRIM('Rework Log'!$A$3:$A$500)=TRIM($B41))*('Rework Log'!$G$3:$G$500&lt;&gt;"Yes")*('Rework Log'!$G$3:$G$500&lt;&gt;"Did not pass re-test"))*ISNUMBER('Rework Log'!$J$3:$J$500))&gt;0," - fixed, awaiting re-test",IF(SUMPRODUCT(MAX(((TRIM('Rework Log'!$A$3:$A$500)=TRIM($B41))*('Rework Log'!$G$3:$G$500&lt;&gt;"Yes")*('Rework Log'!$G$3:$G$500&lt;&gt;"Did not pass re-test"))*IFERROR('Rework Log'!$I$3:$I$500*1,0)))=0," - unclaimed"," - promised "&amp;TEXT(SUMPRODUCT(MAX(((TRIM('Rework Log'!$A$3:$A$500)=TRIM($B41))*('Rework Log'!$G$3:$G$500&lt;&gt;"Yes")*('Rework Log'!$G$3:$G$500&lt;&gt;"Did not pass re-test"))*IFERROR('Rework Log'!$I$3:$I$500*1,0))),"m/d")))),IF(TRIM(C41)="NOT STARTED",IF(K41="","No plan date set",IF(K41&lt;TODAY(),"Review - planned start passed","On track")),IF(TRIM(C41)="DB Dev",IF(M41="","No target set",IF(AND(M41&lt;TODAY(),O41=""),"Overdue","On track")),IF(TRIM(C41)="PBI Dev",IF(P41="","No target set",IF(AND(P41&lt;TODAY(),R41=""),"Overdue","On track")),IF(TRIM(C41)="QA",IF(S41="","No target set",IF(AND(S41&lt;TODAY(),U41=""),"Overdue","On track")),IF(TRIM(C41)="DPO Approval",IF(V41="","No target set",IF(V41&lt;TODAY(),"Overdue","On track")),IF(TRIM(C41)="RELEASED IN PROD","Delivered",""))))))))</f>
        <v>No target set</v>
      </c>
      <c r="E41" s="50">
        <v>13</v>
      </c>
      <c r="F41" s="51" t="s">
        <v>172</v>
      </c>
      <c r="G41" s="50" t="s">
        <v>103</v>
      </c>
      <c r="H41" s="50" t="s">
        <v>80</v>
      </c>
      <c r="I41" s="50" t="s">
        <v>81</v>
      </c>
      <c r="J41" s="50"/>
      <c r="K41" s="52">
        <v>46234</v>
      </c>
      <c r="L41" s="50" t="s">
        <v>173</v>
      </c>
      <c r="M41" s="53"/>
      <c r="N41" s="54"/>
      <c r="O41" s="54"/>
      <c r="P41" s="55">
        <v>46230</v>
      </c>
      <c r="Q41" s="54"/>
      <c r="R41" s="54"/>
      <c r="S41" s="56"/>
      <c r="T41" s="54"/>
      <c r="U41" s="54"/>
      <c r="V41" s="57"/>
      <c r="W41" s="54"/>
      <c r="X41" s="50"/>
      <c r="Y41" s="58"/>
      <c r="Z41" s="54"/>
      <c r="AA41" s="59"/>
      <c r="AB41" s="50"/>
      <c r="AC41" s="60" t="s">
        <v>26</v>
      </c>
      <c r="AD41" s="65" t="str">
        <f>IF($B41="","",IF(AND(LEFT($AC41,3)="Yes",SUMPRODUCT((TRIM('Rework Log'!$A$3:$A$500)=TRIM($B41))*('Rework Log'!$G$3:$G$500&lt;&gt;"Yes")*('Rework Log'!$G$3:$G$500&lt;&gt;"Did not pass re-test"))=0),"Blocked - log it on Rework Log",IF(AND(LEFT($AC41,3)&lt;&gt;"Yes",SUMPRODUCT((TRIM('Rework Log'!$A$3:$A$500)=TRIM($B41))*('Rework Log'!$G$3:$G$500&lt;&gt;"Yes")*('Rework Log'!$G$3:$G$500&lt;&gt;"Did not pass re-test"))&gt;0),"Open rework row - mark Blocked? or close it",IF(AND(LEFT($AC41,3)&lt;&gt;"Yes",SUMPRODUCT((TRIM('Rework Log'!$A$3:$A$500)=TRIM($B41))*('Rework Log'!$G$3:$G$500&lt;&gt;"Yes")*('Rework Log'!$G$3:$G$500&lt;&gt;"Did not pass re-test"))=0,COUNTIF('Rework Log'!$A$3:$A$500,$B41)&gt;0,IFERROR(INDEX('Rework Log'!$G:$G,SUMPRODUCT(MAX((TRIM('Rework Log'!$A$3:$A$500)=TRIM($B41))*ROW('Rework Log'!$A$3:$A$500)))),"")="Did not pass re-test"),"Last fix rejected - re-block or log next attempt",IF(AND(LEFT($AC41,3)="Yes",ISNUMBER(SEARCH("needs DB Dev",$AC41)),O41&lt;&gt;"",SUMPRODUCT(MAX(((TRIM('Rework Log'!$A$3:$A$500)=TRIM($B41))*('Rework Log'!$G$3:$G$500&lt;&gt;"Yes")*('Rework Log'!$G$3:$G$500&lt;&gt;"Did not pass re-test"))*IFERROR('Rework Log'!$I$3:$I$500*1,0)))&gt;0),"Move old DB Dev completion date to Rework Log (col H)",IF(AND(LEFT($AC41,3)="Yes",ISNUMBER(SEARCH("needs PBI Dev",$AC41)),R41&lt;&gt;"",SUMPRODUCT(MAX(((TRIM('Rework Log'!$A$3:$A$500)=TRIM($B41))*('Rework Log'!$G$3:$G$500&lt;&gt;"Yes")*('Rework Log'!$G$3:$G$500&lt;&gt;"Did not pass re-test"))*IFERROR('Rework Log'!$I$3:$I$500*1,0)))&gt;0),"Move old PBI Dev completion date to Rework Log (col H)",IF(AND(LEFT($AC41,3)="Yes",ISNUMBER(SEARCH("needs QA",$AC41)),U41&lt;&gt;"",SUMPRODUCT(MAX(((TRIM('Rework Log'!$A$3:$A$500)=TRIM($B41))*('Rework Log'!$G$3:$G$500&lt;&gt;"Yes")*('Rework Log'!$G$3:$G$500&lt;&gt;"Did not pass re-test"))*IFERROR('Rework Log'!$I$3:$I$500*1,0)))&gt;0),"Move old QA completion date to Rework Log (col H)",IF(AND(LEFT($AC41,3)="Yes",ISNUMBER(SEARCH("needs DB Dev",$AC41)),TRIM(C41)&lt;&gt;"DB Dev"),"Set Current Status back to DB Dev",IF(AND(LEFT($AC41,3)="Yes",ISNUMBER(SEARCH("needs PBI Dev",$AC41)),TRIM(C41)&lt;&gt;"PBI Dev"),"Set Current Status back to PBI Dev",IF(AND(LEFT($AC41,3)="Yes",ISNUMBER(SEARCH("needs QA",$AC41)),TRIM(C41)&lt;&gt;"QA"),"Set Current Status back to QA",IF(COUNTIF($B$2:$B$500,$B41)&gt;1,"Duplicate name - check row",IF(AND(TRIM(C41)="RELEASED IN PROD",Y41&lt;&gt;"Yes"),"Released but Confirmed Deployed? is not Yes",IF(COUNTIF('Rework Log'!$A$3:$A$500,$B41)&gt;0,"",IF(AND(S41&lt;&gt;"",M41&lt;&gt;"",S41&lt;M41),"QA target is before DB Dev target",IF(AND(S41&lt;&gt;"",P41&lt;&gt;"",S41&lt;P41),"QA target is before PBI Dev target",IF(AND(V41&lt;&gt;"",S41&lt;&gt;"",V41&lt;S41),"DPO Approval target is before QA target",IF(AND(Z41&lt;&gt;"",V41&lt;&gt;"",Z41&lt;V41),"Confirmed Deployed date is before DPO Approval target","")))))))))))))))))</f>
        <v/>
      </c>
      <c r="AE41" s="61"/>
    </row>
    <row r="42" spans="1:31" x14ac:dyDescent="0.25">
      <c r="A42" s="50" t="s">
        <v>170</v>
      </c>
      <c r="B42" s="50" t="s">
        <v>198</v>
      </c>
      <c r="C42" s="50" t="s">
        <v>20</v>
      </c>
      <c r="D42" s="64" t="str">
        <f ca="1">IF($B42="","",IF(LEFT($AC42,3)="Yes",IF(LEN($AC42)&gt;5,"Blocked - "&amp;MID($AC42,7,100),"Blocked")&amp;IF(SUMPRODUCT((TRIM('Rework Log'!$A$3:$A$500)=TRIM($B42))*('Rework Log'!$G$3:$G$500&lt;&gt;"Yes")*('Rework Log'!$G$3:$G$500&lt;&gt;"Did not pass re-test"))=0,"",IF(SUMPRODUCT(((TRIM('Rework Log'!$A$3:$A$500)=TRIM($B42))*('Rework Log'!$G$3:$G$500&lt;&gt;"Yes")*('Rework Log'!$G$3:$G$500&lt;&gt;"Did not pass re-test"))*ISNUMBER('Rework Log'!$J$3:$J$500))&gt;0," - fixed, awaiting re-test",IF(SUMPRODUCT(MAX(((TRIM('Rework Log'!$A$3:$A$500)=TRIM($B42))*('Rework Log'!$G$3:$G$500&lt;&gt;"Yes")*('Rework Log'!$G$3:$G$500&lt;&gt;"Did not pass re-test"))*IFERROR('Rework Log'!$I$3:$I$500*1,0)))=0," - unclaimed"," - promised "&amp;TEXT(SUMPRODUCT(MAX(((TRIM('Rework Log'!$A$3:$A$500)=TRIM($B42))*('Rework Log'!$G$3:$G$500&lt;&gt;"Yes")*('Rework Log'!$G$3:$G$500&lt;&gt;"Did not pass re-test"))*IFERROR('Rework Log'!$I$3:$I$500*1,0))),"m/d")))),IF(TRIM(C42)="NOT STARTED",IF(K42="","No plan date set",IF(K42&lt;TODAY(),"Review - planned start passed","On track")),IF(TRIM(C42)="DB Dev",IF(M42="","No target set",IF(AND(M42&lt;TODAY(),O42=""),"Overdue","On track")),IF(TRIM(C42)="PBI Dev",IF(P42="","No target set",IF(AND(P42&lt;TODAY(),R42=""),"Overdue","On track")),IF(TRIM(C42)="QA",IF(S42="","No target set",IF(AND(S42&lt;TODAY(),U42=""),"Overdue","On track")),IF(TRIM(C42)="DPO Approval",IF(V42="","No target set",IF(V42&lt;TODAY(),"Overdue","On track")),IF(TRIM(C42)="RELEASED IN PROD","Delivered",""))))))))</f>
        <v>No target set</v>
      </c>
      <c r="E42" s="50">
        <v>14</v>
      </c>
      <c r="F42" s="51" t="s">
        <v>172</v>
      </c>
      <c r="G42" s="50" t="s">
        <v>93</v>
      </c>
      <c r="H42" s="50" t="s">
        <v>94</v>
      </c>
      <c r="I42" s="50" t="s">
        <v>81</v>
      </c>
      <c r="J42" s="50"/>
      <c r="K42" s="52">
        <v>46234</v>
      </c>
      <c r="L42" s="50" t="s">
        <v>173</v>
      </c>
      <c r="M42" s="53"/>
      <c r="N42" s="54"/>
      <c r="O42" s="54"/>
      <c r="P42" s="55">
        <v>46230</v>
      </c>
      <c r="Q42" s="54"/>
      <c r="R42" s="54"/>
      <c r="S42" s="56"/>
      <c r="T42" s="54"/>
      <c r="U42" s="54"/>
      <c r="V42" s="57"/>
      <c r="W42" s="54"/>
      <c r="X42" s="50"/>
      <c r="Y42" s="58"/>
      <c r="Z42" s="54"/>
      <c r="AA42" s="59"/>
      <c r="AB42" s="50"/>
      <c r="AC42" s="60" t="s">
        <v>26</v>
      </c>
      <c r="AD42" s="65" t="str">
        <f>IF($B42="","",IF(AND(LEFT($AC42,3)="Yes",SUMPRODUCT((TRIM('Rework Log'!$A$3:$A$500)=TRIM($B42))*('Rework Log'!$G$3:$G$500&lt;&gt;"Yes")*('Rework Log'!$G$3:$G$500&lt;&gt;"Did not pass re-test"))=0),"Blocked - log it on Rework Log",IF(AND(LEFT($AC42,3)&lt;&gt;"Yes",SUMPRODUCT((TRIM('Rework Log'!$A$3:$A$500)=TRIM($B42))*('Rework Log'!$G$3:$G$500&lt;&gt;"Yes")*('Rework Log'!$G$3:$G$500&lt;&gt;"Did not pass re-test"))&gt;0),"Open rework row - mark Blocked? or close it",IF(AND(LEFT($AC42,3)&lt;&gt;"Yes",SUMPRODUCT((TRIM('Rework Log'!$A$3:$A$500)=TRIM($B42))*('Rework Log'!$G$3:$G$500&lt;&gt;"Yes")*('Rework Log'!$G$3:$G$500&lt;&gt;"Did not pass re-test"))=0,COUNTIF('Rework Log'!$A$3:$A$500,$B42)&gt;0,IFERROR(INDEX('Rework Log'!$G:$G,SUMPRODUCT(MAX((TRIM('Rework Log'!$A$3:$A$500)=TRIM($B42))*ROW('Rework Log'!$A$3:$A$500)))),"")="Did not pass re-test"),"Last fix rejected - re-block or log next attempt",IF(AND(LEFT($AC42,3)="Yes",ISNUMBER(SEARCH("needs DB Dev",$AC42)),O42&lt;&gt;"",SUMPRODUCT(MAX(((TRIM('Rework Log'!$A$3:$A$500)=TRIM($B42))*('Rework Log'!$G$3:$G$500&lt;&gt;"Yes")*('Rework Log'!$G$3:$G$500&lt;&gt;"Did not pass re-test"))*IFERROR('Rework Log'!$I$3:$I$500*1,0)))&gt;0),"Move old DB Dev completion date to Rework Log (col H)",IF(AND(LEFT($AC42,3)="Yes",ISNUMBER(SEARCH("needs PBI Dev",$AC42)),R42&lt;&gt;"",SUMPRODUCT(MAX(((TRIM('Rework Log'!$A$3:$A$500)=TRIM($B42))*('Rework Log'!$G$3:$G$500&lt;&gt;"Yes")*('Rework Log'!$G$3:$G$500&lt;&gt;"Did not pass re-test"))*IFERROR('Rework Log'!$I$3:$I$500*1,0)))&gt;0),"Move old PBI Dev completion date to Rework Log (col H)",IF(AND(LEFT($AC42,3)="Yes",ISNUMBER(SEARCH("needs QA",$AC42)),U42&lt;&gt;"",SUMPRODUCT(MAX(((TRIM('Rework Log'!$A$3:$A$500)=TRIM($B42))*('Rework Log'!$G$3:$G$500&lt;&gt;"Yes")*('Rework Log'!$G$3:$G$500&lt;&gt;"Did not pass re-test"))*IFERROR('Rework Log'!$I$3:$I$500*1,0)))&gt;0),"Move old QA completion date to Rework Log (col H)",IF(AND(LEFT($AC42,3)="Yes",ISNUMBER(SEARCH("needs DB Dev",$AC42)),TRIM(C42)&lt;&gt;"DB Dev"),"Set Current Status back to DB Dev",IF(AND(LEFT($AC42,3)="Yes",ISNUMBER(SEARCH("needs PBI Dev",$AC42)),TRIM(C42)&lt;&gt;"PBI Dev"),"Set Current Status back to PBI Dev",IF(AND(LEFT($AC42,3)="Yes",ISNUMBER(SEARCH("needs QA",$AC42)),TRIM(C42)&lt;&gt;"QA"),"Set Current Status back to QA",IF(COUNTIF($B$2:$B$500,$B42)&gt;1,"Duplicate name - check row",IF(AND(TRIM(C42)="RELEASED IN PROD",Y42&lt;&gt;"Yes"),"Released but Confirmed Deployed? is not Yes",IF(COUNTIF('Rework Log'!$A$3:$A$500,$B42)&gt;0,"",IF(AND(S42&lt;&gt;"",M42&lt;&gt;"",S42&lt;M42),"QA target is before DB Dev target",IF(AND(S42&lt;&gt;"",P42&lt;&gt;"",S42&lt;P42),"QA target is before PBI Dev target",IF(AND(V42&lt;&gt;"",S42&lt;&gt;"",V42&lt;S42),"DPO Approval target is before QA target",IF(AND(Z42&lt;&gt;"",V42&lt;&gt;"",Z42&lt;V42),"Confirmed Deployed date is before DPO Approval target","")))))))))))))))))</f>
        <v/>
      </c>
      <c r="AE42" s="61"/>
    </row>
    <row r="43" spans="1:31" x14ac:dyDescent="0.25">
      <c r="A43" s="50" t="s">
        <v>170</v>
      </c>
      <c r="B43" s="50" t="s">
        <v>199</v>
      </c>
      <c r="C43" s="50" t="s">
        <v>20</v>
      </c>
      <c r="D43" s="64" t="str">
        <f ca="1">IF($B43="","",IF(LEFT($AC43,3)="Yes",IF(LEN($AC43)&gt;5,"Blocked - "&amp;MID($AC43,7,100),"Blocked")&amp;IF(SUMPRODUCT((TRIM('Rework Log'!$A$3:$A$500)=TRIM($B43))*('Rework Log'!$G$3:$G$500&lt;&gt;"Yes")*('Rework Log'!$G$3:$G$500&lt;&gt;"Did not pass re-test"))=0,"",IF(SUMPRODUCT(((TRIM('Rework Log'!$A$3:$A$500)=TRIM($B43))*('Rework Log'!$G$3:$G$500&lt;&gt;"Yes")*('Rework Log'!$G$3:$G$500&lt;&gt;"Did not pass re-test"))*ISNUMBER('Rework Log'!$J$3:$J$500))&gt;0," - fixed, awaiting re-test",IF(SUMPRODUCT(MAX(((TRIM('Rework Log'!$A$3:$A$500)=TRIM($B43))*('Rework Log'!$G$3:$G$500&lt;&gt;"Yes")*('Rework Log'!$G$3:$G$500&lt;&gt;"Did not pass re-test"))*IFERROR('Rework Log'!$I$3:$I$500*1,0)))=0," - unclaimed"," - promised "&amp;TEXT(SUMPRODUCT(MAX(((TRIM('Rework Log'!$A$3:$A$500)=TRIM($B43))*('Rework Log'!$G$3:$G$500&lt;&gt;"Yes")*('Rework Log'!$G$3:$G$500&lt;&gt;"Did not pass re-test"))*IFERROR('Rework Log'!$I$3:$I$500*1,0))),"m/d")))),IF(TRIM(C43)="NOT STARTED",IF(K43="","No plan date set",IF(K43&lt;TODAY(),"Review - planned start passed","On track")),IF(TRIM(C43)="DB Dev",IF(M43="","No target set",IF(AND(M43&lt;TODAY(),O43=""),"Overdue","On track")),IF(TRIM(C43)="PBI Dev",IF(P43="","No target set",IF(AND(P43&lt;TODAY(),R43=""),"Overdue","On track")),IF(TRIM(C43)="QA",IF(S43="","No target set",IF(AND(S43&lt;TODAY(),U43=""),"Overdue","On track")),IF(TRIM(C43)="DPO Approval",IF(V43="","No target set",IF(V43&lt;TODAY(),"Overdue","On track")),IF(TRIM(C43)="RELEASED IN PROD","Delivered",""))))))))</f>
        <v>No target set</v>
      </c>
      <c r="E43" s="50">
        <v>15</v>
      </c>
      <c r="F43" s="51" t="s">
        <v>22</v>
      </c>
      <c r="G43" s="50" t="s">
        <v>103</v>
      </c>
      <c r="H43" s="50" t="s">
        <v>134</v>
      </c>
      <c r="I43" s="50" t="s">
        <v>81</v>
      </c>
      <c r="J43" s="50"/>
      <c r="K43" s="52">
        <v>46234</v>
      </c>
      <c r="L43" s="50" t="s">
        <v>173</v>
      </c>
      <c r="M43" s="53"/>
      <c r="N43" s="54"/>
      <c r="O43" s="54"/>
      <c r="P43" s="55">
        <v>46230</v>
      </c>
      <c r="Q43" s="54"/>
      <c r="R43" s="54"/>
      <c r="S43" s="56"/>
      <c r="T43" s="54"/>
      <c r="U43" s="54"/>
      <c r="V43" s="57"/>
      <c r="W43" s="54"/>
      <c r="X43" s="50"/>
      <c r="Y43" s="58"/>
      <c r="Z43" s="54"/>
      <c r="AA43" s="59"/>
      <c r="AB43" s="50"/>
      <c r="AC43" s="60" t="s">
        <v>26</v>
      </c>
      <c r="AD43" s="65" t="str">
        <f>IF($B43="","",IF(AND(LEFT($AC43,3)="Yes",SUMPRODUCT((TRIM('Rework Log'!$A$3:$A$500)=TRIM($B43))*('Rework Log'!$G$3:$G$500&lt;&gt;"Yes")*('Rework Log'!$G$3:$G$500&lt;&gt;"Did not pass re-test"))=0),"Blocked - log it on Rework Log",IF(AND(LEFT($AC43,3)&lt;&gt;"Yes",SUMPRODUCT((TRIM('Rework Log'!$A$3:$A$500)=TRIM($B43))*('Rework Log'!$G$3:$G$500&lt;&gt;"Yes")*('Rework Log'!$G$3:$G$500&lt;&gt;"Did not pass re-test"))&gt;0),"Open rework row - mark Blocked? or close it",IF(AND(LEFT($AC43,3)&lt;&gt;"Yes",SUMPRODUCT((TRIM('Rework Log'!$A$3:$A$500)=TRIM($B43))*('Rework Log'!$G$3:$G$500&lt;&gt;"Yes")*('Rework Log'!$G$3:$G$500&lt;&gt;"Did not pass re-test"))=0,COUNTIF('Rework Log'!$A$3:$A$500,$B43)&gt;0,IFERROR(INDEX('Rework Log'!$G:$G,SUMPRODUCT(MAX((TRIM('Rework Log'!$A$3:$A$500)=TRIM($B43))*ROW('Rework Log'!$A$3:$A$500)))),"")="Did not pass re-test"),"Last fix rejected - re-block or log next attempt",IF(AND(LEFT($AC43,3)="Yes",ISNUMBER(SEARCH("needs DB Dev",$AC43)),O43&lt;&gt;"",SUMPRODUCT(MAX(((TRIM('Rework Log'!$A$3:$A$500)=TRIM($B43))*('Rework Log'!$G$3:$G$500&lt;&gt;"Yes")*('Rework Log'!$G$3:$G$500&lt;&gt;"Did not pass re-test"))*IFERROR('Rework Log'!$I$3:$I$500*1,0)))&gt;0),"Move old DB Dev completion date to Rework Log (col H)",IF(AND(LEFT($AC43,3)="Yes",ISNUMBER(SEARCH("needs PBI Dev",$AC43)),R43&lt;&gt;"",SUMPRODUCT(MAX(((TRIM('Rework Log'!$A$3:$A$500)=TRIM($B43))*('Rework Log'!$G$3:$G$500&lt;&gt;"Yes")*('Rework Log'!$G$3:$G$500&lt;&gt;"Did not pass re-test"))*IFERROR('Rework Log'!$I$3:$I$500*1,0)))&gt;0),"Move old PBI Dev completion date to Rework Log (col H)",IF(AND(LEFT($AC43,3)="Yes",ISNUMBER(SEARCH("needs QA",$AC43)),U43&lt;&gt;"",SUMPRODUCT(MAX(((TRIM('Rework Log'!$A$3:$A$500)=TRIM($B43))*('Rework Log'!$G$3:$G$500&lt;&gt;"Yes")*('Rework Log'!$G$3:$G$500&lt;&gt;"Did not pass re-test"))*IFERROR('Rework Log'!$I$3:$I$500*1,0)))&gt;0),"Move old QA completion date to Rework Log (col H)",IF(AND(LEFT($AC43,3)="Yes",ISNUMBER(SEARCH("needs DB Dev",$AC43)),TRIM(C43)&lt;&gt;"DB Dev"),"Set Current Status back to DB Dev",IF(AND(LEFT($AC43,3)="Yes",ISNUMBER(SEARCH("needs PBI Dev",$AC43)),TRIM(C43)&lt;&gt;"PBI Dev"),"Set Current Status back to PBI Dev",IF(AND(LEFT($AC43,3)="Yes",ISNUMBER(SEARCH("needs QA",$AC43)),TRIM(C43)&lt;&gt;"QA"),"Set Current Status back to QA",IF(COUNTIF($B$2:$B$500,$B43)&gt;1,"Duplicate name - check row",IF(AND(TRIM(C43)="RELEASED IN PROD",Y43&lt;&gt;"Yes"),"Released but Confirmed Deployed? is not Yes",IF(COUNTIF('Rework Log'!$A$3:$A$500,$B43)&gt;0,"",IF(AND(S43&lt;&gt;"",M43&lt;&gt;"",S43&lt;M43),"QA target is before DB Dev target",IF(AND(S43&lt;&gt;"",P43&lt;&gt;"",S43&lt;P43),"QA target is before PBI Dev target",IF(AND(V43&lt;&gt;"",S43&lt;&gt;"",V43&lt;S43),"DPO Approval target is before QA target",IF(AND(Z43&lt;&gt;"",V43&lt;&gt;"",Z43&lt;V43),"Confirmed Deployed date is before DPO Approval target","")))))))))))))))))</f>
        <v/>
      </c>
      <c r="AE43" s="61"/>
    </row>
    <row r="44" spans="1:31" x14ac:dyDescent="0.25">
      <c r="A44" s="50" t="s">
        <v>170</v>
      </c>
      <c r="B44" s="50" t="s">
        <v>200</v>
      </c>
      <c r="C44" s="50" t="s">
        <v>20</v>
      </c>
      <c r="D44" s="64" t="str">
        <f ca="1">IF($B44="","",IF(LEFT($AC44,3)="Yes",IF(LEN($AC44)&gt;5,"Blocked - "&amp;MID($AC44,7,100),"Blocked")&amp;IF(SUMPRODUCT((TRIM('Rework Log'!$A$3:$A$500)=TRIM($B44))*('Rework Log'!$G$3:$G$500&lt;&gt;"Yes")*('Rework Log'!$G$3:$G$500&lt;&gt;"Did not pass re-test"))=0,"",IF(SUMPRODUCT(((TRIM('Rework Log'!$A$3:$A$500)=TRIM($B44))*('Rework Log'!$G$3:$G$500&lt;&gt;"Yes")*('Rework Log'!$G$3:$G$500&lt;&gt;"Did not pass re-test"))*ISNUMBER('Rework Log'!$J$3:$J$500))&gt;0," - fixed, awaiting re-test",IF(SUMPRODUCT(MAX(((TRIM('Rework Log'!$A$3:$A$500)=TRIM($B44))*('Rework Log'!$G$3:$G$500&lt;&gt;"Yes")*('Rework Log'!$G$3:$G$500&lt;&gt;"Did not pass re-test"))*IFERROR('Rework Log'!$I$3:$I$500*1,0)))=0," - unclaimed"," - promised "&amp;TEXT(SUMPRODUCT(MAX(((TRIM('Rework Log'!$A$3:$A$500)=TRIM($B44))*('Rework Log'!$G$3:$G$500&lt;&gt;"Yes")*('Rework Log'!$G$3:$G$500&lt;&gt;"Did not pass re-test"))*IFERROR('Rework Log'!$I$3:$I$500*1,0))),"m/d")))),IF(TRIM(C44)="NOT STARTED",IF(K44="","No plan date set",IF(K44&lt;TODAY(),"Review - planned start passed","On track")),IF(TRIM(C44)="DB Dev",IF(M44="","No target set",IF(AND(M44&lt;TODAY(),O44=""),"Overdue","On track")),IF(TRIM(C44)="PBI Dev",IF(P44="","No target set",IF(AND(P44&lt;TODAY(),R44=""),"Overdue","On track")),IF(TRIM(C44)="QA",IF(S44="","No target set",IF(AND(S44&lt;TODAY(),U44=""),"Overdue","On track")),IF(TRIM(C44)="DPO Approval",IF(V44="","No target set",IF(V44&lt;TODAY(),"Overdue","On track")),IF(TRIM(C44)="RELEASED IN PROD","Delivered",""))))))))</f>
        <v>No target set</v>
      </c>
      <c r="E44" s="50" t="s">
        <v>201</v>
      </c>
      <c r="F44" s="51"/>
      <c r="G44" s="50" t="s">
        <v>131</v>
      </c>
      <c r="H44" s="50"/>
      <c r="I44" s="50"/>
      <c r="J44" s="50"/>
      <c r="K44" s="52">
        <v>46265</v>
      </c>
      <c r="L44" s="50" t="s">
        <v>202</v>
      </c>
      <c r="M44" s="53"/>
      <c r="N44" s="54"/>
      <c r="O44" s="54"/>
      <c r="P44" s="55"/>
      <c r="Q44" s="54"/>
      <c r="R44" s="54"/>
      <c r="S44" s="56"/>
      <c r="T44" s="54"/>
      <c r="U44" s="54"/>
      <c r="V44" s="57"/>
      <c r="W44" s="54"/>
      <c r="X44" s="50"/>
      <c r="Y44" s="58"/>
      <c r="Z44" s="54"/>
      <c r="AA44" s="59"/>
      <c r="AB44" s="50"/>
      <c r="AC44" s="60" t="s">
        <v>26</v>
      </c>
      <c r="AD44" s="65" t="str">
        <f>IF($B44="","",IF(AND(LEFT($AC44,3)="Yes",SUMPRODUCT((TRIM('Rework Log'!$A$3:$A$500)=TRIM($B44))*('Rework Log'!$G$3:$G$500&lt;&gt;"Yes")*('Rework Log'!$G$3:$G$500&lt;&gt;"Did not pass re-test"))=0),"Blocked - log it on Rework Log",IF(AND(LEFT($AC44,3)&lt;&gt;"Yes",SUMPRODUCT((TRIM('Rework Log'!$A$3:$A$500)=TRIM($B44))*('Rework Log'!$G$3:$G$500&lt;&gt;"Yes")*('Rework Log'!$G$3:$G$500&lt;&gt;"Did not pass re-test"))&gt;0),"Open rework row - mark Blocked? or close it",IF(AND(LEFT($AC44,3)&lt;&gt;"Yes",SUMPRODUCT((TRIM('Rework Log'!$A$3:$A$500)=TRIM($B44))*('Rework Log'!$G$3:$G$500&lt;&gt;"Yes")*('Rework Log'!$G$3:$G$500&lt;&gt;"Did not pass re-test"))=0,COUNTIF('Rework Log'!$A$3:$A$500,$B44)&gt;0,IFERROR(INDEX('Rework Log'!$G:$G,SUMPRODUCT(MAX((TRIM('Rework Log'!$A$3:$A$500)=TRIM($B44))*ROW('Rework Log'!$A$3:$A$500)))),"")="Did not pass re-test"),"Last fix rejected - re-block or log next attempt",IF(AND(LEFT($AC44,3)="Yes",ISNUMBER(SEARCH("needs DB Dev",$AC44)),O44&lt;&gt;"",SUMPRODUCT(MAX(((TRIM('Rework Log'!$A$3:$A$500)=TRIM($B44))*('Rework Log'!$G$3:$G$500&lt;&gt;"Yes")*('Rework Log'!$G$3:$G$500&lt;&gt;"Did not pass re-test"))*IFERROR('Rework Log'!$I$3:$I$500*1,0)))&gt;0),"Move old DB Dev completion date to Rework Log (col H)",IF(AND(LEFT($AC44,3)="Yes",ISNUMBER(SEARCH("needs PBI Dev",$AC44)),R44&lt;&gt;"",SUMPRODUCT(MAX(((TRIM('Rework Log'!$A$3:$A$500)=TRIM($B44))*('Rework Log'!$G$3:$G$500&lt;&gt;"Yes")*('Rework Log'!$G$3:$G$500&lt;&gt;"Did not pass re-test"))*IFERROR('Rework Log'!$I$3:$I$500*1,0)))&gt;0),"Move old PBI Dev completion date to Rework Log (col H)",IF(AND(LEFT($AC44,3)="Yes",ISNUMBER(SEARCH("needs QA",$AC44)),U44&lt;&gt;"",SUMPRODUCT(MAX(((TRIM('Rework Log'!$A$3:$A$500)=TRIM($B44))*('Rework Log'!$G$3:$G$500&lt;&gt;"Yes")*('Rework Log'!$G$3:$G$500&lt;&gt;"Did not pass re-test"))*IFERROR('Rework Log'!$I$3:$I$500*1,0)))&gt;0),"Move old QA completion date to Rework Log (col H)",IF(AND(LEFT($AC44,3)="Yes",ISNUMBER(SEARCH("needs DB Dev",$AC44)),TRIM(C44)&lt;&gt;"DB Dev"),"Set Current Status back to DB Dev",IF(AND(LEFT($AC44,3)="Yes",ISNUMBER(SEARCH("needs PBI Dev",$AC44)),TRIM(C44)&lt;&gt;"PBI Dev"),"Set Current Status back to PBI Dev",IF(AND(LEFT($AC44,3)="Yes",ISNUMBER(SEARCH("needs QA",$AC44)),TRIM(C44)&lt;&gt;"QA"),"Set Current Status back to QA",IF(COUNTIF($B$2:$B$500,$B44)&gt;1,"Duplicate name - check row",IF(AND(TRIM(C44)="RELEASED IN PROD",Y44&lt;&gt;"Yes"),"Released but Confirmed Deployed? is not Yes",IF(COUNTIF('Rework Log'!$A$3:$A$500,$B44)&gt;0,"",IF(AND(S44&lt;&gt;"",M44&lt;&gt;"",S44&lt;M44),"QA target is before DB Dev target",IF(AND(S44&lt;&gt;"",P44&lt;&gt;"",S44&lt;P44),"QA target is before PBI Dev target",IF(AND(V44&lt;&gt;"",S44&lt;&gt;"",V44&lt;S44),"DPO Approval target is before QA target",IF(AND(Z44&lt;&gt;"",V44&lt;&gt;"",Z44&lt;V44),"Confirmed Deployed date is before DPO Approval target","")))))))))))))))))</f>
        <v/>
      </c>
      <c r="AE44" s="61"/>
    </row>
    <row r="45" spans="1:31" x14ac:dyDescent="0.25">
      <c r="A45" s="50" t="s">
        <v>170</v>
      </c>
      <c r="B45" s="50" t="s">
        <v>203</v>
      </c>
      <c r="C45" s="50" t="s">
        <v>204</v>
      </c>
      <c r="D45" s="64" t="str">
        <f ca="1">IF($B45="","",IF(LEFT($AC45,3)="Yes",IF(LEN($AC45)&gt;5,"Blocked - "&amp;MID($AC45,7,100),"Blocked")&amp;IF(SUMPRODUCT((TRIM('Rework Log'!$A$3:$A$500)=TRIM($B45))*('Rework Log'!$G$3:$G$500&lt;&gt;"Yes")*('Rework Log'!$G$3:$G$500&lt;&gt;"Did not pass re-test"))=0,"",IF(SUMPRODUCT(((TRIM('Rework Log'!$A$3:$A$500)=TRIM($B45))*('Rework Log'!$G$3:$G$500&lt;&gt;"Yes")*('Rework Log'!$G$3:$G$500&lt;&gt;"Did not pass re-test"))*ISNUMBER('Rework Log'!$J$3:$J$500))&gt;0," - fixed, awaiting re-test",IF(SUMPRODUCT(MAX(((TRIM('Rework Log'!$A$3:$A$500)=TRIM($B45))*('Rework Log'!$G$3:$G$500&lt;&gt;"Yes")*('Rework Log'!$G$3:$G$500&lt;&gt;"Did not pass re-test"))*IFERROR('Rework Log'!$I$3:$I$500*1,0)))=0," - unclaimed"," - promised "&amp;TEXT(SUMPRODUCT(MAX(((TRIM('Rework Log'!$A$3:$A$500)=TRIM($B45))*('Rework Log'!$G$3:$G$500&lt;&gt;"Yes")*('Rework Log'!$G$3:$G$500&lt;&gt;"Did not pass re-test"))*IFERROR('Rework Log'!$I$3:$I$500*1,0))),"m/d")))),IF(TRIM(C45)="NOT STARTED",IF(K45="","No plan date set",IF(K45&lt;TODAY(),"Review - planned start passed","On track")),IF(TRIM(C45)="DB Dev",IF(M45="","No target set",IF(AND(M45&lt;TODAY(),O45=""),"Overdue","On track")),IF(TRIM(C45)="PBI Dev",IF(P45="","No target set",IF(AND(P45&lt;TODAY(),R45=""),"Overdue","On track")),IF(TRIM(C45)="QA",IF(S45="","No target set",IF(AND(S45&lt;TODAY(),U45=""),"Overdue","On track")),IF(TRIM(C45)="DPO Approval",IF(V45="","No target set",IF(V45&lt;TODAY(),"Overdue","On track")),IF(TRIM(C45)="RELEASED IN PROD","Delivered",""))))))))</f>
        <v>On track</v>
      </c>
      <c r="E45" s="50">
        <v>18</v>
      </c>
      <c r="F45" s="51"/>
      <c r="G45" s="50" t="s">
        <v>93</v>
      </c>
      <c r="H45" s="50"/>
      <c r="I45" s="50"/>
      <c r="J45" s="50"/>
      <c r="K45" s="52">
        <v>46265</v>
      </c>
      <c r="L45" s="50" t="s">
        <v>202</v>
      </c>
      <c r="M45" s="53"/>
      <c r="N45" s="54"/>
      <c r="O45" s="54"/>
      <c r="P45" s="55"/>
      <c r="Q45" s="54"/>
      <c r="R45" s="54"/>
      <c r="S45" s="56"/>
      <c r="T45" s="54"/>
      <c r="U45" s="54"/>
      <c r="V45" s="57"/>
      <c r="W45" s="54"/>
      <c r="X45" s="50"/>
      <c r="Y45" s="58"/>
      <c r="Z45" s="54"/>
      <c r="AA45" s="59"/>
      <c r="AB45" s="50"/>
      <c r="AC45" s="60" t="s">
        <v>26</v>
      </c>
      <c r="AD45" s="65" t="str">
        <f>IF($B45="","",IF(AND(LEFT($AC45,3)="Yes",SUMPRODUCT((TRIM('Rework Log'!$A$3:$A$500)=TRIM($B45))*('Rework Log'!$G$3:$G$500&lt;&gt;"Yes")*('Rework Log'!$G$3:$G$500&lt;&gt;"Did not pass re-test"))=0),"Blocked - log it on Rework Log",IF(AND(LEFT($AC45,3)&lt;&gt;"Yes",SUMPRODUCT((TRIM('Rework Log'!$A$3:$A$500)=TRIM($B45))*('Rework Log'!$G$3:$G$500&lt;&gt;"Yes")*('Rework Log'!$G$3:$G$500&lt;&gt;"Did not pass re-test"))&gt;0),"Open rework row - mark Blocked? or close it",IF(AND(LEFT($AC45,3)&lt;&gt;"Yes",SUMPRODUCT((TRIM('Rework Log'!$A$3:$A$500)=TRIM($B45))*('Rework Log'!$G$3:$G$500&lt;&gt;"Yes")*('Rework Log'!$G$3:$G$500&lt;&gt;"Did not pass re-test"))=0,COUNTIF('Rework Log'!$A$3:$A$500,$B45)&gt;0,IFERROR(INDEX('Rework Log'!$G:$G,SUMPRODUCT(MAX((TRIM('Rework Log'!$A$3:$A$500)=TRIM($B45))*ROW('Rework Log'!$A$3:$A$500)))),"")="Did not pass re-test"),"Last fix rejected - re-block or log next attempt",IF(AND(LEFT($AC45,3)="Yes",ISNUMBER(SEARCH("needs DB Dev",$AC45)),O45&lt;&gt;"",SUMPRODUCT(MAX(((TRIM('Rework Log'!$A$3:$A$500)=TRIM($B45))*('Rework Log'!$G$3:$G$500&lt;&gt;"Yes")*('Rework Log'!$G$3:$G$500&lt;&gt;"Did not pass re-test"))*IFERROR('Rework Log'!$I$3:$I$500*1,0)))&gt;0),"Move old DB Dev completion date to Rework Log (col H)",IF(AND(LEFT($AC45,3)="Yes",ISNUMBER(SEARCH("needs PBI Dev",$AC45)),R45&lt;&gt;"",SUMPRODUCT(MAX(((TRIM('Rework Log'!$A$3:$A$500)=TRIM($B45))*('Rework Log'!$G$3:$G$500&lt;&gt;"Yes")*('Rework Log'!$G$3:$G$500&lt;&gt;"Did not pass re-test"))*IFERROR('Rework Log'!$I$3:$I$500*1,0)))&gt;0),"Move old PBI Dev completion date to Rework Log (col H)",IF(AND(LEFT($AC45,3)="Yes",ISNUMBER(SEARCH("needs QA",$AC45)),U45&lt;&gt;"",SUMPRODUCT(MAX(((TRIM('Rework Log'!$A$3:$A$500)=TRIM($B45))*('Rework Log'!$G$3:$G$500&lt;&gt;"Yes")*('Rework Log'!$G$3:$G$500&lt;&gt;"Did not pass re-test"))*IFERROR('Rework Log'!$I$3:$I$500*1,0)))&gt;0),"Move old QA completion date to Rework Log (col H)",IF(AND(LEFT($AC45,3)="Yes",ISNUMBER(SEARCH("needs DB Dev",$AC45)),TRIM(C45)&lt;&gt;"DB Dev"),"Set Current Status back to DB Dev",IF(AND(LEFT($AC45,3)="Yes",ISNUMBER(SEARCH("needs PBI Dev",$AC45)),TRIM(C45)&lt;&gt;"PBI Dev"),"Set Current Status back to PBI Dev",IF(AND(LEFT($AC45,3)="Yes",ISNUMBER(SEARCH("needs QA",$AC45)),TRIM(C45)&lt;&gt;"QA"),"Set Current Status back to QA",IF(COUNTIF($B$2:$B$500,$B45)&gt;1,"Duplicate name - check row",IF(AND(TRIM(C45)="RELEASED IN PROD",Y45&lt;&gt;"Yes"),"Released but Confirmed Deployed? is not Yes",IF(COUNTIF('Rework Log'!$A$3:$A$500,$B45)&gt;0,"",IF(AND(S45&lt;&gt;"",M45&lt;&gt;"",S45&lt;M45),"QA target is before DB Dev target",IF(AND(S45&lt;&gt;"",P45&lt;&gt;"",S45&lt;P45),"QA target is before PBI Dev target",IF(AND(V45&lt;&gt;"",S45&lt;&gt;"",V45&lt;S45),"DPO Approval target is before QA target",IF(AND(Z45&lt;&gt;"",V45&lt;&gt;"",Z45&lt;V45),"Confirmed Deployed date is before DPO Approval target","")))))))))))))))))</f>
        <v/>
      </c>
      <c r="AE45" s="61"/>
    </row>
    <row r="46" spans="1:31" x14ac:dyDescent="0.25">
      <c r="A46" s="50" t="s">
        <v>170</v>
      </c>
      <c r="B46" s="50" t="s">
        <v>205</v>
      </c>
      <c r="C46" s="50" t="s">
        <v>204</v>
      </c>
      <c r="D46" s="64" t="str">
        <f ca="1">IF($B46="","",IF(LEFT($AC46,3)="Yes",IF(LEN($AC46)&gt;5,"Blocked - "&amp;MID($AC46,7,100),"Blocked")&amp;IF(SUMPRODUCT((TRIM('Rework Log'!$A$3:$A$500)=TRIM($B46))*('Rework Log'!$G$3:$G$500&lt;&gt;"Yes")*('Rework Log'!$G$3:$G$500&lt;&gt;"Did not pass re-test"))=0,"",IF(SUMPRODUCT(((TRIM('Rework Log'!$A$3:$A$500)=TRIM($B46))*('Rework Log'!$G$3:$G$500&lt;&gt;"Yes")*('Rework Log'!$G$3:$G$500&lt;&gt;"Did not pass re-test"))*ISNUMBER('Rework Log'!$J$3:$J$500))&gt;0," - fixed, awaiting re-test",IF(SUMPRODUCT(MAX(((TRIM('Rework Log'!$A$3:$A$500)=TRIM($B46))*('Rework Log'!$G$3:$G$500&lt;&gt;"Yes")*('Rework Log'!$G$3:$G$500&lt;&gt;"Did not pass re-test"))*IFERROR('Rework Log'!$I$3:$I$500*1,0)))=0," - unclaimed"," - promised "&amp;TEXT(SUMPRODUCT(MAX(((TRIM('Rework Log'!$A$3:$A$500)=TRIM($B46))*('Rework Log'!$G$3:$G$500&lt;&gt;"Yes")*('Rework Log'!$G$3:$G$500&lt;&gt;"Did not pass re-test"))*IFERROR('Rework Log'!$I$3:$I$500*1,0))),"m/d")))),IF(TRIM(C46)="NOT STARTED",IF(K46="","No plan date set",IF(K46&lt;TODAY(),"Review - planned start passed","On track")),IF(TRIM(C46)="DB Dev",IF(M46="","No target set",IF(AND(M46&lt;TODAY(),O46=""),"Overdue","On track")),IF(TRIM(C46)="PBI Dev",IF(P46="","No target set",IF(AND(P46&lt;TODAY(),R46=""),"Overdue","On track")),IF(TRIM(C46)="QA",IF(S46="","No target set",IF(AND(S46&lt;TODAY(),U46=""),"Overdue","On track")),IF(TRIM(C46)="DPO Approval",IF(V46="","No target set",IF(V46&lt;TODAY(),"Overdue","On track")),IF(TRIM(C46)="RELEASED IN PROD","Delivered",""))))))))</f>
        <v>On track</v>
      </c>
      <c r="E46" s="50">
        <v>19</v>
      </c>
      <c r="F46" s="51"/>
      <c r="G46" s="50" t="s">
        <v>79</v>
      </c>
      <c r="H46" s="50"/>
      <c r="I46" s="50"/>
      <c r="J46" s="50"/>
      <c r="K46" s="52">
        <v>46265</v>
      </c>
      <c r="L46" s="50" t="s">
        <v>202</v>
      </c>
      <c r="M46" s="53"/>
      <c r="N46" s="54"/>
      <c r="O46" s="54"/>
      <c r="P46" s="55"/>
      <c r="Q46" s="54"/>
      <c r="R46" s="54"/>
      <c r="S46" s="56"/>
      <c r="T46" s="54"/>
      <c r="U46" s="54"/>
      <c r="V46" s="57"/>
      <c r="W46" s="54"/>
      <c r="X46" s="50"/>
      <c r="Y46" s="58"/>
      <c r="Z46" s="54"/>
      <c r="AA46" s="59"/>
      <c r="AB46" s="50"/>
      <c r="AC46" s="60" t="s">
        <v>26</v>
      </c>
      <c r="AD46" s="65" t="str">
        <f>IF($B46="","",IF(AND(LEFT($AC46,3)="Yes",SUMPRODUCT((TRIM('Rework Log'!$A$3:$A$500)=TRIM($B46))*('Rework Log'!$G$3:$G$500&lt;&gt;"Yes")*('Rework Log'!$G$3:$G$500&lt;&gt;"Did not pass re-test"))=0),"Blocked - log it on Rework Log",IF(AND(LEFT($AC46,3)&lt;&gt;"Yes",SUMPRODUCT((TRIM('Rework Log'!$A$3:$A$500)=TRIM($B46))*('Rework Log'!$G$3:$G$500&lt;&gt;"Yes")*('Rework Log'!$G$3:$G$500&lt;&gt;"Did not pass re-test"))&gt;0),"Open rework row - mark Blocked? or close it",IF(AND(LEFT($AC46,3)&lt;&gt;"Yes",SUMPRODUCT((TRIM('Rework Log'!$A$3:$A$500)=TRIM($B46))*('Rework Log'!$G$3:$G$500&lt;&gt;"Yes")*('Rework Log'!$G$3:$G$500&lt;&gt;"Did not pass re-test"))=0,COUNTIF('Rework Log'!$A$3:$A$500,$B46)&gt;0,IFERROR(INDEX('Rework Log'!$G:$G,SUMPRODUCT(MAX((TRIM('Rework Log'!$A$3:$A$500)=TRIM($B46))*ROW('Rework Log'!$A$3:$A$500)))),"")="Did not pass re-test"),"Last fix rejected - re-block or log next attempt",IF(AND(LEFT($AC46,3)="Yes",ISNUMBER(SEARCH("needs DB Dev",$AC46)),O46&lt;&gt;"",SUMPRODUCT(MAX(((TRIM('Rework Log'!$A$3:$A$500)=TRIM($B46))*('Rework Log'!$G$3:$G$500&lt;&gt;"Yes")*('Rework Log'!$G$3:$G$500&lt;&gt;"Did not pass re-test"))*IFERROR('Rework Log'!$I$3:$I$500*1,0)))&gt;0),"Move old DB Dev completion date to Rework Log (col H)",IF(AND(LEFT($AC46,3)="Yes",ISNUMBER(SEARCH("needs PBI Dev",$AC46)),R46&lt;&gt;"",SUMPRODUCT(MAX(((TRIM('Rework Log'!$A$3:$A$500)=TRIM($B46))*('Rework Log'!$G$3:$G$500&lt;&gt;"Yes")*('Rework Log'!$G$3:$G$500&lt;&gt;"Did not pass re-test"))*IFERROR('Rework Log'!$I$3:$I$500*1,0)))&gt;0),"Move old PBI Dev completion date to Rework Log (col H)",IF(AND(LEFT($AC46,3)="Yes",ISNUMBER(SEARCH("needs QA",$AC46)),U46&lt;&gt;"",SUMPRODUCT(MAX(((TRIM('Rework Log'!$A$3:$A$500)=TRIM($B46))*('Rework Log'!$G$3:$G$500&lt;&gt;"Yes")*('Rework Log'!$G$3:$G$500&lt;&gt;"Did not pass re-test"))*IFERROR('Rework Log'!$I$3:$I$500*1,0)))&gt;0),"Move old QA completion date to Rework Log (col H)",IF(AND(LEFT($AC46,3)="Yes",ISNUMBER(SEARCH("needs DB Dev",$AC46)),TRIM(C46)&lt;&gt;"DB Dev"),"Set Current Status back to DB Dev",IF(AND(LEFT($AC46,3)="Yes",ISNUMBER(SEARCH("needs PBI Dev",$AC46)),TRIM(C46)&lt;&gt;"PBI Dev"),"Set Current Status back to PBI Dev",IF(AND(LEFT($AC46,3)="Yes",ISNUMBER(SEARCH("needs QA",$AC46)),TRIM(C46)&lt;&gt;"QA"),"Set Current Status back to QA",IF(COUNTIF($B$2:$B$500,$B46)&gt;1,"Duplicate name - check row",IF(AND(TRIM(C46)="RELEASED IN PROD",Y46&lt;&gt;"Yes"),"Released but Confirmed Deployed? is not Yes",IF(COUNTIF('Rework Log'!$A$3:$A$500,$B46)&gt;0,"",IF(AND(S46&lt;&gt;"",M46&lt;&gt;"",S46&lt;M46),"QA target is before DB Dev target",IF(AND(S46&lt;&gt;"",P46&lt;&gt;"",S46&lt;P46),"QA target is before PBI Dev target",IF(AND(V46&lt;&gt;"",S46&lt;&gt;"",V46&lt;S46),"DPO Approval target is before QA target",IF(AND(Z46&lt;&gt;"",V46&lt;&gt;"",Z46&lt;V46),"Confirmed Deployed date is before DPO Approval target","")))))))))))))))))</f>
        <v/>
      </c>
      <c r="AE46" s="61"/>
    </row>
    <row r="47" spans="1:31" x14ac:dyDescent="0.25">
      <c r="A47" s="50" t="s">
        <v>170</v>
      </c>
      <c r="B47" s="50" t="s">
        <v>206</v>
      </c>
      <c r="C47" s="50" t="s">
        <v>20</v>
      </c>
      <c r="D47" s="64" t="str">
        <f ca="1">IF($B47="","",IF(LEFT($AC47,3)="Yes",IF(LEN($AC47)&gt;5,"Blocked - "&amp;MID($AC47,7,100),"Blocked")&amp;IF(SUMPRODUCT((TRIM('Rework Log'!$A$3:$A$500)=TRIM($B47))*('Rework Log'!$G$3:$G$500&lt;&gt;"Yes")*('Rework Log'!$G$3:$G$500&lt;&gt;"Did not pass re-test"))=0,"",IF(SUMPRODUCT(((TRIM('Rework Log'!$A$3:$A$500)=TRIM($B47))*('Rework Log'!$G$3:$G$500&lt;&gt;"Yes")*('Rework Log'!$G$3:$G$500&lt;&gt;"Did not pass re-test"))*ISNUMBER('Rework Log'!$J$3:$J$500))&gt;0," - fixed, awaiting re-test",IF(SUMPRODUCT(MAX(((TRIM('Rework Log'!$A$3:$A$500)=TRIM($B47))*('Rework Log'!$G$3:$G$500&lt;&gt;"Yes")*('Rework Log'!$G$3:$G$500&lt;&gt;"Did not pass re-test"))*IFERROR('Rework Log'!$I$3:$I$500*1,0)))=0," - unclaimed"," - promised "&amp;TEXT(SUMPRODUCT(MAX(((TRIM('Rework Log'!$A$3:$A$500)=TRIM($B47))*('Rework Log'!$G$3:$G$500&lt;&gt;"Yes")*('Rework Log'!$G$3:$G$500&lt;&gt;"Did not pass re-test"))*IFERROR('Rework Log'!$I$3:$I$500*1,0))),"m/d")))),IF(TRIM(C47)="NOT STARTED",IF(K47="","No plan date set",IF(K47&lt;TODAY(),"Review - planned start passed","On track")),IF(TRIM(C47)="DB Dev",IF(M47="","No target set",IF(AND(M47&lt;TODAY(),O47=""),"Overdue","On track")),IF(TRIM(C47)="PBI Dev",IF(P47="","No target set",IF(AND(P47&lt;TODAY(),R47=""),"Overdue","On track")),IF(TRIM(C47)="QA",IF(S47="","No target set",IF(AND(S47&lt;TODAY(),U47=""),"Overdue","On track")),IF(TRIM(C47)="DPO Approval",IF(V47="","No target set",IF(V47&lt;TODAY(),"Overdue","On track")),IF(TRIM(C47)="RELEASED IN PROD","Delivered",""))))))))</f>
        <v>No target set</v>
      </c>
      <c r="E47" s="50">
        <v>20</v>
      </c>
      <c r="F47" s="51"/>
      <c r="G47" s="50" t="s">
        <v>111</v>
      </c>
      <c r="H47" s="50"/>
      <c r="I47" s="50"/>
      <c r="J47" s="50"/>
      <c r="K47" s="52">
        <v>46265</v>
      </c>
      <c r="L47" s="50" t="s">
        <v>202</v>
      </c>
      <c r="M47" s="53"/>
      <c r="N47" s="54"/>
      <c r="O47" s="54"/>
      <c r="P47" s="55"/>
      <c r="Q47" s="54"/>
      <c r="R47" s="54"/>
      <c r="S47" s="56"/>
      <c r="T47" s="54"/>
      <c r="U47" s="54"/>
      <c r="V47" s="57"/>
      <c r="W47" s="54"/>
      <c r="X47" s="50"/>
      <c r="Y47" s="58"/>
      <c r="Z47" s="54"/>
      <c r="AA47" s="59"/>
      <c r="AB47" s="50"/>
      <c r="AC47" s="60" t="s">
        <v>26</v>
      </c>
      <c r="AD47" s="65" t="str">
        <f>IF($B47="","",IF(AND(LEFT($AC47,3)="Yes",SUMPRODUCT((TRIM('Rework Log'!$A$3:$A$500)=TRIM($B47))*('Rework Log'!$G$3:$G$500&lt;&gt;"Yes")*('Rework Log'!$G$3:$G$500&lt;&gt;"Did not pass re-test"))=0),"Blocked - log it on Rework Log",IF(AND(LEFT($AC47,3)&lt;&gt;"Yes",SUMPRODUCT((TRIM('Rework Log'!$A$3:$A$500)=TRIM($B47))*('Rework Log'!$G$3:$G$500&lt;&gt;"Yes")*('Rework Log'!$G$3:$G$500&lt;&gt;"Did not pass re-test"))&gt;0),"Open rework row - mark Blocked? or close it",IF(AND(LEFT($AC47,3)&lt;&gt;"Yes",SUMPRODUCT((TRIM('Rework Log'!$A$3:$A$500)=TRIM($B47))*('Rework Log'!$G$3:$G$500&lt;&gt;"Yes")*('Rework Log'!$G$3:$G$500&lt;&gt;"Did not pass re-test"))=0,COUNTIF('Rework Log'!$A$3:$A$500,$B47)&gt;0,IFERROR(INDEX('Rework Log'!$G:$G,SUMPRODUCT(MAX((TRIM('Rework Log'!$A$3:$A$500)=TRIM($B47))*ROW('Rework Log'!$A$3:$A$500)))),"")="Did not pass re-test"),"Last fix rejected - re-block or log next attempt",IF(AND(LEFT($AC47,3)="Yes",ISNUMBER(SEARCH("needs DB Dev",$AC47)),O47&lt;&gt;"",SUMPRODUCT(MAX(((TRIM('Rework Log'!$A$3:$A$500)=TRIM($B47))*('Rework Log'!$G$3:$G$500&lt;&gt;"Yes")*('Rework Log'!$G$3:$G$500&lt;&gt;"Did not pass re-test"))*IFERROR('Rework Log'!$I$3:$I$500*1,0)))&gt;0),"Move old DB Dev completion date to Rework Log (col H)",IF(AND(LEFT($AC47,3)="Yes",ISNUMBER(SEARCH("needs PBI Dev",$AC47)),R47&lt;&gt;"",SUMPRODUCT(MAX(((TRIM('Rework Log'!$A$3:$A$500)=TRIM($B47))*('Rework Log'!$G$3:$G$500&lt;&gt;"Yes")*('Rework Log'!$G$3:$G$500&lt;&gt;"Did not pass re-test"))*IFERROR('Rework Log'!$I$3:$I$500*1,0)))&gt;0),"Move old PBI Dev completion date to Rework Log (col H)",IF(AND(LEFT($AC47,3)="Yes",ISNUMBER(SEARCH("needs QA",$AC47)),U47&lt;&gt;"",SUMPRODUCT(MAX(((TRIM('Rework Log'!$A$3:$A$500)=TRIM($B47))*('Rework Log'!$G$3:$G$500&lt;&gt;"Yes")*('Rework Log'!$G$3:$G$500&lt;&gt;"Did not pass re-test"))*IFERROR('Rework Log'!$I$3:$I$500*1,0)))&gt;0),"Move old QA completion date to Rework Log (col H)",IF(AND(LEFT($AC47,3)="Yes",ISNUMBER(SEARCH("needs DB Dev",$AC47)),TRIM(C47)&lt;&gt;"DB Dev"),"Set Current Status back to DB Dev",IF(AND(LEFT($AC47,3)="Yes",ISNUMBER(SEARCH("needs PBI Dev",$AC47)),TRIM(C47)&lt;&gt;"PBI Dev"),"Set Current Status back to PBI Dev",IF(AND(LEFT($AC47,3)="Yes",ISNUMBER(SEARCH("needs QA",$AC47)),TRIM(C47)&lt;&gt;"QA"),"Set Current Status back to QA",IF(COUNTIF($B$2:$B$500,$B47)&gt;1,"Duplicate name - check row",IF(AND(TRIM(C47)="RELEASED IN PROD",Y47&lt;&gt;"Yes"),"Released but Confirmed Deployed? is not Yes",IF(COUNTIF('Rework Log'!$A$3:$A$500,$B47)&gt;0,"",IF(AND(S47&lt;&gt;"",M47&lt;&gt;"",S47&lt;M47),"QA target is before DB Dev target",IF(AND(S47&lt;&gt;"",P47&lt;&gt;"",S47&lt;P47),"QA target is before PBI Dev target",IF(AND(V47&lt;&gt;"",S47&lt;&gt;"",V47&lt;S47),"DPO Approval target is before QA target",IF(AND(Z47&lt;&gt;"",V47&lt;&gt;"",Z47&lt;V47),"Confirmed Deployed date is before DPO Approval target","")))))))))))))))))</f>
        <v/>
      </c>
      <c r="AE47" s="61"/>
    </row>
    <row r="48" spans="1:31" x14ac:dyDescent="0.25">
      <c r="A48" s="50" t="s">
        <v>170</v>
      </c>
      <c r="B48" s="50" t="s">
        <v>207</v>
      </c>
      <c r="C48" s="50" t="s">
        <v>204</v>
      </c>
      <c r="D48" s="64" t="str">
        <f ca="1">IF($B48="","",IF(LEFT($AC48,3)="Yes",IF(LEN($AC48)&gt;5,"Blocked - "&amp;MID($AC48,7,100),"Blocked")&amp;IF(SUMPRODUCT((TRIM('Rework Log'!$A$3:$A$500)=TRIM($B48))*('Rework Log'!$G$3:$G$500&lt;&gt;"Yes")*('Rework Log'!$G$3:$G$500&lt;&gt;"Did not pass re-test"))=0,"",IF(SUMPRODUCT(((TRIM('Rework Log'!$A$3:$A$500)=TRIM($B48))*('Rework Log'!$G$3:$G$500&lt;&gt;"Yes")*('Rework Log'!$G$3:$G$500&lt;&gt;"Did not pass re-test"))*ISNUMBER('Rework Log'!$J$3:$J$500))&gt;0," - fixed, awaiting re-test",IF(SUMPRODUCT(MAX(((TRIM('Rework Log'!$A$3:$A$500)=TRIM($B48))*('Rework Log'!$G$3:$G$500&lt;&gt;"Yes")*('Rework Log'!$G$3:$G$500&lt;&gt;"Did not pass re-test"))*IFERROR('Rework Log'!$I$3:$I$500*1,0)))=0," - unclaimed"," - promised "&amp;TEXT(SUMPRODUCT(MAX(((TRIM('Rework Log'!$A$3:$A$500)=TRIM($B48))*('Rework Log'!$G$3:$G$500&lt;&gt;"Yes")*('Rework Log'!$G$3:$G$500&lt;&gt;"Did not pass re-test"))*IFERROR('Rework Log'!$I$3:$I$500*1,0))),"m/d")))),IF(TRIM(C48)="NOT STARTED",IF(K48="","No plan date set",IF(K48&lt;TODAY(),"Review - planned start passed","On track")),IF(TRIM(C48)="DB Dev",IF(M48="","No target set",IF(AND(M48&lt;TODAY(),O48=""),"Overdue","On track")),IF(TRIM(C48)="PBI Dev",IF(P48="","No target set",IF(AND(P48&lt;TODAY(),R48=""),"Overdue","On track")),IF(TRIM(C48)="QA",IF(S48="","No target set",IF(AND(S48&lt;TODAY(),U48=""),"Overdue","On track")),IF(TRIM(C48)="DPO Approval",IF(V48="","No target set",IF(V48&lt;TODAY(),"Overdue","On track")),IF(TRIM(C48)="RELEASED IN PROD","Delivered",""))))))))</f>
        <v>On track</v>
      </c>
      <c r="E48" s="50">
        <v>21</v>
      </c>
      <c r="F48" s="51"/>
      <c r="G48" s="50" t="s">
        <v>194</v>
      </c>
      <c r="H48" s="50"/>
      <c r="I48" s="50"/>
      <c r="J48" s="50"/>
      <c r="K48" s="52">
        <v>46265</v>
      </c>
      <c r="L48" s="50" t="s">
        <v>202</v>
      </c>
      <c r="M48" s="53"/>
      <c r="N48" s="54"/>
      <c r="O48" s="54"/>
      <c r="P48" s="55"/>
      <c r="Q48" s="54"/>
      <c r="R48" s="54"/>
      <c r="S48" s="56"/>
      <c r="T48" s="54"/>
      <c r="U48" s="54"/>
      <c r="V48" s="57"/>
      <c r="W48" s="54"/>
      <c r="X48" s="50"/>
      <c r="Y48" s="58"/>
      <c r="Z48" s="54"/>
      <c r="AA48" s="59"/>
      <c r="AB48" s="50"/>
      <c r="AC48" s="60" t="s">
        <v>26</v>
      </c>
      <c r="AD48" s="65" t="str">
        <f>IF($B48="","",IF(AND(LEFT($AC48,3)="Yes",SUMPRODUCT((TRIM('Rework Log'!$A$3:$A$500)=TRIM($B48))*('Rework Log'!$G$3:$G$500&lt;&gt;"Yes")*('Rework Log'!$G$3:$G$500&lt;&gt;"Did not pass re-test"))=0),"Blocked - log it on Rework Log",IF(AND(LEFT($AC48,3)&lt;&gt;"Yes",SUMPRODUCT((TRIM('Rework Log'!$A$3:$A$500)=TRIM($B48))*('Rework Log'!$G$3:$G$500&lt;&gt;"Yes")*('Rework Log'!$G$3:$G$500&lt;&gt;"Did not pass re-test"))&gt;0),"Open rework row - mark Blocked? or close it",IF(AND(LEFT($AC48,3)&lt;&gt;"Yes",SUMPRODUCT((TRIM('Rework Log'!$A$3:$A$500)=TRIM($B48))*('Rework Log'!$G$3:$G$500&lt;&gt;"Yes")*('Rework Log'!$G$3:$G$500&lt;&gt;"Did not pass re-test"))=0,COUNTIF('Rework Log'!$A$3:$A$500,$B48)&gt;0,IFERROR(INDEX('Rework Log'!$G:$G,SUMPRODUCT(MAX((TRIM('Rework Log'!$A$3:$A$500)=TRIM($B48))*ROW('Rework Log'!$A$3:$A$500)))),"")="Did not pass re-test"),"Last fix rejected - re-block or log next attempt",IF(AND(LEFT($AC48,3)="Yes",ISNUMBER(SEARCH("needs DB Dev",$AC48)),O48&lt;&gt;"",SUMPRODUCT(MAX(((TRIM('Rework Log'!$A$3:$A$500)=TRIM($B48))*('Rework Log'!$G$3:$G$500&lt;&gt;"Yes")*('Rework Log'!$G$3:$G$500&lt;&gt;"Did not pass re-test"))*IFERROR('Rework Log'!$I$3:$I$500*1,0)))&gt;0),"Move old DB Dev completion date to Rework Log (col H)",IF(AND(LEFT($AC48,3)="Yes",ISNUMBER(SEARCH("needs PBI Dev",$AC48)),R48&lt;&gt;"",SUMPRODUCT(MAX(((TRIM('Rework Log'!$A$3:$A$500)=TRIM($B48))*('Rework Log'!$G$3:$G$500&lt;&gt;"Yes")*('Rework Log'!$G$3:$G$500&lt;&gt;"Did not pass re-test"))*IFERROR('Rework Log'!$I$3:$I$500*1,0)))&gt;0),"Move old PBI Dev completion date to Rework Log (col H)",IF(AND(LEFT($AC48,3)="Yes",ISNUMBER(SEARCH("needs QA",$AC48)),U48&lt;&gt;"",SUMPRODUCT(MAX(((TRIM('Rework Log'!$A$3:$A$500)=TRIM($B48))*('Rework Log'!$G$3:$G$500&lt;&gt;"Yes")*('Rework Log'!$G$3:$G$500&lt;&gt;"Did not pass re-test"))*IFERROR('Rework Log'!$I$3:$I$500*1,0)))&gt;0),"Move old QA completion date to Rework Log (col H)",IF(AND(LEFT($AC48,3)="Yes",ISNUMBER(SEARCH("needs DB Dev",$AC48)),TRIM(C48)&lt;&gt;"DB Dev"),"Set Current Status back to DB Dev",IF(AND(LEFT($AC48,3)="Yes",ISNUMBER(SEARCH("needs PBI Dev",$AC48)),TRIM(C48)&lt;&gt;"PBI Dev"),"Set Current Status back to PBI Dev",IF(AND(LEFT($AC48,3)="Yes",ISNUMBER(SEARCH("needs QA",$AC48)),TRIM(C48)&lt;&gt;"QA"),"Set Current Status back to QA",IF(COUNTIF($B$2:$B$500,$B48)&gt;1,"Duplicate name - check row",IF(AND(TRIM(C48)="RELEASED IN PROD",Y48&lt;&gt;"Yes"),"Released but Confirmed Deployed? is not Yes",IF(COUNTIF('Rework Log'!$A$3:$A$500,$B48)&gt;0,"",IF(AND(S48&lt;&gt;"",M48&lt;&gt;"",S48&lt;M48),"QA target is before DB Dev target",IF(AND(S48&lt;&gt;"",P48&lt;&gt;"",S48&lt;P48),"QA target is before PBI Dev target",IF(AND(V48&lt;&gt;"",S48&lt;&gt;"",V48&lt;S48),"DPO Approval target is before QA target",IF(AND(Z48&lt;&gt;"",V48&lt;&gt;"",Z48&lt;V48),"Confirmed Deployed date is before DPO Approval target","")))))))))))))))))</f>
        <v/>
      </c>
      <c r="AE48" s="61"/>
    </row>
    <row r="49" spans="1:31" x14ac:dyDescent="0.25">
      <c r="A49" s="50" t="s">
        <v>170</v>
      </c>
      <c r="B49" s="50" t="s">
        <v>208</v>
      </c>
      <c r="C49" s="50" t="s">
        <v>204</v>
      </c>
      <c r="D49" s="64" t="str">
        <f ca="1">IF($B49="","",IF(LEFT($AC49,3)="Yes",IF(LEN($AC49)&gt;5,"Blocked - "&amp;MID($AC49,7,100),"Blocked")&amp;IF(SUMPRODUCT((TRIM('Rework Log'!$A$3:$A$500)=TRIM($B49))*('Rework Log'!$G$3:$G$500&lt;&gt;"Yes")*('Rework Log'!$G$3:$G$500&lt;&gt;"Did not pass re-test"))=0,"",IF(SUMPRODUCT(((TRIM('Rework Log'!$A$3:$A$500)=TRIM($B49))*('Rework Log'!$G$3:$G$500&lt;&gt;"Yes")*('Rework Log'!$G$3:$G$500&lt;&gt;"Did not pass re-test"))*ISNUMBER('Rework Log'!$J$3:$J$500))&gt;0," - fixed, awaiting re-test",IF(SUMPRODUCT(MAX(((TRIM('Rework Log'!$A$3:$A$500)=TRIM($B49))*('Rework Log'!$G$3:$G$500&lt;&gt;"Yes")*('Rework Log'!$G$3:$G$500&lt;&gt;"Did not pass re-test"))*IFERROR('Rework Log'!$I$3:$I$500*1,0)))=0," - unclaimed"," - promised "&amp;TEXT(SUMPRODUCT(MAX(((TRIM('Rework Log'!$A$3:$A$500)=TRIM($B49))*('Rework Log'!$G$3:$G$500&lt;&gt;"Yes")*('Rework Log'!$G$3:$G$500&lt;&gt;"Did not pass re-test"))*IFERROR('Rework Log'!$I$3:$I$500*1,0))),"m/d")))),IF(TRIM(C49)="NOT STARTED",IF(K49="","No plan date set",IF(K49&lt;TODAY(),"Review - planned start passed","On track")),IF(TRIM(C49)="DB Dev",IF(M49="","No target set",IF(AND(M49&lt;TODAY(),O49=""),"Overdue","On track")),IF(TRIM(C49)="PBI Dev",IF(P49="","No target set",IF(AND(P49&lt;TODAY(),R49=""),"Overdue","On track")),IF(TRIM(C49)="QA",IF(S49="","No target set",IF(AND(S49&lt;TODAY(),U49=""),"Overdue","On track")),IF(TRIM(C49)="DPO Approval",IF(V49="","No target set",IF(V49&lt;TODAY(),"Overdue","On track")),IF(TRIM(C49)="RELEASED IN PROD","Delivered",""))))))))</f>
        <v>On track</v>
      </c>
      <c r="E49" s="50">
        <v>22</v>
      </c>
      <c r="F49" s="51"/>
      <c r="G49" s="50" t="s">
        <v>93</v>
      </c>
      <c r="H49" s="50"/>
      <c r="I49" s="50"/>
      <c r="J49" s="50"/>
      <c r="K49" s="52">
        <v>46265</v>
      </c>
      <c r="L49" s="50" t="s">
        <v>202</v>
      </c>
      <c r="M49" s="53"/>
      <c r="N49" s="54"/>
      <c r="O49" s="54"/>
      <c r="P49" s="55"/>
      <c r="Q49" s="54"/>
      <c r="R49" s="54"/>
      <c r="S49" s="56"/>
      <c r="T49" s="54"/>
      <c r="U49" s="54"/>
      <c r="V49" s="57"/>
      <c r="W49" s="54"/>
      <c r="X49" s="50"/>
      <c r="Y49" s="58"/>
      <c r="Z49" s="54"/>
      <c r="AA49" s="59"/>
      <c r="AB49" s="50"/>
      <c r="AC49" s="60" t="s">
        <v>26</v>
      </c>
      <c r="AD49" s="65" t="str">
        <f>IF($B49="","",IF(AND(LEFT($AC49,3)="Yes",SUMPRODUCT((TRIM('Rework Log'!$A$3:$A$500)=TRIM($B49))*('Rework Log'!$G$3:$G$500&lt;&gt;"Yes")*('Rework Log'!$G$3:$G$500&lt;&gt;"Did not pass re-test"))=0),"Blocked - log it on Rework Log",IF(AND(LEFT($AC49,3)&lt;&gt;"Yes",SUMPRODUCT((TRIM('Rework Log'!$A$3:$A$500)=TRIM($B49))*('Rework Log'!$G$3:$G$500&lt;&gt;"Yes")*('Rework Log'!$G$3:$G$500&lt;&gt;"Did not pass re-test"))&gt;0),"Open rework row - mark Blocked? or close it",IF(AND(LEFT($AC49,3)&lt;&gt;"Yes",SUMPRODUCT((TRIM('Rework Log'!$A$3:$A$500)=TRIM($B49))*('Rework Log'!$G$3:$G$500&lt;&gt;"Yes")*('Rework Log'!$G$3:$G$500&lt;&gt;"Did not pass re-test"))=0,COUNTIF('Rework Log'!$A$3:$A$500,$B49)&gt;0,IFERROR(INDEX('Rework Log'!$G:$G,SUMPRODUCT(MAX((TRIM('Rework Log'!$A$3:$A$500)=TRIM($B49))*ROW('Rework Log'!$A$3:$A$500)))),"")="Did not pass re-test"),"Last fix rejected - re-block or log next attempt",IF(AND(LEFT($AC49,3)="Yes",ISNUMBER(SEARCH("needs DB Dev",$AC49)),O49&lt;&gt;"",SUMPRODUCT(MAX(((TRIM('Rework Log'!$A$3:$A$500)=TRIM($B49))*('Rework Log'!$G$3:$G$500&lt;&gt;"Yes")*('Rework Log'!$G$3:$G$500&lt;&gt;"Did not pass re-test"))*IFERROR('Rework Log'!$I$3:$I$500*1,0)))&gt;0),"Move old DB Dev completion date to Rework Log (col H)",IF(AND(LEFT($AC49,3)="Yes",ISNUMBER(SEARCH("needs PBI Dev",$AC49)),R49&lt;&gt;"",SUMPRODUCT(MAX(((TRIM('Rework Log'!$A$3:$A$500)=TRIM($B49))*('Rework Log'!$G$3:$G$500&lt;&gt;"Yes")*('Rework Log'!$G$3:$G$500&lt;&gt;"Did not pass re-test"))*IFERROR('Rework Log'!$I$3:$I$500*1,0)))&gt;0),"Move old PBI Dev completion date to Rework Log (col H)",IF(AND(LEFT($AC49,3)="Yes",ISNUMBER(SEARCH("needs QA",$AC49)),U49&lt;&gt;"",SUMPRODUCT(MAX(((TRIM('Rework Log'!$A$3:$A$500)=TRIM($B49))*('Rework Log'!$G$3:$G$500&lt;&gt;"Yes")*('Rework Log'!$G$3:$G$500&lt;&gt;"Did not pass re-test"))*IFERROR('Rework Log'!$I$3:$I$500*1,0)))&gt;0),"Move old QA completion date to Rework Log (col H)",IF(AND(LEFT($AC49,3)="Yes",ISNUMBER(SEARCH("needs DB Dev",$AC49)),TRIM(C49)&lt;&gt;"DB Dev"),"Set Current Status back to DB Dev",IF(AND(LEFT($AC49,3)="Yes",ISNUMBER(SEARCH("needs PBI Dev",$AC49)),TRIM(C49)&lt;&gt;"PBI Dev"),"Set Current Status back to PBI Dev",IF(AND(LEFT($AC49,3)="Yes",ISNUMBER(SEARCH("needs QA",$AC49)),TRIM(C49)&lt;&gt;"QA"),"Set Current Status back to QA",IF(COUNTIF($B$2:$B$500,$B49)&gt;1,"Duplicate name - check row",IF(AND(TRIM(C49)="RELEASED IN PROD",Y49&lt;&gt;"Yes"),"Released but Confirmed Deployed? is not Yes",IF(COUNTIF('Rework Log'!$A$3:$A$500,$B49)&gt;0,"",IF(AND(S49&lt;&gt;"",M49&lt;&gt;"",S49&lt;M49),"QA target is before DB Dev target",IF(AND(S49&lt;&gt;"",P49&lt;&gt;"",S49&lt;P49),"QA target is before PBI Dev target",IF(AND(V49&lt;&gt;"",S49&lt;&gt;"",V49&lt;S49),"DPO Approval target is before QA target",IF(AND(Z49&lt;&gt;"",V49&lt;&gt;"",Z49&lt;V49),"Confirmed Deployed date is before DPO Approval target","")))))))))))))))))</f>
        <v/>
      </c>
      <c r="AE49" s="61"/>
    </row>
    <row r="50" spans="1:31" x14ac:dyDescent="0.25">
      <c r="A50" s="50" t="s">
        <v>170</v>
      </c>
      <c r="B50" s="50" t="s">
        <v>209</v>
      </c>
      <c r="C50" s="50" t="s">
        <v>204</v>
      </c>
      <c r="D50" s="64" t="str">
        <f ca="1">IF($B50="","",IF(LEFT($AC50,3)="Yes",IF(LEN($AC50)&gt;5,"Blocked - "&amp;MID($AC50,7,100),"Blocked")&amp;IF(SUMPRODUCT((TRIM('Rework Log'!$A$3:$A$500)=TRIM($B50))*('Rework Log'!$G$3:$G$500&lt;&gt;"Yes")*('Rework Log'!$G$3:$G$500&lt;&gt;"Did not pass re-test"))=0,"",IF(SUMPRODUCT(((TRIM('Rework Log'!$A$3:$A$500)=TRIM($B50))*('Rework Log'!$G$3:$G$500&lt;&gt;"Yes")*('Rework Log'!$G$3:$G$500&lt;&gt;"Did not pass re-test"))*ISNUMBER('Rework Log'!$J$3:$J$500))&gt;0," - fixed, awaiting re-test",IF(SUMPRODUCT(MAX(((TRIM('Rework Log'!$A$3:$A$500)=TRIM($B50))*('Rework Log'!$G$3:$G$500&lt;&gt;"Yes")*('Rework Log'!$G$3:$G$500&lt;&gt;"Did not pass re-test"))*IFERROR('Rework Log'!$I$3:$I$500*1,0)))=0," - unclaimed"," - promised "&amp;TEXT(SUMPRODUCT(MAX(((TRIM('Rework Log'!$A$3:$A$500)=TRIM($B50))*('Rework Log'!$G$3:$G$500&lt;&gt;"Yes")*('Rework Log'!$G$3:$G$500&lt;&gt;"Did not pass re-test"))*IFERROR('Rework Log'!$I$3:$I$500*1,0))),"m/d")))),IF(TRIM(C50)="NOT STARTED",IF(K50="","No plan date set",IF(K50&lt;TODAY(),"Review - planned start passed","On track")),IF(TRIM(C50)="DB Dev",IF(M50="","No target set",IF(AND(M50&lt;TODAY(),O50=""),"Overdue","On track")),IF(TRIM(C50)="PBI Dev",IF(P50="","No target set",IF(AND(P50&lt;TODAY(),R50=""),"Overdue","On track")),IF(TRIM(C50)="QA",IF(S50="","No target set",IF(AND(S50&lt;TODAY(),U50=""),"Overdue","On track")),IF(TRIM(C50)="DPO Approval",IF(V50="","No target set",IF(V50&lt;TODAY(),"Overdue","On track")),IF(TRIM(C50)="RELEASED IN PROD","Delivered",""))))))))</f>
        <v>On track</v>
      </c>
      <c r="E50" s="50">
        <v>23</v>
      </c>
      <c r="F50" s="51"/>
      <c r="G50" s="50" t="s">
        <v>194</v>
      </c>
      <c r="H50" s="50"/>
      <c r="I50" s="50"/>
      <c r="J50" s="50"/>
      <c r="K50" s="52">
        <v>46265</v>
      </c>
      <c r="L50" s="50" t="s">
        <v>202</v>
      </c>
      <c r="M50" s="53"/>
      <c r="N50" s="54"/>
      <c r="O50" s="54"/>
      <c r="P50" s="55"/>
      <c r="Q50" s="54"/>
      <c r="R50" s="54"/>
      <c r="S50" s="56"/>
      <c r="T50" s="54"/>
      <c r="U50" s="54"/>
      <c r="V50" s="57"/>
      <c r="W50" s="54"/>
      <c r="X50" s="50"/>
      <c r="Y50" s="58"/>
      <c r="Z50" s="54"/>
      <c r="AA50" s="59"/>
      <c r="AB50" s="50"/>
      <c r="AC50" s="60" t="s">
        <v>26</v>
      </c>
      <c r="AD50" s="65" t="str">
        <f>IF($B50="","",IF(AND(LEFT($AC50,3)="Yes",SUMPRODUCT((TRIM('Rework Log'!$A$3:$A$500)=TRIM($B50))*('Rework Log'!$G$3:$G$500&lt;&gt;"Yes")*('Rework Log'!$G$3:$G$500&lt;&gt;"Did not pass re-test"))=0),"Blocked - log it on Rework Log",IF(AND(LEFT($AC50,3)&lt;&gt;"Yes",SUMPRODUCT((TRIM('Rework Log'!$A$3:$A$500)=TRIM($B50))*('Rework Log'!$G$3:$G$500&lt;&gt;"Yes")*('Rework Log'!$G$3:$G$500&lt;&gt;"Did not pass re-test"))&gt;0),"Open rework row - mark Blocked? or close it",IF(AND(LEFT($AC50,3)&lt;&gt;"Yes",SUMPRODUCT((TRIM('Rework Log'!$A$3:$A$500)=TRIM($B50))*('Rework Log'!$G$3:$G$500&lt;&gt;"Yes")*('Rework Log'!$G$3:$G$500&lt;&gt;"Did not pass re-test"))=0,COUNTIF('Rework Log'!$A$3:$A$500,$B50)&gt;0,IFERROR(INDEX('Rework Log'!$G:$G,SUMPRODUCT(MAX((TRIM('Rework Log'!$A$3:$A$500)=TRIM($B50))*ROW('Rework Log'!$A$3:$A$500)))),"")="Did not pass re-test"),"Last fix rejected - re-block or log next attempt",IF(AND(LEFT($AC50,3)="Yes",ISNUMBER(SEARCH("needs DB Dev",$AC50)),O50&lt;&gt;"",SUMPRODUCT(MAX(((TRIM('Rework Log'!$A$3:$A$500)=TRIM($B50))*('Rework Log'!$G$3:$G$500&lt;&gt;"Yes")*('Rework Log'!$G$3:$G$500&lt;&gt;"Did not pass re-test"))*IFERROR('Rework Log'!$I$3:$I$500*1,0)))&gt;0),"Move old DB Dev completion date to Rework Log (col H)",IF(AND(LEFT($AC50,3)="Yes",ISNUMBER(SEARCH("needs PBI Dev",$AC50)),R50&lt;&gt;"",SUMPRODUCT(MAX(((TRIM('Rework Log'!$A$3:$A$500)=TRIM($B50))*('Rework Log'!$G$3:$G$500&lt;&gt;"Yes")*('Rework Log'!$G$3:$G$500&lt;&gt;"Did not pass re-test"))*IFERROR('Rework Log'!$I$3:$I$500*1,0)))&gt;0),"Move old PBI Dev completion date to Rework Log (col H)",IF(AND(LEFT($AC50,3)="Yes",ISNUMBER(SEARCH("needs QA",$AC50)),U50&lt;&gt;"",SUMPRODUCT(MAX(((TRIM('Rework Log'!$A$3:$A$500)=TRIM($B50))*('Rework Log'!$G$3:$G$500&lt;&gt;"Yes")*('Rework Log'!$G$3:$G$500&lt;&gt;"Did not pass re-test"))*IFERROR('Rework Log'!$I$3:$I$500*1,0)))&gt;0),"Move old QA completion date to Rework Log (col H)",IF(AND(LEFT($AC50,3)="Yes",ISNUMBER(SEARCH("needs DB Dev",$AC50)),TRIM(C50)&lt;&gt;"DB Dev"),"Set Current Status back to DB Dev",IF(AND(LEFT($AC50,3)="Yes",ISNUMBER(SEARCH("needs PBI Dev",$AC50)),TRIM(C50)&lt;&gt;"PBI Dev"),"Set Current Status back to PBI Dev",IF(AND(LEFT($AC50,3)="Yes",ISNUMBER(SEARCH("needs QA",$AC50)),TRIM(C50)&lt;&gt;"QA"),"Set Current Status back to QA",IF(COUNTIF($B$2:$B$500,$B50)&gt;1,"Duplicate name - check row",IF(AND(TRIM(C50)="RELEASED IN PROD",Y50&lt;&gt;"Yes"),"Released but Confirmed Deployed? is not Yes",IF(COUNTIF('Rework Log'!$A$3:$A$500,$B50)&gt;0,"",IF(AND(S50&lt;&gt;"",M50&lt;&gt;"",S50&lt;M50),"QA target is before DB Dev target",IF(AND(S50&lt;&gt;"",P50&lt;&gt;"",S50&lt;P50),"QA target is before PBI Dev target",IF(AND(V50&lt;&gt;"",S50&lt;&gt;"",V50&lt;S50),"DPO Approval target is before QA target",IF(AND(Z50&lt;&gt;"",V50&lt;&gt;"",Z50&lt;V50),"Confirmed Deployed date is before DPO Approval target","")))))))))))))))))</f>
        <v/>
      </c>
      <c r="AE50" s="61"/>
    </row>
    <row r="51" spans="1:31" x14ac:dyDescent="0.25">
      <c r="A51" s="50" t="s">
        <v>170</v>
      </c>
      <c r="B51" s="50" t="s">
        <v>210</v>
      </c>
      <c r="C51" s="50" t="s">
        <v>204</v>
      </c>
      <c r="D51" s="64" t="str">
        <f ca="1">IF($B51="","",IF(LEFT($AC51,3)="Yes",IF(LEN($AC51)&gt;5,"Blocked - "&amp;MID($AC51,7,100),"Blocked")&amp;IF(SUMPRODUCT((TRIM('Rework Log'!$A$3:$A$500)=TRIM($B51))*('Rework Log'!$G$3:$G$500&lt;&gt;"Yes")*('Rework Log'!$G$3:$G$500&lt;&gt;"Did not pass re-test"))=0,"",IF(SUMPRODUCT(((TRIM('Rework Log'!$A$3:$A$500)=TRIM($B51))*('Rework Log'!$G$3:$G$500&lt;&gt;"Yes")*('Rework Log'!$G$3:$G$500&lt;&gt;"Did not pass re-test"))*ISNUMBER('Rework Log'!$J$3:$J$500))&gt;0," - fixed, awaiting re-test",IF(SUMPRODUCT(MAX(((TRIM('Rework Log'!$A$3:$A$500)=TRIM($B51))*('Rework Log'!$G$3:$G$500&lt;&gt;"Yes")*('Rework Log'!$G$3:$G$500&lt;&gt;"Did not pass re-test"))*IFERROR('Rework Log'!$I$3:$I$500*1,0)))=0," - unclaimed"," - promised "&amp;TEXT(SUMPRODUCT(MAX(((TRIM('Rework Log'!$A$3:$A$500)=TRIM($B51))*('Rework Log'!$G$3:$G$500&lt;&gt;"Yes")*('Rework Log'!$G$3:$G$500&lt;&gt;"Did not pass re-test"))*IFERROR('Rework Log'!$I$3:$I$500*1,0))),"m/d")))),IF(TRIM(C51)="NOT STARTED",IF(K51="","No plan date set",IF(K51&lt;TODAY(),"Review - planned start passed","On track")),IF(TRIM(C51)="DB Dev",IF(M51="","No target set",IF(AND(M51&lt;TODAY(),O51=""),"Overdue","On track")),IF(TRIM(C51)="PBI Dev",IF(P51="","No target set",IF(AND(P51&lt;TODAY(),R51=""),"Overdue","On track")),IF(TRIM(C51)="QA",IF(S51="","No target set",IF(AND(S51&lt;TODAY(),U51=""),"Overdue","On track")),IF(TRIM(C51)="DPO Approval",IF(V51="","No target set",IF(V51&lt;TODAY(),"Overdue","On track")),IF(TRIM(C51)="RELEASED IN PROD","Delivered",""))))))))</f>
        <v>On track</v>
      </c>
      <c r="E51" s="50">
        <v>25</v>
      </c>
      <c r="F51" s="51"/>
      <c r="G51" s="50" t="s">
        <v>79</v>
      </c>
      <c r="H51" s="50"/>
      <c r="I51" s="50"/>
      <c r="J51" s="50"/>
      <c r="K51" s="52">
        <v>46265</v>
      </c>
      <c r="L51" s="50" t="s">
        <v>202</v>
      </c>
      <c r="M51" s="53"/>
      <c r="N51" s="54"/>
      <c r="O51" s="54"/>
      <c r="P51" s="55"/>
      <c r="Q51" s="54"/>
      <c r="R51" s="54"/>
      <c r="S51" s="56"/>
      <c r="T51" s="54"/>
      <c r="U51" s="54"/>
      <c r="V51" s="57"/>
      <c r="W51" s="54"/>
      <c r="X51" s="50"/>
      <c r="Y51" s="58"/>
      <c r="Z51" s="54"/>
      <c r="AA51" s="59"/>
      <c r="AB51" s="50"/>
      <c r="AC51" s="60" t="s">
        <v>26</v>
      </c>
      <c r="AD51" s="65" t="str">
        <f>IF($B51="","",IF(AND(LEFT($AC51,3)="Yes",SUMPRODUCT((TRIM('Rework Log'!$A$3:$A$500)=TRIM($B51))*('Rework Log'!$G$3:$G$500&lt;&gt;"Yes")*('Rework Log'!$G$3:$G$500&lt;&gt;"Did not pass re-test"))=0),"Blocked - log it on Rework Log",IF(AND(LEFT($AC51,3)&lt;&gt;"Yes",SUMPRODUCT((TRIM('Rework Log'!$A$3:$A$500)=TRIM($B51))*('Rework Log'!$G$3:$G$500&lt;&gt;"Yes")*('Rework Log'!$G$3:$G$500&lt;&gt;"Did not pass re-test"))&gt;0),"Open rework row - mark Blocked? or close it",IF(AND(LEFT($AC51,3)&lt;&gt;"Yes",SUMPRODUCT((TRIM('Rework Log'!$A$3:$A$500)=TRIM($B51))*('Rework Log'!$G$3:$G$500&lt;&gt;"Yes")*('Rework Log'!$G$3:$G$500&lt;&gt;"Did not pass re-test"))=0,COUNTIF('Rework Log'!$A$3:$A$500,$B51)&gt;0,IFERROR(INDEX('Rework Log'!$G:$G,SUMPRODUCT(MAX((TRIM('Rework Log'!$A$3:$A$500)=TRIM($B51))*ROW('Rework Log'!$A$3:$A$500)))),"")="Did not pass re-test"),"Last fix rejected - re-block or log next attempt",IF(AND(LEFT($AC51,3)="Yes",ISNUMBER(SEARCH("needs DB Dev",$AC51)),O51&lt;&gt;"",SUMPRODUCT(MAX(((TRIM('Rework Log'!$A$3:$A$500)=TRIM($B51))*('Rework Log'!$G$3:$G$500&lt;&gt;"Yes")*('Rework Log'!$G$3:$G$500&lt;&gt;"Did not pass re-test"))*IFERROR('Rework Log'!$I$3:$I$500*1,0)))&gt;0),"Move old DB Dev completion date to Rework Log (col H)",IF(AND(LEFT($AC51,3)="Yes",ISNUMBER(SEARCH("needs PBI Dev",$AC51)),R51&lt;&gt;"",SUMPRODUCT(MAX(((TRIM('Rework Log'!$A$3:$A$500)=TRIM($B51))*('Rework Log'!$G$3:$G$500&lt;&gt;"Yes")*('Rework Log'!$G$3:$G$500&lt;&gt;"Did not pass re-test"))*IFERROR('Rework Log'!$I$3:$I$500*1,0)))&gt;0),"Move old PBI Dev completion date to Rework Log (col H)",IF(AND(LEFT($AC51,3)="Yes",ISNUMBER(SEARCH("needs QA",$AC51)),U51&lt;&gt;"",SUMPRODUCT(MAX(((TRIM('Rework Log'!$A$3:$A$500)=TRIM($B51))*('Rework Log'!$G$3:$G$500&lt;&gt;"Yes")*('Rework Log'!$G$3:$G$500&lt;&gt;"Did not pass re-test"))*IFERROR('Rework Log'!$I$3:$I$500*1,0)))&gt;0),"Move old QA completion date to Rework Log (col H)",IF(AND(LEFT($AC51,3)="Yes",ISNUMBER(SEARCH("needs DB Dev",$AC51)),TRIM(C51)&lt;&gt;"DB Dev"),"Set Current Status back to DB Dev",IF(AND(LEFT($AC51,3)="Yes",ISNUMBER(SEARCH("needs PBI Dev",$AC51)),TRIM(C51)&lt;&gt;"PBI Dev"),"Set Current Status back to PBI Dev",IF(AND(LEFT($AC51,3)="Yes",ISNUMBER(SEARCH("needs QA",$AC51)),TRIM(C51)&lt;&gt;"QA"),"Set Current Status back to QA",IF(COUNTIF($B$2:$B$500,$B51)&gt;1,"Duplicate name - check row",IF(AND(TRIM(C51)="RELEASED IN PROD",Y51&lt;&gt;"Yes"),"Released but Confirmed Deployed? is not Yes",IF(COUNTIF('Rework Log'!$A$3:$A$500,$B51)&gt;0,"",IF(AND(S51&lt;&gt;"",M51&lt;&gt;"",S51&lt;M51),"QA target is before DB Dev target",IF(AND(S51&lt;&gt;"",P51&lt;&gt;"",S51&lt;P51),"QA target is before PBI Dev target",IF(AND(V51&lt;&gt;"",S51&lt;&gt;"",V51&lt;S51),"DPO Approval target is before QA target",IF(AND(Z51&lt;&gt;"",V51&lt;&gt;"",Z51&lt;V51),"Confirmed Deployed date is before DPO Approval target","")))))))))))))))))</f>
        <v/>
      </c>
      <c r="AE51" s="61"/>
    </row>
    <row r="52" spans="1:31" x14ac:dyDescent="0.25">
      <c r="A52" s="50" t="s">
        <v>170</v>
      </c>
      <c r="B52" s="50" t="s">
        <v>211</v>
      </c>
      <c r="C52" s="50" t="s">
        <v>204</v>
      </c>
      <c r="D52" s="64" t="str">
        <f ca="1">IF($B52="","",IF(LEFT($AC52,3)="Yes",IF(LEN($AC52)&gt;5,"Blocked - "&amp;MID($AC52,7,100),"Blocked")&amp;IF(SUMPRODUCT((TRIM('Rework Log'!$A$3:$A$500)=TRIM($B52))*('Rework Log'!$G$3:$G$500&lt;&gt;"Yes")*('Rework Log'!$G$3:$G$500&lt;&gt;"Did not pass re-test"))=0,"",IF(SUMPRODUCT(((TRIM('Rework Log'!$A$3:$A$500)=TRIM($B52))*('Rework Log'!$G$3:$G$500&lt;&gt;"Yes")*('Rework Log'!$G$3:$G$500&lt;&gt;"Did not pass re-test"))*ISNUMBER('Rework Log'!$J$3:$J$500))&gt;0," - fixed, awaiting re-test",IF(SUMPRODUCT(MAX(((TRIM('Rework Log'!$A$3:$A$500)=TRIM($B52))*('Rework Log'!$G$3:$G$500&lt;&gt;"Yes")*('Rework Log'!$G$3:$G$500&lt;&gt;"Did not pass re-test"))*IFERROR('Rework Log'!$I$3:$I$500*1,0)))=0," - unclaimed"," - promised "&amp;TEXT(SUMPRODUCT(MAX(((TRIM('Rework Log'!$A$3:$A$500)=TRIM($B52))*('Rework Log'!$G$3:$G$500&lt;&gt;"Yes")*('Rework Log'!$G$3:$G$500&lt;&gt;"Did not pass re-test"))*IFERROR('Rework Log'!$I$3:$I$500*1,0))),"m/d")))),IF(TRIM(C52)="NOT STARTED",IF(K52="","No plan date set",IF(K52&lt;TODAY(),"Review - planned start passed","On track")),IF(TRIM(C52)="DB Dev",IF(M52="","No target set",IF(AND(M52&lt;TODAY(),O52=""),"Overdue","On track")),IF(TRIM(C52)="PBI Dev",IF(P52="","No target set",IF(AND(P52&lt;TODAY(),R52=""),"Overdue","On track")),IF(TRIM(C52)="QA",IF(S52="","No target set",IF(AND(S52&lt;TODAY(),U52=""),"Overdue","On track")),IF(TRIM(C52)="DPO Approval",IF(V52="","No target set",IF(V52&lt;TODAY(),"Overdue","On track")),IF(TRIM(C52)="RELEASED IN PROD","Delivered",""))))))))</f>
        <v>On track</v>
      </c>
      <c r="E52" s="50">
        <v>26</v>
      </c>
      <c r="F52" s="51"/>
      <c r="G52" s="50" t="s">
        <v>111</v>
      </c>
      <c r="H52" s="50"/>
      <c r="I52" s="50"/>
      <c r="J52" s="50"/>
      <c r="K52" s="52">
        <v>46265</v>
      </c>
      <c r="L52" s="50" t="s">
        <v>202</v>
      </c>
      <c r="M52" s="53"/>
      <c r="N52" s="54"/>
      <c r="O52" s="54"/>
      <c r="P52" s="55"/>
      <c r="Q52" s="54"/>
      <c r="R52" s="54"/>
      <c r="S52" s="56"/>
      <c r="T52" s="54"/>
      <c r="U52" s="54"/>
      <c r="V52" s="57"/>
      <c r="W52" s="54"/>
      <c r="X52" s="50"/>
      <c r="Y52" s="58"/>
      <c r="Z52" s="54"/>
      <c r="AA52" s="59"/>
      <c r="AB52" s="50"/>
      <c r="AC52" s="60" t="s">
        <v>26</v>
      </c>
      <c r="AD52" s="65" t="str">
        <f>IF($B52="","",IF(AND(LEFT($AC52,3)="Yes",SUMPRODUCT((TRIM('Rework Log'!$A$3:$A$500)=TRIM($B52))*('Rework Log'!$G$3:$G$500&lt;&gt;"Yes")*('Rework Log'!$G$3:$G$500&lt;&gt;"Did not pass re-test"))=0),"Blocked - log it on Rework Log",IF(AND(LEFT($AC52,3)&lt;&gt;"Yes",SUMPRODUCT((TRIM('Rework Log'!$A$3:$A$500)=TRIM($B52))*('Rework Log'!$G$3:$G$500&lt;&gt;"Yes")*('Rework Log'!$G$3:$G$500&lt;&gt;"Did not pass re-test"))&gt;0),"Open rework row - mark Blocked? or close it",IF(AND(LEFT($AC52,3)&lt;&gt;"Yes",SUMPRODUCT((TRIM('Rework Log'!$A$3:$A$500)=TRIM($B52))*('Rework Log'!$G$3:$G$500&lt;&gt;"Yes")*('Rework Log'!$G$3:$G$500&lt;&gt;"Did not pass re-test"))=0,COUNTIF('Rework Log'!$A$3:$A$500,$B52)&gt;0,IFERROR(INDEX('Rework Log'!$G:$G,SUMPRODUCT(MAX((TRIM('Rework Log'!$A$3:$A$500)=TRIM($B52))*ROW('Rework Log'!$A$3:$A$500)))),"")="Did not pass re-test"),"Last fix rejected - re-block or log next attempt",IF(AND(LEFT($AC52,3)="Yes",ISNUMBER(SEARCH("needs DB Dev",$AC52)),O52&lt;&gt;"",SUMPRODUCT(MAX(((TRIM('Rework Log'!$A$3:$A$500)=TRIM($B52))*('Rework Log'!$G$3:$G$500&lt;&gt;"Yes")*('Rework Log'!$G$3:$G$500&lt;&gt;"Did not pass re-test"))*IFERROR('Rework Log'!$I$3:$I$500*1,0)))&gt;0),"Move old DB Dev completion date to Rework Log (col H)",IF(AND(LEFT($AC52,3)="Yes",ISNUMBER(SEARCH("needs PBI Dev",$AC52)),R52&lt;&gt;"",SUMPRODUCT(MAX(((TRIM('Rework Log'!$A$3:$A$500)=TRIM($B52))*('Rework Log'!$G$3:$G$500&lt;&gt;"Yes")*('Rework Log'!$G$3:$G$500&lt;&gt;"Did not pass re-test"))*IFERROR('Rework Log'!$I$3:$I$500*1,0)))&gt;0),"Move old PBI Dev completion date to Rework Log (col H)",IF(AND(LEFT($AC52,3)="Yes",ISNUMBER(SEARCH("needs QA",$AC52)),U52&lt;&gt;"",SUMPRODUCT(MAX(((TRIM('Rework Log'!$A$3:$A$500)=TRIM($B52))*('Rework Log'!$G$3:$G$500&lt;&gt;"Yes")*('Rework Log'!$G$3:$G$500&lt;&gt;"Did not pass re-test"))*IFERROR('Rework Log'!$I$3:$I$500*1,0)))&gt;0),"Move old QA completion date to Rework Log (col H)",IF(AND(LEFT($AC52,3)="Yes",ISNUMBER(SEARCH("needs DB Dev",$AC52)),TRIM(C52)&lt;&gt;"DB Dev"),"Set Current Status back to DB Dev",IF(AND(LEFT($AC52,3)="Yes",ISNUMBER(SEARCH("needs PBI Dev",$AC52)),TRIM(C52)&lt;&gt;"PBI Dev"),"Set Current Status back to PBI Dev",IF(AND(LEFT($AC52,3)="Yes",ISNUMBER(SEARCH("needs QA",$AC52)),TRIM(C52)&lt;&gt;"QA"),"Set Current Status back to QA",IF(COUNTIF($B$2:$B$500,$B52)&gt;1,"Duplicate name - check row",IF(AND(TRIM(C52)="RELEASED IN PROD",Y52&lt;&gt;"Yes"),"Released but Confirmed Deployed? is not Yes",IF(COUNTIF('Rework Log'!$A$3:$A$500,$B52)&gt;0,"",IF(AND(S52&lt;&gt;"",M52&lt;&gt;"",S52&lt;M52),"QA target is before DB Dev target",IF(AND(S52&lt;&gt;"",P52&lt;&gt;"",S52&lt;P52),"QA target is before PBI Dev target",IF(AND(V52&lt;&gt;"",S52&lt;&gt;"",V52&lt;S52),"DPO Approval target is before QA target",IF(AND(Z52&lt;&gt;"",V52&lt;&gt;"",Z52&lt;V52),"Confirmed Deployed date is before DPO Approval target","")))))))))))))))))</f>
        <v/>
      </c>
      <c r="AE52" s="61"/>
    </row>
    <row r="53" spans="1:31" x14ac:dyDescent="0.25">
      <c r="A53" s="50" t="s">
        <v>170</v>
      </c>
      <c r="B53" s="50" t="s">
        <v>212</v>
      </c>
      <c r="C53" s="50" t="s">
        <v>204</v>
      </c>
      <c r="D53" s="64" t="str">
        <f ca="1">IF($B53="","",IF(LEFT($AC53,3)="Yes",IF(LEN($AC53)&gt;5,"Blocked - "&amp;MID($AC53,7,100),"Blocked")&amp;IF(SUMPRODUCT((TRIM('Rework Log'!$A$3:$A$500)=TRIM($B53))*('Rework Log'!$G$3:$G$500&lt;&gt;"Yes")*('Rework Log'!$G$3:$G$500&lt;&gt;"Did not pass re-test"))=0,"",IF(SUMPRODUCT(((TRIM('Rework Log'!$A$3:$A$500)=TRIM($B53))*('Rework Log'!$G$3:$G$500&lt;&gt;"Yes")*('Rework Log'!$G$3:$G$500&lt;&gt;"Did not pass re-test"))*ISNUMBER('Rework Log'!$J$3:$J$500))&gt;0," - fixed, awaiting re-test",IF(SUMPRODUCT(MAX(((TRIM('Rework Log'!$A$3:$A$500)=TRIM($B53))*('Rework Log'!$G$3:$G$500&lt;&gt;"Yes")*('Rework Log'!$G$3:$G$500&lt;&gt;"Did not pass re-test"))*IFERROR('Rework Log'!$I$3:$I$500*1,0)))=0," - unclaimed"," - promised "&amp;TEXT(SUMPRODUCT(MAX(((TRIM('Rework Log'!$A$3:$A$500)=TRIM($B53))*('Rework Log'!$G$3:$G$500&lt;&gt;"Yes")*('Rework Log'!$G$3:$G$500&lt;&gt;"Did not pass re-test"))*IFERROR('Rework Log'!$I$3:$I$500*1,0))),"m/d")))),IF(TRIM(C53)="NOT STARTED",IF(K53="","No plan date set",IF(K53&lt;TODAY(),"Review - planned start passed","On track")),IF(TRIM(C53)="DB Dev",IF(M53="","No target set",IF(AND(M53&lt;TODAY(),O53=""),"Overdue","On track")),IF(TRIM(C53)="PBI Dev",IF(P53="","No target set",IF(AND(P53&lt;TODAY(),R53=""),"Overdue","On track")),IF(TRIM(C53)="QA",IF(S53="","No target set",IF(AND(S53&lt;TODAY(),U53=""),"Overdue","On track")),IF(TRIM(C53)="DPO Approval",IF(V53="","No target set",IF(V53&lt;TODAY(),"Overdue","On track")),IF(TRIM(C53)="RELEASED IN PROD","Delivered",""))))))))</f>
        <v>On track</v>
      </c>
      <c r="E53" s="50">
        <v>27</v>
      </c>
      <c r="F53" s="51"/>
      <c r="G53" s="50" t="s">
        <v>163</v>
      </c>
      <c r="H53" s="50"/>
      <c r="I53" s="50"/>
      <c r="J53" s="50"/>
      <c r="K53" s="52">
        <v>46265</v>
      </c>
      <c r="L53" s="50" t="s">
        <v>202</v>
      </c>
      <c r="M53" s="53"/>
      <c r="N53" s="54"/>
      <c r="O53" s="54"/>
      <c r="P53" s="55"/>
      <c r="Q53" s="54"/>
      <c r="R53" s="54"/>
      <c r="S53" s="56"/>
      <c r="T53" s="54"/>
      <c r="U53" s="54"/>
      <c r="V53" s="57"/>
      <c r="W53" s="54"/>
      <c r="X53" s="50"/>
      <c r="Y53" s="58"/>
      <c r="Z53" s="54"/>
      <c r="AA53" s="59"/>
      <c r="AB53" s="50"/>
      <c r="AC53" s="60" t="s">
        <v>26</v>
      </c>
      <c r="AD53" s="65" t="str">
        <f>IF($B53="","",IF(AND(LEFT($AC53,3)="Yes",SUMPRODUCT((TRIM('Rework Log'!$A$3:$A$500)=TRIM($B53))*('Rework Log'!$G$3:$G$500&lt;&gt;"Yes")*('Rework Log'!$G$3:$G$500&lt;&gt;"Did not pass re-test"))=0),"Blocked - log it on Rework Log",IF(AND(LEFT($AC53,3)&lt;&gt;"Yes",SUMPRODUCT((TRIM('Rework Log'!$A$3:$A$500)=TRIM($B53))*('Rework Log'!$G$3:$G$500&lt;&gt;"Yes")*('Rework Log'!$G$3:$G$500&lt;&gt;"Did not pass re-test"))&gt;0),"Open rework row - mark Blocked? or close it",IF(AND(LEFT($AC53,3)&lt;&gt;"Yes",SUMPRODUCT((TRIM('Rework Log'!$A$3:$A$500)=TRIM($B53))*('Rework Log'!$G$3:$G$500&lt;&gt;"Yes")*('Rework Log'!$G$3:$G$500&lt;&gt;"Did not pass re-test"))=0,COUNTIF('Rework Log'!$A$3:$A$500,$B53)&gt;0,IFERROR(INDEX('Rework Log'!$G:$G,SUMPRODUCT(MAX((TRIM('Rework Log'!$A$3:$A$500)=TRIM($B53))*ROW('Rework Log'!$A$3:$A$500)))),"")="Did not pass re-test"),"Last fix rejected - re-block or log next attempt",IF(AND(LEFT($AC53,3)="Yes",ISNUMBER(SEARCH("needs DB Dev",$AC53)),O53&lt;&gt;"",SUMPRODUCT(MAX(((TRIM('Rework Log'!$A$3:$A$500)=TRIM($B53))*('Rework Log'!$G$3:$G$500&lt;&gt;"Yes")*('Rework Log'!$G$3:$G$500&lt;&gt;"Did not pass re-test"))*IFERROR('Rework Log'!$I$3:$I$500*1,0)))&gt;0),"Move old DB Dev completion date to Rework Log (col H)",IF(AND(LEFT($AC53,3)="Yes",ISNUMBER(SEARCH("needs PBI Dev",$AC53)),R53&lt;&gt;"",SUMPRODUCT(MAX(((TRIM('Rework Log'!$A$3:$A$500)=TRIM($B53))*('Rework Log'!$G$3:$G$500&lt;&gt;"Yes")*('Rework Log'!$G$3:$G$500&lt;&gt;"Did not pass re-test"))*IFERROR('Rework Log'!$I$3:$I$500*1,0)))&gt;0),"Move old PBI Dev completion date to Rework Log (col H)",IF(AND(LEFT($AC53,3)="Yes",ISNUMBER(SEARCH("needs QA",$AC53)),U53&lt;&gt;"",SUMPRODUCT(MAX(((TRIM('Rework Log'!$A$3:$A$500)=TRIM($B53))*('Rework Log'!$G$3:$G$500&lt;&gt;"Yes")*('Rework Log'!$G$3:$G$500&lt;&gt;"Did not pass re-test"))*IFERROR('Rework Log'!$I$3:$I$500*1,0)))&gt;0),"Move old QA completion date to Rework Log (col H)",IF(AND(LEFT($AC53,3)="Yes",ISNUMBER(SEARCH("needs DB Dev",$AC53)),TRIM(C53)&lt;&gt;"DB Dev"),"Set Current Status back to DB Dev",IF(AND(LEFT($AC53,3)="Yes",ISNUMBER(SEARCH("needs PBI Dev",$AC53)),TRIM(C53)&lt;&gt;"PBI Dev"),"Set Current Status back to PBI Dev",IF(AND(LEFT($AC53,3)="Yes",ISNUMBER(SEARCH("needs QA",$AC53)),TRIM(C53)&lt;&gt;"QA"),"Set Current Status back to QA",IF(COUNTIF($B$2:$B$500,$B53)&gt;1,"Duplicate name - check row",IF(AND(TRIM(C53)="RELEASED IN PROD",Y53&lt;&gt;"Yes"),"Released but Confirmed Deployed? is not Yes",IF(COUNTIF('Rework Log'!$A$3:$A$500,$B53)&gt;0,"",IF(AND(S53&lt;&gt;"",M53&lt;&gt;"",S53&lt;M53),"QA target is before DB Dev target",IF(AND(S53&lt;&gt;"",P53&lt;&gt;"",S53&lt;P53),"QA target is before PBI Dev target",IF(AND(V53&lt;&gt;"",S53&lt;&gt;"",V53&lt;S53),"DPO Approval target is before QA target",IF(AND(Z53&lt;&gt;"",V53&lt;&gt;"",Z53&lt;V53),"Confirmed Deployed date is before DPO Approval target","")))))))))))))))))</f>
        <v/>
      </c>
      <c r="AE53" s="61"/>
    </row>
    <row r="54" spans="1:31" x14ac:dyDescent="0.25">
      <c r="A54" s="50" t="s">
        <v>170</v>
      </c>
      <c r="B54" s="50" t="s">
        <v>213</v>
      </c>
      <c r="C54" s="50" t="s">
        <v>204</v>
      </c>
      <c r="D54" s="64" t="str">
        <f ca="1">IF($B54="","",IF(LEFT($AC54,3)="Yes",IF(LEN($AC54)&gt;5,"Blocked - "&amp;MID($AC54,7,100),"Blocked")&amp;IF(SUMPRODUCT((TRIM('Rework Log'!$A$3:$A$500)=TRIM($B54))*('Rework Log'!$G$3:$G$500&lt;&gt;"Yes")*('Rework Log'!$G$3:$G$500&lt;&gt;"Did not pass re-test"))=0,"",IF(SUMPRODUCT(((TRIM('Rework Log'!$A$3:$A$500)=TRIM($B54))*('Rework Log'!$G$3:$G$500&lt;&gt;"Yes")*('Rework Log'!$G$3:$G$500&lt;&gt;"Did not pass re-test"))*ISNUMBER('Rework Log'!$J$3:$J$500))&gt;0," - fixed, awaiting re-test",IF(SUMPRODUCT(MAX(((TRIM('Rework Log'!$A$3:$A$500)=TRIM($B54))*('Rework Log'!$G$3:$G$500&lt;&gt;"Yes")*('Rework Log'!$G$3:$G$500&lt;&gt;"Did not pass re-test"))*IFERROR('Rework Log'!$I$3:$I$500*1,0)))=0," - unclaimed"," - promised "&amp;TEXT(SUMPRODUCT(MAX(((TRIM('Rework Log'!$A$3:$A$500)=TRIM($B54))*('Rework Log'!$G$3:$G$500&lt;&gt;"Yes")*('Rework Log'!$G$3:$G$500&lt;&gt;"Did not pass re-test"))*IFERROR('Rework Log'!$I$3:$I$500*1,0))),"m/d")))),IF(TRIM(C54)="NOT STARTED",IF(K54="","No plan date set",IF(K54&lt;TODAY(),"Review - planned start passed","On track")),IF(TRIM(C54)="DB Dev",IF(M54="","No target set",IF(AND(M54&lt;TODAY(),O54=""),"Overdue","On track")),IF(TRIM(C54)="PBI Dev",IF(P54="","No target set",IF(AND(P54&lt;TODAY(),R54=""),"Overdue","On track")),IF(TRIM(C54)="QA",IF(S54="","No target set",IF(AND(S54&lt;TODAY(),U54=""),"Overdue","On track")),IF(TRIM(C54)="DPO Approval",IF(V54="","No target set",IF(V54&lt;TODAY(),"Overdue","On track")),IF(TRIM(C54)="RELEASED IN PROD","Delivered",""))))))))</f>
        <v>On track</v>
      </c>
      <c r="E54" s="50">
        <v>29</v>
      </c>
      <c r="F54" s="51"/>
      <c r="G54" s="50" t="s">
        <v>103</v>
      </c>
      <c r="H54" s="50"/>
      <c r="I54" s="50"/>
      <c r="J54" s="50"/>
      <c r="K54" s="52">
        <v>46265</v>
      </c>
      <c r="L54" s="50" t="s">
        <v>202</v>
      </c>
      <c r="M54" s="53"/>
      <c r="N54" s="54"/>
      <c r="O54" s="54"/>
      <c r="P54" s="55"/>
      <c r="Q54" s="54"/>
      <c r="R54" s="54"/>
      <c r="S54" s="56"/>
      <c r="T54" s="54"/>
      <c r="U54" s="54"/>
      <c r="V54" s="57"/>
      <c r="W54" s="54"/>
      <c r="X54" s="50"/>
      <c r="Y54" s="58"/>
      <c r="Z54" s="54"/>
      <c r="AA54" s="59"/>
      <c r="AB54" s="50"/>
      <c r="AC54" s="60" t="s">
        <v>26</v>
      </c>
      <c r="AD54" s="65" t="str">
        <f>IF($B54="","",IF(AND(LEFT($AC54,3)="Yes",SUMPRODUCT((TRIM('Rework Log'!$A$3:$A$500)=TRIM($B54))*('Rework Log'!$G$3:$G$500&lt;&gt;"Yes")*('Rework Log'!$G$3:$G$500&lt;&gt;"Did not pass re-test"))=0),"Blocked - log it on Rework Log",IF(AND(LEFT($AC54,3)&lt;&gt;"Yes",SUMPRODUCT((TRIM('Rework Log'!$A$3:$A$500)=TRIM($B54))*('Rework Log'!$G$3:$G$500&lt;&gt;"Yes")*('Rework Log'!$G$3:$G$500&lt;&gt;"Did not pass re-test"))&gt;0),"Open rework row - mark Blocked? or close it",IF(AND(LEFT($AC54,3)&lt;&gt;"Yes",SUMPRODUCT((TRIM('Rework Log'!$A$3:$A$500)=TRIM($B54))*('Rework Log'!$G$3:$G$500&lt;&gt;"Yes")*('Rework Log'!$G$3:$G$500&lt;&gt;"Did not pass re-test"))=0,COUNTIF('Rework Log'!$A$3:$A$500,$B54)&gt;0,IFERROR(INDEX('Rework Log'!$G:$G,SUMPRODUCT(MAX((TRIM('Rework Log'!$A$3:$A$500)=TRIM($B54))*ROW('Rework Log'!$A$3:$A$500)))),"")="Did not pass re-test"),"Last fix rejected - re-block or log next attempt",IF(AND(LEFT($AC54,3)="Yes",ISNUMBER(SEARCH("needs DB Dev",$AC54)),O54&lt;&gt;"",SUMPRODUCT(MAX(((TRIM('Rework Log'!$A$3:$A$500)=TRIM($B54))*('Rework Log'!$G$3:$G$500&lt;&gt;"Yes")*('Rework Log'!$G$3:$G$500&lt;&gt;"Did not pass re-test"))*IFERROR('Rework Log'!$I$3:$I$500*1,0)))&gt;0),"Move old DB Dev completion date to Rework Log (col H)",IF(AND(LEFT($AC54,3)="Yes",ISNUMBER(SEARCH("needs PBI Dev",$AC54)),R54&lt;&gt;"",SUMPRODUCT(MAX(((TRIM('Rework Log'!$A$3:$A$500)=TRIM($B54))*('Rework Log'!$G$3:$G$500&lt;&gt;"Yes")*('Rework Log'!$G$3:$G$500&lt;&gt;"Did not pass re-test"))*IFERROR('Rework Log'!$I$3:$I$500*1,0)))&gt;0),"Move old PBI Dev completion date to Rework Log (col H)",IF(AND(LEFT($AC54,3)="Yes",ISNUMBER(SEARCH("needs QA",$AC54)),U54&lt;&gt;"",SUMPRODUCT(MAX(((TRIM('Rework Log'!$A$3:$A$500)=TRIM($B54))*('Rework Log'!$G$3:$G$500&lt;&gt;"Yes")*('Rework Log'!$G$3:$G$500&lt;&gt;"Did not pass re-test"))*IFERROR('Rework Log'!$I$3:$I$500*1,0)))&gt;0),"Move old QA completion date to Rework Log (col H)",IF(AND(LEFT($AC54,3)="Yes",ISNUMBER(SEARCH("needs DB Dev",$AC54)),TRIM(C54)&lt;&gt;"DB Dev"),"Set Current Status back to DB Dev",IF(AND(LEFT($AC54,3)="Yes",ISNUMBER(SEARCH("needs PBI Dev",$AC54)),TRIM(C54)&lt;&gt;"PBI Dev"),"Set Current Status back to PBI Dev",IF(AND(LEFT($AC54,3)="Yes",ISNUMBER(SEARCH("needs QA",$AC54)),TRIM(C54)&lt;&gt;"QA"),"Set Current Status back to QA",IF(COUNTIF($B$2:$B$500,$B54)&gt;1,"Duplicate name - check row",IF(AND(TRIM(C54)="RELEASED IN PROD",Y54&lt;&gt;"Yes"),"Released but Confirmed Deployed? is not Yes",IF(COUNTIF('Rework Log'!$A$3:$A$500,$B54)&gt;0,"",IF(AND(S54&lt;&gt;"",M54&lt;&gt;"",S54&lt;M54),"QA target is before DB Dev target",IF(AND(S54&lt;&gt;"",P54&lt;&gt;"",S54&lt;P54),"QA target is before PBI Dev target",IF(AND(V54&lt;&gt;"",S54&lt;&gt;"",V54&lt;S54),"DPO Approval target is before QA target",IF(AND(Z54&lt;&gt;"",V54&lt;&gt;"",Z54&lt;V54),"Confirmed Deployed date is before DPO Approval target","")))))))))))))))))</f>
        <v/>
      </c>
      <c r="AE54" s="61"/>
    </row>
    <row r="55" spans="1:31" x14ac:dyDescent="0.25">
      <c r="A55" s="50" t="s">
        <v>170</v>
      </c>
      <c r="B55" s="50" t="s">
        <v>214</v>
      </c>
      <c r="C55" s="50" t="s">
        <v>204</v>
      </c>
      <c r="D55" s="64" t="str">
        <f ca="1">IF($B55="","",IF(LEFT($AC55,3)="Yes",IF(LEN($AC55)&gt;5,"Blocked - "&amp;MID($AC55,7,100),"Blocked")&amp;IF(SUMPRODUCT((TRIM('Rework Log'!$A$3:$A$500)=TRIM($B55))*('Rework Log'!$G$3:$G$500&lt;&gt;"Yes")*('Rework Log'!$G$3:$G$500&lt;&gt;"Did not pass re-test"))=0,"",IF(SUMPRODUCT(((TRIM('Rework Log'!$A$3:$A$500)=TRIM($B55))*('Rework Log'!$G$3:$G$500&lt;&gt;"Yes")*('Rework Log'!$G$3:$G$500&lt;&gt;"Did not pass re-test"))*ISNUMBER('Rework Log'!$J$3:$J$500))&gt;0," - fixed, awaiting re-test",IF(SUMPRODUCT(MAX(((TRIM('Rework Log'!$A$3:$A$500)=TRIM($B55))*('Rework Log'!$G$3:$G$500&lt;&gt;"Yes")*('Rework Log'!$G$3:$G$500&lt;&gt;"Did not pass re-test"))*IFERROR('Rework Log'!$I$3:$I$500*1,0)))=0," - unclaimed"," - promised "&amp;TEXT(SUMPRODUCT(MAX(((TRIM('Rework Log'!$A$3:$A$500)=TRIM($B55))*('Rework Log'!$G$3:$G$500&lt;&gt;"Yes")*('Rework Log'!$G$3:$G$500&lt;&gt;"Did not pass re-test"))*IFERROR('Rework Log'!$I$3:$I$500*1,0))),"m/d")))),IF(TRIM(C55)="NOT STARTED",IF(K55="","No plan date set",IF(K55&lt;TODAY(),"Review - planned start passed","On track")),IF(TRIM(C55)="DB Dev",IF(M55="","No target set",IF(AND(M55&lt;TODAY(),O55=""),"Overdue","On track")),IF(TRIM(C55)="PBI Dev",IF(P55="","No target set",IF(AND(P55&lt;TODAY(),R55=""),"Overdue","On track")),IF(TRIM(C55)="QA",IF(S55="","No target set",IF(AND(S55&lt;TODAY(),U55=""),"Overdue","On track")),IF(TRIM(C55)="DPO Approval",IF(V55="","No target set",IF(V55&lt;TODAY(),"Overdue","On track")),IF(TRIM(C55)="RELEASED IN PROD","Delivered",""))))))))</f>
        <v>On track</v>
      </c>
      <c r="E55" s="50">
        <v>30</v>
      </c>
      <c r="F55" s="51"/>
      <c r="G55" s="50"/>
      <c r="H55" s="50"/>
      <c r="I55" s="50"/>
      <c r="J55" s="50"/>
      <c r="K55" s="52">
        <v>46265</v>
      </c>
      <c r="L55" s="50" t="s">
        <v>202</v>
      </c>
      <c r="M55" s="53"/>
      <c r="N55" s="54"/>
      <c r="O55" s="54"/>
      <c r="P55" s="55"/>
      <c r="Q55" s="54"/>
      <c r="R55" s="54"/>
      <c r="S55" s="56"/>
      <c r="T55" s="54"/>
      <c r="U55" s="54"/>
      <c r="V55" s="57"/>
      <c r="W55" s="54"/>
      <c r="X55" s="50"/>
      <c r="Y55" s="58"/>
      <c r="Z55" s="54"/>
      <c r="AA55" s="59"/>
      <c r="AB55" s="50"/>
      <c r="AC55" s="60" t="s">
        <v>26</v>
      </c>
      <c r="AD55" s="65" t="str">
        <f>IF($B55="","",IF(AND(LEFT($AC55,3)="Yes",SUMPRODUCT((TRIM('Rework Log'!$A$3:$A$500)=TRIM($B55))*('Rework Log'!$G$3:$G$500&lt;&gt;"Yes")*('Rework Log'!$G$3:$G$500&lt;&gt;"Did not pass re-test"))=0),"Blocked - log it on Rework Log",IF(AND(LEFT($AC55,3)&lt;&gt;"Yes",SUMPRODUCT((TRIM('Rework Log'!$A$3:$A$500)=TRIM($B55))*('Rework Log'!$G$3:$G$500&lt;&gt;"Yes")*('Rework Log'!$G$3:$G$500&lt;&gt;"Did not pass re-test"))&gt;0),"Open rework row - mark Blocked? or close it",IF(AND(LEFT($AC55,3)&lt;&gt;"Yes",SUMPRODUCT((TRIM('Rework Log'!$A$3:$A$500)=TRIM($B55))*('Rework Log'!$G$3:$G$500&lt;&gt;"Yes")*('Rework Log'!$G$3:$G$500&lt;&gt;"Did not pass re-test"))=0,COUNTIF('Rework Log'!$A$3:$A$500,$B55)&gt;0,IFERROR(INDEX('Rework Log'!$G:$G,SUMPRODUCT(MAX((TRIM('Rework Log'!$A$3:$A$500)=TRIM($B55))*ROW('Rework Log'!$A$3:$A$500)))),"")="Did not pass re-test"),"Last fix rejected - re-block or log next attempt",IF(AND(LEFT($AC55,3)="Yes",ISNUMBER(SEARCH("needs DB Dev",$AC55)),O55&lt;&gt;"",SUMPRODUCT(MAX(((TRIM('Rework Log'!$A$3:$A$500)=TRIM($B55))*('Rework Log'!$G$3:$G$500&lt;&gt;"Yes")*('Rework Log'!$G$3:$G$500&lt;&gt;"Did not pass re-test"))*IFERROR('Rework Log'!$I$3:$I$500*1,0)))&gt;0),"Move old DB Dev completion date to Rework Log (col H)",IF(AND(LEFT($AC55,3)="Yes",ISNUMBER(SEARCH("needs PBI Dev",$AC55)),R55&lt;&gt;"",SUMPRODUCT(MAX(((TRIM('Rework Log'!$A$3:$A$500)=TRIM($B55))*('Rework Log'!$G$3:$G$500&lt;&gt;"Yes")*('Rework Log'!$G$3:$G$500&lt;&gt;"Did not pass re-test"))*IFERROR('Rework Log'!$I$3:$I$500*1,0)))&gt;0),"Move old PBI Dev completion date to Rework Log (col H)",IF(AND(LEFT($AC55,3)="Yes",ISNUMBER(SEARCH("needs QA",$AC55)),U55&lt;&gt;"",SUMPRODUCT(MAX(((TRIM('Rework Log'!$A$3:$A$500)=TRIM($B55))*('Rework Log'!$G$3:$G$500&lt;&gt;"Yes")*('Rework Log'!$G$3:$G$500&lt;&gt;"Did not pass re-test"))*IFERROR('Rework Log'!$I$3:$I$500*1,0)))&gt;0),"Move old QA completion date to Rework Log (col H)",IF(AND(LEFT($AC55,3)="Yes",ISNUMBER(SEARCH("needs DB Dev",$AC55)),TRIM(C55)&lt;&gt;"DB Dev"),"Set Current Status back to DB Dev",IF(AND(LEFT($AC55,3)="Yes",ISNUMBER(SEARCH("needs PBI Dev",$AC55)),TRIM(C55)&lt;&gt;"PBI Dev"),"Set Current Status back to PBI Dev",IF(AND(LEFT($AC55,3)="Yes",ISNUMBER(SEARCH("needs QA",$AC55)),TRIM(C55)&lt;&gt;"QA"),"Set Current Status back to QA",IF(COUNTIF($B$2:$B$500,$B55)&gt;1,"Duplicate name - check row",IF(AND(TRIM(C55)="RELEASED IN PROD",Y55&lt;&gt;"Yes"),"Released but Confirmed Deployed? is not Yes",IF(COUNTIF('Rework Log'!$A$3:$A$500,$B55)&gt;0,"",IF(AND(S55&lt;&gt;"",M55&lt;&gt;"",S55&lt;M55),"QA target is before DB Dev target",IF(AND(S55&lt;&gt;"",P55&lt;&gt;"",S55&lt;P55),"QA target is before PBI Dev target",IF(AND(V55&lt;&gt;"",S55&lt;&gt;"",V55&lt;S55),"DPO Approval target is before QA target",IF(AND(Z55&lt;&gt;"",V55&lt;&gt;"",Z55&lt;V55),"Confirmed Deployed date is before DPO Approval target","")))))))))))))))))</f>
        <v/>
      </c>
      <c r="AE55" s="61"/>
    </row>
    <row r="56" spans="1:31" x14ac:dyDescent="0.25">
      <c r="A56" s="50" t="s">
        <v>170</v>
      </c>
      <c r="B56" s="50" t="s">
        <v>215</v>
      </c>
      <c r="C56" s="50" t="s">
        <v>204</v>
      </c>
      <c r="D56" s="64" t="str">
        <f ca="1">IF($B56="","",IF(LEFT($AC56,3)="Yes",IF(LEN($AC56)&gt;5,"Blocked - "&amp;MID($AC56,7,100),"Blocked")&amp;IF(SUMPRODUCT((TRIM('Rework Log'!$A$3:$A$500)=TRIM($B56))*('Rework Log'!$G$3:$G$500&lt;&gt;"Yes")*('Rework Log'!$G$3:$G$500&lt;&gt;"Did not pass re-test"))=0,"",IF(SUMPRODUCT(((TRIM('Rework Log'!$A$3:$A$500)=TRIM($B56))*('Rework Log'!$G$3:$G$500&lt;&gt;"Yes")*('Rework Log'!$G$3:$G$500&lt;&gt;"Did not pass re-test"))*ISNUMBER('Rework Log'!$J$3:$J$500))&gt;0," - fixed, awaiting re-test",IF(SUMPRODUCT(MAX(((TRIM('Rework Log'!$A$3:$A$500)=TRIM($B56))*('Rework Log'!$G$3:$G$500&lt;&gt;"Yes")*('Rework Log'!$G$3:$G$500&lt;&gt;"Did not pass re-test"))*IFERROR('Rework Log'!$I$3:$I$500*1,0)))=0," - unclaimed"," - promised "&amp;TEXT(SUMPRODUCT(MAX(((TRIM('Rework Log'!$A$3:$A$500)=TRIM($B56))*('Rework Log'!$G$3:$G$500&lt;&gt;"Yes")*('Rework Log'!$G$3:$G$500&lt;&gt;"Did not pass re-test"))*IFERROR('Rework Log'!$I$3:$I$500*1,0))),"m/d")))),IF(TRIM(C56)="NOT STARTED",IF(K56="","No plan date set",IF(K56&lt;TODAY(),"Review - planned start passed","On track")),IF(TRIM(C56)="DB Dev",IF(M56="","No target set",IF(AND(M56&lt;TODAY(),O56=""),"Overdue","On track")),IF(TRIM(C56)="PBI Dev",IF(P56="","No target set",IF(AND(P56&lt;TODAY(),R56=""),"Overdue","On track")),IF(TRIM(C56)="QA",IF(S56="","No target set",IF(AND(S56&lt;TODAY(),U56=""),"Overdue","On track")),IF(TRIM(C56)="DPO Approval",IF(V56="","No target set",IF(V56&lt;TODAY(),"Overdue","On track")),IF(TRIM(C56)="RELEASED IN PROD","Delivered",""))))))))</f>
        <v>On track</v>
      </c>
      <c r="E56" s="50">
        <v>31</v>
      </c>
      <c r="F56" s="51"/>
      <c r="G56" s="50"/>
      <c r="H56" s="50"/>
      <c r="I56" s="50"/>
      <c r="J56" s="50"/>
      <c r="K56" s="52">
        <v>46295</v>
      </c>
      <c r="L56" s="50" t="s">
        <v>216</v>
      </c>
      <c r="M56" s="53"/>
      <c r="N56" s="54"/>
      <c r="O56" s="54"/>
      <c r="P56" s="55"/>
      <c r="Q56" s="54"/>
      <c r="R56" s="54"/>
      <c r="S56" s="56"/>
      <c r="T56" s="54"/>
      <c r="U56" s="54"/>
      <c r="V56" s="57"/>
      <c r="W56" s="54"/>
      <c r="X56" s="50"/>
      <c r="Y56" s="58"/>
      <c r="Z56" s="54"/>
      <c r="AA56" s="59"/>
      <c r="AB56" s="50"/>
      <c r="AC56" s="60" t="s">
        <v>26</v>
      </c>
      <c r="AD56" s="65" t="str">
        <f>IF($B56="","",IF(AND(LEFT($AC56,3)="Yes",SUMPRODUCT((TRIM('Rework Log'!$A$3:$A$500)=TRIM($B56))*('Rework Log'!$G$3:$G$500&lt;&gt;"Yes")*('Rework Log'!$G$3:$G$500&lt;&gt;"Did not pass re-test"))=0),"Blocked - log it on Rework Log",IF(AND(LEFT($AC56,3)&lt;&gt;"Yes",SUMPRODUCT((TRIM('Rework Log'!$A$3:$A$500)=TRIM($B56))*('Rework Log'!$G$3:$G$500&lt;&gt;"Yes")*('Rework Log'!$G$3:$G$500&lt;&gt;"Did not pass re-test"))&gt;0),"Open rework row - mark Blocked? or close it",IF(AND(LEFT($AC56,3)&lt;&gt;"Yes",SUMPRODUCT((TRIM('Rework Log'!$A$3:$A$500)=TRIM($B56))*('Rework Log'!$G$3:$G$500&lt;&gt;"Yes")*('Rework Log'!$G$3:$G$500&lt;&gt;"Did not pass re-test"))=0,COUNTIF('Rework Log'!$A$3:$A$500,$B56)&gt;0,IFERROR(INDEX('Rework Log'!$G:$G,SUMPRODUCT(MAX((TRIM('Rework Log'!$A$3:$A$500)=TRIM($B56))*ROW('Rework Log'!$A$3:$A$500)))),"")="Did not pass re-test"),"Last fix rejected - re-block or log next attempt",IF(AND(LEFT($AC56,3)="Yes",ISNUMBER(SEARCH("needs DB Dev",$AC56)),O56&lt;&gt;"",SUMPRODUCT(MAX(((TRIM('Rework Log'!$A$3:$A$500)=TRIM($B56))*('Rework Log'!$G$3:$G$500&lt;&gt;"Yes")*('Rework Log'!$G$3:$G$500&lt;&gt;"Did not pass re-test"))*IFERROR('Rework Log'!$I$3:$I$500*1,0)))&gt;0),"Move old DB Dev completion date to Rework Log (col H)",IF(AND(LEFT($AC56,3)="Yes",ISNUMBER(SEARCH("needs PBI Dev",$AC56)),R56&lt;&gt;"",SUMPRODUCT(MAX(((TRIM('Rework Log'!$A$3:$A$500)=TRIM($B56))*('Rework Log'!$G$3:$G$500&lt;&gt;"Yes")*('Rework Log'!$G$3:$G$500&lt;&gt;"Did not pass re-test"))*IFERROR('Rework Log'!$I$3:$I$500*1,0)))&gt;0),"Move old PBI Dev completion date to Rework Log (col H)",IF(AND(LEFT($AC56,3)="Yes",ISNUMBER(SEARCH("needs QA",$AC56)),U56&lt;&gt;"",SUMPRODUCT(MAX(((TRIM('Rework Log'!$A$3:$A$500)=TRIM($B56))*('Rework Log'!$G$3:$G$500&lt;&gt;"Yes")*('Rework Log'!$G$3:$G$500&lt;&gt;"Did not pass re-test"))*IFERROR('Rework Log'!$I$3:$I$500*1,0)))&gt;0),"Move old QA completion date to Rework Log (col H)",IF(AND(LEFT($AC56,3)="Yes",ISNUMBER(SEARCH("needs DB Dev",$AC56)),TRIM(C56)&lt;&gt;"DB Dev"),"Set Current Status back to DB Dev",IF(AND(LEFT($AC56,3)="Yes",ISNUMBER(SEARCH("needs PBI Dev",$AC56)),TRIM(C56)&lt;&gt;"PBI Dev"),"Set Current Status back to PBI Dev",IF(AND(LEFT($AC56,3)="Yes",ISNUMBER(SEARCH("needs QA",$AC56)),TRIM(C56)&lt;&gt;"QA"),"Set Current Status back to QA",IF(COUNTIF($B$2:$B$500,$B56)&gt;1,"Duplicate name - check row",IF(AND(TRIM(C56)="RELEASED IN PROD",Y56&lt;&gt;"Yes"),"Released but Confirmed Deployed? is not Yes",IF(COUNTIF('Rework Log'!$A$3:$A$500,$B56)&gt;0,"",IF(AND(S56&lt;&gt;"",M56&lt;&gt;"",S56&lt;M56),"QA target is before DB Dev target",IF(AND(S56&lt;&gt;"",P56&lt;&gt;"",S56&lt;P56),"QA target is before PBI Dev target",IF(AND(V56&lt;&gt;"",S56&lt;&gt;"",V56&lt;S56),"DPO Approval target is before QA target",IF(AND(Z56&lt;&gt;"",V56&lt;&gt;"",Z56&lt;V56),"Confirmed Deployed date is before DPO Approval target","")))))))))))))))))</f>
        <v/>
      </c>
      <c r="AE56" s="61"/>
    </row>
    <row r="57" spans="1:31" x14ac:dyDescent="0.25">
      <c r="A57" s="50" t="s">
        <v>170</v>
      </c>
      <c r="B57" s="50" t="s">
        <v>217</v>
      </c>
      <c r="C57" s="50" t="s">
        <v>204</v>
      </c>
      <c r="D57" s="64" t="str">
        <f ca="1">IF($B57="","",IF(LEFT($AC57,3)="Yes",IF(LEN($AC57)&gt;5,"Blocked - "&amp;MID($AC57,7,100),"Blocked")&amp;IF(SUMPRODUCT((TRIM('Rework Log'!$A$3:$A$500)=TRIM($B57))*('Rework Log'!$G$3:$G$500&lt;&gt;"Yes")*('Rework Log'!$G$3:$G$500&lt;&gt;"Did not pass re-test"))=0,"",IF(SUMPRODUCT(((TRIM('Rework Log'!$A$3:$A$500)=TRIM($B57))*('Rework Log'!$G$3:$G$500&lt;&gt;"Yes")*('Rework Log'!$G$3:$G$500&lt;&gt;"Did not pass re-test"))*ISNUMBER('Rework Log'!$J$3:$J$500))&gt;0," - fixed, awaiting re-test",IF(SUMPRODUCT(MAX(((TRIM('Rework Log'!$A$3:$A$500)=TRIM($B57))*('Rework Log'!$G$3:$G$500&lt;&gt;"Yes")*('Rework Log'!$G$3:$G$500&lt;&gt;"Did not pass re-test"))*IFERROR('Rework Log'!$I$3:$I$500*1,0)))=0," - unclaimed"," - promised "&amp;TEXT(SUMPRODUCT(MAX(((TRIM('Rework Log'!$A$3:$A$500)=TRIM($B57))*('Rework Log'!$G$3:$G$500&lt;&gt;"Yes")*('Rework Log'!$G$3:$G$500&lt;&gt;"Did not pass re-test"))*IFERROR('Rework Log'!$I$3:$I$500*1,0))),"m/d")))),IF(TRIM(C57)="NOT STARTED",IF(K57="","No plan date set",IF(K57&lt;TODAY(),"Review - planned start passed","On track")),IF(TRIM(C57)="DB Dev",IF(M57="","No target set",IF(AND(M57&lt;TODAY(),O57=""),"Overdue","On track")),IF(TRIM(C57)="PBI Dev",IF(P57="","No target set",IF(AND(P57&lt;TODAY(),R57=""),"Overdue","On track")),IF(TRIM(C57)="QA",IF(S57="","No target set",IF(AND(S57&lt;TODAY(),U57=""),"Overdue","On track")),IF(TRIM(C57)="DPO Approval",IF(V57="","No target set",IF(V57&lt;TODAY(),"Overdue","On track")),IF(TRIM(C57)="RELEASED IN PROD","Delivered",""))))))))</f>
        <v>On track</v>
      </c>
      <c r="E57" s="50">
        <v>32</v>
      </c>
      <c r="F57" s="51"/>
      <c r="G57" s="50"/>
      <c r="H57" s="50"/>
      <c r="I57" s="50"/>
      <c r="J57" s="50"/>
      <c r="K57" s="52">
        <v>46295</v>
      </c>
      <c r="L57" s="50" t="s">
        <v>216</v>
      </c>
      <c r="M57" s="53"/>
      <c r="N57" s="54"/>
      <c r="O57" s="54"/>
      <c r="P57" s="55"/>
      <c r="Q57" s="54"/>
      <c r="R57" s="54"/>
      <c r="S57" s="56"/>
      <c r="T57" s="54"/>
      <c r="U57" s="54"/>
      <c r="V57" s="57"/>
      <c r="W57" s="54"/>
      <c r="X57" s="50"/>
      <c r="Y57" s="58"/>
      <c r="Z57" s="54"/>
      <c r="AA57" s="59"/>
      <c r="AB57" s="50"/>
      <c r="AC57" s="60" t="s">
        <v>26</v>
      </c>
      <c r="AD57" s="65" t="str">
        <f>IF($B57="","",IF(AND(LEFT($AC57,3)="Yes",SUMPRODUCT((TRIM('Rework Log'!$A$3:$A$500)=TRIM($B57))*('Rework Log'!$G$3:$G$500&lt;&gt;"Yes")*('Rework Log'!$G$3:$G$500&lt;&gt;"Did not pass re-test"))=0),"Blocked - log it on Rework Log",IF(AND(LEFT($AC57,3)&lt;&gt;"Yes",SUMPRODUCT((TRIM('Rework Log'!$A$3:$A$500)=TRIM($B57))*('Rework Log'!$G$3:$G$500&lt;&gt;"Yes")*('Rework Log'!$G$3:$G$500&lt;&gt;"Did not pass re-test"))&gt;0),"Open rework row - mark Blocked? or close it",IF(AND(LEFT($AC57,3)&lt;&gt;"Yes",SUMPRODUCT((TRIM('Rework Log'!$A$3:$A$500)=TRIM($B57))*('Rework Log'!$G$3:$G$500&lt;&gt;"Yes")*('Rework Log'!$G$3:$G$500&lt;&gt;"Did not pass re-test"))=0,COUNTIF('Rework Log'!$A$3:$A$500,$B57)&gt;0,IFERROR(INDEX('Rework Log'!$G:$G,SUMPRODUCT(MAX((TRIM('Rework Log'!$A$3:$A$500)=TRIM($B57))*ROW('Rework Log'!$A$3:$A$500)))),"")="Did not pass re-test"),"Last fix rejected - re-block or log next attempt",IF(AND(LEFT($AC57,3)="Yes",ISNUMBER(SEARCH("needs DB Dev",$AC57)),O57&lt;&gt;"",SUMPRODUCT(MAX(((TRIM('Rework Log'!$A$3:$A$500)=TRIM($B57))*('Rework Log'!$G$3:$G$500&lt;&gt;"Yes")*('Rework Log'!$G$3:$G$500&lt;&gt;"Did not pass re-test"))*IFERROR('Rework Log'!$I$3:$I$500*1,0)))&gt;0),"Move old DB Dev completion date to Rework Log (col H)",IF(AND(LEFT($AC57,3)="Yes",ISNUMBER(SEARCH("needs PBI Dev",$AC57)),R57&lt;&gt;"",SUMPRODUCT(MAX(((TRIM('Rework Log'!$A$3:$A$500)=TRIM($B57))*('Rework Log'!$G$3:$G$500&lt;&gt;"Yes")*('Rework Log'!$G$3:$G$500&lt;&gt;"Did not pass re-test"))*IFERROR('Rework Log'!$I$3:$I$500*1,0)))&gt;0),"Move old PBI Dev completion date to Rework Log (col H)",IF(AND(LEFT($AC57,3)="Yes",ISNUMBER(SEARCH("needs QA",$AC57)),U57&lt;&gt;"",SUMPRODUCT(MAX(((TRIM('Rework Log'!$A$3:$A$500)=TRIM($B57))*('Rework Log'!$G$3:$G$500&lt;&gt;"Yes")*('Rework Log'!$G$3:$G$500&lt;&gt;"Did not pass re-test"))*IFERROR('Rework Log'!$I$3:$I$500*1,0)))&gt;0),"Move old QA completion date to Rework Log (col H)",IF(AND(LEFT($AC57,3)="Yes",ISNUMBER(SEARCH("needs DB Dev",$AC57)),TRIM(C57)&lt;&gt;"DB Dev"),"Set Current Status back to DB Dev",IF(AND(LEFT($AC57,3)="Yes",ISNUMBER(SEARCH("needs PBI Dev",$AC57)),TRIM(C57)&lt;&gt;"PBI Dev"),"Set Current Status back to PBI Dev",IF(AND(LEFT($AC57,3)="Yes",ISNUMBER(SEARCH("needs QA",$AC57)),TRIM(C57)&lt;&gt;"QA"),"Set Current Status back to QA",IF(COUNTIF($B$2:$B$500,$B57)&gt;1,"Duplicate name - check row",IF(AND(TRIM(C57)="RELEASED IN PROD",Y57&lt;&gt;"Yes"),"Released but Confirmed Deployed? is not Yes",IF(COUNTIF('Rework Log'!$A$3:$A$500,$B57)&gt;0,"",IF(AND(S57&lt;&gt;"",M57&lt;&gt;"",S57&lt;M57),"QA target is before DB Dev target",IF(AND(S57&lt;&gt;"",P57&lt;&gt;"",S57&lt;P57),"QA target is before PBI Dev target",IF(AND(V57&lt;&gt;"",S57&lt;&gt;"",V57&lt;S57),"DPO Approval target is before QA target",IF(AND(Z57&lt;&gt;"",V57&lt;&gt;"",Z57&lt;V57),"Confirmed Deployed date is before DPO Approval target","")))))))))))))))))</f>
        <v/>
      </c>
      <c r="AE57" s="61"/>
    </row>
    <row r="58" spans="1:31" x14ac:dyDescent="0.25">
      <c r="A58" s="50" t="s">
        <v>170</v>
      </c>
      <c r="B58" s="50" t="s">
        <v>218</v>
      </c>
      <c r="C58" s="50" t="s">
        <v>204</v>
      </c>
      <c r="D58" s="64" t="str">
        <f ca="1">IF($B58="","",IF(LEFT($AC58,3)="Yes",IF(LEN($AC58)&gt;5,"Blocked - "&amp;MID($AC58,7,100),"Blocked")&amp;IF(SUMPRODUCT((TRIM('Rework Log'!$A$3:$A$500)=TRIM($B58))*('Rework Log'!$G$3:$G$500&lt;&gt;"Yes")*('Rework Log'!$G$3:$G$500&lt;&gt;"Did not pass re-test"))=0,"",IF(SUMPRODUCT(((TRIM('Rework Log'!$A$3:$A$500)=TRIM($B58))*('Rework Log'!$G$3:$G$500&lt;&gt;"Yes")*('Rework Log'!$G$3:$G$500&lt;&gt;"Did not pass re-test"))*ISNUMBER('Rework Log'!$J$3:$J$500))&gt;0," - fixed, awaiting re-test",IF(SUMPRODUCT(MAX(((TRIM('Rework Log'!$A$3:$A$500)=TRIM($B58))*('Rework Log'!$G$3:$G$500&lt;&gt;"Yes")*('Rework Log'!$G$3:$G$500&lt;&gt;"Did not pass re-test"))*IFERROR('Rework Log'!$I$3:$I$500*1,0)))=0," - unclaimed"," - promised "&amp;TEXT(SUMPRODUCT(MAX(((TRIM('Rework Log'!$A$3:$A$500)=TRIM($B58))*('Rework Log'!$G$3:$G$500&lt;&gt;"Yes")*('Rework Log'!$G$3:$G$500&lt;&gt;"Did not pass re-test"))*IFERROR('Rework Log'!$I$3:$I$500*1,0))),"m/d")))),IF(TRIM(C58)="NOT STARTED",IF(K58="","No plan date set",IF(K58&lt;TODAY(),"Review - planned start passed","On track")),IF(TRIM(C58)="DB Dev",IF(M58="","No target set",IF(AND(M58&lt;TODAY(),O58=""),"Overdue","On track")),IF(TRIM(C58)="PBI Dev",IF(P58="","No target set",IF(AND(P58&lt;TODAY(),R58=""),"Overdue","On track")),IF(TRIM(C58)="QA",IF(S58="","No target set",IF(AND(S58&lt;TODAY(),U58=""),"Overdue","On track")),IF(TRIM(C58)="DPO Approval",IF(V58="","No target set",IF(V58&lt;TODAY(),"Overdue","On track")),IF(TRIM(C58)="RELEASED IN PROD","Delivered",""))))))))</f>
        <v>On track</v>
      </c>
      <c r="E58" s="50">
        <v>33</v>
      </c>
      <c r="F58" s="51"/>
      <c r="G58" s="50"/>
      <c r="H58" s="50"/>
      <c r="I58" s="50"/>
      <c r="J58" s="50"/>
      <c r="K58" s="52">
        <v>46295</v>
      </c>
      <c r="L58" s="50" t="s">
        <v>216</v>
      </c>
      <c r="M58" s="53"/>
      <c r="N58" s="54"/>
      <c r="O58" s="54"/>
      <c r="P58" s="55"/>
      <c r="Q58" s="54"/>
      <c r="R58" s="54"/>
      <c r="S58" s="56"/>
      <c r="T58" s="54"/>
      <c r="U58" s="54"/>
      <c r="V58" s="57"/>
      <c r="W58" s="54"/>
      <c r="X58" s="50"/>
      <c r="Y58" s="58"/>
      <c r="Z58" s="54"/>
      <c r="AA58" s="59"/>
      <c r="AB58" s="50"/>
      <c r="AC58" s="60" t="s">
        <v>26</v>
      </c>
      <c r="AD58" s="65" t="str">
        <f>IF($B58="","",IF(AND(LEFT($AC58,3)="Yes",SUMPRODUCT((TRIM('Rework Log'!$A$3:$A$500)=TRIM($B58))*('Rework Log'!$G$3:$G$500&lt;&gt;"Yes")*('Rework Log'!$G$3:$G$500&lt;&gt;"Did not pass re-test"))=0),"Blocked - log it on Rework Log",IF(AND(LEFT($AC58,3)&lt;&gt;"Yes",SUMPRODUCT((TRIM('Rework Log'!$A$3:$A$500)=TRIM($B58))*('Rework Log'!$G$3:$G$500&lt;&gt;"Yes")*('Rework Log'!$G$3:$G$500&lt;&gt;"Did not pass re-test"))&gt;0),"Open rework row - mark Blocked? or close it",IF(AND(LEFT($AC58,3)&lt;&gt;"Yes",SUMPRODUCT((TRIM('Rework Log'!$A$3:$A$500)=TRIM($B58))*('Rework Log'!$G$3:$G$500&lt;&gt;"Yes")*('Rework Log'!$G$3:$G$500&lt;&gt;"Did not pass re-test"))=0,COUNTIF('Rework Log'!$A$3:$A$500,$B58)&gt;0,IFERROR(INDEX('Rework Log'!$G:$G,SUMPRODUCT(MAX((TRIM('Rework Log'!$A$3:$A$500)=TRIM($B58))*ROW('Rework Log'!$A$3:$A$500)))),"")="Did not pass re-test"),"Last fix rejected - re-block or log next attempt",IF(AND(LEFT($AC58,3)="Yes",ISNUMBER(SEARCH("needs DB Dev",$AC58)),O58&lt;&gt;"",SUMPRODUCT(MAX(((TRIM('Rework Log'!$A$3:$A$500)=TRIM($B58))*('Rework Log'!$G$3:$G$500&lt;&gt;"Yes")*('Rework Log'!$G$3:$G$500&lt;&gt;"Did not pass re-test"))*IFERROR('Rework Log'!$I$3:$I$500*1,0)))&gt;0),"Move old DB Dev completion date to Rework Log (col H)",IF(AND(LEFT($AC58,3)="Yes",ISNUMBER(SEARCH("needs PBI Dev",$AC58)),R58&lt;&gt;"",SUMPRODUCT(MAX(((TRIM('Rework Log'!$A$3:$A$500)=TRIM($B58))*('Rework Log'!$G$3:$G$500&lt;&gt;"Yes")*('Rework Log'!$G$3:$G$500&lt;&gt;"Did not pass re-test"))*IFERROR('Rework Log'!$I$3:$I$500*1,0)))&gt;0),"Move old PBI Dev completion date to Rework Log (col H)",IF(AND(LEFT($AC58,3)="Yes",ISNUMBER(SEARCH("needs QA",$AC58)),U58&lt;&gt;"",SUMPRODUCT(MAX(((TRIM('Rework Log'!$A$3:$A$500)=TRIM($B58))*('Rework Log'!$G$3:$G$500&lt;&gt;"Yes")*('Rework Log'!$G$3:$G$500&lt;&gt;"Did not pass re-test"))*IFERROR('Rework Log'!$I$3:$I$500*1,0)))&gt;0),"Move old QA completion date to Rework Log (col H)",IF(AND(LEFT($AC58,3)="Yes",ISNUMBER(SEARCH("needs DB Dev",$AC58)),TRIM(C58)&lt;&gt;"DB Dev"),"Set Current Status back to DB Dev",IF(AND(LEFT($AC58,3)="Yes",ISNUMBER(SEARCH("needs PBI Dev",$AC58)),TRIM(C58)&lt;&gt;"PBI Dev"),"Set Current Status back to PBI Dev",IF(AND(LEFT($AC58,3)="Yes",ISNUMBER(SEARCH("needs QA",$AC58)),TRIM(C58)&lt;&gt;"QA"),"Set Current Status back to QA",IF(COUNTIF($B$2:$B$500,$B58)&gt;1,"Duplicate name - check row",IF(AND(TRIM(C58)="RELEASED IN PROD",Y58&lt;&gt;"Yes"),"Released but Confirmed Deployed? is not Yes",IF(COUNTIF('Rework Log'!$A$3:$A$500,$B58)&gt;0,"",IF(AND(S58&lt;&gt;"",M58&lt;&gt;"",S58&lt;M58),"QA target is before DB Dev target",IF(AND(S58&lt;&gt;"",P58&lt;&gt;"",S58&lt;P58),"QA target is before PBI Dev target",IF(AND(V58&lt;&gt;"",S58&lt;&gt;"",V58&lt;S58),"DPO Approval target is before QA target",IF(AND(Z58&lt;&gt;"",V58&lt;&gt;"",Z58&lt;V58),"Confirmed Deployed date is before DPO Approval target","")))))))))))))))))</f>
        <v/>
      </c>
      <c r="AE58" s="61"/>
    </row>
    <row r="59" spans="1:31" x14ac:dyDescent="0.25">
      <c r="A59" s="50" t="s">
        <v>170</v>
      </c>
      <c r="B59" s="50" t="s">
        <v>219</v>
      </c>
      <c r="C59" s="50" t="s">
        <v>204</v>
      </c>
      <c r="D59" s="64" t="str">
        <f ca="1">IF($B59="","",IF(LEFT($AC59,3)="Yes",IF(LEN($AC59)&gt;5,"Blocked - "&amp;MID($AC59,7,100),"Blocked")&amp;IF(SUMPRODUCT((TRIM('Rework Log'!$A$3:$A$500)=TRIM($B59))*('Rework Log'!$G$3:$G$500&lt;&gt;"Yes")*('Rework Log'!$G$3:$G$500&lt;&gt;"Did not pass re-test"))=0,"",IF(SUMPRODUCT(((TRIM('Rework Log'!$A$3:$A$500)=TRIM($B59))*('Rework Log'!$G$3:$G$500&lt;&gt;"Yes")*('Rework Log'!$G$3:$G$500&lt;&gt;"Did not pass re-test"))*ISNUMBER('Rework Log'!$J$3:$J$500))&gt;0," - fixed, awaiting re-test",IF(SUMPRODUCT(MAX(((TRIM('Rework Log'!$A$3:$A$500)=TRIM($B59))*('Rework Log'!$G$3:$G$500&lt;&gt;"Yes")*('Rework Log'!$G$3:$G$500&lt;&gt;"Did not pass re-test"))*IFERROR('Rework Log'!$I$3:$I$500*1,0)))=0," - unclaimed"," - promised "&amp;TEXT(SUMPRODUCT(MAX(((TRIM('Rework Log'!$A$3:$A$500)=TRIM($B59))*('Rework Log'!$G$3:$G$500&lt;&gt;"Yes")*('Rework Log'!$G$3:$G$500&lt;&gt;"Did not pass re-test"))*IFERROR('Rework Log'!$I$3:$I$500*1,0))),"m/d")))),IF(TRIM(C59)="NOT STARTED",IF(K59="","No plan date set",IF(K59&lt;TODAY(),"Review - planned start passed","On track")),IF(TRIM(C59)="DB Dev",IF(M59="","No target set",IF(AND(M59&lt;TODAY(),O59=""),"Overdue","On track")),IF(TRIM(C59)="PBI Dev",IF(P59="","No target set",IF(AND(P59&lt;TODAY(),R59=""),"Overdue","On track")),IF(TRIM(C59)="QA",IF(S59="","No target set",IF(AND(S59&lt;TODAY(),U59=""),"Overdue","On track")),IF(TRIM(C59)="DPO Approval",IF(V59="","No target set",IF(V59&lt;TODAY(),"Overdue","On track")),IF(TRIM(C59)="RELEASED IN PROD","Delivered",""))))))))</f>
        <v>On track</v>
      </c>
      <c r="E59" s="50">
        <v>34</v>
      </c>
      <c r="F59" s="51"/>
      <c r="G59" s="50"/>
      <c r="H59" s="50"/>
      <c r="I59" s="50"/>
      <c r="J59" s="50"/>
      <c r="K59" s="52">
        <v>46295</v>
      </c>
      <c r="L59" s="50" t="s">
        <v>216</v>
      </c>
      <c r="M59" s="53"/>
      <c r="N59" s="54"/>
      <c r="O59" s="54"/>
      <c r="P59" s="55"/>
      <c r="Q59" s="54"/>
      <c r="R59" s="54"/>
      <c r="S59" s="56"/>
      <c r="T59" s="54"/>
      <c r="U59" s="54"/>
      <c r="V59" s="57"/>
      <c r="W59" s="54"/>
      <c r="X59" s="50"/>
      <c r="Y59" s="58"/>
      <c r="Z59" s="54"/>
      <c r="AA59" s="59"/>
      <c r="AB59" s="50"/>
      <c r="AC59" s="60" t="s">
        <v>26</v>
      </c>
      <c r="AD59" s="65" t="str">
        <f>IF($B59="","",IF(AND(LEFT($AC59,3)="Yes",SUMPRODUCT((TRIM('Rework Log'!$A$3:$A$500)=TRIM($B59))*('Rework Log'!$G$3:$G$500&lt;&gt;"Yes")*('Rework Log'!$G$3:$G$500&lt;&gt;"Did not pass re-test"))=0),"Blocked - log it on Rework Log",IF(AND(LEFT($AC59,3)&lt;&gt;"Yes",SUMPRODUCT((TRIM('Rework Log'!$A$3:$A$500)=TRIM($B59))*('Rework Log'!$G$3:$G$500&lt;&gt;"Yes")*('Rework Log'!$G$3:$G$500&lt;&gt;"Did not pass re-test"))&gt;0),"Open rework row - mark Blocked? or close it",IF(AND(LEFT($AC59,3)&lt;&gt;"Yes",SUMPRODUCT((TRIM('Rework Log'!$A$3:$A$500)=TRIM($B59))*('Rework Log'!$G$3:$G$500&lt;&gt;"Yes")*('Rework Log'!$G$3:$G$500&lt;&gt;"Did not pass re-test"))=0,COUNTIF('Rework Log'!$A$3:$A$500,$B59)&gt;0,IFERROR(INDEX('Rework Log'!$G:$G,SUMPRODUCT(MAX((TRIM('Rework Log'!$A$3:$A$500)=TRIM($B59))*ROW('Rework Log'!$A$3:$A$500)))),"")="Did not pass re-test"),"Last fix rejected - re-block or log next attempt",IF(AND(LEFT($AC59,3)="Yes",ISNUMBER(SEARCH("needs DB Dev",$AC59)),O59&lt;&gt;"",SUMPRODUCT(MAX(((TRIM('Rework Log'!$A$3:$A$500)=TRIM($B59))*('Rework Log'!$G$3:$G$500&lt;&gt;"Yes")*('Rework Log'!$G$3:$G$500&lt;&gt;"Did not pass re-test"))*IFERROR('Rework Log'!$I$3:$I$500*1,0)))&gt;0),"Move old DB Dev completion date to Rework Log (col H)",IF(AND(LEFT($AC59,3)="Yes",ISNUMBER(SEARCH("needs PBI Dev",$AC59)),R59&lt;&gt;"",SUMPRODUCT(MAX(((TRIM('Rework Log'!$A$3:$A$500)=TRIM($B59))*('Rework Log'!$G$3:$G$500&lt;&gt;"Yes")*('Rework Log'!$G$3:$G$500&lt;&gt;"Did not pass re-test"))*IFERROR('Rework Log'!$I$3:$I$500*1,0)))&gt;0),"Move old PBI Dev completion date to Rework Log (col H)",IF(AND(LEFT($AC59,3)="Yes",ISNUMBER(SEARCH("needs QA",$AC59)),U59&lt;&gt;"",SUMPRODUCT(MAX(((TRIM('Rework Log'!$A$3:$A$500)=TRIM($B59))*('Rework Log'!$G$3:$G$500&lt;&gt;"Yes")*('Rework Log'!$G$3:$G$500&lt;&gt;"Did not pass re-test"))*IFERROR('Rework Log'!$I$3:$I$500*1,0)))&gt;0),"Move old QA completion date to Rework Log (col H)",IF(AND(LEFT($AC59,3)="Yes",ISNUMBER(SEARCH("needs DB Dev",$AC59)),TRIM(C59)&lt;&gt;"DB Dev"),"Set Current Status back to DB Dev",IF(AND(LEFT($AC59,3)="Yes",ISNUMBER(SEARCH("needs PBI Dev",$AC59)),TRIM(C59)&lt;&gt;"PBI Dev"),"Set Current Status back to PBI Dev",IF(AND(LEFT($AC59,3)="Yes",ISNUMBER(SEARCH("needs QA",$AC59)),TRIM(C59)&lt;&gt;"QA"),"Set Current Status back to QA",IF(COUNTIF($B$2:$B$500,$B59)&gt;1,"Duplicate name - check row",IF(AND(TRIM(C59)="RELEASED IN PROD",Y59&lt;&gt;"Yes"),"Released but Confirmed Deployed? is not Yes",IF(COUNTIF('Rework Log'!$A$3:$A$500,$B59)&gt;0,"",IF(AND(S59&lt;&gt;"",M59&lt;&gt;"",S59&lt;M59),"QA target is before DB Dev target",IF(AND(S59&lt;&gt;"",P59&lt;&gt;"",S59&lt;P59),"QA target is before PBI Dev target",IF(AND(V59&lt;&gt;"",S59&lt;&gt;"",V59&lt;S59),"DPO Approval target is before QA target",IF(AND(Z59&lt;&gt;"",V59&lt;&gt;"",Z59&lt;V59),"Confirmed Deployed date is before DPO Approval target","")))))))))))))))))</f>
        <v/>
      </c>
      <c r="AE59" s="61"/>
    </row>
    <row r="60" spans="1:31" x14ac:dyDescent="0.25">
      <c r="A60" s="50" t="s">
        <v>170</v>
      </c>
      <c r="B60" s="50" t="s">
        <v>220</v>
      </c>
      <c r="C60" s="50" t="s">
        <v>204</v>
      </c>
      <c r="D60" s="64" t="str">
        <f ca="1">IF($B60="","",IF(LEFT($AC60,3)="Yes",IF(LEN($AC60)&gt;5,"Blocked - "&amp;MID($AC60,7,100),"Blocked")&amp;IF(SUMPRODUCT((TRIM('Rework Log'!$A$3:$A$500)=TRIM($B60))*('Rework Log'!$G$3:$G$500&lt;&gt;"Yes")*('Rework Log'!$G$3:$G$500&lt;&gt;"Did not pass re-test"))=0,"",IF(SUMPRODUCT(((TRIM('Rework Log'!$A$3:$A$500)=TRIM($B60))*('Rework Log'!$G$3:$G$500&lt;&gt;"Yes")*('Rework Log'!$G$3:$G$500&lt;&gt;"Did not pass re-test"))*ISNUMBER('Rework Log'!$J$3:$J$500))&gt;0," - fixed, awaiting re-test",IF(SUMPRODUCT(MAX(((TRIM('Rework Log'!$A$3:$A$500)=TRIM($B60))*('Rework Log'!$G$3:$G$500&lt;&gt;"Yes")*('Rework Log'!$G$3:$G$500&lt;&gt;"Did not pass re-test"))*IFERROR('Rework Log'!$I$3:$I$500*1,0)))=0," - unclaimed"," - promised "&amp;TEXT(SUMPRODUCT(MAX(((TRIM('Rework Log'!$A$3:$A$500)=TRIM($B60))*('Rework Log'!$G$3:$G$500&lt;&gt;"Yes")*('Rework Log'!$G$3:$G$500&lt;&gt;"Did not pass re-test"))*IFERROR('Rework Log'!$I$3:$I$500*1,0))),"m/d")))),IF(TRIM(C60)="NOT STARTED",IF(K60="","No plan date set",IF(K60&lt;TODAY(),"Review - planned start passed","On track")),IF(TRIM(C60)="DB Dev",IF(M60="","No target set",IF(AND(M60&lt;TODAY(),O60=""),"Overdue","On track")),IF(TRIM(C60)="PBI Dev",IF(P60="","No target set",IF(AND(P60&lt;TODAY(),R60=""),"Overdue","On track")),IF(TRIM(C60)="QA",IF(S60="","No target set",IF(AND(S60&lt;TODAY(),U60=""),"Overdue","On track")),IF(TRIM(C60)="DPO Approval",IF(V60="","No target set",IF(V60&lt;TODAY(),"Overdue","On track")),IF(TRIM(C60)="RELEASED IN PROD","Delivered",""))))))))</f>
        <v>On track</v>
      </c>
      <c r="E60" s="50">
        <v>35</v>
      </c>
      <c r="F60" s="51"/>
      <c r="G60" s="50"/>
      <c r="H60" s="50"/>
      <c r="I60" s="50"/>
      <c r="J60" s="50"/>
      <c r="K60" s="52">
        <v>46295</v>
      </c>
      <c r="L60" s="50" t="s">
        <v>216</v>
      </c>
      <c r="M60" s="53"/>
      <c r="N60" s="54"/>
      <c r="O60" s="54"/>
      <c r="P60" s="55"/>
      <c r="Q60" s="54"/>
      <c r="R60" s="54"/>
      <c r="S60" s="56"/>
      <c r="T60" s="54"/>
      <c r="U60" s="54"/>
      <c r="V60" s="57"/>
      <c r="W60" s="54"/>
      <c r="X60" s="50"/>
      <c r="Y60" s="58"/>
      <c r="Z60" s="54"/>
      <c r="AA60" s="59"/>
      <c r="AB60" s="50"/>
      <c r="AC60" s="60" t="s">
        <v>26</v>
      </c>
      <c r="AD60" s="65" t="str">
        <f>IF($B60="","",IF(AND(LEFT($AC60,3)="Yes",SUMPRODUCT((TRIM('Rework Log'!$A$3:$A$500)=TRIM($B60))*('Rework Log'!$G$3:$G$500&lt;&gt;"Yes")*('Rework Log'!$G$3:$G$500&lt;&gt;"Did not pass re-test"))=0),"Blocked - log it on Rework Log",IF(AND(LEFT($AC60,3)&lt;&gt;"Yes",SUMPRODUCT((TRIM('Rework Log'!$A$3:$A$500)=TRIM($B60))*('Rework Log'!$G$3:$G$500&lt;&gt;"Yes")*('Rework Log'!$G$3:$G$500&lt;&gt;"Did not pass re-test"))&gt;0),"Open rework row - mark Blocked? or close it",IF(AND(LEFT($AC60,3)&lt;&gt;"Yes",SUMPRODUCT((TRIM('Rework Log'!$A$3:$A$500)=TRIM($B60))*('Rework Log'!$G$3:$G$500&lt;&gt;"Yes")*('Rework Log'!$G$3:$G$500&lt;&gt;"Did not pass re-test"))=0,COUNTIF('Rework Log'!$A$3:$A$500,$B60)&gt;0,IFERROR(INDEX('Rework Log'!$G:$G,SUMPRODUCT(MAX((TRIM('Rework Log'!$A$3:$A$500)=TRIM($B60))*ROW('Rework Log'!$A$3:$A$500)))),"")="Did not pass re-test"),"Last fix rejected - re-block or log next attempt",IF(AND(LEFT($AC60,3)="Yes",ISNUMBER(SEARCH("needs DB Dev",$AC60)),O60&lt;&gt;"",SUMPRODUCT(MAX(((TRIM('Rework Log'!$A$3:$A$500)=TRIM($B60))*('Rework Log'!$G$3:$G$500&lt;&gt;"Yes")*('Rework Log'!$G$3:$G$500&lt;&gt;"Did not pass re-test"))*IFERROR('Rework Log'!$I$3:$I$500*1,0)))&gt;0),"Move old DB Dev completion date to Rework Log (col H)",IF(AND(LEFT($AC60,3)="Yes",ISNUMBER(SEARCH("needs PBI Dev",$AC60)),R60&lt;&gt;"",SUMPRODUCT(MAX(((TRIM('Rework Log'!$A$3:$A$500)=TRIM($B60))*('Rework Log'!$G$3:$G$500&lt;&gt;"Yes")*('Rework Log'!$G$3:$G$500&lt;&gt;"Did not pass re-test"))*IFERROR('Rework Log'!$I$3:$I$500*1,0)))&gt;0),"Move old PBI Dev completion date to Rework Log (col H)",IF(AND(LEFT($AC60,3)="Yes",ISNUMBER(SEARCH("needs QA",$AC60)),U60&lt;&gt;"",SUMPRODUCT(MAX(((TRIM('Rework Log'!$A$3:$A$500)=TRIM($B60))*('Rework Log'!$G$3:$G$500&lt;&gt;"Yes")*('Rework Log'!$G$3:$G$500&lt;&gt;"Did not pass re-test"))*IFERROR('Rework Log'!$I$3:$I$500*1,0)))&gt;0),"Move old QA completion date to Rework Log (col H)",IF(AND(LEFT($AC60,3)="Yes",ISNUMBER(SEARCH("needs DB Dev",$AC60)),TRIM(C60)&lt;&gt;"DB Dev"),"Set Current Status back to DB Dev",IF(AND(LEFT($AC60,3)="Yes",ISNUMBER(SEARCH("needs PBI Dev",$AC60)),TRIM(C60)&lt;&gt;"PBI Dev"),"Set Current Status back to PBI Dev",IF(AND(LEFT($AC60,3)="Yes",ISNUMBER(SEARCH("needs QA",$AC60)),TRIM(C60)&lt;&gt;"QA"),"Set Current Status back to QA",IF(COUNTIF($B$2:$B$500,$B60)&gt;1,"Duplicate name - check row",IF(AND(TRIM(C60)="RELEASED IN PROD",Y60&lt;&gt;"Yes"),"Released but Confirmed Deployed? is not Yes",IF(COUNTIF('Rework Log'!$A$3:$A$500,$B60)&gt;0,"",IF(AND(S60&lt;&gt;"",M60&lt;&gt;"",S60&lt;M60),"QA target is before DB Dev target",IF(AND(S60&lt;&gt;"",P60&lt;&gt;"",S60&lt;P60),"QA target is before PBI Dev target",IF(AND(V60&lt;&gt;"",S60&lt;&gt;"",V60&lt;S60),"DPO Approval target is before QA target",IF(AND(Z60&lt;&gt;"",V60&lt;&gt;"",Z60&lt;V60),"Confirmed Deployed date is before DPO Approval target","")))))))))))))))))</f>
        <v/>
      </c>
      <c r="AE60" s="61"/>
    </row>
    <row r="61" spans="1:31" x14ac:dyDescent="0.25">
      <c r="A61" s="50" t="s">
        <v>170</v>
      </c>
      <c r="B61" s="50" t="s">
        <v>221</v>
      </c>
      <c r="C61" s="50" t="s">
        <v>204</v>
      </c>
      <c r="D61" s="64" t="str">
        <f ca="1">IF($B61="","",IF(LEFT($AC61,3)="Yes",IF(LEN($AC61)&gt;5,"Blocked - "&amp;MID($AC61,7,100),"Blocked")&amp;IF(SUMPRODUCT((TRIM('Rework Log'!$A$3:$A$500)=TRIM($B61))*('Rework Log'!$G$3:$G$500&lt;&gt;"Yes")*('Rework Log'!$G$3:$G$500&lt;&gt;"Did not pass re-test"))=0,"",IF(SUMPRODUCT(((TRIM('Rework Log'!$A$3:$A$500)=TRIM($B61))*('Rework Log'!$G$3:$G$500&lt;&gt;"Yes")*('Rework Log'!$G$3:$G$500&lt;&gt;"Did not pass re-test"))*ISNUMBER('Rework Log'!$J$3:$J$500))&gt;0," - fixed, awaiting re-test",IF(SUMPRODUCT(MAX(((TRIM('Rework Log'!$A$3:$A$500)=TRIM($B61))*('Rework Log'!$G$3:$G$500&lt;&gt;"Yes")*('Rework Log'!$G$3:$G$500&lt;&gt;"Did not pass re-test"))*IFERROR('Rework Log'!$I$3:$I$500*1,0)))=0," - unclaimed"," - promised "&amp;TEXT(SUMPRODUCT(MAX(((TRIM('Rework Log'!$A$3:$A$500)=TRIM($B61))*('Rework Log'!$G$3:$G$500&lt;&gt;"Yes")*('Rework Log'!$G$3:$G$500&lt;&gt;"Did not pass re-test"))*IFERROR('Rework Log'!$I$3:$I$500*1,0))),"m/d")))),IF(TRIM(C61)="NOT STARTED",IF(K61="","No plan date set",IF(K61&lt;TODAY(),"Review - planned start passed","On track")),IF(TRIM(C61)="DB Dev",IF(M61="","No target set",IF(AND(M61&lt;TODAY(),O61=""),"Overdue","On track")),IF(TRIM(C61)="PBI Dev",IF(P61="","No target set",IF(AND(P61&lt;TODAY(),R61=""),"Overdue","On track")),IF(TRIM(C61)="QA",IF(S61="","No target set",IF(AND(S61&lt;TODAY(),U61=""),"Overdue","On track")),IF(TRIM(C61)="DPO Approval",IF(V61="","No target set",IF(V61&lt;TODAY(),"Overdue","On track")),IF(TRIM(C61)="RELEASED IN PROD","Delivered",""))))))))</f>
        <v>On track</v>
      </c>
      <c r="E61" s="50">
        <v>36</v>
      </c>
      <c r="F61" s="51"/>
      <c r="G61" s="50"/>
      <c r="H61" s="50"/>
      <c r="I61" s="50"/>
      <c r="J61" s="50"/>
      <c r="K61" s="52">
        <v>46295</v>
      </c>
      <c r="L61" s="50" t="s">
        <v>216</v>
      </c>
      <c r="M61" s="53"/>
      <c r="N61" s="54"/>
      <c r="O61" s="54"/>
      <c r="P61" s="55"/>
      <c r="Q61" s="54"/>
      <c r="R61" s="54"/>
      <c r="S61" s="56"/>
      <c r="T61" s="54"/>
      <c r="U61" s="54"/>
      <c r="V61" s="57"/>
      <c r="W61" s="54"/>
      <c r="X61" s="50"/>
      <c r="Y61" s="58"/>
      <c r="Z61" s="54"/>
      <c r="AA61" s="59"/>
      <c r="AB61" s="50"/>
      <c r="AC61" s="60" t="s">
        <v>26</v>
      </c>
      <c r="AD61" s="65" t="str">
        <f>IF($B61="","",IF(AND(LEFT($AC61,3)="Yes",SUMPRODUCT((TRIM('Rework Log'!$A$3:$A$500)=TRIM($B61))*('Rework Log'!$G$3:$G$500&lt;&gt;"Yes")*('Rework Log'!$G$3:$G$500&lt;&gt;"Did not pass re-test"))=0),"Blocked - log it on Rework Log",IF(AND(LEFT($AC61,3)&lt;&gt;"Yes",SUMPRODUCT((TRIM('Rework Log'!$A$3:$A$500)=TRIM($B61))*('Rework Log'!$G$3:$G$500&lt;&gt;"Yes")*('Rework Log'!$G$3:$G$500&lt;&gt;"Did not pass re-test"))&gt;0),"Open rework row - mark Blocked? or close it",IF(AND(LEFT($AC61,3)&lt;&gt;"Yes",SUMPRODUCT((TRIM('Rework Log'!$A$3:$A$500)=TRIM($B61))*('Rework Log'!$G$3:$G$500&lt;&gt;"Yes")*('Rework Log'!$G$3:$G$500&lt;&gt;"Did not pass re-test"))=0,COUNTIF('Rework Log'!$A$3:$A$500,$B61)&gt;0,IFERROR(INDEX('Rework Log'!$G:$G,SUMPRODUCT(MAX((TRIM('Rework Log'!$A$3:$A$500)=TRIM($B61))*ROW('Rework Log'!$A$3:$A$500)))),"")="Did not pass re-test"),"Last fix rejected - re-block or log next attempt",IF(AND(LEFT($AC61,3)="Yes",ISNUMBER(SEARCH("needs DB Dev",$AC61)),O61&lt;&gt;"",SUMPRODUCT(MAX(((TRIM('Rework Log'!$A$3:$A$500)=TRIM($B61))*('Rework Log'!$G$3:$G$500&lt;&gt;"Yes")*('Rework Log'!$G$3:$G$500&lt;&gt;"Did not pass re-test"))*IFERROR('Rework Log'!$I$3:$I$500*1,0)))&gt;0),"Move old DB Dev completion date to Rework Log (col H)",IF(AND(LEFT($AC61,3)="Yes",ISNUMBER(SEARCH("needs PBI Dev",$AC61)),R61&lt;&gt;"",SUMPRODUCT(MAX(((TRIM('Rework Log'!$A$3:$A$500)=TRIM($B61))*('Rework Log'!$G$3:$G$500&lt;&gt;"Yes")*('Rework Log'!$G$3:$G$500&lt;&gt;"Did not pass re-test"))*IFERROR('Rework Log'!$I$3:$I$500*1,0)))&gt;0),"Move old PBI Dev completion date to Rework Log (col H)",IF(AND(LEFT($AC61,3)="Yes",ISNUMBER(SEARCH("needs QA",$AC61)),U61&lt;&gt;"",SUMPRODUCT(MAX(((TRIM('Rework Log'!$A$3:$A$500)=TRIM($B61))*('Rework Log'!$G$3:$G$500&lt;&gt;"Yes")*('Rework Log'!$G$3:$G$500&lt;&gt;"Did not pass re-test"))*IFERROR('Rework Log'!$I$3:$I$500*1,0)))&gt;0),"Move old QA completion date to Rework Log (col H)",IF(AND(LEFT($AC61,3)="Yes",ISNUMBER(SEARCH("needs DB Dev",$AC61)),TRIM(C61)&lt;&gt;"DB Dev"),"Set Current Status back to DB Dev",IF(AND(LEFT($AC61,3)="Yes",ISNUMBER(SEARCH("needs PBI Dev",$AC61)),TRIM(C61)&lt;&gt;"PBI Dev"),"Set Current Status back to PBI Dev",IF(AND(LEFT($AC61,3)="Yes",ISNUMBER(SEARCH("needs QA",$AC61)),TRIM(C61)&lt;&gt;"QA"),"Set Current Status back to QA",IF(COUNTIF($B$2:$B$500,$B61)&gt;1,"Duplicate name - check row",IF(AND(TRIM(C61)="RELEASED IN PROD",Y61&lt;&gt;"Yes"),"Released but Confirmed Deployed? is not Yes",IF(COUNTIF('Rework Log'!$A$3:$A$500,$B61)&gt;0,"",IF(AND(S61&lt;&gt;"",M61&lt;&gt;"",S61&lt;M61),"QA target is before DB Dev target",IF(AND(S61&lt;&gt;"",P61&lt;&gt;"",S61&lt;P61),"QA target is before PBI Dev target",IF(AND(V61&lt;&gt;"",S61&lt;&gt;"",V61&lt;S61),"DPO Approval target is before QA target",IF(AND(Z61&lt;&gt;"",V61&lt;&gt;"",Z61&lt;V61),"Confirmed Deployed date is before DPO Approval target","")))))))))))))))))</f>
        <v/>
      </c>
      <c r="AE61" s="61"/>
    </row>
    <row r="62" spans="1:31" x14ac:dyDescent="0.25">
      <c r="A62" s="50" t="s">
        <v>170</v>
      </c>
      <c r="B62" s="50" t="s">
        <v>222</v>
      </c>
      <c r="C62" s="50" t="s">
        <v>204</v>
      </c>
      <c r="D62" s="64" t="str">
        <f ca="1">IF($B62="","",IF(LEFT($AC62,3)="Yes",IF(LEN($AC62)&gt;5,"Blocked - "&amp;MID($AC62,7,100),"Blocked")&amp;IF(SUMPRODUCT((TRIM('Rework Log'!$A$3:$A$500)=TRIM($B62))*('Rework Log'!$G$3:$G$500&lt;&gt;"Yes")*('Rework Log'!$G$3:$G$500&lt;&gt;"Did not pass re-test"))=0,"",IF(SUMPRODUCT(((TRIM('Rework Log'!$A$3:$A$500)=TRIM($B62))*('Rework Log'!$G$3:$G$500&lt;&gt;"Yes")*('Rework Log'!$G$3:$G$500&lt;&gt;"Did not pass re-test"))*ISNUMBER('Rework Log'!$J$3:$J$500))&gt;0," - fixed, awaiting re-test",IF(SUMPRODUCT(MAX(((TRIM('Rework Log'!$A$3:$A$500)=TRIM($B62))*('Rework Log'!$G$3:$G$500&lt;&gt;"Yes")*('Rework Log'!$G$3:$G$500&lt;&gt;"Did not pass re-test"))*IFERROR('Rework Log'!$I$3:$I$500*1,0)))=0," - unclaimed"," - promised "&amp;TEXT(SUMPRODUCT(MAX(((TRIM('Rework Log'!$A$3:$A$500)=TRIM($B62))*('Rework Log'!$G$3:$G$500&lt;&gt;"Yes")*('Rework Log'!$G$3:$G$500&lt;&gt;"Did not pass re-test"))*IFERROR('Rework Log'!$I$3:$I$500*1,0))),"m/d")))),IF(TRIM(C62)="NOT STARTED",IF(K62="","No plan date set",IF(K62&lt;TODAY(),"Review - planned start passed","On track")),IF(TRIM(C62)="DB Dev",IF(M62="","No target set",IF(AND(M62&lt;TODAY(),O62=""),"Overdue","On track")),IF(TRIM(C62)="PBI Dev",IF(P62="","No target set",IF(AND(P62&lt;TODAY(),R62=""),"Overdue","On track")),IF(TRIM(C62)="QA",IF(S62="","No target set",IF(AND(S62&lt;TODAY(),U62=""),"Overdue","On track")),IF(TRIM(C62)="DPO Approval",IF(V62="","No target set",IF(V62&lt;TODAY(),"Overdue","On track")),IF(TRIM(C62)="RELEASED IN PROD","Delivered",""))))))))</f>
        <v>On track</v>
      </c>
      <c r="E62" s="50">
        <v>37</v>
      </c>
      <c r="F62" s="51"/>
      <c r="G62" s="50"/>
      <c r="H62" s="50"/>
      <c r="I62" s="50"/>
      <c r="J62" s="50"/>
      <c r="K62" s="52">
        <v>46295</v>
      </c>
      <c r="L62" s="50" t="s">
        <v>216</v>
      </c>
      <c r="M62" s="53"/>
      <c r="N62" s="54"/>
      <c r="O62" s="54"/>
      <c r="P62" s="55"/>
      <c r="Q62" s="54"/>
      <c r="R62" s="54"/>
      <c r="S62" s="56"/>
      <c r="T62" s="54"/>
      <c r="U62" s="54"/>
      <c r="V62" s="57"/>
      <c r="W62" s="54"/>
      <c r="X62" s="50"/>
      <c r="Y62" s="58"/>
      <c r="Z62" s="54"/>
      <c r="AA62" s="59"/>
      <c r="AB62" s="50"/>
      <c r="AC62" s="60" t="s">
        <v>26</v>
      </c>
      <c r="AD62" s="65" t="str">
        <f>IF($B62="","",IF(AND(LEFT($AC62,3)="Yes",SUMPRODUCT((TRIM('Rework Log'!$A$3:$A$500)=TRIM($B62))*('Rework Log'!$G$3:$G$500&lt;&gt;"Yes")*('Rework Log'!$G$3:$G$500&lt;&gt;"Did not pass re-test"))=0),"Blocked - log it on Rework Log",IF(AND(LEFT($AC62,3)&lt;&gt;"Yes",SUMPRODUCT((TRIM('Rework Log'!$A$3:$A$500)=TRIM($B62))*('Rework Log'!$G$3:$G$500&lt;&gt;"Yes")*('Rework Log'!$G$3:$G$500&lt;&gt;"Did not pass re-test"))&gt;0),"Open rework row - mark Blocked? or close it",IF(AND(LEFT($AC62,3)&lt;&gt;"Yes",SUMPRODUCT((TRIM('Rework Log'!$A$3:$A$500)=TRIM($B62))*('Rework Log'!$G$3:$G$500&lt;&gt;"Yes")*('Rework Log'!$G$3:$G$500&lt;&gt;"Did not pass re-test"))=0,COUNTIF('Rework Log'!$A$3:$A$500,$B62)&gt;0,IFERROR(INDEX('Rework Log'!$G:$G,SUMPRODUCT(MAX((TRIM('Rework Log'!$A$3:$A$500)=TRIM($B62))*ROW('Rework Log'!$A$3:$A$500)))),"")="Did not pass re-test"),"Last fix rejected - re-block or log next attempt",IF(AND(LEFT($AC62,3)="Yes",ISNUMBER(SEARCH("needs DB Dev",$AC62)),O62&lt;&gt;"",SUMPRODUCT(MAX(((TRIM('Rework Log'!$A$3:$A$500)=TRIM($B62))*('Rework Log'!$G$3:$G$500&lt;&gt;"Yes")*('Rework Log'!$G$3:$G$500&lt;&gt;"Did not pass re-test"))*IFERROR('Rework Log'!$I$3:$I$500*1,0)))&gt;0),"Move old DB Dev completion date to Rework Log (col H)",IF(AND(LEFT($AC62,3)="Yes",ISNUMBER(SEARCH("needs PBI Dev",$AC62)),R62&lt;&gt;"",SUMPRODUCT(MAX(((TRIM('Rework Log'!$A$3:$A$500)=TRIM($B62))*('Rework Log'!$G$3:$G$500&lt;&gt;"Yes")*('Rework Log'!$G$3:$G$500&lt;&gt;"Did not pass re-test"))*IFERROR('Rework Log'!$I$3:$I$500*1,0)))&gt;0),"Move old PBI Dev completion date to Rework Log (col H)",IF(AND(LEFT($AC62,3)="Yes",ISNUMBER(SEARCH("needs QA",$AC62)),U62&lt;&gt;"",SUMPRODUCT(MAX(((TRIM('Rework Log'!$A$3:$A$500)=TRIM($B62))*('Rework Log'!$G$3:$G$500&lt;&gt;"Yes")*('Rework Log'!$G$3:$G$500&lt;&gt;"Did not pass re-test"))*IFERROR('Rework Log'!$I$3:$I$500*1,0)))&gt;0),"Move old QA completion date to Rework Log (col H)",IF(AND(LEFT($AC62,3)="Yes",ISNUMBER(SEARCH("needs DB Dev",$AC62)),TRIM(C62)&lt;&gt;"DB Dev"),"Set Current Status back to DB Dev",IF(AND(LEFT($AC62,3)="Yes",ISNUMBER(SEARCH("needs PBI Dev",$AC62)),TRIM(C62)&lt;&gt;"PBI Dev"),"Set Current Status back to PBI Dev",IF(AND(LEFT($AC62,3)="Yes",ISNUMBER(SEARCH("needs QA",$AC62)),TRIM(C62)&lt;&gt;"QA"),"Set Current Status back to QA",IF(COUNTIF($B$2:$B$500,$B62)&gt;1,"Duplicate name - check row",IF(AND(TRIM(C62)="RELEASED IN PROD",Y62&lt;&gt;"Yes"),"Released but Confirmed Deployed? is not Yes",IF(COUNTIF('Rework Log'!$A$3:$A$500,$B62)&gt;0,"",IF(AND(S62&lt;&gt;"",M62&lt;&gt;"",S62&lt;M62),"QA target is before DB Dev target",IF(AND(S62&lt;&gt;"",P62&lt;&gt;"",S62&lt;P62),"QA target is before PBI Dev target",IF(AND(V62&lt;&gt;"",S62&lt;&gt;"",V62&lt;S62),"DPO Approval target is before QA target",IF(AND(Z62&lt;&gt;"",V62&lt;&gt;"",Z62&lt;V62),"Confirmed Deployed date is before DPO Approval target","")))))))))))))))))</f>
        <v/>
      </c>
      <c r="AE62" s="61"/>
    </row>
    <row r="63" spans="1:31" x14ac:dyDescent="0.25">
      <c r="A63" s="50" t="s">
        <v>170</v>
      </c>
      <c r="B63" s="50" t="s">
        <v>223</v>
      </c>
      <c r="C63" s="50" t="s">
        <v>204</v>
      </c>
      <c r="D63" s="64" t="str">
        <f ca="1">IF($B63="","",IF(LEFT($AC63,3)="Yes",IF(LEN($AC63)&gt;5,"Blocked - "&amp;MID($AC63,7,100),"Blocked")&amp;IF(SUMPRODUCT((TRIM('Rework Log'!$A$3:$A$500)=TRIM($B63))*('Rework Log'!$G$3:$G$500&lt;&gt;"Yes")*('Rework Log'!$G$3:$G$500&lt;&gt;"Did not pass re-test"))=0,"",IF(SUMPRODUCT(((TRIM('Rework Log'!$A$3:$A$500)=TRIM($B63))*('Rework Log'!$G$3:$G$500&lt;&gt;"Yes")*('Rework Log'!$G$3:$G$500&lt;&gt;"Did not pass re-test"))*ISNUMBER('Rework Log'!$J$3:$J$500))&gt;0," - fixed, awaiting re-test",IF(SUMPRODUCT(MAX(((TRIM('Rework Log'!$A$3:$A$500)=TRIM($B63))*('Rework Log'!$G$3:$G$500&lt;&gt;"Yes")*('Rework Log'!$G$3:$G$500&lt;&gt;"Did not pass re-test"))*IFERROR('Rework Log'!$I$3:$I$500*1,0)))=0," - unclaimed"," - promised "&amp;TEXT(SUMPRODUCT(MAX(((TRIM('Rework Log'!$A$3:$A$500)=TRIM($B63))*('Rework Log'!$G$3:$G$500&lt;&gt;"Yes")*('Rework Log'!$G$3:$G$500&lt;&gt;"Did not pass re-test"))*IFERROR('Rework Log'!$I$3:$I$500*1,0))),"m/d")))),IF(TRIM(C63)="NOT STARTED",IF(K63="","No plan date set",IF(K63&lt;TODAY(),"Review - planned start passed","On track")),IF(TRIM(C63)="DB Dev",IF(M63="","No target set",IF(AND(M63&lt;TODAY(),O63=""),"Overdue","On track")),IF(TRIM(C63)="PBI Dev",IF(P63="","No target set",IF(AND(P63&lt;TODAY(),R63=""),"Overdue","On track")),IF(TRIM(C63)="QA",IF(S63="","No target set",IF(AND(S63&lt;TODAY(),U63=""),"Overdue","On track")),IF(TRIM(C63)="DPO Approval",IF(V63="","No target set",IF(V63&lt;TODAY(),"Overdue","On track")),IF(TRIM(C63)="RELEASED IN PROD","Delivered",""))))))))</f>
        <v>On track</v>
      </c>
      <c r="E63" s="50">
        <v>38</v>
      </c>
      <c r="F63" s="51"/>
      <c r="G63" s="50"/>
      <c r="H63" s="50"/>
      <c r="I63" s="50"/>
      <c r="J63" s="50"/>
      <c r="K63" s="52">
        <v>46295</v>
      </c>
      <c r="L63" s="50" t="s">
        <v>216</v>
      </c>
      <c r="M63" s="53"/>
      <c r="N63" s="54"/>
      <c r="O63" s="54"/>
      <c r="P63" s="55"/>
      <c r="Q63" s="54"/>
      <c r="R63" s="54"/>
      <c r="S63" s="56"/>
      <c r="T63" s="54"/>
      <c r="U63" s="54"/>
      <c r="V63" s="57"/>
      <c r="W63" s="54"/>
      <c r="X63" s="50"/>
      <c r="Y63" s="58"/>
      <c r="Z63" s="54"/>
      <c r="AA63" s="59"/>
      <c r="AB63" s="50"/>
      <c r="AC63" s="60" t="s">
        <v>26</v>
      </c>
      <c r="AD63" s="65" t="str">
        <f>IF($B63="","",IF(AND(LEFT($AC63,3)="Yes",SUMPRODUCT((TRIM('Rework Log'!$A$3:$A$500)=TRIM($B63))*('Rework Log'!$G$3:$G$500&lt;&gt;"Yes")*('Rework Log'!$G$3:$G$500&lt;&gt;"Did not pass re-test"))=0),"Blocked - log it on Rework Log",IF(AND(LEFT($AC63,3)&lt;&gt;"Yes",SUMPRODUCT((TRIM('Rework Log'!$A$3:$A$500)=TRIM($B63))*('Rework Log'!$G$3:$G$500&lt;&gt;"Yes")*('Rework Log'!$G$3:$G$500&lt;&gt;"Did not pass re-test"))&gt;0),"Open rework row - mark Blocked? or close it",IF(AND(LEFT($AC63,3)&lt;&gt;"Yes",SUMPRODUCT((TRIM('Rework Log'!$A$3:$A$500)=TRIM($B63))*('Rework Log'!$G$3:$G$500&lt;&gt;"Yes")*('Rework Log'!$G$3:$G$500&lt;&gt;"Did not pass re-test"))=0,COUNTIF('Rework Log'!$A$3:$A$500,$B63)&gt;0,IFERROR(INDEX('Rework Log'!$G:$G,SUMPRODUCT(MAX((TRIM('Rework Log'!$A$3:$A$500)=TRIM($B63))*ROW('Rework Log'!$A$3:$A$500)))),"")="Did not pass re-test"),"Last fix rejected - re-block or log next attempt",IF(AND(LEFT($AC63,3)="Yes",ISNUMBER(SEARCH("needs DB Dev",$AC63)),O63&lt;&gt;"",SUMPRODUCT(MAX(((TRIM('Rework Log'!$A$3:$A$500)=TRIM($B63))*('Rework Log'!$G$3:$G$500&lt;&gt;"Yes")*('Rework Log'!$G$3:$G$500&lt;&gt;"Did not pass re-test"))*IFERROR('Rework Log'!$I$3:$I$500*1,0)))&gt;0),"Move old DB Dev completion date to Rework Log (col H)",IF(AND(LEFT($AC63,3)="Yes",ISNUMBER(SEARCH("needs PBI Dev",$AC63)),R63&lt;&gt;"",SUMPRODUCT(MAX(((TRIM('Rework Log'!$A$3:$A$500)=TRIM($B63))*('Rework Log'!$G$3:$G$500&lt;&gt;"Yes")*('Rework Log'!$G$3:$G$500&lt;&gt;"Did not pass re-test"))*IFERROR('Rework Log'!$I$3:$I$500*1,0)))&gt;0),"Move old PBI Dev completion date to Rework Log (col H)",IF(AND(LEFT($AC63,3)="Yes",ISNUMBER(SEARCH("needs QA",$AC63)),U63&lt;&gt;"",SUMPRODUCT(MAX(((TRIM('Rework Log'!$A$3:$A$500)=TRIM($B63))*('Rework Log'!$G$3:$G$500&lt;&gt;"Yes")*('Rework Log'!$G$3:$G$500&lt;&gt;"Did not pass re-test"))*IFERROR('Rework Log'!$I$3:$I$500*1,0)))&gt;0),"Move old QA completion date to Rework Log (col H)",IF(AND(LEFT($AC63,3)="Yes",ISNUMBER(SEARCH("needs DB Dev",$AC63)),TRIM(C63)&lt;&gt;"DB Dev"),"Set Current Status back to DB Dev",IF(AND(LEFT($AC63,3)="Yes",ISNUMBER(SEARCH("needs PBI Dev",$AC63)),TRIM(C63)&lt;&gt;"PBI Dev"),"Set Current Status back to PBI Dev",IF(AND(LEFT($AC63,3)="Yes",ISNUMBER(SEARCH("needs QA",$AC63)),TRIM(C63)&lt;&gt;"QA"),"Set Current Status back to QA",IF(COUNTIF($B$2:$B$500,$B63)&gt;1,"Duplicate name - check row",IF(AND(TRIM(C63)="RELEASED IN PROD",Y63&lt;&gt;"Yes"),"Released but Confirmed Deployed? is not Yes",IF(COUNTIF('Rework Log'!$A$3:$A$500,$B63)&gt;0,"",IF(AND(S63&lt;&gt;"",M63&lt;&gt;"",S63&lt;M63),"QA target is before DB Dev target",IF(AND(S63&lt;&gt;"",P63&lt;&gt;"",S63&lt;P63),"QA target is before PBI Dev target",IF(AND(V63&lt;&gt;"",S63&lt;&gt;"",V63&lt;S63),"DPO Approval target is before QA target",IF(AND(Z63&lt;&gt;"",V63&lt;&gt;"",Z63&lt;V63),"Confirmed Deployed date is before DPO Approval target","")))))))))))))))))</f>
        <v/>
      </c>
      <c r="AE63" s="61"/>
    </row>
    <row r="64" spans="1:31" x14ac:dyDescent="0.25">
      <c r="A64" s="50" t="s">
        <v>170</v>
      </c>
      <c r="B64" s="50" t="s">
        <v>224</v>
      </c>
      <c r="C64" s="50" t="s">
        <v>204</v>
      </c>
      <c r="D64" s="64" t="str">
        <f ca="1">IF($B64="","",IF(LEFT($AC64,3)="Yes",IF(LEN($AC64)&gt;5,"Blocked - "&amp;MID($AC64,7,100),"Blocked")&amp;IF(SUMPRODUCT((TRIM('Rework Log'!$A$3:$A$500)=TRIM($B64))*('Rework Log'!$G$3:$G$500&lt;&gt;"Yes")*('Rework Log'!$G$3:$G$500&lt;&gt;"Did not pass re-test"))=0,"",IF(SUMPRODUCT(((TRIM('Rework Log'!$A$3:$A$500)=TRIM($B64))*('Rework Log'!$G$3:$G$500&lt;&gt;"Yes")*('Rework Log'!$G$3:$G$500&lt;&gt;"Did not pass re-test"))*ISNUMBER('Rework Log'!$J$3:$J$500))&gt;0," - fixed, awaiting re-test",IF(SUMPRODUCT(MAX(((TRIM('Rework Log'!$A$3:$A$500)=TRIM($B64))*('Rework Log'!$G$3:$G$500&lt;&gt;"Yes")*('Rework Log'!$G$3:$G$500&lt;&gt;"Did not pass re-test"))*IFERROR('Rework Log'!$I$3:$I$500*1,0)))=0," - unclaimed"," - promised "&amp;TEXT(SUMPRODUCT(MAX(((TRIM('Rework Log'!$A$3:$A$500)=TRIM($B64))*('Rework Log'!$G$3:$G$500&lt;&gt;"Yes")*('Rework Log'!$G$3:$G$500&lt;&gt;"Did not pass re-test"))*IFERROR('Rework Log'!$I$3:$I$500*1,0))),"m/d")))),IF(TRIM(C64)="NOT STARTED",IF(K64="","No plan date set",IF(K64&lt;TODAY(),"Review - planned start passed","On track")),IF(TRIM(C64)="DB Dev",IF(M64="","No target set",IF(AND(M64&lt;TODAY(),O64=""),"Overdue","On track")),IF(TRIM(C64)="PBI Dev",IF(P64="","No target set",IF(AND(P64&lt;TODAY(),R64=""),"Overdue","On track")),IF(TRIM(C64)="QA",IF(S64="","No target set",IF(AND(S64&lt;TODAY(),U64=""),"Overdue","On track")),IF(TRIM(C64)="DPO Approval",IF(V64="","No target set",IF(V64&lt;TODAY(),"Overdue","On track")),IF(TRIM(C64)="RELEASED IN PROD","Delivered",""))))))))</f>
        <v>On track</v>
      </c>
      <c r="E64" s="50">
        <v>39</v>
      </c>
      <c r="F64" s="51"/>
      <c r="G64" s="50"/>
      <c r="H64" s="50"/>
      <c r="I64" s="50"/>
      <c r="J64" s="50"/>
      <c r="K64" s="52">
        <v>46295</v>
      </c>
      <c r="L64" s="50" t="s">
        <v>216</v>
      </c>
      <c r="M64" s="53"/>
      <c r="N64" s="54"/>
      <c r="O64" s="54"/>
      <c r="P64" s="55"/>
      <c r="Q64" s="54"/>
      <c r="R64" s="54"/>
      <c r="S64" s="56"/>
      <c r="T64" s="54"/>
      <c r="U64" s="54"/>
      <c r="V64" s="57"/>
      <c r="W64" s="54"/>
      <c r="X64" s="50"/>
      <c r="Y64" s="58"/>
      <c r="Z64" s="54"/>
      <c r="AA64" s="59"/>
      <c r="AB64" s="50"/>
      <c r="AC64" s="60" t="s">
        <v>26</v>
      </c>
      <c r="AD64" s="65" t="str">
        <f>IF($B64="","",IF(AND(LEFT($AC64,3)="Yes",SUMPRODUCT((TRIM('Rework Log'!$A$3:$A$500)=TRIM($B64))*('Rework Log'!$G$3:$G$500&lt;&gt;"Yes")*('Rework Log'!$G$3:$G$500&lt;&gt;"Did not pass re-test"))=0),"Blocked - log it on Rework Log",IF(AND(LEFT($AC64,3)&lt;&gt;"Yes",SUMPRODUCT((TRIM('Rework Log'!$A$3:$A$500)=TRIM($B64))*('Rework Log'!$G$3:$G$500&lt;&gt;"Yes")*('Rework Log'!$G$3:$G$500&lt;&gt;"Did not pass re-test"))&gt;0),"Open rework row - mark Blocked? or close it",IF(AND(LEFT($AC64,3)&lt;&gt;"Yes",SUMPRODUCT((TRIM('Rework Log'!$A$3:$A$500)=TRIM($B64))*('Rework Log'!$G$3:$G$500&lt;&gt;"Yes")*('Rework Log'!$G$3:$G$500&lt;&gt;"Did not pass re-test"))=0,COUNTIF('Rework Log'!$A$3:$A$500,$B64)&gt;0,IFERROR(INDEX('Rework Log'!$G:$G,SUMPRODUCT(MAX((TRIM('Rework Log'!$A$3:$A$500)=TRIM($B64))*ROW('Rework Log'!$A$3:$A$500)))),"")="Did not pass re-test"),"Last fix rejected - re-block or log next attempt",IF(AND(LEFT($AC64,3)="Yes",ISNUMBER(SEARCH("needs DB Dev",$AC64)),O64&lt;&gt;"",SUMPRODUCT(MAX(((TRIM('Rework Log'!$A$3:$A$500)=TRIM($B64))*('Rework Log'!$G$3:$G$500&lt;&gt;"Yes")*('Rework Log'!$G$3:$G$500&lt;&gt;"Did not pass re-test"))*IFERROR('Rework Log'!$I$3:$I$500*1,0)))&gt;0),"Move old DB Dev completion date to Rework Log (col H)",IF(AND(LEFT($AC64,3)="Yes",ISNUMBER(SEARCH("needs PBI Dev",$AC64)),R64&lt;&gt;"",SUMPRODUCT(MAX(((TRIM('Rework Log'!$A$3:$A$500)=TRIM($B64))*('Rework Log'!$G$3:$G$500&lt;&gt;"Yes")*('Rework Log'!$G$3:$G$500&lt;&gt;"Did not pass re-test"))*IFERROR('Rework Log'!$I$3:$I$500*1,0)))&gt;0),"Move old PBI Dev completion date to Rework Log (col H)",IF(AND(LEFT($AC64,3)="Yes",ISNUMBER(SEARCH("needs QA",$AC64)),U64&lt;&gt;"",SUMPRODUCT(MAX(((TRIM('Rework Log'!$A$3:$A$500)=TRIM($B64))*('Rework Log'!$G$3:$G$500&lt;&gt;"Yes")*('Rework Log'!$G$3:$G$500&lt;&gt;"Did not pass re-test"))*IFERROR('Rework Log'!$I$3:$I$500*1,0)))&gt;0),"Move old QA completion date to Rework Log (col H)",IF(AND(LEFT($AC64,3)="Yes",ISNUMBER(SEARCH("needs DB Dev",$AC64)),TRIM(C64)&lt;&gt;"DB Dev"),"Set Current Status back to DB Dev",IF(AND(LEFT($AC64,3)="Yes",ISNUMBER(SEARCH("needs PBI Dev",$AC64)),TRIM(C64)&lt;&gt;"PBI Dev"),"Set Current Status back to PBI Dev",IF(AND(LEFT($AC64,3)="Yes",ISNUMBER(SEARCH("needs QA",$AC64)),TRIM(C64)&lt;&gt;"QA"),"Set Current Status back to QA",IF(COUNTIF($B$2:$B$500,$B64)&gt;1,"Duplicate name - check row",IF(AND(TRIM(C64)="RELEASED IN PROD",Y64&lt;&gt;"Yes"),"Released but Confirmed Deployed? is not Yes",IF(COUNTIF('Rework Log'!$A$3:$A$500,$B64)&gt;0,"",IF(AND(S64&lt;&gt;"",M64&lt;&gt;"",S64&lt;M64),"QA target is before DB Dev target",IF(AND(S64&lt;&gt;"",P64&lt;&gt;"",S64&lt;P64),"QA target is before PBI Dev target",IF(AND(V64&lt;&gt;"",S64&lt;&gt;"",V64&lt;S64),"DPO Approval target is before QA target",IF(AND(Z64&lt;&gt;"",V64&lt;&gt;"",Z64&lt;V64),"Confirmed Deployed date is before DPO Approval target","")))))))))))))))))</f>
        <v/>
      </c>
      <c r="AE64" s="61"/>
    </row>
    <row r="65" spans="1:31" x14ac:dyDescent="0.25">
      <c r="A65" s="50" t="s">
        <v>170</v>
      </c>
      <c r="B65" s="50" t="s">
        <v>225</v>
      </c>
      <c r="C65" s="50" t="s">
        <v>204</v>
      </c>
      <c r="D65" s="64" t="str">
        <f ca="1">IF($B65="","",IF(LEFT($AC65,3)="Yes",IF(LEN($AC65)&gt;5,"Blocked - "&amp;MID($AC65,7,100),"Blocked")&amp;IF(SUMPRODUCT((TRIM('Rework Log'!$A$3:$A$500)=TRIM($B65))*('Rework Log'!$G$3:$G$500&lt;&gt;"Yes")*('Rework Log'!$G$3:$G$500&lt;&gt;"Did not pass re-test"))=0,"",IF(SUMPRODUCT(((TRIM('Rework Log'!$A$3:$A$500)=TRIM($B65))*('Rework Log'!$G$3:$G$500&lt;&gt;"Yes")*('Rework Log'!$G$3:$G$500&lt;&gt;"Did not pass re-test"))*ISNUMBER('Rework Log'!$J$3:$J$500))&gt;0," - fixed, awaiting re-test",IF(SUMPRODUCT(MAX(((TRIM('Rework Log'!$A$3:$A$500)=TRIM($B65))*('Rework Log'!$G$3:$G$500&lt;&gt;"Yes")*('Rework Log'!$G$3:$G$500&lt;&gt;"Did not pass re-test"))*IFERROR('Rework Log'!$I$3:$I$500*1,0)))=0," - unclaimed"," - promised "&amp;TEXT(SUMPRODUCT(MAX(((TRIM('Rework Log'!$A$3:$A$500)=TRIM($B65))*('Rework Log'!$G$3:$G$500&lt;&gt;"Yes")*('Rework Log'!$G$3:$G$500&lt;&gt;"Did not pass re-test"))*IFERROR('Rework Log'!$I$3:$I$500*1,0))),"m/d")))),IF(TRIM(C65)="NOT STARTED",IF(K65="","No plan date set",IF(K65&lt;TODAY(),"Review - planned start passed","On track")),IF(TRIM(C65)="DB Dev",IF(M65="","No target set",IF(AND(M65&lt;TODAY(),O65=""),"Overdue","On track")),IF(TRIM(C65)="PBI Dev",IF(P65="","No target set",IF(AND(P65&lt;TODAY(),R65=""),"Overdue","On track")),IF(TRIM(C65)="QA",IF(S65="","No target set",IF(AND(S65&lt;TODAY(),U65=""),"Overdue","On track")),IF(TRIM(C65)="DPO Approval",IF(V65="","No target set",IF(V65&lt;TODAY(),"Overdue","On track")),IF(TRIM(C65)="RELEASED IN PROD","Delivered",""))))))))</f>
        <v>On track</v>
      </c>
      <c r="E65" s="50">
        <v>40</v>
      </c>
      <c r="F65" s="51"/>
      <c r="G65" s="50"/>
      <c r="H65" s="50"/>
      <c r="I65" s="50"/>
      <c r="J65" s="50"/>
      <c r="K65" s="52">
        <v>46295</v>
      </c>
      <c r="L65" s="50" t="s">
        <v>216</v>
      </c>
      <c r="M65" s="53"/>
      <c r="N65" s="54"/>
      <c r="O65" s="54"/>
      <c r="P65" s="55"/>
      <c r="Q65" s="54"/>
      <c r="R65" s="54"/>
      <c r="S65" s="56"/>
      <c r="T65" s="54"/>
      <c r="U65" s="54"/>
      <c r="V65" s="57"/>
      <c r="W65" s="54"/>
      <c r="X65" s="50"/>
      <c r="Y65" s="58"/>
      <c r="Z65" s="54"/>
      <c r="AA65" s="59"/>
      <c r="AB65" s="50"/>
      <c r="AC65" s="60" t="s">
        <v>26</v>
      </c>
      <c r="AD65" s="65" t="str">
        <f>IF($B65="","",IF(AND(LEFT($AC65,3)="Yes",SUMPRODUCT((TRIM('Rework Log'!$A$3:$A$500)=TRIM($B65))*('Rework Log'!$G$3:$G$500&lt;&gt;"Yes")*('Rework Log'!$G$3:$G$500&lt;&gt;"Did not pass re-test"))=0),"Blocked - log it on Rework Log",IF(AND(LEFT($AC65,3)&lt;&gt;"Yes",SUMPRODUCT((TRIM('Rework Log'!$A$3:$A$500)=TRIM($B65))*('Rework Log'!$G$3:$G$500&lt;&gt;"Yes")*('Rework Log'!$G$3:$G$500&lt;&gt;"Did not pass re-test"))&gt;0),"Open rework row - mark Blocked? or close it",IF(AND(LEFT($AC65,3)&lt;&gt;"Yes",SUMPRODUCT((TRIM('Rework Log'!$A$3:$A$500)=TRIM($B65))*('Rework Log'!$G$3:$G$500&lt;&gt;"Yes")*('Rework Log'!$G$3:$G$500&lt;&gt;"Did not pass re-test"))=0,COUNTIF('Rework Log'!$A$3:$A$500,$B65)&gt;0,IFERROR(INDEX('Rework Log'!$G:$G,SUMPRODUCT(MAX((TRIM('Rework Log'!$A$3:$A$500)=TRIM($B65))*ROW('Rework Log'!$A$3:$A$500)))),"")="Did not pass re-test"),"Last fix rejected - re-block or log next attempt",IF(AND(LEFT($AC65,3)="Yes",ISNUMBER(SEARCH("needs DB Dev",$AC65)),O65&lt;&gt;"",SUMPRODUCT(MAX(((TRIM('Rework Log'!$A$3:$A$500)=TRIM($B65))*('Rework Log'!$G$3:$G$500&lt;&gt;"Yes")*('Rework Log'!$G$3:$G$500&lt;&gt;"Did not pass re-test"))*IFERROR('Rework Log'!$I$3:$I$500*1,0)))&gt;0),"Move old DB Dev completion date to Rework Log (col H)",IF(AND(LEFT($AC65,3)="Yes",ISNUMBER(SEARCH("needs PBI Dev",$AC65)),R65&lt;&gt;"",SUMPRODUCT(MAX(((TRIM('Rework Log'!$A$3:$A$500)=TRIM($B65))*('Rework Log'!$G$3:$G$500&lt;&gt;"Yes")*('Rework Log'!$G$3:$G$500&lt;&gt;"Did not pass re-test"))*IFERROR('Rework Log'!$I$3:$I$500*1,0)))&gt;0),"Move old PBI Dev completion date to Rework Log (col H)",IF(AND(LEFT($AC65,3)="Yes",ISNUMBER(SEARCH("needs QA",$AC65)),U65&lt;&gt;"",SUMPRODUCT(MAX(((TRIM('Rework Log'!$A$3:$A$500)=TRIM($B65))*('Rework Log'!$G$3:$G$500&lt;&gt;"Yes")*('Rework Log'!$G$3:$G$500&lt;&gt;"Did not pass re-test"))*IFERROR('Rework Log'!$I$3:$I$500*1,0)))&gt;0),"Move old QA completion date to Rework Log (col H)",IF(AND(LEFT($AC65,3)="Yes",ISNUMBER(SEARCH("needs DB Dev",$AC65)),TRIM(C65)&lt;&gt;"DB Dev"),"Set Current Status back to DB Dev",IF(AND(LEFT($AC65,3)="Yes",ISNUMBER(SEARCH("needs PBI Dev",$AC65)),TRIM(C65)&lt;&gt;"PBI Dev"),"Set Current Status back to PBI Dev",IF(AND(LEFT($AC65,3)="Yes",ISNUMBER(SEARCH("needs QA",$AC65)),TRIM(C65)&lt;&gt;"QA"),"Set Current Status back to QA",IF(COUNTIF($B$2:$B$500,$B65)&gt;1,"Duplicate name - check row",IF(AND(TRIM(C65)="RELEASED IN PROD",Y65&lt;&gt;"Yes"),"Released but Confirmed Deployed? is not Yes",IF(COUNTIF('Rework Log'!$A$3:$A$500,$B65)&gt;0,"",IF(AND(S65&lt;&gt;"",M65&lt;&gt;"",S65&lt;M65),"QA target is before DB Dev target",IF(AND(S65&lt;&gt;"",P65&lt;&gt;"",S65&lt;P65),"QA target is before PBI Dev target",IF(AND(V65&lt;&gt;"",S65&lt;&gt;"",V65&lt;S65),"DPO Approval target is before QA target",IF(AND(Z65&lt;&gt;"",V65&lt;&gt;"",Z65&lt;V65),"Confirmed Deployed date is before DPO Approval target","")))))))))))))))))</f>
        <v/>
      </c>
      <c r="AE65" s="61"/>
    </row>
    <row r="66" spans="1:31" x14ac:dyDescent="0.25">
      <c r="A66" s="50" t="s">
        <v>170</v>
      </c>
      <c r="B66" s="50" t="s">
        <v>226</v>
      </c>
      <c r="C66" s="50" t="s">
        <v>204</v>
      </c>
      <c r="D66" s="64" t="str">
        <f ca="1">IF($B66="","",IF(LEFT($AC66,3)="Yes",IF(LEN($AC66)&gt;5,"Blocked - "&amp;MID($AC66,7,100),"Blocked")&amp;IF(SUMPRODUCT((TRIM('Rework Log'!$A$3:$A$500)=TRIM($B66))*('Rework Log'!$G$3:$G$500&lt;&gt;"Yes")*('Rework Log'!$G$3:$G$500&lt;&gt;"Did not pass re-test"))=0,"",IF(SUMPRODUCT(((TRIM('Rework Log'!$A$3:$A$500)=TRIM($B66))*('Rework Log'!$G$3:$G$500&lt;&gt;"Yes")*('Rework Log'!$G$3:$G$500&lt;&gt;"Did not pass re-test"))*ISNUMBER('Rework Log'!$J$3:$J$500))&gt;0," - fixed, awaiting re-test",IF(SUMPRODUCT(MAX(((TRIM('Rework Log'!$A$3:$A$500)=TRIM($B66))*('Rework Log'!$G$3:$G$500&lt;&gt;"Yes")*('Rework Log'!$G$3:$G$500&lt;&gt;"Did not pass re-test"))*IFERROR('Rework Log'!$I$3:$I$500*1,0)))=0," - unclaimed"," - promised "&amp;TEXT(SUMPRODUCT(MAX(((TRIM('Rework Log'!$A$3:$A$500)=TRIM($B66))*('Rework Log'!$G$3:$G$500&lt;&gt;"Yes")*('Rework Log'!$G$3:$G$500&lt;&gt;"Did not pass re-test"))*IFERROR('Rework Log'!$I$3:$I$500*1,0))),"m/d")))),IF(TRIM(C66)="NOT STARTED",IF(K66="","No plan date set",IF(K66&lt;TODAY(),"Review - planned start passed","On track")),IF(TRIM(C66)="DB Dev",IF(M66="","No target set",IF(AND(M66&lt;TODAY(),O66=""),"Overdue","On track")),IF(TRIM(C66)="PBI Dev",IF(P66="","No target set",IF(AND(P66&lt;TODAY(),R66=""),"Overdue","On track")),IF(TRIM(C66)="QA",IF(S66="","No target set",IF(AND(S66&lt;TODAY(),U66=""),"Overdue","On track")),IF(TRIM(C66)="DPO Approval",IF(V66="","No target set",IF(V66&lt;TODAY(),"Overdue","On track")),IF(TRIM(C66)="RELEASED IN PROD","Delivered",""))))))))</f>
        <v>On track</v>
      </c>
      <c r="E66" s="50">
        <v>41</v>
      </c>
      <c r="F66" s="51"/>
      <c r="G66" s="50"/>
      <c r="H66" s="50"/>
      <c r="I66" s="50"/>
      <c r="J66" s="50"/>
      <c r="K66" s="52">
        <v>46295</v>
      </c>
      <c r="L66" s="50" t="s">
        <v>216</v>
      </c>
      <c r="M66" s="53"/>
      <c r="N66" s="54"/>
      <c r="O66" s="54"/>
      <c r="P66" s="55"/>
      <c r="Q66" s="54"/>
      <c r="R66" s="54"/>
      <c r="S66" s="56"/>
      <c r="T66" s="54"/>
      <c r="U66" s="54"/>
      <c r="V66" s="57"/>
      <c r="W66" s="54"/>
      <c r="X66" s="50"/>
      <c r="Y66" s="58"/>
      <c r="Z66" s="54"/>
      <c r="AA66" s="59"/>
      <c r="AB66" s="50"/>
      <c r="AC66" s="60" t="s">
        <v>26</v>
      </c>
      <c r="AD66" s="65" t="str">
        <f>IF($B66="","",IF(AND(LEFT($AC66,3)="Yes",SUMPRODUCT((TRIM('Rework Log'!$A$3:$A$500)=TRIM($B66))*('Rework Log'!$G$3:$G$500&lt;&gt;"Yes")*('Rework Log'!$G$3:$G$500&lt;&gt;"Did not pass re-test"))=0),"Blocked - log it on Rework Log",IF(AND(LEFT($AC66,3)&lt;&gt;"Yes",SUMPRODUCT((TRIM('Rework Log'!$A$3:$A$500)=TRIM($B66))*('Rework Log'!$G$3:$G$500&lt;&gt;"Yes")*('Rework Log'!$G$3:$G$500&lt;&gt;"Did not pass re-test"))&gt;0),"Open rework row - mark Blocked? or close it",IF(AND(LEFT($AC66,3)&lt;&gt;"Yes",SUMPRODUCT((TRIM('Rework Log'!$A$3:$A$500)=TRIM($B66))*('Rework Log'!$G$3:$G$500&lt;&gt;"Yes")*('Rework Log'!$G$3:$G$500&lt;&gt;"Did not pass re-test"))=0,COUNTIF('Rework Log'!$A$3:$A$500,$B66)&gt;0,IFERROR(INDEX('Rework Log'!$G:$G,SUMPRODUCT(MAX((TRIM('Rework Log'!$A$3:$A$500)=TRIM($B66))*ROW('Rework Log'!$A$3:$A$500)))),"")="Did not pass re-test"),"Last fix rejected - re-block or log next attempt",IF(AND(LEFT($AC66,3)="Yes",ISNUMBER(SEARCH("needs DB Dev",$AC66)),O66&lt;&gt;"",SUMPRODUCT(MAX(((TRIM('Rework Log'!$A$3:$A$500)=TRIM($B66))*('Rework Log'!$G$3:$G$500&lt;&gt;"Yes")*('Rework Log'!$G$3:$G$500&lt;&gt;"Did not pass re-test"))*IFERROR('Rework Log'!$I$3:$I$500*1,0)))&gt;0),"Move old DB Dev completion date to Rework Log (col H)",IF(AND(LEFT($AC66,3)="Yes",ISNUMBER(SEARCH("needs PBI Dev",$AC66)),R66&lt;&gt;"",SUMPRODUCT(MAX(((TRIM('Rework Log'!$A$3:$A$500)=TRIM($B66))*('Rework Log'!$G$3:$G$500&lt;&gt;"Yes")*('Rework Log'!$G$3:$G$500&lt;&gt;"Did not pass re-test"))*IFERROR('Rework Log'!$I$3:$I$500*1,0)))&gt;0),"Move old PBI Dev completion date to Rework Log (col H)",IF(AND(LEFT($AC66,3)="Yes",ISNUMBER(SEARCH("needs QA",$AC66)),U66&lt;&gt;"",SUMPRODUCT(MAX(((TRIM('Rework Log'!$A$3:$A$500)=TRIM($B66))*('Rework Log'!$G$3:$G$500&lt;&gt;"Yes")*('Rework Log'!$G$3:$G$500&lt;&gt;"Did not pass re-test"))*IFERROR('Rework Log'!$I$3:$I$500*1,0)))&gt;0),"Move old QA completion date to Rework Log (col H)",IF(AND(LEFT($AC66,3)="Yes",ISNUMBER(SEARCH("needs DB Dev",$AC66)),TRIM(C66)&lt;&gt;"DB Dev"),"Set Current Status back to DB Dev",IF(AND(LEFT($AC66,3)="Yes",ISNUMBER(SEARCH("needs PBI Dev",$AC66)),TRIM(C66)&lt;&gt;"PBI Dev"),"Set Current Status back to PBI Dev",IF(AND(LEFT($AC66,3)="Yes",ISNUMBER(SEARCH("needs QA",$AC66)),TRIM(C66)&lt;&gt;"QA"),"Set Current Status back to QA",IF(COUNTIF($B$2:$B$500,$B66)&gt;1,"Duplicate name - check row",IF(AND(TRIM(C66)="RELEASED IN PROD",Y66&lt;&gt;"Yes"),"Released but Confirmed Deployed? is not Yes",IF(COUNTIF('Rework Log'!$A$3:$A$500,$B66)&gt;0,"",IF(AND(S66&lt;&gt;"",M66&lt;&gt;"",S66&lt;M66),"QA target is before DB Dev target",IF(AND(S66&lt;&gt;"",P66&lt;&gt;"",S66&lt;P66),"QA target is before PBI Dev target",IF(AND(V66&lt;&gt;"",S66&lt;&gt;"",V66&lt;S66),"DPO Approval target is before QA target",IF(AND(Z66&lt;&gt;"",V66&lt;&gt;"",Z66&lt;V66),"Confirmed Deployed date is before DPO Approval target","")))))))))))))))))</f>
        <v/>
      </c>
      <c r="AE66" s="61"/>
    </row>
    <row r="67" spans="1:31" x14ac:dyDescent="0.25">
      <c r="A67" s="50" t="s">
        <v>170</v>
      </c>
      <c r="B67" s="50" t="s">
        <v>227</v>
      </c>
      <c r="C67" s="50" t="s">
        <v>204</v>
      </c>
      <c r="D67" s="64" t="str">
        <f ca="1">IF($B67="","",IF(LEFT($AC67,3)="Yes",IF(LEN($AC67)&gt;5,"Blocked - "&amp;MID($AC67,7,100),"Blocked")&amp;IF(SUMPRODUCT((TRIM('Rework Log'!$A$3:$A$500)=TRIM($B67))*('Rework Log'!$G$3:$G$500&lt;&gt;"Yes")*('Rework Log'!$G$3:$G$500&lt;&gt;"Did not pass re-test"))=0,"",IF(SUMPRODUCT(((TRIM('Rework Log'!$A$3:$A$500)=TRIM($B67))*('Rework Log'!$G$3:$G$500&lt;&gt;"Yes")*('Rework Log'!$G$3:$G$500&lt;&gt;"Did not pass re-test"))*ISNUMBER('Rework Log'!$J$3:$J$500))&gt;0," - fixed, awaiting re-test",IF(SUMPRODUCT(MAX(((TRIM('Rework Log'!$A$3:$A$500)=TRIM($B67))*('Rework Log'!$G$3:$G$500&lt;&gt;"Yes")*('Rework Log'!$G$3:$G$500&lt;&gt;"Did not pass re-test"))*IFERROR('Rework Log'!$I$3:$I$500*1,0)))=0," - unclaimed"," - promised "&amp;TEXT(SUMPRODUCT(MAX(((TRIM('Rework Log'!$A$3:$A$500)=TRIM($B67))*('Rework Log'!$G$3:$G$500&lt;&gt;"Yes")*('Rework Log'!$G$3:$G$500&lt;&gt;"Did not pass re-test"))*IFERROR('Rework Log'!$I$3:$I$500*1,0))),"m/d")))),IF(TRIM(C67)="NOT STARTED",IF(K67="","No plan date set",IF(K67&lt;TODAY(),"Review - planned start passed","On track")),IF(TRIM(C67)="DB Dev",IF(M67="","No target set",IF(AND(M67&lt;TODAY(),O67=""),"Overdue","On track")),IF(TRIM(C67)="PBI Dev",IF(P67="","No target set",IF(AND(P67&lt;TODAY(),R67=""),"Overdue","On track")),IF(TRIM(C67)="QA",IF(S67="","No target set",IF(AND(S67&lt;TODAY(),U67=""),"Overdue","On track")),IF(TRIM(C67)="DPO Approval",IF(V67="","No target set",IF(V67&lt;TODAY(),"Overdue","On track")),IF(TRIM(C67)="RELEASED IN PROD","Delivered",""))))))))</f>
        <v>On track</v>
      </c>
      <c r="E67" s="50">
        <v>42</v>
      </c>
      <c r="F67" s="51"/>
      <c r="G67" s="50"/>
      <c r="H67" s="50"/>
      <c r="I67" s="50"/>
      <c r="J67" s="50"/>
      <c r="K67" s="52">
        <v>46295</v>
      </c>
      <c r="L67" s="50" t="s">
        <v>216</v>
      </c>
      <c r="M67" s="53"/>
      <c r="N67" s="54"/>
      <c r="O67" s="54"/>
      <c r="P67" s="55"/>
      <c r="Q67" s="54"/>
      <c r="R67" s="54"/>
      <c r="S67" s="56"/>
      <c r="T67" s="54"/>
      <c r="U67" s="54"/>
      <c r="V67" s="57"/>
      <c r="W67" s="54"/>
      <c r="X67" s="50"/>
      <c r="Y67" s="58"/>
      <c r="Z67" s="54"/>
      <c r="AA67" s="59"/>
      <c r="AB67" s="50"/>
      <c r="AC67" s="60" t="s">
        <v>26</v>
      </c>
      <c r="AD67" s="65" t="str">
        <f>IF($B67="","",IF(AND(LEFT($AC67,3)="Yes",SUMPRODUCT((TRIM('Rework Log'!$A$3:$A$500)=TRIM($B67))*('Rework Log'!$G$3:$G$500&lt;&gt;"Yes")*('Rework Log'!$G$3:$G$500&lt;&gt;"Did not pass re-test"))=0),"Blocked - log it on Rework Log",IF(AND(LEFT($AC67,3)&lt;&gt;"Yes",SUMPRODUCT((TRIM('Rework Log'!$A$3:$A$500)=TRIM($B67))*('Rework Log'!$G$3:$G$500&lt;&gt;"Yes")*('Rework Log'!$G$3:$G$500&lt;&gt;"Did not pass re-test"))&gt;0),"Open rework row - mark Blocked? or close it",IF(AND(LEFT($AC67,3)&lt;&gt;"Yes",SUMPRODUCT((TRIM('Rework Log'!$A$3:$A$500)=TRIM($B67))*('Rework Log'!$G$3:$G$500&lt;&gt;"Yes")*('Rework Log'!$G$3:$G$500&lt;&gt;"Did not pass re-test"))=0,COUNTIF('Rework Log'!$A$3:$A$500,$B67)&gt;0,IFERROR(INDEX('Rework Log'!$G:$G,SUMPRODUCT(MAX((TRIM('Rework Log'!$A$3:$A$500)=TRIM($B67))*ROW('Rework Log'!$A$3:$A$500)))),"")="Did not pass re-test"),"Last fix rejected - re-block or log next attempt",IF(AND(LEFT($AC67,3)="Yes",ISNUMBER(SEARCH("needs DB Dev",$AC67)),O67&lt;&gt;"",SUMPRODUCT(MAX(((TRIM('Rework Log'!$A$3:$A$500)=TRIM($B67))*('Rework Log'!$G$3:$G$500&lt;&gt;"Yes")*('Rework Log'!$G$3:$G$500&lt;&gt;"Did not pass re-test"))*IFERROR('Rework Log'!$I$3:$I$500*1,0)))&gt;0),"Move old DB Dev completion date to Rework Log (col H)",IF(AND(LEFT($AC67,3)="Yes",ISNUMBER(SEARCH("needs PBI Dev",$AC67)),R67&lt;&gt;"",SUMPRODUCT(MAX(((TRIM('Rework Log'!$A$3:$A$500)=TRIM($B67))*('Rework Log'!$G$3:$G$500&lt;&gt;"Yes")*('Rework Log'!$G$3:$G$500&lt;&gt;"Did not pass re-test"))*IFERROR('Rework Log'!$I$3:$I$500*1,0)))&gt;0),"Move old PBI Dev completion date to Rework Log (col H)",IF(AND(LEFT($AC67,3)="Yes",ISNUMBER(SEARCH("needs QA",$AC67)),U67&lt;&gt;"",SUMPRODUCT(MAX(((TRIM('Rework Log'!$A$3:$A$500)=TRIM($B67))*('Rework Log'!$G$3:$G$500&lt;&gt;"Yes")*('Rework Log'!$G$3:$G$500&lt;&gt;"Did not pass re-test"))*IFERROR('Rework Log'!$I$3:$I$500*1,0)))&gt;0),"Move old QA completion date to Rework Log (col H)",IF(AND(LEFT($AC67,3)="Yes",ISNUMBER(SEARCH("needs DB Dev",$AC67)),TRIM(C67)&lt;&gt;"DB Dev"),"Set Current Status back to DB Dev",IF(AND(LEFT($AC67,3)="Yes",ISNUMBER(SEARCH("needs PBI Dev",$AC67)),TRIM(C67)&lt;&gt;"PBI Dev"),"Set Current Status back to PBI Dev",IF(AND(LEFT($AC67,3)="Yes",ISNUMBER(SEARCH("needs QA",$AC67)),TRIM(C67)&lt;&gt;"QA"),"Set Current Status back to QA",IF(COUNTIF($B$2:$B$500,$B67)&gt;1,"Duplicate name - check row",IF(AND(TRIM(C67)="RELEASED IN PROD",Y67&lt;&gt;"Yes"),"Released but Confirmed Deployed? is not Yes",IF(COUNTIF('Rework Log'!$A$3:$A$500,$B67)&gt;0,"",IF(AND(S67&lt;&gt;"",M67&lt;&gt;"",S67&lt;M67),"QA target is before DB Dev target",IF(AND(S67&lt;&gt;"",P67&lt;&gt;"",S67&lt;P67),"QA target is before PBI Dev target",IF(AND(V67&lt;&gt;"",S67&lt;&gt;"",V67&lt;S67),"DPO Approval target is before QA target",IF(AND(Z67&lt;&gt;"",V67&lt;&gt;"",Z67&lt;V67),"Confirmed Deployed date is before DPO Approval target","")))))))))))))))))</f>
        <v/>
      </c>
      <c r="AE67" s="61"/>
    </row>
    <row r="68" spans="1:31" x14ac:dyDescent="0.25">
      <c r="A68" s="50" t="s">
        <v>170</v>
      </c>
      <c r="B68" s="50" t="s">
        <v>228</v>
      </c>
      <c r="C68" s="50" t="s">
        <v>204</v>
      </c>
      <c r="D68" s="64" t="str">
        <f ca="1">IF($B68="","",IF(LEFT($AC68,3)="Yes",IF(LEN($AC68)&gt;5,"Blocked - "&amp;MID($AC68,7,100),"Blocked")&amp;IF(SUMPRODUCT((TRIM('Rework Log'!$A$3:$A$500)=TRIM($B68))*('Rework Log'!$G$3:$G$500&lt;&gt;"Yes")*('Rework Log'!$G$3:$G$500&lt;&gt;"Did not pass re-test"))=0,"",IF(SUMPRODUCT(((TRIM('Rework Log'!$A$3:$A$500)=TRIM($B68))*('Rework Log'!$G$3:$G$500&lt;&gt;"Yes")*('Rework Log'!$G$3:$G$500&lt;&gt;"Did not pass re-test"))*ISNUMBER('Rework Log'!$J$3:$J$500))&gt;0," - fixed, awaiting re-test",IF(SUMPRODUCT(MAX(((TRIM('Rework Log'!$A$3:$A$500)=TRIM($B68))*('Rework Log'!$G$3:$G$500&lt;&gt;"Yes")*('Rework Log'!$G$3:$G$500&lt;&gt;"Did not pass re-test"))*IFERROR('Rework Log'!$I$3:$I$500*1,0)))=0," - unclaimed"," - promised "&amp;TEXT(SUMPRODUCT(MAX(((TRIM('Rework Log'!$A$3:$A$500)=TRIM($B68))*('Rework Log'!$G$3:$G$500&lt;&gt;"Yes")*('Rework Log'!$G$3:$G$500&lt;&gt;"Did not pass re-test"))*IFERROR('Rework Log'!$I$3:$I$500*1,0))),"m/d")))),IF(TRIM(C68)="NOT STARTED",IF(K68="","No plan date set",IF(K68&lt;TODAY(),"Review - planned start passed","On track")),IF(TRIM(C68)="DB Dev",IF(M68="","No target set",IF(AND(M68&lt;TODAY(),O68=""),"Overdue","On track")),IF(TRIM(C68)="PBI Dev",IF(P68="","No target set",IF(AND(P68&lt;TODAY(),R68=""),"Overdue","On track")),IF(TRIM(C68)="QA",IF(S68="","No target set",IF(AND(S68&lt;TODAY(),U68=""),"Overdue","On track")),IF(TRIM(C68)="DPO Approval",IF(V68="","No target set",IF(V68&lt;TODAY(),"Overdue","On track")),IF(TRIM(C68)="RELEASED IN PROD","Delivered",""))))))))</f>
        <v>On track</v>
      </c>
      <c r="E68" s="50">
        <v>43</v>
      </c>
      <c r="F68" s="51"/>
      <c r="G68" s="50"/>
      <c r="H68" s="50"/>
      <c r="I68" s="50"/>
      <c r="J68" s="50"/>
      <c r="K68" s="52">
        <v>46295</v>
      </c>
      <c r="L68" s="50" t="s">
        <v>216</v>
      </c>
      <c r="M68" s="53"/>
      <c r="N68" s="54"/>
      <c r="O68" s="54"/>
      <c r="P68" s="55"/>
      <c r="Q68" s="54"/>
      <c r="R68" s="54"/>
      <c r="S68" s="56"/>
      <c r="T68" s="54"/>
      <c r="U68" s="54"/>
      <c r="V68" s="57"/>
      <c r="W68" s="54"/>
      <c r="X68" s="50"/>
      <c r="Y68" s="58"/>
      <c r="Z68" s="54"/>
      <c r="AA68" s="59"/>
      <c r="AB68" s="50"/>
      <c r="AC68" s="60" t="s">
        <v>26</v>
      </c>
      <c r="AD68" s="65" t="str">
        <f>IF($B68="","",IF(AND(LEFT($AC68,3)="Yes",SUMPRODUCT((TRIM('Rework Log'!$A$3:$A$500)=TRIM($B68))*('Rework Log'!$G$3:$G$500&lt;&gt;"Yes")*('Rework Log'!$G$3:$G$500&lt;&gt;"Did not pass re-test"))=0),"Blocked - log it on Rework Log",IF(AND(LEFT($AC68,3)&lt;&gt;"Yes",SUMPRODUCT((TRIM('Rework Log'!$A$3:$A$500)=TRIM($B68))*('Rework Log'!$G$3:$G$500&lt;&gt;"Yes")*('Rework Log'!$G$3:$G$500&lt;&gt;"Did not pass re-test"))&gt;0),"Open rework row - mark Blocked? or close it",IF(AND(LEFT($AC68,3)&lt;&gt;"Yes",SUMPRODUCT((TRIM('Rework Log'!$A$3:$A$500)=TRIM($B68))*('Rework Log'!$G$3:$G$500&lt;&gt;"Yes")*('Rework Log'!$G$3:$G$500&lt;&gt;"Did not pass re-test"))=0,COUNTIF('Rework Log'!$A$3:$A$500,$B68)&gt;0,IFERROR(INDEX('Rework Log'!$G:$G,SUMPRODUCT(MAX((TRIM('Rework Log'!$A$3:$A$500)=TRIM($B68))*ROW('Rework Log'!$A$3:$A$500)))),"")="Did not pass re-test"),"Last fix rejected - re-block or log next attempt",IF(AND(LEFT($AC68,3)="Yes",ISNUMBER(SEARCH("needs DB Dev",$AC68)),O68&lt;&gt;"",SUMPRODUCT(MAX(((TRIM('Rework Log'!$A$3:$A$500)=TRIM($B68))*('Rework Log'!$G$3:$G$500&lt;&gt;"Yes")*('Rework Log'!$G$3:$G$500&lt;&gt;"Did not pass re-test"))*IFERROR('Rework Log'!$I$3:$I$500*1,0)))&gt;0),"Move old DB Dev completion date to Rework Log (col H)",IF(AND(LEFT($AC68,3)="Yes",ISNUMBER(SEARCH("needs PBI Dev",$AC68)),R68&lt;&gt;"",SUMPRODUCT(MAX(((TRIM('Rework Log'!$A$3:$A$500)=TRIM($B68))*('Rework Log'!$G$3:$G$500&lt;&gt;"Yes")*('Rework Log'!$G$3:$G$500&lt;&gt;"Did not pass re-test"))*IFERROR('Rework Log'!$I$3:$I$500*1,0)))&gt;0),"Move old PBI Dev completion date to Rework Log (col H)",IF(AND(LEFT($AC68,3)="Yes",ISNUMBER(SEARCH("needs QA",$AC68)),U68&lt;&gt;"",SUMPRODUCT(MAX(((TRIM('Rework Log'!$A$3:$A$500)=TRIM($B68))*('Rework Log'!$G$3:$G$500&lt;&gt;"Yes")*('Rework Log'!$G$3:$G$500&lt;&gt;"Did not pass re-test"))*IFERROR('Rework Log'!$I$3:$I$500*1,0)))&gt;0),"Move old QA completion date to Rework Log (col H)",IF(AND(LEFT($AC68,3)="Yes",ISNUMBER(SEARCH("needs DB Dev",$AC68)),TRIM(C68)&lt;&gt;"DB Dev"),"Set Current Status back to DB Dev",IF(AND(LEFT($AC68,3)="Yes",ISNUMBER(SEARCH("needs PBI Dev",$AC68)),TRIM(C68)&lt;&gt;"PBI Dev"),"Set Current Status back to PBI Dev",IF(AND(LEFT($AC68,3)="Yes",ISNUMBER(SEARCH("needs QA",$AC68)),TRIM(C68)&lt;&gt;"QA"),"Set Current Status back to QA",IF(COUNTIF($B$2:$B$500,$B68)&gt;1,"Duplicate name - check row",IF(AND(TRIM(C68)="RELEASED IN PROD",Y68&lt;&gt;"Yes"),"Released but Confirmed Deployed? is not Yes",IF(COUNTIF('Rework Log'!$A$3:$A$500,$B68)&gt;0,"",IF(AND(S68&lt;&gt;"",M68&lt;&gt;"",S68&lt;M68),"QA target is before DB Dev target",IF(AND(S68&lt;&gt;"",P68&lt;&gt;"",S68&lt;P68),"QA target is before PBI Dev target",IF(AND(V68&lt;&gt;"",S68&lt;&gt;"",V68&lt;S68),"DPO Approval target is before QA target",IF(AND(Z68&lt;&gt;"",V68&lt;&gt;"",Z68&lt;V68),"Confirmed Deployed date is before DPO Approval target","")))))))))))))))))</f>
        <v/>
      </c>
      <c r="AE68" s="61"/>
    </row>
    <row r="69" spans="1:31" x14ac:dyDescent="0.25">
      <c r="A69" s="50" t="s">
        <v>170</v>
      </c>
      <c r="B69" s="50" t="s">
        <v>229</v>
      </c>
      <c r="C69" s="50" t="s">
        <v>204</v>
      </c>
      <c r="D69" s="64" t="str">
        <f ca="1">IF($B69="","",IF(LEFT($AC69,3)="Yes",IF(LEN($AC69)&gt;5,"Blocked - "&amp;MID($AC69,7,100),"Blocked")&amp;IF(SUMPRODUCT((TRIM('Rework Log'!$A$3:$A$500)=TRIM($B69))*('Rework Log'!$G$3:$G$500&lt;&gt;"Yes")*('Rework Log'!$G$3:$G$500&lt;&gt;"Did not pass re-test"))=0,"",IF(SUMPRODUCT(((TRIM('Rework Log'!$A$3:$A$500)=TRIM($B69))*('Rework Log'!$G$3:$G$500&lt;&gt;"Yes")*('Rework Log'!$G$3:$G$500&lt;&gt;"Did not pass re-test"))*ISNUMBER('Rework Log'!$J$3:$J$500))&gt;0," - fixed, awaiting re-test",IF(SUMPRODUCT(MAX(((TRIM('Rework Log'!$A$3:$A$500)=TRIM($B69))*('Rework Log'!$G$3:$G$500&lt;&gt;"Yes")*('Rework Log'!$G$3:$G$500&lt;&gt;"Did not pass re-test"))*IFERROR('Rework Log'!$I$3:$I$500*1,0)))=0," - unclaimed"," - promised "&amp;TEXT(SUMPRODUCT(MAX(((TRIM('Rework Log'!$A$3:$A$500)=TRIM($B69))*('Rework Log'!$G$3:$G$500&lt;&gt;"Yes")*('Rework Log'!$G$3:$G$500&lt;&gt;"Did not pass re-test"))*IFERROR('Rework Log'!$I$3:$I$500*1,0))),"m/d")))),IF(TRIM(C69)="NOT STARTED",IF(K69="","No plan date set",IF(K69&lt;TODAY(),"Review - planned start passed","On track")),IF(TRIM(C69)="DB Dev",IF(M69="","No target set",IF(AND(M69&lt;TODAY(),O69=""),"Overdue","On track")),IF(TRIM(C69)="PBI Dev",IF(P69="","No target set",IF(AND(P69&lt;TODAY(),R69=""),"Overdue","On track")),IF(TRIM(C69)="QA",IF(S69="","No target set",IF(AND(S69&lt;TODAY(),U69=""),"Overdue","On track")),IF(TRIM(C69)="DPO Approval",IF(V69="","No target set",IF(V69&lt;TODAY(),"Overdue","On track")),IF(TRIM(C69)="RELEASED IN PROD","Delivered",""))))))))</f>
        <v>On track</v>
      </c>
      <c r="E69" s="50">
        <v>44</v>
      </c>
      <c r="F69" s="51"/>
      <c r="G69" s="50"/>
      <c r="H69" s="50"/>
      <c r="I69" s="50"/>
      <c r="J69" s="50"/>
      <c r="K69" s="52">
        <v>46295</v>
      </c>
      <c r="L69" s="50" t="s">
        <v>216</v>
      </c>
      <c r="M69" s="53"/>
      <c r="N69" s="54"/>
      <c r="O69" s="54"/>
      <c r="P69" s="55"/>
      <c r="Q69" s="54"/>
      <c r="R69" s="54"/>
      <c r="S69" s="56"/>
      <c r="T69" s="54"/>
      <c r="U69" s="54"/>
      <c r="V69" s="57"/>
      <c r="W69" s="54"/>
      <c r="X69" s="50"/>
      <c r="Y69" s="58"/>
      <c r="Z69" s="54"/>
      <c r="AA69" s="59"/>
      <c r="AB69" s="50"/>
      <c r="AC69" s="60" t="s">
        <v>26</v>
      </c>
      <c r="AD69" s="65" t="str">
        <f>IF($B69="","",IF(AND(LEFT($AC69,3)="Yes",SUMPRODUCT((TRIM('Rework Log'!$A$3:$A$500)=TRIM($B69))*('Rework Log'!$G$3:$G$500&lt;&gt;"Yes")*('Rework Log'!$G$3:$G$500&lt;&gt;"Did not pass re-test"))=0),"Blocked - log it on Rework Log",IF(AND(LEFT($AC69,3)&lt;&gt;"Yes",SUMPRODUCT((TRIM('Rework Log'!$A$3:$A$500)=TRIM($B69))*('Rework Log'!$G$3:$G$500&lt;&gt;"Yes")*('Rework Log'!$G$3:$G$500&lt;&gt;"Did not pass re-test"))&gt;0),"Open rework row - mark Blocked? or close it",IF(AND(LEFT($AC69,3)&lt;&gt;"Yes",SUMPRODUCT((TRIM('Rework Log'!$A$3:$A$500)=TRIM($B69))*('Rework Log'!$G$3:$G$500&lt;&gt;"Yes")*('Rework Log'!$G$3:$G$500&lt;&gt;"Did not pass re-test"))=0,COUNTIF('Rework Log'!$A$3:$A$500,$B69)&gt;0,IFERROR(INDEX('Rework Log'!$G:$G,SUMPRODUCT(MAX((TRIM('Rework Log'!$A$3:$A$500)=TRIM($B69))*ROW('Rework Log'!$A$3:$A$500)))),"")="Did not pass re-test"),"Last fix rejected - re-block or log next attempt",IF(AND(LEFT($AC69,3)="Yes",ISNUMBER(SEARCH("needs DB Dev",$AC69)),O69&lt;&gt;"",SUMPRODUCT(MAX(((TRIM('Rework Log'!$A$3:$A$500)=TRIM($B69))*('Rework Log'!$G$3:$G$500&lt;&gt;"Yes")*('Rework Log'!$G$3:$G$500&lt;&gt;"Did not pass re-test"))*IFERROR('Rework Log'!$I$3:$I$500*1,0)))&gt;0),"Move old DB Dev completion date to Rework Log (col H)",IF(AND(LEFT($AC69,3)="Yes",ISNUMBER(SEARCH("needs PBI Dev",$AC69)),R69&lt;&gt;"",SUMPRODUCT(MAX(((TRIM('Rework Log'!$A$3:$A$500)=TRIM($B69))*('Rework Log'!$G$3:$G$500&lt;&gt;"Yes")*('Rework Log'!$G$3:$G$500&lt;&gt;"Did not pass re-test"))*IFERROR('Rework Log'!$I$3:$I$500*1,0)))&gt;0),"Move old PBI Dev completion date to Rework Log (col H)",IF(AND(LEFT($AC69,3)="Yes",ISNUMBER(SEARCH("needs QA",$AC69)),U69&lt;&gt;"",SUMPRODUCT(MAX(((TRIM('Rework Log'!$A$3:$A$500)=TRIM($B69))*('Rework Log'!$G$3:$G$500&lt;&gt;"Yes")*('Rework Log'!$G$3:$G$500&lt;&gt;"Did not pass re-test"))*IFERROR('Rework Log'!$I$3:$I$500*1,0)))&gt;0),"Move old QA completion date to Rework Log (col H)",IF(AND(LEFT($AC69,3)="Yes",ISNUMBER(SEARCH("needs DB Dev",$AC69)),TRIM(C69)&lt;&gt;"DB Dev"),"Set Current Status back to DB Dev",IF(AND(LEFT($AC69,3)="Yes",ISNUMBER(SEARCH("needs PBI Dev",$AC69)),TRIM(C69)&lt;&gt;"PBI Dev"),"Set Current Status back to PBI Dev",IF(AND(LEFT($AC69,3)="Yes",ISNUMBER(SEARCH("needs QA",$AC69)),TRIM(C69)&lt;&gt;"QA"),"Set Current Status back to QA",IF(COUNTIF($B$2:$B$500,$B69)&gt;1,"Duplicate name - check row",IF(AND(TRIM(C69)="RELEASED IN PROD",Y69&lt;&gt;"Yes"),"Released but Confirmed Deployed? is not Yes",IF(COUNTIF('Rework Log'!$A$3:$A$500,$B69)&gt;0,"",IF(AND(S69&lt;&gt;"",M69&lt;&gt;"",S69&lt;M69),"QA target is before DB Dev target",IF(AND(S69&lt;&gt;"",P69&lt;&gt;"",S69&lt;P69),"QA target is before PBI Dev target",IF(AND(V69&lt;&gt;"",S69&lt;&gt;"",V69&lt;S69),"DPO Approval target is before QA target",IF(AND(Z69&lt;&gt;"",V69&lt;&gt;"",Z69&lt;V69),"Confirmed Deployed date is before DPO Approval target","")))))))))))))))))</f>
        <v/>
      </c>
      <c r="AE69" s="61"/>
    </row>
    <row r="70" spans="1:31" x14ac:dyDescent="0.25">
      <c r="A70" s="50" t="s">
        <v>170</v>
      </c>
      <c r="B70" s="50" t="s">
        <v>230</v>
      </c>
      <c r="C70" s="50" t="s">
        <v>204</v>
      </c>
      <c r="D70" s="64" t="str">
        <f ca="1">IF($B70="","",IF(LEFT($AC70,3)="Yes",IF(LEN($AC70)&gt;5,"Blocked - "&amp;MID($AC70,7,100),"Blocked")&amp;IF(SUMPRODUCT((TRIM('Rework Log'!$A$3:$A$500)=TRIM($B70))*('Rework Log'!$G$3:$G$500&lt;&gt;"Yes")*('Rework Log'!$G$3:$G$500&lt;&gt;"Did not pass re-test"))=0,"",IF(SUMPRODUCT(((TRIM('Rework Log'!$A$3:$A$500)=TRIM($B70))*('Rework Log'!$G$3:$G$500&lt;&gt;"Yes")*('Rework Log'!$G$3:$G$500&lt;&gt;"Did not pass re-test"))*ISNUMBER('Rework Log'!$J$3:$J$500))&gt;0," - fixed, awaiting re-test",IF(SUMPRODUCT(MAX(((TRIM('Rework Log'!$A$3:$A$500)=TRIM($B70))*('Rework Log'!$G$3:$G$500&lt;&gt;"Yes")*('Rework Log'!$G$3:$G$500&lt;&gt;"Did not pass re-test"))*IFERROR('Rework Log'!$I$3:$I$500*1,0)))=0," - unclaimed"," - promised "&amp;TEXT(SUMPRODUCT(MAX(((TRIM('Rework Log'!$A$3:$A$500)=TRIM($B70))*('Rework Log'!$G$3:$G$500&lt;&gt;"Yes")*('Rework Log'!$G$3:$G$500&lt;&gt;"Did not pass re-test"))*IFERROR('Rework Log'!$I$3:$I$500*1,0))),"m/d")))),IF(TRIM(C70)="NOT STARTED",IF(K70="","No plan date set",IF(K70&lt;TODAY(),"Review - planned start passed","On track")),IF(TRIM(C70)="DB Dev",IF(M70="","No target set",IF(AND(M70&lt;TODAY(),O70=""),"Overdue","On track")),IF(TRIM(C70)="PBI Dev",IF(P70="","No target set",IF(AND(P70&lt;TODAY(),R70=""),"Overdue","On track")),IF(TRIM(C70)="QA",IF(S70="","No target set",IF(AND(S70&lt;TODAY(),U70=""),"Overdue","On track")),IF(TRIM(C70)="DPO Approval",IF(V70="","No target set",IF(V70&lt;TODAY(),"Overdue","On track")),IF(TRIM(C70)="RELEASED IN PROD","Delivered",""))))))))</f>
        <v>On track</v>
      </c>
      <c r="E70" s="50">
        <v>45</v>
      </c>
      <c r="F70" s="51"/>
      <c r="G70" s="50"/>
      <c r="H70" s="50"/>
      <c r="I70" s="50"/>
      <c r="J70" s="50"/>
      <c r="K70" s="52">
        <v>46295</v>
      </c>
      <c r="L70" s="50" t="s">
        <v>216</v>
      </c>
      <c r="M70" s="53"/>
      <c r="N70" s="54"/>
      <c r="O70" s="54"/>
      <c r="P70" s="55"/>
      <c r="Q70" s="54"/>
      <c r="R70" s="54"/>
      <c r="S70" s="56"/>
      <c r="T70" s="54"/>
      <c r="U70" s="54"/>
      <c r="V70" s="57"/>
      <c r="W70" s="54"/>
      <c r="X70" s="50"/>
      <c r="Y70" s="58"/>
      <c r="Z70" s="54"/>
      <c r="AA70" s="59"/>
      <c r="AB70" s="50"/>
      <c r="AC70" s="60" t="s">
        <v>26</v>
      </c>
      <c r="AD70" s="65" t="str">
        <f>IF($B70="","",IF(AND(LEFT($AC70,3)="Yes",SUMPRODUCT((TRIM('Rework Log'!$A$3:$A$500)=TRIM($B70))*('Rework Log'!$G$3:$G$500&lt;&gt;"Yes")*('Rework Log'!$G$3:$G$500&lt;&gt;"Did not pass re-test"))=0),"Blocked - log it on Rework Log",IF(AND(LEFT($AC70,3)&lt;&gt;"Yes",SUMPRODUCT((TRIM('Rework Log'!$A$3:$A$500)=TRIM($B70))*('Rework Log'!$G$3:$G$500&lt;&gt;"Yes")*('Rework Log'!$G$3:$G$500&lt;&gt;"Did not pass re-test"))&gt;0),"Open rework row - mark Blocked? or close it",IF(AND(LEFT($AC70,3)&lt;&gt;"Yes",SUMPRODUCT((TRIM('Rework Log'!$A$3:$A$500)=TRIM($B70))*('Rework Log'!$G$3:$G$500&lt;&gt;"Yes")*('Rework Log'!$G$3:$G$500&lt;&gt;"Did not pass re-test"))=0,COUNTIF('Rework Log'!$A$3:$A$500,$B70)&gt;0,IFERROR(INDEX('Rework Log'!$G:$G,SUMPRODUCT(MAX((TRIM('Rework Log'!$A$3:$A$500)=TRIM($B70))*ROW('Rework Log'!$A$3:$A$500)))),"")="Did not pass re-test"),"Last fix rejected - re-block or log next attempt",IF(AND(LEFT($AC70,3)="Yes",ISNUMBER(SEARCH("needs DB Dev",$AC70)),O70&lt;&gt;"",SUMPRODUCT(MAX(((TRIM('Rework Log'!$A$3:$A$500)=TRIM($B70))*('Rework Log'!$G$3:$G$500&lt;&gt;"Yes")*('Rework Log'!$G$3:$G$500&lt;&gt;"Did not pass re-test"))*IFERROR('Rework Log'!$I$3:$I$500*1,0)))&gt;0),"Move old DB Dev completion date to Rework Log (col H)",IF(AND(LEFT($AC70,3)="Yes",ISNUMBER(SEARCH("needs PBI Dev",$AC70)),R70&lt;&gt;"",SUMPRODUCT(MAX(((TRIM('Rework Log'!$A$3:$A$500)=TRIM($B70))*('Rework Log'!$G$3:$G$500&lt;&gt;"Yes")*('Rework Log'!$G$3:$G$500&lt;&gt;"Did not pass re-test"))*IFERROR('Rework Log'!$I$3:$I$500*1,0)))&gt;0),"Move old PBI Dev completion date to Rework Log (col H)",IF(AND(LEFT($AC70,3)="Yes",ISNUMBER(SEARCH("needs QA",$AC70)),U70&lt;&gt;"",SUMPRODUCT(MAX(((TRIM('Rework Log'!$A$3:$A$500)=TRIM($B70))*('Rework Log'!$G$3:$G$500&lt;&gt;"Yes")*('Rework Log'!$G$3:$G$500&lt;&gt;"Did not pass re-test"))*IFERROR('Rework Log'!$I$3:$I$500*1,0)))&gt;0),"Move old QA completion date to Rework Log (col H)",IF(AND(LEFT($AC70,3)="Yes",ISNUMBER(SEARCH("needs DB Dev",$AC70)),TRIM(C70)&lt;&gt;"DB Dev"),"Set Current Status back to DB Dev",IF(AND(LEFT($AC70,3)="Yes",ISNUMBER(SEARCH("needs PBI Dev",$AC70)),TRIM(C70)&lt;&gt;"PBI Dev"),"Set Current Status back to PBI Dev",IF(AND(LEFT($AC70,3)="Yes",ISNUMBER(SEARCH("needs QA",$AC70)),TRIM(C70)&lt;&gt;"QA"),"Set Current Status back to QA",IF(COUNTIF($B$2:$B$500,$B70)&gt;1,"Duplicate name - check row",IF(AND(TRIM(C70)="RELEASED IN PROD",Y70&lt;&gt;"Yes"),"Released but Confirmed Deployed? is not Yes",IF(COUNTIF('Rework Log'!$A$3:$A$500,$B70)&gt;0,"",IF(AND(S70&lt;&gt;"",M70&lt;&gt;"",S70&lt;M70),"QA target is before DB Dev target",IF(AND(S70&lt;&gt;"",P70&lt;&gt;"",S70&lt;P70),"QA target is before PBI Dev target",IF(AND(V70&lt;&gt;"",S70&lt;&gt;"",V70&lt;S70),"DPO Approval target is before QA target",IF(AND(Z70&lt;&gt;"",V70&lt;&gt;"",Z70&lt;V70),"Confirmed Deployed date is before DPO Approval target","")))))))))))))))))</f>
        <v/>
      </c>
      <c r="AE70" s="61"/>
    </row>
    <row r="71" spans="1:31" x14ac:dyDescent="0.25">
      <c r="A71" s="50" t="s">
        <v>170</v>
      </c>
      <c r="B71" s="50" t="s">
        <v>231</v>
      </c>
      <c r="C71" s="50" t="s">
        <v>204</v>
      </c>
      <c r="D71" s="64" t="str">
        <f ca="1">IF($B71="","",IF(LEFT($AC71,3)="Yes",IF(LEN($AC71)&gt;5,"Blocked - "&amp;MID($AC71,7,100),"Blocked")&amp;IF(SUMPRODUCT((TRIM('Rework Log'!$A$3:$A$500)=TRIM($B71))*('Rework Log'!$G$3:$G$500&lt;&gt;"Yes")*('Rework Log'!$G$3:$G$500&lt;&gt;"Did not pass re-test"))=0,"",IF(SUMPRODUCT(((TRIM('Rework Log'!$A$3:$A$500)=TRIM($B71))*('Rework Log'!$G$3:$G$500&lt;&gt;"Yes")*('Rework Log'!$G$3:$G$500&lt;&gt;"Did not pass re-test"))*ISNUMBER('Rework Log'!$J$3:$J$500))&gt;0," - fixed, awaiting re-test",IF(SUMPRODUCT(MAX(((TRIM('Rework Log'!$A$3:$A$500)=TRIM($B71))*('Rework Log'!$G$3:$G$500&lt;&gt;"Yes")*('Rework Log'!$G$3:$G$500&lt;&gt;"Did not pass re-test"))*IFERROR('Rework Log'!$I$3:$I$500*1,0)))=0," - unclaimed"," - promised "&amp;TEXT(SUMPRODUCT(MAX(((TRIM('Rework Log'!$A$3:$A$500)=TRIM($B71))*('Rework Log'!$G$3:$G$500&lt;&gt;"Yes")*('Rework Log'!$G$3:$G$500&lt;&gt;"Did not pass re-test"))*IFERROR('Rework Log'!$I$3:$I$500*1,0))),"m/d")))),IF(TRIM(C71)="NOT STARTED",IF(K71="","No plan date set",IF(K71&lt;TODAY(),"Review - planned start passed","On track")),IF(TRIM(C71)="DB Dev",IF(M71="","No target set",IF(AND(M71&lt;TODAY(),O71=""),"Overdue","On track")),IF(TRIM(C71)="PBI Dev",IF(P71="","No target set",IF(AND(P71&lt;TODAY(),R71=""),"Overdue","On track")),IF(TRIM(C71)="QA",IF(S71="","No target set",IF(AND(S71&lt;TODAY(),U71=""),"Overdue","On track")),IF(TRIM(C71)="DPO Approval",IF(V71="","No target set",IF(V71&lt;TODAY(),"Overdue","On track")),IF(TRIM(C71)="RELEASED IN PROD","Delivered",""))))))))</f>
        <v>On track</v>
      </c>
      <c r="E71" s="50">
        <v>46</v>
      </c>
      <c r="F71" s="51"/>
      <c r="G71" s="50"/>
      <c r="H71" s="50"/>
      <c r="I71" s="50"/>
      <c r="J71" s="50"/>
      <c r="K71" s="52">
        <v>46295</v>
      </c>
      <c r="L71" s="50" t="s">
        <v>216</v>
      </c>
      <c r="M71" s="53"/>
      <c r="N71" s="54"/>
      <c r="O71" s="54"/>
      <c r="P71" s="55"/>
      <c r="Q71" s="54"/>
      <c r="R71" s="54"/>
      <c r="S71" s="56"/>
      <c r="T71" s="54"/>
      <c r="U71" s="54"/>
      <c r="V71" s="57"/>
      <c r="W71" s="54"/>
      <c r="X71" s="50"/>
      <c r="Y71" s="58"/>
      <c r="Z71" s="54"/>
      <c r="AA71" s="59"/>
      <c r="AB71" s="50"/>
      <c r="AC71" s="60" t="s">
        <v>26</v>
      </c>
      <c r="AD71" s="65" t="str">
        <f>IF($B71="","",IF(AND(LEFT($AC71,3)="Yes",SUMPRODUCT((TRIM('Rework Log'!$A$3:$A$500)=TRIM($B71))*('Rework Log'!$G$3:$G$500&lt;&gt;"Yes")*('Rework Log'!$G$3:$G$500&lt;&gt;"Did not pass re-test"))=0),"Blocked - log it on Rework Log",IF(AND(LEFT($AC71,3)&lt;&gt;"Yes",SUMPRODUCT((TRIM('Rework Log'!$A$3:$A$500)=TRIM($B71))*('Rework Log'!$G$3:$G$500&lt;&gt;"Yes")*('Rework Log'!$G$3:$G$500&lt;&gt;"Did not pass re-test"))&gt;0),"Open rework row - mark Blocked? or close it",IF(AND(LEFT($AC71,3)&lt;&gt;"Yes",SUMPRODUCT((TRIM('Rework Log'!$A$3:$A$500)=TRIM($B71))*('Rework Log'!$G$3:$G$500&lt;&gt;"Yes")*('Rework Log'!$G$3:$G$500&lt;&gt;"Did not pass re-test"))=0,COUNTIF('Rework Log'!$A$3:$A$500,$B71)&gt;0,IFERROR(INDEX('Rework Log'!$G:$G,SUMPRODUCT(MAX((TRIM('Rework Log'!$A$3:$A$500)=TRIM($B71))*ROW('Rework Log'!$A$3:$A$500)))),"")="Did not pass re-test"),"Last fix rejected - re-block or log next attempt",IF(AND(LEFT($AC71,3)="Yes",ISNUMBER(SEARCH("needs DB Dev",$AC71)),O71&lt;&gt;"",SUMPRODUCT(MAX(((TRIM('Rework Log'!$A$3:$A$500)=TRIM($B71))*('Rework Log'!$G$3:$G$500&lt;&gt;"Yes")*('Rework Log'!$G$3:$G$500&lt;&gt;"Did not pass re-test"))*IFERROR('Rework Log'!$I$3:$I$500*1,0)))&gt;0),"Move old DB Dev completion date to Rework Log (col H)",IF(AND(LEFT($AC71,3)="Yes",ISNUMBER(SEARCH("needs PBI Dev",$AC71)),R71&lt;&gt;"",SUMPRODUCT(MAX(((TRIM('Rework Log'!$A$3:$A$500)=TRIM($B71))*('Rework Log'!$G$3:$G$500&lt;&gt;"Yes")*('Rework Log'!$G$3:$G$500&lt;&gt;"Did not pass re-test"))*IFERROR('Rework Log'!$I$3:$I$500*1,0)))&gt;0),"Move old PBI Dev completion date to Rework Log (col H)",IF(AND(LEFT($AC71,3)="Yes",ISNUMBER(SEARCH("needs QA",$AC71)),U71&lt;&gt;"",SUMPRODUCT(MAX(((TRIM('Rework Log'!$A$3:$A$500)=TRIM($B71))*('Rework Log'!$G$3:$G$500&lt;&gt;"Yes")*('Rework Log'!$G$3:$G$500&lt;&gt;"Did not pass re-test"))*IFERROR('Rework Log'!$I$3:$I$500*1,0)))&gt;0),"Move old QA completion date to Rework Log (col H)",IF(AND(LEFT($AC71,3)="Yes",ISNUMBER(SEARCH("needs DB Dev",$AC71)),TRIM(C71)&lt;&gt;"DB Dev"),"Set Current Status back to DB Dev",IF(AND(LEFT($AC71,3)="Yes",ISNUMBER(SEARCH("needs PBI Dev",$AC71)),TRIM(C71)&lt;&gt;"PBI Dev"),"Set Current Status back to PBI Dev",IF(AND(LEFT($AC71,3)="Yes",ISNUMBER(SEARCH("needs QA",$AC71)),TRIM(C71)&lt;&gt;"QA"),"Set Current Status back to QA",IF(COUNTIF($B$2:$B$500,$B71)&gt;1,"Duplicate name - check row",IF(AND(TRIM(C71)="RELEASED IN PROD",Y71&lt;&gt;"Yes"),"Released but Confirmed Deployed? is not Yes",IF(COUNTIF('Rework Log'!$A$3:$A$500,$B71)&gt;0,"",IF(AND(S71&lt;&gt;"",M71&lt;&gt;"",S71&lt;M71),"QA target is before DB Dev target",IF(AND(S71&lt;&gt;"",P71&lt;&gt;"",S71&lt;P71),"QA target is before PBI Dev target",IF(AND(V71&lt;&gt;"",S71&lt;&gt;"",V71&lt;S71),"DPO Approval target is before QA target",IF(AND(Z71&lt;&gt;"",V71&lt;&gt;"",Z71&lt;V71),"Confirmed Deployed date is before DPO Approval target","")))))))))))))))))</f>
        <v/>
      </c>
      <c r="AE71" s="61"/>
    </row>
    <row r="72" spans="1:31" x14ac:dyDescent="0.25">
      <c r="A72" s="50" t="s">
        <v>170</v>
      </c>
      <c r="B72" s="50" t="s">
        <v>232</v>
      </c>
      <c r="C72" s="50" t="s">
        <v>204</v>
      </c>
      <c r="D72" s="64" t="str">
        <f ca="1">IF($B72="","",IF(LEFT($AC72,3)="Yes",IF(LEN($AC72)&gt;5,"Blocked - "&amp;MID($AC72,7,100),"Blocked")&amp;IF(SUMPRODUCT((TRIM('Rework Log'!$A$3:$A$500)=TRIM($B72))*('Rework Log'!$G$3:$G$500&lt;&gt;"Yes")*('Rework Log'!$G$3:$G$500&lt;&gt;"Did not pass re-test"))=0,"",IF(SUMPRODUCT(((TRIM('Rework Log'!$A$3:$A$500)=TRIM($B72))*('Rework Log'!$G$3:$G$500&lt;&gt;"Yes")*('Rework Log'!$G$3:$G$500&lt;&gt;"Did not pass re-test"))*ISNUMBER('Rework Log'!$J$3:$J$500))&gt;0," - fixed, awaiting re-test",IF(SUMPRODUCT(MAX(((TRIM('Rework Log'!$A$3:$A$500)=TRIM($B72))*('Rework Log'!$G$3:$G$500&lt;&gt;"Yes")*('Rework Log'!$G$3:$G$500&lt;&gt;"Did not pass re-test"))*IFERROR('Rework Log'!$I$3:$I$500*1,0)))=0," - unclaimed"," - promised "&amp;TEXT(SUMPRODUCT(MAX(((TRIM('Rework Log'!$A$3:$A$500)=TRIM($B72))*('Rework Log'!$G$3:$G$500&lt;&gt;"Yes")*('Rework Log'!$G$3:$G$500&lt;&gt;"Did not pass re-test"))*IFERROR('Rework Log'!$I$3:$I$500*1,0))),"m/d")))),IF(TRIM(C72)="NOT STARTED",IF(K72="","No plan date set",IF(K72&lt;TODAY(),"Review - planned start passed","On track")),IF(TRIM(C72)="DB Dev",IF(M72="","No target set",IF(AND(M72&lt;TODAY(),O72=""),"Overdue","On track")),IF(TRIM(C72)="PBI Dev",IF(P72="","No target set",IF(AND(P72&lt;TODAY(),R72=""),"Overdue","On track")),IF(TRIM(C72)="QA",IF(S72="","No target set",IF(AND(S72&lt;TODAY(),U72=""),"Overdue","On track")),IF(TRIM(C72)="DPO Approval",IF(V72="","No target set",IF(V72&lt;TODAY(),"Overdue","On track")),IF(TRIM(C72)="RELEASED IN PROD","Delivered",""))))))))</f>
        <v>On track</v>
      </c>
      <c r="E72" s="50">
        <v>47</v>
      </c>
      <c r="F72" s="51"/>
      <c r="G72" s="50"/>
      <c r="H72" s="50"/>
      <c r="I72" s="50"/>
      <c r="J72" s="50"/>
      <c r="K72" s="52">
        <v>46295</v>
      </c>
      <c r="L72" s="50" t="s">
        <v>216</v>
      </c>
      <c r="M72" s="53"/>
      <c r="N72" s="54"/>
      <c r="O72" s="54"/>
      <c r="P72" s="55"/>
      <c r="Q72" s="54"/>
      <c r="R72" s="54"/>
      <c r="S72" s="56"/>
      <c r="T72" s="54"/>
      <c r="U72" s="54"/>
      <c r="V72" s="57"/>
      <c r="W72" s="54"/>
      <c r="X72" s="50"/>
      <c r="Y72" s="58"/>
      <c r="Z72" s="54"/>
      <c r="AA72" s="59"/>
      <c r="AB72" s="50"/>
      <c r="AC72" s="60" t="s">
        <v>26</v>
      </c>
      <c r="AD72" s="65" t="str">
        <f>IF($B72="","",IF(AND(LEFT($AC72,3)="Yes",SUMPRODUCT((TRIM('Rework Log'!$A$3:$A$500)=TRIM($B72))*('Rework Log'!$G$3:$G$500&lt;&gt;"Yes")*('Rework Log'!$G$3:$G$500&lt;&gt;"Did not pass re-test"))=0),"Blocked - log it on Rework Log",IF(AND(LEFT($AC72,3)&lt;&gt;"Yes",SUMPRODUCT((TRIM('Rework Log'!$A$3:$A$500)=TRIM($B72))*('Rework Log'!$G$3:$G$500&lt;&gt;"Yes")*('Rework Log'!$G$3:$G$500&lt;&gt;"Did not pass re-test"))&gt;0),"Open rework row - mark Blocked? or close it",IF(AND(LEFT($AC72,3)&lt;&gt;"Yes",SUMPRODUCT((TRIM('Rework Log'!$A$3:$A$500)=TRIM($B72))*('Rework Log'!$G$3:$G$500&lt;&gt;"Yes")*('Rework Log'!$G$3:$G$500&lt;&gt;"Did not pass re-test"))=0,COUNTIF('Rework Log'!$A$3:$A$500,$B72)&gt;0,IFERROR(INDEX('Rework Log'!$G:$G,SUMPRODUCT(MAX((TRIM('Rework Log'!$A$3:$A$500)=TRIM($B72))*ROW('Rework Log'!$A$3:$A$500)))),"")="Did not pass re-test"),"Last fix rejected - re-block or log next attempt",IF(AND(LEFT($AC72,3)="Yes",ISNUMBER(SEARCH("needs DB Dev",$AC72)),O72&lt;&gt;"",SUMPRODUCT(MAX(((TRIM('Rework Log'!$A$3:$A$500)=TRIM($B72))*('Rework Log'!$G$3:$G$500&lt;&gt;"Yes")*('Rework Log'!$G$3:$G$500&lt;&gt;"Did not pass re-test"))*IFERROR('Rework Log'!$I$3:$I$500*1,0)))&gt;0),"Move old DB Dev completion date to Rework Log (col H)",IF(AND(LEFT($AC72,3)="Yes",ISNUMBER(SEARCH("needs PBI Dev",$AC72)),R72&lt;&gt;"",SUMPRODUCT(MAX(((TRIM('Rework Log'!$A$3:$A$500)=TRIM($B72))*('Rework Log'!$G$3:$G$500&lt;&gt;"Yes")*('Rework Log'!$G$3:$G$500&lt;&gt;"Did not pass re-test"))*IFERROR('Rework Log'!$I$3:$I$500*1,0)))&gt;0),"Move old PBI Dev completion date to Rework Log (col H)",IF(AND(LEFT($AC72,3)="Yes",ISNUMBER(SEARCH("needs QA",$AC72)),U72&lt;&gt;"",SUMPRODUCT(MAX(((TRIM('Rework Log'!$A$3:$A$500)=TRIM($B72))*('Rework Log'!$G$3:$G$500&lt;&gt;"Yes")*('Rework Log'!$G$3:$G$500&lt;&gt;"Did not pass re-test"))*IFERROR('Rework Log'!$I$3:$I$500*1,0)))&gt;0),"Move old QA completion date to Rework Log (col H)",IF(AND(LEFT($AC72,3)="Yes",ISNUMBER(SEARCH("needs DB Dev",$AC72)),TRIM(C72)&lt;&gt;"DB Dev"),"Set Current Status back to DB Dev",IF(AND(LEFT($AC72,3)="Yes",ISNUMBER(SEARCH("needs PBI Dev",$AC72)),TRIM(C72)&lt;&gt;"PBI Dev"),"Set Current Status back to PBI Dev",IF(AND(LEFT($AC72,3)="Yes",ISNUMBER(SEARCH("needs QA",$AC72)),TRIM(C72)&lt;&gt;"QA"),"Set Current Status back to QA",IF(COUNTIF($B$2:$B$500,$B72)&gt;1,"Duplicate name - check row",IF(AND(TRIM(C72)="RELEASED IN PROD",Y72&lt;&gt;"Yes"),"Released but Confirmed Deployed? is not Yes",IF(COUNTIF('Rework Log'!$A$3:$A$500,$B72)&gt;0,"",IF(AND(S72&lt;&gt;"",M72&lt;&gt;"",S72&lt;M72),"QA target is before DB Dev target",IF(AND(S72&lt;&gt;"",P72&lt;&gt;"",S72&lt;P72),"QA target is before PBI Dev target",IF(AND(V72&lt;&gt;"",S72&lt;&gt;"",V72&lt;S72),"DPO Approval target is before QA target",IF(AND(Z72&lt;&gt;"",V72&lt;&gt;"",Z72&lt;V72),"Confirmed Deployed date is before DPO Approval target","")))))))))))))))))</f>
        <v/>
      </c>
      <c r="AE72" s="61"/>
    </row>
    <row r="73" spans="1:31" x14ac:dyDescent="0.25">
      <c r="A73" s="50" t="s">
        <v>76</v>
      </c>
      <c r="B73" s="50" t="s">
        <v>233</v>
      </c>
      <c r="C73" s="50" t="s">
        <v>204</v>
      </c>
      <c r="D73" s="64" t="str">
        <f ca="1">IF($B73="","",IF(LEFT($AC73,3)="Yes",IF(LEN($AC73)&gt;5,"Blocked - "&amp;MID($AC73,7,100),"Blocked")&amp;IF(SUMPRODUCT((TRIM('Rework Log'!$A$3:$A$500)=TRIM($B73))*('Rework Log'!$G$3:$G$500&lt;&gt;"Yes")*('Rework Log'!$G$3:$G$500&lt;&gt;"Did not pass re-test"))=0,"",IF(SUMPRODUCT(((TRIM('Rework Log'!$A$3:$A$500)=TRIM($B73))*('Rework Log'!$G$3:$G$500&lt;&gt;"Yes")*('Rework Log'!$G$3:$G$500&lt;&gt;"Did not pass re-test"))*ISNUMBER('Rework Log'!$J$3:$J$500))&gt;0," - fixed, awaiting re-test",IF(SUMPRODUCT(MAX(((TRIM('Rework Log'!$A$3:$A$500)=TRIM($B73))*('Rework Log'!$G$3:$G$500&lt;&gt;"Yes")*('Rework Log'!$G$3:$G$500&lt;&gt;"Did not pass re-test"))*IFERROR('Rework Log'!$I$3:$I$500*1,0)))=0," - unclaimed"," - promised "&amp;TEXT(SUMPRODUCT(MAX(((TRIM('Rework Log'!$A$3:$A$500)=TRIM($B73))*('Rework Log'!$G$3:$G$500&lt;&gt;"Yes")*('Rework Log'!$G$3:$G$500&lt;&gt;"Did not pass re-test"))*IFERROR('Rework Log'!$I$3:$I$500*1,0))),"m/d")))),IF(TRIM(C73)="NOT STARTED",IF(K73="","No plan date set",IF(K73&lt;TODAY(),"Review - planned start passed","On track")),IF(TRIM(C73)="DB Dev",IF(M73="","No target set",IF(AND(M73&lt;TODAY(),O73=""),"Overdue","On track")),IF(TRIM(C73)="PBI Dev",IF(P73="","No target set",IF(AND(P73&lt;TODAY(),R73=""),"Overdue","On track")),IF(TRIM(C73)="QA",IF(S73="","No target set",IF(AND(S73&lt;TODAY(),U73=""),"Overdue","On track")),IF(TRIM(C73)="DPO Approval",IF(V73="","No target set",IF(V73&lt;TODAY(),"Overdue","On track")),IF(TRIM(C73)="RELEASED IN PROD","Delivered",""))))))))</f>
        <v>On track</v>
      </c>
      <c r="E73" s="50">
        <v>48</v>
      </c>
      <c r="F73" s="51"/>
      <c r="G73" s="50"/>
      <c r="H73" s="50"/>
      <c r="I73" s="50"/>
      <c r="J73" s="50"/>
      <c r="K73" s="52">
        <v>46295</v>
      </c>
      <c r="L73" s="50" t="s">
        <v>216</v>
      </c>
      <c r="M73" s="53"/>
      <c r="N73" s="54"/>
      <c r="O73" s="54"/>
      <c r="P73" s="55"/>
      <c r="Q73" s="54"/>
      <c r="R73" s="54"/>
      <c r="S73" s="56"/>
      <c r="T73" s="54"/>
      <c r="U73" s="54"/>
      <c r="V73" s="57"/>
      <c r="W73" s="54"/>
      <c r="X73" s="50"/>
      <c r="Y73" s="58"/>
      <c r="Z73" s="54"/>
      <c r="AA73" s="59"/>
      <c r="AB73" s="50"/>
      <c r="AC73" s="60" t="s">
        <v>26</v>
      </c>
      <c r="AD73" s="65" t="str">
        <f>IF($B73="","",IF(AND(LEFT($AC73,3)="Yes",SUMPRODUCT((TRIM('Rework Log'!$A$3:$A$500)=TRIM($B73))*('Rework Log'!$G$3:$G$500&lt;&gt;"Yes")*('Rework Log'!$G$3:$G$500&lt;&gt;"Did not pass re-test"))=0),"Blocked - log it on Rework Log",IF(AND(LEFT($AC73,3)&lt;&gt;"Yes",SUMPRODUCT((TRIM('Rework Log'!$A$3:$A$500)=TRIM($B73))*('Rework Log'!$G$3:$G$500&lt;&gt;"Yes")*('Rework Log'!$G$3:$G$500&lt;&gt;"Did not pass re-test"))&gt;0),"Open rework row - mark Blocked? or close it",IF(AND(LEFT($AC73,3)&lt;&gt;"Yes",SUMPRODUCT((TRIM('Rework Log'!$A$3:$A$500)=TRIM($B73))*('Rework Log'!$G$3:$G$500&lt;&gt;"Yes")*('Rework Log'!$G$3:$G$500&lt;&gt;"Did not pass re-test"))=0,COUNTIF('Rework Log'!$A$3:$A$500,$B73)&gt;0,IFERROR(INDEX('Rework Log'!$G:$G,SUMPRODUCT(MAX((TRIM('Rework Log'!$A$3:$A$500)=TRIM($B73))*ROW('Rework Log'!$A$3:$A$500)))),"")="Did not pass re-test"),"Last fix rejected - re-block or log next attempt",IF(AND(LEFT($AC73,3)="Yes",ISNUMBER(SEARCH("needs DB Dev",$AC73)),O73&lt;&gt;"",SUMPRODUCT(MAX(((TRIM('Rework Log'!$A$3:$A$500)=TRIM($B73))*('Rework Log'!$G$3:$G$500&lt;&gt;"Yes")*('Rework Log'!$G$3:$G$500&lt;&gt;"Did not pass re-test"))*IFERROR('Rework Log'!$I$3:$I$500*1,0)))&gt;0),"Move old DB Dev completion date to Rework Log (col H)",IF(AND(LEFT($AC73,3)="Yes",ISNUMBER(SEARCH("needs PBI Dev",$AC73)),R73&lt;&gt;"",SUMPRODUCT(MAX(((TRIM('Rework Log'!$A$3:$A$500)=TRIM($B73))*('Rework Log'!$G$3:$G$500&lt;&gt;"Yes")*('Rework Log'!$G$3:$G$500&lt;&gt;"Did not pass re-test"))*IFERROR('Rework Log'!$I$3:$I$500*1,0)))&gt;0),"Move old PBI Dev completion date to Rework Log (col H)",IF(AND(LEFT($AC73,3)="Yes",ISNUMBER(SEARCH("needs QA",$AC73)),U73&lt;&gt;"",SUMPRODUCT(MAX(((TRIM('Rework Log'!$A$3:$A$500)=TRIM($B73))*('Rework Log'!$G$3:$G$500&lt;&gt;"Yes")*('Rework Log'!$G$3:$G$500&lt;&gt;"Did not pass re-test"))*IFERROR('Rework Log'!$I$3:$I$500*1,0)))&gt;0),"Move old QA completion date to Rework Log (col H)",IF(AND(LEFT($AC73,3)="Yes",ISNUMBER(SEARCH("needs DB Dev",$AC73)),TRIM(C73)&lt;&gt;"DB Dev"),"Set Current Status back to DB Dev",IF(AND(LEFT($AC73,3)="Yes",ISNUMBER(SEARCH("needs PBI Dev",$AC73)),TRIM(C73)&lt;&gt;"PBI Dev"),"Set Current Status back to PBI Dev",IF(AND(LEFT($AC73,3)="Yes",ISNUMBER(SEARCH("needs QA",$AC73)),TRIM(C73)&lt;&gt;"QA"),"Set Current Status back to QA",IF(COUNTIF($B$2:$B$500,$B73)&gt;1,"Duplicate name - check row",IF(AND(TRIM(C73)="RELEASED IN PROD",Y73&lt;&gt;"Yes"),"Released but Confirmed Deployed? is not Yes",IF(COUNTIF('Rework Log'!$A$3:$A$500,$B73)&gt;0,"",IF(AND(S73&lt;&gt;"",M73&lt;&gt;"",S73&lt;M73),"QA target is before DB Dev target",IF(AND(S73&lt;&gt;"",P73&lt;&gt;"",S73&lt;P73),"QA target is before PBI Dev target",IF(AND(V73&lt;&gt;"",S73&lt;&gt;"",V73&lt;S73),"DPO Approval target is before QA target",IF(AND(Z73&lt;&gt;"",V73&lt;&gt;"",Z73&lt;V73),"Confirmed Deployed date is before DPO Approval target","")))))))))))))))))</f>
        <v/>
      </c>
      <c r="AE73" s="61"/>
    </row>
    <row r="74" spans="1:31" x14ac:dyDescent="0.25">
      <c r="A74" s="62"/>
      <c r="B74" s="62"/>
      <c r="C74" s="62"/>
      <c r="D74" s="64" t="str">
        <f ca="1">IF($B74="","",IF(LEFT($AC74,3)="Yes",IF(LEN($AC74)&gt;5,"Blocked - "&amp;MID($AC74,7,100),"Blocked")&amp;IF(SUMPRODUCT((TRIM('Rework Log'!$A$3:$A$500)=TRIM($B74))*('Rework Log'!$G$3:$G$500&lt;&gt;"Yes")*('Rework Log'!$G$3:$G$500&lt;&gt;"Did not pass re-test"))=0,"",IF(SUMPRODUCT(((TRIM('Rework Log'!$A$3:$A$500)=TRIM($B74))*('Rework Log'!$G$3:$G$500&lt;&gt;"Yes")*('Rework Log'!$G$3:$G$500&lt;&gt;"Did not pass re-test"))*ISNUMBER('Rework Log'!$J$3:$J$500))&gt;0," - fixed, awaiting re-test",IF(SUMPRODUCT(MAX(((TRIM('Rework Log'!$A$3:$A$500)=TRIM($B74))*('Rework Log'!$G$3:$G$500&lt;&gt;"Yes")*('Rework Log'!$G$3:$G$500&lt;&gt;"Did not pass re-test"))*IFERROR('Rework Log'!$I$3:$I$500*1,0)))=0," - unclaimed"," - promised "&amp;TEXT(SUMPRODUCT(MAX(((TRIM('Rework Log'!$A$3:$A$500)=TRIM($B74))*('Rework Log'!$G$3:$G$500&lt;&gt;"Yes")*('Rework Log'!$G$3:$G$500&lt;&gt;"Did not pass re-test"))*IFERROR('Rework Log'!$I$3:$I$500*1,0))),"m/d")))),IF(TRIM(C74)="NOT STARTED",IF(K74="","No plan date set",IF(K74&lt;TODAY(),"Review - planned start passed","On track")),IF(TRIM(C74)="DB Dev",IF(M74="","No target set",IF(AND(M74&lt;TODAY(),O74=""),"Overdue","On track")),IF(TRIM(C74)="PBI Dev",IF(P74="","No target set",IF(AND(P74&lt;TODAY(),R74=""),"Overdue","On track")),IF(TRIM(C74)="QA",IF(S74="","No target set",IF(AND(S74&lt;TODAY(),U74=""),"Overdue","On track")),IF(TRIM(C74)="DPO Approval",IF(V74="","No target set",IF(V74&lt;TODAY(),"Overdue","On track")),IF(TRIM(C74)="RELEASED IN PROD","Delivered",""))))))))</f>
        <v/>
      </c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4" t="str">
        <f>IF($B74="","",IF(AND(LEFT($AC74,3)="Yes",SUMPRODUCT((TRIM('Rework Log'!$A$3:$A$500)=TRIM($B74))*('Rework Log'!$G$3:$G$500&lt;&gt;"Yes")*('Rework Log'!$G$3:$G$500&lt;&gt;"Did not pass re-test"))=0),"Blocked - log it on Rework Log",IF(AND(LEFT($AC74,3)&lt;&gt;"Yes",SUMPRODUCT((TRIM('Rework Log'!$A$3:$A$500)=TRIM($B74))*('Rework Log'!$G$3:$G$500&lt;&gt;"Yes")*('Rework Log'!$G$3:$G$500&lt;&gt;"Did not pass re-test"))&gt;0),"Open rework row - mark Blocked? or close it",IF(AND(LEFT($AC74,3)&lt;&gt;"Yes",SUMPRODUCT((TRIM('Rework Log'!$A$3:$A$500)=TRIM($B74))*('Rework Log'!$G$3:$G$500&lt;&gt;"Yes")*('Rework Log'!$G$3:$G$500&lt;&gt;"Did not pass re-test"))=0,COUNTIF('Rework Log'!$A$3:$A$500,$B74)&gt;0,IFERROR(INDEX('Rework Log'!$G:$G,SUMPRODUCT(MAX((TRIM('Rework Log'!$A$3:$A$500)=TRIM($B74))*ROW('Rework Log'!$A$3:$A$500)))),"")="Did not pass re-test"),"Last fix rejected - re-block or log next attempt",IF(AND(LEFT($AC74,3)="Yes",ISNUMBER(SEARCH("needs DB Dev",$AC74)),O74&lt;&gt;"",SUMPRODUCT(MAX(((TRIM('Rework Log'!$A$3:$A$500)=TRIM($B74))*('Rework Log'!$G$3:$G$500&lt;&gt;"Yes")*('Rework Log'!$G$3:$G$500&lt;&gt;"Did not pass re-test"))*IFERROR('Rework Log'!$I$3:$I$500*1,0)))&gt;0),"Move old DB Dev completion date to Rework Log (col H)",IF(AND(LEFT($AC74,3)="Yes",ISNUMBER(SEARCH("needs PBI Dev",$AC74)),R74&lt;&gt;"",SUMPRODUCT(MAX(((TRIM('Rework Log'!$A$3:$A$500)=TRIM($B74))*('Rework Log'!$G$3:$G$500&lt;&gt;"Yes")*('Rework Log'!$G$3:$G$500&lt;&gt;"Did not pass re-test"))*IFERROR('Rework Log'!$I$3:$I$500*1,0)))&gt;0),"Move old PBI Dev completion date to Rework Log (col H)",IF(AND(LEFT($AC74,3)="Yes",ISNUMBER(SEARCH("needs QA",$AC74)),U74&lt;&gt;"",SUMPRODUCT(MAX(((TRIM('Rework Log'!$A$3:$A$500)=TRIM($B74))*('Rework Log'!$G$3:$G$500&lt;&gt;"Yes")*('Rework Log'!$G$3:$G$500&lt;&gt;"Did not pass re-test"))*IFERROR('Rework Log'!$I$3:$I$500*1,0)))&gt;0),"Move old QA completion date to Rework Log (col H)",IF(AND(LEFT($AC74,3)="Yes",ISNUMBER(SEARCH("needs DB Dev",$AC74)),TRIM(C74)&lt;&gt;"DB Dev"),"Set Current Status back to DB Dev",IF(AND(LEFT($AC74,3)="Yes",ISNUMBER(SEARCH("needs PBI Dev",$AC74)),TRIM(C74)&lt;&gt;"PBI Dev"),"Set Current Status back to PBI Dev",IF(AND(LEFT($AC74,3)="Yes",ISNUMBER(SEARCH("needs QA",$AC74)),TRIM(C74)&lt;&gt;"QA"),"Set Current Status back to QA",IF(COUNTIF($B$2:$B$500,$B74)&gt;1,"Duplicate name - check row",IF(AND(TRIM(C74)="RELEASED IN PROD",Y74&lt;&gt;"Yes"),"Released but Confirmed Deployed? is not Yes",IF(COUNTIF('Rework Log'!$A$3:$A$500,$B74)&gt;0,"",IF(AND(S74&lt;&gt;"",M74&lt;&gt;"",S74&lt;M74),"QA target is before DB Dev target",IF(AND(S74&lt;&gt;"",P74&lt;&gt;"",S74&lt;P74),"QA target is before PBI Dev target",IF(AND(V74&lt;&gt;"",S74&lt;&gt;"",V74&lt;S74),"DPO Approval target is before QA target",IF(AND(Z74&lt;&gt;"",V74&lt;&gt;"",Z74&lt;V74),"Confirmed Deployed date is before DPO Approval target","")))))))))))))))))</f>
        <v/>
      </c>
      <c r="AE74" s="62"/>
    </row>
    <row r="75" spans="1:31" x14ac:dyDescent="0.25">
      <c r="A75" s="62"/>
      <c r="B75" s="62"/>
      <c r="C75" s="62"/>
      <c r="D75" s="64" t="str">
        <f ca="1">IF($B75="","",IF(LEFT($AC75,3)="Yes",IF(LEN($AC75)&gt;5,"Blocked - "&amp;MID($AC75,7,100),"Blocked")&amp;IF(SUMPRODUCT((TRIM('Rework Log'!$A$3:$A$500)=TRIM($B75))*('Rework Log'!$G$3:$G$500&lt;&gt;"Yes")*('Rework Log'!$G$3:$G$500&lt;&gt;"Did not pass re-test"))=0,"",IF(SUMPRODUCT(((TRIM('Rework Log'!$A$3:$A$500)=TRIM($B75))*('Rework Log'!$G$3:$G$500&lt;&gt;"Yes")*('Rework Log'!$G$3:$G$500&lt;&gt;"Did not pass re-test"))*ISNUMBER('Rework Log'!$J$3:$J$500))&gt;0," - fixed, awaiting re-test",IF(SUMPRODUCT(MAX(((TRIM('Rework Log'!$A$3:$A$500)=TRIM($B75))*('Rework Log'!$G$3:$G$500&lt;&gt;"Yes")*('Rework Log'!$G$3:$G$500&lt;&gt;"Did not pass re-test"))*IFERROR('Rework Log'!$I$3:$I$500*1,0)))=0," - unclaimed"," - promised "&amp;TEXT(SUMPRODUCT(MAX(((TRIM('Rework Log'!$A$3:$A$500)=TRIM($B75))*('Rework Log'!$G$3:$G$500&lt;&gt;"Yes")*('Rework Log'!$G$3:$G$500&lt;&gt;"Did not pass re-test"))*IFERROR('Rework Log'!$I$3:$I$500*1,0))),"m/d")))),IF(TRIM(C75)="NOT STARTED",IF(K75="","No plan date set",IF(K75&lt;TODAY(),"Review - planned start passed","On track")),IF(TRIM(C75)="DB Dev",IF(M75="","No target set",IF(AND(M75&lt;TODAY(),O75=""),"Overdue","On track")),IF(TRIM(C75)="PBI Dev",IF(P75="","No target set",IF(AND(P75&lt;TODAY(),R75=""),"Overdue","On track")),IF(TRIM(C75)="QA",IF(S75="","No target set",IF(AND(S75&lt;TODAY(),U75=""),"Overdue","On track")),IF(TRIM(C75)="DPO Approval",IF(V75="","No target set",IF(V75&lt;TODAY(),"Overdue","On track")),IF(TRIM(C75)="RELEASED IN PROD","Delivered",""))))))))</f>
        <v/>
      </c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4" t="str">
        <f>IF($B75="","",IF(AND(LEFT($AC75,3)="Yes",SUMPRODUCT((TRIM('Rework Log'!$A$3:$A$500)=TRIM($B75))*('Rework Log'!$G$3:$G$500&lt;&gt;"Yes")*('Rework Log'!$G$3:$G$500&lt;&gt;"Did not pass re-test"))=0),"Blocked - log it on Rework Log",IF(AND(LEFT($AC75,3)&lt;&gt;"Yes",SUMPRODUCT((TRIM('Rework Log'!$A$3:$A$500)=TRIM($B75))*('Rework Log'!$G$3:$G$500&lt;&gt;"Yes")*('Rework Log'!$G$3:$G$500&lt;&gt;"Did not pass re-test"))&gt;0),"Open rework row - mark Blocked? or close it",IF(AND(LEFT($AC75,3)&lt;&gt;"Yes",SUMPRODUCT((TRIM('Rework Log'!$A$3:$A$500)=TRIM($B75))*('Rework Log'!$G$3:$G$500&lt;&gt;"Yes")*('Rework Log'!$G$3:$G$500&lt;&gt;"Did not pass re-test"))=0,COUNTIF('Rework Log'!$A$3:$A$500,$B75)&gt;0,IFERROR(INDEX('Rework Log'!$G:$G,SUMPRODUCT(MAX((TRIM('Rework Log'!$A$3:$A$500)=TRIM($B75))*ROW('Rework Log'!$A$3:$A$500)))),"")="Did not pass re-test"),"Last fix rejected - re-block or log next attempt",IF(AND(LEFT($AC75,3)="Yes",ISNUMBER(SEARCH("needs DB Dev",$AC75)),O75&lt;&gt;"",SUMPRODUCT(MAX(((TRIM('Rework Log'!$A$3:$A$500)=TRIM($B75))*('Rework Log'!$G$3:$G$500&lt;&gt;"Yes")*('Rework Log'!$G$3:$G$500&lt;&gt;"Did not pass re-test"))*IFERROR('Rework Log'!$I$3:$I$500*1,0)))&gt;0),"Move old DB Dev completion date to Rework Log (col H)",IF(AND(LEFT($AC75,3)="Yes",ISNUMBER(SEARCH("needs PBI Dev",$AC75)),R75&lt;&gt;"",SUMPRODUCT(MAX(((TRIM('Rework Log'!$A$3:$A$500)=TRIM($B75))*('Rework Log'!$G$3:$G$500&lt;&gt;"Yes")*('Rework Log'!$G$3:$G$500&lt;&gt;"Did not pass re-test"))*IFERROR('Rework Log'!$I$3:$I$500*1,0)))&gt;0),"Move old PBI Dev completion date to Rework Log (col H)",IF(AND(LEFT($AC75,3)="Yes",ISNUMBER(SEARCH("needs QA",$AC75)),U75&lt;&gt;"",SUMPRODUCT(MAX(((TRIM('Rework Log'!$A$3:$A$500)=TRIM($B75))*('Rework Log'!$G$3:$G$500&lt;&gt;"Yes")*('Rework Log'!$G$3:$G$500&lt;&gt;"Did not pass re-test"))*IFERROR('Rework Log'!$I$3:$I$500*1,0)))&gt;0),"Move old QA completion date to Rework Log (col H)",IF(AND(LEFT($AC75,3)="Yes",ISNUMBER(SEARCH("needs DB Dev",$AC75)),TRIM(C75)&lt;&gt;"DB Dev"),"Set Current Status back to DB Dev",IF(AND(LEFT($AC75,3)="Yes",ISNUMBER(SEARCH("needs PBI Dev",$AC75)),TRIM(C75)&lt;&gt;"PBI Dev"),"Set Current Status back to PBI Dev",IF(AND(LEFT($AC75,3)="Yes",ISNUMBER(SEARCH("needs QA",$AC75)),TRIM(C75)&lt;&gt;"QA"),"Set Current Status back to QA",IF(COUNTIF($B$2:$B$500,$B75)&gt;1,"Duplicate name - check row",IF(AND(TRIM(C75)="RELEASED IN PROD",Y75&lt;&gt;"Yes"),"Released but Confirmed Deployed? is not Yes",IF(COUNTIF('Rework Log'!$A$3:$A$500,$B75)&gt;0,"",IF(AND(S75&lt;&gt;"",M75&lt;&gt;"",S75&lt;M75),"QA target is before DB Dev target",IF(AND(S75&lt;&gt;"",P75&lt;&gt;"",S75&lt;P75),"QA target is before PBI Dev target",IF(AND(V75&lt;&gt;"",S75&lt;&gt;"",V75&lt;S75),"DPO Approval target is before QA target",IF(AND(Z75&lt;&gt;"",V75&lt;&gt;"",Z75&lt;V75),"Confirmed Deployed date is before DPO Approval target","")))))))))))))))))</f>
        <v/>
      </c>
      <c r="AE75" s="62"/>
    </row>
    <row r="76" spans="1:31" x14ac:dyDescent="0.25">
      <c r="A76" s="62"/>
      <c r="B76" s="62"/>
      <c r="C76" s="62"/>
      <c r="D76" s="64" t="str">
        <f ca="1">IF($B76="","",IF(LEFT($AC76,3)="Yes",IF(LEN($AC76)&gt;5,"Blocked - "&amp;MID($AC76,7,100),"Blocked")&amp;IF(SUMPRODUCT((TRIM('Rework Log'!$A$3:$A$500)=TRIM($B76))*('Rework Log'!$G$3:$G$500&lt;&gt;"Yes")*('Rework Log'!$G$3:$G$500&lt;&gt;"Did not pass re-test"))=0,"",IF(SUMPRODUCT(((TRIM('Rework Log'!$A$3:$A$500)=TRIM($B76))*('Rework Log'!$G$3:$G$500&lt;&gt;"Yes")*('Rework Log'!$G$3:$G$500&lt;&gt;"Did not pass re-test"))*ISNUMBER('Rework Log'!$J$3:$J$500))&gt;0," - fixed, awaiting re-test",IF(SUMPRODUCT(MAX(((TRIM('Rework Log'!$A$3:$A$500)=TRIM($B76))*('Rework Log'!$G$3:$G$500&lt;&gt;"Yes")*('Rework Log'!$G$3:$G$500&lt;&gt;"Did not pass re-test"))*IFERROR('Rework Log'!$I$3:$I$500*1,0)))=0," - unclaimed"," - promised "&amp;TEXT(SUMPRODUCT(MAX(((TRIM('Rework Log'!$A$3:$A$500)=TRIM($B76))*('Rework Log'!$G$3:$G$500&lt;&gt;"Yes")*('Rework Log'!$G$3:$G$500&lt;&gt;"Did not pass re-test"))*IFERROR('Rework Log'!$I$3:$I$500*1,0))),"m/d")))),IF(TRIM(C76)="NOT STARTED",IF(K76="","No plan date set",IF(K76&lt;TODAY(),"Review - planned start passed","On track")),IF(TRIM(C76)="DB Dev",IF(M76="","No target set",IF(AND(M76&lt;TODAY(),O76=""),"Overdue","On track")),IF(TRIM(C76)="PBI Dev",IF(P76="","No target set",IF(AND(P76&lt;TODAY(),R76=""),"Overdue","On track")),IF(TRIM(C76)="QA",IF(S76="","No target set",IF(AND(S76&lt;TODAY(),U76=""),"Overdue","On track")),IF(TRIM(C76)="DPO Approval",IF(V76="","No target set",IF(V76&lt;TODAY(),"Overdue","On track")),IF(TRIM(C76)="RELEASED IN PROD","Delivered",""))))))))</f>
        <v/>
      </c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4" t="str">
        <f>IF($B76="","",IF(AND(LEFT($AC76,3)="Yes",SUMPRODUCT((TRIM('Rework Log'!$A$3:$A$500)=TRIM($B76))*('Rework Log'!$G$3:$G$500&lt;&gt;"Yes")*('Rework Log'!$G$3:$G$500&lt;&gt;"Did not pass re-test"))=0),"Blocked - log it on Rework Log",IF(AND(LEFT($AC76,3)&lt;&gt;"Yes",SUMPRODUCT((TRIM('Rework Log'!$A$3:$A$500)=TRIM($B76))*('Rework Log'!$G$3:$G$500&lt;&gt;"Yes")*('Rework Log'!$G$3:$G$500&lt;&gt;"Did not pass re-test"))&gt;0),"Open rework row - mark Blocked? or close it",IF(AND(LEFT($AC76,3)&lt;&gt;"Yes",SUMPRODUCT((TRIM('Rework Log'!$A$3:$A$500)=TRIM($B76))*('Rework Log'!$G$3:$G$500&lt;&gt;"Yes")*('Rework Log'!$G$3:$G$500&lt;&gt;"Did not pass re-test"))=0,COUNTIF('Rework Log'!$A$3:$A$500,$B76)&gt;0,IFERROR(INDEX('Rework Log'!$G:$G,SUMPRODUCT(MAX((TRIM('Rework Log'!$A$3:$A$500)=TRIM($B76))*ROW('Rework Log'!$A$3:$A$500)))),"")="Did not pass re-test"),"Last fix rejected - re-block or log next attempt",IF(AND(LEFT($AC76,3)="Yes",ISNUMBER(SEARCH("needs DB Dev",$AC76)),O76&lt;&gt;"",SUMPRODUCT(MAX(((TRIM('Rework Log'!$A$3:$A$500)=TRIM($B76))*('Rework Log'!$G$3:$G$500&lt;&gt;"Yes")*('Rework Log'!$G$3:$G$500&lt;&gt;"Did not pass re-test"))*IFERROR('Rework Log'!$I$3:$I$500*1,0)))&gt;0),"Move old DB Dev completion date to Rework Log (col H)",IF(AND(LEFT($AC76,3)="Yes",ISNUMBER(SEARCH("needs PBI Dev",$AC76)),R76&lt;&gt;"",SUMPRODUCT(MAX(((TRIM('Rework Log'!$A$3:$A$500)=TRIM($B76))*('Rework Log'!$G$3:$G$500&lt;&gt;"Yes")*('Rework Log'!$G$3:$G$500&lt;&gt;"Did not pass re-test"))*IFERROR('Rework Log'!$I$3:$I$500*1,0)))&gt;0),"Move old PBI Dev completion date to Rework Log (col H)",IF(AND(LEFT($AC76,3)="Yes",ISNUMBER(SEARCH("needs QA",$AC76)),U76&lt;&gt;"",SUMPRODUCT(MAX(((TRIM('Rework Log'!$A$3:$A$500)=TRIM($B76))*('Rework Log'!$G$3:$G$500&lt;&gt;"Yes")*('Rework Log'!$G$3:$G$500&lt;&gt;"Did not pass re-test"))*IFERROR('Rework Log'!$I$3:$I$500*1,0)))&gt;0),"Move old QA completion date to Rework Log (col H)",IF(AND(LEFT($AC76,3)="Yes",ISNUMBER(SEARCH("needs DB Dev",$AC76)),TRIM(C76)&lt;&gt;"DB Dev"),"Set Current Status back to DB Dev",IF(AND(LEFT($AC76,3)="Yes",ISNUMBER(SEARCH("needs PBI Dev",$AC76)),TRIM(C76)&lt;&gt;"PBI Dev"),"Set Current Status back to PBI Dev",IF(AND(LEFT($AC76,3)="Yes",ISNUMBER(SEARCH("needs QA",$AC76)),TRIM(C76)&lt;&gt;"QA"),"Set Current Status back to QA",IF(COUNTIF($B$2:$B$500,$B76)&gt;1,"Duplicate name - check row",IF(AND(TRIM(C76)="RELEASED IN PROD",Y76&lt;&gt;"Yes"),"Released but Confirmed Deployed? is not Yes",IF(COUNTIF('Rework Log'!$A$3:$A$500,$B76)&gt;0,"",IF(AND(S76&lt;&gt;"",M76&lt;&gt;"",S76&lt;M76),"QA target is before DB Dev target",IF(AND(S76&lt;&gt;"",P76&lt;&gt;"",S76&lt;P76),"QA target is before PBI Dev target",IF(AND(V76&lt;&gt;"",S76&lt;&gt;"",V76&lt;S76),"DPO Approval target is before QA target",IF(AND(Z76&lt;&gt;"",V76&lt;&gt;"",Z76&lt;V76),"Confirmed Deployed date is before DPO Approval target","")))))))))))))))))</f>
        <v/>
      </c>
      <c r="AE76" s="62"/>
    </row>
    <row r="77" spans="1:31" x14ac:dyDescent="0.25">
      <c r="A77" s="62"/>
      <c r="B77" s="62"/>
      <c r="C77" s="62"/>
      <c r="D77" s="64" t="str">
        <f ca="1">IF($B77="","",IF(LEFT($AC77,3)="Yes",IF(LEN($AC77)&gt;5,"Blocked - "&amp;MID($AC77,7,100),"Blocked")&amp;IF(SUMPRODUCT((TRIM('Rework Log'!$A$3:$A$500)=TRIM($B77))*('Rework Log'!$G$3:$G$500&lt;&gt;"Yes")*('Rework Log'!$G$3:$G$500&lt;&gt;"Did not pass re-test"))=0,"",IF(SUMPRODUCT(((TRIM('Rework Log'!$A$3:$A$500)=TRIM($B77))*('Rework Log'!$G$3:$G$500&lt;&gt;"Yes")*('Rework Log'!$G$3:$G$500&lt;&gt;"Did not pass re-test"))*ISNUMBER('Rework Log'!$J$3:$J$500))&gt;0," - fixed, awaiting re-test",IF(SUMPRODUCT(MAX(((TRIM('Rework Log'!$A$3:$A$500)=TRIM($B77))*('Rework Log'!$G$3:$G$500&lt;&gt;"Yes")*('Rework Log'!$G$3:$G$500&lt;&gt;"Did not pass re-test"))*IFERROR('Rework Log'!$I$3:$I$500*1,0)))=0," - unclaimed"," - promised "&amp;TEXT(SUMPRODUCT(MAX(((TRIM('Rework Log'!$A$3:$A$500)=TRIM($B77))*('Rework Log'!$G$3:$G$500&lt;&gt;"Yes")*('Rework Log'!$G$3:$G$500&lt;&gt;"Did not pass re-test"))*IFERROR('Rework Log'!$I$3:$I$500*1,0))),"m/d")))),IF(TRIM(C77)="NOT STARTED",IF(K77="","No plan date set",IF(K77&lt;TODAY(),"Review - planned start passed","On track")),IF(TRIM(C77)="DB Dev",IF(M77="","No target set",IF(AND(M77&lt;TODAY(),O77=""),"Overdue","On track")),IF(TRIM(C77)="PBI Dev",IF(P77="","No target set",IF(AND(P77&lt;TODAY(),R77=""),"Overdue","On track")),IF(TRIM(C77)="QA",IF(S77="","No target set",IF(AND(S77&lt;TODAY(),U77=""),"Overdue","On track")),IF(TRIM(C77)="DPO Approval",IF(V77="","No target set",IF(V77&lt;TODAY(),"Overdue","On track")),IF(TRIM(C77)="RELEASED IN PROD","Delivered",""))))))))</f>
        <v/>
      </c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4" t="str">
        <f>IF($B77="","",IF(AND(LEFT($AC77,3)="Yes",SUMPRODUCT((TRIM('Rework Log'!$A$3:$A$500)=TRIM($B77))*('Rework Log'!$G$3:$G$500&lt;&gt;"Yes")*('Rework Log'!$G$3:$G$500&lt;&gt;"Did not pass re-test"))=0),"Blocked - log it on Rework Log",IF(AND(LEFT($AC77,3)&lt;&gt;"Yes",SUMPRODUCT((TRIM('Rework Log'!$A$3:$A$500)=TRIM($B77))*('Rework Log'!$G$3:$G$500&lt;&gt;"Yes")*('Rework Log'!$G$3:$G$500&lt;&gt;"Did not pass re-test"))&gt;0),"Open rework row - mark Blocked? or close it",IF(AND(LEFT($AC77,3)&lt;&gt;"Yes",SUMPRODUCT((TRIM('Rework Log'!$A$3:$A$500)=TRIM($B77))*('Rework Log'!$G$3:$G$500&lt;&gt;"Yes")*('Rework Log'!$G$3:$G$500&lt;&gt;"Did not pass re-test"))=0,COUNTIF('Rework Log'!$A$3:$A$500,$B77)&gt;0,IFERROR(INDEX('Rework Log'!$G:$G,SUMPRODUCT(MAX((TRIM('Rework Log'!$A$3:$A$500)=TRIM($B77))*ROW('Rework Log'!$A$3:$A$500)))),"")="Did not pass re-test"),"Last fix rejected - re-block or log next attempt",IF(AND(LEFT($AC77,3)="Yes",ISNUMBER(SEARCH("needs DB Dev",$AC77)),O77&lt;&gt;"",SUMPRODUCT(MAX(((TRIM('Rework Log'!$A$3:$A$500)=TRIM($B77))*('Rework Log'!$G$3:$G$500&lt;&gt;"Yes")*('Rework Log'!$G$3:$G$500&lt;&gt;"Did not pass re-test"))*IFERROR('Rework Log'!$I$3:$I$500*1,0)))&gt;0),"Move old DB Dev completion date to Rework Log (col H)",IF(AND(LEFT($AC77,3)="Yes",ISNUMBER(SEARCH("needs PBI Dev",$AC77)),R77&lt;&gt;"",SUMPRODUCT(MAX(((TRIM('Rework Log'!$A$3:$A$500)=TRIM($B77))*('Rework Log'!$G$3:$G$500&lt;&gt;"Yes")*('Rework Log'!$G$3:$G$500&lt;&gt;"Did not pass re-test"))*IFERROR('Rework Log'!$I$3:$I$500*1,0)))&gt;0),"Move old PBI Dev completion date to Rework Log (col H)",IF(AND(LEFT($AC77,3)="Yes",ISNUMBER(SEARCH("needs QA",$AC77)),U77&lt;&gt;"",SUMPRODUCT(MAX(((TRIM('Rework Log'!$A$3:$A$500)=TRIM($B77))*('Rework Log'!$G$3:$G$500&lt;&gt;"Yes")*('Rework Log'!$G$3:$G$500&lt;&gt;"Did not pass re-test"))*IFERROR('Rework Log'!$I$3:$I$500*1,0)))&gt;0),"Move old QA completion date to Rework Log (col H)",IF(AND(LEFT($AC77,3)="Yes",ISNUMBER(SEARCH("needs DB Dev",$AC77)),TRIM(C77)&lt;&gt;"DB Dev"),"Set Current Status back to DB Dev",IF(AND(LEFT($AC77,3)="Yes",ISNUMBER(SEARCH("needs PBI Dev",$AC77)),TRIM(C77)&lt;&gt;"PBI Dev"),"Set Current Status back to PBI Dev",IF(AND(LEFT($AC77,3)="Yes",ISNUMBER(SEARCH("needs QA",$AC77)),TRIM(C77)&lt;&gt;"QA"),"Set Current Status back to QA",IF(COUNTIF($B$2:$B$500,$B77)&gt;1,"Duplicate name - check row",IF(AND(TRIM(C77)="RELEASED IN PROD",Y77&lt;&gt;"Yes"),"Released but Confirmed Deployed? is not Yes",IF(COUNTIF('Rework Log'!$A$3:$A$500,$B77)&gt;0,"",IF(AND(S77&lt;&gt;"",M77&lt;&gt;"",S77&lt;M77),"QA target is before DB Dev target",IF(AND(S77&lt;&gt;"",P77&lt;&gt;"",S77&lt;P77),"QA target is before PBI Dev target",IF(AND(V77&lt;&gt;"",S77&lt;&gt;"",V77&lt;S77),"DPO Approval target is before QA target",IF(AND(Z77&lt;&gt;"",V77&lt;&gt;"",Z77&lt;V77),"Confirmed Deployed date is before DPO Approval target","")))))))))))))))))</f>
        <v/>
      </c>
      <c r="AE77" s="62"/>
    </row>
    <row r="78" spans="1:31" x14ac:dyDescent="0.25">
      <c r="A78" s="62"/>
      <c r="B78" s="62"/>
      <c r="C78" s="62"/>
      <c r="D78" s="64" t="str">
        <f ca="1">IF($B78="","",IF(LEFT($AC78,3)="Yes",IF(LEN($AC78)&gt;5,"Blocked - "&amp;MID($AC78,7,100),"Blocked")&amp;IF(SUMPRODUCT((TRIM('Rework Log'!$A$3:$A$500)=TRIM($B78))*('Rework Log'!$G$3:$G$500&lt;&gt;"Yes")*('Rework Log'!$G$3:$G$500&lt;&gt;"Did not pass re-test"))=0,"",IF(SUMPRODUCT(((TRIM('Rework Log'!$A$3:$A$500)=TRIM($B78))*('Rework Log'!$G$3:$G$500&lt;&gt;"Yes")*('Rework Log'!$G$3:$G$500&lt;&gt;"Did not pass re-test"))*ISNUMBER('Rework Log'!$J$3:$J$500))&gt;0," - fixed, awaiting re-test",IF(SUMPRODUCT(MAX(((TRIM('Rework Log'!$A$3:$A$500)=TRIM($B78))*('Rework Log'!$G$3:$G$500&lt;&gt;"Yes")*('Rework Log'!$G$3:$G$500&lt;&gt;"Did not pass re-test"))*IFERROR('Rework Log'!$I$3:$I$500*1,0)))=0," - unclaimed"," - promised "&amp;TEXT(SUMPRODUCT(MAX(((TRIM('Rework Log'!$A$3:$A$500)=TRIM($B78))*('Rework Log'!$G$3:$G$500&lt;&gt;"Yes")*('Rework Log'!$G$3:$G$500&lt;&gt;"Did not pass re-test"))*IFERROR('Rework Log'!$I$3:$I$500*1,0))),"m/d")))),IF(TRIM(C78)="NOT STARTED",IF(K78="","No plan date set",IF(K78&lt;TODAY(),"Review - planned start passed","On track")),IF(TRIM(C78)="DB Dev",IF(M78="","No target set",IF(AND(M78&lt;TODAY(),O78=""),"Overdue","On track")),IF(TRIM(C78)="PBI Dev",IF(P78="","No target set",IF(AND(P78&lt;TODAY(),R78=""),"Overdue","On track")),IF(TRIM(C78)="QA",IF(S78="","No target set",IF(AND(S78&lt;TODAY(),U78=""),"Overdue","On track")),IF(TRIM(C78)="DPO Approval",IF(V78="","No target set",IF(V78&lt;TODAY(),"Overdue","On track")),IF(TRIM(C78)="RELEASED IN PROD","Delivered",""))))))))</f>
        <v/>
      </c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4" t="str">
        <f>IF($B78="","",IF(AND(LEFT($AC78,3)="Yes",SUMPRODUCT((TRIM('Rework Log'!$A$3:$A$500)=TRIM($B78))*('Rework Log'!$G$3:$G$500&lt;&gt;"Yes")*('Rework Log'!$G$3:$G$500&lt;&gt;"Did not pass re-test"))=0),"Blocked - log it on Rework Log",IF(AND(LEFT($AC78,3)&lt;&gt;"Yes",SUMPRODUCT((TRIM('Rework Log'!$A$3:$A$500)=TRIM($B78))*('Rework Log'!$G$3:$G$500&lt;&gt;"Yes")*('Rework Log'!$G$3:$G$500&lt;&gt;"Did not pass re-test"))&gt;0),"Open rework row - mark Blocked? or close it",IF(AND(LEFT($AC78,3)&lt;&gt;"Yes",SUMPRODUCT((TRIM('Rework Log'!$A$3:$A$500)=TRIM($B78))*('Rework Log'!$G$3:$G$500&lt;&gt;"Yes")*('Rework Log'!$G$3:$G$500&lt;&gt;"Did not pass re-test"))=0,COUNTIF('Rework Log'!$A$3:$A$500,$B78)&gt;0,IFERROR(INDEX('Rework Log'!$G:$G,SUMPRODUCT(MAX((TRIM('Rework Log'!$A$3:$A$500)=TRIM($B78))*ROW('Rework Log'!$A$3:$A$500)))),"")="Did not pass re-test"),"Last fix rejected - re-block or log next attempt",IF(AND(LEFT($AC78,3)="Yes",ISNUMBER(SEARCH("needs DB Dev",$AC78)),O78&lt;&gt;"",SUMPRODUCT(MAX(((TRIM('Rework Log'!$A$3:$A$500)=TRIM($B78))*('Rework Log'!$G$3:$G$500&lt;&gt;"Yes")*('Rework Log'!$G$3:$G$500&lt;&gt;"Did not pass re-test"))*IFERROR('Rework Log'!$I$3:$I$500*1,0)))&gt;0),"Move old DB Dev completion date to Rework Log (col H)",IF(AND(LEFT($AC78,3)="Yes",ISNUMBER(SEARCH("needs PBI Dev",$AC78)),R78&lt;&gt;"",SUMPRODUCT(MAX(((TRIM('Rework Log'!$A$3:$A$500)=TRIM($B78))*('Rework Log'!$G$3:$G$500&lt;&gt;"Yes")*('Rework Log'!$G$3:$G$500&lt;&gt;"Did not pass re-test"))*IFERROR('Rework Log'!$I$3:$I$500*1,0)))&gt;0),"Move old PBI Dev completion date to Rework Log (col H)",IF(AND(LEFT($AC78,3)="Yes",ISNUMBER(SEARCH("needs QA",$AC78)),U78&lt;&gt;"",SUMPRODUCT(MAX(((TRIM('Rework Log'!$A$3:$A$500)=TRIM($B78))*('Rework Log'!$G$3:$G$500&lt;&gt;"Yes")*('Rework Log'!$G$3:$G$500&lt;&gt;"Did not pass re-test"))*IFERROR('Rework Log'!$I$3:$I$500*1,0)))&gt;0),"Move old QA completion date to Rework Log (col H)",IF(AND(LEFT($AC78,3)="Yes",ISNUMBER(SEARCH("needs DB Dev",$AC78)),TRIM(C78)&lt;&gt;"DB Dev"),"Set Current Status back to DB Dev",IF(AND(LEFT($AC78,3)="Yes",ISNUMBER(SEARCH("needs PBI Dev",$AC78)),TRIM(C78)&lt;&gt;"PBI Dev"),"Set Current Status back to PBI Dev",IF(AND(LEFT($AC78,3)="Yes",ISNUMBER(SEARCH("needs QA",$AC78)),TRIM(C78)&lt;&gt;"QA"),"Set Current Status back to QA",IF(COUNTIF($B$2:$B$500,$B78)&gt;1,"Duplicate name - check row",IF(AND(TRIM(C78)="RELEASED IN PROD",Y78&lt;&gt;"Yes"),"Released but Confirmed Deployed? is not Yes",IF(COUNTIF('Rework Log'!$A$3:$A$500,$B78)&gt;0,"",IF(AND(S78&lt;&gt;"",M78&lt;&gt;"",S78&lt;M78),"QA target is before DB Dev target",IF(AND(S78&lt;&gt;"",P78&lt;&gt;"",S78&lt;P78),"QA target is before PBI Dev target",IF(AND(V78&lt;&gt;"",S78&lt;&gt;"",V78&lt;S78),"DPO Approval target is before QA target",IF(AND(Z78&lt;&gt;"",V78&lt;&gt;"",Z78&lt;V78),"Confirmed Deployed date is before DPO Approval target","")))))))))))))))))</f>
        <v/>
      </c>
      <c r="AE78" s="62"/>
    </row>
    <row r="79" spans="1:31" x14ac:dyDescent="0.25">
      <c r="A79" s="62"/>
      <c r="B79" s="62"/>
      <c r="C79" s="62"/>
      <c r="D79" s="64" t="str">
        <f ca="1">IF($B79="","",IF(LEFT($AC79,3)="Yes",IF(LEN($AC79)&gt;5,"Blocked - "&amp;MID($AC79,7,100),"Blocked")&amp;IF(SUMPRODUCT((TRIM('Rework Log'!$A$3:$A$500)=TRIM($B79))*('Rework Log'!$G$3:$G$500&lt;&gt;"Yes")*('Rework Log'!$G$3:$G$500&lt;&gt;"Did not pass re-test"))=0,"",IF(SUMPRODUCT(((TRIM('Rework Log'!$A$3:$A$500)=TRIM($B79))*('Rework Log'!$G$3:$G$500&lt;&gt;"Yes")*('Rework Log'!$G$3:$G$500&lt;&gt;"Did not pass re-test"))*ISNUMBER('Rework Log'!$J$3:$J$500))&gt;0," - fixed, awaiting re-test",IF(SUMPRODUCT(MAX(((TRIM('Rework Log'!$A$3:$A$500)=TRIM($B79))*('Rework Log'!$G$3:$G$500&lt;&gt;"Yes")*('Rework Log'!$G$3:$G$500&lt;&gt;"Did not pass re-test"))*IFERROR('Rework Log'!$I$3:$I$500*1,0)))=0," - unclaimed"," - promised "&amp;TEXT(SUMPRODUCT(MAX(((TRIM('Rework Log'!$A$3:$A$500)=TRIM($B79))*('Rework Log'!$G$3:$G$500&lt;&gt;"Yes")*('Rework Log'!$G$3:$G$500&lt;&gt;"Did not pass re-test"))*IFERROR('Rework Log'!$I$3:$I$500*1,0))),"m/d")))),IF(TRIM(C79)="NOT STARTED",IF(K79="","No plan date set",IF(K79&lt;TODAY(),"Review - planned start passed","On track")),IF(TRIM(C79)="DB Dev",IF(M79="","No target set",IF(AND(M79&lt;TODAY(),O79=""),"Overdue","On track")),IF(TRIM(C79)="PBI Dev",IF(P79="","No target set",IF(AND(P79&lt;TODAY(),R79=""),"Overdue","On track")),IF(TRIM(C79)="QA",IF(S79="","No target set",IF(AND(S79&lt;TODAY(),U79=""),"Overdue","On track")),IF(TRIM(C79)="DPO Approval",IF(V79="","No target set",IF(V79&lt;TODAY(),"Overdue","On track")),IF(TRIM(C79)="RELEASED IN PROD","Delivered",""))))))))</f>
        <v/>
      </c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4" t="str">
        <f>IF($B79="","",IF(AND(LEFT($AC79,3)="Yes",SUMPRODUCT((TRIM('Rework Log'!$A$3:$A$500)=TRIM($B79))*('Rework Log'!$G$3:$G$500&lt;&gt;"Yes")*('Rework Log'!$G$3:$G$500&lt;&gt;"Did not pass re-test"))=0),"Blocked - log it on Rework Log",IF(AND(LEFT($AC79,3)&lt;&gt;"Yes",SUMPRODUCT((TRIM('Rework Log'!$A$3:$A$500)=TRIM($B79))*('Rework Log'!$G$3:$G$500&lt;&gt;"Yes")*('Rework Log'!$G$3:$G$500&lt;&gt;"Did not pass re-test"))&gt;0),"Open rework row - mark Blocked? or close it",IF(AND(LEFT($AC79,3)&lt;&gt;"Yes",SUMPRODUCT((TRIM('Rework Log'!$A$3:$A$500)=TRIM($B79))*('Rework Log'!$G$3:$G$500&lt;&gt;"Yes")*('Rework Log'!$G$3:$G$500&lt;&gt;"Did not pass re-test"))=0,COUNTIF('Rework Log'!$A$3:$A$500,$B79)&gt;0,IFERROR(INDEX('Rework Log'!$G:$G,SUMPRODUCT(MAX((TRIM('Rework Log'!$A$3:$A$500)=TRIM($B79))*ROW('Rework Log'!$A$3:$A$500)))),"")="Did not pass re-test"),"Last fix rejected - re-block or log next attempt",IF(AND(LEFT($AC79,3)="Yes",ISNUMBER(SEARCH("needs DB Dev",$AC79)),O79&lt;&gt;"",SUMPRODUCT(MAX(((TRIM('Rework Log'!$A$3:$A$500)=TRIM($B79))*('Rework Log'!$G$3:$G$500&lt;&gt;"Yes")*('Rework Log'!$G$3:$G$500&lt;&gt;"Did not pass re-test"))*IFERROR('Rework Log'!$I$3:$I$500*1,0)))&gt;0),"Move old DB Dev completion date to Rework Log (col H)",IF(AND(LEFT($AC79,3)="Yes",ISNUMBER(SEARCH("needs PBI Dev",$AC79)),R79&lt;&gt;"",SUMPRODUCT(MAX(((TRIM('Rework Log'!$A$3:$A$500)=TRIM($B79))*('Rework Log'!$G$3:$G$500&lt;&gt;"Yes")*('Rework Log'!$G$3:$G$500&lt;&gt;"Did not pass re-test"))*IFERROR('Rework Log'!$I$3:$I$500*1,0)))&gt;0),"Move old PBI Dev completion date to Rework Log (col H)",IF(AND(LEFT($AC79,3)="Yes",ISNUMBER(SEARCH("needs QA",$AC79)),U79&lt;&gt;"",SUMPRODUCT(MAX(((TRIM('Rework Log'!$A$3:$A$500)=TRIM($B79))*('Rework Log'!$G$3:$G$500&lt;&gt;"Yes")*('Rework Log'!$G$3:$G$500&lt;&gt;"Did not pass re-test"))*IFERROR('Rework Log'!$I$3:$I$500*1,0)))&gt;0),"Move old QA completion date to Rework Log (col H)",IF(AND(LEFT($AC79,3)="Yes",ISNUMBER(SEARCH("needs DB Dev",$AC79)),TRIM(C79)&lt;&gt;"DB Dev"),"Set Current Status back to DB Dev",IF(AND(LEFT($AC79,3)="Yes",ISNUMBER(SEARCH("needs PBI Dev",$AC79)),TRIM(C79)&lt;&gt;"PBI Dev"),"Set Current Status back to PBI Dev",IF(AND(LEFT($AC79,3)="Yes",ISNUMBER(SEARCH("needs QA",$AC79)),TRIM(C79)&lt;&gt;"QA"),"Set Current Status back to QA",IF(COUNTIF($B$2:$B$500,$B79)&gt;1,"Duplicate name - check row",IF(AND(TRIM(C79)="RELEASED IN PROD",Y79&lt;&gt;"Yes"),"Released but Confirmed Deployed? is not Yes",IF(COUNTIF('Rework Log'!$A$3:$A$500,$B79)&gt;0,"",IF(AND(S79&lt;&gt;"",M79&lt;&gt;"",S79&lt;M79),"QA target is before DB Dev target",IF(AND(S79&lt;&gt;"",P79&lt;&gt;"",S79&lt;P79),"QA target is before PBI Dev target",IF(AND(V79&lt;&gt;"",S79&lt;&gt;"",V79&lt;S79),"DPO Approval target is before QA target",IF(AND(Z79&lt;&gt;"",V79&lt;&gt;"",Z79&lt;V79),"Confirmed Deployed date is before DPO Approval target","")))))))))))))))))</f>
        <v/>
      </c>
      <c r="AE79" s="62"/>
    </row>
    <row r="80" spans="1:31" x14ac:dyDescent="0.25">
      <c r="A80" s="62"/>
      <c r="B80" s="62"/>
      <c r="C80" s="62"/>
      <c r="D80" s="64" t="str">
        <f ca="1">IF($B80="","",IF(LEFT($AC80,3)="Yes",IF(LEN($AC80)&gt;5,"Blocked - "&amp;MID($AC80,7,100),"Blocked")&amp;IF(SUMPRODUCT((TRIM('Rework Log'!$A$3:$A$500)=TRIM($B80))*('Rework Log'!$G$3:$G$500&lt;&gt;"Yes")*('Rework Log'!$G$3:$G$500&lt;&gt;"Did not pass re-test"))=0,"",IF(SUMPRODUCT(((TRIM('Rework Log'!$A$3:$A$500)=TRIM($B80))*('Rework Log'!$G$3:$G$500&lt;&gt;"Yes")*('Rework Log'!$G$3:$G$500&lt;&gt;"Did not pass re-test"))*ISNUMBER('Rework Log'!$J$3:$J$500))&gt;0," - fixed, awaiting re-test",IF(SUMPRODUCT(MAX(((TRIM('Rework Log'!$A$3:$A$500)=TRIM($B80))*('Rework Log'!$G$3:$G$500&lt;&gt;"Yes")*('Rework Log'!$G$3:$G$500&lt;&gt;"Did not pass re-test"))*IFERROR('Rework Log'!$I$3:$I$500*1,0)))=0," - unclaimed"," - promised "&amp;TEXT(SUMPRODUCT(MAX(((TRIM('Rework Log'!$A$3:$A$500)=TRIM($B80))*('Rework Log'!$G$3:$G$500&lt;&gt;"Yes")*('Rework Log'!$G$3:$G$500&lt;&gt;"Did not pass re-test"))*IFERROR('Rework Log'!$I$3:$I$500*1,0))),"m/d")))),IF(TRIM(C80)="NOT STARTED",IF(K80="","No plan date set",IF(K80&lt;TODAY(),"Review - planned start passed","On track")),IF(TRIM(C80)="DB Dev",IF(M80="","No target set",IF(AND(M80&lt;TODAY(),O80=""),"Overdue","On track")),IF(TRIM(C80)="PBI Dev",IF(P80="","No target set",IF(AND(P80&lt;TODAY(),R80=""),"Overdue","On track")),IF(TRIM(C80)="QA",IF(S80="","No target set",IF(AND(S80&lt;TODAY(),U80=""),"Overdue","On track")),IF(TRIM(C80)="DPO Approval",IF(V80="","No target set",IF(V80&lt;TODAY(),"Overdue","On track")),IF(TRIM(C80)="RELEASED IN PROD","Delivered",""))))))))</f>
        <v/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4" t="str">
        <f>IF($B80="","",IF(AND(LEFT($AC80,3)="Yes",SUMPRODUCT((TRIM('Rework Log'!$A$3:$A$500)=TRIM($B80))*('Rework Log'!$G$3:$G$500&lt;&gt;"Yes")*('Rework Log'!$G$3:$G$500&lt;&gt;"Did not pass re-test"))=0),"Blocked - log it on Rework Log",IF(AND(LEFT($AC80,3)&lt;&gt;"Yes",SUMPRODUCT((TRIM('Rework Log'!$A$3:$A$500)=TRIM($B80))*('Rework Log'!$G$3:$G$500&lt;&gt;"Yes")*('Rework Log'!$G$3:$G$500&lt;&gt;"Did not pass re-test"))&gt;0),"Open rework row - mark Blocked? or close it",IF(AND(LEFT($AC80,3)&lt;&gt;"Yes",SUMPRODUCT((TRIM('Rework Log'!$A$3:$A$500)=TRIM($B80))*('Rework Log'!$G$3:$G$500&lt;&gt;"Yes")*('Rework Log'!$G$3:$G$500&lt;&gt;"Did not pass re-test"))=0,COUNTIF('Rework Log'!$A$3:$A$500,$B80)&gt;0,IFERROR(INDEX('Rework Log'!$G:$G,SUMPRODUCT(MAX((TRIM('Rework Log'!$A$3:$A$500)=TRIM($B80))*ROW('Rework Log'!$A$3:$A$500)))),"")="Did not pass re-test"),"Last fix rejected - re-block or log next attempt",IF(AND(LEFT($AC80,3)="Yes",ISNUMBER(SEARCH("needs DB Dev",$AC80)),O80&lt;&gt;"",SUMPRODUCT(MAX(((TRIM('Rework Log'!$A$3:$A$500)=TRIM($B80))*('Rework Log'!$G$3:$G$500&lt;&gt;"Yes")*('Rework Log'!$G$3:$G$500&lt;&gt;"Did not pass re-test"))*IFERROR('Rework Log'!$I$3:$I$500*1,0)))&gt;0),"Move old DB Dev completion date to Rework Log (col H)",IF(AND(LEFT($AC80,3)="Yes",ISNUMBER(SEARCH("needs PBI Dev",$AC80)),R80&lt;&gt;"",SUMPRODUCT(MAX(((TRIM('Rework Log'!$A$3:$A$500)=TRIM($B80))*('Rework Log'!$G$3:$G$500&lt;&gt;"Yes")*('Rework Log'!$G$3:$G$500&lt;&gt;"Did not pass re-test"))*IFERROR('Rework Log'!$I$3:$I$500*1,0)))&gt;0),"Move old PBI Dev completion date to Rework Log (col H)",IF(AND(LEFT($AC80,3)="Yes",ISNUMBER(SEARCH("needs QA",$AC80)),U80&lt;&gt;"",SUMPRODUCT(MAX(((TRIM('Rework Log'!$A$3:$A$500)=TRIM($B80))*('Rework Log'!$G$3:$G$500&lt;&gt;"Yes")*('Rework Log'!$G$3:$G$500&lt;&gt;"Did not pass re-test"))*IFERROR('Rework Log'!$I$3:$I$500*1,0)))&gt;0),"Move old QA completion date to Rework Log (col H)",IF(AND(LEFT($AC80,3)="Yes",ISNUMBER(SEARCH("needs DB Dev",$AC80)),TRIM(C80)&lt;&gt;"DB Dev"),"Set Current Status back to DB Dev",IF(AND(LEFT($AC80,3)="Yes",ISNUMBER(SEARCH("needs PBI Dev",$AC80)),TRIM(C80)&lt;&gt;"PBI Dev"),"Set Current Status back to PBI Dev",IF(AND(LEFT($AC80,3)="Yes",ISNUMBER(SEARCH("needs QA",$AC80)),TRIM(C80)&lt;&gt;"QA"),"Set Current Status back to QA",IF(COUNTIF($B$2:$B$500,$B80)&gt;1,"Duplicate name - check row",IF(AND(TRIM(C80)="RELEASED IN PROD",Y80&lt;&gt;"Yes"),"Released but Confirmed Deployed? is not Yes",IF(COUNTIF('Rework Log'!$A$3:$A$500,$B80)&gt;0,"",IF(AND(S80&lt;&gt;"",M80&lt;&gt;"",S80&lt;M80),"QA target is before DB Dev target",IF(AND(S80&lt;&gt;"",P80&lt;&gt;"",S80&lt;P80),"QA target is before PBI Dev target",IF(AND(V80&lt;&gt;"",S80&lt;&gt;"",V80&lt;S80),"DPO Approval target is before QA target",IF(AND(Z80&lt;&gt;"",V80&lt;&gt;"",Z80&lt;V80),"Confirmed Deployed date is before DPO Approval target","")))))))))))))))))</f>
        <v/>
      </c>
      <c r="AE80" s="62"/>
    </row>
    <row r="81" spans="1:31" x14ac:dyDescent="0.25">
      <c r="A81" s="62"/>
      <c r="B81" s="62"/>
      <c r="C81" s="62"/>
      <c r="D81" s="64" t="str">
        <f ca="1">IF($B81="","",IF(LEFT($AC81,3)="Yes",IF(LEN($AC81)&gt;5,"Blocked - "&amp;MID($AC81,7,100),"Blocked")&amp;IF(SUMPRODUCT((TRIM('Rework Log'!$A$3:$A$500)=TRIM($B81))*('Rework Log'!$G$3:$G$500&lt;&gt;"Yes")*('Rework Log'!$G$3:$G$500&lt;&gt;"Did not pass re-test"))=0,"",IF(SUMPRODUCT(((TRIM('Rework Log'!$A$3:$A$500)=TRIM($B81))*('Rework Log'!$G$3:$G$500&lt;&gt;"Yes")*('Rework Log'!$G$3:$G$500&lt;&gt;"Did not pass re-test"))*ISNUMBER('Rework Log'!$J$3:$J$500))&gt;0," - fixed, awaiting re-test",IF(SUMPRODUCT(MAX(((TRIM('Rework Log'!$A$3:$A$500)=TRIM($B81))*('Rework Log'!$G$3:$G$500&lt;&gt;"Yes")*('Rework Log'!$G$3:$G$500&lt;&gt;"Did not pass re-test"))*IFERROR('Rework Log'!$I$3:$I$500*1,0)))=0," - unclaimed"," - promised "&amp;TEXT(SUMPRODUCT(MAX(((TRIM('Rework Log'!$A$3:$A$500)=TRIM($B81))*('Rework Log'!$G$3:$G$500&lt;&gt;"Yes")*('Rework Log'!$G$3:$G$500&lt;&gt;"Did not pass re-test"))*IFERROR('Rework Log'!$I$3:$I$500*1,0))),"m/d")))),IF(TRIM(C81)="NOT STARTED",IF(K81="","No plan date set",IF(K81&lt;TODAY(),"Review - planned start passed","On track")),IF(TRIM(C81)="DB Dev",IF(M81="","No target set",IF(AND(M81&lt;TODAY(),O81=""),"Overdue","On track")),IF(TRIM(C81)="PBI Dev",IF(P81="","No target set",IF(AND(P81&lt;TODAY(),R81=""),"Overdue","On track")),IF(TRIM(C81)="QA",IF(S81="","No target set",IF(AND(S81&lt;TODAY(),U81=""),"Overdue","On track")),IF(TRIM(C81)="DPO Approval",IF(V81="","No target set",IF(V81&lt;TODAY(),"Overdue","On track")),IF(TRIM(C81)="RELEASED IN PROD","Delivered",""))))))))</f>
        <v/>
      </c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4" t="str">
        <f>IF($B81="","",IF(AND(LEFT($AC81,3)="Yes",SUMPRODUCT((TRIM('Rework Log'!$A$3:$A$500)=TRIM($B81))*('Rework Log'!$G$3:$G$500&lt;&gt;"Yes")*('Rework Log'!$G$3:$G$500&lt;&gt;"Did not pass re-test"))=0),"Blocked - log it on Rework Log",IF(AND(LEFT($AC81,3)&lt;&gt;"Yes",SUMPRODUCT((TRIM('Rework Log'!$A$3:$A$500)=TRIM($B81))*('Rework Log'!$G$3:$G$500&lt;&gt;"Yes")*('Rework Log'!$G$3:$G$500&lt;&gt;"Did not pass re-test"))&gt;0),"Open rework row - mark Blocked? or close it",IF(AND(LEFT($AC81,3)&lt;&gt;"Yes",SUMPRODUCT((TRIM('Rework Log'!$A$3:$A$500)=TRIM($B81))*('Rework Log'!$G$3:$G$500&lt;&gt;"Yes")*('Rework Log'!$G$3:$G$500&lt;&gt;"Did not pass re-test"))=0,COUNTIF('Rework Log'!$A$3:$A$500,$B81)&gt;0,IFERROR(INDEX('Rework Log'!$G:$G,SUMPRODUCT(MAX((TRIM('Rework Log'!$A$3:$A$500)=TRIM($B81))*ROW('Rework Log'!$A$3:$A$500)))),"")="Did not pass re-test"),"Last fix rejected - re-block or log next attempt",IF(AND(LEFT($AC81,3)="Yes",ISNUMBER(SEARCH("needs DB Dev",$AC81)),O81&lt;&gt;"",SUMPRODUCT(MAX(((TRIM('Rework Log'!$A$3:$A$500)=TRIM($B81))*('Rework Log'!$G$3:$G$500&lt;&gt;"Yes")*('Rework Log'!$G$3:$G$500&lt;&gt;"Did not pass re-test"))*IFERROR('Rework Log'!$I$3:$I$500*1,0)))&gt;0),"Move old DB Dev completion date to Rework Log (col H)",IF(AND(LEFT($AC81,3)="Yes",ISNUMBER(SEARCH("needs PBI Dev",$AC81)),R81&lt;&gt;"",SUMPRODUCT(MAX(((TRIM('Rework Log'!$A$3:$A$500)=TRIM($B81))*('Rework Log'!$G$3:$G$500&lt;&gt;"Yes")*('Rework Log'!$G$3:$G$500&lt;&gt;"Did not pass re-test"))*IFERROR('Rework Log'!$I$3:$I$500*1,0)))&gt;0),"Move old PBI Dev completion date to Rework Log (col H)",IF(AND(LEFT($AC81,3)="Yes",ISNUMBER(SEARCH("needs QA",$AC81)),U81&lt;&gt;"",SUMPRODUCT(MAX(((TRIM('Rework Log'!$A$3:$A$500)=TRIM($B81))*('Rework Log'!$G$3:$G$500&lt;&gt;"Yes")*('Rework Log'!$G$3:$G$500&lt;&gt;"Did not pass re-test"))*IFERROR('Rework Log'!$I$3:$I$500*1,0)))&gt;0),"Move old QA completion date to Rework Log (col H)",IF(AND(LEFT($AC81,3)="Yes",ISNUMBER(SEARCH("needs DB Dev",$AC81)),TRIM(C81)&lt;&gt;"DB Dev"),"Set Current Status back to DB Dev",IF(AND(LEFT($AC81,3)="Yes",ISNUMBER(SEARCH("needs PBI Dev",$AC81)),TRIM(C81)&lt;&gt;"PBI Dev"),"Set Current Status back to PBI Dev",IF(AND(LEFT($AC81,3)="Yes",ISNUMBER(SEARCH("needs QA",$AC81)),TRIM(C81)&lt;&gt;"QA"),"Set Current Status back to QA",IF(COUNTIF($B$2:$B$500,$B81)&gt;1,"Duplicate name - check row",IF(AND(TRIM(C81)="RELEASED IN PROD",Y81&lt;&gt;"Yes"),"Released but Confirmed Deployed? is not Yes",IF(COUNTIF('Rework Log'!$A$3:$A$500,$B81)&gt;0,"",IF(AND(S81&lt;&gt;"",M81&lt;&gt;"",S81&lt;M81),"QA target is before DB Dev target",IF(AND(S81&lt;&gt;"",P81&lt;&gt;"",S81&lt;P81),"QA target is before PBI Dev target",IF(AND(V81&lt;&gt;"",S81&lt;&gt;"",V81&lt;S81),"DPO Approval target is before QA target",IF(AND(Z81&lt;&gt;"",V81&lt;&gt;"",Z81&lt;V81),"Confirmed Deployed date is before DPO Approval target","")))))))))))))))))</f>
        <v/>
      </c>
      <c r="AE81" s="62"/>
    </row>
    <row r="82" spans="1:31" x14ac:dyDescent="0.25">
      <c r="A82" s="62"/>
      <c r="B82" s="62"/>
      <c r="C82" s="62"/>
      <c r="D82" s="64" t="str">
        <f ca="1">IF($B82="","",IF(LEFT($AC82,3)="Yes",IF(LEN($AC82)&gt;5,"Blocked - "&amp;MID($AC82,7,100),"Blocked")&amp;IF(SUMPRODUCT((TRIM('Rework Log'!$A$3:$A$500)=TRIM($B82))*('Rework Log'!$G$3:$G$500&lt;&gt;"Yes")*('Rework Log'!$G$3:$G$500&lt;&gt;"Did not pass re-test"))=0,"",IF(SUMPRODUCT(((TRIM('Rework Log'!$A$3:$A$500)=TRIM($B82))*('Rework Log'!$G$3:$G$500&lt;&gt;"Yes")*('Rework Log'!$G$3:$G$500&lt;&gt;"Did not pass re-test"))*ISNUMBER('Rework Log'!$J$3:$J$500))&gt;0," - fixed, awaiting re-test",IF(SUMPRODUCT(MAX(((TRIM('Rework Log'!$A$3:$A$500)=TRIM($B82))*('Rework Log'!$G$3:$G$500&lt;&gt;"Yes")*('Rework Log'!$G$3:$G$500&lt;&gt;"Did not pass re-test"))*IFERROR('Rework Log'!$I$3:$I$500*1,0)))=0," - unclaimed"," - promised "&amp;TEXT(SUMPRODUCT(MAX(((TRIM('Rework Log'!$A$3:$A$500)=TRIM($B82))*('Rework Log'!$G$3:$G$500&lt;&gt;"Yes")*('Rework Log'!$G$3:$G$500&lt;&gt;"Did not pass re-test"))*IFERROR('Rework Log'!$I$3:$I$500*1,0))),"m/d")))),IF(TRIM(C82)="NOT STARTED",IF(K82="","No plan date set",IF(K82&lt;TODAY(),"Review - planned start passed","On track")),IF(TRIM(C82)="DB Dev",IF(M82="","No target set",IF(AND(M82&lt;TODAY(),O82=""),"Overdue","On track")),IF(TRIM(C82)="PBI Dev",IF(P82="","No target set",IF(AND(P82&lt;TODAY(),R82=""),"Overdue","On track")),IF(TRIM(C82)="QA",IF(S82="","No target set",IF(AND(S82&lt;TODAY(),U82=""),"Overdue","On track")),IF(TRIM(C82)="DPO Approval",IF(V82="","No target set",IF(V82&lt;TODAY(),"Overdue","On track")),IF(TRIM(C82)="RELEASED IN PROD","Delivered",""))))))))</f>
        <v/>
      </c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4" t="str">
        <f>IF($B82="","",IF(AND(LEFT($AC82,3)="Yes",SUMPRODUCT((TRIM('Rework Log'!$A$3:$A$500)=TRIM($B82))*('Rework Log'!$G$3:$G$500&lt;&gt;"Yes")*('Rework Log'!$G$3:$G$500&lt;&gt;"Did not pass re-test"))=0),"Blocked - log it on Rework Log",IF(AND(LEFT($AC82,3)&lt;&gt;"Yes",SUMPRODUCT((TRIM('Rework Log'!$A$3:$A$500)=TRIM($B82))*('Rework Log'!$G$3:$G$500&lt;&gt;"Yes")*('Rework Log'!$G$3:$G$500&lt;&gt;"Did not pass re-test"))&gt;0),"Open rework row - mark Blocked? or close it",IF(AND(LEFT($AC82,3)&lt;&gt;"Yes",SUMPRODUCT((TRIM('Rework Log'!$A$3:$A$500)=TRIM($B82))*('Rework Log'!$G$3:$G$500&lt;&gt;"Yes")*('Rework Log'!$G$3:$G$500&lt;&gt;"Did not pass re-test"))=0,COUNTIF('Rework Log'!$A$3:$A$500,$B82)&gt;0,IFERROR(INDEX('Rework Log'!$G:$G,SUMPRODUCT(MAX((TRIM('Rework Log'!$A$3:$A$500)=TRIM($B82))*ROW('Rework Log'!$A$3:$A$500)))),"")="Did not pass re-test"),"Last fix rejected - re-block or log next attempt",IF(AND(LEFT($AC82,3)="Yes",ISNUMBER(SEARCH("needs DB Dev",$AC82)),O82&lt;&gt;"",SUMPRODUCT(MAX(((TRIM('Rework Log'!$A$3:$A$500)=TRIM($B82))*('Rework Log'!$G$3:$G$500&lt;&gt;"Yes")*('Rework Log'!$G$3:$G$500&lt;&gt;"Did not pass re-test"))*IFERROR('Rework Log'!$I$3:$I$500*1,0)))&gt;0),"Move old DB Dev completion date to Rework Log (col H)",IF(AND(LEFT($AC82,3)="Yes",ISNUMBER(SEARCH("needs PBI Dev",$AC82)),R82&lt;&gt;"",SUMPRODUCT(MAX(((TRIM('Rework Log'!$A$3:$A$500)=TRIM($B82))*('Rework Log'!$G$3:$G$500&lt;&gt;"Yes")*('Rework Log'!$G$3:$G$500&lt;&gt;"Did not pass re-test"))*IFERROR('Rework Log'!$I$3:$I$500*1,0)))&gt;0),"Move old PBI Dev completion date to Rework Log (col H)",IF(AND(LEFT($AC82,3)="Yes",ISNUMBER(SEARCH("needs QA",$AC82)),U82&lt;&gt;"",SUMPRODUCT(MAX(((TRIM('Rework Log'!$A$3:$A$500)=TRIM($B82))*('Rework Log'!$G$3:$G$500&lt;&gt;"Yes")*('Rework Log'!$G$3:$G$500&lt;&gt;"Did not pass re-test"))*IFERROR('Rework Log'!$I$3:$I$500*1,0)))&gt;0),"Move old QA completion date to Rework Log (col H)",IF(AND(LEFT($AC82,3)="Yes",ISNUMBER(SEARCH("needs DB Dev",$AC82)),TRIM(C82)&lt;&gt;"DB Dev"),"Set Current Status back to DB Dev",IF(AND(LEFT($AC82,3)="Yes",ISNUMBER(SEARCH("needs PBI Dev",$AC82)),TRIM(C82)&lt;&gt;"PBI Dev"),"Set Current Status back to PBI Dev",IF(AND(LEFT($AC82,3)="Yes",ISNUMBER(SEARCH("needs QA",$AC82)),TRIM(C82)&lt;&gt;"QA"),"Set Current Status back to QA",IF(COUNTIF($B$2:$B$500,$B82)&gt;1,"Duplicate name - check row",IF(AND(TRIM(C82)="RELEASED IN PROD",Y82&lt;&gt;"Yes"),"Released but Confirmed Deployed? is not Yes",IF(COUNTIF('Rework Log'!$A$3:$A$500,$B82)&gt;0,"",IF(AND(S82&lt;&gt;"",M82&lt;&gt;"",S82&lt;M82),"QA target is before DB Dev target",IF(AND(S82&lt;&gt;"",P82&lt;&gt;"",S82&lt;P82),"QA target is before PBI Dev target",IF(AND(V82&lt;&gt;"",S82&lt;&gt;"",V82&lt;S82),"DPO Approval target is before QA target",IF(AND(Z82&lt;&gt;"",V82&lt;&gt;"",Z82&lt;V82),"Confirmed Deployed date is before DPO Approval target","")))))))))))))))))</f>
        <v/>
      </c>
      <c r="AE82" s="62"/>
    </row>
    <row r="83" spans="1:31" x14ac:dyDescent="0.25">
      <c r="A83" s="62"/>
      <c r="B83" s="62"/>
      <c r="C83" s="62"/>
      <c r="D83" s="64" t="str">
        <f ca="1">IF($B83="","",IF(LEFT($AC83,3)="Yes",IF(LEN($AC83)&gt;5,"Blocked - "&amp;MID($AC83,7,100),"Blocked")&amp;IF(SUMPRODUCT((TRIM('Rework Log'!$A$3:$A$500)=TRIM($B83))*('Rework Log'!$G$3:$G$500&lt;&gt;"Yes")*('Rework Log'!$G$3:$G$500&lt;&gt;"Did not pass re-test"))=0,"",IF(SUMPRODUCT(((TRIM('Rework Log'!$A$3:$A$500)=TRIM($B83))*('Rework Log'!$G$3:$G$500&lt;&gt;"Yes")*('Rework Log'!$G$3:$G$500&lt;&gt;"Did not pass re-test"))*ISNUMBER('Rework Log'!$J$3:$J$500))&gt;0," - fixed, awaiting re-test",IF(SUMPRODUCT(MAX(((TRIM('Rework Log'!$A$3:$A$500)=TRIM($B83))*('Rework Log'!$G$3:$G$500&lt;&gt;"Yes")*('Rework Log'!$G$3:$G$500&lt;&gt;"Did not pass re-test"))*IFERROR('Rework Log'!$I$3:$I$500*1,0)))=0," - unclaimed"," - promised "&amp;TEXT(SUMPRODUCT(MAX(((TRIM('Rework Log'!$A$3:$A$500)=TRIM($B83))*('Rework Log'!$G$3:$G$500&lt;&gt;"Yes")*('Rework Log'!$G$3:$G$500&lt;&gt;"Did not pass re-test"))*IFERROR('Rework Log'!$I$3:$I$500*1,0))),"m/d")))),IF(TRIM(C83)="NOT STARTED",IF(K83="","No plan date set",IF(K83&lt;TODAY(),"Review - planned start passed","On track")),IF(TRIM(C83)="DB Dev",IF(M83="","No target set",IF(AND(M83&lt;TODAY(),O83=""),"Overdue","On track")),IF(TRIM(C83)="PBI Dev",IF(P83="","No target set",IF(AND(P83&lt;TODAY(),R83=""),"Overdue","On track")),IF(TRIM(C83)="QA",IF(S83="","No target set",IF(AND(S83&lt;TODAY(),U83=""),"Overdue","On track")),IF(TRIM(C83)="DPO Approval",IF(V83="","No target set",IF(V83&lt;TODAY(),"Overdue","On track")),IF(TRIM(C83)="RELEASED IN PROD","Delivered",""))))))))</f>
        <v/>
      </c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4" t="str">
        <f>IF($B83="","",IF(AND(LEFT($AC83,3)="Yes",SUMPRODUCT((TRIM('Rework Log'!$A$3:$A$500)=TRIM($B83))*('Rework Log'!$G$3:$G$500&lt;&gt;"Yes")*('Rework Log'!$G$3:$G$500&lt;&gt;"Did not pass re-test"))=0),"Blocked - log it on Rework Log",IF(AND(LEFT($AC83,3)&lt;&gt;"Yes",SUMPRODUCT((TRIM('Rework Log'!$A$3:$A$500)=TRIM($B83))*('Rework Log'!$G$3:$G$500&lt;&gt;"Yes")*('Rework Log'!$G$3:$G$500&lt;&gt;"Did not pass re-test"))&gt;0),"Open rework row - mark Blocked? or close it",IF(AND(LEFT($AC83,3)&lt;&gt;"Yes",SUMPRODUCT((TRIM('Rework Log'!$A$3:$A$500)=TRIM($B83))*('Rework Log'!$G$3:$G$500&lt;&gt;"Yes")*('Rework Log'!$G$3:$G$500&lt;&gt;"Did not pass re-test"))=0,COUNTIF('Rework Log'!$A$3:$A$500,$B83)&gt;0,IFERROR(INDEX('Rework Log'!$G:$G,SUMPRODUCT(MAX((TRIM('Rework Log'!$A$3:$A$500)=TRIM($B83))*ROW('Rework Log'!$A$3:$A$500)))),"")="Did not pass re-test"),"Last fix rejected - re-block or log next attempt",IF(AND(LEFT($AC83,3)="Yes",ISNUMBER(SEARCH("needs DB Dev",$AC83)),O83&lt;&gt;"",SUMPRODUCT(MAX(((TRIM('Rework Log'!$A$3:$A$500)=TRIM($B83))*('Rework Log'!$G$3:$G$500&lt;&gt;"Yes")*('Rework Log'!$G$3:$G$500&lt;&gt;"Did not pass re-test"))*IFERROR('Rework Log'!$I$3:$I$500*1,0)))&gt;0),"Move old DB Dev completion date to Rework Log (col H)",IF(AND(LEFT($AC83,3)="Yes",ISNUMBER(SEARCH("needs PBI Dev",$AC83)),R83&lt;&gt;"",SUMPRODUCT(MAX(((TRIM('Rework Log'!$A$3:$A$500)=TRIM($B83))*('Rework Log'!$G$3:$G$500&lt;&gt;"Yes")*('Rework Log'!$G$3:$G$500&lt;&gt;"Did not pass re-test"))*IFERROR('Rework Log'!$I$3:$I$500*1,0)))&gt;0),"Move old PBI Dev completion date to Rework Log (col H)",IF(AND(LEFT($AC83,3)="Yes",ISNUMBER(SEARCH("needs QA",$AC83)),U83&lt;&gt;"",SUMPRODUCT(MAX(((TRIM('Rework Log'!$A$3:$A$500)=TRIM($B83))*('Rework Log'!$G$3:$G$500&lt;&gt;"Yes")*('Rework Log'!$G$3:$G$500&lt;&gt;"Did not pass re-test"))*IFERROR('Rework Log'!$I$3:$I$500*1,0)))&gt;0),"Move old QA completion date to Rework Log (col H)",IF(AND(LEFT($AC83,3)="Yes",ISNUMBER(SEARCH("needs DB Dev",$AC83)),TRIM(C83)&lt;&gt;"DB Dev"),"Set Current Status back to DB Dev",IF(AND(LEFT($AC83,3)="Yes",ISNUMBER(SEARCH("needs PBI Dev",$AC83)),TRIM(C83)&lt;&gt;"PBI Dev"),"Set Current Status back to PBI Dev",IF(AND(LEFT($AC83,3)="Yes",ISNUMBER(SEARCH("needs QA",$AC83)),TRIM(C83)&lt;&gt;"QA"),"Set Current Status back to QA",IF(COUNTIF($B$2:$B$500,$B83)&gt;1,"Duplicate name - check row",IF(AND(TRIM(C83)="RELEASED IN PROD",Y83&lt;&gt;"Yes"),"Released but Confirmed Deployed? is not Yes",IF(COUNTIF('Rework Log'!$A$3:$A$500,$B83)&gt;0,"",IF(AND(S83&lt;&gt;"",M83&lt;&gt;"",S83&lt;M83),"QA target is before DB Dev target",IF(AND(S83&lt;&gt;"",P83&lt;&gt;"",S83&lt;P83),"QA target is before PBI Dev target",IF(AND(V83&lt;&gt;"",S83&lt;&gt;"",V83&lt;S83),"DPO Approval target is before QA target",IF(AND(Z83&lt;&gt;"",V83&lt;&gt;"",Z83&lt;V83),"Confirmed Deployed date is before DPO Approval target","")))))))))))))))))</f>
        <v/>
      </c>
      <c r="AE83" s="62"/>
    </row>
    <row r="84" spans="1:31" x14ac:dyDescent="0.25">
      <c r="A84" s="62"/>
      <c r="B84" s="62"/>
      <c r="C84" s="62"/>
      <c r="D84" s="64" t="str">
        <f ca="1">IF($B84="","",IF(LEFT($AC84,3)="Yes",IF(LEN($AC84)&gt;5,"Blocked - "&amp;MID($AC84,7,100),"Blocked")&amp;IF(SUMPRODUCT((TRIM('Rework Log'!$A$3:$A$500)=TRIM($B84))*('Rework Log'!$G$3:$G$500&lt;&gt;"Yes")*('Rework Log'!$G$3:$G$500&lt;&gt;"Did not pass re-test"))=0,"",IF(SUMPRODUCT(((TRIM('Rework Log'!$A$3:$A$500)=TRIM($B84))*('Rework Log'!$G$3:$G$500&lt;&gt;"Yes")*('Rework Log'!$G$3:$G$500&lt;&gt;"Did not pass re-test"))*ISNUMBER('Rework Log'!$J$3:$J$500))&gt;0," - fixed, awaiting re-test",IF(SUMPRODUCT(MAX(((TRIM('Rework Log'!$A$3:$A$500)=TRIM($B84))*('Rework Log'!$G$3:$G$500&lt;&gt;"Yes")*('Rework Log'!$G$3:$G$500&lt;&gt;"Did not pass re-test"))*IFERROR('Rework Log'!$I$3:$I$500*1,0)))=0," - unclaimed"," - promised "&amp;TEXT(SUMPRODUCT(MAX(((TRIM('Rework Log'!$A$3:$A$500)=TRIM($B84))*('Rework Log'!$G$3:$G$500&lt;&gt;"Yes")*('Rework Log'!$G$3:$G$500&lt;&gt;"Did not pass re-test"))*IFERROR('Rework Log'!$I$3:$I$500*1,0))),"m/d")))),IF(TRIM(C84)="NOT STARTED",IF(K84="","No plan date set",IF(K84&lt;TODAY(),"Review - planned start passed","On track")),IF(TRIM(C84)="DB Dev",IF(M84="","No target set",IF(AND(M84&lt;TODAY(),O84=""),"Overdue","On track")),IF(TRIM(C84)="PBI Dev",IF(P84="","No target set",IF(AND(P84&lt;TODAY(),R84=""),"Overdue","On track")),IF(TRIM(C84)="QA",IF(S84="","No target set",IF(AND(S84&lt;TODAY(),U84=""),"Overdue","On track")),IF(TRIM(C84)="DPO Approval",IF(V84="","No target set",IF(V84&lt;TODAY(),"Overdue","On track")),IF(TRIM(C84)="RELEASED IN PROD","Delivered",""))))))))</f>
        <v/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4" t="str">
        <f>IF($B84="","",IF(AND(LEFT($AC84,3)="Yes",SUMPRODUCT((TRIM('Rework Log'!$A$3:$A$500)=TRIM($B84))*('Rework Log'!$G$3:$G$500&lt;&gt;"Yes")*('Rework Log'!$G$3:$G$500&lt;&gt;"Did not pass re-test"))=0),"Blocked - log it on Rework Log",IF(AND(LEFT($AC84,3)&lt;&gt;"Yes",SUMPRODUCT((TRIM('Rework Log'!$A$3:$A$500)=TRIM($B84))*('Rework Log'!$G$3:$G$500&lt;&gt;"Yes")*('Rework Log'!$G$3:$G$500&lt;&gt;"Did not pass re-test"))&gt;0),"Open rework row - mark Blocked? or close it",IF(AND(LEFT($AC84,3)&lt;&gt;"Yes",SUMPRODUCT((TRIM('Rework Log'!$A$3:$A$500)=TRIM($B84))*('Rework Log'!$G$3:$G$500&lt;&gt;"Yes")*('Rework Log'!$G$3:$G$500&lt;&gt;"Did not pass re-test"))=0,COUNTIF('Rework Log'!$A$3:$A$500,$B84)&gt;0,IFERROR(INDEX('Rework Log'!$G:$G,SUMPRODUCT(MAX((TRIM('Rework Log'!$A$3:$A$500)=TRIM($B84))*ROW('Rework Log'!$A$3:$A$500)))),"")="Did not pass re-test"),"Last fix rejected - re-block or log next attempt",IF(AND(LEFT($AC84,3)="Yes",ISNUMBER(SEARCH("needs DB Dev",$AC84)),O84&lt;&gt;"",SUMPRODUCT(MAX(((TRIM('Rework Log'!$A$3:$A$500)=TRIM($B84))*('Rework Log'!$G$3:$G$500&lt;&gt;"Yes")*('Rework Log'!$G$3:$G$500&lt;&gt;"Did not pass re-test"))*IFERROR('Rework Log'!$I$3:$I$500*1,0)))&gt;0),"Move old DB Dev completion date to Rework Log (col H)",IF(AND(LEFT($AC84,3)="Yes",ISNUMBER(SEARCH("needs PBI Dev",$AC84)),R84&lt;&gt;"",SUMPRODUCT(MAX(((TRIM('Rework Log'!$A$3:$A$500)=TRIM($B84))*('Rework Log'!$G$3:$G$500&lt;&gt;"Yes")*('Rework Log'!$G$3:$G$500&lt;&gt;"Did not pass re-test"))*IFERROR('Rework Log'!$I$3:$I$500*1,0)))&gt;0),"Move old PBI Dev completion date to Rework Log (col H)",IF(AND(LEFT($AC84,3)="Yes",ISNUMBER(SEARCH("needs QA",$AC84)),U84&lt;&gt;"",SUMPRODUCT(MAX(((TRIM('Rework Log'!$A$3:$A$500)=TRIM($B84))*('Rework Log'!$G$3:$G$500&lt;&gt;"Yes")*('Rework Log'!$G$3:$G$500&lt;&gt;"Did not pass re-test"))*IFERROR('Rework Log'!$I$3:$I$500*1,0)))&gt;0),"Move old QA completion date to Rework Log (col H)",IF(AND(LEFT($AC84,3)="Yes",ISNUMBER(SEARCH("needs DB Dev",$AC84)),TRIM(C84)&lt;&gt;"DB Dev"),"Set Current Status back to DB Dev",IF(AND(LEFT($AC84,3)="Yes",ISNUMBER(SEARCH("needs PBI Dev",$AC84)),TRIM(C84)&lt;&gt;"PBI Dev"),"Set Current Status back to PBI Dev",IF(AND(LEFT($AC84,3)="Yes",ISNUMBER(SEARCH("needs QA",$AC84)),TRIM(C84)&lt;&gt;"QA"),"Set Current Status back to QA",IF(COUNTIF($B$2:$B$500,$B84)&gt;1,"Duplicate name - check row",IF(AND(TRIM(C84)="RELEASED IN PROD",Y84&lt;&gt;"Yes"),"Released but Confirmed Deployed? is not Yes",IF(COUNTIF('Rework Log'!$A$3:$A$500,$B84)&gt;0,"",IF(AND(S84&lt;&gt;"",M84&lt;&gt;"",S84&lt;M84),"QA target is before DB Dev target",IF(AND(S84&lt;&gt;"",P84&lt;&gt;"",S84&lt;P84),"QA target is before PBI Dev target",IF(AND(V84&lt;&gt;"",S84&lt;&gt;"",V84&lt;S84),"DPO Approval target is before QA target",IF(AND(Z84&lt;&gt;"",V84&lt;&gt;"",Z84&lt;V84),"Confirmed Deployed date is before DPO Approval target","")))))))))))))))))</f>
        <v/>
      </c>
      <c r="AE84" s="62"/>
    </row>
    <row r="85" spans="1:31" x14ac:dyDescent="0.25">
      <c r="A85" s="62"/>
      <c r="B85" s="62"/>
      <c r="C85" s="62"/>
      <c r="D85" s="64" t="str">
        <f ca="1">IF($B85="","",IF(LEFT($AC85,3)="Yes",IF(LEN($AC85)&gt;5,"Blocked - "&amp;MID($AC85,7,100),"Blocked")&amp;IF(SUMPRODUCT((TRIM('Rework Log'!$A$3:$A$500)=TRIM($B85))*('Rework Log'!$G$3:$G$500&lt;&gt;"Yes")*('Rework Log'!$G$3:$G$500&lt;&gt;"Did not pass re-test"))=0,"",IF(SUMPRODUCT(((TRIM('Rework Log'!$A$3:$A$500)=TRIM($B85))*('Rework Log'!$G$3:$G$500&lt;&gt;"Yes")*('Rework Log'!$G$3:$G$500&lt;&gt;"Did not pass re-test"))*ISNUMBER('Rework Log'!$J$3:$J$500))&gt;0," - fixed, awaiting re-test",IF(SUMPRODUCT(MAX(((TRIM('Rework Log'!$A$3:$A$500)=TRIM($B85))*('Rework Log'!$G$3:$G$500&lt;&gt;"Yes")*('Rework Log'!$G$3:$G$500&lt;&gt;"Did not pass re-test"))*IFERROR('Rework Log'!$I$3:$I$500*1,0)))=0," - unclaimed"," - promised "&amp;TEXT(SUMPRODUCT(MAX(((TRIM('Rework Log'!$A$3:$A$500)=TRIM($B85))*('Rework Log'!$G$3:$G$500&lt;&gt;"Yes")*('Rework Log'!$G$3:$G$500&lt;&gt;"Did not pass re-test"))*IFERROR('Rework Log'!$I$3:$I$500*1,0))),"m/d")))),IF(TRIM(C85)="NOT STARTED",IF(K85="","No plan date set",IF(K85&lt;TODAY(),"Review - planned start passed","On track")),IF(TRIM(C85)="DB Dev",IF(M85="","No target set",IF(AND(M85&lt;TODAY(),O85=""),"Overdue","On track")),IF(TRIM(C85)="PBI Dev",IF(P85="","No target set",IF(AND(P85&lt;TODAY(),R85=""),"Overdue","On track")),IF(TRIM(C85)="QA",IF(S85="","No target set",IF(AND(S85&lt;TODAY(),U85=""),"Overdue","On track")),IF(TRIM(C85)="DPO Approval",IF(V85="","No target set",IF(V85&lt;TODAY(),"Overdue","On track")),IF(TRIM(C85)="RELEASED IN PROD","Delivered",""))))))))</f>
        <v/>
      </c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4" t="str">
        <f>IF($B85="","",IF(AND(LEFT($AC85,3)="Yes",SUMPRODUCT((TRIM('Rework Log'!$A$3:$A$500)=TRIM($B85))*('Rework Log'!$G$3:$G$500&lt;&gt;"Yes")*('Rework Log'!$G$3:$G$500&lt;&gt;"Did not pass re-test"))=0),"Blocked - log it on Rework Log",IF(AND(LEFT($AC85,3)&lt;&gt;"Yes",SUMPRODUCT((TRIM('Rework Log'!$A$3:$A$500)=TRIM($B85))*('Rework Log'!$G$3:$G$500&lt;&gt;"Yes")*('Rework Log'!$G$3:$G$500&lt;&gt;"Did not pass re-test"))&gt;0),"Open rework row - mark Blocked? or close it",IF(AND(LEFT($AC85,3)&lt;&gt;"Yes",SUMPRODUCT((TRIM('Rework Log'!$A$3:$A$500)=TRIM($B85))*('Rework Log'!$G$3:$G$500&lt;&gt;"Yes")*('Rework Log'!$G$3:$G$500&lt;&gt;"Did not pass re-test"))=0,COUNTIF('Rework Log'!$A$3:$A$500,$B85)&gt;0,IFERROR(INDEX('Rework Log'!$G:$G,SUMPRODUCT(MAX((TRIM('Rework Log'!$A$3:$A$500)=TRIM($B85))*ROW('Rework Log'!$A$3:$A$500)))),"")="Did not pass re-test"),"Last fix rejected - re-block or log next attempt",IF(AND(LEFT($AC85,3)="Yes",ISNUMBER(SEARCH("needs DB Dev",$AC85)),O85&lt;&gt;"",SUMPRODUCT(MAX(((TRIM('Rework Log'!$A$3:$A$500)=TRIM($B85))*('Rework Log'!$G$3:$G$500&lt;&gt;"Yes")*('Rework Log'!$G$3:$G$500&lt;&gt;"Did not pass re-test"))*IFERROR('Rework Log'!$I$3:$I$500*1,0)))&gt;0),"Move old DB Dev completion date to Rework Log (col H)",IF(AND(LEFT($AC85,3)="Yes",ISNUMBER(SEARCH("needs PBI Dev",$AC85)),R85&lt;&gt;"",SUMPRODUCT(MAX(((TRIM('Rework Log'!$A$3:$A$500)=TRIM($B85))*('Rework Log'!$G$3:$G$500&lt;&gt;"Yes")*('Rework Log'!$G$3:$G$500&lt;&gt;"Did not pass re-test"))*IFERROR('Rework Log'!$I$3:$I$500*1,0)))&gt;0),"Move old PBI Dev completion date to Rework Log (col H)",IF(AND(LEFT($AC85,3)="Yes",ISNUMBER(SEARCH("needs QA",$AC85)),U85&lt;&gt;"",SUMPRODUCT(MAX(((TRIM('Rework Log'!$A$3:$A$500)=TRIM($B85))*('Rework Log'!$G$3:$G$500&lt;&gt;"Yes")*('Rework Log'!$G$3:$G$500&lt;&gt;"Did not pass re-test"))*IFERROR('Rework Log'!$I$3:$I$500*1,0)))&gt;0),"Move old QA completion date to Rework Log (col H)",IF(AND(LEFT($AC85,3)="Yes",ISNUMBER(SEARCH("needs DB Dev",$AC85)),TRIM(C85)&lt;&gt;"DB Dev"),"Set Current Status back to DB Dev",IF(AND(LEFT($AC85,3)="Yes",ISNUMBER(SEARCH("needs PBI Dev",$AC85)),TRIM(C85)&lt;&gt;"PBI Dev"),"Set Current Status back to PBI Dev",IF(AND(LEFT($AC85,3)="Yes",ISNUMBER(SEARCH("needs QA",$AC85)),TRIM(C85)&lt;&gt;"QA"),"Set Current Status back to QA",IF(COUNTIF($B$2:$B$500,$B85)&gt;1,"Duplicate name - check row",IF(AND(TRIM(C85)="RELEASED IN PROD",Y85&lt;&gt;"Yes"),"Released but Confirmed Deployed? is not Yes",IF(COUNTIF('Rework Log'!$A$3:$A$500,$B85)&gt;0,"",IF(AND(S85&lt;&gt;"",M85&lt;&gt;"",S85&lt;M85),"QA target is before DB Dev target",IF(AND(S85&lt;&gt;"",P85&lt;&gt;"",S85&lt;P85),"QA target is before PBI Dev target",IF(AND(V85&lt;&gt;"",S85&lt;&gt;"",V85&lt;S85),"DPO Approval target is before QA target",IF(AND(Z85&lt;&gt;"",V85&lt;&gt;"",Z85&lt;V85),"Confirmed Deployed date is before DPO Approval target","")))))))))))))))))</f>
        <v/>
      </c>
      <c r="AE85" s="62"/>
    </row>
    <row r="86" spans="1:31" x14ac:dyDescent="0.25">
      <c r="A86" s="62"/>
      <c r="B86" s="62"/>
      <c r="C86" s="62"/>
      <c r="D86" s="64" t="str">
        <f ca="1">IF($B86="","",IF(LEFT($AC86,3)="Yes",IF(LEN($AC86)&gt;5,"Blocked - "&amp;MID($AC86,7,100),"Blocked")&amp;IF(SUMPRODUCT((TRIM('Rework Log'!$A$3:$A$500)=TRIM($B86))*('Rework Log'!$G$3:$G$500&lt;&gt;"Yes")*('Rework Log'!$G$3:$G$500&lt;&gt;"Did not pass re-test"))=0,"",IF(SUMPRODUCT(((TRIM('Rework Log'!$A$3:$A$500)=TRIM($B86))*('Rework Log'!$G$3:$G$500&lt;&gt;"Yes")*('Rework Log'!$G$3:$G$500&lt;&gt;"Did not pass re-test"))*ISNUMBER('Rework Log'!$J$3:$J$500))&gt;0," - fixed, awaiting re-test",IF(SUMPRODUCT(MAX(((TRIM('Rework Log'!$A$3:$A$500)=TRIM($B86))*('Rework Log'!$G$3:$G$500&lt;&gt;"Yes")*('Rework Log'!$G$3:$G$500&lt;&gt;"Did not pass re-test"))*IFERROR('Rework Log'!$I$3:$I$500*1,0)))=0," - unclaimed"," - promised "&amp;TEXT(SUMPRODUCT(MAX(((TRIM('Rework Log'!$A$3:$A$500)=TRIM($B86))*('Rework Log'!$G$3:$G$500&lt;&gt;"Yes")*('Rework Log'!$G$3:$G$500&lt;&gt;"Did not pass re-test"))*IFERROR('Rework Log'!$I$3:$I$500*1,0))),"m/d")))),IF(TRIM(C86)="NOT STARTED",IF(K86="","No plan date set",IF(K86&lt;TODAY(),"Review - planned start passed","On track")),IF(TRIM(C86)="DB Dev",IF(M86="","No target set",IF(AND(M86&lt;TODAY(),O86=""),"Overdue","On track")),IF(TRIM(C86)="PBI Dev",IF(P86="","No target set",IF(AND(P86&lt;TODAY(),R86=""),"Overdue","On track")),IF(TRIM(C86)="QA",IF(S86="","No target set",IF(AND(S86&lt;TODAY(),U86=""),"Overdue","On track")),IF(TRIM(C86)="DPO Approval",IF(V86="","No target set",IF(V86&lt;TODAY(),"Overdue","On track")),IF(TRIM(C86)="RELEASED IN PROD","Delivered",""))))))))</f>
        <v/>
      </c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4" t="str">
        <f>IF($B86="","",IF(AND(LEFT($AC86,3)="Yes",SUMPRODUCT((TRIM('Rework Log'!$A$3:$A$500)=TRIM($B86))*('Rework Log'!$G$3:$G$500&lt;&gt;"Yes")*('Rework Log'!$G$3:$G$500&lt;&gt;"Did not pass re-test"))=0),"Blocked - log it on Rework Log",IF(AND(LEFT($AC86,3)&lt;&gt;"Yes",SUMPRODUCT((TRIM('Rework Log'!$A$3:$A$500)=TRIM($B86))*('Rework Log'!$G$3:$G$500&lt;&gt;"Yes")*('Rework Log'!$G$3:$G$500&lt;&gt;"Did not pass re-test"))&gt;0),"Open rework row - mark Blocked? or close it",IF(AND(LEFT($AC86,3)&lt;&gt;"Yes",SUMPRODUCT((TRIM('Rework Log'!$A$3:$A$500)=TRIM($B86))*('Rework Log'!$G$3:$G$500&lt;&gt;"Yes")*('Rework Log'!$G$3:$G$500&lt;&gt;"Did not pass re-test"))=0,COUNTIF('Rework Log'!$A$3:$A$500,$B86)&gt;0,IFERROR(INDEX('Rework Log'!$G:$G,SUMPRODUCT(MAX((TRIM('Rework Log'!$A$3:$A$500)=TRIM($B86))*ROW('Rework Log'!$A$3:$A$500)))),"")="Did not pass re-test"),"Last fix rejected - re-block or log next attempt",IF(AND(LEFT($AC86,3)="Yes",ISNUMBER(SEARCH("needs DB Dev",$AC86)),O86&lt;&gt;"",SUMPRODUCT(MAX(((TRIM('Rework Log'!$A$3:$A$500)=TRIM($B86))*('Rework Log'!$G$3:$G$500&lt;&gt;"Yes")*('Rework Log'!$G$3:$G$500&lt;&gt;"Did not pass re-test"))*IFERROR('Rework Log'!$I$3:$I$500*1,0)))&gt;0),"Move old DB Dev completion date to Rework Log (col H)",IF(AND(LEFT($AC86,3)="Yes",ISNUMBER(SEARCH("needs PBI Dev",$AC86)),R86&lt;&gt;"",SUMPRODUCT(MAX(((TRIM('Rework Log'!$A$3:$A$500)=TRIM($B86))*('Rework Log'!$G$3:$G$500&lt;&gt;"Yes")*('Rework Log'!$G$3:$G$500&lt;&gt;"Did not pass re-test"))*IFERROR('Rework Log'!$I$3:$I$500*1,0)))&gt;0),"Move old PBI Dev completion date to Rework Log (col H)",IF(AND(LEFT($AC86,3)="Yes",ISNUMBER(SEARCH("needs QA",$AC86)),U86&lt;&gt;"",SUMPRODUCT(MAX(((TRIM('Rework Log'!$A$3:$A$500)=TRIM($B86))*('Rework Log'!$G$3:$G$500&lt;&gt;"Yes")*('Rework Log'!$G$3:$G$500&lt;&gt;"Did not pass re-test"))*IFERROR('Rework Log'!$I$3:$I$500*1,0)))&gt;0),"Move old QA completion date to Rework Log (col H)",IF(AND(LEFT($AC86,3)="Yes",ISNUMBER(SEARCH("needs DB Dev",$AC86)),TRIM(C86)&lt;&gt;"DB Dev"),"Set Current Status back to DB Dev",IF(AND(LEFT($AC86,3)="Yes",ISNUMBER(SEARCH("needs PBI Dev",$AC86)),TRIM(C86)&lt;&gt;"PBI Dev"),"Set Current Status back to PBI Dev",IF(AND(LEFT($AC86,3)="Yes",ISNUMBER(SEARCH("needs QA",$AC86)),TRIM(C86)&lt;&gt;"QA"),"Set Current Status back to QA",IF(COUNTIF($B$2:$B$500,$B86)&gt;1,"Duplicate name - check row",IF(AND(TRIM(C86)="RELEASED IN PROD",Y86&lt;&gt;"Yes"),"Released but Confirmed Deployed? is not Yes",IF(COUNTIF('Rework Log'!$A$3:$A$500,$B86)&gt;0,"",IF(AND(S86&lt;&gt;"",M86&lt;&gt;"",S86&lt;M86),"QA target is before DB Dev target",IF(AND(S86&lt;&gt;"",P86&lt;&gt;"",S86&lt;P86),"QA target is before PBI Dev target",IF(AND(V86&lt;&gt;"",S86&lt;&gt;"",V86&lt;S86),"DPO Approval target is before QA target",IF(AND(Z86&lt;&gt;"",V86&lt;&gt;"",Z86&lt;V86),"Confirmed Deployed date is before DPO Approval target","")))))))))))))))))</f>
        <v/>
      </c>
      <c r="AE86" s="62"/>
    </row>
    <row r="87" spans="1:31" x14ac:dyDescent="0.25">
      <c r="A87" s="62"/>
      <c r="B87" s="62"/>
      <c r="C87" s="62"/>
      <c r="D87" s="64" t="str">
        <f ca="1">IF($B87="","",IF(LEFT($AC87,3)="Yes",IF(LEN($AC87)&gt;5,"Blocked - "&amp;MID($AC87,7,100),"Blocked")&amp;IF(SUMPRODUCT((TRIM('Rework Log'!$A$3:$A$500)=TRIM($B87))*('Rework Log'!$G$3:$G$500&lt;&gt;"Yes")*('Rework Log'!$G$3:$G$500&lt;&gt;"Did not pass re-test"))=0,"",IF(SUMPRODUCT(((TRIM('Rework Log'!$A$3:$A$500)=TRIM($B87))*('Rework Log'!$G$3:$G$500&lt;&gt;"Yes")*('Rework Log'!$G$3:$G$500&lt;&gt;"Did not pass re-test"))*ISNUMBER('Rework Log'!$J$3:$J$500))&gt;0," - fixed, awaiting re-test",IF(SUMPRODUCT(MAX(((TRIM('Rework Log'!$A$3:$A$500)=TRIM($B87))*('Rework Log'!$G$3:$G$500&lt;&gt;"Yes")*('Rework Log'!$G$3:$G$500&lt;&gt;"Did not pass re-test"))*IFERROR('Rework Log'!$I$3:$I$500*1,0)))=0," - unclaimed"," - promised "&amp;TEXT(SUMPRODUCT(MAX(((TRIM('Rework Log'!$A$3:$A$500)=TRIM($B87))*('Rework Log'!$G$3:$G$500&lt;&gt;"Yes")*('Rework Log'!$G$3:$G$500&lt;&gt;"Did not pass re-test"))*IFERROR('Rework Log'!$I$3:$I$500*1,0))),"m/d")))),IF(TRIM(C87)="NOT STARTED",IF(K87="","No plan date set",IF(K87&lt;TODAY(),"Review - planned start passed","On track")),IF(TRIM(C87)="DB Dev",IF(M87="","No target set",IF(AND(M87&lt;TODAY(),O87=""),"Overdue","On track")),IF(TRIM(C87)="PBI Dev",IF(P87="","No target set",IF(AND(P87&lt;TODAY(),R87=""),"Overdue","On track")),IF(TRIM(C87)="QA",IF(S87="","No target set",IF(AND(S87&lt;TODAY(),U87=""),"Overdue","On track")),IF(TRIM(C87)="DPO Approval",IF(V87="","No target set",IF(V87&lt;TODAY(),"Overdue","On track")),IF(TRIM(C87)="RELEASED IN PROD","Delivered",""))))))))</f>
        <v/>
      </c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4" t="str">
        <f>IF($B87="","",IF(AND(LEFT($AC87,3)="Yes",SUMPRODUCT((TRIM('Rework Log'!$A$3:$A$500)=TRIM($B87))*('Rework Log'!$G$3:$G$500&lt;&gt;"Yes")*('Rework Log'!$G$3:$G$500&lt;&gt;"Did not pass re-test"))=0),"Blocked - log it on Rework Log",IF(AND(LEFT($AC87,3)&lt;&gt;"Yes",SUMPRODUCT((TRIM('Rework Log'!$A$3:$A$500)=TRIM($B87))*('Rework Log'!$G$3:$G$500&lt;&gt;"Yes")*('Rework Log'!$G$3:$G$500&lt;&gt;"Did not pass re-test"))&gt;0),"Open rework row - mark Blocked? or close it",IF(AND(LEFT($AC87,3)&lt;&gt;"Yes",SUMPRODUCT((TRIM('Rework Log'!$A$3:$A$500)=TRIM($B87))*('Rework Log'!$G$3:$G$500&lt;&gt;"Yes")*('Rework Log'!$G$3:$G$500&lt;&gt;"Did not pass re-test"))=0,COUNTIF('Rework Log'!$A$3:$A$500,$B87)&gt;0,IFERROR(INDEX('Rework Log'!$G:$G,SUMPRODUCT(MAX((TRIM('Rework Log'!$A$3:$A$500)=TRIM($B87))*ROW('Rework Log'!$A$3:$A$500)))),"")="Did not pass re-test"),"Last fix rejected - re-block or log next attempt",IF(AND(LEFT($AC87,3)="Yes",ISNUMBER(SEARCH("needs DB Dev",$AC87)),O87&lt;&gt;"",SUMPRODUCT(MAX(((TRIM('Rework Log'!$A$3:$A$500)=TRIM($B87))*('Rework Log'!$G$3:$G$500&lt;&gt;"Yes")*('Rework Log'!$G$3:$G$500&lt;&gt;"Did not pass re-test"))*IFERROR('Rework Log'!$I$3:$I$500*1,0)))&gt;0),"Move old DB Dev completion date to Rework Log (col H)",IF(AND(LEFT($AC87,3)="Yes",ISNUMBER(SEARCH("needs PBI Dev",$AC87)),R87&lt;&gt;"",SUMPRODUCT(MAX(((TRIM('Rework Log'!$A$3:$A$500)=TRIM($B87))*('Rework Log'!$G$3:$G$500&lt;&gt;"Yes")*('Rework Log'!$G$3:$G$500&lt;&gt;"Did not pass re-test"))*IFERROR('Rework Log'!$I$3:$I$500*1,0)))&gt;0),"Move old PBI Dev completion date to Rework Log (col H)",IF(AND(LEFT($AC87,3)="Yes",ISNUMBER(SEARCH("needs QA",$AC87)),U87&lt;&gt;"",SUMPRODUCT(MAX(((TRIM('Rework Log'!$A$3:$A$500)=TRIM($B87))*('Rework Log'!$G$3:$G$500&lt;&gt;"Yes")*('Rework Log'!$G$3:$G$500&lt;&gt;"Did not pass re-test"))*IFERROR('Rework Log'!$I$3:$I$500*1,0)))&gt;0),"Move old QA completion date to Rework Log (col H)",IF(AND(LEFT($AC87,3)="Yes",ISNUMBER(SEARCH("needs DB Dev",$AC87)),TRIM(C87)&lt;&gt;"DB Dev"),"Set Current Status back to DB Dev",IF(AND(LEFT($AC87,3)="Yes",ISNUMBER(SEARCH("needs PBI Dev",$AC87)),TRIM(C87)&lt;&gt;"PBI Dev"),"Set Current Status back to PBI Dev",IF(AND(LEFT($AC87,3)="Yes",ISNUMBER(SEARCH("needs QA",$AC87)),TRIM(C87)&lt;&gt;"QA"),"Set Current Status back to QA",IF(COUNTIF($B$2:$B$500,$B87)&gt;1,"Duplicate name - check row",IF(AND(TRIM(C87)="RELEASED IN PROD",Y87&lt;&gt;"Yes"),"Released but Confirmed Deployed? is not Yes",IF(COUNTIF('Rework Log'!$A$3:$A$500,$B87)&gt;0,"",IF(AND(S87&lt;&gt;"",M87&lt;&gt;"",S87&lt;M87),"QA target is before DB Dev target",IF(AND(S87&lt;&gt;"",P87&lt;&gt;"",S87&lt;P87),"QA target is before PBI Dev target",IF(AND(V87&lt;&gt;"",S87&lt;&gt;"",V87&lt;S87),"DPO Approval target is before QA target",IF(AND(Z87&lt;&gt;"",V87&lt;&gt;"",Z87&lt;V87),"Confirmed Deployed date is before DPO Approval target","")))))))))))))))))</f>
        <v/>
      </c>
      <c r="AE87" s="62"/>
    </row>
    <row r="88" spans="1:31" x14ac:dyDescent="0.25">
      <c r="A88" s="62"/>
      <c r="B88" s="62"/>
      <c r="C88" s="62"/>
      <c r="D88" s="64" t="str">
        <f ca="1">IF($B88="","",IF(LEFT($AC88,3)="Yes",IF(LEN($AC88)&gt;5,"Blocked - "&amp;MID($AC88,7,100),"Blocked")&amp;IF(SUMPRODUCT((TRIM('Rework Log'!$A$3:$A$500)=TRIM($B88))*('Rework Log'!$G$3:$G$500&lt;&gt;"Yes")*('Rework Log'!$G$3:$G$500&lt;&gt;"Did not pass re-test"))=0,"",IF(SUMPRODUCT(((TRIM('Rework Log'!$A$3:$A$500)=TRIM($B88))*('Rework Log'!$G$3:$G$500&lt;&gt;"Yes")*('Rework Log'!$G$3:$G$500&lt;&gt;"Did not pass re-test"))*ISNUMBER('Rework Log'!$J$3:$J$500))&gt;0," - fixed, awaiting re-test",IF(SUMPRODUCT(MAX(((TRIM('Rework Log'!$A$3:$A$500)=TRIM($B88))*('Rework Log'!$G$3:$G$500&lt;&gt;"Yes")*('Rework Log'!$G$3:$G$500&lt;&gt;"Did not pass re-test"))*IFERROR('Rework Log'!$I$3:$I$500*1,0)))=0," - unclaimed"," - promised "&amp;TEXT(SUMPRODUCT(MAX(((TRIM('Rework Log'!$A$3:$A$500)=TRIM($B88))*('Rework Log'!$G$3:$G$500&lt;&gt;"Yes")*('Rework Log'!$G$3:$G$500&lt;&gt;"Did not pass re-test"))*IFERROR('Rework Log'!$I$3:$I$500*1,0))),"m/d")))),IF(TRIM(C88)="NOT STARTED",IF(K88="","No plan date set",IF(K88&lt;TODAY(),"Review - planned start passed","On track")),IF(TRIM(C88)="DB Dev",IF(M88="","No target set",IF(AND(M88&lt;TODAY(),O88=""),"Overdue","On track")),IF(TRIM(C88)="PBI Dev",IF(P88="","No target set",IF(AND(P88&lt;TODAY(),R88=""),"Overdue","On track")),IF(TRIM(C88)="QA",IF(S88="","No target set",IF(AND(S88&lt;TODAY(),U88=""),"Overdue","On track")),IF(TRIM(C88)="DPO Approval",IF(V88="","No target set",IF(V88&lt;TODAY(),"Overdue","On track")),IF(TRIM(C88)="RELEASED IN PROD","Delivered",""))))))))</f>
        <v/>
      </c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4" t="str">
        <f>IF($B88="","",IF(AND(LEFT($AC88,3)="Yes",SUMPRODUCT((TRIM('Rework Log'!$A$3:$A$500)=TRIM($B88))*('Rework Log'!$G$3:$G$500&lt;&gt;"Yes")*('Rework Log'!$G$3:$G$500&lt;&gt;"Did not pass re-test"))=0),"Blocked - log it on Rework Log",IF(AND(LEFT($AC88,3)&lt;&gt;"Yes",SUMPRODUCT((TRIM('Rework Log'!$A$3:$A$500)=TRIM($B88))*('Rework Log'!$G$3:$G$500&lt;&gt;"Yes")*('Rework Log'!$G$3:$G$500&lt;&gt;"Did not pass re-test"))&gt;0),"Open rework row - mark Blocked? or close it",IF(AND(LEFT($AC88,3)&lt;&gt;"Yes",SUMPRODUCT((TRIM('Rework Log'!$A$3:$A$500)=TRIM($B88))*('Rework Log'!$G$3:$G$500&lt;&gt;"Yes")*('Rework Log'!$G$3:$G$500&lt;&gt;"Did not pass re-test"))=0,COUNTIF('Rework Log'!$A$3:$A$500,$B88)&gt;0,IFERROR(INDEX('Rework Log'!$G:$G,SUMPRODUCT(MAX((TRIM('Rework Log'!$A$3:$A$500)=TRIM($B88))*ROW('Rework Log'!$A$3:$A$500)))),"")="Did not pass re-test"),"Last fix rejected - re-block or log next attempt",IF(AND(LEFT($AC88,3)="Yes",ISNUMBER(SEARCH("needs DB Dev",$AC88)),O88&lt;&gt;"",SUMPRODUCT(MAX(((TRIM('Rework Log'!$A$3:$A$500)=TRIM($B88))*('Rework Log'!$G$3:$G$500&lt;&gt;"Yes")*('Rework Log'!$G$3:$G$500&lt;&gt;"Did not pass re-test"))*IFERROR('Rework Log'!$I$3:$I$500*1,0)))&gt;0),"Move old DB Dev completion date to Rework Log (col H)",IF(AND(LEFT($AC88,3)="Yes",ISNUMBER(SEARCH("needs PBI Dev",$AC88)),R88&lt;&gt;"",SUMPRODUCT(MAX(((TRIM('Rework Log'!$A$3:$A$500)=TRIM($B88))*('Rework Log'!$G$3:$G$500&lt;&gt;"Yes")*('Rework Log'!$G$3:$G$500&lt;&gt;"Did not pass re-test"))*IFERROR('Rework Log'!$I$3:$I$500*1,0)))&gt;0),"Move old PBI Dev completion date to Rework Log (col H)",IF(AND(LEFT($AC88,3)="Yes",ISNUMBER(SEARCH("needs QA",$AC88)),U88&lt;&gt;"",SUMPRODUCT(MAX(((TRIM('Rework Log'!$A$3:$A$500)=TRIM($B88))*('Rework Log'!$G$3:$G$500&lt;&gt;"Yes")*('Rework Log'!$G$3:$G$500&lt;&gt;"Did not pass re-test"))*IFERROR('Rework Log'!$I$3:$I$500*1,0)))&gt;0),"Move old QA completion date to Rework Log (col H)",IF(AND(LEFT($AC88,3)="Yes",ISNUMBER(SEARCH("needs DB Dev",$AC88)),TRIM(C88)&lt;&gt;"DB Dev"),"Set Current Status back to DB Dev",IF(AND(LEFT($AC88,3)="Yes",ISNUMBER(SEARCH("needs PBI Dev",$AC88)),TRIM(C88)&lt;&gt;"PBI Dev"),"Set Current Status back to PBI Dev",IF(AND(LEFT($AC88,3)="Yes",ISNUMBER(SEARCH("needs QA",$AC88)),TRIM(C88)&lt;&gt;"QA"),"Set Current Status back to QA",IF(COUNTIF($B$2:$B$500,$B88)&gt;1,"Duplicate name - check row",IF(AND(TRIM(C88)="RELEASED IN PROD",Y88&lt;&gt;"Yes"),"Released but Confirmed Deployed? is not Yes",IF(COUNTIF('Rework Log'!$A$3:$A$500,$B88)&gt;0,"",IF(AND(S88&lt;&gt;"",M88&lt;&gt;"",S88&lt;M88),"QA target is before DB Dev target",IF(AND(S88&lt;&gt;"",P88&lt;&gt;"",S88&lt;P88),"QA target is before PBI Dev target",IF(AND(V88&lt;&gt;"",S88&lt;&gt;"",V88&lt;S88),"DPO Approval target is before QA target",IF(AND(Z88&lt;&gt;"",V88&lt;&gt;"",Z88&lt;V88),"Confirmed Deployed date is before DPO Approval target","")))))))))))))))))</f>
        <v/>
      </c>
      <c r="AE88" s="62"/>
    </row>
    <row r="89" spans="1:31" x14ac:dyDescent="0.25">
      <c r="A89" s="62"/>
      <c r="B89" s="62"/>
      <c r="C89" s="62"/>
      <c r="D89" s="64" t="str">
        <f ca="1">IF($B89="","",IF(LEFT($AC89,3)="Yes",IF(LEN($AC89)&gt;5,"Blocked - "&amp;MID($AC89,7,100),"Blocked")&amp;IF(SUMPRODUCT((TRIM('Rework Log'!$A$3:$A$500)=TRIM($B89))*('Rework Log'!$G$3:$G$500&lt;&gt;"Yes")*('Rework Log'!$G$3:$G$500&lt;&gt;"Did not pass re-test"))=0,"",IF(SUMPRODUCT(((TRIM('Rework Log'!$A$3:$A$500)=TRIM($B89))*('Rework Log'!$G$3:$G$500&lt;&gt;"Yes")*('Rework Log'!$G$3:$G$500&lt;&gt;"Did not pass re-test"))*ISNUMBER('Rework Log'!$J$3:$J$500))&gt;0," - fixed, awaiting re-test",IF(SUMPRODUCT(MAX(((TRIM('Rework Log'!$A$3:$A$500)=TRIM($B89))*('Rework Log'!$G$3:$G$500&lt;&gt;"Yes")*('Rework Log'!$G$3:$G$500&lt;&gt;"Did not pass re-test"))*IFERROR('Rework Log'!$I$3:$I$500*1,0)))=0," - unclaimed"," - promised "&amp;TEXT(SUMPRODUCT(MAX(((TRIM('Rework Log'!$A$3:$A$500)=TRIM($B89))*('Rework Log'!$G$3:$G$500&lt;&gt;"Yes")*('Rework Log'!$G$3:$G$500&lt;&gt;"Did not pass re-test"))*IFERROR('Rework Log'!$I$3:$I$500*1,0))),"m/d")))),IF(TRIM(C89)="NOT STARTED",IF(K89="","No plan date set",IF(K89&lt;TODAY(),"Review - planned start passed","On track")),IF(TRIM(C89)="DB Dev",IF(M89="","No target set",IF(AND(M89&lt;TODAY(),O89=""),"Overdue","On track")),IF(TRIM(C89)="PBI Dev",IF(P89="","No target set",IF(AND(P89&lt;TODAY(),R89=""),"Overdue","On track")),IF(TRIM(C89)="QA",IF(S89="","No target set",IF(AND(S89&lt;TODAY(),U89=""),"Overdue","On track")),IF(TRIM(C89)="DPO Approval",IF(V89="","No target set",IF(V89&lt;TODAY(),"Overdue","On track")),IF(TRIM(C89)="RELEASED IN PROD","Delivered",""))))))))</f>
        <v/>
      </c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4" t="str">
        <f>IF($B89="","",IF(AND(LEFT($AC89,3)="Yes",SUMPRODUCT((TRIM('Rework Log'!$A$3:$A$500)=TRIM($B89))*('Rework Log'!$G$3:$G$500&lt;&gt;"Yes")*('Rework Log'!$G$3:$G$500&lt;&gt;"Did not pass re-test"))=0),"Blocked - log it on Rework Log",IF(AND(LEFT($AC89,3)&lt;&gt;"Yes",SUMPRODUCT((TRIM('Rework Log'!$A$3:$A$500)=TRIM($B89))*('Rework Log'!$G$3:$G$500&lt;&gt;"Yes")*('Rework Log'!$G$3:$G$500&lt;&gt;"Did not pass re-test"))&gt;0),"Open rework row - mark Blocked? or close it",IF(AND(LEFT($AC89,3)&lt;&gt;"Yes",SUMPRODUCT((TRIM('Rework Log'!$A$3:$A$500)=TRIM($B89))*('Rework Log'!$G$3:$G$500&lt;&gt;"Yes")*('Rework Log'!$G$3:$G$500&lt;&gt;"Did not pass re-test"))=0,COUNTIF('Rework Log'!$A$3:$A$500,$B89)&gt;0,IFERROR(INDEX('Rework Log'!$G:$G,SUMPRODUCT(MAX((TRIM('Rework Log'!$A$3:$A$500)=TRIM($B89))*ROW('Rework Log'!$A$3:$A$500)))),"")="Did not pass re-test"),"Last fix rejected - re-block or log next attempt",IF(AND(LEFT($AC89,3)="Yes",ISNUMBER(SEARCH("needs DB Dev",$AC89)),O89&lt;&gt;"",SUMPRODUCT(MAX(((TRIM('Rework Log'!$A$3:$A$500)=TRIM($B89))*('Rework Log'!$G$3:$G$500&lt;&gt;"Yes")*('Rework Log'!$G$3:$G$500&lt;&gt;"Did not pass re-test"))*IFERROR('Rework Log'!$I$3:$I$500*1,0)))&gt;0),"Move old DB Dev completion date to Rework Log (col H)",IF(AND(LEFT($AC89,3)="Yes",ISNUMBER(SEARCH("needs PBI Dev",$AC89)),R89&lt;&gt;"",SUMPRODUCT(MAX(((TRIM('Rework Log'!$A$3:$A$500)=TRIM($B89))*('Rework Log'!$G$3:$G$500&lt;&gt;"Yes")*('Rework Log'!$G$3:$G$500&lt;&gt;"Did not pass re-test"))*IFERROR('Rework Log'!$I$3:$I$500*1,0)))&gt;0),"Move old PBI Dev completion date to Rework Log (col H)",IF(AND(LEFT($AC89,3)="Yes",ISNUMBER(SEARCH("needs QA",$AC89)),U89&lt;&gt;"",SUMPRODUCT(MAX(((TRIM('Rework Log'!$A$3:$A$500)=TRIM($B89))*('Rework Log'!$G$3:$G$500&lt;&gt;"Yes")*('Rework Log'!$G$3:$G$500&lt;&gt;"Did not pass re-test"))*IFERROR('Rework Log'!$I$3:$I$500*1,0)))&gt;0),"Move old QA completion date to Rework Log (col H)",IF(AND(LEFT($AC89,3)="Yes",ISNUMBER(SEARCH("needs DB Dev",$AC89)),TRIM(C89)&lt;&gt;"DB Dev"),"Set Current Status back to DB Dev",IF(AND(LEFT($AC89,3)="Yes",ISNUMBER(SEARCH("needs PBI Dev",$AC89)),TRIM(C89)&lt;&gt;"PBI Dev"),"Set Current Status back to PBI Dev",IF(AND(LEFT($AC89,3)="Yes",ISNUMBER(SEARCH("needs QA",$AC89)),TRIM(C89)&lt;&gt;"QA"),"Set Current Status back to QA",IF(COUNTIF($B$2:$B$500,$B89)&gt;1,"Duplicate name - check row",IF(AND(TRIM(C89)="RELEASED IN PROD",Y89&lt;&gt;"Yes"),"Released but Confirmed Deployed? is not Yes",IF(COUNTIF('Rework Log'!$A$3:$A$500,$B89)&gt;0,"",IF(AND(S89&lt;&gt;"",M89&lt;&gt;"",S89&lt;M89),"QA target is before DB Dev target",IF(AND(S89&lt;&gt;"",P89&lt;&gt;"",S89&lt;P89),"QA target is before PBI Dev target",IF(AND(V89&lt;&gt;"",S89&lt;&gt;"",V89&lt;S89),"DPO Approval target is before QA target",IF(AND(Z89&lt;&gt;"",V89&lt;&gt;"",Z89&lt;V89),"Confirmed Deployed date is before DPO Approval target","")))))))))))))))))</f>
        <v/>
      </c>
      <c r="AE89" s="62"/>
    </row>
    <row r="90" spans="1:31" x14ac:dyDescent="0.25">
      <c r="A90" s="62"/>
      <c r="B90" s="62"/>
      <c r="C90" s="62"/>
      <c r="D90" s="64" t="str">
        <f ca="1">IF($B90="","",IF(LEFT($AC90,3)="Yes",IF(LEN($AC90)&gt;5,"Blocked - "&amp;MID($AC90,7,100),"Blocked")&amp;IF(SUMPRODUCT((TRIM('Rework Log'!$A$3:$A$500)=TRIM($B90))*('Rework Log'!$G$3:$G$500&lt;&gt;"Yes")*('Rework Log'!$G$3:$G$500&lt;&gt;"Did not pass re-test"))=0,"",IF(SUMPRODUCT(((TRIM('Rework Log'!$A$3:$A$500)=TRIM($B90))*('Rework Log'!$G$3:$G$500&lt;&gt;"Yes")*('Rework Log'!$G$3:$G$500&lt;&gt;"Did not pass re-test"))*ISNUMBER('Rework Log'!$J$3:$J$500))&gt;0," - fixed, awaiting re-test",IF(SUMPRODUCT(MAX(((TRIM('Rework Log'!$A$3:$A$500)=TRIM($B90))*('Rework Log'!$G$3:$G$500&lt;&gt;"Yes")*('Rework Log'!$G$3:$G$500&lt;&gt;"Did not pass re-test"))*IFERROR('Rework Log'!$I$3:$I$500*1,0)))=0," - unclaimed"," - promised "&amp;TEXT(SUMPRODUCT(MAX(((TRIM('Rework Log'!$A$3:$A$500)=TRIM($B90))*('Rework Log'!$G$3:$G$500&lt;&gt;"Yes")*('Rework Log'!$G$3:$G$500&lt;&gt;"Did not pass re-test"))*IFERROR('Rework Log'!$I$3:$I$500*1,0))),"m/d")))),IF(TRIM(C90)="NOT STARTED",IF(K90="","No plan date set",IF(K90&lt;TODAY(),"Review - planned start passed","On track")),IF(TRIM(C90)="DB Dev",IF(M90="","No target set",IF(AND(M90&lt;TODAY(),O90=""),"Overdue","On track")),IF(TRIM(C90)="PBI Dev",IF(P90="","No target set",IF(AND(P90&lt;TODAY(),R90=""),"Overdue","On track")),IF(TRIM(C90)="QA",IF(S90="","No target set",IF(AND(S90&lt;TODAY(),U90=""),"Overdue","On track")),IF(TRIM(C90)="DPO Approval",IF(V90="","No target set",IF(V90&lt;TODAY(),"Overdue","On track")),IF(TRIM(C90)="RELEASED IN PROD","Delivered",""))))))))</f>
        <v/>
      </c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4" t="str">
        <f>IF($B90="","",IF(AND(LEFT($AC90,3)="Yes",SUMPRODUCT((TRIM('Rework Log'!$A$3:$A$500)=TRIM($B90))*('Rework Log'!$G$3:$G$500&lt;&gt;"Yes")*('Rework Log'!$G$3:$G$500&lt;&gt;"Did not pass re-test"))=0),"Blocked - log it on Rework Log",IF(AND(LEFT($AC90,3)&lt;&gt;"Yes",SUMPRODUCT((TRIM('Rework Log'!$A$3:$A$500)=TRIM($B90))*('Rework Log'!$G$3:$G$500&lt;&gt;"Yes")*('Rework Log'!$G$3:$G$500&lt;&gt;"Did not pass re-test"))&gt;0),"Open rework row - mark Blocked? or close it",IF(AND(LEFT($AC90,3)&lt;&gt;"Yes",SUMPRODUCT((TRIM('Rework Log'!$A$3:$A$500)=TRIM($B90))*('Rework Log'!$G$3:$G$500&lt;&gt;"Yes")*('Rework Log'!$G$3:$G$500&lt;&gt;"Did not pass re-test"))=0,COUNTIF('Rework Log'!$A$3:$A$500,$B90)&gt;0,IFERROR(INDEX('Rework Log'!$G:$G,SUMPRODUCT(MAX((TRIM('Rework Log'!$A$3:$A$500)=TRIM($B90))*ROW('Rework Log'!$A$3:$A$500)))),"")="Did not pass re-test"),"Last fix rejected - re-block or log next attempt",IF(AND(LEFT($AC90,3)="Yes",ISNUMBER(SEARCH("needs DB Dev",$AC90)),O90&lt;&gt;"",SUMPRODUCT(MAX(((TRIM('Rework Log'!$A$3:$A$500)=TRIM($B90))*('Rework Log'!$G$3:$G$500&lt;&gt;"Yes")*('Rework Log'!$G$3:$G$500&lt;&gt;"Did not pass re-test"))*IFERROR('Rework Log'!$I$3:$I$500*1,0)))&gt;0),"Move old DB Dev completion date to Rework Log (col H)",IF(AND(LEFT($AC90,3)="Yes",ISNUMBER(SEARCH("needs PBI Dev",$AC90)),R90&lt;&gt;"",SUMPRODUCT(MAX(((TRIM('Rework Log'!$A$3:$A$500)=TRIM($B90))*('Rework Log'!$G$3:$G$500&lt;&gt;"Yes")*('Rework Log'!$G$3:$G$500&lt;&gt;"Did not pass re-test"))*IFERROR('Rework Log'!$I$3:$I$500*1,0)))&gt;0),"Move old PBI Dev completion date to Rework Log (col H)",IF(AND(LEFT($AC90,3)="Yes",ISNUMBER(SEARCH("needs QA",$AC90)),U90&lt;&gt;"",SUMPRODUCT(MAX(((TRIM('Rework Log'!$A$3:$A$500)=TRIM($B90))*('Rework Log'!$G$3:$G$500&lt;&gt;"Yes")*('Rework Log'!$G$3:$G$500&lt;&gt;"Did not pass re-test"))*IFERROR('Rework Log'!$I$3:$I$500*1,0)))&gt;0),"Move old QA completion date to Rework Log (col H)",IF(AND(LEFT($AC90,3)="Yes",ISNUMBER(SEARCH("needs DB Dev",$AC90)),TRIM(C90)&lt;&gt;"DB Dev"),"Set Current Status back to DB Dev",IF(AND(LEFT($AC90,3)="Yes",ISNUMBER(SEARCH("needs PBI Dev",$AC90)),TRIM(C90)&lt;&gt;"PBI Dev"),"Set Current Status back to PBI Dev",IF(AND(LEFT($AC90,3)="Yes",ISNUMBER(SEARCH("needs QA",$AC90)),TRIM(C90)&lt;&gt;"QA"),"Set Current Status back to QA",IF(COUNTIF($B$2:$B$500,$B90)&gt;1,"Duplicate name - check row",IF(AND(TRIM(C90)="RELEASED IN PROD",Y90&lt;&gt;"Yes"),"Released but Confirmed Deployed? is not Yes",IF(COUNTIF('Rework Log'!$A$3:$A$500,$B90)&gt;0,"",IF(AND(S90&lt;&gt;"",M90&lt;&gt;"",S90&lt;M90),"QA target is before DB Dev target",IF(AND(S90&lt;&gt;"",P90&lt;&gt;"",S90&lt;P90),"QA target is before PBI Dev target",IF(AND(V90&lt;&gt;"",S90&lt;&gt;"",V90&lt;S90),"DPO Approval target is before QA target",IF(AND(Z90&lt;&gt;"",V90&lt;&gt;"",Z90&lt;V90),"Confirmed Deployed date is before DPO Approval target","")))))))))))))))))</f>
        <v/>
      </c>
      <c r="AE90" s="62"/>
    </row>
    <row r="91" spans="1:31" x14ac:dyDescent="0.25">
      <c r="A91" s="62"/>
      <c r="B91" s="62"/>
      <c r="C91" s="62"/>
      <c r="D91" s="64" t="str">
        <f ca="1">IF($B91="","",IF(LEFT($AC91,3)="Yes",IF(LEN($AC91)&gt;5,"Blocked - "&amp;MID($AC91,7,100),"Blocked")&amp;IF(SUMPRODUCT((TRIM('Rework Log'!$A$3:$A$500)=TRIM($B91))*('Rework Log'!$G$3:$G$500&lt;&gt;"Yes")*('Rework Log'!$G$3:$G$500&lt;&gt;"Did not pass re-test"))=0,"",IF(SUMPRODUCT(((TRIM('Rework Log'!$A$3:$A$500)=TRIM($B91))*('Rework Log'!$G$3:$G$500&lt;&gt;"Yes")*('Rework Log'!$G$3:$G$500&lt;&gt;"Did not pass re-test"))*ISNUMBER('Rework Log'!$J$3:$J$500))&gt;0," - fixed, awaiting re-test",IF(SUMPRODUCT(MAX(((TRIM('Rework Log'!$A$3:$A$500)=TRIM($B91))*('Rework Log'!$G$3:$G$500&lt;&gt;"Yes")*('Rework Log'!$G$3:$G$500&lt;&gt;"Did not pass re-test"))*IFERROR('Rework Log'!$I$3:$I$500*1,0)))=0," - unclaimed"," - promised "&amp;TEXT(SUMPRODUCT(MAX(((TRIM('Rework Log'!$A$3:$A$500)=TRIM($B91))*('Rework Log'!$G$3:$G$500&lt;&gt;"Yes")*('Rework Log'!$G$3:$G$500&lt;&gt;"Did not pass re-test"))*IFERROR('Rework Log'!$I$3:$I$500*1,0))),"m/d")))),IF(TRIM(C91)="NOT STARTED",IF(K91="","No plan date set",IF(K91&lt;TODAY(),"Review - planned start passed","On track")),IF(TRIM(C91)="DB Dev",IF(M91="","No target set",IF(AND(M91&lt;TODAY(),O91=""),"Overdue","On track")),IF(TRIM(C91)="PBI Dev",IF(P91="","No target set",IF(AND(P91&lt;TODAY(),R91=""),"Overdue","On track")),IF(TRIM(C91)="QA",IF(S91="","No target set",IF(AND(S91&lt;TODAY(),U91=""),"Overdue","On track")),IF(TRIM(C91)="DPO Approval",IF(V91="","No target set",IF(V91&lt;TODAY(),"Overdue","On track")),IF(TRIM(C91)="RELEASED IN PROD","Delivered",""))))))))</f>
        <v/>
      </c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4" t="str">
        <f>IF($B91="","",IF(AND(LEFT($AC91,3)="Yes",SUMPRODUCT((TRIM('Rework Log'!$A$3:$A$500)=TRIM($B91))*('Rework Log'!$G$3:$G$500&lt;&gt;"Yes")*('Rework Log'!$G$3:$G$500&lt;&gt;"Did not pass re-test"))=0),"Blocked - log it on Rework Log",IF(AND(LEFT($AC91,3)&lt;&gt;"Yes",SUMPRODUCT((TRIM('Rework Log'!$A$3:$A$500)=TRIM($B91))*('Rework Log'!$G$3:$G$500&lt;&gt;"Yes")*('Rework Log'!$G$3:$G$500&lt;&gt;"Did not pass re-test"))&gt;0),"Open rework row - mark Blocked? or close it",IF(AND(LEFT($AC91,3)&lt;&gt;"Yes",SUMPRODUCT((TRIM('Rework Log'!$A$3:$A$500)=TRIM($B91))*('Rework Log'!$G$3:$G$500&lt;&gt;"Yes")*('Rework Log'!$G$3:$G$500&lt;&gt;"Did not pass re-test"))=0,COUNTIF('Rework Log'!$A$3:$A$500,$B91)&gt;0,IFERROR(INDEX('Rework Log'!$G:$G,SUMPRODUCT(MAX((TRIM('Rework Log'!$A$3:$A$500)=TRIM($B91))*ROW('Rework Log'!$A$3:$A$500)))),"")="Did not pass re-test"),"Last fix rejected - re-block or log next attempt",IF(AND(LEFT($AC91,3)="Yes",ISNUMBER(SEARCH("needs DB Dev",$AC91)),O91&lt;&gt;"",SUMPRODUCT(MAX(((TRIM('Rework Log'!$A$3:$A$500)=TRIM($B91))*('Rework Log'!$G$3:$G$500&lt;&gt;"Yes")*('Rework Log'!$G$3:$G$500&lt;&gt;"Did not pass re-test"))*IFERROR('Rework Log'!$I$3:$I$500*1,0)))&gt;0),"Move old DB Dev completion date to Rework Log (col H)",IF(AND(LEFT($AC91,3)="Yes",ISNUMBER(SEARCH("needs PBI Dev",$AC91)),R91&lt;&gt;"",SUMPRODUCT(MAX(((TRIM('Rework Log'!$A$3:$A$500)=TRIM($B91))*('Rework Log'!$G$3:$G$500&lt;&gt;"Yes")*('Rework Log'!$G$3:$G$500&lt;&gt;"Did not pass re-test"))*IFERROR('Rework Log'!$I$3:$I$500*1,0)))&gt;0),"Move old PBI Dev completion date to Rework Log (col H)",IF(AND(LEFT($AC91,3)="Yes",ISNUMBER(SEARCH("needs QA",$AC91)),U91&lt;&gt;"",SUMPRODUCT(MAX(((TRIM('Rework Log'!$A$3:$A$500)=TRIM($B91))*('Rework Log'!$G$3:$G$500&lt;&gt;"Yes")*('Rework Log'!$G$3:$G$500&lt;&gt;"Did not pass re-test"))*IFERROR('Rework Log'!$I$3:$I$500*1,0)))&gt;0),"Move old QA completion date to Rework Log (col H)",IF(AND(LEFT($AC91,3)="Yes",ISNUMBER(SEARCH("needs DB Dev",$AC91)),TRIM(C91)&lt;&gt;"DB Dev"),"Set Current Status back to DB Dev",IF(AND(LEFT($AC91,3)="Yes",ISNUMBER(SEARCH("needs PBI Dev",$AC91)),TRIM(C91)&lt;&gt;"PBI Dev"),"Set Current Status back to PBI Dev",IF(AND(LEFT($AC91,3)="Yes",ISNUMBER(SEARCH("needs QA",$AC91)),TRIM(C91)&lt;&gt;"QA"),"Set Current Status back to QA",IF(COUNTIF($B$2:$B$500,$B91)&gt;1,"Duplicate name - check row",IF(AND(TRIM(C91)="RELEASED IN PROD",Y91&lt;&gt;"Yes"),"Released but Confirmed Deployed? is not Yes",IF(COUNTIF('Rework Log'!$A$3:$A$500,$B91)&gt;0,"",IF(AND(S91&lt;&gt;"",M91&lt;&gt;"",S91&lt;M91),"QA target is before DB Dev target",IF(AND(S91&lt;&gt;"",P91&lt;&gt;"",S91&lt;P91),"QA target is before PBI Dev target",IF(AND(V91&lt;&gt;"",S91&lt;&gt;"",V91&lt;S91),"DPO Approval target is before QA target",IF(AND(Z91&lt;&gt;"",V91&lt;&gt;"",Z91&lt;V91),"Confirmed Deployed date is before DPO Approval target","")))))))))))))))))</f>
        <v/>
      </c>
      <c r="AE91" s="62"/>
    </row>
    <row r="92" spans="1:31" x14ac:dyDescent="0.25">
      <c r="A92" s="62"/>
      <c r="B92" s="62"/>
      <c r="C92" s="62"/>
      <c r="D92" s="64" t="str">
        <f ca="1">IF($B92="","",IF(LEFT($AC92,3)="Yes",IF(LEN($AC92)&gt;5,"Blocked - "&amp;MID($AC92,7,100),"Blocked")&amp;IF(SUMPRODUCT((TRIM('Rework Log'!$A$3:$A$500)=TRIM($B92))*('Rework Log'!$G$3:$G$500&lt;&gt;"Yes")*('Rework Log'!$G$3:$G$500&lt;&gt;"Did not pass re-test"))=0,"",IF(SUMPRODUCT(((TRIM('Rework Log'!$A$3:$A$500)=TRIM($B92))*('Rework Log'!$G$3:$G$500&lt;&gt;"Yes")*('Rework Log'!$G$3:$G$500&lt;&gt;"Did not pass re-test"))*ISNUMBER('Rework Log'!$J$3:$J$500))&gt;0," - fixed, awaiting re-test",IF(SUMPRODUCT(MAX(((TRIM('Rework Log'!$A$3:$A$500)=TRIM($B92))*('Rework Log'!$G$3:$G$500&lt;&gt;"Yes")*('Rework Log'!$G$3:$G$500&lt;&gt;"Did not pass re-test"))*IFERROR('Rework Log'!$I$3:$I$500*1,0)))=0," - unclaimed"," - promised "&amp;TEXT(SUMPRODUCT(MAX(((TRIM('Rework Log'!$A$3:$A$500)=TRIM($B92))*('Rework Log'!$G$3:$G$500&lt;&gt;"Yes")*('Rework Log'!$G$3:$G$500&lt;&gt;"Did not pass re-test"))*IFERROR('Rework Log'!$I$3:$I$500*1,0))),"m/d")))),IF(TRIM(C92)="NOT STARTED",IF(K92="","No plan date set",IF(K92&lt;TODAY(),"Review - planned start passed","On track")),IF(TRIM(C92)="DB Dev",IF(M92="","No target set",IF(AND(M92&lt;TODAY(),O92=""),"Overdue","On track")),IF(TRIM(C92)="PBI Dev",IF(P92="","No target set",IF(AND(P92&lt;TODAY(),R92=""),"Overdue","On track")),IF(TRIM(C92)="QA",IF(S92="","No target set",IF(AND(S92&lt;TODAY(),U92=""),"Overdue","On track")),IF(TRIM(C92)="DPO Approval",IF(V92="","No target set",IF(V92&lt;TODAY(),"Overdue","On track")),IF(TRIM(C92)="RELEASED IN PROD","Delivered",""))))))))</f>
        <v/>
      </c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4" t="str">
        <f>IF($B92="","",IF(AND(LEFT($AC92,3)="Yes",SUMPRODUCT((TRIM('Rework Log'!$A$3:$A$500)=TRIM($B92))*('Rework Log'!$G$3:$G$500&lt;&gt;"Yes")*('Rework Log'!$G$3:$G$500&lt;&gt;"Did not pass re-test"))=0),"Blocked - log it on Rework Log",IF(AND(LEFT($AC92,3)&lt;&gt;"Yes",SUMPRODUCT((TRIM('Rework Log'!$A$3:$A$500)=TRIM($B92))*('Rework Log'!$G$3:$G$500&lt;&gt;"Yes")*('Rework Log'!$G$3:$G$500&lt;&gt;"Did not pass re-test"))&gt;0),"Open rework row - mark Blocked? or close it",IF(AND(LEFT($AC92,3)&lt;&gt;"Yes",SUMPRODUCT((TRIM('Rework Log'!$A$3:$A$500)=TRIM($B92))*('Rework Log'!$G$3:$G$500&lt;&gt;"Yes")*('Rework Log'!$G$3:$G$500&lt;&gt;"Did not pass re-test"))=0,COUNTIF('Rework Log'!$A$3:$A$500,$B92)&gt;0,IFERROR(INDEX('Rework Log'!$G:$G,SUMPRODUCT(MAX((TRIM('Rework Log'!$A$3:$A$500)=TRIM($B92))*ROW('Rework Log'!$A$3:$A$500)))),"")="Did not pass re-test"),"Last fix rejected - re-block or log next attempt",IF(AND(LEFT($AC92,3)="Yes",ISNUMBER(SEARCH("needs DB Dev",$AC92)),O92&lt;&gt;"",SUMPRODUCT(MAX(((TRIM('Rework Log'!$A$3:$A$500)=TRIM($B92))*('Rework Log'!$G$3:$G$500&lt;&gt;"Yes")*('Rework Log'!$G$3:$G$500&lt;&gt;"Did not pass re-test"))*IFERROR('Rework Log'!$I$3:$I$500*1,0)))&gt;0),"Move old DB Dev completion date to Rework Log (col H)",IF(AND(LEFT($AC92,3)="Yes",ISNUMBER(SEARCH("needs PBI Dev",$AC92)),R92&lt;&gt;"",SUMPRODUCT(MAX(((TRIM('Rework Log'!$A$3:$A$500)=TRIM($B92))*('Rework Log'!$G$3:$G$500&lt;&gt;"Yes")*('Rework Log'!$G$3:$G$500&lt;&gt;"Did not pass re-test"))*IFERROR('Rework Log'!$I$3:$I$500*1,0)))&gt;0),"Move old PBI Dev completion date to Rework Log (col H)",IF(AND(LEFT($AC92,3)="Yes",ISNUMBER(SEARCH("needs QA",$AC92)),U92&lt;&gt;"",SUMPRODUCT(MAX(((TRIM('Rework Log'!$A$3:$A$500)=TRIM($B92))*('Rework Log'!$G$3:$G$500&lt;&gt;"Yes")*('Rework Log'!$G$3:$G$500&lt;&gt;"Did not pass re-test"))*IFERROR('Rework Log'!$I$3:$I$500*1,0)))&gt;0),"Move old QA completion date to Rework Log (col H)",IF(AND(LEFT($AC92,3)="Yes",ISNUMBER(SEARCH("needs DB Dev",$AC92)),TRIM(C92)&lt;&gt;"DB Dev"),"Set Current Status back to DB Dev",IF(AND(LEFT($AC92,3)="Yes",ISNUMBER(SEARCH("needs PBI Dev",$AC92)),TRIM(C92)&lt;&gt;"PBI Dev"),"Set Current Status back to PBI Dev",IF(AND(LEFT($AC92,3)="Yes",ISNUMBER(SEARCH("needs QA",$AC92)),TRIM(C92)&lt;&gt;"QA"),"Set Current Status back to QA",IF(COUNTIF($B$2:$B$500,$B92)&gt;1,"Duplicate name - check row",IF(AND(TRIM(C92)="RELEASED IN PROD",Y92&lt;&gt;"Yes"),"Released but Confirmed Deployed? is not Yes",IF(COUNTIF('Rework Log'!$A$3:$A$500,$B92)&gt;0,"",IF(AND(S92&lt;&gt;"",M92&lt;&gt;"",S92&lt;M92),"QA target is before DB Dev target",IF(AND(S92&lt;&gt;"",P92&lt;&gt;"",S92&lt;P92),"QA target is before PBI Dev target",IF(AND(V92&lt;&gt;"",S92&lt;&gt;"",V92&lt;S92),"DPO Approval target is before QA target",IF(AND(Z92&lt;&gt;"",V92&lt;&gt;"",Z92&lt;V92),"Confirmed Deployed date is before DPO Approval target","")))))))))))))))))</f>
        <v/>
      </c>
      <c r="AE92" s="62"/>
    </row>
    <row r="93" spans="1:31" x14ac:dyDescent="0.25">
      <c r="A93" s="62"/>
      <c r="B93" s="62"/>
      <c r="C93" s="62"/>
      <c r="D93" s="64" t="str">
        <f ca="1">IF($B93="","",IF(LEFT($AC93,3)="Yes",IF(LEN($AC93)&gt;5,"Blocked - "&amp;MID($AC93,7,100),"Blocked")&amp;IF(SUMPRODUCT((TRIM('Rework Log'!$A$3:$A$500)=TRIM($B93))*('Rework Log'!$G$3:$G$500&lt;&gt;"Yes")*('Rework Log'!$G$3:$G$500&lt;&gt;"Did not pass re-test"))=0,"",IF(SUMPRODUCT(((TRIM('Rework Log'!$A$3:$A$500)=TRIM($B93))*('Rework Log'!$G$3:$G$500&lt;&gt;"Yes")*('Rework Log'!$G$3:$G$500&lt;&gt;"Did not pass re-test"))*ISNUMBER('Rework Log'!$J$3:$J$500))&gt;0," - fixed, awaiting re-test",IF(SUMPRODUCT(MAX(((TRIM('Rework Log'!$A$3:$A$500)=TRIM($B93))*('Rework Log'!$G$3:$G$500&lt;&gt;"Yes")*('Rework Log'!$G$3:$G$500&lt;&gt;"Did not pass re-test"))*IFERROR('Rework Log'!$I$3:$I$500*1,0)))=0," - unclaimed"," - promised "&amp;TEXT(SUMPRODUCT(MAX(((TRIM('Rework Log'!$A$3:$A$500)=TRIM($B93))*('Rework Log'!$G$3:$G$500&lt;&gt;"Yes")*('Rework Log'!$G$3:$G$500&lt;&gt;"Did not pass re-test"))*IFERROR('Rework Log'!$I$3:$I$500*1,0))),"m/d")))),IF(TRIM(C93)="NOT STARTED",IF(K93="","No plan date set",IF(K93&lt;TODAY(),"Review - planned start passed","On track")),IF(TRIM(C93)="DB Dev",IF(M93="","No target set",IF(AND(M93&lt;TODAY(),O93=""),"Overdue","On track")),IF(TRIM(C93)="PBI Dev",IF(P93="","No target set",IF(AND(P93&lt;TODAY(),R93=""),"Overdue","On track")),IF(TRIM(C93)="QA",IF(S93="","No target set",IF(AND(S93&lt;TODAY(),U93=""),"Overdue","On track")),IF(TRIM(C93)="DPO Approval",IF(V93="","No target set",IF(V93&lt;TODAY(),"Overdue","On track")),IF(TRIM(C93)="RELEASED IN PROD","Delivered",""))))))))</f>
        <v/>
      </c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4" t="str">
        <f>IF($B93="","",IF(AND(LEFT($AC93,3)="Yes",SUMPRODUCT((TRIM('Rework Log'!$A$3:$A$500)=TRIM($B93))*('Rework Log'!$G$3:$G$500&lt;&gt;"Yes")*('Rework Log'!$G$3:$G$500&lt;&gt;"Did not pass re-test"))=0),"Blocked - log it on Rework Log",IF(AND(LEFT($AC93,3)&lt;&gt;"Yes",SUMPRODUCT((TRIM('Rework Log'!$A$3:$A$500)=TRIM($B93))*('Rework Log'!$G$3:$G$500&lt;&gt;"Yes")*('Rework Log'!$G$3:$G$500&lt;&gt;"Did not pass re-test"))&gt;0),"Open rework row - mark Blocked? or close it",IF(AND(LEFT($AC93,3)&lt;&gt;"Yes",SUMPRODUCT((TRIM('Rework Log'!$A$3:$A$500)=TRIM($B93))*('Rework Log'!$G$3:$G$500&lt;&gt;"Yes")*('Rework Log'!$G$3:$G$500&lt;&gt;"Did not pass re-test"))=0,COUNTIF('Rework Log'!$A$3:$A$500,$B93)&gt;0,IFERROR(INDEX('Rework Log'!$G:$G,SUMPRODUCT(MAX((TRIM('Rework Log'!$A$3:$A$500)=TRIM($B93))*ROW('Rework Log'!$A$3:$A$500)))),"")="Did not pass re-test"),"Last fix rejected - re-block or log next attempt",IF(AND(LEFT($AC93,3)="Yes",ISNUMBER(SEARCH("needs DB Dev",$AC93)),O93&lt;&gt;"",SUMPRODUCT(MAX(((TRIM('Rework Log'!$A$3:$A$500)=TRIM($B93))*('Rework Log'!$G$3:$G$500&lt;&gt;"Yes")*('Rework Log'!$G$3:$G$500&lt;&gt;"Did not pass re-test"))*IFERROR('Rework Log'!$I$3:$I$500*1,0)))&gt;0),"Move old DB Dev completion date to Rework Log (col H)",IF(AND(LEFT($AC93,3)="Yes",ISNUMBER(SEARCH("needs PBI Dev",$AC93)),R93&lt;&gt;"",SUMPRODUCT(MAX(((TRIM('Rework Log'!$A$3:$A$500)=TRIM($B93))*('Rework Log'!$G$3:$G$500&lt;&gt;"Yes")*('Rework Log'!$G$3:$G$500&lt;&gt;"Did not pass re-test"))*IFERROR('Rework Log'!$I$3:$I$500*1,0)))&gt;0),"Move old PBI Dev completion date to Rework Log (col H)",IF(AND(LEFT($AC93,3)="Yes",ISNUMBER(SEARCH("needs QA",$AC93)),U93&lt;&gt;"",SUMPRODUCT(MAX(((TRIM('Rework Log'!$A$3:$A$500)=TRIM($B93))*('Rework Log'!$G$3:$G$500&lt;&gt;"Yes")*('Rework Log'!$G$3:$G$500&lt;&gt;"Did not pass re-test"))*IFERROR('Rework Log'!$I$3:$I$500*1,0)))&gt;0),"Move old QA completion date to Rework Log (col H)",IF(AND(LEFT($AC93,3)="Yes",ISNUMBER(SEARCH("needs DB Dev",$AC93)),TRIM(C93)&lt;&gt;"DB Dev"),"Set Current Status back to DB Dev",IF(AND(LEFT($AC93,3)="Yes",ISNUMBER(SEARCH("needs PBI Dev",$AC93)),TRIM(C93)&lt;&gt;"PBI Dev"),"Set Current Status back to PBI Dev",IF(AND(LEFT($AC93,3)="Yes",ISNUMBER(SEARCH("needs QA",$AC93)),TRIM(C93)&lt;&gt;"QA"),"Set Current Status back to QA",IF(COUNTIF($B$2:$B$500,$B93)&gt;1,"Duplicate name - check row",IF(AND(TRIM(C93)="RELEASED IN PROD",Y93&lt;&gt;"Yes"),"Released but Confirmed Deployed? is not Yes",IF(COUNTIF('Rework Log'!$A$3:$A$500,$B93)&gt;0,"",IF(AND(S93&lt;&gt;"",M93&lt;&gt;"",S93&lt;M93),"QA target is before DB Dev target",IF(AND(S93&lt;&gt;"",P93&lt;&gt;"",S93&lt;P93),"QA target is before PBI Dev target",IF(AND(V93&lt;&gt;"",S93&lt;&gt;"",V93&lt;S93),"DPO Approval target is before QA target",IF(AND(Z93&lt;&gt;"",V93&lt;&gt;"",Z93&lt;V93),"Confirmed Deployed date is before DPO Approval target","")))))))))))))))))</f>
        <v/>
      </c>
      <c r="AE93" s="62"/>
    </row>
    <row r="94" spans="1:31" x14ac:dyDescent="0.25">
      <c r="A94" s="62"/>
      <c r="B94" s="62"/>
      <c r="C94" s="62"/>
      <c r="D94" s="64" t="str">
        <f ca="1">IF($B94="","",IF(LEFT($AC94,3)="Yes",IF(LEN($AC94)&gt;5,"Blocked - "&amp;MID($AC94,7,100),"Blocked")&amp;IF(SUMPRODUCT((TRIM('Rework Log'!$A$3:$A$500)=TRIM($B94))*('Rework Log'!$G$3:$G$500&lt;&gt;"Yes")*('Rework Log'!$G$3:$G$500&lt;&gt;"Did not pass re-test"))=0,"",IF(SUMPRODUCT(((TRIM('Rework Log'!$A$3:$A$500)=TRIM($B94))*('Rework Log'!$G$3:$G$500&lt;&gt;"Yes")*('Rework Log'!$G$3:$G$500&lt;&gt;"Did not pass re-test"))*ISNUMBER('Rework Log'!$J$3:$J$500))&gt;0," - fixed, awaiting re-test",IF(SUMPRODUCT(MAX(((TRIM('Rework Log'!$A$3:$A$500)=TRIM($B94))*('Rework Log'!$G$3:$G$500&lt;&gt;"Yes")*('Rework Log'!$G$3:$G$500&lt;&gt;"Did not pass re-test"))*IFERROR('Rework Log'!$I$3:$I$500*1,0)))=0," - unclaimed"," - promised "&amp;TEXT(SUMPRODUCT(MAX(((TRIM('Rework Log'!$A$3:$A$500)=TRIM($B94))*('Rework Log'!$G$3:$G$500&lt;&gt;"Yes")*('Rework Log'!$G$3:$G$500&lt;&gt;"Did not pass re-test"))*IFERROR('Rework Log'!$I$3:$I$500*1,0))),"m/d")))),IF(TRIM(C94)="NOT STARTED",IF(K94="","No plan date set",IF(K94&lt;TODAY(),"Review - planned start passed","On track")),IF(TRIM(C94)="DB Dev",IF(M94="","No target set",IF(AND(M94&lt;TODAY(),O94=""),"Overdue","On track")),IF(TRIM(C94)="PBI Dev",IF(P94="","No target set",IF(AND(P94&lt;TODAY(),R94=""),"Overdue","On track")),IF(TRIM(C94)="QA",IF(S94="","No target set",IF(AND(S94&lt;TODAY(),U94=""),"Overdue","On track")),IF(TRIM(C94)="DPO Approval",IF(V94="","No target set",IF(V94&lt;TODAY(),"Overdue","On track")),IF(TRIM(C94)="RELEASED IN PROD","Delivered",""))))))))</f>
        <v/>
      </c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4" t="str">
        <f>IF($B94="","",IF(AND(LEFT($AC94,3)="Yes",SUMPRODUCT((TRIM('Rework Log'!$A$3:$A$500)=TRIM($B94))*('Rework Log'!$G$3:$G$500&lt;&gt;"Yes")*('Rework Log'!$G$3:$G$500&lt;&gt;"Did not pass re-test"))=0),"Blocked - log it on Rework Log",IF(AND(LEFT($AC94,3)&lt;&gt;"Yes",SUMPRODUCT((TRIM('Rework Log'!$A$3:$A$500)=TRIM($B94))*('Rework Log'!$G$3:$G$500&lt;&gt;"Yes")*('Rework Log'!$G$3:$G$500&lt;&gt;"Did not pass re-test"))&gt;0),"Open rework row - mark Blocked? or close it",IF(AND(LEFT($AC94,3)&lt;&gt;"Yes",SUMPRODUCT((TRIM('Rework Log'!$A$3:$A$500)=TRIM($B94))*('Rework Log'!$G$3:$G$500&lt;&gt;"Yes")*('Rework Log'!$G$3:$G$500&lt;&gt;"Did not pass re-test"))=0,COUNTIF('Rework Log'!$A$3:$A$500,$B94)&gt;0,IFERROR(INDEX('Rework Log'!$G:$G,SUMPRODUCT(MAX((TRIM('Rework Log'!$A$3:$A$500)=TRIM($B94))*ROW('Rework Log'!$A$3:$A$500)))),"")="Did not pass re-test"),"Last fix rejected - re-block or log next attempt",IF(AND(LEFT($AC94,3)="Yes",ISNUMBER(SEARCH("needs DB Dev",$AC94)),O94&lt;&gt;"",SUMPRODUCT(MAX(((TRIM('Rework Log'!$A$3:$A$500)=TRIM($B94))*('Rework Log'!$G$3:$G$500&lt;&gt;"Yes")*('Rework Log'!$G$3:$G$500&lt;&gt;"Did not pass re-test"))*IFERROR('Rework Log'!$I$3:$I$500*1,0)))&gt;0),"Move old DB Dev completion date to Rework Log (col H)",IF(AND(LEFT($AC94,3)="Yes",ISNUMBER(SEARCH("needs PBI Dev",$AC94)),R94&lt;&gt;"",SUMPRODUCT(MAX(((TRIM('Rework Log'!$A$3:$A$500)=TRIM($B94))*('Rework Log'!$G$3:$G$500&lt;&gt;"Yes")*('Rework Log'!$G$3:$G$500&lt;&gt;"Did not pass re-test"))*IFERROR('Rework Log'!$I$3:$I$500*1,0)))&gt;0),"Move old PBI Dev completion date to Rework Log (col H)",IF(AND(LEFT($AC94,3)="Yes",ISNUMBER(SEARCH("needs QA",$AC94)),U94&lt;&gt;"",SUMPRODUCT(MAX(((TRIM('Rework Log'!$A$3:$A$500)=TRIM($B94))*('Rework Log'!$G$3:$G$500&lt;&gt;"Yes")*('Rework Log'!$G$3:$G$500&lt;&gt;"Did not pass re-test"))*IFERROR('Rework Log'!$I$3:$I$500*1,0)))&gt;0),"Move old QA completion date to Rework Log (col H)",IF(AND(LEFT($AC94,3)="Yes",ISNUMBER(SEARCH("needs DB Dev",$AC94)),TRIM(C94)&lt;&gt;"DB Dev"),"Set Current Status back to DB Dev",IF(AND(LEFT($AC94,3)="Yes",ISNUMBER(SEARCH("needs PBI Dev",$AC94)),TRIM(C94)&lt;&gt;"PBI Dev"),"Set Current Status back to PBI Dev",IF(AND(LEFT($AC94,3)="Yes",ISNUMBER(SEARCH("needs QA",$AC94)),TRIM(C94)&lt;&gt;"QA"),"Set Current Status back to QA",IF(COUNTIF($B$2:$B$500,$B94)&gt;1,"Duplicate name - check row",IF(AND(TRIM(C94)="RELEASED IN PROD",Y94&lt;&gt;"Yes"),"Released but Confirmed Deployed? is not Yes",IF(COUNTIF('Rework Log'!$A$3:$A$500,$B94)&gt;0,"",IF(AND(S94&lt;&gt;"",M94&lt;&gt;"",S94&lt;M94),"QA target is before DB Dev target",IF(AND(S94&lt;&gt;"",P94&lt;&gt;"",S94&lt;P94),"QA target is before PBI Dev target",IF(AND(V94&lt;&gt;"",S94&lt;&gt;"",V94&lt;S94),"DPO Approval target is before QA target",IF(AND(Z94&lt;&gt;"",V94&lt;&gt;"",Z94&lt;V94),"Confirmed Deployed date is before DPO Approval target","")))))))))))))))))</f>
        <v/>
      </c>
      <c r="AE94" s="62"/>
    </row>
    <row r="95" spans="1:31" x14ac:dyDescent="0.25">
      <c r="A95" s="62"/>
      <c r="B95" s="62"/>
      <c r="C95" s="62"/>
      <c r="D95" s="64" t="str">
        <f ca="1">IF($B95="","",IF(LEFT($AC95,3)="Yes",IF(LEN($AC95)&gt;5,"Blocked - "&amp;MID($AC95,7,100),"Blocked")&amp;IF(SUMPRODUCT((TRIM('Rework Log'!$A$3:$A$500)=TRIM($B95))*('Rework Log'!$G$3:$G$500&lt;&gt;"Yes")*('Rework Log'!$G$3:$G$500&lt;&gt;"Did not pass re-test"))=0,"",IF(SUMPRODUCT(((TRIM('Rework Log'!$A$3:$A$500)=TRIM($B95))*('Rework Log'!$G$3:$G$500&lt;&gt;"Yes")*('Rework Log'!$G$3:$G$500&lt;&gt;"Did not pass re-test"))*ISNUMBER('Rework Log'!$J$3:$J$500))&gt;0," - fixed, awaiting re-test",IF(SUMPRODUCT(MAX(((TRIM('Rework Log'!$A$3:$A$500)=TRIM($B95))*('Rework Log'!$G$3:$G$500&lt;&gt;"Yes")*('Rework Log'!$G$3:$G$500&lt;&gt;"Did not pass re-test"))*IFERROR('Rework Log'!$I$3:$I$500*1,0)))=0," - unclaimed"," - promised "&amp;TEXT(SUMPRODUCT(MAX(((TRIM('Rework Log'!$A$3:$A$500)=TRIM($B95))*('Rework Log'!$G$3:$G$500&lt;&gt;"Yes")*('Rework Log'!$G$3:$G$500&lt;&gt;"Did not pass re-test"))*IFERROR('Rework Log'!$I$3:$I$500*1,0))),"m/d")))),IF(TRIM(C95)="NOT STARTED",IF(K95="","No plan date set",IF(K95&lt;TODAY(),"Review - planned start passed","On track")),IF(TRIM(C95)="DB Dev",IF(M95="","No target set",IF(AND(M95&lt;TODAY(),O95=""),"Overdue","On track")),IF(TRIM(C95)="PBI Dev",IF(P95="","No target set",IF(AND(P95&lt;TODAY(),R95=""),"Overdue","On track")),IF(TRIM(C95)="QA",IF(S95="","No target set",IF(AND(S95&lt;TODAY(),U95=""),"Overdue","On track")),IF(TRIM(C95)="DPO Approval",IF(V95="","No target set",IF(V95&lt;TODAY(),"Overdue","On track")),IF(TRIM(C95)="RELEASED IN PROD","Delivered",""))))))))</f>
        <v/>
      </c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4" t="str">
        <f>IF($B95="","",IF(AND(LEFT($AC95,3)="Yes",SUMPRODUCT((TRIM('Rework Log'!$A$3:$A$500)=TRIM($B95))*('Rework Log'!$G$3:$G$500&lt;&gt;"Yes")*('Rework Log'!$G$3:$G$500&lt;&gt;"Did not pass re-test"))=0),"Blocked - log it on Rework Log",IF(AND(LEFT($AC95,3)&lt;&gt;"Yes",SUMPRODUCT((TRIM('Rework Log'!$A$3:$A$500)=TRIM($B95))*('Rework Log'!$G$3:$G$500&lt;&gt;"Yes")*('Rework Log'!$G$3:$G$500&lt;&gt;"Did not pass re-test"))&gt;0),"Open rework row - mark Blocked? or close it",IF(AND(LEFT($AC95,3)&lt;&gt;"Yes",SUMPRODUCT((TRIM('Rework Log'!$A$3:$A$500)=TRIM($B95))*('Rework Log'!$G$3:$G$500&lt;&gt;"Yes")*('Rework Log'!$G$3:$G$500&lt;&gt;"Did not pass re-test"))=0,COUNTIF('Rework Log'!$A$3:$A$500,$B95)&gt;0,IFERROR(INDEX('Rework Log'!$G:$G,SUMPRODUCT(MAX((TRIM('Rework Log'!$A$3:$A$500)=TRIM($B95))*ROW('Rework Log'!$A$3:$A$500)))),"")="Did not pass re-test"),"Last fix rejected - re-block or log next attempt",IF(AND(LEFT($AC95,3)="Yes",ISNUMBER(SEARCH("needs DB Dev",$AC95)),O95&lt;&gt;"",SUMPRODUCT(MAX(((TRIM('Rework Log'!$A$3:$A$500)=TRIM($B95))*('Rework Log'!$G$3:$G$500&lt;&gt;"Yes")*('Rework Log'!$G$3:$G$500&lt;&gt;"Did not pass re-test"))*IFERROR('Rework Log'!$I$3:$I$500*1,0)))&gt;0),"Move old DB Dev completion date to Rework Log (col H)",IF(AND(LEFT($AC95,3)="Yes",ISNUMBER(SEARCH("needs PBI Dev",$AC95)),R95&lt;&gt;"",SUMPRODUCT(MAX(((TRIM('Rework Log'!$A$3:$A$500)=TRIM($B95))*('Rework Log'!$G$3:$G$500&lt;&gt;"Yes")*('Rework Log'!$G$3:$G$500&lt;&gt;"Did not pass re-test"))*IFERROR('Rework Log'!$I$3:$I$500*1,0)))&gt;0),"Move old PBI Dev completion date to Rework Log (col H)",IF(AND(LEFT($AC95,3)="Yes",ISNUMBER(SEARCH("needs QA",$AC95)),U95&lt;&gt;"",SUMPRODUCT(MAX(((TRIM('Rework Log'!$A$3:$A$500)=TRIM($B95))*('Rework Log'!$G$3:$G$500&lt;&gt;"Yes")*('Rework Log'!$G$3:$G$500&lt;&gt;"Did not pass re-test"))*IFERROR('Rework Log'!$I$3:$I$500*1,0)))&gt;0),"Move old QA completion date to Rework Log (col H)",IF(AND(LEFT($AC95,3)="Yes",ISNUMBER(SEARCH("needs DB Dev",$AC95)),TRIM(C95)&lt;&gt;"DB Dev"),"Set Current Status back to DB Dev",IF(AND(LEFT($AC95,3)="Yes",ISNUMBER(SEARCH("needs PBI Dev",$AC95)),TRIM(C95)&lt;&gt;"PBI Dev"),"Set Current Status back to PBI Dev",IF(AND(LEFT($AC95,3)="Yes",ISNUMBER(SEARCH("needs QA",$AC95)),TRIM(C95)&lt;&gt;"QA"),"Set Current Status back to QA",IF(COUNTIF($B$2:$B$500,$B95)&gt;1,"Duplicate name - check row",IF(AND(TRIM(C95)="RELEASED IN PROD",Y95&lt;&gt;"Yes"),"Released but Confirmed Deployed? is not Yes",IF(COUNTIF('Rework Log'!$A$3:$A$500,$B95)&gt;0,"",IF(AND(S95&lt;&gt;"",M95&lt;&gt;"",S95&lt;M95),"QA target is before DB Dev target",IF(AND(S95&lt;&gt;"",P95&lt;&gt;"",S95&lt;P95),"QA target is before PBI Dev target",IF(AND(V95&lt;&gt;"",S95&lt;&gt;"",V95&lt;S95),"DPO Approval target is before QA target",IF(AND(Z95&lt;&gt;"",V95&lt;&gt;"",Z95&lt;V95),"Confirmed Deployed date is before DPO Approval target","")))))))))))))))))</f>
        <v/>
      </c>
      <c r="AE95" s="62"/>
    </row>
    <row r="96" spans="1:31" x14ac:dyDescent="0.25">
      <c r="A96" s="62"/>
      <c r="B96" s="62"/>
      <c r="C96" s="62"/>
      <c r="D96" s="64" t="str">
        <f ca="1">IF($B96="","",IF(LEFT($AC96,3)="Yes",IF(LEN($AC96)&gt;5,"Blocked - "&amp;MID($AC96,7,100),"Blocked")&amp;IF(SUMPRODUCT((TRIM('Rework Log'!$A$3:$A$500)=TRIM($B96))*('Rework Log'!$G$3:$G$500&lt;&gt;"Yes")*('Rework Log'!$G$3:$G$500&lt;&gt;"Did not pass re-test"))=0,"",IF(SUMPRODUCT(((TRIM('Rework Log'!$A$3:$A$500)=TRIM($B96))*('Rework Log'!$G$3:$G$500&lt;&gt;"Yes")*('Rework Log'!$G$3:$G$500&lt;&gt;"Did not pass re-test"))*ISNUMBER('Rework Log'!$J$3:$J$500))&gt;0," - fixed, awaiting re-test",IF(SUMPRODUCT(MAX(((TRIM('Rework Log'!$A$3:$A$500)=TRIM($B96))*('Rework Log'!$G$3:$G$500&lt;&gt;"Yes")*('Rework Log'!$G$3:$G$500&lt;&gt;"Did not pass re-test"))*IFERROR('Rework Log'!$I$3:$I$500*1,0)))=0," - unclaimed"," - promised "&amp;TEXT(SUMPRODUCT(MAX(((TRIM('Rework Log'!$A$3:$A$500)=TRIM($B96))*('Rework Log'!$G$3:$G$500&lt;&gt;"Yes")*('Rework Log'!$G$3:$G$500&lt;&gt;"Did not pass re-test"))*IFERROR('Rework Log'!$I$3:$I$500*1,0))),"m/d")))),IF(TRIM(C96)="NOT STARTED",IF(K96="","No plan date set",IF(K96&lt;TODAY(),"Review - planned start passed","On track")),IF(TRIM(C96)="DB Dev",IF(M96="","No target set",IF(AND(M96&lt;TODAY(),O96=""),"Overdue","On track")),IF(TRIM(C96)="PBI Dev",IF(P96="","No target set",IF(AND(P96&lt;TODAY(),R96=""),"Overdue","On track")),IF(TRIM(C96)="QA",IF(S96="","No target set",IF(AND(S96&lt;TODAY(),U96=""),"Overdue","On track")),IF(TRIM(C96)="DPO Approval",IF(V96="","No target set",IF(V96&lt;TODAY(),"Overdue","On track")),IF(TRIM(C96)="RELEASED IN PROD","Delivered",""))))))))</f>
        <v/>
      </c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4" t="str">
        <f>IF($B96="","",IF(AND(LEFT($AC96,3)="Yes",SUMPRODUCT((TRIM('Rework Log'!$A$3:$A$500)=TRIM($B96))*('Rework Log'!$G$3:$G$500&lt;&gt;"Yes")*('Rework Log'!$G$3:$G$500&lt;&gt;"Did not pass re-test"))=0),"Blocked - log it on Rework Log",IF(AND(LEFT($AC96,3)&lt;&gt;"Yes",SUMPRODUCT((TRIM('Rework Log'!$A$3:$A$500)=TRIM($B96))*('Rework Log'!$G$3:$G$500&lt;&gt;"Yes")*('Rework Log'!$G$3:$G$500&lt;&gt;"Did not pass re-test"))&gt;0),"Open rework row - mark Blocked? or close it",IF(AND(LEFT($AC96,3)&lt;&gt;"Yes",SUMPRODUCT((TRIM('Rework Log'!$A$3:$A$500)=TRIM($B96))*('Rework Log'!$G$3:$G$500&lt;&gt;"Yes")*('Rework Log'!$G$3:$G$500&lt;&gt;"Did not pass re-test"))=0,COUNTIF('Rework Log'!$A$3:$A$500,$B96)&gt;0,IFERROR(INDEX('Rework Log'!$G:$G,SUMPRODUCT(MAX((TRIM('Rework Log'!$A$3:$A$500)=TRIM($B96))*ROW('Rework Log'!$A$3:$A$500)))),"")="Did not pass re-test"),"Last fix rejected - re-block or log next attempt",IF(AND(LEFT($AC96,3)="Yes",ISNUMBER(SEARCH("needs DB Dev",$AC96)),O96&lt;&gt;"",SUMPRODUCT(MAX(((TRIM('Rework Log'!$A$3:$A$500)=TRIM($B96))*('Rework Log'!$G$3:$G$500&lt;&gt;"Yes")*('Rework Log'!$G$3:$G$500&lt;&gt;"Did not pass re-test"))*IFERROR('Rework Log'!$I$3:$I$500*1,0)))&gt;0),"Move old DB Dev completion date to Rework Log (col H)",IF(AND(LEFT($AC96,3)="Yes",ISNUMBER(SEARCH("needs PBI Dev",$AC96)),R96&lt;&gt;"",SUMPRODUCT(MAX(((TRIM('Rework Log'!$A$3:$A$500)=TRIM($B96))*('Rework Log'!$G$3:$G$500&lt;&gt;"Yes")*('Rework Log'!$G$3:$G$500&lt;&gt;"Did not pass re-test"))*IFERROR('Rework Log'!$I$3:$I$500*1,0)))&gt;0),"Move old PBI Dev completion date to Rework Log (col H)",IF(AND(LEFT($AC96,3)="Yes",ISNUMBER(SEARCH("needs QA",$AC96)),U96&lt;&gt;"",SUMPRODUCT(MAX(((TRIM('Rework Log'!$A$3:$A$500)=TRIM($B96))*('Rework Log'!$G$3:$G$500&lt;&gt;"Yes")*('Rework Log'!$G$3:$G$500&lt;&gt;"Did not pass re-test"))*IFERROR('Rework Log'!$I$3:$I$500*1,0)))&gt;0),"Move old QA completion date to Rework Log (col H)",IF(AND(LEFT($AC96,3)="Yes",ISNUMBER(SEARCH("needs DB Dev",$AC96)),TRIM(C96)&lt;&gt;"DB Dev"),"Set Current Status back to DB Dev",IF(AND(LEFT($AC96,3)="Yes",ISNUMBER(SEARCH("needs PBI Dev",$AC96)),TRIM(C96)&lt;&gt;"PBI Dev"),"Set Current Status back to PBI Dev",IF(AND(LEFT($AC96,3)="Yes",ISNUMBER(SEARCH("needs QA",$AC96)),TRIM(C96)&lt;&gt;"QA"),"Set Current Status back to QA",IF(COUNTIF($B$2:$B$500,$B96)&gt;1,"Duplicate name - check row",IF(AND(TRIM(C96)="RELEASED IN PROD",Y96&lt;&gt;"Yes"),"Released but Confirmed Deployed? is not Yes",IF(COUNTIF('Rework Log'!$A$3:$A$500,$B96)&gt;0,"",IF(AND(S96&lt;&gt;"",M96&lt;&gt;"",S96&lt;M96),"QA target is before DB Dev target",IF(AND(S96&lt;&gt;"",P96&lt;&gt;"",S96&lt;P96),"QA target is before PBI Dev target",IF(AND(V96&lt;&gt;"",S96&lt;&gt;"",V96&lt;S96),"DPO Approval target is before QA target",IF(AND(Z96&lt;&gt;"",V96&lt;&gt;"",Z96&lt;V96),"Confirmed Deployed date is before DPO Approval target","")))))))))))))))))</f>
        <v/>
      </c>
      <c r="AE96" s="62"/>
    </row>
    <row r="97" spans="1:31" x14ac:dyDescent="0.25">
      <c r="A97" s="62"/>
      <c r="B97" s="62"/>
      <c r="C97" s="62"/>
      <c r="D97" s="64" t="str">
        <f ca="1">IF($B97="","",IF(LEFT($AC97,3)="Yes",IF(LEN($AC97)&gt;5,"Blocked - "&amp;MID($AC97,7,100),"Blocked")&amp;IF(SUMPRODUCT((TRIM('Rework Log'!$A$3:$A$500)=TRIM($B97))*('Rework Log'!$G$3:$G$500&lt;&gt;"Yes")*('Rework Log'!$G$3:$G$500&lt;&gt;"Did not pass re-test"))=0,"",IF(SUMPRODUCT(((TRIM('Rework Log'!$A$3:$A$500)=TRIM($B97))*('Rework Log'!$G$3:$G$500&lt;&gt;"Yes")*('Rework Log'!$G$3:$G$500&lt;&gt;"Did not pass re-test"))*ISNUMBER('Rework Log'!$J$3:$J$500))&gt;0," - fixed, awaiting re-test",IF(SUMPRODUCT(MAX(((TRIM('Rework Log'!$A$3:$A$500)=TRIM($B97))*('Rework Log'!$G$3:$G$500&lt;&gt;"Yes")*('Rework Log'!$G$3:$G$500&lt;&gt;"Did not pass re-test"))*IFERROR('Rework Log'!$I$3:$I$500*1,0)))=0," - unclaimed"," - promised "&amp;TEXT(SUMPRODUCT(MAX(((TRIM('Rework Log'!$A$3:$A$500)=TRIM($B97))*('Rework Log'!$G$3:$G$500&lt;&gt;"Yes")*('Rework Log'!$G$3:$G$500&lt;&gt;"Did not pass re-test"))*IFERROR('Rework Log'!$I$3:$I$500*1,0))),"m/d")))),IF(TRIM(C97)="NOT STARTED",IF(K97="","No plan date set",IF(K97&lt;TODAY(),"Review - planned start passed","On track")),IF(TRIM(C97)="DB Dev",IF(M97="","No target set",IF(AND(M97&lt;TODAY(),O97=""),"Overdue","On track")),IF(TRIM(C97)="PBI Dev",IF(P97="","No target set",IF(AND(P97&lt;TODAY(),R97=""),"Overdue","On track")),IF(TRIM(C97)="QA",IF(S97="","No target set",IF(AND(S97&lt;TODAY(),U97=""),"Overdue","On track")),IF(TRIM(C97)="DPO Approval",IF(V97="","No target set",IF(V97&lt;TODAY(),"Overdue","On track")),IF(TRIM(C97)="RELEASED IN PROD","Delivered",""))))))))</f>
        <v/>
      </c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4" t="str">
        <f>IF($B97="","",IF(AND(LEFT($AC97,3)="Yes",SUMPRODUCT((TRIM('Rework Log'!$A$3:$A$500)=TRIM($B97))*('Rework Log'!$G$3:$G$500&lt;&gt;"Yes")*('Rework Log'!$G$3:$G$500&lt;&gt;"Did not pass re-test"))=0),"Blocked - log it on Rework Log",IF(AND(LEFT($AC97,3)&lt;&gt;"Yes",SUMPRODUCT((TRIM('Rework Log'!$A$3:$A$500)=TRIM($B97))*('Rework Log'!$G$3:$G$500&lt;&gt;"Yes")*('Rework Log'!$G$3:$G$500&lt;&gt;"Did not pass re-test"))&gt;0),"Open rework row - mark Blocked? or close it",IF(AND(LEFT($AC97,3)&lt;&gt;"Yes",SUMPRODUCT((TRIM('Rework Log'!$A$3:$A$500)=TRIM($B97))*('Rework Log'!$G$3:$G$500&lt;&gt;"Yes")*('Rework Log'!$G$3:$G$500&lt;&gt;"Did not pass re-test"))=0,COUNTIF('Rework Log'!$A$3:$A$500,$B97)&gt;0,IFERROR(INDEX('Rework Log'!$G:$G,SUMPRODUCT(MAX((TRIM('Rework Log'!$A$3:$A$500)=TRIM($B97))*ROW('Rework Log'!$A$3:$A$500)))),"")="Did not pass re-test"),"Last fix rejected - re-block or log next attempt",IF(AND(LEFT($AC97,3)="Yes",ISNUMBER(SEARCH("needs DB Dev",$AC97)),O97&lt;&gt;"",SUMPRODUCT(MAX(((TRIM('Rework Log'!$A$3:$A$500)=TRIM($B97))*('Rework Log'!$G$3:$G$500&lt;&gt;"Yes")*('Rework Log'!$G$3:$G$500&lt;&gt;"Did not pass re-test"))*IFERROR('Rework Log'!$I$3:$I$500*1,0)))&gt;0),"Move old DB Dev completion date to Rework Log (col H)",IF(AND(LEFT($AC97,3)="Yes",ISNUMBER(SEARCH("needs PBI Dev",$AC97)),R97&lt;&gt;"",SUMPRODUCT(MAX(((TRIM('Rework Log'!$A$3:$A$500)=TRIM($B97))*('Rework Log'!$G$3:$G$500&lt;&gt;"Yes")*('Rework Log'!$G$3:$G$500&lt;&gt;"Did not pass re-test"))*IFERROR('Rework Log'!$I$3:$I$500*1,0)))&gt;0),"Move old PBI Dev completion date to Rework Log (col H)",IF(AND(LEFT($AC97,3)="Yes",ISNUMBER(SEARCH("needs QA",$AC97)),U97&lt;&gt;"",SUMPRODUCT(MAX(((TRIM('Rework Log'!$A$3:$A$500)=TRIM($B97))*('Rework Log'!$G$3:$G$500&lt;&gt;"Yes")*('Rework Log'!$G$3:$G$500&lt;&gt;"Did not pass re-test"))*IFERROR('Rework Log'!$I$3:$I$500*1,0)))&gt;0),"Move old QA completion date to Rework Log (col H)",IF(AND(LEFT($AC97,3)="Yes",ISNUMBER(SEARCH("needs DB Dev",$AC97)),TRIM(C97)&lt;&gt;"DB Dev"),"Set Current Status back to DB Dev",IF(AND(LEFT($AC97,3)="Yes",ISNUMBER(SEARCH("needs PBI Dev",$AC97)),TRIM(C97)&lt;&gt;"PBI Dev"),"Set Current Status back to PBI Dev",IF(AND(LEFT($AC97,3)="Yes",ISNUMBER(SEARCH("needs QA",$AC97)),TRIM(C97)&lt;&gt;"QA"),"Set Current Status back to QA",IF(COUNTIF($B$2:$B$500,$B97)&gt;1,"Duplicate name - check row",IF(AND(TRIM(C97)="RELEASED IN PROD",Y97&lt;&gt;"Yes"),"Released but Confirmed Deployed? is not Yes",IF(COUNTIF('Rework Log'!$A$3:$A$500,$B97)&gt;0,"",IF(AND(S97&lt;&gt;"",M97&lt;&gt;"",S97&lt;M97),"QA target is before DB Dev target",IF(AND(S97&lt;&gt;"",P97&lt;&gt;"",S97&lt;P97),"QA target is before PBI Dev target",IF(AND(V97&lt;&gt;"",S97&lt;&gt;"",V97&lt;S97),"DPO Approval target is before QA target",IF(AND(Z97&lt;&gt;"",V97&lt;&gt;"",Z97&lt;V97),"Confirmed Deployed date is before DPO Approval target","")))))))))))))))))</f>
        <v/>
      </c>
      <c r="AE97" s="62"/>
    </row>
    <row r="98" spans="1:31" x14ac:dyDescent="0.25">
      <c r="A98" s="62"/>
      <c r="B98" s="62"/>
      <c r="C98" s="62"/>
      <c r="D98" s="64" t="str">
        <f ca="1">IF($B98="","",IF(LEFT($AC98,3)="Yes",IF(LEN($AC98)&gt;5,"Blocked - "&amp;MID($AC98,7,100),"Blocked")&amp;IF(SUMPRODUCT((TRIM('Rework Log'!$A$3:$A$500)=TRIM($B98))*('Rework Log'!$G$3:$G$500&lt;&gt;"Yes")*('Rework Log'!$G$3:$G$500&lt;&gt;"Did not pass re-test"))=0,"",IF(SUMPRODUCT(((TRIM('Rework Log'!$A$3:$A$500)=TRIM($B98))*('Rework Log'!$G$3:$G$500&lt;&gt;"Yes")*('Rework Log'!$G$3:$G$500&lt;&gt;"Did not pass re-test"))*ISNUMBER('Rework Log'!$J$3:$J$500))&gt;0," - fixed, awaiting re-test",IF(SUMPRODUCT(MAX(((TRIM('Rework Log'!$A$3:$A$500)=TRIM($B98))*('Rework Log'!$G$3:$G$500&lt;&gt;"Yes")*('Rework Log'!$G$3:$G$500&lt;&gt;"Did not pass re-test"))*IFERROR('Rework Log'!$I$3:$I$500*1,0)))=0," - unclaimed"," - promised "&amp;TEXT(SUMPRODUCT(MAX(((TRIM('Rework Log'!$A$3:$A$500)=TRIM($B98))*('Rework Log'!$G$3:$G$500&lt;&gt;"Yes")*('Rework Log'!$G$3:$G$500&lt;&gt;"Did not pass re-test"))*IFERROR('Rework Log'!$I$3:$I$500*1,0))),"m/d")))),IF(TRIM(C98)="NOT STARTED",IF(K98="","No plan date set",IF(K98&lt;TODAY(),"Review - planned start passed","On track")),IF(TRIM(C98)="DB Dev",IF(M98="","No target set",IF(AND(M98&lt;TODAY(),O98=""),"Overdue","On track")),IF(TRIM(C98)="PBI Dev",IF(P98="","No target set",IF(AND(P98&lt;TODAY(),R98=""),"Overdue","On track")),IF(TRIM(C98)="QA",IF(S98="","No target set",IF(AND(S98&lt;TODAY(),U98=""),"Overdue","On track")),IF(TRIM(C98)="DPO Approval",IF(V98="","No target set",IF(V98&lt;TODAY(),"Overdue","On track")),IF(TRIM(C98)="RELEASED IN PROD","Delivered",""))))))))</f>
        <v/>
      </c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4" t="str">
        <f>IF($B98="","",IF(AND(LEFT($AC98,3)="Yes",SUMPRODUCT((TRIM('Rework Log'!$A$3:$A$500)=TRIM($B98))*('Rework Log'!$G$3:$G$500&lt;&gt;"Yes")*('Rework Log'!$G$3:$G$500&lt;&gt;"Did not pass re-test"))=0),"Blocked - log it on Rework Log",IF(AND(LEFT($AC98,3)&lt;&gt;"Yes",SUMPRODUCT((TRIM('Rework Log'!$A$3:$A$500)=TRIM($B98))*('Rework Log'!$G$3:$G$500&lt;&gt;"Yes")*('Rework Log'!$G$3:$G$500&lt;&gt;"Did not pass re-test"))&gt;0),"Open rework row - mark Blocked? or close it",IF(AND(LEFT($AC98,3)&lt;&gt;"Yes",SUMPRODUCT((TRIM('Rework Log'!$A$3:$A$500)=TRIM($B98))*('Rework Log'!$G$3:$G$500&lt;&gt;"Yes")*('Rework Log'!$G$3:$G$500&lt;&gt;"Did not pass re-test"))=0,COUNTIF('Rework Log'!$A$3:$A$500,$B98)&gt;0,IFERROR(INDEX('Rework Log'!$G:$G,SUMPRODUCT(MAX((TRIM('Rework Log'!$A$3:$A$500)=TRIM($B98))*ROW('Rework Log'!$A$3:$A$500)))),"")="Did not pass re-test"),"Last fix rejected - re-block or log next attempt",IF(AND(LEFT($AC98,3)="Yes",ISNUMBER(SEARCH("needs DB Dev",$AC98)),O98&lt;&gt;"",SUMPRODUCT(MAX(((TRIM('Rework Log'!$A$3:$A$500)=TRIM($B98))*('Rework Log'!$G$3:$G$500&lt;&gt;"Yes")*('Rework Log'!$G$3:$G$500&lt;&gt;"Did not pass re-test"))*IFERROR('Rework Log'!$I$3:$I$500*1,0)))&gt;0),"Move old DB Dev completion date to Rework Log (col H)",IF(AND(LEFT($AC98,3)="Yes",ISNUMBER(SEARCH("needs PBI Dev",$AC98)),R98&lt;&gt;"",SUMPRODUCT(MAX(((TRIM('Rework Log'!$A$3:$A$500)=TRIM($B98))*('Rework Log'!$G$3:$G$500&lt;&gt;"Yes")*('Rework Log'!$G$3:$G$500&lt;&gt;"Did not pass re-test"))*IFERROR('Rework Log'!$I$3:$I$500*1,0)))&gt;0),"Move old PBI Dev completion date to Rework Log (col H)",IF(AND(LEFT($AC98,3)="Yes",ISNUMBER(SEARCH("needs QA",$AC98)),U98&lt;&gt;"",SUMPRODUCT(MAX(((TRIM('Rework Log'!$A$3:$A$500)=TRIM($B98))*('Rework Log'!$G$3:$G$500&lt;&gt;"Yes")*('Rework Log'!$G$3:$G$500&lt;&gt;"Did not pass re-test"))*IFERROR('Rework Log'!$I$3:$I$500*1,0)))&gt;0),"Move old QA completion date to Rework Log (col H)",IF(AND(LEFT($AC98,3)="Yes",ISNUMBER(SEARCH("needs DB Dev",$AC98)),TRIM(C98)&lt;&gt;"DB Dev"),"Set Current Status back to DB Dev",IF(AND(LEFT($AC98,3)="Yes",ISNUMBER(SEARCH("needs PBI Dev",$AC98)),TRIM(C98)&lt;&gt;"PBI Dev"),"Set Current Status back to PBI Dev",IF(AND(LEFT($AC98,3)="Yes",ISNUMBER(SEARCH("needs QA",$AC98)),TRIM(C98)&lt;&gt;"QA"),"Set Current Status back to QA",IF(COUNTIF($B$2:$B$500,$B98)&gt;1,"Duplicate name - check row",IF(AND(TRIM(C98)="RELEASED IN PROD",Y98&lt;&gt;"Yes"),"Released but Confirmed Deployed? is not Yes",IF(COUNTIF('Rework Log'!$A$3:$A$500,$B98)&gt;0,"",IF(AND(S98&lt;&gt;"",M98&lt;&gt;"",S98&lt;M98),"QA target is before DB Dev target",IF(AND(S98&lt;&gt;"",P98&lt;&gt;"",S98&lt;P98),"QA target is before PBI Dev target",IF(AND(V98&lt;&gt;"",S98&lt;&gt;"",V98&lt;S98),"DPO Approval target is before QA target",IF(AND(Z98&lt;&gt;"",V98&lt;&gt;"",Z98&lt;V98),"Confirmed Deployed date is before DPO Approval target","")))))))))))))))))</f>
        <v/>
      </c>
      <c r="AE98" s="62"/>
    </row>
    <row r="99" spans="1:31" x14ac:dyDescent="0.25">
      <c r="A99" s="62"/>
      <c r="B99" s="62"/>
      <c r="C99" s="62"/>
      <c r="D99" s="64" t="str">
        <f ca="1">IF($B99="","",IF(LEFT($AC99,3)="Yes",IF(LEN($AC99)&gt;5,"Blocked - "&amp;MID($AC99,7,100),"Blocked")&amp;IF(SUMPRODUCT((TRIM('Rework Log'!$A$3:$A$500)=TRIM($B99))*('Rework Log'!$G$3:$G$500&lt;&gt;"Yes")*('Rework Log'!$G$3:$G$500&lt;&gt;"Did not pass re-test"))=0,"",IF(SUMPRODUCT(((TRIM('Rework Log'!$A$3:$A$500)=TRIM($B99))*('Rework Log'!$G$3:$G$500&lt;&gt;"Yes")*('Rework Log'!$G$3:$G$500&lt;&gt;"Did not pass re-test"))*ISNUMBER('Rework Log'!$J$3:$J$500))&gt;0," - fixed, awaiting re-test",IF(SUMPRODUCT(MAX(((TRIM('Rework Log'!$A$3:$A$500)=TRIM($B99))*('Rework Log'!$G$3:$G$500&lt;&gt;"Yes")*('Rework Log'!$G$3:$G$500&lt;&gt;"Did not pass re-test"))*IFERROR('Rework Log'!$I$3:$I$500*1,0)))=0," - unclaimed"," - promised "&amp;TEXT(SUMPRODUCT(MAX(((TRIM('Rework Log'!$A$3:$A$500)=TRIM($B99))*('Rework Log'!$G$3:$G$500&lt;&gt;"Yes")*('Rework Log'!$G$3:$G$500&lt;&gt;"Did not pass re-test"))*IFERROR('Rework Log'!$I$3:$I$500*1,0))),"m/d")))),IF(TRIM(C99)="NOT STARTED",IF(K99="","No plan date set",IF(K99&lt;TODAY(),"Review - planned start passed","On track")),IF(TRIM(C99)="DB Dev",IF(M99="","No target set",IF(AND(M99&lt;TODAY(),O99=""),"Overdue","On track")),IF(TRIM(C99)="PBI Dev",IF(P99="","No target set",IF(AND(P99&lt;TODAY(),R99=""),"Overdue","On track")),IF(TRIM(C99)="QA",IF(S99="","No target set",IF(AND(S99&lt;TODAY(),U99=""),"Overdue","On track")),IF(TRIM(C99)="DPO Approval",IF(V99="","No target set",IF(V99&lt;TODAY(),"Overdue","On track")),IF(TRIM(C99)="RELEASED IN PROD","Delivered",""))))))))</f>
        <v/>
      </c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4" t="str">
        <f>IF($B99="","",IF(AND(LEFT($AC99,3)="Yes",SUMPRODUCT((TRIM('Rework Log'!$A$3:$A$500)=TRIM($B99))*('Rework Log'!$G$3:$G$500&lt;&gt;"Yes")*('Rework Log'!$G$3:$G$500&lt;&gt;"Did not pass re-test"))=0),"Blocked - log it on Rework Log",IF(AND(LEFT($AC99,3)&lt;&gt;"Yes",SUMPRODUCT((TRIM('Rework Log'!$A$3:$A$500)=TRIM($B99))*('Rework Log'!$G$3:$G$500&lt;&gt;"Yes")*('Rework Log'!$G$3:$G$500&lt;&gt;"Did not pass re-test"))&gt;0),"Open rework row - mark Blocked? or close it",IF(AND(LEFT($AC99,3)&lt;&gt;"Yes",SUMPRODUCT((TRIM('Rework Log'!$A$3:$A$500)=TRIM($B99))*('Rework Log'!$G$3:$G$500&lt;&gt;"Yes")*('Rework Log'!$G$3:$G$500&lt;&gt;"Did not pass re-test"))=0,COUNTIF('Rework Log'!$A$3:$A$500,$B99)&gt;0,IFERROR(INDEX('Rework Log'!$G:$G,SUMPRODUCT(MAX((TRIM('Rework Log'!$A$3:$A$500)=TRIM($B99))*ROW('Rework Log'!$A$3:$A$500)))),"")="Did not pass re-test"),"Last fix rejected - re-block or log next attempt",IF(AND(LEFT($AC99,3)="Yes",ISNUMBER(SEARCH("needs DB Dev",$AC99)),O99&lt;&gt;"",SUMPRODUCT(MAX(((TRIM('Rework Log'!$A$3:$A$500)=TRIM($B99))*('Rework Log'!$G$3:$G$500&lt;&gt;"Yes")*('Rework Log'!$G$3:$G$500&lt;&gt;"Did not pass re-test"))*IFERROR('Rework Log'!$I$3:$I$500*1,0)))&gt;0),"Move old DB Dev completion date to Rework Log (col H)",IF(AND(LEFT($AC99,3)="Yes",ISNUMBER(SEARCH("needs PBI Dev",$AC99)),R99&lt;&gt;"",SUMPRODUCT(MAX(((TRIM('Rework Log'!$A$3:$A$500)=TRIM($B99))*('Rework Log'!$G$3:$G$500&lt;&gt;"Yes")*('Rework Log'!$G$3:$G$500&lt;&gt;"Did not pass re-test"))*IFERROR('Rework Log'!$I$3:$I$500*1,0)))&gt;0),"Move old PBI Dev completion date to Rework Log (col H)",IF(AND(LEFT($AC99,3)="Yes",ISNUMBER(SEARCH("needs QA",$AC99)),U99&lt;&gt;"",SUMPRODUCT(MAX(((TRIM('Rework Log'!$A$3:$A$500)=TRIM($B99))*('Rework Log'!$G$3:$G$500&lt;&gt;"Yes")*('Rework Log'!$G$3:$G$500&lt;&gt;"Did not pass re-test"))*IFERROR('Rework Log'!$I$3:$I$500*1,0)))&gt;0),"Move old QA completion date to Rework Log (col H)",IF(AND(LEFT($AC99,3)="Yes",ISNUMBER(SEARCH("needs DB Dev",$AC99)),TRIM(C99)&lt;&gt;"DB Dev"),"Set Current Status back to DB Dev",IF(AND(LEFT($AC99,3)="Yes",ISNUMBER(SEARCH("needs PBI Dev",$AC99)),TRIM(C99)&lt;&gt;"PBI Dev"),"Set Current Status back to PBI Dev",IF(AND(LEFT($AC99,3)="Yes",ISNUMBER(SEARCH("needs QA",$AC99)),TRIM(C99)&lt;&gt;"QA"),"Set Current Status back to QA",IF(COUNTIF($B$2:$B$500,$B99)&gt;1,"Duplicate name - check row",IF(AND(TRIM(C99)="RELEASED IN PROD",Y99&lt;&gt;"Yes"),"Released but Confirmed Deployed? is not Yes",IF(COUNTIF('Rework Log'!$A$3:$A$500,$B99)&gt;0,"",IF(AND(S99&lt;&gt;"",M99&lt;&gt;"",S99&lt;M99),"QA target is before DB Dev target",IF(AND(S99&lt;&gt;"",P99&lt;&gt;"",S99&lt;P99),"QA target is before PBI Dev target",IF(AND(V99&lt;&gt;"",S99&lt;&gt;"",V99&lt;S99),"DPO Approval target is before QA target",IF(AND(Z99&lt;&gt;"",V99&lt;&gt;"",Z99&lt;V99),"Confirmed Deployed date is before DPO Approval target","")))))))))))))))))</f>
        <v/>
      </c>
      <c r="AE99" s="62"/>
    </row>
    <row r="100" spans="1:31" x14ac:dyDescent="0.25">
      <c r="A100" s="62"/>
      <c r="B100" s="62"/>
      <c r="C100" s="62"/>
      <c r="D100" s="64" t="str">
        <f ca="1">IF($B100="","",IF(LEFT($AC100,3)="Yes",IF(LEN($AC100)&gt;5,"Blocked - "&amp;MID($AC100,7,100),"Blocked")&amp;IF(SUMPRODUCT((TRIM('Rework Log'!$A$3:$A$500)=TRIM($B100))*('Rework Log'!$G$3:$G$500&lt;&gt;"Yes")*('Rework Log'!$G$3:$G$500&lt;&gt;"Did not pass re-test"))=0,"",IF(SUMPRODUCT(((TRIM('Rework Log'!$A$3:$A$500)=TRIM($B100))*('Rework Log'!$G$3:$G$500&lt;&gt;"Yes")*('Rework Log'!$G$3:$G$500&lt;&gt;"Did not pass re-test"))*ISNUMBER('Rework Log'!$J$3:$J$500))&gt;0," - fixed, awaiting re-test",IF(SUMPRODUCT(MAX(((TRIM('Rework Log'!$A$3:$A$500)=TRIM($B100))*('Rework Log'!$G$3:$G$500&lt;&gt;"Yes")*('Rework Log'!$G$3:$G$500&lt;&gt;"Did not pass re-test"))*IFERROR('Rework Log'!$I$3:$I$500*1,0)))=0," - unclaimed"," - promised "&amp;TEXT(SUMPRODUCT(MAX(((TRIM('Rework Log'!$A$3:$A$500)=TRIM($B100))*('Rework Log'!$G$3:$G$500&lt;&gt;"Yes")*('Rework Log'!$G$3:$G$500&lt;&gt;"Did not pass re-test"))*IFERROR('Rework Log'!$I$3:$I$500*1,0))),"m/d")))),IF(TRIM(C100)="NOT STARTED",IF(K100="","No plan date set",IF(K100&lt;TODAY(),"Review - planned start passed","On track")),IF(TRIM(C100)="DB Dev",IF(M100="","No target set",IF(AND(M100&lt;TODAY(),O100=""),"Overdue","On track")),IF(TRIM(C100)="PBI Dev",IF(P100="","No target set",IF(AND(P100&lt;TODAY(),R100=""),"Overdue","On track")),IF(TRIM(C100)="QA",IF(S100="","No target set",IF(AND(S100&lt;TODAY(),U100=""),"Overdue","On track")),IF(TRIM(C100)="DPO Approval",IF(V100="","No target set",IF(V100&lt;TODAY(),"Overdue","On track")),IF(TRIM(C100)="RELEASED IN PROD","Delivered",""))))))))</f>
        <v/>
      </c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4" t="str">
        <f>IF($B100="","",IF(AND(LEFT($AC100,3)="Yes",SUMPRODUCT((TRIM('Rework Log'!$A$3:$A$500)=TRIM($B100))*('Rework Log'!$G$3:$G$500&lt;&gt;"Yes")*('Rework Log'!$G$3:$G$500&lt;&gt;"Did not pass re-test"))=0),"Blocked - log it on Rework Log",IF(AND(LEFT($AC100,3)&lt;&gt;"Yes",SUMPRODUCT((TRIM('Rework Log'!$A$3:$A$500)=TRIM($B100))*('Rework Log'!$G$3:$G$500&lt;&gt;"Yes")*('Rework Log'!$G$3:$G$500&lt;&gt;"Did not pass re-test"))&gt;0),"Open rework row - mark Blocked? or close it",IF(AND(LEFT($AC100,3)&lt;&gt;"Yes",SUMPRODUCT((TRIM('Rework Log'!$A$3:$A$500)=TRIM($B100))*('Rework Log'!$G$3:$G$500&lt;&gt;"Yes")*('Rework Log'!$G$3:$G$500&lt;&gt;"Did not pass re-test"))=0,COUNTIF('Rework Log'!$A$3:$A$500,$B100)&gt;0,IFERROR(INDEX('Rework Log'!$G:$G,SUMPRODUCT(MAX((TRIM('Rework Log'!$A$3:$A$500)=TRIM($B100))*ROW('Rework Log'!$A$3:$A$500)))),"")="Did not pass re-test"),"Last fix rejected - re-block or log next attempt",IF(AND(LEFT($AC100,3)="Yes",ISNUMBER(SEARCH("needs DB Dev",$AC100)),O100&lt;&gt;"",SUMPRODUCT(MAX(((TRIM('Rework Log'!$A$3:$A$500)=TRIM($B100))*('Rework Log'!$G$3:$G$500&lt;&gt;"Yes")*('Rework Log'!$G$3:$G$500&lt;&gt;"Did not pass re-test"))*IFERROR('Rework Log'!$I$3:$I$500*1,0)))&gt;0),"Move old DB Dev completion date to Rework Log (col H)",IF(AND(LEFT($AC100,3)="Yes",ISNUMBER(SEARCH("needs PBI Dev",$AC100)),R100&lt;&gt;"",SUMPRODUCT(MAX(((TRIM('Rework Log'!$A$3:$A$500)=TRIM($B100))*('Rework Log'!$G$3:$G$500&lt;&gt;"Yes")*('Rework Log'!$G$3:$G$500&lt;&gt;"Did not pass re-test"))*IFERROR('Rework Log'!$I$3:$I$500*1,0)))&gt;0),"Move old PBI Dev completion date to Rework Log (col H)",IF(AND(LEFT($AC100,3)="Yes",ISNUMBER(SEARCH("needs QA",$AC100)),U100&lt;&gt;"",SUMPRODUCT(MAX(((TRIM('Rework Log'!$A$3:$A$500)=TRIM($B100))*('Rework Log'!$G$3:$G$500&lt;&gt;"Yes")*('Rework Log'!$G$3:$G$500&lt;&gt;"Did not pass re-test"))*IFERROR('Rework Log'!$I$3:$I$500*1,0)))&gt;0),"Move old QA completion date to Rework Log (col H)",IF(AND(LEFT($AC100,3)="Yes",ISNUMBER(SEARCH("needs DB Dev",$AC100)),TRIM(C100)&lt;&gt;"DB Dev"),"Set Current Status back to DB Dev",IF(AND(LEFT($AC100,3)="Yes",ISNUMBER(SEARCH("needs PBI Dev",$AC100)),TRIM(C100)&lt;&gt;"PBI Dev"),"Set Current Status back to PBI Dev",IF(AND(LEFT($AC100,3)="Yes",ISNUMBER(SEARCH("needs QA",$AC100)),TRIM(C100)&lt;&gt;"QA"),"Set Current Status back to QA",IF(COUNTIF($B$2:$B$500,$B100)&gt;1,"Duplicate name - check row",IF(AND(TRIM(C100)="RELEASED IN PROD",Y100&lt;&gt;"Yes"),"Released but Confirmed Deployed? is not Yes",IF(COUNTIF('Rework Log'!$A$3:$A$500,$B100)&gt;0,"",IF(AND(S100&lt;&gt;"",M100&lt;&gt;"",S100&lt;M100),"QA target is before DB Dev target",IF(AND(S100&lt;&gt;"",P100&lt;&gt;"",S100&lt;P100),"QA target is before PBI Dev target",IF(AND(V100&lt;&gt;"",S100&lt;&gt;"",V100&lt;S100),"DPO Approval target is before QA target",IF(AND(Z100&lt;&gt;"",V100&lt;&gt;"",Z100&lt;V100),"Confirmed Deployed date is before DPO Approval target","")))))))))))))))))</f>
        <v/>
      </c>
      <c r="AE100" s="62"/>
    </row>
    <row r="101" spans="1:31" x14ac:dyDescent="0.25">
      <c r="A101" s="62"/>
      <c r="B101" s="62"/>
      <c r="C101" s="62"/>
      <c r="D101" s="64" t="str">
        <f ca="1">IF($B101="","",IF(LEFT($AC101,3)="Yes",IF(LEN($AC101)&gt;5,"Blocked - "&amp;MID($AC101,7,100),"Blocked")&amp;IF(SUMPRODUCT((TRIM('Rework Log'!$A$3:$A$500)=TRIM($B101))*('Rework Log'!$G$3:$G$500&lt;&gt;"Yes")*('Rework Log'!$G$3:$G$500&lt;&gt;"Did not pass re-test"))=0,"",IF(SUMPRODUCT(((TRIM('Rework Log'!$A$3:$A$500)=TRIM($B101))*('Rework Log'!$G$3:$G$500&lt;&gt;"Yes")*('Rework Log'!$G$3:$G$500&lt;&gt;"Did not pass re-test"))*ISNUMBER('Rework Log'!$J$3:$J$500))&gt;0," - fixed, awaiting re-test",IF(SUMPRODUCT(MAX(((TRIM('Rework Log'!$A$3:$A$500)=TRIM($B101))*('Rework Log'!$G$3:$G$500&lt;&gt;"Yes")*('Rework Log'!$G$3:$G$500&lt;&gt;"Did not pass re-test"))*IFERROR('Rework Log'!$I$3:$I$500*1,0)))=0," - unclaimed"," - promised "&amp;TEXT(SUMPRODUCT(MAX(((TRIM('Rework Log'!$A$3:$A$500)=TRIM($B101))*('Rework Log'!$G$3:$G$500&lt;&gt;"Yes")*('Rework Log'!$G$3:$G$500&lt;&gt;"Did not pass re-test"))*IFERROR('Rework Log'!$I$3:$I$500*1,0))),"m/d")))),IF(TRIM(C101)="NOT STARTED",IF(K101="","No plan date set",IF(K101&lt;TODAY(),"Review - planned start passed","On track")),IF(TRIM(C101)="DB Dev",IF(M101="","No target set",IF(AND(M101&lt;TODAY(),O101=""),"Overdue","On track")),IF(TRIM(C101)="PBI Dev",IF(P101="","No target set",IF(AND(P101&lt;TODAY(),R101=""),"Overdue","On track")),IF(TRIM(C101)="QA",IF(S101="","No target set",IF(AND(S101&lt;TODAY(),U101=""),"Overdue","On track")),IF(TRIM(C101)="DPO Approval",IF(V101="","No target set",IF(V101&lt;TODAY(),"Overdue","On track")),IF(TRIM(C101)="RELEASED IN PROD","Delivered",""))))))))</f>
        <v/>
      </c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4" t="str">
        <f>IF($B101="","",IF(AND(LEFT($AC101,3)="Yes",SUMPRODUCT((TRIM('Rework Log'!$A$3:$A$500)=TRIM($B101))*('Rework Log'!$G$3:$G$500&lt;&gt;"Yes")*('Rework Log'!$G$3:$G$500&lt;&gt;"Did not pass re-test"))=0),"Blocked - log it on Rework Log",IF(AND(LEFT($AC101,3)&lt;&gt;"Yes",SUMPRODUCT((TRIM('Rework Log'!$A$3:$A$500)=TRIM($B101))*('Rework Log'!$G$3:$G$500&lt;&gt;"Yes")*('Rework Log'!$G$3:$G$500&lt;&gt;"Did not pass re-test"))&gt;0),"Open rework row - mark Blocked? or close it",IF(AND(LEFT($AC101,3)&lt;&gt;"Yes",SUMPRODUCT((TRIM('Rework Log'!$A$3:$A$500)=TRIM($B101))*('Rework Log'!$G$3:$G$500&lt;&gt;"Yes")*('Rework Log'!$G$3:$G$500&lt;&gt;"Did not pass re-test"))=0,COUNTIF('Rework Log'!$A$3:$A$500,$B101)&gt;0,IFERROR(INDEX('Rework Log'!$G:$G,SUMPRODUCT(MAX((TRIM('Rework Log'!$A$3:$A$500)=TRIM($B101))*ROW('Rework Log'!$A$3:$A$500)))),"")="Did not pass re-test"),"Last fix rejected - re-block or log next attempt",IF(AND(LEFT($AC101,3)="Yes",ISNUMBER(SEARCH("needs DB Dev",$AC101)),O101&lt;&gt;"",SUMPRODUCT(MAX(((TRIM('Rework Log'!$A$3:$A$500)=TRIM($B101))*('Rework Log'!$G$3:$G$500&lt;&gt;"Yes")*('Rework Log'!$G$3:$G$500&lt;&gt;"Did not pass re-test"))*IFERROR('Rework Log'!$I$3:$I$500*1,0)))&gt;0),"Move old DB Dev completion date to Rework Log (col H)",IF(AND(LEFT($AC101,3)="Yes",ISNUMBER(SEARCH("needs PBI Dev",$AC101)),R101&lt;&gt;"",SUMPRODUCT(MAX(((TRIM('Rework Log'!$A$3:$A$500)=TRIM($B101))*('Rework Log'!$G$3:$G$500&lt;&gt;"Yes")*('Rework Log'!$G$3:$G$500&lt;&gt;"Did not pass re-test"))*IFERROR('Rework Log'!$I$3:$I$500*1,0)))&gt;0),"Move old PBI Dev completion date to Rework Log (col H)",IF(AND(LEFT($AC101,3)="Yes",ISNUMBER(SEARCH("needs QA",$AC101)),U101&lt;&gt;"",SUMPRODUCT(MAX(((TRIM('Rework Log'!$A$3:$A$500)=TRIM($B101))*('Rework Log'!$G$3:$G$500&lt;&gt;"Yes")*('Rework Log'!$G$3:$G$500&lt;&gt;"Did not pass re-test"))*IFERROR('Rework Log'!$I$3:$I$500*1,0)))&gt;0),"Move old QA completion date to Rework Log (col H)",IF(AND(LEFT($AC101,3)="Yes",ISNUMBER(SEARCH("needs DB Dev",$AC101)),TRIM(C101)&lt;&gt;"DB Dev"),"Set Current Status back to DB Dev",IF(AND(LEFT($AC101,3)="Yes",ISNUMBER(SEARCH("needs PBI Dev",$AC101)),TRIM(C101)&lt;&gt;"PBI Dev"),"Set Current Status back to PBI Dev",IF(AND(LEFT($AC101,3)="Yes",ISNUMBER(SEARCH("needs QA",$AC101)),TRIM(C101)&lt;&gt;"QA"),"Set Current Status back to QA",IF(COUNTIF($B$2:$B$500,$B101)&gt;1,"Duplicate name - check row",IF(AND(TRIM(C101)="RELEASED IN PROD",Y101&lt;&gt;"Yes"),"Released but Confirmed Deployed? is not Yes",IF(COUNTIF('Rework Log'!$A$3:$A$500,$B101)&gt;0,"",IF(AND(S101&lt;&gt;"",M101&lt;&gt;"",S101&lt;M101),"QA target is before DB Dev target",IF(AND(S101&lt;&gt;"",P101&lt;&gt;"",S101&lt;P101),"QA target is before PBI Dev target",IF(AND(V101&lt;&gt;"",S101&lt;&gt;"",V101&lt;S101),"DPO Approval target is before QA target",IF(AND(Z101&lt;&gt;"",V101&lt;&gt;"",Z101&lt;V101),"Confirmed Deployed date is before DPO Approval target","")))))))))))))))))</f>
        <v/>
      </c>
      <c r="AE101" s="62"/>
    </row>
    <row r="102" spans="1:31" x14ac:dyDescent="0.25">
      <c r="A102" s="62"/>
      <c r="B102" s="62"/>
      <c r="C102" s="62"/>
      <c r="D102" s="64" t="str">
        <f ca="1">IF($B102="","",IF(LEFT($AC102,3)="Yes",IF(LEN($AC102)&gt;5,"Blocked - "&amp;MID($AC102,7,100),"Blocked")&amp;IF(SUMPRODUCT((TRIM('Rework Log'!$A$3:$A$500)=TRIM($B102))*('Rework Log'!$G$3:$G$500&lt;&gt;"Yes")*('Rework Log'!$G$3:$G$500&lt;&gt;"Did not pass re-test"))=0,"",IF(SUMPRODUCT(((TRIM('Rework Log'!$A$3:$A$500)=TRIM($B102))*('Rework Log'!$G$3:$G$500&lt;&gt;"Yes")*('Rework Log'!$G$3:$G$500&lt;&gt;"Did not pass re-test"))*ISNUMBER('Rework Log'!$J$3:$J$500))&gt;0," - fixed, awaiting re-test",IF(SUMPRODUCT(MAX(((TRIM('Rework Log'!$A$3:$A$500)=TRIM($B102))*('Rework Log'!$G$3:$G$500&lt;&gt;"Yes")*('Rework Log'!$G$3:$G$500&lt;&gt;"Did not pass re-test"))*IFERROR('Rework Log'!$I$3:$I$500*1,0)))=0," - unclaimed"," - promised "&amp;TEXT(SUMPRODUCT(MAX(((TRIM('Rework Log'!$A$3:$A$500)=TRIM($B102))*('Rework Log'!$G$3:$G$500&lt;&gt;"Yes")*('Rework Log'!$G$3:$G$500&lt;&gt;"Did not pass re-test"))*IFERROR('Rework Log'!$I$3:$I$500*1,0))),"m/d")))),IF(TRIM(C102)="NOT STARTED",IF(K102="","No plan date set",IF(K102&lt;TODAY(),"Review - planned start passed","On track")),IF(TRIM(C102)="DB Dev",IF(M102="","No target set",IF(AND(M102&lt;TODAY(),O102=""),"Overdue","On track")),IF(TRIM(C102)="PBI Dev",IF(P102="","No target set",IF(AND(P102&lt;TODAY(),R102=""),"Overdue","On track")),IF(TRIM(C102)="QA",IF(S102="","No target set",IF(AND(S102&lt;TODAY(),U102=""),"Overdue","On track")),IF(TRIM(C102)="DPO Approval",IF(V102="","No target set",IF(V102&lt;TODAY(),"Overdue","On track")),IF(TRIM(C102)="RELEASED IN PROD","Delivered",""))))))))</f>
        <v/>
      </c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4" t="str">
        <f>IF($B102="","",IF(AND(LEFT($AC102,3)="Yes",SUMPRODUCT((TRIM('Rework Log'!$A$3:$A$500)=TRIM($B102))*('Rework Log'!$G$3:$G$500&lt;&gt;"Yes")*('Rework Log'!$G$3:$G$500&lt;&gt;"Did not pass re-test"))=0),"Blocked - log it on Rework Log",IF(AND(LEFT($AC102,3)&lt;&gt;"Yes",SUMPRODUCT((TRIM('Rework Log'!$A$3:$A$500)=TRIM($B102))*('Rework Log'!$G$3:$G$500&lt;&gt;"Yes")*('Rework Log'!$G$3:$G$500&lt;&gt;"Did not pass re-test"))&gt;0),"Open rework row - mark Blocked? or close it",IF(AND(LEFT($AC102,3)&lt;&gt;"Yes",SUMPRODUCT((TRIM('Rework Log'!$A$3:$A$500)=TRIM($B102))*('Rework Log'!$G$3:$G$500&lt;&gt;"Yes")*('Rework Log'!$G$3:$G$500&lt;&gt;"Did not pass re-test"))=0,COUNTIF('Rework Log'!$A$3:$A$500,$B102)&gt;0,IFERROR(INDEX('Rework Log'!$G:$G,SUMPRODUCT(MAX((TRIM('Rework Log'!$A$3:$A$500)=TRIM($B102))*ROW('Rework Log'!$A$3:$A$500)))),"")="Did not pass re-test"),"Last fix rejected - re-block or log next attempt",IF(AND(LEFT($AC102,3)="Yes",ISNUMBER(SEARCH("needs DB Dev",$AC102)),O102&lt;&gt;"",SUMPRODUCT(MAX(((TRIM('Rework Log'!$A$3:$A$500)=TRIM($B102))*('Rework Log'!$G$3:$G$500&lt;&gt;"Yes")*('Rework Log'!$G$3:$G$500&lt;&gt;"Did not pass re-test"))*IFERROR('Rework Log'!$I$3:$I$500*1,0)))&gt;0),"Move old DB Dev completion date to Rework Log (col H)",IF(AND(LEFT($AC102,3)="Yes",ISNUMBER(SEARCH("needs PBI Dev",$AC102)),R102&lt;&gt;"",SUMPRODUCT(MAX(((TRIM('Rework Log'!$A$3:$A$500)=TRIM($B102))*('Rework Log'!$G$3:$G$500&lt;&gt;"Yes")*('Rework Log'!$G$3:$G$500&lt;&gt;"Did not pass re-test"))*IFERROR('Rework Log'!$I$3:$I$500*1,0)))&gt;0),"Move old PBI Dev completion date to Rework Log (col H)",IF(AND(LEFT($AC102,3)="Yes",ISNUMBER(SEARCH("needs QA",$AC102)),U102&lt;&gt;"",SUMPRODUCT(MAX(((TRIM('Rework Log'!$A$3:$A$500)=TRIM($B102))*('Rework Log'!$G$3:$G$500&lt;&gt;"Yes")*('Rework Log'!$G$3:$G$500&lt;&gt;"Did not pass re-test"))*IFERROR('Rework Log'!$I$3:$I$500*1,0)))&gt;0),"Move old QA completion date to Rework Log (col H)",IF(AND(LEFT($AC102,3)="Yes",ISNUMBER(SEARCH("needs DB Dev",$AC102)),TRIM(C102)&lt;&gt;"DB Dev"),"Set Current Status back to DB Dev",IF(AND(LEFT($AC102,3)="Yes",ISNUMBER(SEARCH("needs PBI Dev",$AC102)),TRIM(C102)&lt;&gt;"PBI Dev"),"Set Current Status back to PBI Dev",IF(AND(LEFT($AC102,3)="Yes",ISNUMBER(SEARCH("needs QA",$AC102)),TRIM(C102)&lt;&gt;"QA"),"Set Current Status back to QA",IF(COUNTIF($B$2:$B$500,$B102)&gt;1,"Duplicate name - check row",IF(AND(TRIM(C102)="RELEASED IN PROD",Y102&lt;&gt;"Yes"),"Released but Confirmed Deployed? is not Yes",IF(COUNTIF('Rework Log'!$A$3:$A$500,$B102)&gt;0,"",IF(AND(S102&lt;&gt;"",M102&lt;&gt;"",S102&lt;M102),"QA target is before DB Dev target",IF(AND(S102&lt;&gt;"",P102&lt;&gt;"",S102&lt;P102),"QA target is before PBI Dev target",IF(AND(V102&lt;&gt;"",S102&lt;&gt;"",V102&lt;S102),"DPO Approval target is before QA target",IF(AND(Z102&lt;&gt;"",V102&lt;&gt;"",Z102&lt;V102),"Confirmed Deployed date is before DPO Approval target","")))))))))))))))))</f>
        <v/>
      </c>
      <c r="AE102" s="62"/>
    </row>
    <row r="103" spans="1:31" x14ac:dyDescent="0.25">
      <c r="A103" s="62"/>
      <c r="B103" s="62"/>
      <c r="C103" s="62"/>
      <c r="D103" s="64" t="str">
        <f ca="1">IF($B103="","",IF(LEFT($AC103,3)="Yes",IF(LEN($AC103)&gt;5,"Blocked - "&amp;MID($AC103,7,100),"Blocked")&amp;IF(SUMPRODUCT((TRIM('Rework Log'!$A$3:$A$500)=TRIM($B103))*('Rework Log'!$G$3:$G$500&lt;&gt;"Yes")*('Rework Log'!$G$3:$G$500&lt;&gt;"Did not pass re-test"))=0,"",IF(SUMPRODUCT(((TRIM('Rework Log'!$A$3:$A$500)=TRIM($B103))*('Rework Log'!$G$3:$G$500&lt;&gt;"Yes")*('Rework Log'!$G$3:$G$500&lt;&gt;"Did not pass re-test"))*ISNUMBER('Rework Log'!$J$3:$J$500))&gt;0," - fixed, awaiting re-test",IF(SUMPRODUCT(MAX(((TRIM('Rework Log'!$A$3:$A$500)=TRIM($B103))*('Rework Log'!$G$3:$G$500&lt;&gt;"Yes")*('Rework Log'!$G$3:$G$500&lt;&gt;"Did not pass re-test"))*IFERROR('Rework Log'!$I$3:$I$500*1,0)))=0," - unclaimed"," - promised "&amp;TEXT(SUMPRODUCT(MAX(((TRIM('Rework Log'!$A$3:$A$500)=TRIM($B103))*('Rework Log'!$G$3:$G$500&lt;&gt;"Yes")*('Rework Log'!$G$3:$G$500&lt;&gt;"Did not pass re-test"))*IFERROR('Rework Log'!$I$3:$I$500*1,0))),"m/d")))),IF(TRIM(C103)="NOT STARTED",IF(K103="","No plan date set",IF(K103&lt;TODAY(),"Review - planned start passed","On track")),IF(TRIM(C103)="DB Dev",IF(M103="","No target set",IF(AND(M103&lt;TODAY(),O103=""),"Overdue","On track")),IF(TRIM(C103)="PBI Dev",IF(P103="","No target set",IF(AND(P103&lt;TODAY(),R103=""),"Overdue","On track")),IF(TRIM(C103)="QA",IF(S103="","No target set",IF(AND(S103&lt;TODAY(),U103=""),"Overdue","On track")),IF(TRIM(C103)="DPO Approval",IF(V103="","No target set",IF(V103&lt;TODAY(),"Overdue","On track")),IF(TRIM(C103)="RELEASED IN PROD","Delivered",""))))))))</f>
        <v/>
      </c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4" t="str">
        <f>IF($B103="","",IF(AND(LEFT($AC103,3)="Yes",SUMPRODUCT((TRIM('Rework Log'!$A$3:$A$500)=TRIM($B103))*('Rework Log'!$G$3:$G$500&lt;&gt;"Yes")*('Rework Log'!$G$3:$G$500&lt;&gt;"Did not pass re-test"))=0),"Blocked - log it on Rework Log",IF(AND(LEFT($AC103,3)&lt;&gt;"Yes",SUMPRODUCT((TRIM('Rework Log'!$A$3:$A$500)=TRIM($B103))*('Rework Log'!$G$3:$G$500&lt;&gt;"Yes")*('Rework Log'!$G$3:$G$500&lt;&gt;"Did not pass re-test"))&gt;0),"Open rework row - mark Blocked? or close it",IF(AND(LEFT($AC103,3)&lt;&gt;"Yes",SUMPRODUCT((TRIM('Rework Log'!$A$3:$A$500)=TRIM($B103))*('Rework Log'!$G$3:$G$500&lt;&gt;"Yes")*('Rework Log'!$G$3:$G$500&lt;&gt;"Did not pass re-test"))=0,COUNTIF('Rework Log'!$A$3:$A$500,$B103)&gt;0,IFERROR(INDEX('Rework Log'!$G:$G,SUMPRODUCT(MAX((TRIM('Rework Log'!$A$3:$A$500)=TRIM($B103))*ROW('Rework Log'!$A$3:$A$500)))),"")="Did not pass re-test"),"Last fix rejected - re-block or log next attempt",IF(AND(LEFT($AC103,3)="Yes",ISNUMBER(SEARCH("needs DB Dev",$AC103)),O103&lt;&gt;"",SUMPRODUCT(MAX(((TRIM('Rework Log'!$A$3:$A$500)=TRIM($B103))*('Rework Log'!$G$3:$G$500&lt;&gt;"Yes")*('Rework Log'!$G$3:$G$500&lt;&gt;"Did not pass re-test"))*IFERROR('Rework Log'!$I$3:$I$500*1,0)))&gt;0),"Move old DB Dev completion date to Rework Log (col H)",IF(AND(LEFT($AC103,3)="Yes",ISNUMBER(SEARCH("needs PBI Dev",$AC103)),R103&lt;&gt;"",SUMPRODUCT(MAX(((TRIM('Rework Log'!$A$3:$A$500)=TRIM($B103))*('Rework Log'!$G$3:$G$500&lt;&gt;"Yes")*('Rework Log'!$G$3:$G$500&lt;&gt;"Did not pass re-test"))*IFERROR('Rework Log'!$I$3:$I$500*1,0)))&gt;0),"Move old PBI Dev completion date to Rework Log (col H)",IF(AND(LEFT($AC103,3)="Yes",ISNUMBER(SEARCH("needs QA",$AC103)),U103&lt;&gt;"",SUMPRODUCT(MAX(((TRIM('Rework Log'!$A$3:$A$500)=TRIM($B103))*('Rework Log'!$G$3:$G$500&lt;&gt;"Yes")*('Rework Log'!$G$3:$G$500&lt;&gt;"Did not pass re-test"))*IFERROR('Rework Log'!$I$3:$I$500*1,0)))&gt;0),"Move old QA completion date to Rework Log (col H)",IF(AND(LEFT($AC103,3)="Yes",ISNUMBER(SEARCH("needs DB Dev",$AC103)),TRIM(C103)&lt;&gt;"DB Dev"),"Set Current Status back to DB Dev",IF(AND(LEFT($AC103,3)="Yes",ISNUMBER(SEARCH("needs PBI Dev",$AC103)),TRIM(C103)&lt;&gt;"PBI Dev"),"Set Current Status back to PBI Dev",IF(AND(LEFT($AC103,3)="Yes",ISNUMBER(SEARCH("needs QA",$AC103)),TRIM(C103)&lt;&gt;"QA"),"Set Current Status back to QA",IF(COUNTIF($B$2:$B$500,$B103)&gt;1,"Duplicate name - check row",IF(AND(TRIM(C103)="RELEASED IN PROD",Y103&lt;&gt;"Yes"),"Released but Confirmed Deployed? is not Yes",IF(COUNTIF('Rework Log'!$A$3:$A$500,$B103)&gt;0,"",IF(AND(S103&lt;&gt;"",M103&lt;&gt;"",S103&lt;M103),"QA target is before DB Dev target",IF(AND(S103&lt;&gt;"",P103&lt;&gt;"",S103&lt;P103),"QA target is before PBI Dev target",IF(AND(V103&lt;&gt;"",S103&lt;&gt;"",V103&lt;S103),"DPO Approval target is before QA target",IF(AND(Z103&lt;&gt;"",V103&lt;&gt;"",Z103&lt;V103),"Confirmed Deployed date is before DPO Approval target","")))))))))))))))))</f>
        <v/>
      </c>
      <c r="AE103" s="62"/>
    </row>
    <row r="104" spans="1:31" x14ac:dyDescent="0.25">
      <c r="A104" s="62"/>
      <c r="B104" s="62"/>
      <c r="C104" s="62"/>
      <c r="D104" s="64" t="str">
        <f ca="1">IF($B104="","",IF(LEFT($AC104,3)="Yes",IF(LEN($AC104)&gt;5,"Blocked - "&amp;MID($AC104,7,100),"Blocked")&amp;IF(SUMPRODUCT((TRIM('Rework Log'!$A$3:$A$500)=TRIM($B104))*('Rework Log'!$G$3:$G$500&lt;&gt;"Yes")*('Rework Log'!$G$3:$G$500&lt;&gt;"Did not pass re-test"))=0,"",IF(SUMPRODUCT(((TRIM('Rework Log'!$A$3:$A$500)=TRIM($B104))*('Rework Log'!$G$3:$G$500&lt;&gt;"Yes")*('Rework Log'!$G$3:$G$500&lt;&gt;"Did not pass re-test"))*ISNUMBER('Rework Log'!$J$3:$J$500))&gt;0," - fixed, awaiting re-test",IF(SUMPRODUCT(MAX(((TRIM('Rework Log'!$A$3:$A$500)=TRIM($B104))*('Rework Log'!$G$3:$G$500&lt;&gt;"Yes")*('Rework Log'!$G$3:$G$500&lt;&gt;"Did not pass re-test"))*IFERROR('Rework Log'!$I$3:$I$500*1,0)))=0," - unclaimed"," - promised "&amp;TEXT(SUMPRODUCT(MAX(((TRIM('Rework Log'!$A$3:$A$500)=TRIM($B104))*('Rework Log'!$G$3:$G$500&lt;&gt;"Yes")*('Rework Log'!$G$3:$G$500&lt;&gt;"Did not pass re-test"))*IFERROR('Rework Log'!$I$3:$I$500*1,0))),"m/d")))),IF(TRIM(C104)="NOT STARTED",IF(K104="","No plan date set",IF(K104&lt;TODAY(),"Review - planned start passed","On track")),IF(TRIM(C104)="DB Dev",IF(M104="","No target set",IF(AND(M104&lt;TODAY(),O104=""),"Overdue","On track")),IF(TRIM(C104)="PBI Dev",IF(P104="","No target set",IF(AND(P104&lt;TODAY(),R104=""),"Overdue","On track")),IF(TRIM(C104)="QA",IF(S104="","No target set",IF(AND(S104&lt;TODAY(),U104=""),"Overdue","On track")),IF(TRIM(C104)="DPO Approval",IF(V104="","No target set",IF(V104&lt;TODAY(),"Overdue","On track")),IF(TRIM(C104)="RELEASED IN PROD","Delivered",""))))))))</f>
        <v/>
      </c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4" t="str">
        <f>IF($B104="","",IF(AND(LEFT($AC104,3)="Yes",SUMPRODUCT((TRIM('Rework Log'!$A$3:$A$500)=TRIM($B104))*('Rework Log'!$G$3:$G$500&lt;&gt;"Yes")*('Rework Log'!$G$3:$G$500&lt;&gt;"Did not pass re-test"))=0),"Blocked - log it on Rework Log",IF(AND(LEFT($AC104,3)&lt;&gt;"Yes",SUMPRODUCT((TRIM('Rework Log'!$A$3:$A$500)=TRIM($B104))*('Rework Log'!$G$3:$G$500&lt;&gt;"Yes")*('Rework Log'!$G$3:$G$500&lt;&gt;"Did not pass re-test"))&gt;0),"Open rework row - mark Blocked? or close it",IF(AND(LEFT($AC104,3)&lt;&gt;"Yes",SUMPRODUCT((TRIM('Rework Log'!$A$3:$A$500)=TRIM($B104))*('Rework Log'!$G$3:$G$500&lt;&gt;"Yes")*('Rework Log'!$G$3:$G$500&lt;&gt;"Did not pass re-test"))=0,COUNTIF('Rework Log'!$A$3:$A$500,$B104)&gt;0,IFERROR(INDEX('Rework Log'!$G:$G,SUMPRODUCT(MAX((TRIM('Rework Log'!$A$3:$A$500)=TRIM($B104))*ROW('Rework Log'!$A$3:$A$500)))),"")="Did not pass re-test"),"Last fix rejected - re-block or log next attempt",IF(AND(LEFT($AC104,3)="Yes",ISNUMBER(SEARCH("needs DB Dev",$AC104)),O104&lt;&gt;"",SUMPRODUCT(MAX(((TRIM('Rework Log'!$A$3:$A$500)=TRIM($B104))*('Rework Log'!$G$3:$G$500&lt;&gt;"Yes")*('Rework Log'!$G$3:$G$500&lt;&gt;"Did not pass re-test"))*IFERROR('Rework Log'!$I$3:$I$500*1,0)))&gt;0),"Move old DB Dev completion date to Rework Log (col H)",IF(AND(LEFT($AC104,3)="Yes",ISNUMBER(SEARCH("needs PBI Dev",$AC104)),R104&lt;&gt;"",SUMPRODUCT(MAX(((TRIM('Rework Log'!$A$3:$A$500)=TRIM($B104))*('Rework Log'!$G$3:$G$500&lt;&gt;"Yes")*('Rework Log'!$G$3:$G$500&lt;&gt;"Did not pass re-test"))*IFERROR('Rework Log'!$I$3:$I$500*1,0)))&gt;0),"Move old PBI Dev completion date to Rework Log (col H)",IF(AND(LEFT($AC104,3)="Yes",ISNUMBER(SEARCH("needs QA",$AC104)),U104&lt;&gt;"",SUMPRODUCT(MAX(((TRIM('Rework Log'!$A$3:$A$500)=TRIM($B104))*('Rework Log'!$G$3:$G$500&lt;&gt;"Yes")*('Rework Log'!$G$3:$G$500&lt;&gt;"Did not pass re-test"))*IFERROR('Rework Log'!$I$3:$I$500*1,0)))&gt;0),"Move old QA completion date to Rework Log (col H)",IF(AND(LEFT($AC104,3)="Yes",ISNUMBER(SEARCH("needs DB Dev",$AC104)),TRIM(C104)&lt;&gt;"DB Dev"),"Set Current Status back to DB Dev",IF(AND(LEFT($AC104,3)="Yes",ISNUMBER(SEARCH("needs PBI Dev",$AC104)),TRIM(C104)&lt;&gt;"PBI Dev"),"Set Current Status back to PBI Dev",IF(AND(LEFT($AC104,3)="Yes",ISNUMBER(SEARCH("needs QA",$AC104)),TRIM(C104)&lt;&gt;"QA"),"Set Current Status back to QA",IF(COUNTIF($B$2:$B$500,$B104)&gt;1,"Duplicate name - check row",IF(AND(TRIM(C104)="RELEASED IN PROD",Y104&lt;&gt;"Yes"),"Released but Confirmed Deployed? is not Yes",IF(COUNTIF('Rework Log'!$A$3:$A$500,$B104)&gt;0,"",IF(AND(S104&lt;&gt;"",M104&lt;&gt;"",S104&lt;M104),"QA target is before DB Dev target",IF(AND(S104&lt;&gt;"",P104&lt;&gt;"",S104&lt;P104),"QA target is before PBI Dev target",IF(AND(V104&lt;&gt;"",S104&lt;&gt;"",V104&lt;S104),"DPO Approval target is before QA target",IF(AND(Z104&lt;&gt;"",V104&lt;&gt;"",Z104&lt;V104),"Confirmed Deployed date is before DPO Approval target","")))))))))))))))))</f>
        <v/>
      </c>
      <c r="AE104" s="62"/>
    </row>
    <row r="105" spans="1:31" x14ac:dyDescent="0.25">
      <c r="A105" s="62"/>
      <c r="B105" s="62"/>
      <c r="C105" s="62"/>
      <c r="D105" s="64" t="str">
        <f ca="1">IF($B105="","",IF(LEFT($AC105,3)="Yes",IF(LEN($AC105)&gt;5,"Blocked - "&amp;MID($AC105,7,100),"Blocked")&amp;IF(SUMPRODUCT((TRIM('Rework Log'!$A$3:$A$500)=TRIM($B105))*('Rework Log'!$G$3:$G$500&lt;&gt;"Yes")*('Rework Log'!$G$3:$G$500&lt;&gt;"Did not pass re-test"))=0,"",IF(SUMPRODUCT(((TRIM('Rework Log'!$A$3:$A$500)=TRIM($B105))*('Rework Log'!$G$3:$G$500&lt;&gt;"Yes")*('Rework Log'!$G$3:$G$500&lt;&gt;"Did not pass re-test"))*ISNUMBER('Rework Log'!$J$3:$J$500))&gt;0," - fixed, awaiting re-test",IF(SUMPRODUCT(MAX(((TRIM('Rework Log'!$A$3:$A$500)=TRIM($B105))*('Rework Log'!$G$3:$G$500&lt;&gt;"Yes")*('Rework Log'!$G$3:$G$500&lt;&gt;"Did not pass re-test"))*IFERROR('Rework Log'!$I$3:$I$500*1,0)))=0," - unclaimed"," - promised "&amp;TEXT(SUMPRODUCT(MAX(((TRIM('Rework Log'!$A$3:$A$500)=TRIM($B105))*('Rework Log'!$G$3:$G$500&lt;&gt;"Yes")*('Rework Log'!$G$3:$G$500&lt;&gt;"Did not pass re-test"))*IFERROR('Rework Log'!$I$3:$I$500*1,0))),"m/d")))),IF(TRIM(C105)="NOT STARTED",IF(K105="","No plan date set",IF(K105&lt;TODAY(),"Review - planned start passed","On track")),IF(TRIM(C105)="DB Dev",IF(M105="","No target set",IF(AND(M105&lt;TODAY(),O105=""),"Overdue","On track")),IF(TRIM(C105)="PBI Dev",IF(P105="","No target set",IF(AND(P105&lt;TODAY(),R105=""),"Overdue","On track")),IF(TRIM(C105)="QA",IF(S105="","No target set",IF(AND(S105&lt;TODAY(),U105=""),"Overdue","On track")),IF(TRIM(C105)="DPO Approval",IF(V105="","No target set",IF(V105&lt;TODAY(),"Overdue","On track")),IF(TRIM(C105)="RELEASED IN PROD","Delivered",""))))))))</f>
        <v/>
      </c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4" t="str">
        <f>IF($B105="","",IF(AND(LEFT($AC105,3)="Yes",SUMPRODUCT((TRIM('Rework Log'!$A$3:$A$500)=TRIM($B105))*('Rework Log'!$G$3:$G$500&lt;&gt;"Yes")*('Rework Log'!$G$3:$G$500&lt;&gt;"Did not pass re-test"))=0),"Blocked - log it on Rework Log",IF(AND(LEFT($AC105,3)&lt;&gt;"Yes",SUMPRODUCT((TRIM('Rework Log'!$A$3:$A$500)=TRIM($B105))*('Rework Log'!$G$3:$G$500&lt;&gt;"Yes")*('Rework Log'!$G$3:$G$500&lt;&gt;"Did not pass re-test"))&gt;0),"Open rework row - mark Blocked? or close it",IF(AND(LEFT($AC105,3)&lt;&gt;"Yes",SUMPRODUCT((TRIM('Rework Log'!$A$3:$A$500)=TRIM($B105))*('Rework Log'!$G$3:$G$500&lt;&gt;"Yes")*('Rework Log'!$G$3:$G$500&lt;&gt;"Did not pass re-test"))=0,COUNTIF('Rework Log'!$A$3:$A$500,$B105)&gt;0,IFERROR(INDEX('Rework Log'!$G:$G,SUMPRODUCT(MAX((TRIM('Rework Log'!$A$3:$A$500)=TRIM($B105))*ROW('Rework Log'!$A$3:$A$500)))),"")="Did not pass re-test"),"Last fix rejected - re-block or log next attempt",IF(AND(LEFT($AC105,3)="Yes",ISNUMBER(SEARCH("needs DB Dev",$AC105)),O105&lt;&gt;"",SUMPRODUCT(MAX(((TRIM('Rework Log'!$A$3:$A$500)=TRIM($B105))*('Rework Log'!$G$3:$G$500&lt;&gt;"Yes")*('Rework Log'!$G$3:$G$500&lt;&gt;"Did not pass re-test"))*IFERROR('Rework Log'!$I$3:$I$500*1,0)))&gt;0),"Move old DB Dev completion date to Rework Log (col H)",IF(AND(LEFT($AC105,3)="Yes",ISNUMBER(SEARCH("needs PBI Dev",$AC105)),R105&lt;&gt;"",SUMPRODUCT(MAX(((TRIM('Rework Log'!$A$3:$A$500)=TRIM($B105))*('Rework Log'!$G$3:$G$500&lt;&gt;"Yes")*('Rework Log'!$G$3:$G$500&lt;&gt;"Did not pass re-test"))*IFERROR('Rework Log'!$I$3:$I$500*1,0)))&gt;0),"Move old PBI Dev completion date to Rework Log (col H)",IF(AND(LEFT($AC105,3)="Yes",ISNUMBER(SEARCH("needs QA",$AC105)),U105&lt;&gt;"",SUMPRODUCT(MAX(((TRIM('Rework Log'!$A$3:$A$500)=TRIM($B105))*('Rework Log'!$G$3:$G$500&lt;&gt;"Yes")*('Rework Log'!$G$3:$G$500&lt;&gt;"Did not pass re-test"))*IFERROR('Rework Log'!$I$3:$I$500*1,0)))&gt;0),"Move old QA completion date to Rework Log (col H)",IF(AND(LEFT($AC105,3)="Yes",ISNUMBER(SEARCH("needs DB Dev",$AC105)),TRIM(C105)&lt;&gt;"DB Dev"),"Set Current Status back to DB Dev",IF(AND(LEFT($AC105,3)="Yes",ISNUMBER(SEARCH("needs PBI Dev",$AC105)),TRIM(C105)&lt;&gt;"PBI Dev"),"Set Current Status back to PBI Dev",IF(AND(LEFT($AC105,3)="Yes",ISNUMBER(SEARCH("needs QA",$AC105)),TRIM(C105)&lt;&gt;"QA"),"Set Current Status back to QA",IF(COUNTIF($B$2:$B$500,$B105)&gt;1,"Duplicate name - check row",IF(AND(TRIM(C105)="RELEASED IN PROD",Y105&lt;&gt;"Yes"),"Released but Confirmed Deployed? is not Yes",IF(COUNTIF('Rework Log'!$A$3:$A$500,$B105)&gt;0,"",IF(AND(S105&lt;&gt;"",M105&lt;&gt;"",S105&lt;M105),"QA target is before DB Dev target",IF(AND(S105&lt;&gt;"",P105&lt;&gt;"",S105&lt;P105),"QA target is before PBI Dev target",IF(AND(V105&lt;&gt;"",S105&lt;&gt;"",V105&lt;S105),"DPO Approval target is before QA target",IF(AND(Z105&lt;&gt;"",V105&lt;&gt;"",Z105&lt;V105),"Confirmed Deployed date is before DPO Approval target","")))))))))))))))))</f>
        <v/>
      </c>
      <c r="AE105" s="62"/>
    </row>
    <row r="106" spans="1:31" x14ac:dyDescent="0.25">
      <c r="A106" s="62"/>
      <c r="B106" s="62"/>
      <c r="C106" s="62"/>
      <c r="D106" s="64" t="str">
        <f ca="1">IF($B106="","",IF(LEFT($AC106,3)="Yes",IF(LEN($AC106)&gt;5,"Blocked - "&amp;MID($AC106,7,100),"Blocked")&amp;IF(SUMPRODUCT((TRIM('Rework Log'!$A$3:$A$500)=TRIM($B106))*('Rework Log'!$G$3:$G$500&lt;&gt;"Yes")*('Rework Log'!$G$3:$G$500&lt;&gt;"Did not pass re-test"))=0,"",IF(SUMPRODUCT(((TRIM('Rework Log'!$A$3:$A$500)=TRIM($B106))*('Rework Log'!$G$3:$G$500&lt;&gt;"Yes")*('Rework Log'!$G$3:$G$500&lt;&gt;"Did not pass re-test"))*ISNUMBER('Rework Log'!$J$3:$J$500))&gt;0," - fixed, awaiting re-test",IF(SUMPRODUCT(MAX(((TRIM('Rework Log'!$A$3:$A$500)=TRIM($B106))*('Rework Log'!$G$3:$G$500&lt;&gt;"Yes")*('Rework Log'!$G$3:$G$500&lt;&gt;"Did not pass re-test"))*IFERROR('Rework Log'!$I$3:$I$500*1,0)))=0," - unclaimed"," - promised "&amp;TEXT(SUMPRODUCT(MAX(((TRIM('Rework Log'!$A$3:$A$500)=TRIM($B106))*('Rework Log'!$G$3:$G$500&lt;&gt;"Yes")*('Rework Log'!$G$3:$G$500&lt;&gt;"Did not pass re-test"))*IFERROR('Rework Log'!$I$3:$I$500*1,0))),"m/d")))),IF(TRIM(C106)="NOT STARTED",IF(K106="","No plan date set",IF(K106&lt;TODAY(),"Review - planned start passed","On track")),IF(TRIM(C106)="DB Dev",IF(M106="","No target set",IF(AND(M106&lt;TODAY(),O106=""),"Overdue","On track")),IF(TRIM(C106)="PBI Dev",IF(P106="","No target set",IF(AND(P106&lt;TODAY(),R106=""),"Overdue","On track")),IF(TRIM(C106)="QA",IF(S106="","No target set",IF(AND(S106&lt;TODAY(),U106=""),"Overdue","On track")),IF(TRIM(C106)="DPO Approval",IF(V106="","No target set",IF(V106&lt;TODAY(),"Overdue","On track")),IF(TRIM(C106)="RELEASED IN PROD","Delivered",""))))))))</f>
        <v/>
      </c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4" t="str">
        <f>IF($B106="","",IF(AND(LEFT($AC106,3)="Yes",SUMPRODUCT((TRIM('Rework Log'!$A$3:$A$500)=TRIM($B106))*('Rework Log'!$G$3:$G$500&lt;&gt;"Yes")*('Rework Log'!$G$3:$G$500&lt;&gt;"Did not pass re-test"))=0),"Blocked - log it on Rework Log",IF(AND(LEFT($AC106,3)&lt;&gt;"Yes",SUMPRODUCT((TRIM('Rework Log'!$A$3:$A$500)=TRIM($B106))*('Rework Log'!$G$3:$G$500&lt;&gt;"Yes")*('Rework Log'!$G$3:$G$500&lt;&gt;"Did not pass re-test"))&gt;0),"Open rework row - mark Blocked? or close it",IF(AND(LEFT($AC106,3)&lt;&gt;"Yes",SUMPRODUCT((TRIM('Rework Log'!$A$3:$A$500)=TRIM($B106))*('Rework Log'!$G$3:$G$500&lt;&gt;"Yes")*('Rework Log'!$G$3:$G$500&lt;&gt;"Did not pass re-test"))=0,COUNTIF('Rework Log'!$A$3:$A$500,$B106)&gt;0,IFERROR(INDEX('Rework Log'!$G:$G,SUMPRODUCT(MAX((TRIM('Rework Log'!$A$3:$A$500)=TRIM($B106))*ROW('Rework Log'!$A$3:$A$500)))),"")="Did not pass re-test"),"Last fix rejected - re-block or log next attempt",IF(AND(LEFT($AC106,3)="Yes",ISNUMBER(SEARCH("needs DB Dev",$AC106)),O106&lt;&gt;"",SUMPRODUCT(MAX(((TRIM('Rework Log'!$A$3:$A$500)=TRIM($B106))*('Rework Log'!$G$3:$G$500&lt;&gt;"Yes")*('Rework Log'!$G$3:$G$500&lt;&gt;"Did not pass re-test"))*IFERROR('Rework Log'!$I$3:$I$500*1,0)))&gt;0),"Move old DB Dev completion date to Rework Log (col H)",IF(AND(LEFT($AC106,3)="Yes",ISNUMBER(SEARCH("needs PBI Dev",$AC106)),R106&lt;&gt;"",SUMPRODUCT(MAX(((TRIM('Rework Log'!$A$3:$A$500)=TRIM($B106))*('Rework Log'!$G$3:$G$500&lt;&gt;"Yes")*('Rework Log'!$G$3:$G$500&lt;&gt;"Did not pass re-test"))*IFERROR('Rework Log'!$I$3:$I$500*1,0)))&gt;0),"Move old PBI Dev completion date to Rework Log (col H)",IF(AND(LEFT($AC106,3)="Yes",ISNUMBER(SEARCH("needs QA",$AC106)),U106&lt;&gt;"",SUMPRODUCT(MAX(((TRIM('Rework Log'!$A$3:$A$500)=TRIM($B106))*('Rework Log'!$G$3:$G$500&lt;&gt;"Yes")*('Rework Log'!$G$3:$G$500&lt;&gt;"Did not pass re-test"))*IFERROR('Rework Log'!$I$3:$I$500*1,0)))&gt;0),"Move old QA completion date to Rework Log (col H)",IF(AND(LEFT($AC106,3)="Yes",ISNUMBER(SEARCH("needs DB Dev",$AC106)),TRIM(C106)&lt;&gt;"DB Dev"),"Set Current Status back to DB Dev",IF(AND(LEFT($AC106,3)="Yes",ISNUMBER(SEARCH("needs PBI Dev",$AC106)),TRIM(C106)&lt;&gt;"PBI Dev"),"Set Current Status back to PBI Dev",IF(AND(LEFT($AC106,3)="Yes",ISNUMBER(SEARCH("needs QA",$AC106)),TRIM(C106)&lt;&gt;"QA"),"Set Current Status back to QA",IF(COUNTIF($B$2:$B$500,$B106)&gt;1,"Duplicate name - check row",IF(AND(TRIM(C106)="RELEASED IN PROD",Y106&lt;&gt;"Yes"),"Released but Confirmed Deployed? is not Yes",IF(COUNTIF('Rework Log'!$A$3:$A$500,$B106)&gt;0,"",IF(AND(S106&lt;&gt;"",M106&lt;&gt;"",S106&lt;M106),"QA target is before DB Dev target",IF(AND(S106&lt;&gt;"",P106&lt;&gt;"",S106&lt;P106),"QA target is before PBI Dev target",IF(AND(V106&lt;&gt;"",S106&lt;&gt;"",V106&lt;S106),"DPO Approval target is before QA target",IF(AND(Z106&lt;&gt;"",V106&lt;&gt;"",Z106&lt;V106),"Confirmed Deployed date is before DPO Approval target","")))))))))))))))))</f>
        <v/>
      </c>
      <c r="AE106" s="62"/>
    </row>
    <row r="107" spans="1:31" x14ac:dyDescent="0.25">
      <c r="A107" s="62"/>
      <c r="B107" s="62"/>
      <c r="C107" s="62"/>
      <c r="D107" s="64" t="str">
        <f ca="1">IF($B107="","",IF(LEFT($AC107,3)="Yes",IF(LEN($AC107)&gt;5,"Blocked - "&amp;MID($AC107,7,100),"Blocked")&amp;IF(SUMPRODUCT((TRIM('Rework Log'!$A$3:$A$500)=TRIM($B107))*('Rework Log'!$G$3:$G$500&lt;&gt;"Yes")*('Rework Log'!$G$3:$G$500&lt;&gt;"Did not pass re-test"))=0,"",IF(SUMPRODUCT(((TRIM('Rework Log'!$A$3:$A$500)=TRIM($B107))*('Rework Log'!$G$3:$G$500&lt;&gt;"Yes")*('Rework Log'!$G$3:$G$500&lt;&gt;"Did not pass re-test"))*ISNUMBER('Rework Log'!$J$3:$J$500))&gt;0," - fixed, awaiting re-test",IF(SUMPRODUCT(MAX(((TRIM('Rework Log'!$A$3:$A$500)=TRIM($B107))*('Rework Log'!$G$3:$G$500&lt;&gt;"Yes")*('Rework Log'!$G$3:$G$500&lt;&gt;"Did not pass re-test"))*IFERROR('Rework Log'!$I$3:$I$500*1,0)))=0," - unclaimed"," - promised "&amp;TEXT(SUMPRODUCT(MAX(((TRIM('Rework Log'!$A$3:$A$500)=TRIM($B107))*('Rework Log'!$G$3:$G$500&lt;&gt;"Yes")*('Rework Log'!$G$3:$G$500&lt;&gt;"Did not pass re-test"))*IFERROR('Rework Log'!$I$3:$I$500*1,0))),"m/d")))),IF(TRIM(C107)="NOT STARTED",IF(K107="","No plan date set",IF(K107&lt;TODAY(),"Review - planned start passed","On track")),IF(TRIM(C107)="DB Dev",IF(M107="","No target set",IF(AND(M107&lt;TODAY(),O107=""),"Overdue","On track")),IF(TRIM(C107)="PBI Dev",IF(P107="","No target set",IF(AND(P107&lt;TODAY(),R107=""),"Overdue","On track")),IF(TRIM(C107)="QA",IF(S107="","No target set",IF(AND(S107&lt;TODAY(),U107=""),"Overdue","On track")),IF(TRIM(C107)="DPO Approval",IF(V107="","No target set",IF(V107&lt;TODAY(),"Overdue","On track")),IF(TRIM(C107)="RELEASED IN PROD","Delivered",""))))))))</f>
        <v/>
      </c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4" t="str">
        <f>IF($B107="","",IF(AND(LEFT($AC107,3)="Yes",SUMPRODUCT((TRIM('Rework Log'!$A$3:$A$500)=TRIM($B107))*('Rework Log'!$G$3:$G$500&lt;&gt;"Yes")*('Rework Log'!$G$3:$G$500&lt;&gt;"Did not pass re-test"))=0),"Blocked - log it on Rework Log",IF(AND(LEFT($AC107,3)&lt;&gt;"Yes",SUMPRODUCT((TRIM('Rework Log'!$A$3:$A$500)=TRIM($B107))*('Rework Log'!$G$3:$G$500&lt;&gt;"Yes")*('Rework Log'!$G$3:$G$500&lt;&gt;"Did not pass re-test"))&gt;0),"Open rework row - mark Blocked? or close it",IF(AND(LEFT($AC107,3)&lt;&gt;"Yes",SUMPRODUCT((TRIM('Rework Log'!$A$3:$A$500)=TRIM($B107))*('Rework Log'!$G$3:$G$500&lt;&gt;"Yes")*('Rework Log'!$G$3:$G$500&lt;&gt;"Did not pass re-test"))=0,COUNTIF('Rework Log'!$A$3:$A$500,$B107)&gt;0,IFERROR(INDEX('Rework Log'!$G:$G,SUMPRODUCT(MAX((TRIM('Rework Log'!$A$3:$A$500)=TRIM($B107))*ROW('Rework Log'!$A$3:$A$500)))),"")="Did not pass re-test"),"Last fix rejected - re-block or log next attempt",IF(AND(LEFT($AC107,3)="Yes",ISNUMBER(SEARCH("needs DB Dev",$AC107)),O107&lt;&gt;"",SUMPRODUCT(MAX(((TRIM('Rework Log'!$A$3:$A$500)=TRIM($B107))*('Rework Log'!$G$3:$G$500&lt;&gt;"Yes")*('Rework Log'!$G$3:$G$500&lt;&gt;"Did not pass re-test"))*IFERROR('Rework Log'!$I$3:$I$500*1,0)))&gt;0),"Move old DB Dev completion date to Rework Log (col H)",IF(AND(LEFT($AC107,3)="Yes",ISNUMBER(SEARCH("needs PBI Dev",$AC107)),R107&lt;&gt;"",SUMPRODUCT(MAX(((TRIM('Rework Log'!$A$3:$A$500)=TRIM($B107))*('Rework Log'!$G$3:$G$500&lt;&gt;"Yes")*('Rework Log'!$G$3:$G$500&lt;&gt;"Did not pass re-test"))*IFERROR('Rework Log'!$I$3:$I$500*1,0)))&gt;0),"Move old PBI Dev completion date to Rework Log (col H)",IF(AND(LEFT($AC107,3)="Yes",ISNUMBER(SEARCH("needs QA",$AC107)),U107&lt;&gt;"",SUMPRODUCT(MAX(((TRIM('Rework Log'!$A$3:$A$500)=TRIM($B107))*('Rework Log'!$G$3:$G$500&lt;&gt;"Yes")*('Rework Log'!$G$3:$G$500&lt;&gt;"Did not pass re-test"))*IFERROR('Rework Log'!$I$3:$I$500*1,0)))&gt;0),"Move old QA completion date to Rework Log (col H)",IF(AND(LEFT($AC107,3)="Yes",ISNUMBER(SEARCH("needs DB Dev",$AC107)),TRIM(C107)&lt;&gt;"DB Dev"),"Set Current Status back to DB Dev",IF(AND(LEFT($AC107,3)="Yes",ISNUMBER(SEARCH("needs PBI Dev",$AC107)),TRIM(C107)&lt;&gt;"PBI Dev"),"Set Current Status back to PBI Dev",IF(AND(LEFT($AC107,3)="Yes",ISNUMBER(SEARCH("needs QA",$AC107)),TRIM(C107)&lt;&gt;"QA"),"Set Current Status back to QA",IF(COUNTIF($B$2:$B$500,$B107)&gt;1,"Duplicate name - check row",IF(AND(TRIM(C107)="RELEASED IN PROD",Y107&lt;&gt;"Yes"),"Released but Confirmed Deployed? is not Yes",IF(COUNTIF('Rework Log'!$A$3:$A$500,$B107)&gt;0,"",IF(AND(S107&lt;&gt;"",M107&lt;&gt;"",S107&lt;M107),"QA target is before DB Dev target",IF(AND(S107&lt;&gt;"",P107&lt;&gt;"",S107&lt;P107),"QA target is before PBI Dev target",IF(AND(V107&lt;&gt;"",S107&lt;&gt;"",V107&lt;S107),"DPO Approval target is before QA target",IF(AND(Z107&lt;&gt;"",V107&lt;&gt;"",Z107&lt;V107),"Confirmed Deployed date is before DPO Approval target","")))))))))))))))))</f>
        <v/>
      </c>
      <c r="AE107" s="62"/>
    </row>
    <row r="108" spans="1:31" x14ac:dyDescent="0.25">
      <c r="A108" s="62"/>
      <c r="B108" s="62"/>
      <c r="C108" s="62"/>
      <c r="D108" s="64" t="str">
        <f ca="1">IF($B108="","",IF(LEFT($AC108,3)="Yes",IF(LEN($AC108)&gt;5,"Blocked - "&amp;MID($AC108,7,100),"Blocked")&amp;IF(SUMPRODUCT((TRIM('Rework Log'!$A$3:$A$500)=TRIM($B108))*('Rework Log'!$G$3:$G$500&lt;&gt;"Yes")*('Rework Log'!$G$3:$G$500&lt;&gt;"Did not pass re-test"))=0,"",IF(SUMPRODUCT(((TRIM('Rework Log'!$A$3:$A$500)=TRIM($B108))*('Rework Log'!$G$3:$G$500&lt;&gt;"Yes")*('Rework Log'!$G$3:$G$500&lt;&gt;"Did not pass re-test"))*ISNUMBER('Rework Log'!$J$3:$J$500))&gt;0," - fixed, awaiting re-test",IF(SUMPRODUCT(MAX(((TRIM('Rework Log'!$A$3:$A$500)=TRIM($B108))*('Rework Log'!$G$3:$G$500&lt;&gt;"Yes")*('Rework Log'!$G$3:$G$500&lt;&gt;"Did not pass re-test"))*IFERROR('Rework Log'!$I$3:$I$500*1,0)))=0," - unclaimed"," - promised "&amp;TEXT(SUMPRODUCT(MAX(((TRIM('Rework Log'!$A$3:$A$500)=TRIM($B108))*('Rework Log'!$G$3:$G$500&lt;&gt;"Yes")*('Rework Log'!$G$3:$G$500&lt;&gt;"Did not pass re-test"))*IFERROR('Rework Log'!$I$3:$I$500*1,0))),"m/d")))),IF(TRIM(C108)="NOT STARTED",IF(K108="","No plan date set",IF(K108&lt;TODAY(),"Review - planned start passed","On track")),IF(TRIM(C108)="DB Dev",IF(M108="","No target set",IF(AND(M108&lt;TODAY(),O108=""),"Overdue","On track")),IF(TRIM(C108)="PBI Dev",IF(P108="","No target set",IF(AND(P108&lt;TODAY(),R108=""),"Overdue","On track")),IF(TRIM(C108)="QA",IF(S108="","No target set",IF(AND(S108&lt;TODAY(),U108=""),"Overdue","On track")),IF(TRIM(C108)="DPO Approval",IF(V108="","No target set",IF(V108&lt;TODAY(),"Overdue","On track")),IF(TRIM(C108)="RELEASED IN PROD","Delivered",""))))))))</f>
        <v/>
      </c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4" t="str">
        <f>IF($B108="","",IF(AND(LEFT($AC108,3)="Yes",SUMPRODUCT((TRIM('Rework Log'!$A$3:$A$500)=TRIM($B108))*('Rework Log'!$G$3:$G$500&lt;&gt;"Yes")*('Rework Log'!$G$3:$G$500&lt;&gt;"Did not pass re-test"))=0),"Blocked - log it on Rework Log",IF(AND(LEFT($AC108,3)&lt;&gt;"Yes",SUMPRODUCT((TRIM('Rework Log'!$A$3:$A$500)=TRIM($B108))*('Rework Log'!$G$3:$G$500&lt;&gt;"Yes")*('Rework Log'!$G$3:$G$500&lt;&gt;"Did not pass re-test"))&gt;0),"Open rework row - mark Blocked? or close it",IF(AND(LEFT($AC108,3)&lt;&gt;"Yes",SUMPRODUCT((TRIM('Rework Log'!$A$3:$A$500)=TRIM($B108))*('Rework Log'!$G$3:$G$500&lt;&gt;"Yes")*('Rework Log'!$G$3:$G$500&lt;&gt;"Did not pass re-test"))=0,COUNTIF('Rework Log'!$A$3:$A$500,$B108)&gt;0,IFERROR(INDEX('Rework Log'!$G:$G,SUMPRODUCT(MAX((TRIM('Rework Log'!$A$3:$A$500)=TRIM($B108))*ROW('Rework Log'!$A$3:$A$500)))),"")="Did not pass re-test"),"Last fix rejected - re-block or log next attempt",IF(AND(LEFT($AC108,3)="Yes",ISNUMBER(SEARCH("needs DB Dev",$AC108)),O108&lt;&gt;"",SUMPRODUCT(MAX(((TRIM('Rework Log'!$A$3:$A$500)=TRIM($B108))*('Rework Log'!$G$3:$G$500&lt;&gt;"Yes")*('Rework Log'!$G$3:$G$500&lt;&gt;"Did not pass re-test"))*IFERROR('Rework Log'!$I$3:$I$500*1,0)))&gt;0),"Move old DB Dev completion date to Rework Log (col H)",IF(AND(LEFT($AC108,3)="Yes",ISNUMBER(SEARCH("needs PBI Dev",$AC108)),R108&lt;&gt;"",SUMPRODUCT(MAX(((TRIM('Rework Log'!$A$3:$A$500)=TRIM($B108))*('Rework Log'!$G$3:$G$500&lt;&gt;"Yes")*('Rework Log'!$G$3:$G$500&lt;&gt;"Did not pass re-test"))*IFERROR('Rework Log'!$I$3:$I$500*1,0)))&gt;0),"Move old PBI Dev completion date to Rework Log (col H)",IF(AND(LEFT($AC108,3)="Yes",ISNUMBER(SEARCH("needs QA",$AC108)),U108&lt;&gt;"",SUMPRODUCT(MAX(((TRIM('Rework Log'!$A$3:$A$500)=TRIM($B108))*('Rework Log'!$G$3:$G$500&lt;&gt;"Yes")*('Rework Log'!$G$3:$G$500&lt;&gt;"Did not pass re-test"))*IFERROR('Rework Log'!$I$3:$I$500*1,0)))&gt;0),"Move old QA completion date to Rework Log (col H)",IF(AND(LEFT($AC108,3)="Yes",ISNUMBER(SEARCH("needs DB Dev",$AC108)),TRIM(C108)&lt;&gt;"DB Dev"),"Set Current Status back to DB Dev",IF(AND(LEFT($AC108,3)="Yes",ISNUMBER(SEARCH("needs PBI Dev",$AC108)),TRIM(C108)&lt;&gt;"PBI Dev"),"Set Current Status back to PBI Dev",IF(AND(LEFT($AC108,3)="Yes",ISNUMBER(SEARCH("needs QA",$AC108)),TRIM(C108)&lt;&gt;"QA"),"Set Current Status back to QA",IF(COUNTIF($B$2:$B$500,$B108)&gt;1,"Duplicate name - check row",IF(AND(TRIM(C108)="RELEASED IN PROD",Y108&lt;&gt;"Yes"),"Released but Confirmed Deployed? is not Yes",IF(COUNTIF('Rework Log'!$A$3:$A$500,$B108)&gt;0,"",IF(AND(S108&lt;&gt;"",M108&lt;&gt;"",S108&lt;M108),"QA target is before DB Dev target",IF(AND(S108&lt;&gt;"",P108&lt;&gt;"",S108&lt;P108),"QA target is before PBI Dev target",IF(AND(V108&lt;&gt;"",S108&lt;&gt;"",V108&lt;S108),"DPO Approval target is before QA target",IF(AND(Z108&lt;&gt;"",V108&lt;&gt;"",Z108&lt;V108),"Confirmed Deployed date is before DPO Approval target","")))))))))))))))))</f>
        <v/>
      </c>
      <c r="AE108" s="62"/>
    </row>
    <row r="109" spans="1:31" x14ac:dyDescent="0.25">
      <c r="A109" s="62"/>
      <c r="B109" s="62"/>
      <c r="C109" s="62"/>
      <c r="D109" s="64" t="str">
        <f ca="1">IF($B109="","",IF(LEFT($AC109,3)="Yes",IF(LEN($AC109)&gt;5,"Blocked - "&amp;MID($AC109,7,100),"Blocked")&amp;IF(SUMPRODUCT((TRIM('Rework Log'!$A$3:$A$500)=TRIM($B109))*('Rework Log'!$G$3:$G$500&lt;&gt;"Yes")*('Rework Log'!$G$3:$G$500&lt;&gt;"Did not pass re-test"))=0,"",IF(SUMPRODUCT(((TRIM('Rework Log'!$A$3:$A$500)=TRIM($B109))*('Rework Log'!$G$3:$G$500&lt;&gt;"Yes")*('Rework Log'!$G$3:$G$500&lt;&gt;"Did not pass re-test"))*ISNUMBER('Rework Log'!$J$3:$J$500))&gt;0," - fixed, awaiting re-test",IF(SUMPRODUCT(MAX(((TRIM('Rework Log'!$A$3:$A$500)=TRIM($B109))*('Rework Log'!$G$3:$G$500&lt;&gt;"Yes")*('Rework Log'!$G$3:$G$500&lt;&gt;"Did not pass re-test"))*IFERROR('Rework Log'!$I$3:$I$500*1,0)))=0," - unclaimed"," - promised "&amp;TEXT(SUMPRODUCT(MAX(((TRIM('Rework Log'!$A$3:$A$500)=TRIM($B109))*('Rework Log'!$G$3:$G$500&lt;&gt;"Yes")*('Rework Log'!$G$3:$G$500&lt;&gt;"Did not pass re-test"))*IFERROR('Rework Log'!$I$3:$I$500*1,0))),"m/d")))),IF(TRIM(C109)="NOT STARTED",IF(K109="","No plan date set",IF(K109&lt;TODAY(),"Review - planned start passed","On track")),IF(TRIM(C109)="DB Dev",IF(M109="","No target set",IF(AND(M109&lt;TODAY(),O109=""),"Overdue","On track")),IF(TRIM(C109)="PBI Dev",IF(P109="","No target set",IF(AND(P109&lt;TODAY(),R109=""),"Overdue","On track")),IF(TRIM(C109)="QA",IF(S109="","No target set",IF(AND(S109&lt;TODAY(),U109=""),"Overdue","On track")),IF(TRIM(C109)="DPO Approval",IF(V109="","No target set",IF(V109&lt;TODAY(),"Overdue","On track")),IF(TRIM(C109)="RELEASED IN PROD","Delivered",""))))))))</f>
        <v/>
      </c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4" t="str">
        <f>IF($B109="","",IF(AND(LEFT($AC109,3)="Yes",SUMPRODUCT((TRIM('Rework Log'!$A$3:$A$500)=TRIM($B109))*('Rework Log'!$G$3:$G$500&lt;&gt;"Yes")*('Rework Log'!$G$3:$G$500&lt;&gt;"Did not pass re-test"))=0),"Blocked - log it on Rework Log",IF(AND(LEFT($AC109,3)&lt;&gt;"Yes",SUMPRODUCT((TRIM('Rework Log'!$A$3:$A$500)=TRIM($B109))*('Rework Log'!$G$3:$G$500&lt;&gt;"Yes")*('Rework Log'!$G$3:$G$500&lt;&gt;"Did not pass re-test"))&gt;0),"Open rework row - mark Blocked? or close it",IF(AND(LEFT($AC109,3)&lt;&gt;"Yes",SUMPRODUCT((TRIM('Rework Log'!$A$3:$A$500)=TRIM($B109))*('Rework Log'!$G$3:$G$500&lt;&gt;"Yes")*('Rework Log'!$G$3:$G$500&lt;&gt;"Did not pass re-test"))=0,COUNTIF('Rework Log'!$A$3:$A$500,$B109)&gt;0,IFERROR(INDEX('Rework Log'!$G:$G,SUMPRODUCT(MAX((TRIM('Rework Log'!$A$3:$A$500)=TRIM($B109))*ROW('Rework Log'!$A$3:$A$500)))),"")="Did not pass re-test"),"Last fix rejected - re-block or log next attempt",IF(AND(LEFT($AC109,3)="Yes",ISNUMBER(SEARCH("needs DB Dev",$AC109)),O109&lt;&gt;"",SUMPRODUCT(MAX(((TRIM('Rework Log'!$A$3:$A$500)=TRIM($B109))*('Rework Log'!$G$3:$G$500&lt;&gt;"Yes")*('Rework Log'!$G$3:$G$500&lt;&gt;"Did not pass re-test"))*IFERROR('Rework Log'!$I$3:$I$500*1,0)))&gt;0),"Move old DB Dev completion date to Rework Log (col H)",IF(AND(LEFT($AC109,3)="Yes",ISNUMBER(SEARCH("needs PBI Dev",$AC109)),R109&lt;&gt;"",SUMPRODUCT(MAX(((TRIM('Rework Log'!$A$3:$A$500)=TRIM($B109))*('Rework Log'!$G$3:$G$500&lt;&gt;"Yes")*('Rework Log'!$G$3:$G$500&lt;&gt;"Did not pass re-test"))*IFERROR('Rework Log'!$I$3:$I$500*1,0)))&gt;0),"Move old PBI Dev completion date to Rework Log (col H)",IF(AND(LEFT($AC109,3)="Yes",ISNUMBER(SEARCH("needs QA",$AC109)),U109&lt;&gt;"",SUMPRODUCT(MAX(((TRIM('Rework Log'!$A$3:$A$500)=TRIM($B109))*('Rework Log'!$G$3:$G$500&lt;&gt;"Yes")*('Rework Log'!$G$3:$G$500&lt;&gt;"Did not pass re-test"))*IFERROR('Rework Log'!$I$3:$I$500*1,0)))&gt;0),"Move old QA completion date to Rework Log (col H)",IF(AND(LEFT($AC109,3)="Yes",ISNUMBER(SEARCH("needs DB Dev",$AC109)),TRIM(C109)&lt;&gt;"DB Dev"),"Set Current Status back to DB Dev",IF(AND(LEFT($AC109,3)="Yes",ISNUMBER(SEARCH("needs PBI Dev",$AC109)),TRIM(C109)&lt;&gt;"PBI Dev"),"Set Current Status back to PBI Dev",IF(AND(LEFT($AC109,3)="Yes",ISNUMBER(SEARCH("needs QA",$AC109)),TRIM(C109)&lt;&gt;"QA"),"Set Current Status back to QA",IF(COUNTIF($B$2:$B$500,$B109)&gt;1,"Duplicate name - check row",IF(AND(TRIM(C109)="RELEASED IN PROD",Y109&lt;&gt;"Yes"),"Released but Confirmed Deployed? is not Yes",IF(COUNTIF('Rework Log'!$A$3:$A$500,$B109)&gt;0,"",IF(AND(S109&lt;&gt;"",M109&lt;&gt;"",S109&lt;M109),"QA target is before DB Dev target",IF(AND(S109&lt;&gt;"",P109&lt;&gt;"",S109&lt;P109),"QA target is before PBI Dev target",IF(AND(V109&lt;&gt;"",S109&lt;&gt;"",V109&lt;S109),"DPO Approval target is before QA target",IF(AND(Z109&lt;&gt;"",V109&lt;&gt;"",Z109&lt;V109),"Confirmed Deployed date is before DPO Approval target","")))))))))))))))))</f>
        <v/>
      </c>
      <c r="AE109" s="62"/>
    </row>
    <row r="110" spans="1:31" x14ac:dyDescent="0.25">
      <c r="A110" s="62"/>
      <c r="B110" s="62"/>
      <c r="C110" s="62"/>
      <c r="D110" s="64" t="str">
        <f ca="1">IF($B110="","",IF(LEFT($AC110,3)="Yes",IF(LEN($AC110)&gt;5,"Blocked - "&amp;MID($AC110,7,100),"Blocked")&amp;IF(SUMPRODUCT((TRIM('Rework Log'!$A$3:$A$500)=TRIM($B110))*('Rework Log'!$G$3:$G$500&lt;&gt;"Yes")*('Rework Log'!$G$3:$G$500&lt;&gt;"Did not pass re-test"))=0,"",IF(SUMPRODUCT(((TRIM('Rework Log'!$A$3:$A$500)=TRIM($B110))*('Rework Log'!$G$3:$G$500&lt;&gt;"Yes")*('Rework Log'!$G$3:$G$500&lt;&gt;"Did not pass re-test"))*ISNUMBER('Rework Log'!$J$3:$J$500))&gt;0," - fixed, awaiting re-test",IF(SUMPRODUCT(MAX(((TRIM('Rework Log'!$A$3:$A$500)=TRIM($B110))*('Rework Log'!$G$3:$G$500&lt;&gt;"Yes")*('Rework Log'!$G$3:$G$500&lt;&gt;"Did not pass re-test"))*IFERROR('Rework Log'!$I$3:$I$500*1,0)))=0," - unclaimed"," - promised "&amp;TEXT(SUMPRODUCT(MAX(((TRIM('Rework Log'!$A$3:$A$500)=TRIM($B110))*('Rework Log'!$G$3:$G$500&lt;&gt;"Yes")*('Rework Log'!$G$3:$G$500&lt;&gt;"Did not pass re-test"))*IFERROR('Rework Log'!$I$3:$I$500*1,0))),"m/d")))),IF(TRIM(C110)="NOT STARTED",IF(K110="","No plan date set",IF(K110&lt;TODAY(),"Review - planned start passed","On track")),IF(TRIM(C110)="DB Dev",IF(M110="","No target set",IF(AND(M110&lt;TODAY(),O110=""),"Overdue","On track")),IF(TRIM(C110)="PBI Dev",IF(P110="","No target set",IF(AND(P110&lt;TODAY(),R110=""),"Overdue","On track")),IF(TRIM(C110)="QA",IF(S110="","No target set",IF(AND(S110&lt;TODAY(),U110=""),"Overdue","On track")),IF(TRIM(C110)="DPO Approval",IF(V110="","No target set",IF(V110&lt;TODAY(),"Overdue","On track")),IF(TRIM(C110)="RELEASED IN PROD","Delivered",""))))))))</f>
        <v/>
      </c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4" t="str">
        <f>IF($B110="","",IF(AND(LEFT($AC110,3)="Yes",SUMPRODUCT((TRIM('Rework Log'!$A$3:$A$500)=TRIM($B110))*('Rework Log'!$G$3:$G$500&lt;&gt;"Yes")*('Rework Log'!$G$3:$G$500&lt;&gt;"Did not pass re-test"))=0),"Blocked - log it on Rework Log",IF(AND(LEFT($AC110,3)&lt;&gt;"Yes",SUMPRODUCT((TRIM('Rework Log'!$A$3:$A$500)=TRIM($B110))*('Rework Log'!$G$3:$G$500&lt;&gt;"Yes")*('Rework Log'!$G$3:$G$500&lt;&gt;"Did not pass re-test"))&gt;0),"Open rework row - mark Blocked? or close it",IF(AND(LEFT($AC110,3)&lt;&gt;"Yes",SUMPRODUCT((TRIM('Rework Log'!$A$3:$A$500)=TRIM($B110))*('Rework Log'!$G$3:$G$500&lt;&gt;"Yes")*('Rework Log'!$G$3:$G$500&lt;&gt;"Did not pass re-test"))=0,COUNTIF('Rework Log'!$A$3:$A$500,$B110)&gt;0,IFERROR(INDEX('Rework Log'!$G:$G,SUMPRODUCT(MAX((TRIM('Rework Log'!$A$3:$A$500)=TRIM($B110))*ROW('Rework Log'!$A$3:$A$500)))),"")="Did not pass re-test"),"Last fix rejected - re-block or log next attempt",IF(AND(LEFT($AC110,3)="Yes",ISNUMBER(SEARCH("needs DB Dev",$AC110)),O110&lt;&gt;"",SUMPRODUCT(MAX(((TRIM('Rework Log'!$A$3:$A$500)=TRIM($B110))*('Rework Log'!$G$3:$G$500&lt;&gt;"Yes")*('Rework Log'!$G$3:$G$500&lt;&gt;"Did not pass re-test"))*IFERROR('Rework Log'!$I$3:$I$500*1,0)))&gt;0),"Move old DB Dev completion date to Rework Log (col H)",IF(AND(LEFT($AC110,3)="Yes",ISNUMBER(SEARCH("needs PBI Dev",$AC110)),R110&lt;&gt;"",SUMPRODUCT(MAX(((TRIM('Rework Log'!$A$3:$A$500)=TRIM($B110))*('Rework Log'!$G$3:$G$500&lt;&gt;"Yes")*('Rework Log'!$G$3:$G$500&lt;&gt;"Did not pass re-test"))*IFERROR('Rework Log'!$I$3:$I$500*1,0)))&gt;0),"Move old PBI Dev completion date to Rework Log (col H)",IF(AND(LEFT($AC110,3)="Yes",ISNUMBER(SEARCH("needs QA",$AC110)),U110&lt;&gt;"",SUMPRODUCT(MAX(((TRIM('Rework Log'!$A$3:$A$500)=TRIM($B110))*('Rework Log'!$G$3:$G$500&lt;&gt;"Yes")*('Rework Log'!$G$3:$G$500&lt;&gt;"Did not pass re-test"))*IFERROR('Rework Log'!$I$3:$I$500*1,0)))&gt;0),"Move old QA completion date to Rework Log (col H)",IF(AND(LEFT($AC110,3)="Yes",ISNUMBER(SEARCH("needs DB Dev",$AC110)),TRIM(C110)&lt;&gt;"DB Dev"),"Set Current Status back to DB Dev",IF(AND(LEFT($AC110,3)="Yes",ISNUMBER(SEARCH("needs PBI Dev",$AC110)),TRIM(C110)&lt;&gt;"PBI Dev"),"Set Current Status back to PBI Dev",IF(AND(LEFT($AC110,3)="Yes",ISNUMBER(SEARCH("needs QA",$AC110)),TRIM(C110)&lt;&gt;"QA"),"Set Current Status back to QA",IF(COUNTIF($B$2:$B$500,$B110)&gt;1,"Duplicate name - check row",IF(AND(TRIM(C110)="RELEASED IN PROD",Y110&lt;&gt;"Yes"),"Released but Confirmed Deployed? is not Yes",IF(COUNTIF('Rework Log'!$A$3:$A$500,$B110)&gt;0,"",IF(AND(S110&lt;&gt;"",M110&lt;&gt;"",S110&lt;M110),"QA target is before DB Dev target",IF(AND(S110&lt;&gt;"",P110&lt;&gt;"",S110&lt;P110),"QA target is before PBI Dev target",IF(AND(V110&lt;&gt;"",S110&lt;&gt;"",V110&lt;S110),"DPO Approval target is before QA target",IF(AND(Z110&lt;&gt;"",V110&lt;&gt;"",Z110&lt;V110),"Confirmed Deployed date is before DPO Approval target","")))))))))))))))))</f>
        <v/>
      </c>
      <c r="AE110" s="62"/>
    </row>
    <row r="111" spans="1:31" x14ac:dyDescent="0.25">
      <c r="A111" s="62"/>
      <c r="B111" s="62"/>
      <c r="C111" s="62"/>
      <c r="D111" s="64" t="str">
        <f ca="1">IF($B111="","",IF(LEFT($AC111,3)="Yes",IF(LEN($AC111)&gt;5,"Blocked - "&amp;MID($AC111,7,100),"Blocked")&amp;IF(SUMPRODUCT((TRIM('Rework Log'!$A$3:$A$500)=TRIM($B111))*('Rework Log'!$G$3:$G$500&lt;&gt;"Yes")*('Rework Log'!$G$3:$G$500&lt;&gt;"Did not pass re-test"))=0,"",IF(SUMPRODUCT(((TRIM('Rework Log'!$A$3:$A$500)=TRIM($B111))*('Rework Log'!$G$3:$G$500&lt;&gt;"Yes")*('Rework Log'!$G$3:$G$500&lt;&gt;"Did not pass re-test"))*ISNUMBER('Rework Log'!$J$3:$J$500))&gt;0," - fixed, awaiting re-test",IF(SUMPRODUCT(MAX(((TRIM('Rework Log'!$A$3:$A$500)=TRIM($B111))*('Rework Log'!$G$3:$G$500&lt;&gt;"Yes")*('Rework Log'!$G$3:$G$500&lt;&gt;"Did not pass re-test"))*IFERROR('Rework Log'!$I$3:$I$500*1,0)))=0," - unclaimed"," - promised "&amp;TEXT(SUMPRODUCT(MAX(((TRIM('Rework Log'!$A$3:$A$500)=TRIM($B111))*('Rework Log'!$G$3:$G$500&lt;&gt;"Yes")*('Rework Log'!$G$3:$G$500&lt;&gt;"Did not pass re-test"))*IFERROR('Rework Log'!$I$3:$I$500*1,0))),"m/d")))),IF(TRIM(C111)="NOT STARTED",IF(K111="","No plan date set",IF(K111&lt;TODAY(),"Review - planned start passed","On track")),IF(TRIM(C111)="DB Dev",IF(M111="","No target set",IF(AND(M111&lt;TODAY(),O111=""),"Overdue","On track")),IF(TRIM(C111)="PBI Dev",IF(P111="","No target set",IF(AND(P111&lt;TODAY(),R111=""),"Overdue","On track")),IF(TRIM(C111)="QA",IF(S111="","No target set",IF(AND(S111&lt;TODAY(),U111=""),"Overdue","On track")),IF(TRIM(C111)="DPO Approval",IF(V111="","No target set",IF(V111&lt;TODAY(),"Overdue","On track")),IF(TRIM(C111)="RELEASED IN PROD","Delivered",""))))))))</f>
        <v/>
      </c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4" t="str">
        <f>IF($B111="","",IF(AND(LEFT($AC111,3)="Yes",SUMPRODUCT((TRIM('Rework Log'!$A$3:$A$500)=TRIM($B111))*('Rework Log'!$G$3:$G$500&lt;&gt;"Yes")*('Rework Log'!$G$3:$G$500&lt;&gt;"Did not pass re-test"))=0),"Blocked - log it on Rework Log",IF(AND(LEFT($AC111,3)&lt;&gt;"Yes",SUMPRODUCT((TRIM('Rework Log'!$A$3:$A$500)=TRIM($B111))*('Rework Log'!$G$3:$G$500&lt;&gt;"Yes")*('Rework Log'!$G$3:$G$500&lt;&gt;"Did not pass re-test"))&gt;0),"Open rework row - mark Blocked? or close it",IF(AND(LEFT($AC111,3)&lt;&gt;"Yes",SUMPRODUCT((TRIM('Rework Log'!$A$3:$A$500)=TRIM($B111))*('Rework Log'!$G$3:$G$500&lt;&gt;"Yes")*('Rework Log'!$G$3:$G$500&lt;&gt;"Did not pass re-test"))=0,COUNTIF('Rework Log'!$A$3:$A$500,$B111)&gt;0,IFERROR(INDEX('Rework Log'!$G:$G,SUMPRODUCT(MAX((TRIM('Rework Log'!$A$3:$A$500)=TRIM($B111))*ROW('Rework Log'!$A$3:$A$500)))),"")="Did not pass re-test"),"Last fix rejected - re-block or log next attempt",IF(AND(LEFT($AC111,3)="Yes",ISNUMBER(SEARCH("needs DB Dev",$AC111)),O111&lt;&gt;"",SUMPRODUCT(MAX(((TRIM('Rework Log'!$A$3:$A$500)=TRIM($B111))*('Rework Log'!$G$3:$G$500&lt;&gt;"Yes")*('Rework Log'!$G$3:$G$500&lt;&gt;"Did not pass re-test"))*IFERROR('Rework Log'!$I$3:$I$500*1,0)))&gt;0),"Move old DB Dev completion date to Rework Log (col H)",IF(AND(LEFT($AC111,3)="Yes",ISNUMBER(SEARCH("needs PBI Dev",$AC111)),R111&lt;&gt;"",SUMPRODUCT(MAX(((TRIM('Rework Log'!$A$3:$A$500)=TRIM($B111))*('Rework Log'!$G$3:$G$500&lt;&gt;"Yes")*('Rework Log'!$G$3:$G$500&lt;&gt;"Did not pass re-test"))*IFERROR('Rework Log'!$I$3:$I$500*1,0)))&gt;0),"Move old PBI Dev completion date to Rework Log (col H)",IF(AND(LEFT($AC111,3)="Yes",ISNUMBER(SEARCH("needs QA",$AC111)),U111&lt;&gt;"",SUMPRODUCT(MAX(((TRIM('Rework Log'!$A$3:$A$500)=TRIM($B111))*('Rework Log'!$G$3:$G$500&lt;&gt;"Yes")*('Rework Log'!$G$3:$G$500&lt;&gt;"Did not pass re-test"))*IFERROR('Rework Log'!$I$3:$I$500*1,0)))&gt;0),"Move old QA completion date to Rework Log (col H)",IF(AND(LEFT($AC111,3)="Yes",ISNUMBER(SEARCH("needs DB Dev",$AC111)),TRIM(C111)&lt;&gt;"DB Dev"),"Set Current Status back to DB Dev",IF(AND(LEFT($AC111,3)="Yes",ISNUMBER(SEARCH("needs PBI Dev",$AC111)),TRIM(C111)&lt;&gt;"PBI Dev"),"Set Current Status back to PBI Dev",IF(AND(LEFT($AC111,3)="Yes",ISNUMBER(SEARCH("needs QA",$AC111)),TRIM(C111)&lt;&gt;"QA"),"Set Current Status back to QA",IF(COUNTIF($B$2:$B$500,$B111)&gt;1,"Duplicate name - check row",IF(AND(TRIM(C111)="RELEASED IN PROD",Y111&lt;&gt;"Yes"),"Released but Confirmed Deployed? is not Yes",IF(COUNTIF('Rework Log'!$A$3:$A$500,$B111)&gt;0,"",IF(AND(S111&lt;&gt;"",M111&lt;&gt;"",S111&lt;M111),"QA target is before DB Dev target",IF(AND(S111&lt;&gt;"",P111&lt;&gt;"",S111&lt;P111),"QA target is before PBI Dev target",IF(AND(V111&lt;&gt;"",S111&lt;&gt;"",V111&lt;S111),"DPO Approval target is before QA target",IF(AND(Z111&lt;&gt;"",V111&lt;&gt;"",Z111&lt;V111),"Confirmed Deployed date is before DPO Approval target","")))))))))))))))))</f>
        <v/>
      </c>
      <c r="AE111" s="62"/>
    </row>
    <row r="112" spans="1:31" x14ac:dyDescent="0.25">
      <c r="A112" s="62"/>
      <c r="B112" s="62"/>
      <c r="C112" s="62"/>
      <c r="D112" s="64" t="str">
        <f ca="1">IF($B112="","",IF(LEFT($AC112,3)="Yes",IF(LEN($AC112)&gt;5,"Blocked - "&amp;MID($AC112,7,100),"Blocked")&amp;IF(SUMPRODUCT((TRIM('Rework Log'!$A$3:$A$500)=TRIM($B112))*('Rework Log'!$G$3:$G$500&lt;&gt;"Yes")*('Rework Log'!$G$3:$G$500&lt;&gt;"Did not pass re-test"))=0,"",IF(SUMPRODUCT(((TRIM('Rework Log'!$A$3:$A$500)=TRIM($B112))*('Rework Log'!$G$3:$G$500&lt;&gt;"Yes")*('Rework Log'!$G$3:$G$500&lt;&gt;"Did not pass re-test"))*ISNUMBER('Rework Log'!$J$3:$J$500))&gt;0," - fixed, awaiting re-test",IF(SUMPRODUCT(MAX(((TRIM('Rework Log'!$A$3:$A$500)=TRIM($B112))*('Rework Log'!$G$3:$G$500&lt;&gt;"Yes")*('Rework Log'!$G$3:$G$500&lt;&gt;"Did not pass re-test"))*IFERROR('Rework Log'!$I$3:$I$500*1,0)))=0," - unclaimed"," - promised "&amp;TEXT(SUMPRODUCT(MAX(((TRIM('Rework Log'!$A$3:$A$500)=TRIM($B112))*('Rework Log'!$G$3:$G$500&lt;&gt;"Yes")*('Rework Log'!$G$3:$G$500&lt;&gt;"Did not pass re-test"))*IFERROR('Rework Log'!$I$3:$I$500*1,0))),"m/d")))),IF(TRIM(C112)="NOT STARTED",IF(K112="","No plan date set",IF(K112&lt;TODAY(),"Review - planned start passed","On track")),IF(TRIM(C112)="DB Dev",IF(M112="","No target set",IF(AND(M112&lt;TODAY(),O112=""),"Overdue","On track")),IF(TRIM(C112)="PBI Dev",IF(P112="","No target set",IF(AND(P112&lt;TODAY(),R112=""),"Overdue","On track")),IF(TRIM(C112)="QA",IF(S112="","No target set",IF(AND(S112&lt;TODAY(),U112=""),"Overdue","On track")),IF(TRIM(C112)="DPO Approval",IF(V112="","No target set",IF(V112&lt;TODAY(),"Overdue","On track")),IF(TRIM(C112)="RELEASED IN PROD","Delivered",""))))))))</f>
        <v/>
      </c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4" t="str">
        <f>IF($B112="","",IF(AND(LEFT($AC112,3)="Yes",SUMPRODUCT((TRIM('Rework Log'!$A$3:$A$500)=TRIM($B112))*('Rework Log'!$G$3:$G$500&lt;&gt;"Yes")*('Rework Log'!$G$3:$G$500&lt;&gt;"Did not pass re-test"))=0),"Blocked - log it on Rework Log",IF(AND(LEFT($AC112,3)&lt;&gt;"Yes",SUMPRODUCT((TRIM('Rework Log'!$A$3:$A$500)=TRIM($B112))*('Rework Log'!$G$3:$G$500&lt;&gt;"Yes")*('Rework Log'!$G$3:$G$500&lt;&gt;"Did not pass re-test"))&gt;0),"Open rework row - mark Blocked? or close it",IF(AND(LEFT($AC112,3)&lt;&gt;"Yes",SUMPRODUCT((TRIM('Rework Log'!$A$3:$A$500)=TRIM($B112))*('Rework Log'!$G$3:$G$500&lt;&gt;"Yes")*('Rework Log'!$G$3:$G$500&lt;&gt;"Did not pass re-test"))=0,COUNTIF('Rework Log'!$A$3:$A$500,$B112)&gt;0,IFERROR(INDEX('Rework Log'!$G:$G,SUMPRODUCT(MAX((TRIM('Rework Log'!$A$3:$A$500)=TRIM($B112))*ROW('Rework Log'!$A$3:$A$500)))),"")="Did not pass re-test"),"Last fix rejected - re-block or log next attempt",IF(AND(LEFT($AC112,3)="Yes",ISNUMBER(SEARCH("needs DB Dev",$AC112)),O112&lt;&gt;"",SUMPRODUCT(MAX(((TRIM('Rework Log'!$A$3:$A$500)=TRIM($B112))*('Rework Log'!$G$3:$G$500&lt;&gt;"Yes")*('Rework Log'!$G$3:$G$500&lt;&gt;"Did not pass re-test"))*IFERROR('Rework Log'!$I$3:$I$500*1,0)))&gt;0),"Move old DB Dev completion date to Rework Log (col H)",IF(AND(LEFT($AC112,3)="Yes",ISNUMBER(SEARCH("needs PBI Dev",$AC112)),R112&lt;&gt;"",SUMPRODUCT(MAX(((TRIM('Rework Log'!$A$3:$A$500)=TRIM($B112))*('Rework Log'!$G$3:$G$500&lt;&gt;"Yes")*('Rework Log'!$G$3:$G$500&lt;&gt;"Did not pass re-test"))*IFERROR('Rework Log'!$I$3:$I$500*1,0)))&gt;0),"Move old PBI Dev completion date to Rework Log (col H)",IF(AND(LEFT($AC112,3)="Yes",ISNUMBER(SEARCH("needs QA",$AC112)),U112&lt;&gt;"",SUMPRODUCT(MAX(((TRIM('Rework Log'!$A$3:$A$500)=TRIM($B112))*('Rework Log'!$G$3:$G$500&lt;&gt;"Yes")*('Rework Log'!$G$3:$G$500&lt;&gt;"Did not pass re-test"))*IFERROR('Rework Log'!$I$3:$I$500*1,0)))&gt;0),"Move old QA completion date to Rework Log (col H)",IF(AND(LEFT($AC112,3)="Yes",ISNUMBER(SEARCH("needs DB Dev",$AC112)),TRIM(C112)&lt;&gt;"DB Dev"),"Set Current Status back to DB Dev",IF(AND(LEFT($AC112,3)="Yes",ISNUMBER(SEARCH("needs PBI Dev",$AC112)),TRIM(C112)&lt;&gt;"PBI Dev"),"Set Current Status back to PBI Dev",IF(AND(LEFT($AC112,3)="Yes",ISNUMBER(SEARCH("needs QA",$AC112)),TRIM(C112)&lt;&gt;"QA"),"Set Current Status back to QA",IF(COUNTIF($B$2:$B$500,$B112)&gt;1,"Duplicate name - check row",IF(AND(TRIM(C112)="RELEASED IN PROD",Y112&lt;&gt;"Yes"),"Released but Confirmed Deployed? is not Yes",IF(COUNTIF('Rework Log'!$A$3:$A$500,$B112)&gt;0,"",IF(AND(S112&lt;&gt;"",M112&lt;&gt;"",S112&lt;M112),"QA target is before DB Dev target",IF(AND(S112&lt;&gt;"",P112&lt;&gt;"",S112&lt;P112),"QA target is before PBI Dev target",IF(AND(V112&lt;&gt;"",S112&lt;&gt;"",V112&lt;S112),"DPO Approval target is before QA target",IF(AND(Z112&lt;&gt;"",V112&lt;&gt;"",Z112&lt;V112),"Confirmed Deployed date is before DPO Approval target","")))))))))))))))))</f>
        <v/>
      </c>
      <c r="AE112" s="62"/>
    </row>
    <row r="113" spans="1:31" x14ac:dyDescent="0.25">
      <c r="A113" s="62"/>
      <c r="B113" s="62"/>
      <c r="C113" s="62"/>
      <c r="D113" s="64" t="str">
        <f ca="1">IF($B113="","",IF(LEFT($AC113,3)="Yes",IF(LEN($AC113)&gt;5,"Blocked - "&amp;MID($AC113,7,100),"Blocked")&amp;IF(SUMPRODUCT((TRIM('Rework Log'!$A$3:$A$500)=TRIM($B113))*('Rework Log'!$G$3:$G$500&lt;&gt;"Yes")*('Rework Log'!$G$3:$G$500&lt;&gt;"Did not pass re-test"))=0,"",IF(SUMPRODUCT(((TRIM('Rework Log'!$A$3:$A$500)=TRIM($B113))*('Rework Log'!$G$3:$G$500&lt;&gt;"Yes")*('Rework Log'!$G$3:$G$500&lt;&gt;"Did not pass re-test"))*ISNUMBER('Rework Log'!$J$3:$J$500))&gt;0," - fixed, awaiting re-test",IF(SUMPRODUCT(MAX(((TRIM('Rework Log'!$A$3:$A$500)=TRIM($B113))*('Rework Log'!$G$3:$G$500&lt;&gt;"Yes")*('Rework Log'!$G$3:$G$500&lt;&gt;"Did not pass re-test"))*IFERROR('Rework Log'!$I$3:$I$500*1,0)))=0," - unclaimed"," - promised "&amp;TEXT(SUMPRODUCT(MAX(((TRIM('Rework Log'!$A$3:$A$500)=TRIM($B113))*('Rework Log'!$G$3:$G$500&lt;&gt;"Yes")*('Rework Log'!$G$3:$G$500&lt;&gt;"Did not pass re-test"))*IFERROR('Rework Log'!$I$3:$I$500*1,0))),"m/d")))),IF(TRIM(C113)="NOT STARTED",IF(K113="","No plan date set",IF(K113&lt;TODAY(),"Review - planned start passed","On track")),IF(TRIM(C113)="DB Dev",IF(M113="","No target set",IF(AND(M113&lt;TODAY(),O113=""),"Overdue","On track")),IF(TRIM(C113)="PBI Dev",IF(P113="","No target set",IF(AND(P113&lt;TODAY(),R113=""),"Overdue","On track")),IF(TRIM(C113)="QA",IF(S113="","No target set",IF(AND(S113&lt;TODAY(),U113=""),"Overdue","On track")),IF(TRIM(C113)="DPO Approval",IF(V113="","No target set",IF(V113&lt;TODAY(),"Overdue","On track")),IF(TRIM(C113)="RELEASED IN PROD","Delivered",""))))))))</f>
        <v/>
      </c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4" t="str">
        <f>IF($B113="","",IF(AND(LEFT($AC113,3)="Yes",SUMPRODUCT((TRIM('Rework Log'!$A$3:$A$500)=TRIM($B113))*('Rework Log'!$G$3:$G$500&lt;&gt;"Yes")*('Rework Log'!$G$3:$G$500&lt;&gt;"Did not pass re-test"))=0),"Blocked - log it on Rework Log",IF(AND(LEFT($AC113,3)&lt;&gt;"Yes",SUMPRODUCT((TRIM('Rework Log'!$A$3:$A$500)=TRIM($B113))*('Rework Log'!$G$3:$G$500&lt;&gt;"Yes")*('Rework Log'!$G$3:$G$500&lt;&gt;"Did not pass re-test"))&gt;0),"Open rework row - mark Blocked? or close it",IF(AND(LEFT($AC113,3)&lt;&gt;"Yes",SUMPRODUCT((TRIM('Rework Log'!$A$3:$A$500)=TRIM($B113))*('Rework Log'!$G$3:$G$500&lt;&gt;"Yes")*('Rework Log'!$G$3:$G$500&lt;&gt;"Did not pass re-test"))=0,COUNTIF('Rework Log'!$A$3:$A$500,$B113)&gt;0,IFERROR(INDEX('Rework Log'!$G:$G,SUMPRODUCT(MAX((TRIM('Rework Log'!$A$3:$A$500)=TRIM($B113))*ROW('Rework Log'!$A$3:$A$500)))),"")="Did not pass re-test"),"Last fix rejected - re-block or log next attempt",IF(AND(LEFT($AC113,3)="Yes",ISNUMBER(SEARCH("needs DB Dev",$AC113)),O113&lt;&gt;"",SUMPRODUCT(MAX(((TRIM('Rework Log'!$A$3:$A$500)=TRIM($B113))*('Rework Log'!$G$3:$G$500&lt;&gt;"Yes")*('Rework Log'!$G$3:$G$500&lt;&gt;"Did not pass re-test"))*IFERROR('Rework Log'!$I$3:$I$500*1,0)))&gt;0),"Move old DB Dev completion date to Rework Log (col H)",IF(AND(LEFT($AC113,3)="Yes",ISNUMBER(SEARCH("needs PBI Dev",$AC113)),R113&lt;&gt;"",SUMPRODUCT(MAX(((TRIM('Rework Log'!$A$3:$A$500)=TRIM($B113))*('Rework Log'!$G$3:$G$500&lt;&gt;"Yes")*('Rework Log'!$G$3:$G$500&lt;&gt;"Did not pass re-test"))*IFERROR('Rework Log'!$I$3:$I$500*1,0)))&gt;0),"Move old PBI Dev completion date to Rework Log (col H)",IF(AND(LEFT($AC113,3)="Yes",ISNUMBER(SEARCH("needs QA",$AC113)),U113&lt;&gt;"",SUMPRODUCT(MAX(((TRIM('Rework Log'!$A$3:$A$500)=TRIM($B113))*('Rework Log'!$G$3:$G$500&lt;&gt;"Yes")*('Rework Log'!$G$3:$G$500&lt;&gt;"Did not pass re-test"))*IFERROR('Rework Log'!$I$3:$I$500*1,0)))&gt;0),"Move old QA completion date to Rework Log (col H)",IF(AND(LEFT($AC113,3)="Yes",ISNUMBER(SEARCH("needs DB Dev",$AC113)),TRIM(C113)&lt;&gt;"DB Dev"),"Set Current Status back to DB Dev",IF(AND(LEFT($AC113,3)="Yes",ISNUMBER(SEARCH("needs PBI Dev",$AC113)),TRIM(C113)&lt;&gt;"PBI Dev"),"Set Current Status back to PBI Dev",IF(AND(LEFT($AC113,3)="Yes",ISNUMBER(SEARCH("needs QA",$AC113)),TRIM(C113)&lt;&gt;"QA"),"Set Current Status back to QA",IF(COUNTIF($B$2:$B$500,$B113)&gt;1,"Duplicate name - check row",IF(AND(TRIM(C113)="RELEASED IN PROD",Y113&lt;&gt;"Yes"),"Released but Confirmed Deployed? is not Yes",IF(COUNTIF('Rework Log'!$A$3:$A$500,$B113)&gt;0,"",IF(AND(S113&lt;&gt;"",M113&lt;&gt;"",S113&lt;M113),"QA target is before DB Dev target",IF(AND(S113&lt;&gt;"",P113&lt;&gt;"",S113&lt;P113),"QA target is before PBI Dev target",IF(AND(V113&lt;&gt;"",S113&lt;&gt;"",V113&lt;S113),"DPO Approval target is before QA target",IF(AND(Z113&lt;&gt;"",V113&lt;&gt;"",Z113&lt;V113),"Confirmed Deployed date is before DPO Approval target","")))))))))))))))))</f>
        <v/>
      </c>
      <c r="AE113" s="62"/>
    </row>
    <row r="114" spans="1:31" x14ac:dyDescent="0.25">
      <c r="A114" s="62"/>
      <c r="B114" s="62"/>
      <c r="C114" s="62"/>
      <c r="D114" s="64" t="str">
        <f ca="1">IF($B114="","",IF(LEFT($AC114,3)="Yes",IF(LEN($AC114)&gt;5,"Blocked - "&amp;MID($AC114,7,100),"Blocked")&amp;IF(SUMPRODUCT((TRIM('Rework Log'!$A$3:$A$500)=TRIM($B114))*('Rework Log'!$G$3:$G$500&lt;&gt;"Yes")*('Rework Log'!$G$3:$G$500&lt;&gt;"Did not pass re-test"))=0,"",IF(SUMPRODUCT(((TRIM('Rework Log'!$A$3:$A$500)=TRIM($B114))*('Rework Log'!$G$3:$G$500&lt;&gt;"Yes")*('Rework Log'!$G$3:$G$500&lt;&gt;"Did not pass re-test"))*ISNUMBER('Rework Log'!$J$3:$J$500))&gt;0," - fixed, awaiting re-test",IF(SUMPRODUCT(MAX(((TRIM('Rework Log'!$A$3:$A$500)=TRIM($B114))*('Rework Log'!$G$3:$G$500&lt;&gt;"Yes")*('Rework Log'!$G$3:$G$500&lt;&gt;"Did not pass re-test"))*IFERROR('Rework Log'!$I$3:$I$500*1,0)))=0," - unclaimed"," - promised "&amp;TEXT(SUMPRODUCT(MAX(((TRIM('Rework Log'!$A$3:$A$500)=TRIM($B114))*('Rework Log'!$G$3:$G$500&lt;&gt;"Yes")*('Rework Log'!$G$3:$G$500&lt;&gt;"Did not pass re-test"))*IFERROR('Rework Log'!$I$3:$I$500*1,0))),"m/d")))),IF(TRIM(C114)="NOT STARTED",IF(K114="","No plan date set",IF(K114&lt;TODAY(),"Review - planned start passed","On track")),IF(TRIM(C114)="DB Dev",IF(M114="","No target set",IF(AND(M114&lt;TODAY(),O114=""),"Overdue","On track")),IF(TRIM(C114)="PBI Dev",IF(P114="","No target set",IF(AND(P114&lt;TODAY(),R114=""),"Overdue","On track")),IF(TRIM(C114)="QA",IF(S114="","No target set",IF(AND(S114&lt;TODAY(),U114=""),"Overdue","On track")),IF(TRIM(C114)="DPO Approval",IF(V114="","No target set",IF(V114&lt;TODAY(),"Overdue","On track")),IF(TRIM(C114)="RELEASED IN PROD","Delivered",""))))))))</f>
        <v/>
      </c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4" t="str">
        <f>IF($B114="","",IF(AND(LEFT($AC114,3)="Yes",SUMPRODUCT((TRIM('Rework Log'!$A$3:$A$500)=TRIM($B114))*('Rework Log'!$G$3:$G$500&lt;&gt;"Yes")*('Rework Log'!$G$3:$G$500&lt;&gt;"Did not pass re-test"))=0),"Blocked - log it on Rework Log",IF(AND(LEFT($AC114,3)&lt;&gt;"Yes",SUMPRODUCT((TRIM('Rework Log'!$A$3:$A$500)=TRIM($B114))*('Rework Log'!$G$3:$G$500&lt;&gt;"Yes")*('Rework Log'!$G$3:$G$500&lt;&gt;"Did not pass re-test"))&gt;0),"Open rework row - mark Blocked? or close it",IF(AND(LEFT($AC114,3)&lt;&gt;"Yes",SUMPRODUCT((TRIM('Rework Log'!$A$3:$A$500)=TRIM($B114))*('Rework Log'!$G$3:$G$500&lt;&gt;"Yes")*('Rework Log'!$G$3:$G$500&lt;&gt;"Did not pass re-test"))=0,COUNTIF('Rework Log'!$A$3:$A$500,$B114)&gt;0,IFERROR(INDEX('Rework Log'!$G:$G,SUMPRODUCT(MAX((TRIM('Rework Log'!$A$3:$A$500)=TRIM($B114))*ROW('Rework Log'!$A$3:$A$500)))),"")="Did not pass re-test"),"Last fix rejected - re-block or log next attempt",IF(AND(LEFT($AC114,3)="Yes",ISNUMBER(SEARCH("needs DB Dev",$AC114)),O114&lt;&gt;"",SUMPRODUCT(MAX(((TRIM('Rework Log'!$A$3:$A$500)=TRIM($B114))*('Rework Log'!$G$3:$G$500&lt;&gt;"Yes")*('Rework Log'!$G$3:$G$500&lt;&gt;"Did not pass re-test"))*IFERROR('Rework Log'!$I$3:$I$500*1,0)))&gt;0),"Move old DB Dev completion date to Rework Log (col H)",IF(AND(LEFT($AC114,3)="Yes",ISNUMBER(SEARCH("needs PBI Dev",$AC114)),R114&lt;&gt;"",SUMPRODUCT(MAX(((TRIM('Rework Log'!$A$3:$A$500)=TRIM($B114))*('Rework Log'!$G$3:$G$500&lt;&gt;"Yes")*('Rework Log'!$G$3:$G$500&lt;&gt;"Did not pass re-test"))*IFERROR('Rework Log'!$I$3:$I$500*1,0)))&gt;0),"Move old PBI Dev completion date to Rework Log (col H)",IF(AND(LEFT($AC114,3)="Yes",ISNUMBER(SEARCH("needs QA",$AC114)),U114&lt;&gt;"",SUMPRODUCT(MAX(((TRIM('Rework Log'!$A$3:$A$500)=TRIM($B114))*('Rework Log'!$G$3:$G$500&lt;&gt;"Yes")*('Rework Log'!$G$3:$G$500&lt;&gt;"Did not pass re-test"))*IFERROR('Rework Log'!$I$3:$I$500*1,0)))&gt;0),"Move old QA completion date to Rework Log (col H)",IF(AND(LEFT($AC114,3)="Yes",ISNUMBER(SEARCH("needs DB Dev",$AC114)),TRIM(C114)&lt;&gt;"DB Dev"),"Set Current Status back to DB Dev",IF(AND(LEFT($AC114,3)="Yes",ISNUMBER(SEARCH("needs PBI Dev",$AC114)),TRIM(C114)&lt;&gt;"PBI Dev"),"Set Current Status back to PBI Dev",IF(AND(LEFT($AC114,3)="Yes",ISNUMBER(SEARCH("needs QA",$AC114)),TRIM(C114)&lt;&gt;"QA"),"Set Current Status back to QA",IF(COUNTIF($B$2:$B$500,$B114)&gt;1,"Duplicate name - check row",IF(AND(TRIM(C114)="RELEASED IN PROD",Y114&lt;&gt;"Yes"),"Released but Confirmed Deployed? is not Yes",IF(COUNTIF('Rework Log'!$A$3:$A$500,$B114)&gt;0,"",IF(AND(S114&lt;&gt;"",M114&lt;&gt;"",S114&lt;M114),"QA target is before DB Dev target",IF(AND(S114&lt;&gt;"",P114&lt;&gt;"",S114&lt;P114),"QA target is before PBI Dev target",IF(AND(V114&lt;&gt;"",S114&lt;&gt;"",V114&lt;S114),"DPO Approval target is before QA target",IF(AND(Z114&lt;&gt;"",V114&lt;&gt;"",Z114&lt;V114),"Confirmed Deployed date is before DPO Approval target","")))))))))))))))))</f>
        <v/>
      </c>
      <c r="AE114" s="62"/>
    </row>
    <row r="115" spans="1:31" x14ac:dyDescent="0.25">
      <c r="A115" s="62"/>
      <c r="B115" s="62"/>
      <c r="C115" s="62"/>
      <c r="D115" s="64" t="str">
        <f ca="1">IF($B115="","",IF(LEFT($AC115,3)="Yes",IF(LEN($AC115)&gt;5,"Blocked - "&amp;MID($AC115,7,100),"Blocked")&amp;IF(SUMPRODUCT((TRIM('Rework Log'!$A$3:$A$500)=TRIM($B115))*('Rework Log'!$G$3:$G$500&lt;&gt;"Yes")*('Rework Log'!$G$3:$G$500&lt;&gt;"Did not pass re-test"))=0,"",IF(SUMPRODUCT(((TRIM('Rework Log'!$A$3:$A$500)=TRIM($B115))*('Rework Log'!$G$3:$G$500&lt;&gt;"Yes")*('Rework Log'!$G$3:$G$500&lt;&gt;"Did not pass re-test"))*ISNUMBER('Rework Log'!$J$3:$J$500))&gt;0," - fixed, awaiting re-test",IF(SUMPRODUCT(MAX(((TRIM('Rework Log'!$A$3:$A$500)=TRIM($B115))*('Rework Log'!$G$3:$G$500&lt;&gt;"Yes")*('Rework Log'!$G$3:$G$500&lt;&gt;"Did not pass re-test"))*IFERROR('Rework Log'!$I$3:$I$500*1,0)))=0," - unclaimed"," - promised "&amp;TEXT(SUMPRODUCT(MAX(((TRIM('Rework Log'!$A$3:$A$500)=TRIM($B115))*('Rework Log'!$G$3:$G$500&lt;&gt;"Yes")*('Rework Log'!$G$3:$G$500&lt;&gt;"Did not pass re-test"))*IFERROR('Rework Log'!$I$3:$I$500*1,0))),"m/d")))),IF(TRIM(C115)="NOT STARTED",IF(K115="","No plan date set",IF(K115&lt;TODAY(),"Review - planned start passed","On track")),IF(TRIM(C115)="DB Dev",IF(M115="","No target set",IF(AND(M115&lt;TODAY(),O115=""),"Overdue","On track")),IF(TRIM(C115)="PBI Dev",IF(P115="","No target set",IF(AND(P115&lt;TODAY(),R115=""),"Overdue","On track")),IF(TRIM(C115)="QA",IF(S115="","No target set",IF(AND(S115&lt;TODAY(),U115=""),"Overdue","On track")),IF(TRIM(C115)="DPO Approval",IF(V115="","No target set",IF(V115&lt;TODAY(),"Overdue","On track")),IF(TRIM(C115)="RELEASED IN PROD","Delivered",""))))))))</f>
        <v/>
      </c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4" t="str">
        <f>IF($B115="","",IF(AND(LEFT($AC115,3)="Yes",SUMPRODUCT((TRIM('Rework Log'!$A$3:$A$500)=TRIM($B115))*('Rework Log'!$G$3:$G$500&lt;&gt;"Yes")*('Rework Log'!$G$3:$G$500&lt;&gt;"Did not pass re-test"))=0),"Blocked - log it on Rework Log",IF(AND(LEFT($AC115,3)&lt;&gt;"Yes",SUMPRODUCT((TRIM('Rework Log'!$A$3:$A$500)=TRIM($B115))*('Rework Log'!$G$3:$G$500&lt;&gt;"Yes")*('Rework Log'!$G$3:$G$500&lt;&gt;"Did not pass re-test"))&gt;0),"Open rework row - mark Blocked? or close it",IF(AND(LEFT($AC115,3)&lt;&gt;"Yes",SUMPRODUCT((TRIM('Rework Log'!$A$3:$A$500)=TRIM($B115))*('Rework Log'!$G$3:$G$500&lt;&gt;"Yes")*('Rework Log'!$G$3:$G$500&lt;&gt;"Did not pass re-test"))=0,COUNTIF('Rework Log'!$A$3:$A$500,$B115)&gt;0,IFERROR(INDEX('Rework Log'!$G:$G,SUMPRODUCT(MAX((TRIM('Rework Log'!$A$3:$A$500)=TRIM($B115))*ROW('Rework Log'!$A$3:$A$500)))),"")="Did not pass re-test"),"Last fix rejected - re-block or log next attempt",IF(AND(LEFT($AC115,3)="Yes",ISNUMBER(SEARCH("needs DB Dev",$AC115)),O115&lt;&gt;"",SUMPRODUCT(MAX(((TRIM('Rework Log'!$A$3:$A$500)=TRIM($B115))*('Rework Log'!$G$3:$G$500&lt;&gt;"Yes")*('Rework Log'!$G$3:$G$500&lt;&gt;"Did not pass re-test"))*IFERROR('Rework Log'!$I$3:$I$500*1,0)))&gt;0),"Move old DB Dev completion date to Rework Log (col H)",IF(AND(LEFT($AC115,3)="Yes",ISNUMBER(SEARCH("needs PBI Dev",$AC115)),R115&lt;&gt;"",SUMPRODUCT(MAX(((TRIM('Rework Log'!$A$3:$A$500)=TRIM($B115))*('Rework Log'!$G$3:$G$500&lt;&gt;"Yes")*('Rework Log'!$G$3:$G$500&lt;&gt;"Did not pass re-test"))*IFERROR('Rework Log'!$I$3:$I$500*1,0)))&gt;0),"Move old PBI Dev completion date to Rework Log (col H)",IF(AND(LEFT($AC115,3)="Yes",ISNUMBER(SEARCH("needs QA",$AC115)),U115&lt;&gt;"",SUMPRODUCT(MAX(((TRIM('Rework Log'!$A$3:$A$500)=TRIM($B115))*('Rework Log'!$G$3:$G$500&lt;&gt;"Yes")*('Rework Log'!$G$3:$G$500&lt;&gt;"Did not pass re-test"))*IFERROR('Rework Log'!$I$3:$I$500*1,0)))&gt;0),"Move old QA completion date to Rework Log (col H)",IF(AND(LEFT($AC115,3)="Yes",ISNUMBER(SEARCH("needs DB Dev",$AC115)),TRIM(C115)&lt;&gt;"DB Dev"),"Set Current Status back to DB Dev",IF(AND(LEFT($AC115,3)="Yes",ISNUMBER(SEARCH("needs PBI Dev",$AC115)),TRIM(C115)&lt;&gt;"PBI Dev"),"Set Current Status back to PBI Dev",IF(AND(LEFT($AC115,3)="Yes",ISNUMBER(SEARCH("needs QA",$AC115)),TRIM(C115)&lt;&gt;"QA"),"Set Current Status back to QA",IF(COUNTIF($B$2:$B$500,$B115)&gt;1,"Duplicate name - check row",IF(AND(TRIM(C115)="RELEASED IN PROD",Y115&lt;&gt;"Yes"),"Released but Confirmed Deployed? is not Yes",IF(COUNTIF('Rework Log'!$A$3:$A$500,$B115)&gt;0,"",IF(AND(S115&lt;&gt;"",M115&lt;&gt;"",S115&lt;M115),"QA target is before DB Dev target",IF(AND(S115&lt;&gt;"",P115&lt;&gt;"",S115&lt;P115),"QA target is before PBI Dev target",IF(AND(V115&lt;&gt;"",S115&lt;&gt;"",V115&lt;S115),"DPO Approval target is before QA target",IF(AND(Z115&lt;&gt;"",V115&lt;&gt;"",Z115&lt;V115),"Confirmed Deployed date is before DPO Approval target","")))))))))))))))))</f>
        <v/>
      </c>
      <c r="AE115" s="62"/>
    </row>
    <row r="116" spans="1:31" x14ac:dyDescent="0.25">
      <c r="A116" s="62"/>
      <c r="B116" s="62"/>
      <c r="C116" s="62"/>
      <c r="D116" s="64" t="str">
        <f ca="1">IF($B116="","",IF(LEFT($AC116,3)="Yes",IF(LEN($AC116)&gt;5,"Blocked - "&amp;MID($AC116,7,100),"Blocked")&amp;IF(SUMPRODUCT((TRIM('Rework Log'!$A$3:$A$500)=TRIM($B116))*('Rework Log'!$G$3:$G$500&lt;&gt;"Yes")*('Rework Log'!$G$3:$G$500&lt;&gt;"Did not pass re-test"))=0,"",IF(SUMPRODUCT(((TRIM('Rework Log'!$A$3:$A$500)=TRIM($B116))*('Rework Log'!$G$3:$G$500&lt;&gt;"Yes")*('Rework Log'!$G$3:$G$500&lt;&gt;"Did not pass re-test"))*ISNUMBER('Rework Log'!$J$3:$J$500))&gt;0," - fixed, awaiting re-test",IF(SUMPRODUCT(MAX(((TRIM('Rework Log'!$A$3:$A$500)=TRIM($B116))*('Rework Log'!$G$3:$G$500&lt;&gt;"Yes")*('Rework Log'!$G$3:$G$500&lt;&gt;"Did not pass re-test"))*IFERROR('Rework Log'!$I$3:$I$500*1,0)))=0," - unclaimed"," - promised "&amp;TEXT(SUMPRODUCT(MAX(((TRIM('Rework Log'!$A$3:$A$500)=TRIM($B116))*('Rework Log'!$G$3:$G$500&lt;&gt;"Yes")*('Rework Log'!$G$3:$G$500&lt;&gt;"Did not pass re-test"))*IFERROR('Rework Log'!$I$3:$I$500*1,0))),"m/d")))),IF(TRIM(C116)="NOT STARTED",IF(K116="","No plan date set",IF(K116&lt;TODAY(),"Review - planned start passed","On track")),IF(TRIM(C116)="DB Dev",IF(M116="","No target set",IF(AND(M116&lt;TODAY(),O116=""),"Overdue","On track")),IF(TRIM(C116)="PBI Dev",IF(P116="","No target set",IF(AND(P116&lt;TODAY(),R116=""),"Overdue","On track")),IF(TRIM(C116)="QA",IF(S116="","No target set",IF(AND(S116&lt;TODAY(),U116=""),"Overdue","On track")),IF(TRIM(C116)="DPO Approval",IF(V116="","No target set",IF(V116&lt;TODAY(),"Overdue","On track")),IF(TRIM(C116)="RELEASED IN PROD","Delivered",""))))))))</f>
        <v/>
      </c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4" t="str">
        <f>IF($B116="","",IF(AND(LEFT($AC116,3)="Yes",SUMPRODUCT((TRIM('Rework Log'!$A$3:$A$500)=TRIM($B116))*('Rework Log'!$G$3:$G$500&lt;&gt;"Yes")*('Rework Log'!$G$3:$G$500&lt;&gt;"Did not pass re-test"))=0),"Blocked - log it on Rework Log",IF(AND(LEFT($AC116,3)&lt;&gt;"Yes",SUMPRODUCT((TRIM('Rework Log'!$A$3:$A$500)=TRIM($B116))*('Rework Log'!$G$3:$G$500&lt;&gt;"Yes")*('Rework Log'!$G$3:$G$500&lt;&gt;"Did not pass re-test"))&gt;0),"Open rework row - mark Blocked? or close it",IF(AND(LEFT($AC116,3)&lt;&gt;"Yes",SUMPRODUCT((TRIM('Rework Log'!$A$3:$A$500)=TRIM($B116))*('Rework Log'!$G$3:$G$500&lt;&gt;"Yes")*('Rework Log'!$G$3:$G$500&lt;&gt;"Did not pass re-test"))=0,COUNTIF('Rework Log'!$A$3:$A$500,$B116)&gt;0,IFERROR(INDEX('Rework Log'!$G:$G,SUMPRODUCT(MAX((TRIM('Rework Log'!$A$3:$A$500)=TRIM($B116))*ROW('Rework Log'!$A$3:$A$500)))),"")="Did not pass re-test"),"Last fix rejected - re-block or log next attempt",IF(AND(LEFT($AC116,3)="Yes",ISNUMBER(SEARCH("needs DB Dev",$AC116)),O116&lt;&gt;"",SUMPRODUCT(MAX(((TRIM('Rework Log'!$A$3:$A$500)=TRIM($B116))*('Rework Log'!$G$3:$G$500&lt;&gt;"Yes")*('Rework Log'!$G$3:$G$500&lt;&gt;"Did not pass re-test"))*IFERROR('Rework Log'!$I$3:$I$500*1,0)))&gt;0),"Move old DB Dev completion date to Rework Log (col H)",IF(AND(LEFT($AC116,3)="Yes",ISNUMBER(SEARCH("needs PBI Dev",$AC116)),R116&lt;&gt;"",SUMPRODUCT(MAX(((TRIM('Rework Log'!$A$3:$A$500)=TRIM($B116))*('Rework Log'!$G$3:$G$500&lt;&gt;"Yes")*('Rework Log'!$G$3:$G$500&lt;&gt;"Did not pass re-test"))*IFERROR('Rework Log'!$I$3:$I$500*1,0)))&gt;0),"Move old PBI Dev completion date to Rework Log (col H)",IF(AND(LEFT($AC116,3)="Yes",ISNUMBER(SEARCH("needs QA",$AC116)),U116&lt;&gt;"",SUMPRODUCT(MAX(((TRIM('Rework Log'!$A$3:$A$500)=TRIM($B116))*('Rework Log'!$G$3:$G$500&lt;&gt;"Yes")*('Rework Log'!$G$3:$G$500&lt;&gt;"Did not pass re-test"))*IFERROR('Rework Log'!$I$3:$I$500*1,0)))&gt;0),"Move old QA completion date to Rework Log (col H)",IF(AND(LEFT($AC116,3)="Yes",ISNUMBER(SEARCH("needs DB Dev",$AC116)),TRIM(C116)&lt;&gt;"DB Dev"),"Set Current Status back to DB Dev",IF(AND(LEFT($AC116,3)="Yes",ISNUMBER(SEARCH("needs PBI Dev",$AC116)),TRIM(C116)&lt;&gt;"PBI Dev"),"Set Current Status back to PBI Dev",IF(AND(LEFT($AC116,3)="Yes",ISNUMBER(SEARCH("needs QA",$AC116)),TRIM(C116)&lt;&gt;"QA"),"Set Current Status back to QA",IF(COUNTIF($B$2:$B$500,$B116)&gt;1,"Duplicate name - check row",IF(AND(TRIM(C116)="RELEASED IN PROD",Y116&lt;&gt;"Yes"),"Released but Confirmed Deployed? is not Yes",IF(COUNTIF('Rework Log'!$A$3:$A$500,$B116)&gt;0,"",IF(AND(S116&lt;&gt;"",M116&lt;&gt;"",S116&lt;M116),"QA target is before DB Dev target",IF(AND(S116&lt;&gt;"",P116&lt;&gt;"",S116&lt;P116),"QA target is before PBI Dev target",IF(AND(V116&lt;&gt;"",S116&lt;&gt;"",V116&lt;S116),"DPO Approval target is before QA target",IF(AND(Z116&lt;&gt;"",V116&lt;&gt;"",Z116&lt;V116),"Confirmed Deployed date is before DPO Approval target","")))))))))))))))))</f>
        <v/>
      </c>
      <c r="AE116" s="62"/>
    </row>
    <row r="117" spans="1:31" x14ac:dyDescent="0.25">
      <c r="A117" s="62"/>
      <c r="B117" s="62"/>
      <c r="C117" s="62"/>
      <c r="D117" s="64" t="str">
        <f ca="1">IF($B117="","",IF(LEFT($AC117,3)="Yes",IF(LEN($AC117)&gt;5,"Blocked - "&amp;MID($AC117,7,100),"Blocked")&amp;IF(SUMPRODUCT((TRIM('Rework Log'!$A$3:$A$500)=TRIM($B117))*('Rework Log'!$G$3:$G$500&lt;&gt;"Yes")*('Rework Log'!$G$3:$G$500&lt;&gt;"Did not pass re-test"))=0,"",IF(SUMPRODUCT(((TRIM('Rework Log'!$A$3:$A$500)=TRIM($B117))*('Rework Log'!$G$3:$G$500&lt;&gt;"Yes")*('Rework Log'!$G$3:$G$500&lt;&gt;"Did not pass re-test"))*ISNUMBER('Rework Log'!$J$3:$J$500))&gt;0," - fixed, awaiting re-test",IF(SUMPRODUCT(MAX(((TRIM('Rework Log'!$A$3:$A$500)=TRIM($B117))*('Rework Log'!$G$3:$G$500&lt;&gt;"Yes")*('Rework Log'!$G$3:$G$500&lt;&gt;"Did not pass re-test"))*IFERROR('Rework Log'!$I$3:$I$500*1,0)))=0," - unclaimed"," - promised "&amp;TEXT(SUMPRODUCT(MAX(((TRIM('Rework Log'!$A$3:$A$500)=TRIM($B117))*('Rework Log'!$G$3:$G$500&lt;&gt;"Yes")*('Rework Log'!$G$3:$G$500&lt;&gt;"Did not pass re-test"))*IFERROR('Rework Log'!$I$3:$I$500*1,0))),"m/d")))),IF(TRIM(C117)="NOT STARTED",IF(K117="","No plan date set",IF(K117&lt;TODAY(),"Review - planned start passed","On track")),IF(TRIM(C117)="DB Dev",IF(M117="","No target set",IF(AND(M117&lt;TODAY(),O117=""),"Overdue","On track")),IF(TRIM(C117)="PBI Dev",IF(P117="","No target set",IF(AND(P117&lt;TODAY(),R117=""),"Overdue","On track")),IF(TRIM(C117)="QA",IF(S117="","No target set",IF(AND(S117&lt;TODAY(),U117=""),"Overdue","On track")),IF(TRIM(C117)="DPO Approval",IF(V117="","No target set",IF(V117&lt;TODAY(),"Overdue","On track")),IF(TRIM(C117)="RELEASED IN PROD","Delivered",""))))))))</f>
        <v/>
      </c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4" t="str">
        <f>IF($B117="","",IF(AND(LEFT($AC117,3)="Yes",SUMPRODUCT((TRIM('Rework Log'!$A$3:$A$500)=TRIM($B117))*('Rework Log'!$G$3:$G$500&lt;&gt;"Yes")*('Rework Log'!$G$3:$G$500&lt;&gt;"Did not pass re-test"))=0),"Blocked - log it on Rework Log",IF(AND(LEFT($AC117,3)&lt;&gt;"Yes",SUMPRODUCT((TRIM('Rework Log'!$A$3:$A$500)=TRIM($B117))*('Rework Log'!$G$3:$G$500&lt;&gt;"Yes")*('Rework Log'!$G$3:$G$500&lt;&gt;"Did not pass re-test"))&gt;0),"Open rework row - mark Blocked? or close it",IF(AND(LEFT($AC117,3)&lt;&gt;"Yes",SUMPRODUCT((TRIM('Rework Log'!$A$3:$A$500)=TRIM($B117))*('Rework Log'!$G$3:$G$500&lt;&gt;"Yes")*('Rework Log'!$G$3:$G$500&lt;&gt;"Did not pass re-test"))=0,COUNTIF('Rework Log'!$A$3:$A$500,$B117)&gt;0,IFERROR(INDEX('Rework Log'!$G:$G,SUMPRODUCT(MAX((TRIM('Rework Log'!$A$3:$A$500)=TRIM($B117))*ROW('Rework Log'!$A$3:$A$500)))),"")="Did not pass re-test"),"Last fix rejected - re-block or log next attempt",IF(AND(LEFT($AC117,3)="Yes",ISNUMBER(SEARCH("needs DB Dev",$AC117)),O117&lt;&gt;"",SUMPRODUCT(MAX(((TRIM('Rework Log'!$A$3:$A$500)=TRIM($B117))*('Rework Log'!$G$3:$G$500&lt;&gt;"Yes")*('Rework Log'!$G$3:$G$500&lt;&gt;"Did not pass re-test"))*IFERROR('Rework Log'!$I$3:$I$500*1,0)))&gt;0),"Move old DB Dev completion date to Rework Log (col H)",IF(AND(LEFT($AC117,3)="Yes",ISNUMBER(SEARCH("needs PBI Dev",$AC117)),R117&lt;&gt;"",SUMPRODUCT(MAX(((TRIM('Rework Log'!$A$3:$A$500)=TRIM($B117))*('Rework Log'!$G$3:$G$500&lt;&gt;"Yes")*('Rework Log'!$G$3:$G$500&lt;&gt;"Did not pass re-test"))*IFERROR('Rework Log'!$I$3:$I$500*1,0)))&gt;0),"Move old PBI Dev completion date to Rework Log (col H)",IF(AND(LEFT($AC117,3)="Yes",ISNUMBER(SEARCH("needs QA",$AC117)),U117&lt;&gt;"",SUMPRODUCT(MAX(((TRIM('Rework Log'!$A$3:$A$500)=TRIM($B117))*('Rework Log'!$G$3:$G$500&lt;&gt;"Yes")*('Rework Log'!$G$3:$G$500&lt;&gt;"Did not pass re-test"))*IFERROR('Rework Log'!$I$3:$I$500*1,0)))&gt;0),"Move old QA completion date to Rework Log (col H)",IF(AND(LEFT($AC117,3)="Yes",ISNUMBER(SEARCH("needs DB Dev",$AC117)),TRIM(C117)&lt;&gt;"DB Dev"),"Set Current Status back to DB Dev",IF(AND(LEFT($AC117,3)="Yes",ISNUMBER(SEARCH("needs PBI Dev",$AC117)),TRIM(C117)&lt;&gt;"PBI Dev"),"Set Current Status back to PBI Dev",IF(AND(LEFT($AC117,3)="Yes",ISNUMBER(SEARCH("needs QA",$AC117)),TRIM(C117)&lt;&gt;"QA"),"Set Current Status back to QA",IF(COUNTIF($B$2:$B$500,$B117)&gt;1,"Duplicate name - check row",IF(AND(TRIM(C117)="RELEASED IN PROD",Y117&lt;&gt;"Yes"),"Released but Confirmed Deployed? is not Yes",IF(COUNTIF('Rework Log'!$A$3:$A$500,$B117)&gt;0,"",IF(AND(S117&lt;&gt;"",M117&lt;&gt;"",S117&lt;M117),"QA target is before DB Dev target",IF(AND(S117&lt;&gt;"",P117&lt;&gt;"",S117&lt;P117),"QA target is before PBI Dev target",IF(AND(V117&lt;&gt;"",S117&lt;&gt;"",V117&lt;S117),"DPO Approval target is before QA target",IF(AND(Z117&lt;&gt;"",V117&lt;&gt;"",Z117&lt;V117),"Confirmed Deployed date is before DPO Approval target","")))))))))))))))))</f>
        <v/>
      </c>
      <c r="AE117" s="62"/>
    </row>
    <row r="118" spans="1:31" x14ac:dyDescent="0.25">
      <c r="A118" s="62"/>
      <c r="B118" s="62"/>
      <c r="C118" s="62"/>
      <c r="D118" s="64" t="str">
        <f ca="1">IF($B118="","",IF(LEFT($AC118,3)="Yes",IF(LEN($AC118)&gt;5,"Blocked - "&amp;MID($AC118,7,100),"Blocked")&amp;IF(SUMPRODUCT((TRIM('Rework Log'!$A$3:$A$500)=TRIM($B118))*('Rework Log'!$G$3:$G$500&lt;&gt;"Yes")*('Rework Log'!$G$3:$G$500&lt;&gt;"Did not pass re-test"))=0,"",IF(SUMPRODUCT(((TRIM('Rework Log'!$A$3:$A$500)=TRIM($B118))*('Rework Log'!$G$3:$G$500&lt;&gt;"Yes")*('Rework Log'!$G$3:$G$500&lt;&gt;"Did not pass re-test"))*ISNUMBER('Rework Log'!$J$3:$J$500))&gt;0," - fixed, awaiting re-test",IF(SUMPRODUCT(MAX(((TRIM('Rework Log'!$A$3:$A$500)=TRIM($B118))*('Rework Log'!$G$3:$G$500&lt;&gt;"Yes")*('Rework Log'!$G$3:$G$500&lt;&gt;"Did not pass re-test"))*IFERROR('Rework Log'!$I$3:$I$500*1,0)))=0," - unclaimed"," - promised "&amp;TEXT(SUMPRODUCT(MAX(((TRIM('Rework Log'!$A$3:$A$500)=TRIM($B118))*('Rework Log'!$G$3:$G$500&lt;&gt;"Yes")*('Rework Log'!$G$3:$G$500&lt;&gt;"Did not pass re-test"))*IFERROR('Rework Log'!$I$3:$I$500*1,0))),"m/d")))),IF(TRIM(C118)="NOT STARTED",IF(K118="","No plan date set",IF(K118&lt;TODAY(),"Review - planned start passed","On track")),IF(TRIM(C118)="DB Dev",IF(M118="","No target set",IF(AND(M118&lt;TODAY(),O118=""),"Overdue","On track")),IF(TRIM(C118)="PBI Dev",IF(P118="","No target set",IF(AND(P118&lt;TODAY(),R118=""),"Overdue","On track")),IF(TRIM(C118)="QA",IF(S118="","No target set",IF(AND(S118&lt;TODAY(),U118=""),"Overdue","On track")),IF(TRIM(C118)="DPO Approval",IF(V118="","No target set",IF(V118&lt;TODAY(),"Overdue","On track")),IF(TRIM(C118)="RELEASED IN PROD","Delivered",""))))))))</f>
        <v/>
      </c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4" t="str">
        <f>IF($B118="","",IF(AND(LEFT($AC118,3)="Yes",SUMPRODUCT((TRIM('Rework Log'!$A$3:$A$500)=TRIM($B118))*('Rework Log'!$G$3:$G$500&lt;&gt;"Yes")*('Rework Log'!$G$3:$G$500&lt;&gt;"Did not pass re-test"))=0),"Blocked - log it on Rework Log",IF(AND(LEFT($AC118,3)&lt;&gt;"Yes",SUMPRODUCT((TRIM('Rework Log'!$A$3:$A$500)=TRIM($B118))*('Rework Log'!$G$3:$G$500&lt;&gt;"Yes")*('Rework Log'!$G$3:$G$500&lt;&gt;"Did not pass re-test"))&gt;0),"Open rework row - mark Blocked? or close it",IF(AND(LEFT($AC118,3)&lt;&gt;"Yes",SUMPRODUCT((TRIM('Rework Log'!$A$3:$A$500)=TRIM($B118))*('Rework Log'!$G$3:$G$500&lt;&gt;"Yes")*('Rework Log'!$G$3:$G$500&lt;&gt;"Did not pass re-test"))=0,COUNTIF('Rework Log'!$A$3:$A$500,$B118)&gt;0,IFERROR(INDEX('Rework Log'!$G:$G,SUMPRODUCT(MAX((TRIM('Rework Log'!$A$3:$A$500)=TRIM($B118))*ROW('Rework Log'!$A$3:$A$500)))),"")="Did not pass re-test"),"Last fix rejected - re-block or log next attempt",IF(AND(LEFT($AC118,3)="Yes",ISNUMBER(SEARCH("needs DB Dev",$AC118)),O118&lt;&gt;"",SUMPRODUCT(MAX(((TRIM('Rework Log'!$A$3:$A$500)=TRIM($B118))*('Rework Log'!$G$3:$G$500&lt;&gt;"Yes")*('Rework Log'!$G$3:$G$500&lt;&gt;"Did not pass re-test"))*IFERROR('Rework Log'!$I$3:$I$500*1,0)))&gt;0),"Move old DB Dev completion date to Rework Log (col H)",IF(AND(LEFT($AC118,3)="Yes",ISNUMBER(SEARCH("needs PBI Dev",$AC118)),R118&lt;&gt;"",SUMPRODUCT(MAX(((TRIM('Rework Log'!$A$3:$A$500)=TRIM($B118))*('Rework Log'!$G$3:$G$500&lt;&gt;"Yes")*('Rework Log'!$G$3:$G$500&lt;&gt;"Did not pass re-test"))*IFERROR('Rework Log'!$I$3:$I$500*1,0)))&gt;0),"Move old PBI Dev completion date to Rework Log (col H)",IF(AND(LEFT($AC118,3)="Yes",ISNUMBER(SEARCH("needs QA",$AC118)),U118&lt;&gt;"",SUMPRODUCT(MAX(((TRIM('Rework Log'!$A$3:$A$500)=TRIM($B118))*('Rework Log'!$G$3:$G$500&lt;&gt;"Yes")*('Rework Log'!$G$3:$G$500&lt;&gt;"Did not pass re-test"))*IFERROR('Rework Log'!$I$3:$I$500*1,0)))&gt;0),"Move old QA completion date to Rework Log (col H)",IF(AND(LEFT($AC118,3)="Yes",ISNUMBER(SEARCH("needs DB Dev",$AC118)),TRIM(C118)&lt;&gt;"DB Dev"),"Set Current Status back to DB Dev",IF(AND(LEFT($AC118,3)="Yes",ISNUMBER(SEARCH("needs PBI Dev",$AC118)),TRIM(C118)&lt;&gt;"PBI Dev"),"Set Current Status back to PBI Dev",IF(AND(LEFT($AC118,3)="Yes",ISNUMBER(SEARCH("needs QA",$AC118)),TRIM(C118)&lt;&gt;"QA"),"Set Current Status back to QA",IF(COUNTIF($B$2:$B$500,$B118)&gt;1,"Duplicate name - check row",IF(AND(TRIM(C118)="RELEASED IN PROD",Y118&lt;&gt;"Yes"),"Released but Confirmed Deployed? is not Yes",IF(COUNTIF('Rework Log'!$A$3:$A$500,$B118)&gt;0,"",IF(AND(S118&lt;&gt;"",M118&lt;&gt;"",S118&lt;M118),"QA target is before DB Dev target",IF(AND(S118&lt;&gt;"",P118&lt;&gt;"",S118&lt;P118),"QA target is before PBI Dev target",IF(AND(V118&lt;&gt;"",S118&lt;&gt;"",V118&lt;S118),"DPO Approval target is before QA target",IF(AND(Z118&lt;&gt;"",V118&lt;&gt;"",Z118&lt;V118),"Confirmed Deployed date is before DPO Approval target","")))))))))))))))))</f>
        <v/>
      </c>
      <c r="AE118" s="62"/>
    </row>
    <row r="119" spans="1:31" x14ac:dyDescent="0.25">
      <c r="A119" s="62"/>
      <c r="B119" s="62"/>
      <c r="C119" s="62"/>
      <c r="D119" s="64" t="str">
        <f ca="1">IF($B119="","",IF(LEFT($AC119,3)="Yes",IF(LEN($AC119)&gt;5,"Blocked - "&amp;MID($AC119,7,100),"Blocked")&amp;IF(SUMPRODUCT((TRIM('Rework Log'!$A$3:$A$500)=TRIM($B119))*('Rework Log'!$G$3:$G$500&lt;&gt;"Yes")*('Rework Log'!$G$3:$G$500&lt;&gt;"Did not pass re-test"))=0,"",IF(SUMPRODUCT(((TRIM('Rework Log'!$A$3:$A$500)=TRIM($B119))*('Rework Log'!$G$3:$G$500&lt;&gt;"Yes")*('Rework Log'!$G$3:$G$500&lt;&gt;"Did not pass re-test"))*ISNUMBER('Rework Log'!$J$3:$J$500))&gt;0," - fixed, awaiting re-test",IF(SUMPRODUCT(MAX(((TRIM('Rework Log'!$A$3:$A$500)=TRIM($B119))*('Rework Log'!$G$3:$G$500&lt;&gt;"Yes")*('Rework Log'!$G$3:$G$500&lt;&gt;"Did not pass re-test"))*IFERROR('Rework Log'!$I$3:$I$500*1,0)))=0," - unclaimed"," - promised "&amp;TEXT(SUMPRODUCT(MAX(((TRIM('Rework Log'!$A$3:$A$500)=TRIM($B119))*('Rework Log'!$G$3:$G$500&lt;&gt;"Yes")*('Rework Log'!$G$3:$G$500&lt;&gt;"Did not pass re-test"))*IFERROR('Rework Log'!$I$3:$I$500*1,0))),"m/d")))),IF(TRIM(C119)="NOT STARTED",IF(K119="","No plan date set",IF(K119&lt;TODAY(),"Review - planned start passed","On track")),IF(TRIM(C119)="DB Dev",IF(M119="","No target set",IF(AND(M119&lt;TODAY(),O119=""),"Overdue","On track")),IF(TRIM(C119)="PBI Dev",IF(P119="","No target set",IF(AND(P119&lt;TODAY(),R119=""),"Overdue","On track")),IF(TRIM(C119)="QA",IF(S119="","No target set",IF(AND(S119&lt;TODAY(),U119=""),"Overdue","On track")),IF(TRIM(C119)="DPO Approval",IF(V119="","No target set",IF(V119&lt;TODAY(),"Overdue","On track")),IF(TRIM(C119)="RELEASED IN PROD","Delivered",""))))))))</f>
        <v/>
      </c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4" t="str">
        <f>IF($B119="","",IF(AND(LEFT($AC119,3)="Yes",SUMPRODUCT((TRIM('Rework Log'!$A$3:$A$500)=TRIM($B119))*('Rework Log'!$G$3:$G$500&lt;&gt;"Yes")*('Rework Log'!$G$3:$G$500&lt;&gt;"Did not pass re-test"))=0),"Blocked - log it on Rework Log",IF(AND(LEFT($AC119,3)&lt;&gt;"Yes",SUMPRODUCT((TRIM('Rework Log'!$A$3:$A$500)=TRIM($B119))*('Rework Log'!$G$3:$G$500&lt;&gt;"Yes")*('Rework Log'!$G$3:$G$500&lt;&gt;"Did not pass re-test"))&gt;0),"Open rework row - mark Blocked? or close it",IF(AND(LEFT($AC119,3)&lt;&gt;"Yes",SUMPRODUCT((TRIM('Rework Log'!$A$3:$A$500)=TRIM($B119))*('Rework Log'!$G$3:$G$500&lt;&gt;"Yes")*('Rework Log'!$G$3:$G$500&lt;&gt;"Did not pass re-test"))=0,COUNTIF('Rework Log'!$A$3:$A$500,$B119)&gt;0,IFERROR(INDEX('Rework Log'!$G:$G,SUMPRODUCT(MAX((TRIM('Rework Log'!$A$3:$A$500)=TRIM($B119))*ROW('Rework Log'!$A$3:$A$500)))),"")="Did not pass re-test"),"Last fix rejected - re-block or log next attempt",IF(AND(LEFT($AC119,3)="Yes",ISNUMBER(SEARCH("needs DB Dev",$AC119)),O119&lt;&gt;"",SUMPRODUCT(MAX(((TRIM('Rework Log'!$A$3:$A$500)=TRIM($B119))*('Rework Log'!$G$3:$G$500&lt;&gt;"Yes")*('Rework Log'!$G$3:$G$500&lt;&gt;"Did not pass re-test"))*IFERROR('Rework Log'!$I$3:$I$500*1,0)))&gt;0),"Move old DB Dev completion date to Rework Log (col H)",IF(AND(LEFT($AC119,3)="Yes",ISNUMBER(SEARCH("needs PBI Dev",$AC119)),R119&lt;&gt;"",SUMPRODUCT(MAX(((TRIM('Rework Log'!$A$3:$A$500)=TRIM($B119))*('Rework Log'!$G$3:$G$500&lt;&gt;"Yes")*('Rework Log'!$G$3:$G$500&lt;&gt;"Did not pass re-test"))*IFERROR('Rework Log'!$I$3:$I$500*1,0)))&gt;0),"Move old PBI Dev completion date to Rework Log (col H)",IF(AND(LEFT($AC119,3)="Yes",ISNUMBER(SEARCH("needs QA",$AC119)),U119&lt;&gt;"",SUMPRODUCT(MAX(((TRIM('Rework Log'!$A$3:$A$500)=TRIM($B119))*('Rework Log'!$G$3:$G$500&lt;&gt;"Yes")*('Rework Log'!$G$3:$G$500&lt;&gt;"Did not pass re-test"))*IFERROR('Rework Log'!$I$3:$I$500*1,0)))&gt;0),"Move old QA completion date to Rework Log (col H)",IF(AND(LEFT($AC119,3)="Yes",ISNUMBER(SEARCH("needs DB Dev",$AC119)),TRIM(C119)&lt;&gt;"DB Dev"),"Set Current Status back to DB Dev",IF(AND(LEFT($AC119,3)="Yes",ISNUMBER(SEARCH("needs PBI Dev",$AC119)),TRIM(C119)&lt;&gt;"PBI Dev"),"Set Current Status back to PBI Dev",IF(AND(LEFT($AC119,3)="Yes",ISNUMBER(SEARCH("needs QA",$AC119)),TRIM(C119)&lt;&gt;"QA"),"Set Current Status back to QA",IF(COUNTIF($B$2:$B$500,$B119)&gt;1,"Duplicate name - check row",IF(AND(TRIM(C119)="RELEASED IN PROD",Y119&lt;&gt;"Yes"),"Released but Confirmed Deployed? is not Yes",IF(COUNTIF('Rework Log'!$A$3:$A$500,$B119)&gt;0,"",IF(AND(S119&lt;&gt;"",M119&lt;&gt;"",S119&lt;M119),"QA target is before DB Dev target",IF(AND(S119&lt;&gt;"",P119&lt;&gt;"",S119&lt;P119),"QA target is before PBI Dev target",IF(AND(V119&lt;&gt;"",S119&lt;&gt;"",V119&lt;S119),"DPO Approval target is before QA target",IF(AND(Z119&lt;&gt;"",V119&lt;&gt;"",Z119&lt;V119),"Confirmed Deployed date is before DPO Approval target","")))))))))))))))))</f>
        <v/>
      </c>
      <c r="AE119" s="62"/>
    </row>
    <row r="120" spans="1:31" x14ac:dyDescent="0.25">
      <c r="A120" s="62"/>
      <c r="B120" s="62"/>
      <c r="C120" s="62"/>
      <c r="D120" s="64" t="str">
        <f ca="1">IF($B120="","",IF(LEFT($AC120,3)="Yes",IF(LEN($AC120)&gt;5,"Blocked - "&amp;MID($AC120,7,100),"Blocked")&amp;IF(SUMPRODUCT((TRIM('Rework Log'!$A$3:$A$500)=TRIM($B120))*('Rework Log'!$G$3:$G$500&lt;&gt;"Yes")*('Rework Log'!$G$3:$G$500&lt;&gt;"Did not pass re-test"))=0,"",IF(SUMPRODUCT(((TRIM('Rework Log'!$A$3:$A$500)=TRIM($B120))*('Rework Log'!$G$3:$G$500&lt;&gt;"Yes")*('Rework Log'!$G$3:$G$500&lt;&gt;"Did not pass re-test"))*ISNUMBER('Rework Log'!$J$3:$J$500))&gt;0," - fixed, awaiting re-test",IF(SUMPRODUCT(MAX(((TRIM('Rework Log'!$A$3:$A$500)=TRIM($B120))*('Rework Log'!$G$3:$G$500&lt;&gt;"Yes")*('Rework Log'!$G$3:$G$500&lt;&gt;"Did not pass re-test"))*IFERROR('Rework Log'!$I$3:$I$500*1,0)))=0," - unclaimed"," - promised "&amp;TEXT(SUMPRODUCT(MAX(((TRIM('Rework Log'!$A$3:$A$500)=TRIM($B120))*('Rework Log'!$G$3:$G$500&lt;&gt;"Yes")*('Rework Log'!$G$3:$G$500&lt;&gt;"Did not pass re-test"))*IFERROR('Rework Log'!$I$3:$I$500*1,0))),"m/d")))),IF(TRIM(C120)="NOT STARTED",IF(K120="","No plan date set",IF(K120&lt;TODAY(),"Review - planned start passed","On track")),IF(TRIM(C120)="DB Dev",IF(M120="","No target set",IF(AND(M120&lt;TODAY(),O120=""),"Overdue","On track")),IF(TRIM(C120)="PBI Dev",IF(P120="","No target set",IF(AND(P120&lt;TODAY(),R120=""),"Overdue","On track")),IF(TRIM(C120)="QA",IF(S120="","No target set",IF(AND(S120&lt;TODAY(),U120=""),"Overdue","On track")),IF(TRIM(C120)="DPO Approval",IF(V120="","No target set",IF(V120&lt;TODAY(),"Overdue","On track")),IF(TRIM(C120)="RELEASED IN PROD","Delivered",""))))))))</f>
        <v/>
      </c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4" t="str">
        <f>IF($B120="","",IF(AND(LEFT($AC120,3)="Yes",SUMPRODUCT((TRIM('Rework Log'!$A$3:$A$500)=TRIM($B120))*('Rework Log'!$G$3:$G$500&lt;&gt;"Yes")*('Rework Log'!$G$3:$G$500&lt;&gt;"Did not pass re-test"))=0),"Blocked - log it on Rework Log",IF(AND(LEFT($AC120,3)&lt;&gt;"Yes",SUMPRODUCT((TRIM('Rework Log'!$A$3:$A$500)=TRIM($B120))*('Rework Log'!$G$3:$G$500&lt;&gt;"Yes")*('Rework Log'!$G$3:$G$500&lt;&gt;"Did not pass re-test"))&gt;0),"Open rework row - mark Blocked? or close it",IF(AND(LEFT($AC120,3)&lt;&gt;"Yes",SUMPRODUCT((TRIM('Rework Log'!$A$3:$A$500)=TRIM($B120))*('Rework Log'!$G$3:$G$500&lt;&gt;"Yes")*('Rework Log'!$G$3:$G$500&lt;&gt;"Did not pass re-test"))=0,COUNTIF('Rework Log'!$A$3:$A$500,$B120)&gt;0,IFERROR(INDEX('Rework Log'!$G:$G,SUMPRODUCT(MAX((TRIM('Rework Log'!$A$3:$A$500)=TRIM($B120))*ROW('Rework Log'!$A$3:$A$500)))),"")="Did not pass re-test"),"Last fix rejected - re-block or log next attempt",IF(AND(LEFT($AC120,3)="Yes",ISNUMBER(SEARCH("needs DB Dev",$AC120)),O120&lt;&gt;"",SUMPRODUCT(MAX(((TRIM('Rework Log'!$A$3:$A$500)=TRIM($B120))*('Rework Log'!$G$3:$G$500&lt;&gt;"Yes")*('Rework Log'!$G$3:$G$500&lt;&gt;"Did not pass re-test"))*IFERROR('Rework Log'!$I$3:$I$500*1,0)))&gt;0),"Move old DB Dev completion date to Rework Log (col H)",IF(AND(LEFT($AC120,3)="Yes",ISNUMBER(SEARCH("needs PBI Dev",$AC120)),R120&lt;&gt;"",SUMPRODUCT(MAX(((TRIM('Rework Log'!$A$3:$A$500)=TRIM($B120))*('Rework Log'!$G$3:$G$500&lt;&gt;"Yes")*('Rework Log'!$G$3:$G$500&lt;&gt;"Did not pass re-test"))*IFERROR('Rework Log'!$I$3:$I$500*1,0)))&gt;0),"Move old PBI Dev completion date to Rework Log (col H)",IF(AND(LEFT($AC120,3)="Yes",ISNUMBER(SEARCH("needs QA",$AC120)),U120&lt;&gt;"",SUMPRODUCT(MAX(((TRIM('Rework Log'!$A$3:$A$500)=TRIM($B120))*('Rework Log'!$G$3:$G$500&lt;&gt;"Yes")*('Rework Log'!$G$3:$G$500&lt;&gt;"Did not pass re-test"))*IFERROR('Rework Log'!$I$3:$I$500*1,0)))&gt;0),"Move old QA completion date to Rework Log (col H)",IF(AND(LEFT($AC120,3)="Yes",ISNUMBER(SEARCH("needs DB Dev",$AC120)),TRIM(C120)&lt;&gt;"DB Dev"),"Set Current Status back to DB Dev",IF(AND(LEFT($AC120,3)="Yes",ISNUMBER(SEARCH("needs PBI Dev",$AC120)),TRIM(C120)&lt;&gt;"PBI Dev"),"Set Current Status back to PBI Dev",IF(AND(LEFT($AC120,3)="Yes",ISNUMBER(SEARCH("needs QA",$AC120)),TRIM(C120)&lt;&gt;"QA"),"Set Current Status back to QA",IF(COUNTIF($B$2:$B$500,$B120)&gt;1,"Duplicate name - check row",IF(AND(TRIM(C120)="RELEASED IN PROD",Y120&lt;&gt;"Yes"),"Released but Confirmed Deployed? is not Yes",IF(COUNTIF('Rework Log'!$A$3:$A$500,$B120)&gt;0,"",IF(AND(S120&lt;&gt;"",M120&lt;&gt;"",S120&lt;M120),"QA target is before DB Dev target",IF(AND(S120&lt;&gt;"",P120&lt;&gt;"",S120&lt;P120),"QA target is before PBI Dev target",IF(AND(V120&lt;&gt;"",S120&lt;&gt;"",V120&lt;S120),"DPO Approval target is before QA target",IF(AND(Z120&lt;&gt;"",V120&lt;&gt;"",Z120&lt;V120),"Confirmed Deployed date is before DPO Approval target","")))))))))))))))))</f>
        <v/>
      </c>
      <c r="AE120" s="62"/>
    </row>
    <row r="121" spans="1:31" x14ac:dyDescent="0.25">
      <c r="A121" s="62"/>
      <c r="B121" s="62"/>
      <c r="C121" s="62"/>
      <c r="D121" s="64" t="str">
        <f ca="1">IF($B121="","",IF(LEFT($AC121,3)="Yes",IF(LEN($AC121)&gt;5,"Blocked - "&amp;MID($AC121,7,100),"Blocked")&amp;IF(SUMPRODUCT((TRIM('Rework Log'!$A$3:$A$500)=TRIM($B121))*('Rework Log'!$G$3:$G$500&lt;&gt;"Yes")*('Rework Log'!$G$3:$G$500&lt;&gt;"Did not pass re-test"))=0,"",IF(SUMPRODUCT(((TRIM('Rework Log'!$A$3:$A$500)=TRIM($B121))*('Rework Log'!$G$3:$G$500&lt;&gt;"Yes")*('Rework Log'!$G$3:$G$500&lt;&gt;"Did not pass re-test"))*ISNUMBER('Rework Log'!$J$3:$J$500))&gt;0," - fixed, awaiting re-test",IF(SUMPRODUCT(MAX(((TRIM('Rework Log'!$A$3:$A$500)=TRIM($B121))*('Rework Log'!$G$3:$G$500&lt;&gt;"Yes")*('Rework Log'!$G$3:$G$500&lt;&gt;"Did not pass re-test"))*IFERROR('Rework Log'!$I$3:$I$500*1,0)))=0," - unclaimed"," - promised "&amp;TEXT(SUMPRODUCT(MAX(((TRIM('Rework Log'!$A$3:$A$500)=TRIM($B121))*('Rework Log'!$G$3:$G$500&lt;&gt;"Yes")*('Rework Log'!$G$3:$G$500&lt;&gt;"Did not pass re-test"))*IFERROR('Rework Log'!$I$3:$I$500*1,0))),"m/d")))),IF(TRIM(C121)="NOT STARTED",IF(K121="","No plan date set",IF(K121&lt;TODAY(),"Review - planned start passed","On track")),IF(TRIM(C121)="DB Dev",IF(M121="","No target set",IF(AND(M121&lt;TODAY(),O121=""),"Overdue","On track")),IF(TRIM(C121)="PBI Dev",IF(P121="","No target set",IF(AND(P121&lt;TODAY(),R121=""),"Overdue","On track")),IF(TRIM(C121)="QA",IF(S121="","No target set",IF(AND(S121&lt;TODAY(),U121=""),"Overdue","On track")),IF(TRIM(C121)="DPO Approval",IF(V121="","No target set",IF(V121&lt;TODAY(),"Overdue","On track")),IF(TRIM(C121)="RELEASED IN PROD","Delivered",""))))))))</f>
        <v/>
      </c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4" t="str">
        <f>IF($B121="","",IF(AND(LEFT($AC121,3)="Yes",SUMPRODUCT((TRIM('Rework Log'!$A$3:$A$500)=TRIM($B121))*('Rework Log'!$G$3:$G$500&lt;&gt;"Yes")*('Rework Log'!$G$3:$G$500&lt;&gt;"Did not pass re-test"))=0),"Blocked - log it on Rework Log",IF(AND(LEFT($AC121,3)&lt;&gt;"Yes",SUMPRODUCT((TRIM('Rework Log'!$A$3:$A$500)=TRIM($B121))*('Rework Log'!$G$3:$G$500&lt;&gt;"Yes")*('Rework Log'!$G$3:$G$500&lt;&gt;"Did not pass re-test"))&gt;0),"Open rework row - mark Blocked? or close it",IF(AND(LEFT($AC121,3)&lt;&gt;"Yes",SUMPRODUCT((TRIM('Rework Log'!$A$3:$A$500)=TRIM($B121))*('Rework Log'!$G$3:$G$500&lt;&gt;"Yes")*('Rework Log'!$G$3:$G$500&lt;&gt;"Did not pass re-test"))=0,COUNTIF('Rework Log'!$A$3:$A$500,$B121)&gt;0,IFERROR(INDEX('Rework Log'!$G:$G,SUMPRODUCT(MAX((TRIM('Rework Log'!$A$3:$A$500)=TRIM($B121))*ROW('Rework Log'!$A$3:$A$500)))),"")="Did not pass re-test"),"Last fix rejected - re-block or log next attempt",IF(AND(LEFT($AC121,3)="Yes",ISNUMBER(SEARCH("needs DB Dev",$AC121)),O121&lt;&gt;"",SUMPRODUCT(MAX(((TRIM('Rework Log'!$A$3:$A$500)=TRIM($B121))*('Rework Log'!$G$3:$G$500&lt;&gt;"Yes")*('Rework Log'!$G$3:$G$500&lt;&gt;"Did not pass re-test"))*IFERROR('Rework Log'!$I$3:$I$500*1,0)))&gt;0),"Move old DB Dev completion date to Rework Log (col H)",IF(AND(LEFT($AC121,3)="Yes",ISNUMBER(SEARCH("needs PBI Dev",$AC121)),R121&lt;&gt;"",SUMPRODUCT(MAX(((TRIM('Rework Log'!$A$3:$A$500)=TRIM($B121))*('Rework Log'!$G$3:$G$500&lt;&gt;"Yes")*('Rework Log'!$G$3:$G$500&lt;&gt;"Did not pass re-test"))*IFERROR('Rework Log'!$I$3:$I$500*1,0)))&gt;0),"Move old PBI Dev completion date to Rework Log (col H)",IF(AND(LEFT($AC121,3)="Yes",ISNUMBER(SEARCH("needs QA",$AC121)),U121&lt;&gt;"",SUMPRODUCT(MAX(((TRIM('Rework Log'!$A$3:$A$500)=TRIM($B121))*('Rework Log'!$G$3:$G$500&lt;&gt;"Yes")*('Rework Log'!$G$3:$G$500&lt;&gt;"Did not pass re-test"))*IFERROR('Rework Log'!$I$3:$I$500*1,0)))&gt;0),"Move old QA completion date to Rework Log (col H)",IF(AND(LEFT($AC121,3)="Yes",ISNUMBER(SEARCH("needs DB Dev",$AC121)),TRIM(C121)&lt;&gt;"DB Dev"),"Set Current Status back to DB Dev",IF(AND(LEFT($AC121,3)="Yes",ISNUMBER(SEARCH("needs PBI Dev",$AC121)),TRIM(C121)&lt;&gt;"PBI Dev"),"Set Current Status back to PBI Dev",IF(AND(LEFT($AC121,3)="Yes",ISNUMBER(SEARCH("needs QA",$AC121)),TRIM(C121)&lt;&gt;"QA"),"Set Current Status back to QA",IF(COUNTIF($B$2:$B$500,$B121)&gt;1,"Duplicate name - check row",IF(AND(TRIM(C121)="RELEASED IN PROD",Y121&lt;&gt;"Yes"),"Released but Confirmed Deployed? is not Yes",IF(COUNTIF('Rework Log'!$A$3:$A$500,$B121)&gt;0,"",IF(AND(S121&lt;&gt;"",M121&lt;&gt;"",S121&lt;M121),"QA target is before DB Dev target",IF(AND(S121&lt;&gt;"",P121&lt;&gt;"",S121&lt;P121),"QA target is before PBI Dev target",IF(AND(V121&lt;&gt;"",S121&lt;&gt;"",V121&lt;S121),"DPO Approval target is before QA target",IF(AND(Z121&lt;&gt;"",V121&lt;&gt;"",Z121&lt;V121),"Confirmed Deployed date is before DPO Approval target","")))))))))))))))))</f>
        <v/>
      </c>
      <c r="AE121" s="62"/>
    </row>
    <row r="122" spans="1:31" x14ac:dyDescent="0.25">
      <c r="A122" s="62"/>
      <c r="B122" s="62"/>
      <c r="C122" s="62"/>
      <c r="D122" s="64" t="str">
        <f ca="1">IF($B122="","",IF(LEFT($AC122,3)="Yes",IF(LEN($AC122)&gt;5,"Blocked - "&amp;MID($AC122,7,100),"Blocked")&amp;IF(SUMPRODUCT((TRIM('Rework Log'!$A$3:$A$500)=TRIM($B122))*('Rework Log'!$G$3:$G$500&lt;&gt;"Yes")*('Rework Log'!$G$3:$G$500&lt;&gt;"Did not pass re-test"))=0,"",IF(SUMPRODUCT(((TRIM('Rework Log'!$A$3:$A$500)=TRIM($B122))*('Rework Log'!$G$3:$G$500&lt;&gt;"Yes")*('Rework Log'!$G$3:$G$500&lt;&gt;"Did not pass re-test"))*ISNUMBER('Rework Log'!$J$3:$J$500))&gt;0," - fixed, awaiting re-test",IF(SUMPRODUCT(MAX(((TRIM('Rework Log'!$A$3:$A$500)=TRIM($B122))*('Rework Log'!$G$3:$G$500&lt;&gt;"Yes")*('Rework Log'!$G$3:$G$500&lt;&gt;"Did not pass re-test"))*IFERROR('Rework Log'!$I$3:$I$500*1,0)))=0," - unclaimed"," - promised "&amp;TEXT(SUMPRODUCT(MAX(((TRIM('Rework Log'!$A$3:$A$500)=TRIM($B122))*('Rework Log'!$G$3:$G$500&lt;&gt;"Yes")*('Rework Log'!$G$3:$G$500&lt;&gt;"Did not pass re-test"))*IFERROR('Rework Log'!$I$3:$I$500*1,0))),"m/d")))),IF(TRIM(C122)="NOT STARTED",IF(K122="","No plan date set",IF(K122&lt;TODAY(),"Review - planned start passed","On track")),IF(TRIM(C122)="DB Dev",IF(M122="","No target set",IF(AND(M122&lt;TODAY(),O122=""),"Overdue","On track")),IF(TRIM(C122)="PBI Dev",IF(P122="","No target set",IF(AND(P122&lt;TODAY(),R122=""),"Overdue","On track")),IF(TRIM(C122)="QA",IF(S122="","No target set",IF(AND(S122&lt;TODAY(),U122=""),"Overdue","On track")),IF(TRIM(C122)="DPO Approval",IF(V122="","No target set",IF(V122&lt;TODAY(),"Overdue","On track")),IF(TRIM(C122)="RELEASED IN PROD","Delivered",""))))))))</f>
        <v/>
      </c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4" t="str">
        <f>IF($B122="","",IF(AND(LEFT($AC122,3)="Yes",SUMPRODUCT((TRIM('Rework Log'!$A$3:$A$500)=TRIM($B122))*('Rework Log'!$G$3:$G$500&lt;&gt;"Yes")*('Rework Log'!$G$3:$G$500&lt;&gt;"Did not pass re-test"))=0),"Blocked - log it on Rework Log",IF(AND(LEFT($AC122,3)&lt;&gt;"Yes",SUMPRODUCT((TRIM('Rework Log'!$A$3:$A$500)=TRIM($B122))*('Rework Log'!$G$3:$G$500&lt;&gt;"Yes")*('Rework Log'!$G$3:$G$500&lt;&gt;"Did not pass re-test"))&gt;0),"Open rework row - mark Blocked? or close it",IF(AND(LEFT($AC122,3)&lt;&gt;"Yes",SUMPRODUCT((TRIM('Rework Log'!$A$3:$A$500)=TRIM($B122))*('Rework Log'!$G$3:$G$500&lt;&gt;"Yes")*('Rework Log'!$G$3:$G$500&lt;&gt;"Did not pass re-test"))=0,COUNTIF('Rework Log'!$A$3:$A$500,$B122)&gt;0,IFERROR(INDEX('Rework Log'!$G:$G,SUMPRODUCT(MAX((TRIM('Rework Log'!$A$3:$A$500)=TRIM($B122))*ROW('Rework Log'!$A$3:$A$500)))),"")="Did not pass re-test"),"Last fix rejected - re-block or log next attempt",IF(AND(LEFT($AC122,3)="Yes",ISNUMBER(SEARCH("needs DB Dev",$AC122)),O122&lt;&gt;"",SUMPRODUCT(MAX(((TRIM('Rework Log'!$A$3:$A$500)=TRIM($B122))*('Rework Log'!$G$3:$G$500&lt;&gt;"Yes")*('Rework Log'!$G$3:$G$500&lt;&gt;"Did not pass re-test"))*IFERROR('Rework Log'!$I$3:$I$500*1,0)))&gt;0),"Move old DB Dev completion date to Rework Log (col H)",IF(AND(LEFT($AC122,3)="Yes",ISNUMBER(SEARCH("needs PBI Dev",$AC122)),R122&lt;&gt;"",SUMPRODUCT(MAX(((TRIM('Rework Log'!$A$3:$A$500)=TRIM($B122))*('Rework Log'!$G$3:$G$500&lt;&gt;"Yes")*('Rework Log'!$G$3:$G$500&lt;&gt;"Did not pass re-test"))*IFERROR('Rework Log'!$I$3:$I$500*1,0)))&gt;0),"Move old PBI Dev completion date to Rework Log (col H)",IF(AND(LEFT($AC122,3)="Yes",ISNUMBER(SEARCH("needs QA",$AC122)),U122&lt;&gt;"",SUMPRODUCT(MAX(((TRIM('Rework Log'!$A$3:$A$500)=TRIM($B122))*('Rework Log'!$G$3:$G$500&lt;&gt;"Yes")*('Rework Log'!$G$3:$G$500&lt;&gt;"Did not pass re-test"))*IFERROR('Rework Log'!$I$3:$I$500*1,0)))&gt;0),"Move old QA completion date to Rework Log (col H)",IF(AND(LEFT($AC122,3)="Yes",ISNUMBER(SEARCH("needs DB Dev",$AC122)),TRIM(C122)&lt;&gt;"DB Dev"),"Set Current Status back to DB Dev",IF(AND(LEFT($AC122,3)="Yes",ISNUMBER(SEARCH("needs PBI Dev",$AC122)),TRIM(C122)&lt;&gt;"PBI Dev"),"Set Current Status back to PBI Dev",IF(AND(LEFT($AC122,3)="Yes",ISNUMBER(SEARCH("needs QA",$AC122)),TRIM(C122)&lt;&gt;"QA"),"Set Current Status back to QA",IF(COUNTIF($B$2:$B$500,$B122)&gt;1,"Duplicate name - check row",IF(AND(TRIM(C122)="RELEASED IN PROD",Y122&lt;&gt;"Yes"),"Released but Confirmed Deployed? is not Yes",IF(COUNTIF('Rework Log'!$A$3:$A$500,$B122)&gt;0,"",IF(AND(S122&lt;&gt;"",M122&lt;&gt;"",S122&lt;M122),"QA target is before DB Dev target",IF(AND(S122&lt;&gt;"",P122&lt;&gt;"",S122&lt;P122),"QA target is before PBI Dev target",IF(AND(V122&lt;&gt;"",S122&lt;&gt;"",V122&lt;S122),"DPO Approval target is before QA target",IF(AND(Z122&lt;&gt;"",V122&lt;&gt;"",Z122&lt;V122),"Confirmed Deployed date is before DPO Approval target","")))))))))))))))))</f>
        <v/>
      </c>
      <c r="AE122" s="62"/>
    </row>
    <row r="123" spans="1:31" x14ac:dyDescent="0.25">
      <c r="A123" s="62"/>
      <c r="B123" s="62"/>
      <c r="C123" s="62"/>
      <c r="D123" s="64" t="str">
        <f ca="1">IF($B123="","",IF(LEFT($AC123,3)="Yes",IF(LEN($AC123)&gt;5,"Blocked - "&amp;MID($AC123,7,100),"Blocked")&amp;IF(SUMPRODUCT((TRIM('Rework Log'!$A$3:$A$500)=TRIM($B123))*('Rework Log'!$G$3:$G$500&lt;&gt;"Yes")*('Rework Log'!$G$3:$G$500&lt;&gt;"Did not pass re-test"))=0,"",IF(SUMPRODUCT(((TRIM('Rework Log'!$A$3:$A$500)=TRIM($B123))*('Rework Log'!$G$3:$G$500&lt;&gt;"Yes")*('Rework Log'!$G$3:$G$500&lt;&gt;"Did not pass re-test"))*ISNUMBER('Rework Log'!$J$3:$J$500))&gt;0," - fixed, awaiting re-test",IF(SUMPRODUCT(MAX(((TRIM('Rework Log'!$A$3:$A$500)=TRIM($B123))*('Rework Log'!$G$3:$G$500&lt;&gt;"Yes")*('Rework Log'!$G$3:$G$500&lt;&gt;"Did not pass re-test"))*IFERROR('Rework Log'!$I$3:$I$500*1,0)))=0," - unclaimed"," - promised "&amp;TEXT(SUMPRODUCT(MAX(((TRIM('Rework Log'!$A$3:$A$500)=TRIM($B123))*('Rework Log'!$G$3:$G$500&lt;&gt;"Yes")*('Rework Log'!$G$3:$G$500&lt;&gt;"Did not pass re-test"))*IFERROR('Rework Log'!$I$3:$I$500*1,0))),"m/d")))),IF(TRIM(C123)="NOT STARTED",IF(K123="","No plan date set",IF(K123&lt;TODAY(),"Review - planned start passed","On track")),IF(TRIM(C123)="DB Dev",IF(M123="","No target set",IF(AND(M123&lt;TODAY(),O123=""),"Overdue","On track")),IF(TRIM(C123)="PBI Dev",IF(P123="","No target set",IF(AND(P123&lt;TODAY(),R123=""),"Overdue","On track")),IF(TRIM(C123)="QA",IF(S123="","No target set",IF(AND(S123&lt;TODAY(),U123=""),"Overdue","On track")),IF(TRIM(C123)="DPO Approval",IF(V123="","No target set",IF(V123&lt;TODAY(),"Overdue","On track")),IF(TRIM(C123)="RELEASED IN PROD","Delivered",""))))))))</f>
        <v/>
      </c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4" t="str">
        <f>IF($B123="","",IF(AND(LEFT($AC123,3)="Yes",SUMPRODUCT((TRIM('Rework Log'!$A$3:$A$500)=TRIM($B123))*('Rework Log'!$G$3:$G$500&lt;&gt;"Yes")*('Rework Log'!$G$3:$G$500&lt;&gt;"Did not pass re-test"))=0),"Blocked - log it on Rework Log",IF(AND(LEFT($AC123,3)&lt;&gt;"Yes",SUMPRODUCT((TRIM('Rework Log'!$A$3:$A$500)=TRIM($B123))*('Rework Log'!$G$3:$G$500&lt;&gt;"Yes")*('Rework Log'!$G$3:$G$500&lt;&gt;"Did not pass re-test"))&gt;0),"Open rework row - mark Blocked? or close it",IF(AND(LEFT($AC123,3)&lt;&gt;"Yes",SUMPRODUCT((TRIM('Rework Log'!$A$3:$A$500)=TRIM($B123))*('Rework Log'!$G$3:$G$500&lt;&gt;"Yes")*('Rework Log'!$G$3:$G$500&lt;&gt;"Did not pass re-test"))=0,COUNTIF('Rework Log'!$A$3:$A$500,$B123)&gt;0,IFERROR(INDEX('Rework Log'!$G:$G,SUMPRODUCT(MAX((TRIM('Rework Log'!$A$3:$A$500)=TRIM($B123))*ROW('Rework Log'!$A$3:$A$500)))),"")="Did not pass re-test"),"Last fix rejected - re-block or log next attempt",IF(AND(LEFT($AC123,3)="Yes",ISNUMBER(SEARCH("needs DB Dev",$AC123)),O123&lt;&gt;"",SUMPRODUCT(MAX(((TRIM('Rework Log'!$A$3:$A$500)=TRIM($B123))*('Rework Log'!$G$3:$G$500&lt;&gt;"Yes")*('Rework Log'!$G$3:$G$500&lt;&gt;"Did not pass re-test"))*IFERROR('Rework Log'!$I$3:$I$500*1,0)))&gt;0),"Move old DB Dev completion date to Rework Log (col H)",IF(AND(LEFT($AC123,3)="Yes",ISNUMBER(SEARCH("needs PBI Dev",$AC123)),R123&lt;&gt;"",SUMPRODUCT(MAX(((TRIM('Rework Log'!$A$3:$A$500)=TRIM($B123))*('Rework Log'!$G$3:$G$500&lt;&gt;"Yes")*('Rework Log'!$G$3:$G$500&lt;&gt;"Did not pass re-test"))*IFERROR('Rework Log'!$I$3:$I$500*1,0)))&gt;0),"Move old PBI Dev completion date to Rework Log (col H)",IF(AND(LEFT($AC123,3)="Yes",ISNUMBER(SEARCH("needs QA",$AC123)),U123&lt;&gt;"",SUMPRODUCT(MAX(((TRIM('Rework Log'!$A$3:$A$500)=TRIM($B123))*('Rework Log'!$G$3:$G$500&lt;&gt;"Yes")*('Rework Log'!$G$3:$G$500&lt;&gt;"Did not pass re-test"))*IFERROR('Rework Log'!$I$3:$I$500*1,0)))&gt;0),"Move old QA completion date to Rework Log (col H)",IF(AND(LEFT($AC123,3)="Yes",ISNUMBER(SEARCH("needs DB Dev",$AC123)),TRIM(C123)&lt;&gt;"DB Dev"),"Set Current Status back to DB Dev",IF(AND(LEFT($AC123,3)="Yes",ISNUMBER(SEARCH("needs PBI Dev",$AC123)),TRIM(C123)&lt;&gt;"PBI Dev"),"Set Current Status back to PBI Dev",IF(AND(LEFT($AC123,3)="Yes",ISNUMBER(SEARCH("needs QA",$AC123)),TRIM(C123)&lt;&gt;"QA"),"Set Current Status back to QA",IF(COUNTIF($B$2:$B$500,$B123)&gt;1,"Duplicate name - check row",IF(AND(TRIM(C123)="RELEASED IN PROD",Y123&lt;&gt;"Yes"),"Released but Confirmed Deployed? is not Yes",IF(COUNTIF('Rework Log'!$A$3:$A$500,$B123)&gt;0,"",IF(AND(S123&lt;&gt;"",M123&lt;&gt;"",S123&lt;M123),"QA target is before DB Dev target",IF(AND(S123&lt;&gt;"",P123&lt;&gt;"",S123&lt;P123),"QA target is before PBI Dev target",IF(AND(V123&lt;&gt;"",S123&lt;&gt;"",V123&lt;S123),"DPO Approval target is before QA target",IF(AND(Z123&lt;&gt;"",V123&lt;&gt;"",Z123&lt;V123),"Confirmed Deployed date is before DPO Approval target","")))))))))))))))))</f>
        <v/>
      </c>
      <c r="AE123" s="62"/>
    </row>
    <row r="124" spans="1:31" x14ac:dyDescent="0.25">
      <c r="A124" s="62"/>
      <c r="B124" s="62"/>
      <c r="C124" s="62"/>
      <c r="D124" s="64" t="str">
        <f ca="1">IF($B124="","",IF(LEFT($AC124,3)="Yes",IF(LEN($AC124)&gt;5,"Blocked - "&amp;MID($AC124,7,100),"Blocked")&amp;IF(SUMPRODUCT((TRIM('Rework Log'!$A$3:$A$500)=TRIM($B124))*('Rework Log'!$G$3:$G$500&lt;&gt;"Yes")*('Rework Log'!$G$3:$G$500&lt;&gt;"Did not pass re-test"))=0,"",IF(SUMPRODUCT(((TRIM('Rework Log'!$A$3:$A$500)=TRIM($B124))*('Rework Log'!$G$3:$G$500&lt;&gt;"Yes")*('Rework Log'!$G$3:$G$500&lt;&gt;"Did not pass re-test"))*ISNUMBER('Rework Log'!$J$3:$J$500))&gt;0," - fixed, awaiting re-test",IF(SUMPRODUCT(MAX(((TRIM('Rework Log'!$A$3:$A$500)=TRIM($B124))*('Rework Log'!$G$3:$G$500&lt;&gt;"Yes")*('Rework Log'!$G$3:$G$500&lt;&gt;"Did not pass re-test"))*IFERROR('Rework Log'!$I$3:$I$500*1,0)))=0," - unclaimed"," - promised "&amp;TEXT(SUMPRODUCT(MAX(((TRIM('Rework Log'!$A$3:$A$500)=TRIM($B124))*('Rework Log'!$G$3:$G$500&lt;&gt;"Yes")*('Rework Log'!$G$3:$G$500&lt;&gt;"Did not pass re-test"))*IFERROR('Rework Log'!$I$3:$I$500*1,0))),"m/d")))),IF(TRIM(C124)="NOT STARTED",IF(K124="","No plan date set",IF(K124&lt;TODAY(),"Review - planned start passed","On track")),IF(TRIM(C124)="DB Dev",IF(M124="","No target set",IF(AND(M124&lt;TODAY(),O124=""),"Overdue","On track")),IF(TRIM(C124)="PBI Dev",IF(P124="","No target set",IF(AND(P124&lt;TODAY(),R124=""),"Overdue","On track")),IF(TRIM(C124)="QA",IF(S124="","No target set",IF(AND(S124&lt;TODAY(),U124=""),"Overdue","On track")),IF(TRIM(C124)="DPO Approval",IF(V124="","No target set",IF(V124&lt;TODAY(),"Overdue","On track")),IF(TRIM(C124)="RELEASED IN PROD","Delivered",""))))))))</f>
        <v/>
      </c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4" t="str">
        <f>IF($B124="","",IF(AND(LEFT($AC124,3)="Yes",SUMPRODUCT((TRIM('Rework Log'!$A$3:$A$500)=TRIM($B124))*('Rework Log'!$G$3:$G$500&lt;&gt;"Yes")*('Rework Log'!$G$3:$G$500&lt;&gt;"Did not pass re-test"))=0),"Blocked - log it on Rework Log",IF(AND(LEFT($AC124,3)&lt;&gt;"Yes",SUMPRODUCT((TRIM('Rework Log'!$A$3:$A$500)=TRIM($B124))*('Rework Log'!$G$3:$G$500&lt;&gt;"Yes")*('Rework Log'!$G$3:$G$500&lt;&gt;"Did not pass re-test"))&gt;0),"Open rework row - mark Blocked? or close it",IF(AND(LEFT($AC124,3)&lt;&gt;"Yes",SUMPRODUCT((TRIM('Rework Log'!$A$3:$A$500)=TRIM($B124))*('Rework Log'!$G$3:$G$500&lt;&gt;"Yes")*('Rework Log'!$G$3:$G$500&lt;&gt;"Did not pass re-test"))=0,COUNTIF('Rework Log'!$A$3:$A$500,$B124)&gt;0,IFERROR(INDEX('Rework Log'!$G:$G,SUMPRODUCT(MAX((TRIM('Rework Log'!$A$3:$A$500)=TRIM($B124))*ROW('Rework Log'!$A$3:$A$500)))),"")="Did not pass re-test"),"Last fix rejected - re-block or log next attempt",IF(AND(LEFT($AC124,3)="Yes",ISNUMBER(SEARCH("needs DB Dev",$AC124)),O124&lt;&gt;"",SUMPRODUCT(MAX(((TRIM('Rework Log'!$A$3:$A$500)=TRIM($B124))*('Rework Log'!$G$3:$G$500&lt;&gt;"Yes")*('Rework Log'!$G$3:$G$500&lt;&gt;"Did not pass re-test"))*IFERROR('Rework Log'!$I$3:$I$500*1,0)))&gt;0),"Move old DB Dev completion date to Rework Log (col H)",IF(AND(LEFT($AC124,3)="Yes",ISNUMBER(SEARCH("needs PBI Dev",$AC124)),R124&lt;&gt;"",SUMPRODUCT(MAX(((TRIM('Rework Log'!$A$3:$A$500)=TRIM($B124))*('Rework Log'!$G$3:$G$500&lt;&gt;"Yes")*('Rework Log'!$G$3:$G$500&lt;&gt;"Did not pass re-test"))*IFERROR('Rework Log'!$I$3:$I$500*1,0)))&gt;0),"Move old PBI Dev completion date to Rework Log (col H)",IF(AND(LEFT($AC124,3)="Yes",ISNUMBER(SEARCH("needs QA",$AC124)),U124&lt;&gt;"",SUMPRODUCT(MAX(((TRIM('Rework Log'!$A$3:$A$500)=TRIM($B124))*('Rework Log'!$G$3:$G$500&lt;&gt;"Yes")*('Rework Log'!$G$3:$G$500&lt;&gt;"Did not pass re-test"))*IFERROR('Rework Log'!$I$3:$I$500*1,0)))&gt;0),"Move old QA completion date to Rework Log (col H)",IF(AND(LEFT($AC124,3)="Yes",ISNUMBER(SEARCH("needs DB Dev",$AC124)),TRIM(C124)&lt;&gt;"DB Dev"),"Set Current Status back to DB Dev",IF(AND(LEFT($AC124,3)="Yes",ISNUMBER(SEARCH("needs PBI Dev",$AC124)),TRIM(C124)&lt;&gt;"PBI Dev"),"Set Current Status back to PBI Dev",IF(AND(LEFT($AC124,3)="Yes",ISNUMBER(SEARCH("needs QA",$AC124)),TRIM(C124)&lt;&gt;"QA"),"Set Current Status back to QA",IF(COUNTIF($B$2:$B$500,$B124)&gt;1,"Duplicate name - check row",IF(AND(TRIM(C124)="RELEASED IN PROD",Y124&lt;&gt;"Yes"),"Released but Confirmed Deployed? is not Yes",IF(COUNTIF('Rework Log'!$A$3:$A$500,$B124)&gt;0,"",IF(AND(S124&lt;&gt;"",M124&lt;&gt;"",S124&lt;M124),"QA target is before DB Dev target",IF(AND(S124&lt;&gt;"",P124&lt;&gt;"",S124&lt;P124),"QA target is before PBI Dev target",IF(AND(V124&lt;&gt;"",S124&lt;&gt;"",V124&lt;S124),"DPO Approval target is before QA target",IF(AND(Z124&lt;&gt;"",V124&lt;&gt;"",Z124&lt;V124),"Confirmed Deployed date is before DPO Approval target","")))))))))))))))))</f>
        <v/>
      </c>
      <c r="AE124" s="62"/>
    </row>
    <row r="125" spans="1:31" x14ac:dyDescent="0.25">
      <c r="A125" s="62"/>
      <c r="B125" s="62"/>
      <c r="C125" s="62"/>
      <c r="D125" s="64" t="str">
        <f ca="1">IF($B125="","",IF(LEFT($AC125,3)="Yes",IF(LEN($AC125)&gt;5,"Blocked - "&amp;MID($AC125,7,100),"Blocked")&amp;IF(SUMPRODUCT((TRIM('Rework Log'!$A$3:$A$500)=TRIM($B125))*('Rework Log'!$G$3:$G$500&lt;&gt;"Yes")*('Rework Log'!$G$3:$G$500&lt;&gt;"Did not pass re-test"))=0,"",IF(SUMPRODUCT(((TRIM('Rework Log'!$A$3:$A$500)=TRIM($B125))*('Rework Log'!$G$3:$G$500&lt;&gt;"Yes")*('Rework Log'!$G$3:$G$500&lt;&gt;"Did not pass re-test"))*ISNUMBER('Rework Log'!$J$3:$J$500))&gt;0," - fixed, awaiting re-test",IF(SUMPRODUCT(MAX(((TRIM('Rework Log'!$A$3:$A$500)=TRIM($B125))*('Rework Log'!$G$3:$G$500&lt;&gt;"Yes")*('Rework Log'!$G$3:$G$500&lt;&gt;"Did not pass re-test"))*IFERROR('Rework Log'!$I$3:$I$500*1,0)))=0," - unclaimed"," - promised "&amp;TEXT(SUMPRODUCT(MAX(((TRIM('Rework Log'!$A$3:$A$500)=TRIM($B125))*('Rework Log'!$G$3:$G$500&lt;&gt;"Yes")*('Rework Log'!$G$3:$G$500&lt;&gt;"Did not pass re-test"))*IFERROR('Rework Log'!$I$3:$I$500*1,0))),"m/d")))),IF(TRIM(C125)="NOT STARTED",IF(K125="","No plan date set",IF(K125&lt;TODAY(),"Review - planned start passed","On track")),IF(TRIM(C125)="DB Dev",IF(M125="","No target set",IF(AND(M125&lt;TODAY(),O125=""),"Overdue","On track")),IF(TRIM(C125)="PBI Dev",IF(P125="","No target set",IF(AND(P125&lt;TODAY(),R125=""),"Overdue","On track")),IF(TRIM(C125)="QA",IF(S125="","No target set",IF(AND(S125&lt;TODAY(),U125=""),"Overdue","On track")),IF(TRIM(C125)="DPO Approval",IF(V125="","No target set",IF(V125&lt;TODAY(),"Overdue","On track")),IF(TRIM(C125)="RELEASED IN PROD","Delivered",""))))))))</f>
        <v/>
      </c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4" t="str">
        <f>IF($B125="","",IF(AND(LEFT($AC125,3)="Yes",SUMPRODUCT((TRIM('Rework Log'!$A$3:$A$500)=TRIM($B125))*('Rework Log'!$G$3:$G$500&lt;&gt;"Yes")*('Rework Log'!$G$3:$G$500&lt;&gt;"Did not pass re-test"))=0),"Blocked - log it on Rework Log",IF(AND(LEFT($AC125,3)&lt;&gt;"Yes",SUMPRODUCT((TRIM('Rework Log'!$A$3:$A$500)=TRIM($B125))*('Rework Log'!$G$3:$G$500&lt;&gt;"Yes")*('Rework Log'!$G$3:$G$500&lt;&gt;"Did not pass re-test"))&gt;0),"Open rework row - mark Blocked? or close it",IF(AND(LEFT($AC125,3)&lt;&gt;"Yes",SUMPRODUCT((TRIM('Rework Log'!$A$3:$A$500)=TRIM($B125))*('Rework Log'!$G$3:$G$500&lt;&gt;"Yes")*('Rework Log'!$G$3:$G$500&lt;&gt;"Did not pass re-test"))=0,COUNTIF('Rework Log'!$A$3:$A$500,$B125)&gt;0,IFERROR(INDEX('Rework Log'!$G:$G,SUMPRODUCT(MAX((TRIM('Rework Log'!$A$3:$A$500)=TRIM($B125))*ROW('Rework Log'!$A$3:$A$500)))),"")="Did not pass re-test"),"Last fix rejected - re-block or log next attempt",IF(AND(LEFT($AC125,3)="Yes",ISNUMBER(SEARCH("needs DB Dev",$AC125)),O125&lt;&gt;"",SUMPRODUCT(MAX(((TRIM('Rework Log'!$A$3:$A$500)=TRIM($B125))*('Rework Log'!$G$3:$G$500&lt;&gt;"Yes")*('Rework Log'!$G$3:$G$500&lt;&gt;"Did not pass re-test"))*IFERROR('Rework Log'!$I$3:$I$500*1,0)))&gt;0),"Move old DB Dev completion date to Rework Log (col H)",IF(AND(LEFT($AC125,3)="Yes",ISNUMBER(SEARCH("needs PBI Dev",$AC125)),R125&lt;&gt;"",SUMPRODUCT(MAX(((TRIM('Rework Log'!$A$3:$A$500)=TRIM($B125))*('Rework Log'!$G$3:$G$500&lt;&gt;"Yes")*('Rework Log'!$G$3:$G$500&lt;&gt;"Did not pass re-test"))*IFERROR('Rework Log'!$I$3:$I$500*1,0)))&gt;0),"Move old PBI Dev completion date to Rework Log (col H)",IF(AND(LEFT($AC125,3)="Yes",ISNUMBER(SEARCH("needs QA",$AC125)),U125&lt;&gt;"",SUMPRODUCT(MAX(((TRIM('Rework Log'!$A$3:$A$500)=TRIM($B125))*('Rework Log'!$G$3:$G$500&lt;&gt;"Yes")*('Rework Log'!$G$3:$G$500&lt;&gt;"Did not pass re-test"))*IFERROR('Rework Log'!$I$3:$I$500*1,0)))&gt;0),"Move old QA completion date to Rework Log (col H)",IF(AND(LEFT($AC125,3)="Yes",ISNUMBER(SEARCH("needs DB Dev",$AC125)),TRIM(C125)&lt;&gt;"DB Dev"),"Set Current Status back to DB Dev",IF(AND(LEFT($AC125,3)="Yes",ISNUMBER(SEARCH("needs PBI Dev",$AC125)),TRIM(C125)&lt;&gt;"PBI Dev"),"Set Current Status back to PBI Dev",IF(AND(LEFT($AC125,3)="Yes",ISNUMBER(SEARCH("needs QA",$AC125)),TRIM(C125)&lt;&gt;"QA"),"Set Current Status back to QA",IF(COUNTIF($B$2:$B$500,$B125)&gt;1,"Duplicate name - check row",IF(AND(TRIM(C125)="RELEASED IN PROD",Y125&lt;&gt;"Yes"),"Released but Confirmed Deployed? is not Yes",IF(COUNTIF('Rework Log'!$A$3:$A$500,$B125)&gt;0,"",IF(AND(S125&lt;&gt;"",M125&lt;&gt;"",S125&lt;M125),"QA target is before DB Dev target",IF(AND(S125&lt;&gt;"",P125&lt;&gt;"",S125&lt;P125),"QA target is before PBI Dev target",IF(AND(V125&lt;&gt;"",S125&lt;&gt;"",V125&lt;S125),"DPO Approval target is before QA target",IF(AND(Z125&lt;&gt;"",V125&lt;&gt;"",Z125&lt;V125),"Confirmed Deployed date is before DPO Approval target","")))))))))))))))))</f>
        <v/>
      </c>
      <c r="AE125" s="62"/>
    </row>
    <row r="126" spans="1:31" x14ac:dyDescent="0.25">
      <c r="A126" s="62"/>
      <c r="B126" s="62"/>
      <c r="C126" s="62"/>
      <c r="D126" s="64" t="str">
        <f ca="1">IF($B126="","",IF(LEFT($AC126,3)="Yes",IF(LEN($AC126)&gt;5,"Blocked - "&amp;MID($AC126,7,100),"Blocked")&amp;IF(SUMPRODUCT((TRIM('Rework Log'!$A$3:$A$500)=TRIM($B126))*('Rework Log'!$G$3:$G$500&lt;&gt;"Yes")*('Rework Log'!$G$3:$G$500&lt;&gt;"Did not pass re-test"))=0,"",IF(SUMPRODUCT(((TRIM('Rework Log'!$A$3:$A$500)=TRIM($B126))*('Rework Log'!$G$3:$G$500&lt;&gt;"Yes")*('Rework Log'!$G$3:$G$500&lt;&gt;"Did not pass re-test"))*ISNUMBER('Rework Log'!$J$3:$J$500))&gt;0," - fixed, awaiting re-test",IF(SUMPRODUCT(MAX(((TRIM('Rework Log'!$A$3:$A$500)=TRIM($B126))*('Rework Log'!$G$3:$G$500&lt;&gt;"Yes")*('Rework Log'!$G$3:$G$500&lt;&gt;"Did not pass re-test"))*IFERROR('Rework Log'!$I$3:$I$500*1,0)))=0," - unclaimed"," - promised "&amp;TEXT(SUMPRODUCT(MAX(((TRIM('Rework Log'!$A$3:$A$500)=TRIM($B126))*('Rework Log'!$G$3:$G$500&lt;&gt;"Yes")*('Rework Log'!$G$3:$G$500&lt;&gt;"Did not pass re-test"))*IFERROR('Rework Log'!$I$3:$I$500*1,0))),"m/d")))),IF(TRIM(C126)="NOT STARTED",IF(K126="","No plan date set",IF(K126&lt;TODAY(),"Review - planned start passed","On track")),IF(TRIM(C126)="DB Dev",IF(M126="","No target set",IF(AND(M126&lt;TODAY(),O126=""),"Overdue","On track")),IF(TRIM(C126)="PBI Dev",IF(P126="","No target set",IF(AND(P126&lt;TODAY(),R126=""),"Overdue","On track")),IF(TRIM(C126)="QA",IF(S126="","No target set",IF(AND(S126&lt;TODAY(),U126=""),"Overdue","On track")),IF(TRIM(C126)="DPO Approval",IF(V126="","No target set",IF(V126&lt;TODAY(),"Overdue","On track")),IF(TRIM(C126)="RELEASED IN PROD","Delivered",""))))))))</f>
        <v/>
      </c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4" t="str">
        <f>IF($B126="","",IF(AND(LEFT($AC126,3)="Yes",SUMPRODUCT((TRIM('Rework Log'!$A$3:$A$500)=TRIM($B126))*('Rework Log'!$G$3:$G$500&lt;&gt;"Yes")*('Rework Log'!$G$3:$G$500&lt;&gt;"Did not pass re-test"))=0),"Blocked - log it on Rework Log",IF(AND(LEFT($AC126,3)&lt;&gt;"Yes",SUMPRODUCT((TRIM('Rework Log'!$A$3:$A$500)=TRIM($B126))*('Rework Log'!$G$3:$G$500&lt;&gt;"Yes")*('Rework Log'!$G$3:$G$500&lt;&gt;"Did not pass re-test"))&gt;0),"Open rework row - mark Blocked? or close it",IF(AND(LEFT($AC126,3)&lt;&gt;"Yes",SUMPRODUCT((TRIM('Rework Log'!$A$3:$A$500)=TRIM($B126))*('Rework Log'!$G$3:$G$500&lt;&gt;"Yes")*('Rework Log'!$G$3:$G$500&lt;&gt;"Did not pass re-test"))=0,COUNTIF('Rework Log'!$A$3:$A$500,$B126)&gt;0,IFERROR(INDEX('Rework Log'!$G:$G,SUMPRODUCT(MAX((TRIM('Rework Log'!$A$3:$A$500)=TRIM($B126))*ROW('Rework Log'!$A$3:$A$500)))),"")="Did not pass re-test"),"Last fix rejected - re-block or log next attempt",IF(AND(LEFT($AC126,3)="Yes",ISNUMBER(SEARCH("needs DB Dev",$AC126)),O126&lt;&gt;"",SUMPRODUCT(MAX(((TRIM('Rework Log'!$A$3:$A$500)=TRIM($B126))*('Rework Log'!$G$3:$G$500&lt;&gt;"Yes")*('Rework Log'!$G$3:$G$500&lt;&gt;"Did not pass re-test"))*IFERROR('Rework Log'!$I$3:$I$500*1,0)))&gt;0),"Move old DB Dev completion date to Rework Log (col H)",IF(AND(LEFT($AC126,3)="Yes",ISNUMBER(SEARCH("needs PBI Dev",$AC126)),R126&lt;&gt;"",SUMPRODUCT(MAX(((TRIM('Rework Log'!$A$3:$A$500)=TRIM($B126))*('Rework Log'!$G$3:$G$500&lt;&gt;"Yes")*('Rework Log'!$G$3:$G$500&lt;&gt;"Did not pass re-test"))*IFERROR('Rework Log'!$I$3:$I$500*1,0)))&gt;0),"Move old PBI Dev completion date to Rework Log (col H)",IF(AND(LEFT($AC126,3)="Yes",ISNUMBER(SEARCH("needs QA",$AC126)),U126&lt;&gt;"",SUMPRODUCT(MAX(((TRIM('Rework Log'!$A$3:$A$500)=TRIM($B126))*('Rework Log'!$G$3:$G$500&lt;&gt;"Yes")*('Rework Log'!$G$3:$G$500&lt;&gt;"Did not pass re-test"))*IFERROR('Rework Log'!$I$3:$I$500*1,0)))&gt;0),"Move old QA completion date to Rework Log (col H)",IF(AND(LEFT($AC126,3)="Yes",ISNUMBER(SEARCH("needs DB Dev",$AC126)),TRIM(C126)&lt;&gt;"DB Dev"),"Set Current Status back to DB Dev",IF(AND(LEFT($AC126,3)="Yes",ISNUMBER(SEARCH("needs PBI Dev",$AC126)),TRIM(C126)&lt;&gt;"PBI Dev"),"Set Current Status back to PBI Dev",IF(AND(LEFT($AC126,3)="Yes",ISNUMBER(SEARCH("needs QA",$AC126)),TRIM(C126)&lt;&gt;"QA"),"Set Current Status back to QA",IF(COUNTIF($B$2:$B$500,$B126)&gt;1,"Duplicate name - check row",IF(AND(TRIM(C126)="RELEASED IN PROD",Y126&lt;&gt;"Yes"),"Released but Confirmed Deployed? is not Yes",IF(COUNTIF('Rework Log'!$A$3:$A$500,$B126)&gt;0,"",IF(AND(S126&lt;&gt;"",M126&lt;&gt;"",S126&lt;M126),"QA target is before DB Dev target",IF(AND(S126&lt;&gt;"",P126&lt;&gt;"",S126&lt;P126),"QA target is before PBI Dev target",IF(AND(V126&lt;&gt;"",S126&lt;&gt;"",V126&lt;S126),"DPO Approval target is before QA target",IF(AND(Z126&lt;&gt;"",V126&lt;&gt;"",Z126&lt;V126),"Confirmed Deployed date is before DPO Approval target","")))))))))))))))))</f>
        <v/>
      </c>
      <c r="AE126" s="62"/>
    </row>
    <row r="127" spans="1:31" x14ac:dyDescent="0.25">
      <c r="A127" s="62"/>
      <c r="B127" s="62"/>
      <c r="C127" s="62"/>
      <c r="D127" s="64" t="str">
        <f ca="1">IF($B127="","",IF(LEFT($AC127,3)="Yes",IF(LEN($AC127)&gt;5,"Blocked - "&amp;MID($AC127,7,100),"Blocked")&amp;IF(SUMPRODUCT((TRIM('Rework Log'!$A$3:$A$500)=TRIM($B127))*('Rework Log'!$G$3:$G$500&lt;&gt;"Yes")*('Rework Log'!$G$3:$G$500&lt;&gt;"Did not pass re-test"))=0,"",IF(SUMPRODUCT(((TRIM('Rework Log'!$A$3:$A$500)=TRIM($B127))*('Rework Log'!$G$3:$G$500&lt;&gt;"Yes")*('Rework Log'!$G$3:$G$500&lt;&gt;"Did not pass re-test"))*ISNUMBER('Rework Log'!$J$3:$J$500))&gt;0," - fixed, awaiting re-test",IF(SUMPRODUCT(MAX(((TRIM('Rework Log'!$A$3:$A$500)=TRIM($B127))*('Rework Log'!$G$3:$G$500&lt;&gt;"Yes")*('Rework Log'!$G$3:$G$500&lt;&gt;"Did not pass re-test"))*IFERROR('Rework Log'!$I$3:$I$500*1,0)))=0," - unclaimed"," - promised "&amp;TEXT(SUMPRODUCT(MAX(((TRIM('Rework Log'!$A$3:$A$500)=TRIM($B127))*('Rework Log'!$G$3:$G$500&lt;&gt;"Yes")*('Rework Log'!$G$3:$G$500&lt;&gt;"Did not pass re-test"))*IFERROR('Rework Log'!$I$3:$I$500*1,0))),"m/d")))),IF(TRIM(C127)="NOT STARTED",IF(K127="","No plan date set",IF(K127&lt;TODAY(),"Review - planned start passed","On track")),IF(TRIM(C127)="DB Dev",IF(M127="","No target set",IF(AND(M127&lt;TODAY(),O127=""),"Overdue","On track")),IF(TRIM(C127)="PBI Dev",IF(P127="","No target set",IF(AND(P127&lt;TODAY(),R127=""),"Overdue","On track")),IF(TRIM(C127)="QA",IF(S127="","No target set",IF(AND(S127&lt;TODAY(),U127=""),"Overdue","On track")),IF(TRIM(C127)="DPO Approval",IF(V127="","No target set",IF(V127&lt;TODAY(),"Overdue","On track")),IF(TRIM(C127)="RELEASED IN PROD","Delivered",""))))))))</f>
        <v/>
      </c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4" t="str">
        <f>IF($B127="","",IF(AND(LEFT($AC127,3)="Yes",SUMPRODUCT((TRIM('Rework Log'!$A$3:$A$500)=TRIM($B127))*('Rework Log'!$G$3:$G$500&lt;&gt;"Yes")*('Rework Log'!$G$3:$G$500&lt;&gt;"Did not pass re-test"))=0),"Blocked - log it on Rework Log",IF(AND(LEFT($AC127,3)&lt;&gt;"Yes",SUMPRODUCT((TRIM('Rework Log'!$A$3:$A$500)=TRIM($B127))*('Rework Log'!$G$3:$G$500&lt;&gt;"Yes")*('Rework Log'!$G$3:$G$500&lt;&gt;"Did not pass re-test"))&gt;0),"Open rework row - mark Blocked? or close it",IF(AND(LEFT($AC127,3)&lt;&gt;"Yes",SUMPRODUCT((TRIM('Rework Log'!$A$3:$A$500)=TRIM($B127))*('Rework Log'!$G$3:$G$500&lt;&gt;"Yes")*('Rework Log'!$G$3:$G$500&lt;&gt;"Did not pass re-test"))=0,COUNTIF('Rework Log'!$A$3:$A$500,$B127)&gt;0,IFERROR(INDEX('Rework Log'!$G:$G,SUMPRODUCT(MAX((TRIM('Rework Log'!$A$3:$A$500)=TRIM($B127))*ROW('Rework Log'!$A$3:$A$500)))),"")="Did not pass re-test"),"Last fix rejected - re-block or log next attempt",IF(AND(LEFT($AC127,3)="Yes",ISNUMBER(SEARCH("needs DB Dev",$AC127)),O127&lt;&gt;"",SUMPRODUCT(MAX(((TRIM('Rework Log'!$A$3:$A$500)=TRIM($B127))*('Rework Log'!$G$3:$G$500&lt;&gt;"Yes")*('Rework Log'!$G$3:$G$500&lt;&gt;"Did not pass re-test"))*IFERROR('Rework Log'!$I$3:$I$500*1,0)))&gt;0),"Move old DB Dev completion date to Rework Log (col H)",IF(AND(LEFT($AC127,3)="Yes",ISNUMBER(SEARCH("needs PBI Dev",$AC127)),R127&lt;&gt;"",SUMPRODUCT(MAX(((TRIM('Rework Log'!$A$3:$A$500)=TRIM($B127))*('Rework Log'!$G$3:$G$500&lt;&gt;"Yes")*('Rework Log'!$G$3:$G$500&lt;&gt;"Did not pass re-test"))*IFERROR('Rework Log'!$I$3:$I$500*1,0)))&gt;0),"Move old PBI Dev completion date to Rework Log (col H)",IF(AND(LEFT($AC127,3)="Yes",ISNUMBER(SEARCH("needs QA",$AC127)),U127&lt;&gt;"",SUMPRODUCT(MAX(((TRIM('Rework Log'!$A$3:$A$500)=TRIM($B127))*('Rework Log'!$G$3:$G$500&lt;&gt;"Yes")*('Rework Log'!$G$3:$G$500&lt;&gt;"Did not pass re-test"))*IFERROR('Rework Log'!$I$3:$I$500*1,0)))&gt;0),"Move old QA completion date to Rework Log (col H)",IF(AND(LEFT($AC127,3)="Yes",ISNUMBER(SEARCH("needs DB Dev",$AC127)),TRIM(C127)&lt;&gt;"DB Dev"),"Set Current Status back to DB Dev",IF(AND(LEFT($AC127,3)="Yes",ISNUMBER(SEARCH("needs PBI Dev",$AC127)),TRIM(C127)&lt;&gt;"PBI Dev"),"Set Current Status back to PBI Dev",IF(AND(LEFT($AC127,3)="Yes",ISNUMBER(SEARCH("needs QA",$AC127)),TRIM(C127)&lt;&gt;"QA"),"Set Current Status back to QA",IF(COUNTIF($B$2:$B$500,$B127)&gt;1,"Duplicate name - check row",IF(AND(TRIM(C127)="RELEASED IN PROD",Y127&lt;&gt;"Yes"),"Released but Confirmed Deployed? is not Yes",IF(COUNTIF('Rework Log'!$A$3:$A$500,$B127)&gt;0,"",IF(AND(S127&lt;&gt;"",M127&lt;&gt;"",S127&lt;M127),"QA target is before DB Dev target",IF(AND(S127&lt;&gt;"",P127&lt;&gt;"",S127&lt;P127),"QA target is before PBI Dev target",IF(AND(V127&lt;&gt;"",S127&lt;&gt;"",V127&lt;S127),"DPO Approval target is before QA target",IF(AND(Z127&lt;&gt;"",V127&lt;&gt;"",Z127&lt;V127),"Confirmed Deployed date is before DPO Approval target","")))))))))))))))))</f>
        <v/>
      </c>
      <c r="AE127" s="62"/>
    </row>
    <row r="128" spans="1:31" x14ac:dyDescent="0.25">
      <c r="A128" s="62"/>
      <c r="B128" s="62"/>
      <c r="C128" s="62"/>
      <c r="D128" s="64" t="str">
        <f ca="1">IF($B128="","",IF(LEFT($AC128,3)="Yes",IF(LEN($AC128)&gt;5,"Blocked - "&amp;MID($AC128,7,100),"Blocked")&amp;IF(SUMPRODUCT((TRIM('Rework Log'!$A$3:$A$500)=TRIM($B128))*('Rework Log'!$G$3:$G$500&lt;&gt;"Yes")*('Rework Log'!$G$3:$G$500&lt;&gt;"Did not pass re-test"))=0,"",IF(SUMPRODUCT(((TRIM('Rework Log'!$A$3:$A$500)=TRIM($B128))*('Rework Log'!$G$3:$G$500&lt;&gt;"Yes")*('Rework Log'!$G$3:$G$500&lt;&gt;"Did not pass re-test"))*ISNUMBER('Rework Log'!$J$3:$J$500))&gt;0," - fixed, awaiting re-test",IF(SUMPRODUCT(MAX(((TRIM('Rework Log'!$A$3:$A$500)=TRIM($B128))*('Rework Log'!$G$3:$G$500&lt;&gt;"Yes")*('Rework Log'!$G$3:$G$500&lt;&gt;"Did not pass re-test"))*IFERROR('Rework Log'!$I$3:$I$500*1,0)))=0," - unclaimed"," - promised "&amp;TEXT(SUMPRODUCT(MAX(((TRIM('Rework Log'!$A$3:$A$500)=TRIM($B128))*('Rework Log'!$G$3:$G$500&lt;&gt;"Yes")*('Rework Log'!$G$3:$G$500&lt;&gt;"Did not pass re-test"))*IFERROR('Rework Log'!$I$3:$I$500*1,0))),"m/d")))),IF(TRIM(C128)="NOT STARTED",IF(K128="","No plan date set",IF(K128&lt;TODAY(),"Review - planned start passed","On track")),IF(TRIM(C128)="DB Dev",IF(M128="","No target set",IF(AND(M128&lt;TODAY(),O128=""),"Overdue","On track")),IF(TRIM(C128)="PBI Dev",IF(P128="","No target set",IF(AND(P128&lt;TODAY(),R128=""),"Overdue","On track")),IF(TRIM(C128)="QA",IF(S128="","No target set",IF(AND(S128&lt;TODAY(),U128=""),"Overdue","On track")),IF(TRIM(C128)="DPO Approval",IF(V128="","No target set",IF(V128&lt;TODAY(),"Overdue","On track")),IF(TRIM(C128)="RELEASED IN PROD","Delivered",""))))))))</f>
        <v/>
      </c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4" t="str">
        <f>IF($B128="","",IF(AND(LEFT($AC128,3)="Yes",SUMPRODUCT((TRIM('Rework Log'!$A$3:$A$500)=TRIM($B128))*('Rework Log'!$G$3:$G$500&lt;&gt;"Yes")*('Rework Log'!$G$3:$G$500&lt;&gt;"Did not pass re-test"))=0),"Blocked - log it on Rework Log",IF(AND(LEFT($AC128,3)&lt;&gt;"Yes",SUMPRODUCT((TRIM('Rework Log'!$A$3:$A$500)=TRIM($B128))*('Rework Log'!$G$3:$G$500&lt;&gt;"Yes")*('Rework Log'!$G$3:$G$500&lt;&gt;"Did not pass re-test"))&gt;0),"Open rework row - mark Blocked? or close it",IF(AND(LEFT($AC128,3)&lt;&gt;"Yes",SUMPRODUCT((TRIM('Rework Log'!$A$3:$A$500)=TRIM($B128))*('Rework Log'!$G$3:$G$500&lt;&gt;"Yes")*('Rework Log'!$G$3:$G$500&lt;&gt;"Did not pass re-test"))=0,COUNTIF('Rework Log'!$A$3:$A$500,$B128)&gt;0,IFERROR(INDEX('Rework Log'!$G:$G,SUMPRODUCT(MAX((TRIM('Rework Log'!$A$3:$A$500)=TRIM($B128))*ROW('Rework Log'!$A$3:$A$500)))),"")="Did not pass re-test"),"Last fix rejected - re-block or log next attempt",IF(AND(LEFT($AC128,3)="Yes",ISNUMBER(SEARCH("needs DB Dev",$AC128)),O128&lt;&gt;"",SUMPRODUCT(MAX(((TRIM('Rework Log'!$A$3:$A$500)=TRIM($B128))*('Rework Log'!$G$3:$G$500&lt;&gt;"Yes")*('Rework Log'!$G$3:$G$500&lt;&gt;"Did not pass re-test"))*IFERROR('Rework Log'!$I$3:$I$500*1,0)))&gt;0),"Move old DB Dev completion date to Rework Log (col H)",IF(AND(LEFT($AC128,3)="Yes",ISNUMBER(SEARCH("needs PBI Dev",$AC128)),R128&lt;&gt;"",SUMPRODUCT(MAX(((TRIM('Rework Log'!$A$3:$A$500)=TRIM($B128))*('Rework Log'!$G$3:$G$500&lt;&gt;"Yes")*('Rework Log'!$G$3:$G$500&lt;&gt;"Did not pass re-test"))*IFERROR('Rework Log'!$I$3:$I$500*1,0)))&gt;0),"Move old PBI Dev completion date to Rework Log (col H)",IF(AND(LEFT($AC128,3)="Yes",ISNUMBER(SEARCH("needs QA",$AC128)),U128&lt;&gt;"",SUMPRODUCT(MAX(((TRIM('Rework Log'!$A$3:$A$500)=TRIM($B128))*('Rework Log'!$G$3:$G$500&lt;&gt;"Yes")*('Rework Log'!$G$3:$G$500&lt;&gt;"Did not pass re-test"))*IFERROR('Rework Log'!$I$3:$I$500*1,0)))&gt;0),"Move old QA completion date to Rework Log (col H)",IF(AND(LEFT($AC128,3)="Yes",ISNUMBER(SEARCH("needs DB Dev",$AC128)),TRIM(C128)&lt;&gt;"DB Dev"),"Set Current Status back to DB Dev",IF(AND(LEFT($AC128,3)="Yes",ISNUMBER(SEARCH("needs PBI Dev",$AC128)),TRIM(C128)&lt;&gt;"PBI Dev"),"Set Current Status back to PBI Dev",IF(AND(LEFT($AC128,3)="Yes",ISNUMBER(SEARCH("needs QA",$AC128)),TRIM(C128)&lt;&gt;"QA"),"Set Current Status back to QA",IF(COUNTIF($B$2:$B$500,$B128)&gt;1,"Duplicate name - check row",IF(AND(TRIM(C128)="RELEASED IN PROD",Y128&lt;&gt;"Yes"),"Released but Confirmed Deployed? is not Yes",IF(COUNTIF('Rework Log'!$A$3:$A$500,$B128)&gt;0,"",IF(AND(S128&lt;&gt;"",M128&lt;&gt;"",S128&lt;M128),"QA target is before DB Dev target",IF(AND(S128&lt;&gt;"",P128&lt;&gt;"",S128&lt;P128),"QA target is before PBI Dev target",IF(AND(V128&lt;&gt;"",S128&lt;&gt;"",V128&lt;S128),"DPO Approval target is before QA target",IF(AND(Z128&lt;&gt;"",V128&lt;&gt;"",Z128&lt;V128),"Confirmed Deployed date is before DPO Approval target","")))))))))))))))))</f>
        <v/>
      </c>
      <c r="AE128" s="62"/>
    </row>
    <row r="129" spans="1:31" x14ac:dyDescent="0.25">
      <c r="A129" s="62"/>
      <c r="B129" s="62"/>
      <c r="C129" s="62"/>
      <c r="D129" s="64" t="str">
        <f ca="1">IF($B129="","",IF(LEFT($AC129,3)="Yes",IF(LEN($AC129)&gt;5,"Blocked - "&amp;MID($AC129,7,100),"Blocked")&amp;IF(SUMPRODUCT((TRIM('Rework Log'!$A$3:$A$500)=TRIM($B129))*('Rework Log'!$G$3:$G$500&lt;&gt;"Yes")*('Rework Log'!$G$3:$G$500&lt;&gt;"Did not pass re-test"))=0,"",IF(SUMPRODUCT(((TRIM('Rework Log'!$A$3:$A$500)=TRIM($B129))*('Rework Log'!$G$3:$G$500&lt;&gt;"Yes")*('Rework Log'!$G$3:$G$500&lt;&gt;"Did not pass re-test"))*ISNUMBER('Rework Log'!$J$3:$J$500))&gt;0," - fixed, awaiting re-test",IF(SUMPRODUCT(MAX(((TRIM('Rework Log'!$A$3:$A$500)=TRIM($B129))*('Rework Log'!$G$3:$G$500&lt;&gt;"Yes")*('Rework Log'!$G$3:$G$500&lt;&gt;"Did not pass re-test"))*IFERROR('Rework Log'!$I$3:$I$500*1,0)))=0," - unclaimed"," - promised "&amp;TEXT(SUMPRODUCT(MAX(((TRIM('Rework Log'!$A$3:$A$500)=TRIM($B129))*('Rework Log'!$G$3:$G$500&lt;&gt;"Yes")*('Rework Log'!$G$3:$G$500&lt;&gt;"Did not pass re-test"))*IFERROR('Rework Log'!$I$3:$I$500*1,0))),"m/d")))),IF(TRIM(C129)="NOT STARTED",IF(K129="","No plan date set",IF(K129&lt;TODAY(),"Review - planned start passed","On track")),IF(TRIM(C129)="DB Dev",IF(M129="","No target set",IF(AND(M129&lt;TODAY(),O129=""),"Overdue","On track")),IF(TRIM(C129)="PBI Dev",IF(P129="","No target set",IF(AND(P129&lt;TODAY(),R129=""),"Overdue","On track")),IF(TRIM(C129)="QA",IF(S129="","No target set",IF(AND(S129&lt;TODAY(),U129=""),"Overdue","On track")),IF(TRIM(C129)="DPO Approval",IF(V129="","No target set",IF(V129&lt;TODAY(),"Overdue","On track")),IF(TRIM(C129)="RELEASED IN PROD","Delivered",""))))))))</f>
        <v/>
      </c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4" t="str">
        <f>IF($B129="","",IF(AND(LEFT($AC129,3)="Yes",SUMPRODUCT((TRIM('Rework Log'!$A$3:$A$500)=TRIM($B129))*('Rework Log'!$G$3:$G$500&lt;&gt;"Yes")*('Rework Log'!$G$3:$G$500&lt;&gt;"Did not pass re-test"))=0),"Blocked - log it on Rework Log",IF(AND(LEFT($AC129,3)&lt;&gt;"Yes",SUMPRODUCT((TRIM('Rework Log'!$A$3:$A$500)=TRIM($B129))*('Rework Log'!$G$3:$G$500&lt;&gt;"Yes")*('Rework Log'!$G$3:$G$500&lt;&gt;"Did not pass re-test"))&gt;0),"Open rework row - mark Blocked? or close it",IF(AND(LEFT($AC129,3)&lt;&gt;"Yes",SUMPRODUCT((TRIM('Rework Log'!$A$3:$A$500)=TRIM($B129))*('Rework Log'!$G$3:$G$500&lt;&gt;"Yes")*('Rework Log'!$G$3:$G$500&lt;&gt;"Did not pass re-test"))=0,COUNTIF('Rework Log'!$A$3:$A$500,$B129)&gt;0,IFERROR(INDEX('Rework Log'!$G:$G,SUMPRODUCT(MAX((TRIM('Rework Log'!$A$3:$A$500)=TRIM($B129))*ROW('Rework Log'!$A$3:$A$500)))),"")="Did not pass re-test"),"Last fix rejected - re-block or log next attempt",IF(AND(LEFT($AC129,3)="Yes",ISNUMBER(SEARCH("needs DB Dev",$AC129)),O129&lt;&gt;"",SUMPRODUCT(MAX(((TRIM('Rework Log'!$A$3:$A$500)=TRIM($B129))*('Rework Log'!$G$3:$G$500&lt;&gt;"Yes")*('Rework Log'!$G$3:$G$500&lt;&gt;"Did not pass re-test"))*IFERROR('Rework Log'!$I$3:$I$500*1,0)))&gt;0),"Move old DB Dev completion date to Rework Log (col H)",IF(AND(LEFT($AC129,3)="Yes",ISNUMBER(SEARCH("needs PBI Dev",$AC129)),R129&lt;&gt;"",SUMPRODUCT(MAX(((TRIM('Rework Log'!$A$3:$A$500)=TRIM($B129))*('Rework Log'!$G$3:$G$500&lt;&gt;"Yes")*('Rework Log'!$G$3:$G$500&lt;&gt;"Did not pass re-test"))*IFERROR('Rework Log'!$I$3:$I$500*1,0)))&gt;0),"Move old PBI Dev completion date to Rework Log (col H)",IF(AND(LEFT($AC129,3)="Yes",ISNUMBER(SEARCH("needs QA",$AC129)),U129&lt;&gt;"",SUMPRODUCT(MAX(((TRIM('Rework Log'!$A$3:$A$500)=TRIM($B129))*('Rework Log'!$G$3:$G$500&lt;&gt;"Yes")*('Rework Log'!$G$3:$G$500&lt;&gt;"Did not pass re-test"))*IFERROR('Rework Log'!$I$3:$I$500*1,0)))&gt;0),"Move old QA completion date to Rework Log (col H)",IF(AND(LEFT($AC129,3)="Yes",ISNUMBER(SEARCH("needs DB Dev",$AC129)),TRIM(C129)&lt;&gt;"DB Dev"),"Set Current Status back to DB Dev",IF(AND(LEFT($AC129,3)="Yes",ISNUMBER(SEARCH("needs PBI Dev",$AC129)),TRIM(C129)&lt;&gt;"PBI Dev"),"Set Current Status back to PBI Dev",IF(AND(LEFT($AC129,3)="Yes",ISNUMBER(SEARCH("needs QA",$AC129)),TRIM(C129)&lt;&gt;"QA"),"Set Current Status back to QA",IF(COUNTIF($B$2:$B$500,$B129)&gt;1,"Duplicate name - check row",IF(AND(TRIM(C129)="RELEASED IN PROD",Y129&lt;&gt;"Yes"),"Released but Confirmed Deployed? is not Yes",IF(COUNTIF('Rework Log'!$A$3:$A$500,$B129)&gt;0,"",IF(AND(S129&lt;&gt;"",M129&lt;&gt;"",S129&lt;M129),"QA target is before DB Dev target",IF(AND(S129&lt;&gt;"",P129&lt;&gt;"",S129&lt;P129),"QA target is before PBI Dev target",IF(AND(V129&lt;&gt;"",S129&lt;&gt;"",V129&lt;S129),"DPO Approval target is before QA target",IF(AND(Z129&lt;&gt;"",V129&lt;&gt;"",Z129&lt;V129),"Confirmed Deployed date is before DPO Approval target","")))))))))))))))))</f>
        <v/>
      </c>
      <c r="AE129" s="62"/>
    </row>
    <row r="130" spans="1:31" x14ac:dyDescent="0.25">
      <c r="A130" s="62"/>
      <c r="B130" s="62"/>
      <c r="C130" s="62"/>
      <c r="D130" s="64" t="str">
        <f ca="1">IF($B130="","",IF(LEFT($AC130,3)="Yes",IF(LEN($AC130)&gt;5,"Blocked - "&amp;MID($AC130,7,100),"Blocked")&amp;IF(SUMPRODUCT((TRIM('Rework Log'!$A$3:$A$500)=TRIM($B130))*('Rework Log'!$G$3:$G$500&lt;&gt;"Yes")*('Rework Log'!$G$3:$G$500&lt;&gt;"Did not pass re-test"))=0,"",IF(SUMPRODUCT(((TRIM('Rework Log'!$A$3:$A$500)=TRIM($B130))*('Rework Log'!$G$3:$G$500&lt;&gt;"Yes")*('Rework Log'!$G$3:$G$500&lt;&gt;"Did not pass re-test"))*ISNUMBER('Rework Log'!$J$3:$J$500))&gt;0," - fixed, awaiting re-test",IF(SUMPRODUCT(MAX(((TRIM('Rework Log'!$A$3:$A$500)=TRIM($B130))*('Rework Log'!$G$3:$G$500&lt;&gt;"Yes")*('Rework Log'!$G$3:$G$500&lt;&gt;"Did not pass re-test"))*IFERROR('Rework Log'!$I$3:$I$500*1,0)))=0," - unclaimed"," - promised "&amp;TEXT(SUMPRODUCT(MAX(((TRIM('Rework Log'!$A$3:$A$500)=TRIM($B130))*('Rework Log'!$G$3:$G$500&lt;&gt;"Yes")*('Rework Log'!$G$3:$G$500&lt;&gt;"Did not pass re-test"))*IFERROR('Rework Log'!$I$3:$I$500*1,0))),"m/d")))),IF(TRIM(C130)="NOT STARTED",IF(K130="","No plan date set",IF(K130&lt;TODAY(),"Review - planned start passed","On track")),IF(TRIM(C130)="DB Dev",IF(M130="","No target set",IF(AND(M130&lt;TODAY(),O130=""),"Overdue","On track")),IF(TRIM(C130)="PBI Dev",IF(P130="","No target set",IF(AND(P130&lt;TODAY(),R130=""),"Overdue","On track")),IF(TRIM(C130)="QA",IF(S130="","No target set",IF(AND(S130&lt;TODAY(),U130=""),"Overdue","On track")),IF(TRIM(C130)="DPO Approval",IF(V130="","No target set",IF(V130&lt;TODAY(),"Overdue","On track")),IF(TRIM(C130)="RELEASED IN PROD","Delivered",""))))))))</f>
        <v/>
      </c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4" t="str">
        <f>IF($B130="","",IF(AND(LEFT($AC130,3)="Yes",SUMPRODUCT((TRIM('Rework Log'!$A$3:$A$500)=TRIM($B130))*('Rework Log'!$G$3:$G$500&lt;&gt;"Yes")*('Rework Log'!$G$3:$G$500&lt;&gt;"Did not pass re-test"))=0),"Blocked - log it on Rework Log",IF(AND(LEFT($AC130,3)&lt;&gt;"Yes",SUMPRODUCT((TRIM('Rework Log'!$A$3:$A$500)=TRIM($B130))*('Rework Log'!$G$3:$G$500&lt;&gt;"Yes")*('Rework Log'!$G$3:$G$500&lt;&gt;"Did not pass re-test"))&gt;0),"Open rework row - mark Blocked? or close it",IF(AND(LEFT($AC130,3)&lt;&gt;"Yes",SUMPRODUCT((TRIM('Rework Log'!$A$3:$A$500)=TRIM($B130))*('Rework Log'!$G$3:$G$500&lt;&gt;"Yes")*('Rework Log'!$G$3:$G$500&lt;&gt;"Did not pass re-test"))=0,COUNTIF('Rework Log'!$A$3:$A$500,$B130)&gt;0,IFERROR(INDEX('Rework Log'!$G:$G,SUMPRODUCT(MAX((TRIM('Rework Log'!$A$3:$A$500)=TRIM($B130))*ROW('Rework Log'!$A$3:$A$500)))),"")="Did not pass re-test"),"Last fix rejected - re-block or log next attempt",IF(AND(LEFT($AC130,3)="Yes",ISNUMBER(SEARCH("needs DB Dev",$AC130)),O130&lt;&gt;"",SUMPRODUCT(MAX(((TRIM('Rework Log'!$A$3:$A$500)=TRIM($B130))*('Rework Log'!$G$3:$G$500&lt;&gt;"Yes")*('Rework Log'!$G$3:$G$500&lt;&gt;"Did not pass re-test"))*IFERROR('Rework Log'!$I$3:$I$500*1,0)))&gt;0),"Move old DB Dev completion date to Rework Log (col H)",IF(AND(LEFT($AC130,3)="Yes",ISNUMBER(SEARCH("needs PBI Dev",$AC130)),R130&lt;&gt;"",SUMPRODUCT(MAX(((TRIM('Rework Log'!$A$3:$A$500)=TRIM($B130))*('Rework Log'!$G$3:$G$500&lt;&gt;"Yes")*('Rework Log'!$G$3:$G$500&lt;&gt;"Did not pass re-test"))*IFERROR('Rework Log'!$I$3:$I$500*1,0)))&gt;0),"Move old PBI Dev completion date to Rework Log (col H)",IF(AND(LEFT($AC130,3)="Yes",ISNUMBER(SEARCH("needs QA",$AC130)),U130&lt;&gt;"",SUMPRODUCT(MAX(((TRIM('Rework Log'!$A$3:$A$500)=TRIM($B130))*('Rework Log'!$G$3:$G$500&lt;&gt;"Yes")*('Rework Log'!$G$3:$G$500&lt;&gt;"Did not pass re-test"))*IFERROR('Rework Log'!$I$3:$I$500*1,0)))&gt;0),"Move old QA completion date to Rework Log (col H)",IF(AND(LEFT($AC130,3)="Yes",ISNUMBER(SEARCH("needs DB Dev",$AC130)),TRIM(C130)&lt;&gt;"DB Dev"),"Set Current Status back to DB Dev",IF(AND(LEFT($AC130,3)="Yes",ISNUMBER(SEARCH("needs PBI Dev",$AC130)),TRIM(C130)&lt;&gt;"PBI Dev"),"Set Current Status back to PBI Dev",IF(AND(LEFT($AC130,3)="Yes",ISNUMBER(SEARCH("needs QA",$AC130)),TRIM(C130)&lt;&gt;"QA"),"Set Current Status back to QA",IF(COUNTIF($B$2:$B$500,$B130)&gt;1,"Duplicate name - check row",IF(AND(TRIM(C130)="RELEASED IN PROD",Y130&lt;&gt;"Yes"),"Released but Confirmed Deployed? is not Yes",IF(COUNTIF('Rework Log'!$A$3:$A$500,$B130)&gt;0,"",IF(AND(S130&lt;&gt;"",M130&lt;&gt;"",S130&lt;M130),"QA target is before DB Dev target",IF(AND(S130&lt;&gt;"",P130&lt;&gt;"",S130&lt;P130),"QA target is before PBI Dev target",IF(AND(V130&lt;&gt;"",S130&lt;&gt;"",V130&lt;S130),"DPO Approval target is before QA target",IF(AND(Z130&lt;&gt;"",V130&lt;&gt;"",Z130&lt;V130),"Confirmed Deployed date is before DPO Approval target","")))))))))))))))))</f>
        <v/>
      </c>
      <c r="AE130" s="62"/>
    </row>
    <row r="131" spans="1:31" x14ac:dyDescent="0.25">
      <c r="A131" s="62"/>
      <c r="B131" s="62"/>
      <c r="C131" s="62"/>
      <c r="D131" s="64" t="str">
        <f ca="1">IF($B131="","",IF(LEFT($AC131,3)="Yes",IF(LEN($AC131)&gt;5,"Blocked - "&amp;MID($AC131,7,100),"Blocked")&amp;IF(SUMPRODUCT((TRIM('Rework Log'!$A$3:$A$500)=TRIM($B131))*('Rework Log'!$G$3:$G$500&lt;&gt;"Yes")*('Rework Log'!$G$3:$G$500&lt;&gt;"Did not pass re-test"))=0,"",IF(SUMPRODUCT(((TRIM('Rework Log'!$A$3:$A$500)=TRIM($B131))*('Rework Log'!$G$3:$G$500&lt;&gt;"Yes")*('Rework Log'!$G$3:$G$500&lt;&gt;"Did not pass re-test"))*ISNUMBER('Rework Log'!$J$3:$J$500))&gt;0," - fixed, awaiting re-test",IF(SUMPRODUCT(MAX(((TRIM('Rework Log'!$A$3:$A$500)=TRIM($B131))*('Rework Log'!$G$3:$G$500&lt;&gt;"Yes")*('Rework Log'!$G$3:$G$500&lt;&gt;"Did not pass re-test"))*IFERROR('Rework Log'!$I$3:$I$500*1,0)))=0," - unclaimed"," - promised "&amp;TEXT(SUMPRODUCT(MAX(((TRIM('Rework Log'!$A$3:$A$500)=TRIM($B131))*('Rework Log'!$G$3:$G$500&lt;&gt;"Yes")*('Rework Log'!$G$3:$G$500&lt;&gt;"Did not pass re-test"))*IFERROR('Rework Log'!$I$3:$I$500*1,0))),"m/d")))),IF(TRIM(C131)="NOT STARTED",IF(K131="","No plan date set",IF(K131&lt;TODAY(),"Review - planned start passed","On track")),IF(TRIM(C131)="DB Dev",IF(M131="","No target set",IF(AND(M131&lt;TODAY(),O131=""),"Overdue","On track")),IF(TRIM(C131)="PBI Dev",IF(P131="","No target set",IF(AND(P131&lt;TODAY(),R131=""),"Overdue","On track")),IF(TRIM(C131)="QA",IF(S131="","No target set",IF(AND(S131&lt;TODAY(),U131=""),"Overdue","On track")),IF(TRIM(C131)="DPO Approval",IF(V131="","No target set",IF(V131&lt;TODAY(),"Overdue","On track")),IF(TRIM(C131)="RELEASED IN PROD","Delivered",""))))))))</f>
        <v/>
      </c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4" t="str">
        <f>IF($B131="","",IF(AND(LEFT($AC131,3)="Yes",SUMPRODUCT((TRIM('Rework Log'!$A$3:$A$500)=TRIM($B131))*('Rework Log'!$G$3:$G$500&lt;&gt;"Yes")*('Rework Log'!$G$3:$G$500&lt;&gt;"Did not pass re-test"))=0),"Blocked - log it on Rework Log",IF(AND(LEFT($AC131,3)&lt;&gt;"Yes",SUMPRODUCT((TRIM('Rework Log'!$A$3:$A$500)=TRIM($B131))*('Rework Log'!$G$3:$G$500&lt;&gt;"Yes")*('Rework Log'!$G$3:$G$500&lt;&gt;"Did not pass re-test"))&gt;0),"Open rework row - mark Blocked? or close it",IF(AND(LEFT($AC131,3)&lt;&gt;"Yes",SUMPRODUCT((TRIM('Rework Log'!$A$3:$A$500)=TRIM($B131))*('Rework Log'!$G$3:$G$500&lt;&gt;"Yes")*('Rework Log'!$G$3:$G$500&lt;&gt;"Did not pass re-test"))=0,COUNTIF('Rework Log'!$A$3:$A$500,$B131)&gt;0,IFERROR(INDEX('Rework Log'!$G:$G,SUMPRODUCT(MAX((TRIM('Rework Log'!$A$3:$A$500)=TRIM($B131))*ROW('Rework Log'!$A$3:$A$500)))),"")="Did not pass re-test"),"Last fix rejected - re-block or log next attempt",IF(AND(LEFT($AC131,3)="Yes",ISNUMBER(SEARCH("needs DB Dev",$AC131)),O131&lt;&gt;"",SUMPRODUCT(MAX(((TRIM('Rework Log'!$A$3:$A$500)=TRIM($B131))*('Rework Log'!$G$3:$G$500&lt;&gt;"Yes")*('Rework Log'!$G$3:$G$500&lt;&gt;"Did not pass re-test"))*IFERROR('Rework Log'!$I$3:$I$500*1,0)))&gt;0),"Move old DB Dev completion date to Rework Log (col H)",IF(AND(LEFT($AC131,3)="Yes",ISNUMBER(SEARCH("needs PBI Dev",$AC131)),R131&lt;&gt;"",SUMPRODUCT(MAX(((TRIM('Rework Log'!$A$3:$A$500)=TRIM($B131))*('Rework Log'!$G$3:$G$500&lt;&gt;"Yes")*('Rework Log'!$G$3:$G$500&lt;&gt;"Did not pass re-test"))*IFERROR('Rework Log'!$I$3:$I$500*1,0)))&gt;0),"Move old PBI Dev completion date to Rework Log (col H)",IF(AND(LEFT($AC131,3)="Yes",ISNUMBER(SEARCH("needs QA",$AC131)),U131&lt;&gt;"",SUMPRODUCT(MAX(((TRIM('Rework Log'!$A$3:$A$500)=TRIM($B131))*('Rework Log'!$G$3:$G$500&lt;&gt;"Yes")*('Rework Log'!$G$3:$G$500&lt;&gt;"Did not pass re-test"))*IFERROR('Rework Log'!$I$3:$I$500*1,0)))&gt;0),"Move old QA completion date to Rework Log (col H)",IF(AND(LEFT($AC131,3)="Yes",ISNUMBER(SEARCH("needs DB Dev",$AC131)),TRIM(C131)&lt;&gt;"DB Dev"),"Set Current Status back to DB Dev",IF(AND(LEFT($AC131,3)="Yes",ISNUMBER(SEARCH("needs PBI Dev",$AC131)),TRIM(C131)&lt;&gt;"PBI Dev"),"Set Current Status back to PBI Dev",IF(AND(LEFT($AC131,3)="Yes",ISNUMBER(SEARCH("needs QA",$AC131)),TRIM(C131)&lt;&gt;"QA"),"Set Current Status back to QA",IF(COUNTIF($B$2:$B$500,$B131)&gt;1,"Duplicate name - check row",IF(AND(TRIM(C131)="RELEASED IN PROD",Y131&lt;&gt;"Yes"),"Released but Confirmed Deployed? is not Yes",IF(COUNTIF('Rework Log'!$A$3:$A$500,$B131)&gt;0,"",IF(AND(S131&lt;&gt;"",M131&lt;&gt;"",S131&lt;M131),"QA target is before DB Dev target",IF(AND(S131&lt;&gt;"",P131&lt;&gt;"",S131&lt;P131),"QA target is before PBI Dev target",IF(AND(V131&lt;&gt;"",S131&lt;&gt;"",V131&lt;S131),"DPO Approval target is before QA target",IF(AND(Z131&lt;&gt;"",V131&lt;&gt;"",Z131&lt;V131),"Confirmed Deployed date is before DPO Approval target","")))))))))))))))))</f>
        <v/>
      </c>
      <c r="AE131" s="62"/>
    </row>
    <row r="132" spans="1:31" x14ac:dyDescent="0.25">
      <c r="A132" s="62"/>
      <c r="B132" s="62"/>
      <c r="C132" s="62"/>
      <c r="D132" s="64" t="str">
        <f ca="1">IF($B132="","",IF(LEFT($AC132,3)="Yes",IF(LEN($AC132)&gt;5,"Blocked - "&amp;MID($AC132,7,100),"Blocked")&amp;IF(SUMPRODUCT((TRIM('Rework Log'!$A$3:$A$500)=TRIM($B132))*('Rework Log'!$G$3:$G$500&lt;&gt;"Yes")*('Rework Log'!$G$3:$G$500&lt;&gt;"Did not pass re-test"))=0,"",IF(SUMPRODUCT(((TRIM('Rework Log'!$A$3:$A$500)=TRIM($B132))*('Rework Log'!$G$3:$G$500&lt;&gt;"Yes")*('Rework Log'!$G$3:$G$500&lt;&gt;"Did not pass re-test"))*ISNUMBER('Rework Log'!$J$3:$J$500))&gt;0," - fixed, awaiting re-test",IF(SUMPRODUCT(MAX(((TRIM('Rework Log'!$A$3:$A$500)=TRIM($B132))*('Rework Log'!$G$3:$G$500&lt;&gt;"Yes")*('Rework Log'!$G$3:$G$500&lt;&gt;"Did not pass re-test"))*IFERROR('Rework Log'!$I$3:$I$500*1,0)))=0," - unclaimed"," - promised "&amp;TEXT(SUMPRODUCT(MAX(((TRIM('Rework Log'!$A$3:$A$500)=TRIM($B132))*('Rework Log'!$G$3:$G$500&lt;&gt;"Yes")*('Rework Log'!$G$3:$G$500&lt;&gt;"Did not pass re-test"))*IFERROR('Rework Log'!$I$3:$I$500*1,0))),"m/d")))),IF(TRIM(C132)="NOT STARTED",IF(K132="","No plan date set",IF(K132&lt;TODAY(),"Review - planned start passed","On track")),IF(TRIM(C132)="DB Dev",IF(M132="","No target set",IF(AND(M132&lt;TODAY(),O132=""),"Overdue","On track")),IF(TRIM(C132)="PBI Dev",IF(P132="","No target set",IF(AND(P132&lt;TODAY(),R132=""),"Overdue","On track")),IF(TRIM(C132)="QA",IF(S132="","No target set",IF(AND(S132&lt;TODAY(),U132=""),"Overdue","On track")),IF(TRIM(C132)="DPO Approval",IF(V132="","No target set",IF(V132&lt;TODAY(),"Overdue","On track")),IF(TRIM(C132)="RELEASED IN PROD","Delivered",""))))))))</f>
        <v/>
      </c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4" t="str">
        <f>IF($B132="","",IF(AND(LEFT($AC132,3)="Yes",SUMPRODUCT((TRIM('Rework Log'!$A$3:$A$500)=TRIM($B132))*('Rework Log'!$G$3:$G$500&lt;&gt;"Yes")*('Rework Log'!$G$3:$G$500&lt;&gt;"Did not pass re-test"))=0),"Blocked - log it on Rework Log",IF(AND(LEFT($AC132,3)&lt;&gt;"Yes",SUMPRODUCT((TRIM('Rework Log'!$A$3:$A$500)=TRIM($B132))*('Rework Log'!$G$3:$G$500&lt;&gt;"Yes")*('Rework Log'!$G$3:$G$500&lt;&gt;"Did not pass re-test"))&gt;0),"Open rework row - mark Blocked? or close it",IF(AND(LEFT($AC132,3)&lt;&gt;"Yes",SUMPRODUCT((TRIM('Rework Log'!$A$3:$A$500)=TRIM($B132))*('Rework Log'!$G$3:$G$500&lt;&gt;"Yes")*('Rework Log'!$G$3:$G$500&lt;&gt;"Did not pass re-test"))=0,COUNTIF('Rework Log'!$A$3:$A$500,$B132)&gt;0,IFERROR(INDEX('Rework Log'!$G:$G,SUMPRODUCT(MAX((TRIM('Rework Log'!$A$3:$A$500)=TRIM($B132))*ROW('Rework Log'!$A$3:$A$500)))),"")="Did not pass re-test"),"Last fix rejected - re-block or log next attempt",IF(AND(LEFT($AC132,3)="Yes",ISNUMBER(SEARCH("needs DB Dev",$AC132)),O132&lt;&gt;"",SUMPRODUCT(MAX(((TRIM('Rework Log'!$A$3:$A$500)=TRIM($B132))*('Rework Log'!$G$3:$G$500&lt;&gt;"Yes")*('Rework Log'!$G$3:$G$500&lt;&gt;"Did not pass re-test"))*IFERROR('Rework Log'!$I$3:$I$500*1,0)))&gt;0),"Move old DB Dev completion date to Rework Log (col H)",IF(AND(LEFT($AC132,3)="Yes",ISNUMBER(SEARCH("needs PBI Dev",$AC132)),R132&lt;&gt;"",SUMPRODUCT(MAX(((TRIM('Rework Log'!$A$3:$A$500)=TRIM($B132))*('Rework Log'!$G$3:$G$500&lt;&gt;"Yes")*('Rework Log'!$G$3:$G$500&lt;&gt;"Did not pass re-test"))*IFERROR('Rework Log'!$I$3:$I$500*1,0)))&gt;0),"Move old PBI Dev completion date to Rework Log (col H)",IF(AND(LEFT($AC132,3)="Yes",ISNUMBER(SEARCH("needs QA",$AC132)),U132&lt;&gt;"",SUMPRODUCT(MAX(((TRIM('Rework Log'!$A$3:$A$500)=TRIM($B132))*('Rework Log'!$G$3:$G$500&lt;&gt;"Yes")*('Rework Log'!$G$3:$G$500&lt;&gt;"Did not pass re-test"))*IFERROR('Rework Log'!$I$3:$I$500*1,0)))&gt;0),"Move old QA completion date to Rework Log (col H)",IF(AND(LEFT($AC132,3)="Yes",ISNUMBER(SEARCH("needs DB Dev",$AC132)),TRIM(C132)&lt;&gt;"DB Dev"),"Set Current Status back to DB Dev",IF(AND(LEFT($AC132,3)="Yes",ISNUMBER(SEARCH("needs PBI Dev",$AC132)),TRIM(C132)&lt;&gt;"PBI Dev"),"Set Current Status back to PBI Dev",IF(AND(LEFT($AC132,3)="Yes",ISNUMBER(SEARCH("needs QA",$AC132)),TRIM(C132)&lt;&gt;"QA"),"Set Current Status back to QA",IF(COUNTIF($B$2:$B$500,$B132)&gt;1,"Duplicate name - check row",IF(AND(TRIM(C132)="RELEASED IN PROD",Y132&lt;&gt;"Yes"),"Released but Confirmed Deployed? is not Yes",IF(COUNTIF('Rework Log'!$A$3:$A$500,$B132)&gt;0,"",IF(AND(S132&lt;&gt;"",M132&lt;&gt;"",S132&lt;M132),"QA target is before DB Dev target",IF(AND(S132&lt;&gt;"",P132&lt;&gt;"",S132&lt;P132),"QA target is before PBI Dev target",IF(AND(V132&lt;&gt;"",S132&lt;&gt;"",V132&lt;S132),"DPO Approval target is before QA target",IF(AND(Z132&lt;&gt;"",V132&lt;&gt;"",Z132&lt;V132),"Confirmed Deployed date is before DPO Approval target","")))))))))))))))))</f>
        <v/>
      </c>
      <c r="AE132" s="62"/>
    </row>
    <row r="133" spans="1:31" x14ac:dyDescent="0.25">
      <c r="A133" s="62"/>
      <c r="B133" s="62"/>
      <c r="C133" s="62"/>
      <c r="D133" s="64" t="str">
        <f ca="1">IF($B133="","",IF(LEFT($AC133,3)="Yes",IF(LEN($AC133)&gt;5,"Blocked - "&amp;MID($AC133,7,100),"Blocked")&amp;IF(SUMPRODUCT((TRIM('Rework Log'!$A$3:$A$500)=TRIM($B133))*('Rework Log'!$G$3:$G$500&lt;&gt;"Yes")*('Rework Log'!$G$3:$G$500&lt;&gt;"Did not pass re-test"))=0,"",IF(SUMPRODUCT(((TRIM('Rework Log'!$A$3:$A$500)=TRIM($B133))*('Rework Log'!$G$3:$G$500&lt;&gt;"Yes")*('Rework Log'!$G$3:$G$500&lt;&gt;"Did not pass re-test"))*ISNUMBER('Rework Log'!$J$3:$J$500))&gt;0," - fixed, awaiting re-test",IF(SUMPRODUCT(MAX(((TRIM('Rework Log'!$A$3:$A$500)=TRIM($B133))*('Rework Log'!$G$3:$G$500&lt;&gt;"Yes")*('Rework Log'!$G$3:$G$500&lt;&gt;"Did not pass re-test"))*IFERROR('Rework Log'!$I$3:$I$500*1,0)))=0," - unclaimed"," - promised "&amp;TEXT(SUMPRODUCT(MAX(((TRIM('Rework Log'!$A$3:$A$500)=TRIM($B133))*('Rework Log'!$G$3:$G$500&lt;&gt;"Yes")*('Rework Log'!$G$3:$G$500&lt;&gt;"Did not pass re-test"))*IFERROR('Rework Log'!$I$3:$I$500*1,0))),"m/d")))),IF(TRIM(C133)="NOT STARTED",IF(K133="","No plan date set",IF(K133&lt;TODAY(),"Review - planned start passed","On track")),IF(TRIM(C133)="DB Dev",IF(M133="","No target set",IF(AND(M133&lt;TODAY(),O133=""),"Overdue","On track")),IF(TRIM(C133)="PBI Dev",IF(P133="","No target set",IF(AND(P133&lt;TODAY(),R133=""),"Overdue","On track")),IF(TRIM(C133)="QA",IF(S133="","No target set",IF(AND(S133&lt;TODAY(),U133=""),"Overdue","On track")),IF(TRIM(C133)="DPO Approval",IF(V133="","No target set",IF(V133&lt;TODAY(),"Overdue","On track")),IF(TRIM(C133)="RELEASED IN PROD","Delivered",""))))))))</f>
        <v/>
      </c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4" t="str">
        <f>IF($B133="","",IF(AND(LEFT($AC133,3)="Yes",SUMPRODUCT((TRIM('Rework Log'!$A$3:$A$500)=TRIM($B133))*('Rework Log'!$G$3:$G$500&lt;&gt;"Yes")*('Rework Log'!$G$3:$G$500&lt;&gt;"Did not pass re-test"))=0),"Blocked - log it on Rework Log",IF(AND(LEFT($AC133,3)&lt;&gt;"Yes",SUMPRODUCT((TRIM('Rework Log'!$A$3:$A$500)=TRIM($B133))*('Rework Log'!$G$3:$G$500&lt;&gt;"Yes")*('Rework Log'!$G$3:$G$500&lt;&gt;"Did not pass re-test"))&gt;0),"Open rework row - mark Blocked? or close it",IF(AND(LEFT($AC133,3)&lt;&gt;"Yes",SUMPRODUCT((TRIM('Rework Log'!$A$3:$A$500)=TRIM($B133))*('Rework Log'!$G$3:$G$500&lt;&gt;"Yes")*('Rework Log'!$G$3:$G$500&lt;&gt;"Did not pass re-test"))=0,COUNTIF('Rework Log'!$A$3:$A$500,$B133)&gt;0,IFERROR(INDEX('Rework Log'!$G:$G,SUMPRODUCT(MAX((TRIM('Rework Log'!$A$3:$A$500)=TRIM($B133))*ROW('Rework Log'!$A$3:$A$500)))),"")="Did not pass re-test"),"Last fix rejected - re-block or log next attempt",IF(AND(LEFT($AC133,3)="Yes",ISNUMBER(SEARCH("needs DB Dev",$AC133)),O133&lt;&gt;"",SUMPRODUCT(MAX(((TRIM('Rework Log'!$A$3:$A$500)=TRIM($B133))*('Rework Log'!$G$3:$G$500&lt;&gt;"Yes")*('Rework Log'!$G$3:$G$500&lt;&gt;"Did not pass re-test"))*IFERROR('Rework Log'!$I$3:$I$500*1,0)))&gt;0),"Move old DB Dev completion date to Rework Log (col H)",IF(AND(LEFT($AC133,3)="Yes",ISNUMBER(SEARCH("needs PBI Dev",$AC133)),R133&lt;&gt;"",SUMPRODUCT(MAX(((TRIM('Rework Log'!$A$3:$A$500)=TRIM($B133))*('Rework Log'!$G$3:$G$500&lt;&gt;"Yes")*('Rework Log'!$G$3:$G$500&lt;&gt;"Did not pass re-test"))*IFERROR('Rework Log'!$I$3:$I$500*1,0)))&gt;0),"Move old PBI Dev completion date to Rework Log (col H)",IF(AND(LEFT($AC133,3)="Yes",ISNUMBER(SEARCH("needs QA",$AC133)),U133&lt;&gt;"",SUMPRODUCT(MAX(((TRIM('Rework Log'!$A$3:$A$500)=TRIM($B133))*('Rework Log'!$G$3:$G$500&lt;&gt;"Yes")*('Rework Log'!$G$3:$G$500&lt;&gt;"Did not pass re-test"))*IFERROR('Rework Log'!$I$3:$I$500*1,0)))&gt;0),"Move old QA completion date to Rework Log (col H)",IF(AND(LEFT($AC133,3)="Yes",ISNUMBER(SEARCH("needs DB Dev",$AC133)),TRIM(C133)&lt;&gt;"DB Dev"),"Set Current Status back to DB Dev",IF(AND(LEFT($AC133,3)="Yes",ISNUMBER(SEARCH("needs PBI Dev",$AC133)),TRIM(C133)&lt;&gt;"PBI Dev"),"Set Current Status back to PBI Dev",IF(AND(LEFT($AC133,3)="Yes",ISNUMBER(SEARCH("needs QA",$AC133)),TRIM(C133)&lt;&gt;"QA"),"Set Current Status back to QA",IF(COUNTIF($B$2:$B$500,$B133)&gt;1,"Duplicate name - check row",IF(AND(TRIM(C133)="RELEASED IN PROD",Y133&lt;&gt;"Yes"),"Released but Confirmed Deployed? is not Yes",IF(COUNTIF('Rework Log'!$A$3:$A$500,$B133)&gt;0,"",IF(AND(S133&lt;&gt;"",M133&lt;&gt;"",S133&lt;M133),"QA target is before DB Dev target",IF(AND(S133&lt;&gt;"",P133&lt;&gt;"",S133&lt;P133),"QA target is before PBI Dev target",IF(AND(V133&lt;&gt;"",S133&lt;&gt;"",V133&lt;S133),"DPO Approval target is before QA target",IF(AND(Z133&lt;&gt;"",V133&lt;&gt;"",Z133&lt;V133),"Confirmed Deployed date is before DPO Approval target","")))))))))))))))))</f>
        <v/>
      </c>
      <c r="AE133" s="62"/>
    </row>
    <row r="134" spans="1:31" x14ac:dyDescent="0.25">
      <c r="A134" s="62"/>
      <c r="B134" s="62"/>
      <c r="C134" s="62"/>
      <c r="D134" s="64" t="str">
        <f ca="1">IF($B134="","",IF(LEFT($AC134,3)="Yes",IF(LEN($AC134)&gt;5,"Blocked - "&amp;MID($AC134,7,100),"Blocked")&amp;IF(SUMPRODUCT((TRIM('Rework Log'!$A$3:$A$500)=TRIM($B134))*('Rework Log'!$G$3:$G$500&lt;&gt;"Yes")*('Rework Log'!$G$3:$G$500&lt;&gt;"Did not pass re-test"))=0,"",IF(SUMPRODUCT(((TRIM('Rework Log'!$A$3:$A$500)=TRIM($B134))*('Rework Log'!$G$3:$G$500&lt;&gt;"Yes")*('Rework Log'!$G$3:$G$500&lt;&gt;"Did not pass re-test"))*ISNUMBER('Rework Log'!$J$3:$J$500))&gt;0," - fixed, awaiting re-test",IF(SUMPRODUCT(MAX(((TRIM('Rework Log'!$A$3:$A$500)=TRIM($B134))*('Rework Log'!$G$3:$G$500&lt;&gt;"Yes")*('Rework Log'!$G$3:$G$500&lt;&gt;"Did not pass re-test"))*IFERROR('Rework Log'!$I$3:$I$500*1,0)))=0," - unclaimed"," - promised "&amp;TEXT(SUMPRODUCT(MAX(((TRIM('Rework Log'!$A$3:$A$500)=TRIM($B134))*('Rework Log'!$G$3:$G$500&lt;&gt;"Yes")*('Rework Log'!$G$3:$G$500&lt;&gt;"Did not pass re-test"))*IFERROR('Rework Log'!$I$3:$I$500*1,0))),"m/d")))),IF(TRIM(C134)="NOT STARTED",IF(K134="","No plan date set",IF(K134&lt;TODAY(),"Review - planned start passed","On track")),IF(TRIM(C134)="DB Dev",IF(M134="","No target set",IF(AND(M134&lt;TODAY(),O134=""),"Overdue","On track")),IF(TRIM(C134)="PBI Dev",IF(P134="","No target set",IF(AND(P134&lt;TODAY(),R134=""),"Overdue","On track")),IF(TRIM(C134)="QA",IF(S134="","No target set",IF(AND(S134&lt;TODAY(),U134=""),"Overdue","On track")),IF(TRIM(C134)="DPO Approval",IF(V134="","No target set",IF(V134&lt;TODAY(),"Overdue","On track")),IF(TRIM(C134)="RELEASED IN PROD","Delivered",""))))))))</f>
        <v/>
      </c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4" t="str">
        <f>IF($B134="","",IF(AND(LEFT($AC134,3)="Yes",SUMPRODUCT((TRIM('Rework Log'!$A$3:$A$500)=TRIM($B134))*('Rework Log'!$G$3:$G$500&lt;&gt;"Yes")*('Rework Log'!$G$3:$G$500&lt;&gt;"Did not pass re-test"))=0),"Blocked - log it on Rework Log",IF(AND(LEFT($AC134,3)&lt;&gt;"Yes",SUMPRODUCT((TRIM('Rework Log'!$A$3:$A$500)=TRIM($B134))*('Rework Log'!$G$3:$G$500&lt;&gt;"Yes")*('Rework Log'!$G$3:$G$500&lt;&gt;"Did not pass re-test"))&gt;0),"Open rework row - mark Blocked? or close it",IF(AND(LEFT($AC134,3)&lt;&gt;"Yes",SUMPRODUCT((TRIM('Rework Log'!$A$3:$A$500)=TRIM($B134))*('Rework Log'!$G$3:$G$500&lt;&gt;"Yes")*('Rework Log'!$G$3:$G$500&lt;&gt;"Did not pass re-test"))=0,COUNTIF('Rework Log'!$A$3:$A$500,$B134)&gt;0,IFERROR(INDEX('Rework Log'!$G:$G,SUMPRODUCT(MAX((TRIM('Rework Log'!$A$3:$A$500)=TRIM($B134))*ROW('Rework Log'!$A$3:$A$500)))),"")="Did not pass re-test"),"Last fix rejected - re-block or log next attempt",IF(AND(LEFT($AC134,3)="Yes",ISNUMBER(SEARCH("needs DB Dev",$AC134)),O134&lt;&gt;"",SUMPRODUCT(MAX(((TRIM('Rework Log'!$A$3:$A$500)=TRIM($B134))*('Rework Log'!$G$3:$G$500&lt;&gt;"Yes")*('Rework Log'!$G$3:$G$500&lt;&gt;"Did not pass re-test"))*IFERROR('Rework Log'!$I$3:$I$500*1,0)))&gt;0),"Move old DB Dev completion date to Rework Log (col H)",IF(AND(LEFT($AC134,3)="Yes",ISNUMBER(SEARCH("needs PBI Dev",$AC134)),R134&lt;&gt;"",SUMPRODUCT(MAX(((TRIM('Rework Log'!$A$3:$A$500)=TRIM($B134))*('Rework Log'!$G$3:$G$500&lt;&gt;"Yes")*('Rework Log'!$G$3:$G$500&lt;&gt;"Did not pass re-test"))*IFERROR('Rework Log'!$I$3:$I$500*1,0)))&gt;0),"Move old PBI Dev completion date to Rework Log (col H)",IF(AND(LEFT($AC134,3)="Yes",ISNUMBER(SEARCH("needs QA",$AC134)),U134&lt;&gt;"",SUMPRODUCT(MAX(((TRIM('Rework Log'!$A$3:$A$500)=TRIM($B134))*('Rework Log'!$G$3:$G$500&lt;&gt;"Yes")*('Rework Log'!$G$3:$G$500&lt;&gt;"Did not pass re-test"))*IFERROR('Rework Log'!$I$3:$I$500*1,0)))&gt;0),"Move old QA completion date to Rework Log (col H)",IF(AND(LEFT($AC134,3)="Yes",ISNUMBER(SEARCH("needs DB Dev",$AC134)),TRIM(C134)&lt;&gt;"DB Dev"),"Set Current Status back to DB Dev",IF(AND(LEFT($AC134,3)="Yes",ISNUMBER(SEARCH("needs PBI Dev",$AC134)),TRIM(C134)&lt;&gt;"PBI Dev"),"Set Current Status back to PBI Dev",IF(AND(LEFT($AC134,3)="Yes",ISNUMBER(SEARCH("needs QA",$AC134)),TRIM(C134)&lt;&gt;"QA"),"Set Current Status back to QA",IF(COUNTIF($B$2:$B$500,$B134)&gt;1,"Duplicate name - check row",IF(AND(TRIM(C134)="RELEASED IN PROD",Y134&lt;&gt;"Yes"),"Released but Confirmed Deployed? is not Yes",IF(COUNTIF('Rework Log'!$A$3:$A$500,$B134)&gt;0,"",IF(AND(S134&lt;&gt;"",M134&lt;&gt;"",S134&lt;M134),"QA target is before DB Dev target",IF(AND(S134&lt;&gt;"",P134&lt;&gt;"",S134&lt;P134),"QA target is before PBI Dev target",IF(AND(V134&lt;&gt;"",S134&lt;&gt;"",V134&lt;S134),"DPO Approval target is before QA target",IF(AND(Z134&lt;&gt;"",V134&lt;&gt;"",Z134&lt;V134),"Confirmed Deployed date is before DPO Approval target","")))))))))))))))))</f>
        <v/>
      </c>
      <c r="AE134" s="62"/>
    </row>
    <row r="135" spans="1:31" x14ac:dyDescent="0.25">
      <c r="A135" s="62"/>
      <c r="B135" s="62"/>
      <c r="C135" s="62"/>
      <c r="D135" s="64" t="str">
        <f ca="1">IF($B135="","",IF(LEFT($AC135,3)="Yes",IF(LEN($AC135)&gt;5,"Blocked - "&amp;MID($AC135,7,100),"Blocked")&amp;IF(SUMPRODUCT((TRIM('Rework Log'!$A$3:$A$500)=TRIM($B135))*('Rework Log'!$G$3:$G$500&lt;&gt;"Yes")*('Rework Log'!$G$3:$G$500&lt;&gt;"Did not pass re-test"))=0,"",IF(SUMPRODUCT(((TRIM('Rework Log'!$A$3:$A$500)=TRIM($B135))*('Rework Log'!$G$3:$G$500&lt;&gt;"Yes")*('Rework Log'!$G$3:$G$500&lt;&gt;"Did not pass re-test"))*ISNUMBER('Rework Log'!$J$3:$J$500))&gt;0," - fixed, awaiting re-test",IF(SUMPRODUCT(MAX(((TRIM('Rework Log'!$A$3:$A$500)=TRIM($B135))*('Rework Log'!$G$3:$G$500&lt;&gt;"Yes")*('Rework Log'!$G$3:$G$500&lt;&gt;"Did not pass re-test"))*IFERROR('Rework Log'!$I$3:$I$500*1,0)))=0," - unclaimed"," - promised "&amp;TEXT(SUMPRODUCT(MAX(((TRIM('Rework Log'!$A$3:$A$500)=TRIM($B135))*('Rework Log'!$G$3:$G$500&lt;&gt;"Yes")*('Rework Log'!$G$3:$G$500&lt;&gt;"Did not pass re-test"))*IFERROR('Rework Log'!$I$3:$I$500*1,0))),"m/d")))),IF(TRIM(C135)="NOT STARTED",IF(K135="","No plan date set",IF(K135&lt;TODAY(),"Review - planned start passed","On track")),IF(TRIM(C135)="DB Dev",IF(M135="","No target set",IF(AND(M135&lt;TODAY(),O135=""),"Overdue","On track")),IF(TRIM(C135)="PBI Dev",IF(P135="","No target set",IF(AND(P135&lt;TODAY(),R135=""),"Overdue","On track")),IF(TRIM(C135)="QA",IF(S135="","No target set",IF(AND(S135&lt;TODAY(),U135=""),"Overdue","On track")),IF(TRIM(C135)="DPO Approval",IF(V135="","No target set",IF(V135&lt;TODAY(),"Overdue","On track")),IF(TRIM(C135)="RELEASED IN PROD","Delivered",""))))))))</f>
        <v/>
      </c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4" t="str">
        <f>IF($B135="","",IF(AND(LEFT($AC135,3)="Yes",SUMPRODUCT((TRIM('Rework Log'!$A$3:$A$500)=TRIM($B135))*('Rework Log'!$G$3:$G$500&lt;&gt;"Yes")*('Rework Log'!$G$3:$G$500&lt;&gt;"Did not pass re-test"))=0),"Blocked - log it on Rework Log",IF(AND(LEFT($AC135,3)&lt;&gt;"Yes",SUMPRODUCT((TRIM('Rework Log'!$A$3:$A$500)=TRIM($B135))*('Rework Log'!$G$3:$G$500&lt;&gt;"Yes")*('Rework Log'!$G$3:$G$500&lt;&gt;"Did not pass re-test"))&gt;0),"Open rework row - mark Blocked? or close it",IF(AND(LEFT($AC135,3)&lt;&gt;"Yes",SUMPRODUCT((TRIM('Rework Log'!$A$3:$A$500)=TRIM($B135))*('Rework Log'!$G$3:$G$500&lt;&gt;"Yes")*('Rework Log'!$G$3:$G$500&lt;&gt;"Did not pass re-test"))=0,COUNTIF('Rework Log'!$A$3:$A$500,$B135)&gt;0,IFERROR(INDEX('Rework Log'!$G:$G,SUMPRODUCT(MAX((TRIM('Rework Log'!$A$3:$A$500)=TRIM($B135))*ROW('Rework Log'!$A$3:$A$500)))),"")="Did not pass re-test"),"Last fix rejected - re-block or log next attempt",IF(AND(LEFT($AC135,3)="Yes",ISNUMBER(SEARCH("needs DB Dev",$AC135)),O135&lt;&gt;"",SUMPRODUCT(MAX(((TRIM('Rework Log'!$A$3:$A$500)=TRIM($B135))*('Rework Log'!$G$3:$G$500&lt;&gt;"Yes")*('Rework Log'!$G$3:$G$500&lt;&gt;"Did not pass re-test"))*IFERROR('Rework Log'!$I$3:$I$500*1,0)))&gt;0),"Move old DB Dev completion date to Rework Log (col H)",IF(AND(LEFT($AC135,3)="Yes",ISNUMBER(SEARCH("needs PBI Dev",$AC135)),R135&lt;&gt;"",SUMPRODUCT(MAX(((TRIM('Rework Log'!$A$3:$A$500)=TRIM($B135))*('Rework Log'!$G$3:$G$500&lt;&gt;"Yes")*('Rework Log'!$G$3:$G$500&lt;&gt;"Did not pass re-test"))*IFERROR('Rework Log'!$I$3:$I$500*1,0)))&gt;0),"Move old PBI Dev completion date to Rework Log (col H)",IF(AND(LEFT($AC135,3)="Yes",ISNUMBER(SEARCH("needs QA",$AC135)),U135&lt;&gt;"",SUMPRODUCT(MAX(((TRIM('Rework Log'!$A$3:$A$500)=TRIM($B135))*('Rework Log'!$G$3:$G$500&lt;&gt;"Yes")*('Rework Log'!$G$3:$G$500&lt;&gt;"Did not pass re-test"))*IFERROR('Rework Log'!$I$3:$I$500*1,0)))&gt;0),"Move old QA completion date to Rework Log (col H)",IF(AND(LEFT($AC135,3)="Yes",ISNUMBER(SEARCH("needs DB Dev",$AC135)),TRIM(C135)&lt;&gt;"DB Dev"),"Set Current Status back to DB Dev",IF(AND(LEFT($AC135,3)="Yes",ISNUMBER(SEARCH("needs PBI Dev",$AC135)),TRIM(C135)&lt;&gt;"PBI Dev"),"Set Current Status back to PBI Dev",IF(AND(LEFT($AC135,3)="Yes",ISNUMBER(SEARCH("needs QA",$AC135)),TRIM(C135)&lt;&gt;"QA"),"Set Current Status back to QA",IF(COUNTIF($B$2:$B$500,$B135)&gt;1,"Duplicate name - check row",IF(AND(TRIM(C135)="RELEASED IN PROD",Y135&lt;&gt;"Yes"),"Released but Confirmed Deployed? is not Yes",IF(COUNTIF('Rework Log'!$A$3:$A$500,$B135)&gt;0,"",IF(AND(S135&lt;&gt;"",M135&lt;&gt;"",S135&lt;M135),"QA target is before DB Dev target",IF(AND(S135&lt;&gt;"",P135&lt;&gt;"",S135&lt;P135),"QA target is before PBI Dev target",IF(AND(V135&lt;&gt;"",S135&lt;&gt;"",V135&lt;S135),"DPO Approval target is before QA target",IF(AND(Z135&lt;&gt;"",V135&lt;&gt;"",Z135&lt;V135),"Confirmed Deployed date is before DPO Approval target","")))))))))))))))))</f>
        <v/>
      </c>
      <c r="AE135" s="62"/>
    </row>
    <row r="136" spans="1:31" x14ac:dyDescent="0.25">
      <c r="A136" s="62"/>
      <c r="B136" s="62"/>
      <c r="C136" s="62"/>
      <c r="D136" s="64" t="str">
        <f ca="1">IF($B136="","",IF(LEFT($AC136,3)="Yes",IF(LEN($AC136)&gt;5,"Blocked - "&amp;MID($AC136,7,100),"Blocked")&amp;IF(SUMPRODUCT((TRIM('Rework Log'!$A$3:$A$500)=TRIM($B136))*('Rework Log'!$G$3:$G$500&lt;&gt;"Yes")*('Rework Log'!$G$3:$G$500&lt;&gt;"Did not pass re-test"))=0,"",IF(SUMPRODUCT(((TRIM('Rework Log'!$A$3:$A$500)=TRIM($B136))*('Rework Log'!$G$3:$G$500&lt;&gt;"Yes")*('Rework Log'!$G$3:$G$500&lt;&gt;"Did not pass re-test"))*ISNUMBER('Rework Log'!$J$3:$J$500))&gt;0," - fixed, awaiting re-test",IF(SUMPRODUCT(MAX(((TRIM('Rework Log'!$A$3:$A$500)=TRIM($B136))*('Rework Log'!$G$3:$G$500&lt;&gt;"Yes")*('Rework Log'!$G$3:$G$500&lt;&gt;"Did not pass re-test"))*IFERROR('Rework Log'!$I$3:$I$500*1,0)))=0," - unclaimed"," - promised "&amp;TEXT(SUMPRODUCT(MAX(((TRIM('Rework Log'!$A$3:$A$500)=TRIM($B136))*('Rework Log'!$G$3:$G$500&lt;&gt;"Yes")*('Rework Log'!$G$3:$G$500&lt;&gt;"Did not pass re-test"))*IFERROR('Rework Log'!$I$3:$I$500*1,0))),"m/d")))),IF(TRIM(C136)="NOT STARTED",IF(K136="","No plan date set",IF(K136&lt;TODAY(),"Review - planned start passed","On track")),IF(TRIM(C136)="DB Dev",IF(M136="","No target set",IF(AND(M136&lt;TODAY(),O136=""),"Overdue","On track")),IF(TRIM(C136)="PBI Dev",IF(P136="","No target set",IF(AND(P136&lt;TODAY(),R136=""),"Overdue","On track")),IF(TRIM(C136)="QA",IF(S136="","No target set",IF(AND(S136&lt;TODAY(),U136=""),"Overdue","On track")),IF(TRIM(C136)="DPO Approval",IF(V136="","No target set",IF(V136&lt;TODAY(),"Overdue","On track")),IF(TRIM(C136)="RELEASED IN PROD","Delivered",""))))))))</f>
        <v/>
      </c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4" t="str">
        <f>IF($B136="","",IF(AND(LEFT($AC136,3)="Yes",SUMPRODUCT((TRIM('Rework Log'!$A$3:$A$500)=TRIM($B136))*('Rework Log'!$G$3:$G$500&lt;&gt;"Yes")*('Rework Log'!$G$3:$G$500&lt;&gt;"Did not pass re-test"))=0),"Blocked - log it on Rework Log",IF(AND(LEFT($AC136,3)&lt;&gt;"Yes",SUMPRODUCT((TRIM('Rework Log'!$A$3:$A$500)=TRIM($B136))*('Rework Log'!$G$3:$G$500&lt;&gt;"Yes")*('Rework Log'!$G$3:$G$500&lt;&gt;"Did not pass re-test"))&gt;0),"Open rework row - mark Blocked? or close it",IF(AND(LEFT($AC136,3)&lt;&gt;"Yes",SUMPRODUCT((TRIM('Rework Log'!$A$3:$A$500)=TRIM($B136))*('Rework Log'!$G$3:$G$500&lt;&gt;"Yes")*('Rework Log'!$G$3:$G$500&lt;&gt;"Did not pass re-test"))=0,COUNTIF('Rework Log'!$A$3:$A$500,$B136)&gt;0,IFERROR(INDEX('Rework Log'!$G:$G,SUMPRODUCT(MAX((TRIM('Rework Log'!$A$3:$A$500)=TRIM($B136))*ROW('Rework Log'!$A$3:$A$500)))),"")="Did not pass re-test"),"Last fix rejected - re-block or log next attempt",IF(AND(LEFT($AC136,3)="Yes",ISNUMBER(SEARCH("needs DB Dev",$AC136)),O136&lt;&gt;"",SUMPRODUCT(MAX(((TRIM('Rework Log'!$A$3:$A$500)=TRIM($B136))*('Rework Log'!$G$3:$G$500&lt;&gt;"Yes")*('Rework Log'!$G$3:$G$500&lt;&gt;"Did not pass re-test"))*IFERROR('Rework Log'!$I$3:$I$500*1,0)))&gt;0),"Move old DB Dev completion date to Rework Log (col H)",IF(AND(LEFT($AC136,3)="Yes",ISNUMBER(SEARCH("needs PBI Dev",$AC136)),R136&lt;&gt;"",SUMPRODUCT(MAX(((TRIM('Rework Log'!$A$3:$A$500)=TRIM($B136))*('Rework Log'!$G$3:$G$500&lt;&gt;"Yes")*('Rework Log'!$G$3:$G$500&lt;&gt;"Did not pass re-test"))*IFERROR('Rework Log'!$I$3:$I$500*1,0)))&gt;0),"Move old PBI Dev completion date to Rework Log (col H)",IF(AND(LEFT($AC136,3)="Yes",ISNUMBER(SEARCH("needs QA",$AC136)),U136&lt;&gt;"",SUMPRODUCT(MAX(((TRIM('Rework Log'!$A$3:$A$500)=TRIM($B136))*('Rework Log'!$G$3:$G$500&lt;&gt;"Yes")*('Rework Log'!$G$3:$G$500&lt;&gt;"Did not pass re-test"))*IFERROR('Rework Log'!$I$3:$I$500*1,0)))&gt;0),"Move old QA completion date to Rework Log (col H)",IF(AND(LEFT($AC136,3)="Yes",ISNUMBER(SEARCH("needs DB Dev",$AC136)),TRIM(C136)&lt;&gt;"DB Dev"),"Set Current Status back to DB Dev",IF(AND(LEFT($AC136,3)="Yes",ISNUMBER(SEARCH("needs PBI Dev",$AC136)),TRIM(C136)&lt;&gt;"PBI Dev"),"Set Current Status back to PBI Dev",IF(AND(LEFT($AC136,3)="Yes",ISNUMBER(SEARCH("needs QA",$AC136)),TRIM(C136)&lt;&gt;"QA"),"Set Current Status back to QA",IF(COUNTIF($B$2:$B$500,$B136)&gt;1,"Duplicate name - check row",IF(AND(TRIM(C136)="RELEASED IN PROD",Y136&lt;&gt;"Yes"),"Released but Confirmed Deployed? is not Yes",IF(COUNTIF('Rework Log'!$A$3:$A$500,$B136)&gt;0,"",IF(AND(S136&lt;&gt;"",M136&lt;&gt;"",S136&lt;M136),"QA target is before DB Dev target",IF(AND(S136&lt;&gt;"",P136&lt;&gt;"",S136&lt;P136),"QA target is before PBI Dev target",IF(AND(V136&lt;&gt;"",S136&lt;&gt;"",V136&lt;S136),"DPO Approval target is before QA target",IF(AND(Z136&lt;&gt;"",V136&lt;&gt;"",Z136&lt;V136),"Confirmed Deployed date is before DPO Approval target","")))))))))))))))))</f>
        <v/>
      </c>
      <c r="AE136" s="62"/>
    </row>
    <row r="137" spans="1:31" x14ac:dyDescent="0.25">
      <c r="A137" s="62"/>
      <c r="B137" s="62"/>
      <c r="C137" s="62"/>
      <c r="D137" s="64" t="str">
        <f ca="1">IF($B137="","",IF(LEFT($AC137,3)="Yes",IF(LEN($AC137)&gt;5,"Blocked - "&amp;MID($AC137,7,100),"Blocked")&amp;IF(SUMPRODUCT((TRIM('Rework Log'!$A$3:$A$500)=TRIM($B137))*('Rework Log'!$G$3:$G$500&lt;&gt;"Yes")*('Rework Log'!$G$3:$G$500&lt;&gt;"Did not pass re-test"))=0,"",IF(SUMPRODUCT(((TRIM('Rework Log'!$A$3:$A$500)=TRIM($B137))*('Rework Log'!$G$3:$G$500&lt;&gt;"Yes")*('Rework Log'!$G$3:$G$500&lt;&gt;"Did not pass re-test"))*ISNUMBER('Rework Log'!$J$3:$J$500))&gt;0," - fixed, awaiting re-test",IF(SUMPRODUCT(MAX(((TRIM('Rework Log'!$A$3:$A$500)=TRIM($B137))*('Rework Log'!$G$3:$G$500&lt;&gt;"Yes")*('Rework Log'!$G$3:$G$500&lt;&gt;"Did not pass re-test"))*IFERROR('Rework Log'!$I$3:$I$500*1,0)))=0," - unclaimed"," - promised "&amp;TEXT(SUMPRODUCT(MAX(((TRIM('Rework Log'!$A$3:$A$500)=TRIM($B137))*('Rework Log'!$G$3:$G$500&lt;&gt;"Yes")*('Rework Log'!$G$3:$G$500&lt;&gt;"Did not pass re-test"))*IFERROR('Rework Log'!$I$3:$I$500*1,0))),"m/d")))),IF(TRIM(C137)="NOT STARTED",IF(K137="","No plan date set",IF(K137&lt;TODAY(),"Review - planned start passed","On track")),IF(TRIM(C137)="DB Dev",IF(M137="","No target set",IF(AND(M137&lt;TODAY(),O137=""),"Overdue","On track")),IF(TRIM(C137)="PBI Dev",IF(P137="","No target set",IF(AND(P137&lt;TODAY(),R137=""),"Overdue","On track")),IF(TRIM(C137)="QA",IF(S137="","No target set",IF(AND(S137&lt;TODAY(),U137=""),"Overdue","On track")),IF(TRIM(C137)="DPO Approval",IF(V137="","No target set",IF(V137&lt;TODAY(),"Overdue","On track")),IF(TRIM(C137)="RELEASED IN PROD","Delivered",""))))))))</f>
        <v/>
      </c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4" t="str">
        <f>IF($B137="","",IF(AND(LEFT($AC137,3)="Yes",SUMPRODUCT((TRIM('Rework Log'!$A$3:$A$500)=TRIM($B137))*('Rework Log'!$G$3:$G$500&lt;&gt;"Yes")*('Rework Log'!$G$3:$G$500&lt;&gt;"Did not pass re-test"))=0),"Blocked - log it on Rework Log",IF(AND(LEFT($AC137,3)&lt;&gt;"Yes",SUMPRODUCT((TRIM('Rework Log'!$A$3:$A$500)=TRIM($B137))*('Rework Log'!$G$3:$G$500&lt;&gt;"Yes")*('Rework Log'!$G$3:$G$500&lt;&gt;"Did not pass re-test"))&gt;0),"Open rework row - mark Blocked? or close it",IF(AND(LEFT($AC137,3)&lt;&gt;"Yes",SUMPRODUCT((TRIM('Rework Log'!$A$3:$A$500)=TRIM($B137))*('Rework Log'!$G$3:$G$500&lt;&gt;"Yes")*('Rework Log'!$G$3:$G$500&lt;&gt;"Did not pass re-test"))=0,COUNTIF('Rework Log'!$A$3:$A$500,$B137)&gt;0,IFERROR(INDEX('Rework Log'!$G:$G,SUMPRODUCT(MAX((TRIM('Rework Log'!$A$3:$A$500)=TRIM($B137))*ROW('Rework Log'!$A$3:$A$500)))),"")="Did not pass re-test"),"Last fix rejected - re-block or log next attempt",IF(AND(LEFT($AC137,3)="Yes",ISNUMBER(SEARCH("needs DB Dev",$AC137)),O137&lt;&gt;"",SUMPRODUCT(MAX(((TRIM('Rework Log'!$A$3:$A$500)=TRIM($B137))*('Rework Log'!$G$3:$G$500&lt;&gt;"Yes")*('Rework Log'!$G$3:$G$500&lt;&gt;"Did not pass re-test"))*IFERROR('Rework Log'!$I$3:$I$500*1,0)))&gt;0),"Move old DB Dev completion date to Rework Log (col H)",IF(AND(LEFT($AC137,3)="Yes",ISNUMBER(SEARCH("needs PBI Dev",$AC137)),R137&lt;&gt;"",SUMPRODUCT(MAX(((TRIM('Rework Log'!$A$3:$A$500)=TRIM($B137))*('Rework Log'!$G$3:$G$500&lt;&gt;"Yes")*('Rework Log'!$G$3:$G$500&lt;&gt;"Did not pass re-test"))*IFERROR('Rework Log'!$I$3:$I$500*1,0)))&gt;0),"Move old PBI Dev completion date to Rework Log (col H)",IF(AND(LEFT($AC137,3)="Yes",ISNUMBER(SEARCH("needs QA",$AC137)),U137&lt;&gt;"",SUMPRODUCT(MAX(((TRIM('Rework Log'!$A$3:$A$500)=TRIM($B137))*('Rework Log'!$G$3:$G$500&lt;&gt;"Yes")*('Rework Log'!$G$3:$G$500&lt;&gt;"Did not pass re-test"))*IFERROR('Rework Log'!$I$3:$I$500*1,0)))&gt;0),"Move old QA completion date to Rework Log (col H)",IF(AND(LEFT($AC137,3)="Yes",ISNUMBER(SEARCH("needs DB Dev",$AC137)),TRIM(C137)&lt;&gt;"DB Dev"),"Set Current Status back to DB Dev",IF(AND(LEFT($AC137,3)="Yes",ISNUMBER(SEARCH("needs PBI Dev",$AC137)),TRIM(C137)&lt;&gt;"PBI Dev"),"Set Current Status back to PBI Dev",IF(AND(LEFT($AC137,3)="Yes",ISNUMBER(SEARCH("needs QA",$AC137)),TRIM(C137)&lt;&gt;"QA"),"Set Current Status back to QA",IF(COUNTIF($B$2:$B$500,$B137)&gt;1,"Duplicate name - check row",IF(AND(TRIM(C137)="RELEASED IN PROD",Y137&lt;&gt;"Yes"),"Released but Confirmed Deployed? is not Yes",IF(COUNTIF('Rework Log'!$A$3:$A$500,$B137)&gt;0,"",IF(AND(S137&lt;&gt;"",M137&lt;&gt;"",S137&lt;M137),"QA target is before DB Dev target",IF(AND(S137&lt;&gt;"",P137&lt;&gt;"",S137&lt;P137),"QA target is before PBI Dev target",IF(AND(V137&lt;&gt;"",S137&lt;&gt;"",V137&lt;S137),"DPO Approval target is before QA target",IF(AND(Z137&lt;&gt;"",V137&lt;&gt;"",Z137&lt;V137),"Confirmed Deployed date is before DPO Approval target","")))))))))))))))))</f>
        <v/>
      </c>
      <c r="AE137" s="62"/>
    </row>
    <row r="138" spans="1:31" x14ac:dyDescent="0.25">
      <c r="A138" s="62"/>
      <c r="B138" s="62"/>
      <c r="C138" s="62"/>
      <c r="D138" s="64" t="str">
        <f ca="1">IF($B138="","",IF(LEFT($AC138,3)="Yes",IF(LEN($AC138)&gt;5,"Blocked - "&amp;MID($AC138,7,100),"Blocked")&amp;IF(SUMPRODUCT((TRIM('Rework Log'!$A$3:$A$500)=TRIM($B138))*('Rework Log'!$G$3:$G$500&lt;&gt;"Yes")*('Rework Log'!$G$3:$G$500&lt;&gt;"Did not pass re-test"))=0,"",IF(SUMPRODUCT(((TRIM('Rework Log'!$A$3:$A$500)=TRIM($B138))*('Rework Log'!$G$3:$G$500&lt;&gt;"Yes")*('Rework Log'!$G$3:$G$500&lt;&gt;"Did not pass re-test"))*ISNUMBER('Rework Log'!$J$3:$J$500))&gt;0," - fixed, awaiting re-test",IF(SUMPRODUCT(MAX(((TRIM('Rework Log'!$A$3:$A$500)=TRIM($B138))*('Rework Log'!$G$3:$G$500&lt;&gt;"Yes")*('Rework Log'!$G$3:$G$500&lt;&gt;"Did not pass re-test"))*IFERROR('Rework Log'!$I$3:$I$500*1,0)))=0," - unclaimed"," - promised "&amp;TEXT(SUMPRODUCT(MAX(((TRIM('Rework Log'!$A$3:$A$500)=TRIM($B138))*('Rework Log'!$G$3:$G$500&lt;&gt;"Yes")*('Rework Log'!$G$3:$G$500&lt;&gt;"Did not pass re-test"))*IFERROR('Rework Log'!$I$3:$I$500*1,0))),"m/d")))),IF(TRIM(C138)="NOT STARTED",IF(K138="","No plan date set",IF(K138&lt;TODAY(),"Review - planned start passed","On track")),IF(TRIM(C138)="DB Dev",IF(M138="","No target set",IF(AND(M138&lt;TODAY(),O138=""),"Overdue","On track")),IF(TRIM(C138)="PBI Dev",IF(P138="","No target set",IF(AND(P138&lt;TODAY(),R138=""),"Overdue","On track")),IF(TRIM(C138)="QA",IF(S138="","No target set",IF(AND(S138&lt;TODAY(),U138=""),"Overdue","On track")),IF(TRIM(C138)="DPO Approval",IF(V138="","No target set",IF(V138&lt;TODAY(),"Overdue","On track")),IF(TRIM(C138)="RELEASED IN PROD","Delivered",""))))))))</f>
        <v/>
      </c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4" t="str">
        <f>IF($B138="","",IF(AND(LEFT($AC138,3)="Yes",SUMPRODUCT((TRIM('Rework Log'!$A$3:$A$500)=TRIM($B138))*('Rework Log'!$G$3:$G$500&lt;&gt;"Yes")*('Rework Log'!$G$3:$G$500&lt;&gt;"Did not pass re-test"))=0),"Blocked - log it on Rework Log",IF(AND(LEFT($AC138,3)&lt;&gt;"Yes",SUMPRODUCT((TRIM('Rework Log'!$A$3:$A$500)=TRIM($B138))*('Rework Log'!$G$3:$G$500&lt;&gt;"Yes")*('Rework Log'!$G$3:$G$500&lt;&gt;"Did not pass re-test"))&gt;0),"Open rework row - mark Blocked? or close it",IF(AND(LEFT($AC138,3)&lt;&gt;"Yes",SUMPRODUCT((TRIM('Rework Log'!$A$3:$A$500)=TRIM($B138))*('Rework Log'!$G$3:$G$500&lt;&gt;"Yes")*('Rework Log'!$G$3:$G$500&lt;&gt;"Did not pass re-test"))=0,COUNTIF('Rework Log'!$A$3:$A$500,$B138)&gt;0,IFERROR(INDEX('Rework Log'!$G:$G,SUMPRODUCT(MAX((TRIM('Rework Log'!$A$3:$A$500)=TRIM($B138))*ROW('Rework Log'!$A$3:$A$500)))),"")="Did not pass re-test"),"Last fix rejected - re-block or log next attempt",IF(AND(LEFT($AC138,3)="Yes",ISNUMBER(SEARCH("needs DB Dev",$AC138)),O138&lt;&gt;"",SUMPRODUCT(MAX(((TRIM('Rework Log'!$A$3:$A$500)=TRIM($B138))*('Rework Log'!$G$3:$G$500&lt;&gt;"Yes")*('Rework Log'!$G$3:$G$500&lt;&gt;"Did not pass re-test"))*IFERROR('Rework Log'!$I$3:$I$500*1,0)))&gt;0),"Move old DB Dev completion date to Rework Log (col H)",IF(AND(LEFT($AC138,3)="Yes",ISNUMBER(SEARCH("needs PBI Dev",$AC138)),R138&lt;&gt;"",SUMPRODUCT(MAX(((TRIM('Rework Log'!$A$3:$A$500)=TRIM($B138))*('Rework Log'!$G$3:$G$500&lt;&gt;"Yes")*('Rework Log'!$G$3:$G$500&lt;&gt;"Did not pass re-test"))*IFERROR('Rework Log'!$I$3:$I$500*1,0)))&gt;0),"Move old PBI Dev completion date to Rework Log (col H)",IF(AND(LEFT($AC138,3)="Yes",ISNUMBER(SEARCH("needs QA",$AC138)),U138&lt;&gt;"",SUMPRODUCT(MAX(((TRIM('Rework Log'!$A$3:$A$500)=TRIM($B138))*('Rework Log'!$G$3:$G$500&lt;&gt;"Yes")*('Rework Log'!$G$3:$G$500&lt;&gt;"Did not pass re-test"))*IFERROR('Rework Log'!$I$3:$I$500*1,0)))&gt;0),"Move old QA completion date to Rework Log (col H)",IF(AND(LEFT($AC138,3)="Yes",ISNUMBER(SEARCH("needs DB Dev",$AC138)),TRIM(C138)&lt;&gt;"DB Dev"),"Set Current Status back to DB Dev",IF(AND(LEFT($AC138,3)="Yes",ISNUMBER(SEARCH("needs PBI Dev",$AC138)),TRIM(C138)&lt;&gt;"PBI Dev"),"Set Current Status back to PBI Dev",IF(AND(LEFT($AC138,3)="Yes",ISNUMBER(SEARCH("needs QA",$AC138)),TRIM(C138)&lt;&gt;"QA"),"Set Current Status back to QA",IF(COUNTIF($B$2:$B$500,$B138)&gt;1,"Duplicate name - check row",IF(AND(TRIM(C138)="RELEASED IN PROD",Y138&lt;&gt;"Yes"),"Released but Confirmed Deployed? is not Yes",IF(COUNTIF('Rework Log'!$A$3:$A$500,$B138)&gt;0,"",IF(AND(S138&lt;&gt;"",M138&lt;&gt;"",S138&lt;M138),"QA target is before DB Dev target",IF(AND(S138&lt;&gt;"",P138&lt;&gt;"",S138&lt;P138),"QA target is before PBI Dev target",IF(AND(V138&lt;&gt;"",S138&lt;&gt;"",V138&lt;S138),"DPO Approval target is before QA target",IF(AND(Z138&lt;&gt;"",V138&lt;&gt;"",Z138&lt;V138),"Confirmed Deployed date is before DPO Approval target","")))))))))))))))))</f>
        <v/>
      </c>
      <c r="AE138" s="62"/>
    </row>
    <row r="139" spans="1:31" x14ac:dyDescent="0.25">
      <c r="A139" s="62"/>
      <c r="B139" s="62"/>
      <c r="C139" s="62"/>
      <c r="D139" s="64" t="str">
        <f ca="1">IF($B139="","",IF(LEFT($AC139,3)="Yes",IF(LEN($AC139)&gt;5,"Blocked - "&amp;MID($AC139,7,100),"Blocked")&amp;IF(SUMPRODUCT((TRIM('Rework Log'!$A$3:$A$500)=TRIM($B139))*('Rework Log'!$G$3:$G$500&lt;&gt;"Yes")*('Rework Log'!$G$3:$G$500&lt;&gt;"Did not pass re-test"))=0,"",IF(SUMPRODUCT(((TRIM('Rework Log'!$A$3:$A$500)=TRIM($B139))*('Rework Log'!$G$3:$G$500&lt;&gt;"Yes")*('Rework Log'!$G$3:$G$500&lt;&gt;"Did not pass re-test"))*ISNUMBER('Rework Log'!$J$3:$J$500))&gt;0," - fixed, awaiting re-test",IF(SUMPRODUCT(MAX(((TRIM('Rework Log'!$A$3:$A$500)=TRIM($B139))*('Rework Log'!$G$3:$G$500&lt;&gt;"Yes")*('Rework Log'!$G$3:$G$500&lt;&gt;"Did not pass re-test"))*IFERROR('Rework Log'!$I$3:$I$500*1,0)))=0," - unclaimed"," - promised "&amp;TEXT(SUMPRODUCT(MAX(((TRIM('Rework Log'!$A$3:$A$500)=TRIM($B139))*('Rework Log'!$G$3:$G$500&lt;&gt;"Yes")*('Rework Log'!$G$3:$G$500&lt;&gt;"Did not pass re-test"))*IFERROR('Rework Log'!$I$3:$I$500*1,0))),"m/d")))),IF(TRIM(C139)="NOT STARTED",IF(K139="","No plan date set",IF(K139&lt;TODAY(),"Review - planned start passed","On track")),IF(TRIM(C139)="DB Dev",IF(M139="","No target set",IF(AND(M139&lt;TODAY(),O139=""),"Overdue","On track")),IF(TRIM(C139)="PBI Dev",IF(P139="","No target set",IF(AND(P139&lt;TODAY(),R139=""),"Overdue","On track")),IF(TRIM(C139)="QA",IF(S139="","No target set",IF(AND(S139&lt;TODAY(),U139=""),"Overdue","On track")),IF(TRIM(C139)="DPO Approval",IF(V139="","No target set",IF(V139&lt;TODAY(),"Overdue","On track")),IF(TRIM(C139)="RELEASED IN PROD","Delivered",""))))))))</f>
        <v/>
      </c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4" t="str">
        <f>IF($B139="","",IF(AND(LEFT($AC139,3)="Yes",SUMPRODUCT((TRIM('Rework Log'!$A$3:$A$500)=TRIM($B139))*('Rework Log'!$G$3:$G$500&lt;&gt;"Yes")*('Rework Log'!$G$3:$G$500&lt;&gt;"Did not pass re-test"))=0),"Blocked - log it on Rework Log",IF(AND(LEFT($AC139,3)&lt;&gt;"Yes",SUMPRODUCT((TRIM('Rework Log'!$A$3:$A$500)=TRIM($B139))*('Rework Log'!$G$3:$G$500&lt;&gt;"Yes")*('Rework Log'!$G$3:$G$500&lt;&gt;"Did not pass re-test"))&gt;0),"Open rework row - mark Blocked? or close it",IF(AND(LEFT($AC139,3)&lt;&gt;"Yes",SUMPRODUCT((TRIM('Rework Log'!$A$3:$A$500)=TRIM($B139))*('Rework Log'!$G$3:$G$500&lt;&gt;"Yes")*('Rework Log'!$G$3:$G$500&lt;&gt;"Did not pass re-test"))=0,COUNTIF('Rework Log'!$A$3:$A$500,$B139)&gt;0,IFERROR(INDEX('Rework Log'!$G:$G,SUMPRODUCT(MAX((TRIM('Rework Log'!$A$3:$A$500)=TRIM($B139))*ROW('Rework Log'!$A$3:$A$500)))),"")="Did not pass re-test"),"Last fix rejected - re-block or log next attempt",IF(AND(LEFT($AC139,3)="Yes",ISNUMBER(SEARCH("needs DB Dev",$AC139)),O139&lt;&gt;"",SUMPRODUCT(MAX(((TRIM('Rework Log'!$A$3:$A$500)=TRIM($B139))*('Rework Log'!$G$3:$G$500&lt;&gt;"Yes")*('Rework Log'!$G$3:$G$500&lt;&gt;"Did not pass re-test"))*IFERROR('Rework Log'!$I$3:$I$500*1,0)))&gt;0),"Move old DB Dev completion date to Rework Log (col H)",IF(AND(LEFT($AC139,3)="Yes",ISNUMBER(SEARCH("needs PBI Dev",$AC139)),R139&lt;&gt;"",SUMPRODUCT(MAX(((TRIM('Rework Log'!$A$3:$A$500)=TRIM($B139))*('Rework Log'!$G$3:$G$500&lt;&gt;"Yes")*('Rework Log'!$G$3:$G$500&lt;&gt;"Did not pass re-test"))*IFERROR('Rework Log'!$I$3:$I$500*1,0)))&gt;0),"Move old PBI Dev completion date to Rework Log (col H)",IF(AND(LEFT($AC139,3)="Yes",ISNUMBER(SEARCH("needs QA",$AC139)),U139&lt;&gt;"",SUMPRODUCT(MAX(((TRIM('Rework Log'!$A$3:$A$500)=TRIM($B139))*('Rework Log'!$G$3:$G$500&lt;&gt;"Yes")*('Rework Log'!$G$3:$G$500&lt;&gt;"Did not pass re-test"))*IFERROR('Rework Log'!$I$3:$I$500*1,0)))&gt;0),"Move old QA completion date to Rework Log (col H)",IF(AND(LEFT($AC139,3)="Yes",ISNUMBER(SEARCH("needs DB Dev",$AC139)),TRIM(C139)&lt;&gt;"DB Dev"),"Set Current Status back to DB Dev",IF(AND(LEFT($AC139,3)="Yes",ISNUMBER(SEARCH("needs PBI Dev",$AC139)),TRIM(C139)&lt;&gt;"PBI Dev"),"Set Current Status back to PBI Dev",IF(AND(LEFT($AC139,3)="Yes",ISNUMBER(SEARCH("needs QA",$AC139)),TRIM(C139)&lt;&gt;"QA"),"Set Current Status back to QA",IF(COUNTIF($B$2:$B$500,$B139)&gt;1,"Duplicate name - check row",IF(AND(TRIM(C139)="RELEASED IN PROD",Y139&lt;&gt;"Yes"),"Released but Confirmed Deployed? is not Yes",IF(COUNTIF('Rework Log'!$A$3:$A$500,$B139)&gt;0,"",IF(AND(S139&lt;&gt;"",M139&lt;&gt;"",S139&lt;M139),"QA target is before DB Dev target",IF(AND(S139&lt;&gt;"",P139&lt;&gt;"",S139&lt;P139),"QA target is before PBI Dev target",IF(AND(V139&lt;&gt;"",S139&lt;&gt;"",V139&lt;S139),"DPO Approval target is before QA target",IF(AND(Z139&lt;&gt;"",V139&lt;&gt;"",Z139&lt;V139),"Confirmed Deployed date is before DPO Approval target","")))))))))))))))))</f>
        <v/>
      </c>
      <c r="AE139" s="62"/>
    </row>
    <row r="140" spans="1:31" x14ac:dyDescent="0.25">
      <c r="A140" s="62"/>
      <c r="B140" s="62"/>
      <c r="C140" s="62"/>
      <c r="D140" s="64" t="str">
        <f ca="1">IF($B140="","",IF(LEFT($AC140,3)="Yes",IF(LEN($AC140)&gt;5,"Blocked - "&amp;MID($AC140,7,100),"Blocked")&amp;IF(SUMPRODUCT((TRIM('Rework Log'!$A$3:$A$500)=TRIM($B140))*('Rework Log'!$G$3:$G$500&lt;&gt;"Yes")*('Rework Log'!$G$3:$G$500&lt;&gt;"Did not pass re-test"))=0,"",IF(SUMPRODUCT(((TRIM('Rework Log'!$A$3:$A$500)=TRIM($B140))*('Rework Log'!$G$3:$G$500&lt;&gt;"Yes")*('Rework Log'!$G$3:$G$500&lt;&gt;"Did not pass re-test"))*ISNUMBER('Rework Log'!$J$3:$J$500))&gt;0," - fixed, awaiting re-test",IF(SUMPRODUCT(MAX(((TRIM('Rework Log'!$A$3:$A$500)=TRIM($B140))*('Rework Log'!$G$3:$G$500&lt;&gt;"Yes")*('Rework Log'!$G$3:$G$500&lt;&gt;"Did not pass re-test"))*IFERROR('Rework Log'!$I$3:$I$500*1,0)))=0," - unclaimed"," - promised "&amp;TEXT(SUMPRODUCT(MAX(((TRIM('Rework Log'!$A$3:$A$500)=TRIM($B140))*('Rework Log'!$G$3:$G$500&lt;&gt;"Yes")*('Rework Log'!$G$3:$G$500&lt;&gt;"Did not pass re-test"))*IFERROR('Rework Log'!$I$3:$I$500*1,0))),"m/d")))),IF(TRIM(C140)="NOT STARTED",IF(K140="","No plan date set",IF(K140&lt;TODAY(),"Review - planned start passed","On track")),IF(TRIM(C140)="DB Dev",IF(M140="","No target set",IF(AND(M140&lt;TODAY(),O140=""),"Overdue","On track")),IF(TRIM(C140)="PBI Dev",IF(P140="","No target set",IF(AND(P140&lt;TODAY(),R140=""),"Overdue","On track")),IF(TRIM(C140)="QA",IF(S140="","No target set",IF(AND(S140&lt;TODAY(),U140=""),"Overdue","On track")),IF(TRIM(C140)="DPO Approval",IF(V140="","No target set",IF(V140&lt;TODAY(),"Overdue","On track")),IF(TRIM(C140)="RELEASED IN PROD","Delivered",""))))))))</f>
        <v/>
      </c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4" t="str">
        <f>IF($B140="","",IF(AND(LEFT($AC140,3)="Yes",SUMPRODUCT((TRIM('Rework Log'!$A$3:$A$500)=TRIM($B140))*('Rework Log'!$G$3:$G$500&lt;&gt;"Yes")*('Rework Log'!$G$3:$G$500&lt;&gt;"Did not pass re-test"))=0),"Blocked - log it on Rework Log",IF(AND(LEFT($AC140,3)&lt;&gt;"Yes",SUMPRODUCT((TRIM('Rework Log'!$A$3:$A$500)=TRIM($B140))*('Rework Log'!$G$3:$G$500&lt;&gt;"Yes")*('Rework Log'!$G$3:$G$500&lt;&gt;"Did not pass re-test"))&gt;0),"Open rework row - mark Blocked? or close it",IF(AND(LEFT($AC140,3)&lt;&gt;"Yes",SUMPRODUCT((TRIM('Rework Log'!$A$3:$A$500)=TRIM($B140))*('Rework Log'!$G$3:$G$500&lt;&gt;"Yes")*('Rework Log'!$G$3:$G$500&lt;&gt;"Did not pass re-test"))=0,COUNTIF('Rework Log'!$A$3:$A$500,$B140)&gt;0,IFERROR(INDEX('Rework Log'!$G:$G,SUMPRODUCT(MAX((TRIM('Rework Log'!$A$3:$A$500)=TRIM($B140))*ROW('Rework Log'!$A$3:$A$500)))),"")="Did not pass re-test"),"Last fix rejected - re-block or log next attempt",IF(AND(LEFT($AC140,3)="Yes",ISNUMBER(SEARCH("needs DB Dev",$AC140)),O140&lt;&gt;"",SUMPRODUCT(MAX(((TRIM('Rework Log'!$A$3:$A$500)=TRIM($B140))*('Rework Log'!$G$3:$G$500&lt;&gt;"Yes")*('Rework Log'!$G$3:$G$500&lt;&gt;"Did not pass re-test"))*IFERROR('Rework Log'!$I$3:$I$500*1,0)))&gt;0),"Move old DB Dev completion date to Rework Log (col H)",IF(AND(LEFT($AC140,3)="Yes",ISNUMBER(SEARCH("needs PBI Dev",$AC140)),R140&lt;&gt;"",SUMPRODUCT(MAX(((TRIM('Rework Log'!$A$3:$A$500)=TRIM($B140))*('Rework Log'!$G$3:$G$500&lt;&gt;"Yes")*('Rework Log'!$G$3:$G$500&lt;&gt;"Did not pass re-test"))*IFERROR('Rework Log'!$I$3:$I$500*1,0)))&gt;0),"Move old PBI Dev completion date to Rework Log (col H)",IF(AND(LEFT($AC140,3)="Yes",ISNUMBER(SEARCH("needs QA",$AC140)),U140&lt;&gt;"",SUMPRODUCT(MAX(((TRIM('Rework Log'!$A$3:$A$500)=TRIM($B140))*('Rework Log'!$G$3:$G$500&lt;&gt;"Yes")*('Rework Log'!$G$3:$G$500&lt;&gt;"Did not pass re-test"))*IFERROR('Rework Log'!$I$3:$I$500*1,0)))&gt;0),"Move old QA completion date to Rework Log (col H)",IF(AND(LEFT($AC140,3)="Yes",ISNUMBER(SEARCH("needs DB Dev",$AC140)),TRIM(C140)&lt;&gt;"DB Dev"),"Set Current Status back to DB Dev",IF(AND(LEFT($AC140,3)="Yes",ISNUMBER(SEARCH("needs PBI Dev",$AC140)),TRIM(C140)&lt;&gt;"PBI Dev"),"Set Current Status back to PBI Dev",IF(AND(LEFT($AC140,3)="Yes",ISNUMBER(SEARCH("needs QA",$AC140)),TRIM(C140)&lt;&gt;"QA"),"Set Current Status back to QA",IF(COUNTIF($B$2:$B$500,$B140)&gt;1,"Duplicate name - check row",IF(AND(TRIM(C140)="RELEASED IN PROD",Y140&lt;&gt;"Yes"),"Released but Confirmed Deployed? is not Yes",IF(COUNTIF('Rework Log'!$A$3:$A$500,$B140)&gt;0,"",IF(AND(S140&lt;&gt;"",M140&lt;&gt;"",S140&lt;M140),"QA target is before DB Dev target",IF(AND(S140&lt;&gt;"",P140&lt;&gt;"",S140&lt;P140),"QA target is before PBI Dev target",IF(AND(V140&lt;&gt;"",S140&lt;&gt;"",V140&lt;S140),"DPO Approval target is before QA target",IF(AND(Z140&lt;&gt;"",V140&lt;&gt;"",Z140&lt;V140),"Confirmed Deployed date is before DPO Approval target","")))))))))))))))))</f>
        <v/>
      </c>
      <c r="AE140" s="62"/>
    </row>
    <row r="141" spans="1:31" x14ac:dyDescent="0.25">
      <c r="A141" s="62"/>
      <c r="B141" s="62"/>
      <c r="C141" s="62"/>
      <c r="D141" s="64" t="str">
        <f ca="1">IF($B141="","",IF(LEFT($AC141,3)="Yes",IF(LEN($AC141)&gt;5,"Blocked - "&amp;MID($AC141,7,100),"Blocked")&amp;IF(SUMPRODUCT((TRIM('Rework Log'!$A$3:$A$500)=TRIM($B141))*('Rework Log'!$G$3:$G$500&lt;&gt;"Yes")*('Rework Log'!$G$3:$G$500&lt;&gt;"Did not pass re-test"))=0,"",IF(SUMPRODUCT(((TRIM('Rework Log'!$A$3:$A$500)=TRIM($B141))*('Rework Log'!$G$3:$G$500&lt;&gt;"Yes")*('Rework Log'!$G$3:$G$500&lt;&gt;"Did not pass re-test"))*ISNUMBER('Rework Log'!$J$3:$J$500))&gt;0," - fixed, awaiting re-test",IF(SUMPRODUCT(MAX(((TRIM('Rework Log'!$A$3:$A$500)=TRIM($B141))*('Rework Log'!$G$3:$G$500&lt;&gt;"Yes")*('Rework Log'!$G$3:$G$500&lt;&gt;"Did not pass re-test"))*IFERROR('Rework Log'!$I$3:$I$500*1,0)))=0," - unclaimed"," - promised "&amp;TEXT(SUMPRODUCT(MAX(((TRIM('Rework Log'!$A$3:$A$500)=TRIM($B141))*('Rework Log'!$G$3:$G$500&lt;&gt;"Yes")*('Rework Log'!$G$3:$G$500&lt;&gt;"Did not pass re-test"))*IFERROR('Rework Log'!$I$3:$I$500*1,0))),"m/d")))),IF(TRIM(C141)="NOT STARTED",IF(K141="","No plan date set",IF(K141&lt;TODAY(),"Review - planned start passed","On track")),IF(TRIM(C141)="DB Dev",IF(M141="","No target set",IF(AND(M141&lt;TODAY(),O141=""),"Overdue","On track")),IF(TRIM(C141)="PBI Dev",IF(P141="","No target set",IF(AND(P141&lt;TODAY(),R141=""),"Overdue","On track")),IF(TRIM(C141)="QA",IF(S141="","No target set",IF(AND(S141&lt;TODAY(),U141=""),"Overdue","On track")),IF(TRIM(C141)="DPO Approval",IF(V141="","No target set",IF(V141&lt;TODAY(),"Overdue","On track")),IF(TRIM(C141)="RELEASED IN PROD","Delivered",""))))))))</f>
        <v/>
      </c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4" t="str">
        <f>IF($B141="","",IF(AND(LEFT($AC141,3)="Yes",SUMPRODUCT((TRIM('Rework Log'!$A$3:$A$500)=TRIM($B141))*('Rework Log'!$G$3:$G$500&lt;&gt;"Yes")*('Rework Log'!$G$3:$G$500&lt;&gt;"Did not pass re-test"))=0),"Blocked - log it on Rework Log",IF(AND(LEFT($AC141,3)&lt;&gt;"Yes",SUMPRODUCT((TRIM('Rework Log'!$A$3:$A$500)=TRIM($B141))*('Rework Log'!$G$3:$G$500&lt;&gt;"Yes")*('Rework Log'!$G$3:$G$500&lt;&gt;"Did not pass re-test"))&gt;0),"Open rework row - mark Blocked? or close it",IF(AND(LEFT($AC141,3)&lt;&gt;"Yes",SUMPRODUCT((TRIM('Rework Log'!$A$3:$A$500)=TRIM($B141))*('Rework Log'!$G$3:$G$500&lt;&gt;"Yes")*('Rework Log'!$G$3:$G$500&lt;&gt;"Did not pass re-test"))=0,COUNTIF('Rework Log'!$A$3:$A$500,$B141)&gt;0,IFERROR(INDEX('Rework Log'!$G:$G,SUMPRODUCT(MAX((TRIM('Rework Log'!$A$3:$A$500)=TRIM($B141))*ROW('Rework Log'!$A$3:$A$500)))),"")="Did not pass re-test"),"Last fix rejected - re-block or log next attempt",IF(AND(LEFT($AC141,3)="Yes",ISNUMBER(SEARCH("needs DB Dev",$AC141)),O141&lt;&gt;"",SUMPRODUCT(MAX(((TRIM('Rework Log'!$A$3:$A$500)=TRIM($B141))*('Rework Log'!$G$3:$G$500&lt;&gt;"Yes")*('Rework Log'!$G$3:$G$500&lt;&gt;"Did not pass re-test"))*IFERROR('Rework Log'!$I$3:$I$500*1,0)))&gt;0),"Move old DB Dev completion date to Rework Log (col H)",IF(AND(LEFT($AC141,3)="Yes",ISNUMBER(SEARCH("needs PBI Dev",$AC141)),R141&lt;&gt;"",SUMPRODUCT(MAX(((TRIM('Rework Log'!$A$3:$A$500)=TRIM($B141))*('Rework Log'!$G$3:$G$500&lt;&gt;"Yes")*('Rework Log'!$G$3:$G$500&lt;&gt;"Did not pass re-test"))*IFERROR('Rework Log'!$I$3:$I$500*1,0)))&gt;0),"Move old PBI Dev completion date to Rework Log (col H)",IF(AND(LEFT($AC141,3)="Yes",ISNUMBER(SEARCH("needs QA",$AC141)),U141&lt;&gt;"",SUMPRODUCT(MAX(((TRIM('Rework Log'!$A$3:$A$500)=TRIM($B141))*('Rework Log'!$G$3:$G$500&lt;&gt;"Yes")*('Rework Log'!$G$3:$G$500&lt;&gt;"Did not pass re-test"))*IFERROR('Rework Log'!$I$3:$I$500*1,0)))&gt;0),"Move old QA completion date to Rework Log (col H)",IF(AND(LEFT($AC141,3)="Yes",ISNUMBER(SEARCH("needs DB Dev",$AC141)),TRIM(C141)&lt;&gt;"DB Dev"),"Set Current Status back to DB Dev",IF(AND(LEFT($AC141,3)="Yes",ISNUMBER(SEARCH("needs PBI Dev",$AC141)),TRIM(C141)&lt;&gt;"PBI Dev"),"Set Current Status back to PBI Dev",IF(AND(LEFT($AC141,3)="Yes",ISNUMBER(SEARCH("needs QA",$AC141)),TRIM(C141)&lt;&gt;"QA"),"Set Current Status back to QA",IF(COUNTIF($B$2:$B$500,$B141)&gt;1,"Duplicate name - check row",IF(AND(TRIM(C141)="RELEASED IN PROD",Y141&lt;&gt;"Yes"),"Released but Confirmed Deployed? is not Yes",IF(COUNTIF('Rework Log'!$A$3:$A$500,$B141)&gt;0,"",IF(AND(S141&lt;&gt;"",M141&lt;&gt;"",S141&lt;M141),"QA target is before DB Dev target",IF(AND(S141&lt;&gt;"",P141&lt;&gt;"",S141&lt;P141),"QA target is before PBI Dev target",IF(AND(V141&lt;&gt;"",S141&lt;&gt;"",V141&lt;S141),"DPO Approval target is before QA target",IF(AND(Z141&lt;&gt;"",V141&lt;&gt;"",Z141&lt;V141),"Confirmed Deployed date is before DPO Approval target","")))))))))))))))))</f>
        <v/>
      </c>
      <c r="AE141" s="62"/>
    </row>
    <row r="142" spans="1:31" x14ac:dyDescent="0.25">
      <c r="A142" s="62"/>
      <c r="B142" s="62"/>
      <c r="C142" s="62"/>
      <c r="D142" s="64" t="str">
        <f ca="1">IF($B142="","",IF(LEFT($AC142,3)="Yes",IF(LEN($AC142)&gt;5,"Blocked - "&amp;MID($AC142,7,100),"Blocked")&amp;IF(SUMPRODUCT((TRIM('Rework Log'!$A$3:$A$500)=TRIM($B142))*('Rework Log'!$G$3:$G$500&lt;&gt;"Yes")*('Rework Log'!$G$3:$G$500&lt;&gt;"Did not pass re-test"))=0,"",IF(SUMPRODUCT(((TRIM('Rework Log'!$A$3:$A$500)=TRIM($B142))*('Rework Log'!$G$3:$G$500&lt;&gt;"Yes")*('Rework Log'!$G$3:$G$500&lt;&gt;"Did not pass re-test"))*ISNUMBER('Rework Log'!$J$3:$J$500))&gt;0," - fixed, awaiting re-test",IF(SUMPRODUCT(MAX(((TRIM('Rework Log'!$A$3:$A$500)=TRIM($B142))*('Rework Log'!$G$3:$G$500&lt;&gt;"Yes")*('Rework Log'!$G$3:$G$500&lt;&gt;"Did not pass re-test"))*IFERROR('Rework Log'!$I$3:$I$500*1,0)))=0," - unclaimed"," - promised "&amp;TEXT(SUMPRODUCT(MAX(((TRIM('Rework Log'!$A$3:$A$500)=TRIM($B142))*('Rework Log'!$G$3:$G$500&lt;&gt;"Yes")*('Rework Log'!$G$3:$G$500&lt;&gt;"Did not pass re-test"))*IFERROR('Rework Log'!$I$3:$I$500*1,0))),"m/d")))),IF(TRIM(C142)="NOT STARTED",IF(K142="","No plan date set",IF(K142&lt;TODAY(),"Review - planned start passed","On track")),IF(TRIM(C142)="DB Dev",IF(M142="","No target set",IF(AND(M142&lt;TODAY(),O142=""),"Overdue","On track")),IF(TRIM(C142)="PBI Dev",IF(P142="","No target set",IF(AND(P142&lt;TODAY(),R142=""),"Overdue","On track")),IF(TRIM(C142)="QA",IF(S142="","No target set",IF(AND(S142&lt;TODAY(),U142=""),"Overdue","On track")),IF(TRIM(C142)="DPO Approval",IF(V142="","No target set",IF(V142&lt;TODAY(),"Overdue","On track")),IF(TRIM(C142)="RELEASED IN PROD","Delivered",""))))))))</f>
        <v/>
      </c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4" t="str">
        <f>IF($B142="","",IF(AND(LEFT($AC142,3)="Yes",SUMPRODUCT((TRIM('Rework Log'!$A$3:$A$500)=TRIM($B142))*('Rework Log'!$G$3:$G$500&lt;&gt;"Yes")*('Rework Log'!$G$3:$G$500&lt;&gt;"Did not pass re-test"))=0),"Blocked - log it on Rework Log",IF(AND(LEFT($AC142,3)&lt;&gt;"Yes",SUMPRODUCT((TRIM('Rework Log'!$A$3:$A$500)=TRIM($B142))*('Rework Log'!$G$3:$G$500&lt;&gt;"Yes")*('Rework Log'!$G$3:$G$500&lt;&gt;"Did not pass re-test"))&gt;0),"Open rework row - mark Blocked? or close it",IF(AND(LEFT($AC142,3)&lt;&gt;"Yes",SUMPRODUCT((TRIM('Rework Log'!$A$3:$A$500)=TRIM($B142))*('Rework Log'!$G$3:$G$500&lt;&gt;"Yes")*('Rework Log'!$G$3:$G$500&lt;&gt;"Did not pass re-test"))=0,COUNTIF('Rework Log'!$A$3:$A$500,$B142)&gt;0,IFERROR(INDEX('Rework Log'!$G:$G,SUMPRODUCT(MAX((TRIM('Rework Log'!$A$3:$A$500)=TRIM($B142))*ROW('Rework Log'!$A$3:$A$500)))),"")="Did not pass re-test"),"Last fix rejected - re-block or log next attempt",IF(AND(LEFT($AC142,3)="Yes",ISNUMBER(SEARCH("needs DB Dev",$AC142)),O142&lt;&gt;"",SUMPRODUCT(MAX(((TRIM('Rework Log'!$A$3:$A$500)=TRIM($B142))*('Rework Log'!$G$3:$G$500&lt;&gt;"Yes")*('Rework Log'!$G$3:$G$500&lt;&gt;"Did not pass re-test"))*IFERROR('Rework Log'!$I$3:$I$500*1,0)))&gt;0),"Move old DB Dev completion date to Rework Log (col H)",IF(AND(LEFT($AC142,3)="Yes",ISNUMBER(SEARCH("needs PBI Dev",$AC142)),R142&lt;&gt;"",SUMPRODUCT(MAX(((TRIM('Rework Log'!$A$3:$A$500)=TRIM($B142))*('Rework Log'!$G$3:$G$500&lt;&gt;"Yes")*('Rework Log'!$G$3:$G$500&lt;&gt;"Did not pass re-test"))*IFERROR('Rework Log'!$I$3:$I$500*1,0)))&gt;0),"Move old PBI Dev completion date to Rework Log (col H)",IF(AND(LEFT($AC142,3)="Yes",ISNUMBER(SEARCH("needs QA",$AC142)),U142&lt;&gt;"",SUMPRODUCT(MAX(((TRIM('Rework Log'!$A$3:$A$500)=TRIM($B142))*('Rework Log'!$G$3:$G$500&lt;&gt;"Yes")*('Rework Log'!$G$3:$G$500&lt;&gt;"Did not pass re-test"))*IFERROR('Rework Log'!$I$3:$I$500*1,0)))&gt;0),"Move old QA completion date to Rework Log (col H)",IF(AND(LEFT($AC142,3)="Yes",ISNUMBER(SEARCH("needs DB Dev",$AC142)),TRIM(C142)&lt;&gt;"DB Dev"),"Set Current Status back to DB Dev",IF(AND(LEFT($AC142,3)="Yes",ISNUMBER(SEARCH("needs PBI Dev",$AC142)),TRIM(C142)&lt;&gt;"PBI Dev"),"Set Current Status back to PBI Dev",IF(AND(LEFT($AC142,3)="Yes",ISNUMBER(SEARCH("needs QA",$AC142)),TRIM(C142)&lt;&gt;"QA"),"Set Current Status back to QA",IF(COUNTIF($B$2:$B$500,$B142)&gt;1,"Duplicate name - check row",IF(AND(TRIM(C142)="RELEASED IN PROD",Y142&lt;&gt;"Yes"),"Released but Confirmed Deployed? is not Yes",IF(COUNTIF('Rework Log'!$A$3:$A$500,$B142)&gt;0,"",IF(AND(S142&lt;&gt;"",M142&lt;&gt;"",S142&lt;M142),"QA target is before DB Dev target",IF(AND(S142&lt;&gt;"",P142&lt;&gt;"",S142&lt;P142),"QA target is before PBI Dev target",IF(AND(V142&lt;&gt;"",S142&lt;&gt;"",V142&lt;S142),"DPO Approval target is before QA target",IF(AND(Z142&lt;&gt;"",V142&lt;&gt;"",Z142&lt;V142),"Confirmed Deployed date is before DPO Approval target","")))))))))))))))))</f>
        <v/>
      </c>
      <c r="AE142" s="62"/>
    </row>
    <row r="143" spans="1:31" x14ac:dyDescent="0.25">
      <c r="A143" s="62"/>
      <c r="B143" s="62"/>
      <c r="C143" s="62"/>
      <c r="D143" s="64" t="str">
        <f ca="1">IF($B143="","",IF(LEFT($AC143,3)="Yes",IF(LEN($AC143)&gt;5,"Blocked - "&amp;MID($AC143,7,100),"Blocked")&amp;IF(SUMPRODUCT((TRIM('Rework Log'!$A$3:$A$500)=TRIM($B143))*('Rework Log'!$G$3:$G$500&lt;&gt;"Yes")*('Rework Log'!$G$3:$G$500&lt;&gt;"Did not pass re-test"))=0,"",IF(SUMPRODUCT(((TRIM('Rework Log'!$A$3:$A$500)=TRIM($B143))*('Rework Log'!$G$3:$G$500&lt;&gt;"Yes")*('Rework Log'!$G$3:$G$500&lt;&gt;"Did not pass re-test"))*ISNUMBER('Rework Log'!$J$3:$J$500))&gt;0," - fixed, awaiting re-test",IF(SUMPRODUCT(MAX(((TRIM('Rework Log'!$A$3:$A$500)=TRIM($B143))*('Rework Log'!$G$3:$G$500&lt;&gt;"Yes")*('Rework Log'!$G$3:$G$500&lt;&gt;"Did not pass re-test"))*IFERROR('Rework Log'!$I$3:$I$500*1,0)))=0," - unclaimed"," - promised "&amp;TEXT(SUMPRODUCT(MAX(((TRIM('Rework Log'!$A$3:$A$500)=TRIM($B143))*('Rework Log'!$G$3:$G$500&lt;&gt;"Yes")*('Rework Log'!$G$3:$G$500&lt;&gt;"Did not pass re-test"))*IFERROR('Rework Log'!$I$3:$I$500*1,0))),"m/d")))),IF(TRIM(C143)="NOT STARTED",IF(K143="","No plan date set",IF(K143&lt;TODAY(),"Review - planned start passed","On track")),IF(TRIM(C143)="DB Dev",IF(M143="","No target set",IF(AND(M143&lt;TODAY(),O143=""),"Overdue","On track")),IF(TRIM(C143)="PBI Dev",IF(P143="","No target set",IF(AND(P143&lt;TODAY(),R143=""),"Overdue","On track")),IF(TRIM(C143)="QA",IF(S143="","No target set",IF(AND(S143&lt;TODAY(),U143=""),"Overdue","On track")),IF(TRIM(C143)="DPO Approval",IF(V143="","No target set",IF(V143&lt;TODAY(),"Overdue","On track")),IF(TRIM(C143)="RELEASED IN PROD","Delivered",""))))))))</f>
        <v/>
      </c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4" t="str">
        <f>IF($B143="","",IF(AND(LEFT($AC143,3)="Yes",SUMPRODUCT((TRIM('Rework Log'!$A$3:$A$500)=TRIM($B143))*('Rework Log'!$G$3:$G$500&lt;&gt;"Yes")*('Rework Log'!$G$3:$G$500&lt;&gt;"Did not pass re-test"))=0),"Blocked - log it on Rework Log",IF(AND(LEFT($AC143,3)&lt;&gt;"Yes",SUMPRODUCT((TRIM('Rework Log'!$A$3:$A$500)=TRIM($B143))*('Rework Log'!$G$3:$G$500&lt;&gt;"Yes")*('Rework Log'!$G$3:$G$500&lt;&gt;"Did not pass re-test"))&gt;0),"Open rework row - mark Blocked? or close it",IF(AND(LEFT($AC143,3)&lt;&gt;"Yes",SUMPRODUCT((TRIM('Rework Log'!$A$3:$A$500)=TRIM($B143))*('Rework Log'!$G$3:$G$500&lt;&gt;"Yes")*('Rework Log'!$G$3:$G$500&lt;&gt;"Did not pass re-test"))=0,COUNTIF('Rework Log'!$A$3:$A$500,$B143)&gt;0,IFERROR(INDEX('Rework Log'!$G:$G,SUMPRODUCT(MAX((TRIM('Rework Log'!$A$3:$A$500)=TRIM($B143))*ROW('Rework Log'!$A$3:$A$500)))),"")="Did not pass re-test"),"Last fix rejected - re-block or log next attempt",IF(AND(LEFT($AC143,3)="Yes",ISNUMBER(SEARCH("needs DB Dev",$AC143)),O143&lt;&gt;"",SUMPRODUCT(MAX(((TRIM('Rework Log'!$A$3:$A$500)=TRIM($B143))*('Rework Log'!$G$3:$G$500&lt;&gt;"Yes")*('Rework Log'!$G$3:$G$500&lt;&gt;"Did not pass re-test"))*IFERROR('Rework Log'!$I$3:$I$500*1,0)))&gt;0),"Move old DB Dev completion date to Rework Log (col H)",IF(AND(LEFT($AC143,3)="Yes",ISNUMBER(SEARCH("needs PBI Dev",$AC143)),R143&lt;&gt;"",SUMPRODUCT(MAX(((TRIM('Rework Log'!$A$3:$A$500)=TRIM($B143))*('Rework Log'!$G$3:$G$500&lt;&gt;"Yes")*('Rework Log'!$G$3:$G$500&lt;&gt;"Did not pass re-test"))*IFERROR('Rework Log'!$I$3:$I$500*1,0)))&gt;0),"Move old PBI Dev completion date to Rework Log (col H)",IF(AND(LEFT($AC143,3)="Yes",ISNUMBER(SEARCH("needs QA",$AC143)),U143&lt;&gt;"",SUMPRODUCT(MAX(((TRIM('Rework Log'!$A$3:$A$500)=TRIM($B143))*('Rework Log'!$G$3:$G$500&lt;&gt;"Yes")*('Rework Log'!$G$3:$G$500&lt;&gt;"Did not pass re-test"))*IFERROR('Rework Log'!$I$3:$I$500*1,0)))&gt;0),"Move old QA completion date to Rework Log (col H)",IF(AND(LEFT($AC143,3)="Yes",ISNUMBER(SEARCH("needs DB Dev",$AC143)),TRIM(C143)&lt;&gt;"DB Dev"),"Set Current Status back to DB Dev",IF(AND(LEFT($AC143,3)="Yes",ISNUMBER(SEARCH("needs PBI Dev",$AC143)),TRIM(C143)&lt;&gt;"PBI Dev"),"Set Current Status back to PBI Dev",IF(AND(LEFT($AC143,3)="Yes",ISNUMBER(SEARCH("needs QA",$AC143)),TRIM(C143)&lt;&gt;"QA"),"Set Current Status back to QA",IF(COUNTIF($B$2:$B$500,$B143)&gt;1,"Duplicate name - check row",IF(AND(TRIM(C143)="RELEASED IN PROD",Y143&lt;&gt;"Yes"),"Released but Confirmed Deployed? is not Yes",IF(COUNTIF('Rework Log'!$A$3:$A$500,$B143)&gt;0,"",IF(AND(S143&lt;&gt;"",M143&lt;&gt;"",S143&lt;M143),"QA target is before DB Dev target",IF(AND(S143&lt;&gt;"",P143&lt;&gt;"",S143&lt;P143),"QA target is before PBI Dev target",IF(AND(V143&lt;&gt;"",S143&lt;&gt;"",V143&lt;S143),"DPO Approval target is before QA target",IF(AND(Z143&lt;&gt;"",V143&lt;&gt;"",Z143&lt;V143),"Confirmed Deployed date is before DPO Approval target","")))))))))))))))))</f>
        <v/>
      </c>
      <c r="AE143" s="62"/>
    </row>
    <row r="144" spans="1:31" x14ac:dyDescent="0.25">
      <c r="A144" s="62"/>
      <c r="B144" s="62"/>
      <c r="C144" s="62"/>
      <c r="D144" s="64" t="str">
        <f ca="1">IF($B144="","",IF(LEFT($AC144,3)="Yes",IF(LEN($AC144)&gt;5,"Blocked - "&amp;MID($AC144,7,100),"Blocked")&amp;IF(SUMPRODUCT((TRIM('Rework Log'!$A$3:$A$500)=TRIM($B144))*('Rework Log'!$G$3:$G$500&lt;&gt;"Yes")*('Rework Log'!$G$3:$G$500&lt;&gt;"Did not pass re-test"))=0,"",IF(SUMPRODUCT(((TRIM('Rework Log'!$A$3:$A$500)=TRIM($B144))*('Rework Log'!$G$3:$G$500&lt;&gt;"Yes")*('Rework Log'!$G$3:$G$500&lt;&gt;"Did not pass re-test"))*ISNUMBER('Rework Log'!$J$3:$J$500))&gt;0," - fixed, awaiting re-test",IF(SUMPRODUCT(MAX(((TRIM('Rework Log'!$A$3:$A$500)=TRIM($B144))*('Rework Log'!$G$3:$G$500&lt;&gt;"Yes")*('Rework Log'!$G$3:$G$500&lt;&gt;"Did not pass re-test"))*IFERROR('Rework Log'!$I$3:$I$500*1,0)))=0," - unclaimed"," - promised "&amp;TEXT(SUMPRODUCT(MAX(((TRIM('Rework Log'!$A$3:$A$500)=TRIM($B144))*('Rework Log'!$G$3:$G$500&lt;&gt;"Yes")*('Rework Log'!$G$3:$G$500&lt;&gt;"Did not pass re-test"))*IFERROR('Rework Log'!$I$3:$I$500*1,0))),"m/d")))),IF(TRIM(C144)="NOT STARTED",IF(K144="","No plan date set",IF(K144&lt;TODAY(),"Review - planned start passed","On track")),IF(TRIM(C144)="DB Dev",IF(M144="","No target set",IF(AND(M144&lt;TODAY(),O144=""),"Overdue","On track")),IF(TRIM(C144)="PBI Dev",IF(P144="","No target set",IF(AND(P144&lt;TODAY(),R144=""),"Overdue","On track")),IF(TRIM(C144)="QA",IF(S144="","No target set",IF(AND(S144&lt;TODAY(),U144=""),"Overdue","On track")),IF(TRIM(C144)="DPO Approval",IF(V144="","No target set",IF(V144&lt;TODAY(),"Overdue","On track")),IF(TRIM(C144)="RELEASED IN PROD","Delivered",""))))))))</f>
        <v/>
      </c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4" t="str">
        <f>IF($B144="","",IF(AND(LEFT($AC144,3)="Yes",SUMPRODUCT((TRIM('Rework Log'!$A$3:$A$500)=TRIM($B144))*('Rework Log'!$G$3:$G$500&lt;&gt;"Yes")*('Rework Log'!$G$3:$G$500&lt;&gt;"Did not pass re-test"))=0),"Blocked - log it on Rework Log",IF(AND(LEFT($AC144,3)&lt;&gt;"Yes",SUMPRODUCT((TRIM('Rework Log'!$A$3:$A$500)=TRIM($B144))*('Rework Log'!$G$3:$G$500&lt;&gt;"Yes")*('Rework Log'!$G$3:$G$500&lt;&gt;"Did not pass re-test"))&gt;0),"Open rework row - mark Blocked? or close it",IF(AND(LEFT($AC144,3)&lt;&gt;"Yes",SUMPRODUCT((TRIM('Rework Log'!$A$3:$A$500)=TRIM($B144))*('Rework Log'!$G$3:$G$500&lt;&gt;"Yes")*('Rework Log'!$G$3:$G$500&lt;&gt;"Did not pass re-test"))=0,COUNTIF('Rework Log'!$A$3:$A$500,$B144)&gt;0,IFERROR(INDEX('Rework Log'!$G:$G,SUMPRODUCT(MAX((TRIM('Rework Log'!$A$3:$A$500)=TRIM($B144))*ROW('Rework Log'!$A$3:$A$500)))),"")="Did not pass re-test"),"Last fix rejected - re-block or log next attempt",IF(AND(LEFT($AC144,3)="Yes",ISNUMBER(SEARCH("needs DB Dev",$AC144)),O144&lt;&gt;"",SUMPRODUCT(MAX(((TRIM('Rework Log'!$A$3:$A$500)=TRIM($B144))*('Rework Log'!$G$3:$G$500&lt;&gt;"Yes")*('Rework Log'!$G$3:$G$500&lt;&gt;"Did not pass re-test"))*IFERROR('Rework Log'!$I$3:$I$500*1,0)))&gt;0),"Move old DB Dev completion date to Rework Log (col H)",IF(AND(LEFT($AC144,3)="Yes",ISNUMBER(SEARCH("needs PBI Dev",$AC144)),R144&lt;&gt;"",SUMPRODUCT(MAX(((TRIM('Rework Log'!$A$3:$A$500)=TRIM($B144))*('Rework Log'!$G$3:$G$500&lt;&gt;"Yes")*('Rework Log'!$G$3:$G$500&lt;&gt;"Did not pass re-test"))*IFERROR('Rework Log'!$I$3:$I$500*1,0)))&gt;0),"Move old PBI Dev completion date to Rework Log (col H)",IF(AND(LEFT($AC144,3)="Yes",ISNUMBER(SEARCH("needs QA",$AC144)),U144&lt;&gt;"",SUMPRODUCT(MAX(((TRIM('Rework Log'!$A$3:$A$500)=TRIM($B144))*('Rework Log'!$G$3:$G$500&lt;&gt;"Yes")*('Rework Log'!$G$3:$G$500&lt;&gt;"Did not pass re-test"))*IFERROR('Rework Log'!$I$3:$I$500*1,0)))&gt;0),"Move old QA completion date to Rework Log (col H)",IF(AND(LEFT($AC144,3)="Yes",ISNUMBER(SEARCH("needs DB Dev",$AC144)),TRIM(C144)&lt;&gt;"DB Dev"),"Set Current Status back to DB Dev",IF(AND(LEFT($AC144,3)="Yes",ISNUMBER(SEARCH("needs PBI Dev",$AC144)),TRIM(C144)&lt;&gt;"PBI Dev"),"Set Current Status back to PBI Dev",IF(AND(LEFT($AC144,3)="Yes",ISNUMBER(SEARCH("needs QA",$AC144)),TRIM(C144)&lt;&gt;"QA"),"Set Current Status back to QA",IF(COUNTIF($B$2:$B$500,$B144)&gt;1,"Duplicate name - check row",IF(AND(TRIM(C144)="RELEASED IN PROD",Y144&lt;&gt;"Yes"),"Released but Confirmed Deployed? is not Yes",IF(COUNTIF('Rework Log'!$A$3:$A$500,$B144)&gt;0,"",IF(AND(S144&lt;&gt;"",M144&lt;&gt;"",S144&lt;M144),"QA target is before DB Dev target",IF(AND(S144&lt;&gt;"",P144&lt;&gt;"",S144&lt;P144),"QA target is before PBI Dev target",IF(AND(V144&lt;&gt;"",S144&lt;&gt;"",V144&lt;S144),"DPO Approval target is before QA target",IF(AND(Z144&lt;&gt;"",V144&lt;&gt;"",Z144&lt;V144),"Confirmed Deployed date is before DPO Approval target","")))))))))))))))))</f>
        <v/>
      </c>
      <c r="AE144" s="62"/>
    </row>
    <row r="145" spans="1:31" x14ac:dyDescent="0.25">
      <c r="A145" s="62"/>
      <c r="B145" s="62"/>
      <c r="C145" s="62"/>
      <c r="D145" s="64" t="str">
        <f ca="1">IF($B145="","",IF(LEFT($AC145,3)="Yes",IF(LEN($AC145)&gt;5,"Blocked - "&amp;MID($AC145,7,100),"Blocked")&amp;IF(SUMPRODUCT((TRIM('Rework Log'!$A$3:$A$500)=TRIM($B145))*('Rework Log'!$G$3:$G$500&lt;&gt;"Yes")*('Rework Log'!$G$3:$G$500&lt;&gt;"Did not pass re-test"))=0,"",IF(SUMPRODUCT(((TRIM('Rework Log'!$A$3:$A$500)=TRIM($B145))*('Rework Log'!$G$3:$G$500&lt;&gt;"Yes")*('Rework Log'!$G$3:$G$500&lt;&gt;"Did not pass re-test"))*ISNUMBER('Rework Log'!$J$3:$J$500))&gt;0," - fixed, awaiting re-test",IF(SUMPRODUCT(MAX(((TRIM('Rework Log'!$A$3:$A$500)=TRIM($B145))*('Rework Log'!$G$3:$G$500&lt;&gt;"Yes")*('Rework Log'!$G$3:$G$500&lt;&gt;"Did not pass re-test"))*IFERROR('Rework Log'!$I$3:$I$500*1,0)))=0," - unclaimed"," - promised "&amp;TEXT(SUMPRODUCT(MAX(((TRIM('Rework Log'!$A$3:$A$500)=TRIM($B145))*('Rework Log'!$G$3:$G$500&lt;&gt;"Yes")*('Rework Log'!$G$3:$G$500&lt;&gt;"Did not pass re-test"))*IFERROR('Rework Log'!$I$3:$I$500*1,0))),"m/d")))),IF(TRIM(C145)="NOT STARTED",IF(K145="","No plan date set",IF(K145&lt;TODAY(),"Review - planned start passed","On track")),IF(TRIM(C145)="DB Dev",IF(M145="","No target set",IF(AND(M145&lt;TODAY(),O145=""),"Overdue","On track")),IF(TRIM(C145)="PBI Dev",IF(P145="","No target set",IF(AND(P145&lt;TODAY(),R145=""),"Overdue","On track")),IF(TRIM(C145)="QA",IF(S145="","No target set",IF(AND(S145&lt;TODAY(),U145=""),"Overdue","On track")),IF(TRIM(C145)="DPO Approval",IF(V145="","No target set",IF(V145&lt;TODAY(),"Overdue","On track")),IF(TRIM(C145)="RELEASED IN PROD","Delivered",""))))))))</f>
        <v/>
      </c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4" t="str">
        <f>IF($B145="","",IF(AND(LEFT($AC145,3)="Yes",SUMPRODUCT((TRIM('Rework Log'!$A$3:$A$500)=TRIM($B145))*('Rework Log'!$G$3:$G$500&lt;&gt;"Yes")*('Rework Log'!$G$3:$G$500&lt;&gt;"Did not pass re-test"))=0),"Blocked - log it on Rework Log",IF(AND(LEFT($AC145,3)&lt;&gt;"Yes",SUMPRODUCT((TRIM('Rework Log'!$A$3:$A$500)=TRIM($B145))*('Rework Log'!$G$3:$G$500&lt;&gt;"Yes")*('Rework Log'!$G$3:$G$500&lt;&gt;"Did not pass re-test"))&gt;0),"Open rework row - mark Blocked? or close it",IF(AND(LEFT($AC145,3)&lt;&gt;"Yes",SUMPRODUCT((TRIM('Rework Log'!$A$3:$A$500)=TRIM($B145))*('Rework Log'!$G$3:$G$500&lt;&gt;"Yes")*('Rework Log'!$G$3:$G$500&lt;&gt;"Did not pass re-test"))=0,COUNTIF('Rework Log'!$A$3:$A$500,$B145)&gt;0,IFERROR(INDEX('Rework Log'!$G:$G,SUMPRODUCT(MAX((TRIM('Rework Log'!$A$3:$A$500)=TRIM($B145))*ROW('Rework Log'!$A$3:$A$500)))),"")="Did not pass re-test"),"Last fix rejected - re-block or log next attempt",IF(AND(LEFT($AC145,3)="Yes",ISNUMBER(SEARCH("needs DB Dev",$AC145)),O145&lt;&gt;"",SUMPRODUCT(MAX(((TRIM('Rework Log'!$A$3:$A$500)=TRIM($B145))*('Rework Log'!$G$3:$G$500&lt;&gt;"Yes")*('Rework Log'!$G$3:$G$500&lt;&gt;"Did not pass re-test"))*IFERROR('Rework Log'!$I$3:$I$500*1,0)))&gt;0),"Move old DB Dev completion date to Rework Log (col H)",IF(AND(LEFT($AC145,3)="Yes",ISNUMBER(SEARCH("needs PBI Dev",$AC145)),R145&lt;&gt;"",SUMPRODUCT(MAX(((TRIM('Rework Log'!$A$3:$A$500)=TRIM($B145))*('Rework Log'!$G$3:$G$500&lt;&gt;"Yes")*('Rework Log'!$G$3:$G$500&lt;&gt;"Did not pass re-test"))*IFERROR('Rework Log'!$I$3:$I$500*1,0)))&gt;0),"Move old PBI Dev completion date to Rework Log (col H)",IF(AND(LEFT($AC145,3)="Yes",ISNUMBER(SEARCH("needs QA",$AC145)),U145&lt;&gt;"",SUMPRODUCT(MAX(((TRIM('Rework Log'!$A$3:$A$500)=TRIM($B145))*('Rework Log'!$G$3:$G$500&lt;&gt;"Yes")*('Rework Log'!$G$3:$G$500&lt;&gt;"Did not pass re-test"))*IFERROR('Rework Log'!$I$3:$I$500*1,0)))&gt;0),"Move old QA completion date to Rework Log (col H)",IF(AND(LEFT($AC145,3)="Yes",ISNUMBER(SEARCH("needs DB Dev",$AC145)),TRIM(C145)&lt;&gt;"DB Dev"),"Set Current Status back to DB Dev",IF(AND(LEFT($AC145,3)="Yes",ISNUMBER(SEARCH("needs PBI Dev",$AC145)),TRIM(C145)&lt;&gt;"PBI Dev"),"Set Current Status back to PBI Dev",IF(AND(LEFT($AC145,3)="Yes",ISNUMBER(SEARCH("needs QA",$AC145)),TRIM(C145)&lt;&gt;"QA"),"Set Current Status back to QA",IF(COUNTIF($B$2:$B$500,$B145)&gt;1,"Duplicate name - check row",IF(AND(TRIM(C145)="RELEASED IN PROD",Y145&lt;&gt;"Yes"),"Released but Confirmed Deployed? is not Yes",IF(COUNTIF('Rework Log'!$A$3:$A$500,$B145)&gt;0,"",IF(AND(S145&lt;&gt;"",M145&lt;&gt;"",S145&lt;M145),"QA target is before DB Dev target",IF(AND(S145&lt;&gt;"",P145&lt;&gt;"",S145&lt;P145),"QA target is before PBI Dev target",IF(AND(V145&lt;&gt;"",S145&lt;&gt;"",V145&lt;S145),"DPO Approval target is before QA target",IF(AND(Z145&lt;&gt;"",V145&lt;&gt;"",Z145&lt;V145),"Confirmed Deployed date is before DPO Approval target","")))))))))))))))))</f>
        <v/>
      </c>
      <c r="AE145" s="62"/>
    </row>
    <row r="146" spans="1:31" x14ac:dyDescent="0.25">
      <c r="A146" s="62"/>
      <c r="B146" s="62"/>
      <c r="C146" s="62"/>
      <c r="D146" s="64" t="str">
        <f ca="1">IF($B146="","",IF(LEFT($AC146,3)="Yes",IF(LEN($AC146)&gt;5,"Blocked - "&amp;MID($AC146,7,100),"Blocked")&amp;IF(SUMPRODUCT((TRIM('Rework Log'!$A$3:$A$500)=TRIM($B146))*('Rework Log'!$G$3:$G$500&lt;&gt;"Yes")*('Rework Log'!$G$3:$G$500&lt;&gt;"Did not pass re-test"))=0,"",IF(SUMPRODUCT(((TRIM('Rework Log'!$A$3:$A$500)=TRIM($B146))*('Rework Log'!$G$3:$G$500&lt;&gt;"Yes")*('Rework Log'!$G$3:$G$500&lt;&gt;"Did not pass re-test"))*ISNUMBER('Rework Log'!$J$3:$J$500))&gt;0," - fixed, awaiting re-test",IF(SUMPRODUCT(MAX(((TRIM('Rework Log'!$A$3:$A$500)=TRIM($B146))*('Rework Log'!$G$3:$G$500&lt;&gt;"Yes")*('Rework Log'!$G$3:$G$500&lt;&gt;"Did not pass re-test"))*IFERROR('Rework Log'!$I$3:$I$500*1,0)))=0," - unclaimed"," - promised "&amp;TEXT(SUMPRODUCT(MAX(((TRIM('Rework Log'!$A$3:$A$500)=TRIM($B146))*('Rework Log'!$G$3:$G$500&lt;&gt;"Yes")*('Rework Log'!$G$3:$G$500&lt;&gt;"Did not pass re-test"))*IFERROR('Rework Log'!$I$3:$I$500*1,0))),"m/d")))),IF(TRIM(C146)="NOT STARTED",IF(K146="","No plan date set",IF(K146&lt;TODAY(),"Review - planned start passed","On track")),IF(TRIM(C146)="DB Dev",IF(M146="","No target set",IF(AND(M146&lt;TODAY(),O146=""),"Overdue","On track")),IF(TRIM(C146)="PBI Dev",IF(P146="","No target set",IF(AND(P146&lt;TODAY(),R146=""),"Overdue","On track")),IF(TRIM(C146)="QA",IF(S146="","No target set",IF(AND(S146&lt;TODAY(),U146=""),"Overdue","On track")),IF(TRIM(C146)="DPO Approval",IF(V146="","No target set",IF(V146&lt;TODAY(),"Overdue","On track")),IF(TRIM(C146)="RELEASED IN PROD","Delivered",""))))))))</f>
        <v/>
      </c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4" t="str">
        <f>IF($B146="","",IF(AND(LEFT($AC146,3)="Yes",SUMPRODUCT((TRIM('Rework Log'!$A$3:$A$500)=TRIM($B146))*('Rework Log'!$G$3:$G$500&lt;&gt;"Yes")*('Rework Log'!$G$3:$G$500&lt;&gt;"Did not pass re-test"))=0),"Blocked - log it on Rework Log",IF(AND(LEFT($AC146,3)&lt;&gt;"Yes",SUMPRODUCT((TRIM('Rework Log'!$A$3:$A$500)=TRIM($B146))*('Rework Log'!$G$3:$G$500&lt;&gt;"Yes")*('Rework Log'!$G$3:$G$500&lt;&gt;"Did not pass re-test"))&gt;0),"Open rework row - mark Blocked? or close it",IF(AND(LEFT($AC146,3)&lt;&gt;"Yes",SUMPRODUCT((TRIM('Rework Log'!$A$3:$A$500)=TRIM($B146))*('Rework Log'!$G$3:$G$500&lt;&gt;"Yes")*('Rework Log'!$G$3:$G$500&lt;&gt;"Did not pass re-test"))=0,COUNTIF('Rework Log'!$A$3:$A$500,$B146)&gt;0,IFERROR(INDEX('Rework Log'!$G:$G,SUMPRODUCT(MAX((TRIM('Rework Log'!$A$3:$A$500)=TRIM($B146))*ROW('Rework Log'!$A$3:$A$500)))),"")="Did not pass re-test"),"Last fix rejected - re-block or log next attempt",IF(AND(LEFT($AC146,3)="Yes",ISNUMBER(SEARCH("needs DB Dev",$AC146)),O146&lt;&gt;"",SUMPRODUCT(MAX(((TRIM('Rework Log'!$A$3:$A$500)=TRIM($B146))*('Rework Log'!$G$3:$G$500&lt;&gt;"Yes")*('Rework Log'!$G$3:$G$500&lt;&gt;"Did not pass re-test"))*IFERROR('Rework Log'!$I$3:$I$500*1,0)))&gt;0),"Move old DB Dev completion date to Rework Log (col H)",IF(AND(LEFT($AC146,3)="Yes",ISNUMBER(SEARCH("needs PBI Dev",$AC146)),R146&lt;&gt;"",SUMPRODUCT(MAX(((TRIM('Rework Log'!$A$3:$A$500)=TRIM($B146))*('Rework Log'!$G$3:$G$500&lt;&gt;"Yes")*('Rework Log'!$G$3:$G$500&lt;&gt;"Did not pass re-test"))*IFERROR('Rework Log'!$I$3:$I$500*1,0)))&gt;0),"Move old PBI Dev completion date to Rework Log (col H)",IF(AND(LEFT($AC146,3)="Yes",ISNUMBER(SEARCH("needs QA",$AC146)),U146&lt;&gt;"",SUMPRODUCT(MAX(((TRIM('Rework Log'!$A$3:$A$500)=TRIM($B146))*('Rework Log'!$G$3:$G$500&lt;&gt;"Yes")*('Rework Log'!$G$3:$G$500&lt;&gt;"Did not pass re-test"))*IFERROR('Rework Log'!$I$3:$I$500*1,0)))&gt;0),"Move old QA completion date to Rework Log (col H)",IF(AND(LEFT($AC146,3)="Yes",ISNUMBER(SEARCH("needs DB Dev",$AC146)),TRIM(C146)&lt;&gt;"DB Dev"),"Set Current Status back to DB Dev",IF(AND(LEFT($AC146,3)="Yes",ISNUMBER(SEARCH("needs PBI Dev",$AC146)),TRIM(C146)&lt;&gt;"PBI Dev"),"Set Current Status back to PBI Dev",IF(AND(LEFT($AC146,3)="Yes",ISNUMBER(SEARCH("needs QA",$AC146)),TRIM(C146)&lt;&gt;"QA"),"Set Current Status back to QA",IF(COUNTIF($B$2:$B$500,$B146)&gt;1,"Duplicate name - check row",IF(AND(TRIM(C146)="RELEASED IN PROD",Y146&lt;&gt;"Yes"),"Released but Confirmed Deployed? is not Yes",IF(COUNTIF('Rework Log'!$A$3:$A$500,$B146)&gt;0,"",IF(AND(S146&lt;&gt;"",M146&lt;&gt;"",S146&lt;M146),"QA target is before DB Dev target",IF(AND(S146&lt;&gt;"",P146&lt;&gt;"",S146&lt;P146),"QA target is before PBI Dev target",IF(AND(V146&lt;&gt;"",S146&lt;&gt;"",V146&lt;S146),"DPO Approval target is before QA target",IF(AND(Z146&lt;&gt;"",V146&lt;&gt;"",Z146&lt;V146),"Confirmed Deployed date is before DPO Approval target","")))))))))))))))))</f>
        <v/>
      </c>
      <c r="AE146" s="62"/>
    </row>
    <row r="147" spans="1:31" x14ac:dyDescent="0.25">
      <c r="A147" s="62"/>
      <c r="B147" s="62"/>
      <c r="C147" s="62"/>
      <c r="D147" s="64" t="str">
        <f ca="1">IF($B147="","",IF(LEFT($AC147,3)="Yes",IF(LEN($AC147)&gt;5,"Blocked - "&amp;MID($AC147,7,100),"Blocked")&amp;IF(SUMPRODUCT((TRIM('Rework Log'!$A$3:$A$500)=TRIM($B147))*('Rework Log'!$G$3:$G$500&lt;&gt;"Yes")*('Rework Log'!$G$3:$G$500&lt;&gt;"Did not pass re-test"))=0,"",IF(SUMPRODUCT(((TRIM('Rework Log'!$A$3:$A$500)=TRIM($B147))*('Rework Log'!$G$3:$G$500&lt;&gt;"Yes")*('Rework Log'!$G$3:$G$500&lt;&gt;"Did not pass re-test"))*ISNUMBER('Rework Log'!$J$3:$J$500))&gt;0," - fixed, awaiting re-test",IF(SUMPRODUCT(MAX(((TRIM('Rework Log'!$A$3:$A$500)=TRIM($B147))*('Rework Log'!$G$3:$G$500&lt;&gt;"Yes")*('Rework Log'!$G$3:$G$500&lt;&gt;"Did not pass re-test"))*IFERROR('Rework Log'!$I$3:$I$500*1,0)))=0," - unclaimed"," - promised "&amp;TEXT(SUMPRODUCT(MAX(((TRIM('Rework Log'!$A$3:$A$500)=TRIM($B147))*('Rework Log'!$G$3:$G$500&lt;&gt;"Yes")*('Rework Log'!$G$3:$G$500&lt;&gt;"Did not pass re-test"))*IFERROR('Rework Log'!$I$3:$I$500*1,0))),"m/d")))),IF(TRIM(C147)="NOT STARTED",IF(K147="","No plan date set",IF(K147&lt;TODAY(),"Review - planned start passed","On track")),IF(TRIM(C147)="DB Dev",IF(M147="","No target set",IF(AND(M147&lt;TODAY(),O147=""),"Overdue","On track")),IF(TRIM(C147)="PBI Dev",IF(P147="","No target set",IF(AND(P147&lt;TODAY(),R147=""),"Overdue","On track")),IF(TRIM(C147)="QA",IF(S147="","No target set",IF(AND(S147&lt;TODAY(),U147=""),"Overdue","On track")),IF(TRIM(C147)="DPO Approval",IF(V147="","No target set",IF(V147&lt;TODAY(),"Overdue","On track")),IF(TRIM(C147)="RELEASED IN PROD","Delivered",""))))))))</f>
        <v/>
      </c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4" t="str">
        <f>IF($B147="","",IF(AND(LEFT($AC147,3)="Yes",SUMPRODUCT((TRIM('Rework Log'!$A$3:$A$500)=TRIM($B147))*('Rework Log'!$G$3:$G$500&lt;&gt;"Yes")*('Rework Log'!$G$3:$G$500&lt;&gt;"Did not pass re-test"))=0),"Blocked - log it on Rework Log",IF(AND(LEFT($AC147,3)&lt;&gt;"Yes",SUMPRODUCT((TRIM('Rework Log'!$A$3:$A$500)=TRIM($B147))*('Rework Log'!$G$3:$G$500&lt;&gt;"Yes")*('Rework Log'!$G$3:$G$500&lt;&gt;"Did not pass re-test"))&gt;0),"Open rework row - mark Blocked? or close it",IF(AND(LEFT($AC147,3)&lt;&gt;"Yes",SUMPRODUCT((TRIM('Rework Log'!$A$3:$A$500)=TRIM($B147))*('Rework Log'!$G$3:$G$500&lt;&gt;"Yes")*('Rework Log'!$G$3:$G$500&lt;&gt;"Did not pass re-test"))=0,COUNTIF('Rework Log'!$A$3:$A$500,$B147)&gt;0,IFERROR(INDEX('Rework Log'!$G:$G,SUMPRODUCT(MAX((TRIM('Rework Log'!$A$3:$A$500)=TRIM($B147))*ROW('Rework Log'!$A$3:$A$500)))),"")="Did not pass re-test"),"Last fix rejected - re-block or log next attempt",IF(AND(LEFT($AC147,3)="Yes",ISNUMBER(SEARCH("needs DB Dev",$AC147)),O147&lt;&gt;"",SUMPRODUCT(MAX(((TRIM('Rework Log'!$A$3:$A$500)=TRIM($B147))*('Rework Log'!$G$3:$G$500&lt;&gt;"Yes")*('Rework Log'!$G$3:$G$500&lt;&gt;"Did not pass re-test"))*IFERROR('Rework Log'!$I$3:$I$500*1,0)))&gt;0),"Move old DB Dev completion date to Rework Log (col H)",IF(AND(LEFT($AC147,3)="Yes",ISNUMBER(SEARCH("needs PBI Dev",$AC147)),R147&lt;&gt;"",SUMPRODUCT(MAX(((TRIM('Rework Log'!$A$3:$A$500)=TRIM($B147))*('Rework Log'!$G$3:$G$500&lt;&gt;"Yes")*('Rework Log'!$G$3:$G$500&lt;&gt;"Did not pass re-test"))*IFERROR('Rework Log'!$I$3:$I$500*1,0)))&gt;0),"Move old PBI Dev completion date to Rework Log (col H)",IF(AND(LEFT($AC147,3)="Yes",ISNUMBER(SEARCH("needs QA",$AC147)),U147&lt;&gt;"",SUMPRODUCT(MAX(((TRIM('Rework Log'!$A$3:$A$500)=TRIM($B147))*('Rework Log'!$G$3:$G$500&lt;&gt;"Yes")*('Rework Log'!$G$3:$G$500&lt;&gt;"Did not pass re-test"))*IFERROR('Rework Log'!$I$3:$I$500*1,0)))&gt;0),"Move old QA completion date to Rework Log (col H)",IF(AND(LEFT($AC147,3)="Yes",ISNUMBER(SEARCH("needs DB Dev",$AC147)),TRIM(C147)&lt;&gt;"DB Dev"),"Set Current Status back to DB Dev",IF(AND(LEFT($AC147,3)="Yes",ISNUMBER(SEARCH("needs PBI Dev",$AC147)),TRIM(C147)&lt;&gt;"PBI Dev"),"Set Current Status back to PBI Dev",IF(AND(LEFT($AC147,3)="Yes",ISNUMBER(SEARCH("needs QA",$AC147)),TRIM(C147)&lt;&gt;"QA"),"Set Current Status back to QA",IF(COUNTIF($B$2:$B$500,$B147)&gt;1,"Duplicate name - check row",IF(AND(TRIM(C147)="RELEASED IN PROD",Y147&lt;&gt;"Yes"),"Released but Confirmed Deployed? is not Yes",IF(COUNTIF('Rework Log'!$A$3:$A$500,$B147)&gt;0,"",IF(AND(S147&lt;&gt;"",M147&lt;&gt;"",S147&lt;M147),"QA target is before DB Dev target",IF(AND(S147&lt;&gt;"",P147&lt;&gt;"",S147&lt;P147),"QA target is before PBI Dev target",IF(AND(V147&lt;&gt;"",S147&lt;&gt;"",V147&lt;S147),"DPO Approval target is before QA target",IF(AND(Z147&lt;&gt;"",V147&lt;&gt;"",Z147&lt;V147),"Confirmed Deployed date is before DPO Approval target","")))))))))))))))))</f>
        <v/>
      </c>
      <c r="AE147" s="62"/>
    </row>
    <row r="148" spans="1:31" x14ac:dyDescent="0.25">
      <c r="A148" s="62"/>
      <c r="B148" s="62"/>
      <c r="C148" s="62"/>
      <c r="D148" s="64" t="str">
        <f ca="1">IF($B148="","",IF(LEFT($AC148,3)="Yes",IF(LEN($AC148)&gt;5,"Blocked - "&amp;MID($AC148,7,100),"Blocked")&amp;IF(SUMPRODUCT((TRIM('Rework Log'!$A$3:$A$500)=TRIM($B148))*('Rework Log'!$G$3:$G$500&lt;&gt;"Yes")*('Rework Log'!$G$3:$G$500&lt;&gt;"Did not pass re-test"))=0,"",IF(SUMPRODUCT(((TRIM('Rework Log'!$A$3:$A$500)=TRIM($B148))*('Rework Log'!$G$3:$G$500&lt;&gt;"Yes")*('Rework Log'!$G$3:$G$500&lt;&gt;"Did not pass re-test"))*ISNUMBER('Rework Log'!$J$3:$J$500))&gt;0," - fixed, awaiting re-test",IF(SUMPRODUCT(MAX(((TRIM('Rework Log'!$A$3:$A$500)=TRIM($B148))*('Rework Log'!$G$3:$G$500&lt;&gt;"Yes")*('Rework Log'!$G$3:$G$500&lt;&gt;"Did not pass re-test"))*IFERROR('Rework Log'!$I$3:$I$500*1,0)))=0," - unclaimed"," - promised "&amp;TEXT(SUMPRODUCT(MAX(((TRIM('Rework Log'!$A$3:$A$500)=TRIM($B148))*('Rework Log'!$G$3:$G$500&lt;&gt;"Yes")*('Rework Log'!$G$3:$G$500&lt;&gt;"Did not pass re-test"))*IFERROR('Rework Log'!$I$3:$I$500*1,0))),"m/d")))),IF(TRIM(C148)="NOT STARTED",IF(K148="","No plan date set",IF(K148&lt;TODAY(),"Review - planned start passed","On track")),IF(TRIM(C148)="DB Dev",IF(M148="","No target set",IF(AND(M148&lt;TODAY(),O148=""),"Overdue","On track")),IF(TRIM(C148)="PBI Dev",IF(P148="","No target set",IF(AND(P148&lt;TODAY(),R148=""),"Overdue","On track")),IF(TRIM(C148)="QA",IF(S148="","No target set",IF(AND(S148&lt;TODAY(),U148=""),"Overdue","On track")),IF(TRIM(C148)="DPO Approval",IF(V148="","No target set",IF(V148&lt;TODAY(),"Overdue","On track")),IF(TRIM(C148)="RELEASED IN PROD","Delivered",""))))))))</f>
        <v/>
      </c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4" t="str">
        <f>IF($B148="","",IF(AND(LEFT($AC148,3)="Yes",SUMPRODUCT((TRIM('Rework Log'!$A$3:$A$500)=TRIM($B148))*('Rework Log'!$G$3:$G$500&lt;&gt;"Yes")*('Rework Log'!$G$3:$G$500&lt;&gt;"Did not pass re-test"))=0),"Blocked - log it on Rework Log",IF(AND(LEFT($AC148,3)&lt;&gt;"Yes",SUMPRODUCT((TRIM('Rework Log'!$A$3:$A$500)=TRIM($B148))*('Rework Log'!$G$3:$G$500&lt;&gt;"Yes")*('Rework Log'!$G$3:$G$500&lt;&gt;"Did not pass re-test"))&gt;0),"Open rework row - mark Blocked? or close it",IF(AND(LEFT($AC148,3)&lt;&gt;"Yes",SUMPRODUCT((TRIM('Rework Log'!$A$3:$A$500)=TRIM($B148))*('Rework Log'!$G$3:$G$500&lt;&gt;"Yes")*('Rework Log'!$G$3:$G$500&lt;&gt;"Did not pass re-test"))=0,COUNTIF('Rework Log'!$A$3:$A$500,$B148)&gt;0,IFERROR(INDEX('Rework Log'!$G:$G,SUMPRODUCT(MAX((TRIM('Rework Log'!$A$3:$A$500)=TRIM($B148))*ROW('Rework Log'!$A$3:$A$500)))),"")="Did not pass re-test"),"Last fix rejected - re-block or log next attempt",IF(AND(LEFT($AC148,3)="Yes",ISNUMBER(SEARCH("needs DB Dev",$AC148)),O148&lt;&gt;"",SUMPRODUCT(MAX(((TRIM('Rework Log'!$A$3:$A$500)=TRIM($B148))*('Rework Log'!$G$3:$G$500&lt;&gt;"Yes")*('Rework Log'!$G$3:$G$500&lt;&gt;"Did not pass re-test"))*IFERROR('Rework Log'!$I$3:$I$500*1,0)))&gt;0),"Move old DB Dev completion date to Rework Log (col H)",IF(AND(LEFT($AC148,3)="Yes",ISNUMBER(SEARCH("needs PBI Dev",$AC148)),R148&lt;&gt;"",SUMPRODUCT(MAX(((TRIM('Rework Log'!$A$3:$A$500)=TRIM($B148))*('Rework Log'!$G$3:$G$500&lt;&gt;"Yes")*('Rework Log'!$G$3:$G$500&lt;&gt;"Did not pass re-test"))*IFERROR('Rework Log'!$I$3:$I$500*1,0)))&gt;0),"Move old PBI Dev completion date to Rework Log (col H)",IF(AND(LEFT($AC148,3)="Yes",ISNUMBER(SEARCH("needs QA",$AC148)),U148&lt;&gt;"",SUMPRODUCT(MAX(((TRIM('Rework Log'!$A$3:$A$500)=TRIM($B148))*('Rework Log'!$G$3:$G$500&lt;&gt;"Yes")*('Rework Log'!$G$3:$G$500&lt;&gt;"Did not pass re-test"))*IFERROR('Rework Log'!$I$3:$I$500*1,0)))&gt;0),"Move old QA completion date to Rework Log (col H)",IF(AND(LEFT($AC148,3)="Yes",ISNUMBER(SEARCH("needs DB Dev",$AC148)),TRIM(C148)&lt;&gt;"DB Dev"),"Set Current Status back to DB Dev",IF(AND(LEFT($AC148,3)="Yes",ISNUMBER(SEARCH("needs PBI Dev",$AC148)),TRIM(C148)&lt;&gt;"PBI Dev"),"Set Current Status back to PBI Dev",IF(AND(LEFT($AC148,3)="Yes",ISNUMBER(SEARCH("needs QA",$AC148)),TRIM(C148)&lt;&gt;"QA"),"Set Current Status back to QA",IF(COUNTIF($B$2:$B$500,$B148)&gt;1,"Duplicate name - check row",IF(AND(TRIM(C148)="RELEASED IN PROD",Y148&lt;&gt;"Yes"),"Released but Confirmed Deployed? is not Yes",IF(COUNTIF('Rework Log'!$A$3:$A$500,$B148)&gt;0,"",IF(AND(S148&lt;&gt;"",M148&lt;&gt;"",S148&lt;M148),"QA target is before DB Dev target",IF(AND(S148&lt;&gt;"",P148&lt;&gt;"",S148&lt;P148),"QA target is before PBI Dev target",IF(AND(V148&lt;&gt;"",S148&lt;&gt;"",V148&lt;S148),"DPO Approval target is before QA target",IF(AND(Z148&lt;&gt;"",V148&lt;&gt;"",Z148&lt;V148),"Confirmed Deployed date is before DPO Approval target","")))))))))))))))))</f>
        <v/>
      </c>
      <c r="AE148" s="62"/>
    </row>
    <row r="149" spans="1:31" x14ac:dyDescent="0.25">
      <c r="A149" s="62"/>
      <c r="B149" s="62"/>
      <c r="C149" s="62"/>
      <c r="D149" s="64" t="str">
        <f ca="1">IF($B149="","",IF(LEFT($AC149,3)="Yes",IF(LEN($AC149)&gt;5,"Blocked - "&amp;MID($AC149,7,100),"Blocked")&amp;IF(SUMPRODUCT((TRIM('Rework Log'!$A$3:$A$500)=TRIM($B149))*('Rework Log'!$G$3:$G$500&lt;&gt;"Yes")*('Rework Log'!$G$3:$G$500&lt;&gt;"Did not pass re-test"))=0,"",IF(SUMPRODUCT(((TRIM('Rework Log'!$A$3:$A$500)=TRIM($B149))*('Rework Log'!$G$3:$G$500&lt;&gt;"Yes")*('Rework Log'!$G$3:$G$500&lt;&gt;"Did not pass re-test"))*ISNUMBER('Rework Log'!$J$3:$J$500))&gt;0," - fixed, awaiting re-test",IF(SUMPRODUCT(MAX(((TRIM('Rework Log'!$A$3:$A$500)=TRIM($B149))*('Rework Log'!$G$3:$G$500&lt;&gt;"Yes")*('Rework Log'!$G$3:$G$500&lt;&gt;"Did not pass re-test"))*IFERROR('Rework Log'!$I$3:$I$500*1,0)))=0," - unclaimed"," - promised "&amp;TEXT(SUMPRODUCT(MAX(((TRIM('Rework Log'!$A$3:$A$500)=TRIM($B149))*('Rework Log'!$G$3:$G$500&lt;&gt;"Yes")*('Rework Log'!$G$3:$G$500&lt;&gt;"Did not pass re-test"))*IFERROR('Rework Log'!$I$3:$I$500*1,0))),"m/d")))),IF(TRIM(C149)="NOT STARTED",IF(K149="","No plan date set",IF(K149&lt;TODAY(),"Review - planned start passed","On track")),IF(TRIM(C149)="DB Dev",IF(M149="","No target set",IF(AND(M149&lt;TODAY(),O149=""),"Overdue","On track")),IF(TRIM(C149)="PBI Dev",IF(P149="","No target set",IF(AND(P149&lt;TODAY(),R149=""),"Overdue","On track")),IF(TRIM(C149)="QA",IF(S149="","No target set",IF(AND(S149&lt;TODAY(),U149=""),"Overdue","On track")),IF(TRIM(C149)="DPO Approval",IF(V149="","No target set",IF(V149&lt;TODAY(),"Overdue","On track")),IF(TRIM(C149)="RELEASED IN PROD","Delivered",""))))))))</f>
        <v/>
      </c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4" t="str">
        <f>IF($B149="","",IF(AND(LEFT($AC149,3)="Yes",SUMPRODUCT((TRIM('Rework Log'!$A$3:$A$500)=TRIM($B149))*('Rework Log'!$G$3:$G$500&lt;&gt;"Yes")*('Rework Log'!$G$3:$G$500&lt;&gt;"Did not pass re-test"))=0),"Blocked - log it on Rework Log",IF(AND(LEFT($AC149,3)&lt;&gt;"Yes",SUMPRODUCT((TRIM('Rework Log'!$A$3:$A$500)=TRIM($B149))*('Rework Log'!$G$3:$G$500&lt;&gt;"Yes")*('Rework Log'!$G$3:$G$500&lt;&gt;"Did not pass re-test"))&gt;0),"Open rework row - mark Blocked? or close it",IF(AND(LEFT($AC149,3)&lt;&gt;"Yes",SUMPRODUCT((TRIM('Rework Log'!$A$3:$A$500)=TRIM($B149))*('Rework Log'!$G$3:$G$500&lt;&gt;"Yes")*('Rework Log'!$G$3:$G$500&lt;&gt;"Did not pass re-test"))=0,COUNTIF('Rework Log'!$A$3:$A$500,$B149)&gt;0,IFERROR(INDEX('Rework Log'!$G:$G,SUMPRODUCT(MAX((TRIM('Rework Log'!$A$3:$A$500)=TRIM($B149))*ROW('Rework Log'!$A$3:$A$500)))),"")="Did not pass re-test"),"Last fix rejected - re-block or log next attempt",IF(AND(LEFT($AC149,3)="Yes",ISNUMBER(SEARCH("needs DB Dev",$AC149)),O149&lt;&gt;"",SUMPRODUCT(MAX(((TRIM('Rework Log'!$A$3:$A$500)=TRIM($B149))*('Rework Log'!$G$3:$G$500&lt;&gt;"Yes")*('Rework Log'!$G$3:$G$500&lt;&gt;"Did not pass re-test"))*IFERROR('Rework Log'!$I$3:$I$500*1,0)))&gt;0),"Move old DB Dev completion date to Rework Log (col H)",IF(AND(LEFT($AC149,3)="Yes",ISNUMBER(SEARCH("needs PBI Dev",$AC149)),R149&lt;&gt;"",SUMPRODUCT(MAX(((TRIM('Rework Log'!$A$3:$A$500)=TRIM($B149))*('Rework Log'!$G$3:$G$500&lt;&gt;"Yes")*('Rework Log'!$G$3:$G$500&lt;&gt;"Did not pass re-test"))*IFERROR('Rework Log'!$I$3:$I$500*1,0)))&gt;0),"Move old PBI Dev completion date to Rework Log (col H)",IF(AND(LEFT($AC149,3)="Yes",ISNUMBER(SEARCH("needs QA",$AC149)),U149&lt;&gt;"",SUMPRODUCT(MAX(((TRIM('Rework Log'!$A$3:$A$500)=TRIM($B149))*('Rework Log'!$G$3:$G$500&lt;&gt;"Yes")*('Rework Log'!$G$3:$G$500&lt;&gt;"Did not pass re-test"))*IFERROR('Rework Log'!$I$3:$I$500*1,0)))&gt;0),"Move old QA completion date to Rework Log (col H)",IF(AND(LEFT($AC149,3)="Yes",ISNUMBER(SEARCH("needs DB Dev",$AC149)),TRIM(C149)&lt;&gt;"DB Dev"),"Set Current Status back to DB Dev",IF(AND(LEFT($AC149,3)="Yes",ISNUMBER(SEARCH("needs PBI Dev",$AC149)),TRIM(C149)&lt;&gt;"PBI Dev"),"Set Current Status back to PBI Dev",IF(AND(LEFT($AC149,3)="Yes",ISNUMBER(SEARCH("needs QA",$AC149)),TRIM(C149)&lt;&gt;"QA"),"Set Current Status back to QA",IF(COUNTIF($B$2:$B$500,$B149)&gt;1,"Duplicate name - check row",IF(AND(TRIM(C149)="RELEASED IN PROD",Y149&lt;&gt;"Yes"),"Released but Confirmed Deployed? is not Yes",IF(COUNTIF('Rework Log'!$A$3:$A$500,$B149)&gt;0,"",IF(AND(S149&lt;&gt;"",M149&lt;&gt;"",S149&lt;M149),"QA target is before DB Dev target",IF(AND(S149&lt;&gt;"",P149&lt;&gt;"",S149&lt;P149),"QA target is before PBI Dev target",IF(AND(V149&lt;&gt;"",S149&lt;&gt;"",V149&lt;S149),"DPO Approval target is before QA target",IF(AND(Z149&lt;&gt;"",V149&lt;&gt;"",Z149&lt;V149),"Confirmed Deployed date is before DPO Approval target","")))))))))))))))))</f>
        <v/>
      </c>
      <c r="AE149" s="62"/>
    </row>
    <row r="150" spans="1:31" x14ac:dyDescent="0.25">
      <c r="A150" s="62"/>
      <c r="B150" s="62"/>
      <c r="C150" s="62"/>
      <c r="D150" s="64" t="str">
        <f ca="1">IF($B150="","",IF(LEFT($AC150,3)="Yes",IF(LEN($AC150)&gt;5,"Blocked - "&amp;MID($AC150,7,100),"Blocked")&amp;IF(SUMPRODUCT((TRIM('Rework Log'!$A$3:$A$500)=TRIM($B150))*('Rework Log'!$G$3:$G$500&lt;&gt;"Yes")*('Rework Log'!$G$3:$G$500&lt;&gt;"Did not pass re-test"))=0,"",IF(SUMPRODUCT(((TRIM('Rework Log'!$A$3:$A$500)=TRIM($B150))*('Rework Log'!$G$3:$G$500&lt;&gt;"Yes")*('Rework Log'!$G$3:$G$500&lt;&gt;"Did not pass re-test"))*ISNUMBER('Rework Log'!$J$3:$J$500))&gt;0," - fixed, awaiting re-test",IF(SUMPRODUCT(MAX(((TRIM('Rework Log'!$A$3:$A$500)=TRIM($B150))*('Rework Log'!$G$3:$G$500&lt;&gt;"Yes")*('Rework Log'!$G$3:$G$500&lt;&gt;"Did not pass re-test"))*IFERROR('Rework Log'!$I$3:$I$500*1,0)))=0," - unclaimed"," - promised "&amp;TEXT(SUMPRODUCT(MAX(((TRIM('Rework Log'!$A$3:$A$500)=TRIM($B150))*('Rework Log'!$G$3:$G$500&lt;&gt;"Yes")*('Rework Log'!$G$3:$G$500&lt;&gt;"Did not pass re-test"))*IFERROR('Rework Log'!$I$3:$I$500*1,0))),"m/d")))),IF(TRIM(C150)="NOT STARTED",IF(K150="","No plan date set",IF(K150&lt;TODAY(),"Review - planned start passed","On track")),IF(TRIM(C150)="DB Dev",IF(M150="","No target set",IF(AND(M150&lt;TODAY(),O150=""),"Overdue","On track")),IF(TRIM(C150)="PBI Dev",IF(P150="","No target set",IF(AND(P150&lt;TODAY(),R150=""),"Overdue","On track")),IF(TRIM(C150)="QA",IF(S150="","No target set",IF(AND(S150&lt;TODAY(),U150=""),"Overdue","On track")),IF(TRIM(C150)="DPO Approval",IF(V150="","No target set",IF(V150&lt;TODAY(),"Overdue","On track")),IF(TRIM(C150)="RELEASED IN PROD","Delivered",""))))))))</f>
        <v/>
      </c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4" t="str">
        <f>IF($B150="","",IF(AND(LEFT($AC150,3)="Yes",SUMPRODUCT((TRIM('Rework Log'!$A$3:$A$500)=TRIM($B150))*('Rework Log'!$G$3:$G$500&lt;&gt;"Yes")*('Rework Log'!$G$3:$G$500&lt;&gt;"Did not pass re-test"))=0),"Blocked - log it on Rework Log",IF(AND(LEFT($AC150,3)&lt;&gt;"Yes",SUMPRODUCT((TRIM('Rework Log'!$A$3:$A$500)=TRIM($B150))*('Rework Log'!$G$3:$G$500&lt;&gt;"Yes")*('Rework Log'!$G$3:$G$500&lt;&gt;"Did not pass re-test"))&gt;0),"Open rework row - mark Blocked? or close it",IF(AND(LEFT($AC150,3)&lt;&gt;"Yes",SUMPRODUCT((TRIM('Rework Log'!$A$3:$A$500)=TRIM($B150))*('Rework Log'!$G$3:$G$500&lt;&gt;"Yes")*('Rework Log'!$G$3:$G$500&lt;&gt;"Did not pass re-test"))=0,COUNTIF('Rework Log'!$A$3:$A$500,$B150)&gt;0,IFERROR(INDEX('Rework Log'!$G:$G,SUMPRODUCT(MAX((TRIM('Rework Log'!$A$3:$A$500)=TRIM($B150))*ROW('Rework Log'!$A$3:$A$500)))),"")="Did not pass re-test"),"Last fix rejected - re-block or log next attempt",IF(AND(LEFT($AC150,3)="Yes",ISNUMBER(SEARCH("needs DB Dev",$AC150)),O150&lt;&gt;"",SUMPRODUCT(MAX(((TRIM('Rework Log'!$A$3:$A$500)=TRIM($B150))*('Rework Log'!$G$3:$G$500&lt;&gt;"Yes")*('Rework Log'!$G$3:$G$500&lt;&gt;"Did not pass re-test"))*IFERROR('Rework Log'!$I$3:$I$500*1,0)))&gt;0),"Move old DB Dev completion date to Rework Log (col H)",IF(AND(LEFT($AC150,3)="Yes",ISNUMBER(SEARCH("needs PBI Dev",$AC150)),R150&lt;&gt;"",SUMPRODUCT(MAX(((TRIM('Rework Log'!$A$3:$A$500)=TRIM($B150))*('Rework Log'!$G$3:$G$500&lt;&gt;"Yes")*('Rework Log'!$G$3:$G$500&lt;&gt;"Did not pass re-test"))*IFERROR('Rework Log'!$I$3:$I$500*1,0)))&gt;0),"Move old PBI Dev completion date to Rework Log (col H)",IF(AND(LEFT($AC150,3)="Yes",ISNUMBER(SEARCH("needs QA",$AC150)),U150&lt;&gt;"",SUMPRODUCT(MAX(((TRIM('Rework Log'!$A$3:$A$500)=TRIM($B150))*('Rework Log'!$G$3:$G$500&lt;&gt;"Yes")*('Rework Log'!$G$3:$G$500&lt;&gt;"Did not pass re-test"))*IFERROR('Rework Log'!$I$3:$I$500*1,0)))&gt;0),"Move old QA completion date to Rework Log (col H)",IF(AND(LEFT($AC150,3)="Yes",ISNUMBER(SEARCH("needs DB Dev",$AC150)),TRIM(C150)&lt;&gt;"DB Dev"),"Set Current Status back to DB Dev",IF(AND(LEFT($AC150,3)="Yes",ISNUMBER(SEARCH("needs PBI Dev",$AC150)),TRIM(C150)&lt;&gt;"PBI Dev"),"Set Current Status back to PBI Dev",IF(AND(LEFT($AC150,3)="Yes",ISNUMBER(SEARCH("needs QA",$AC150)),TRIM(C150)&lt;&gt;"QA"),"Set Current Status back to QA",IF(COUNTIF($B$2:$B$500,$B150)&gt;1,"Duplicate name - check row",IF(AND(TRIM(C150)="RELEASED IN PROD",Y150&lt;&gt;"Yes"),"Released but Confirmed Deployed? is not Yes",IF(COUNTIF('Rework Log'!$A$3:$A$500,$B150)&gt;0,"",IF(AND(S150&lt;&gt;"",M150&lt;&gt;"",S150&lt;M150),"QA target is before DB Dev target",IF(AND(S150&lt;&gt;"",P150&lt;&gt;"",S150&lt;P150),"QA target is before PBI Dev target",IF(AND(V150&lt;&gt;"",S150&lt;&gt;"",V150&lt;S150),"DPO Approval target is before QA target",IF(AND(Z150&lt;&gt;"",V150&lt;&gt;"",Z150&lt;V150),"Confirmed Deployed date is before DPO Approval target","")))))))))))))))))</f>
        <v/>
      </c>
      <c r="AE150" s="62"/>
    </row>
    <row r="151" spans="1:31" x14ac:dyDescent="0.25">
      <c r="A151" s="62"/>
      <c r="B151" s="62"/>
      <c r="C151" s="62"/>
      <c r="D151" s="64" t="str">
        <f ca="1">IF($B151="","",IF(LEFT($AC151,3)="Yes",IF(LEN($AC151)&gt;5,"Blocked - "&amp;MID($AC151,7,100),"Blocked")&amp;IF(SUMPRODUCT((TRIM('Rework Log'!$A$3:$A$500)=TRIM($B151))*('Rework Log'!$G$3:$G$500&lt;&gt;"Yes")*('Rework Log'!$G$3:$G$500&lt;&gt;"Did not pass re-test"))=0,"",IF(SUMPRODUCT(((TRIM('Rework Log'!$A$3:$A$500)=TRIM($B151))*('Rework Log'!$G$3:$G$500&lt;&gt;"Yes")*('Rework Log'!$G$3:$G$500&lt;&gt;"Did not pass re-test"))*ISNUMBER('Rework Log'!$J$3:$J$500))&gt;0," - fixed, awaiting re-test",IF(SUMPRODUCT(MAX(((TRIM('Rework Log'!$A$3:$A$500)=TRIM($B151))*('Rework Log'!$G$3:$G$500&lt;&gt;"Yes")*('Rework Log'!$G$3:$G$500&lt;&gt;"Did not pass re-test"))*IFERROR('Rework Log'!$I$3:$I$500*1,0)))=0," - unclaimed"," - promised "&amp;TEXT(SUMPRODUCT(MAX(((TRIM('Rework Log'!$A$3:$A$500)=TRIM($B151))*('Rework Log'!$G$3:$G$500&lt;&gt;"Yes")*('Rework Log'!$G$3:$G$500&lt;&gt;"Did not pass re-test"))*IFERROR('Rework Log'!$I$3:$I$500*1,0))),"m/d")))),IF(TRIM(C151)="NOT STARTED",IF(K151="","No plan date set",IF(K151&lt;TODAY(),"Review - planned start passed","On track")),IF(TRIM(C151)="DB Dev",IF(M151="","No target set",IF(AND(M151&lt;TODAY(),O151=""),"Overdue","On track")),IF(TRIM(C151)="PBI Dev",IF(P151="","No target set",IF(AND(P151&lt;TODAY(),R151=""),"Overdue","On track")),IF(TRIM(C151)="QA",IF(S151="","No target set",IF(AND(S151&lt;TODAY(),U151=""),"Overdue","On track")),IF(TRIM(C151)="DPO Approval",IF(V151="","No target set",IF(V151&lt;TODAY(),"Overdue","On track")),IF(TRIM(C151)="RELEASED IN PROD","Delivered",""))))))))</f>
        <v/>
      </c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4" t="str">
        <f>IF($B151="","",IF(AND(LEFT($AC151,3)="Yes",SUMPRODUCT((TRIM('Rework Log'!$A$3:$A$500)=TRIM($B151))*('Rework Log'!$G$3:$G$500&lt;&gt;"Yes")*('Rework Log'!$G$3:$G$500&lt;&gt;"Did not pass re-test"))=0),"Blocked - log it on Rework Log",IF(AND(LEFT($AC151,3)&lt;&gt;"Yes",SUMPRODUCT((TRIM('Rework Log'!$A$3:$A$500)=TRIM($B151))*('Rework Log'!$G$3:$G$500&lt;&gt;"Yes")*('Rework Log'!$G$3:$G$500&lt;&gt;"Did not pass re-test"))&gt;0),"Open rework row - mark Blocked? or close it",IF(AND(LEFT($AC151,3)&lt;&gt;"Yes",SUMPRODUCT((TRIM('Rework Log'!$A$3:$A$500)=TRIM($B151))*('Rework Log'!$G$3:$G$500&lt;&gt;"Yes")*('Rework Log'!$G$3:$G$500&lt;&gt;"Did not pass re-test"))=0,COUNTIF('Rework Log'!$A$3:$A$500,$B151)&gt;0,IFERROR(INDEX('Rework Log'!$G:$G,SUMPRODUCT(MAX((TRIM('Rework Log'!$A$3:$A$500)=TRIM($B151))*ROW('Rework Log'!$A$3:$A$500)))),"")="Did not pass re-test"),"Last fix rejected - re-block or log next attempt",IF(AND(LEFT($AC151,3)="Yes",ISNUMBER(SEARCH("needs DB Dev",$AC151)),O151&lt;&gt;"",SUMPRODUCT(MAX(((TRIM('Rework Log'!$A$3:$A$500)=TRIM($B151))*('Rework Log'!$G$3:$G$500&lt;&gt;"Yes")*('Rework Log'!$G$3:$G$500&lt;&gt;"Did not pass re-test"))*IFERROR('Rework Log'!$I$3:$I$500*1,0)))&gt;0),"Move old DB Dev completion date to Rework Log (col H)",IF(AND(LEFT($AC151,3)="Yes",ISNUMBER(SEARCH("needs PBI Dev",$AC151)),R151&lt;&gt;"",SUMPRODUCT(MAX(((TRIM('Rework Log'!$A$3:$A$500)=TRIM($B151))*('Rework Log'!$G$3:$G$500&lt;&gt;"Yes")*('Rework Log'!$G$3:$G$500&lt;&gt;"Did not pass re-test"))*IFERROR('Rework Log'!$I$3:$I$500*1,0)))&gt;0),"Move old PBI Dev completion date to Rework Log (col H)",IF(AND(LEFT($AC151,3)="Yes",ISNUMBER(SEARCH("needs QA",$AC151)),U151&lt;&gt;"",SUMPRODUCT(MAX(((TRIM('Rework Log'!$A$3:$A$500)=TRIM($B151))*('Rework Log'!$G$3:$G$500&lt;&gt;"Yes")*('Rework Log'!$G$3:$G$500&lt;&gt;"Did not pass re-test"))*IFERROR('Rework Log'!$I$3:$I$500*1,0)))&gt;0),"Move old QA completion date to Rework Log (col H)",IF(AND(LEFT($AC151,3)="Yes",ISNUMBER(SEARCH("needs DB Dev",$AC151)),TRIM(C151)&lt;&gt;"DB Dev"),"Set Current Status back to DB Dev",IF(AND(LEFT($AC151,3)="Yes",ISNUMBER(SEARCH("needs PBI Dev",$AC151)),TRIM(C151)&lt;&gt;"PBI Dev"),"Set Current Status back to PBI Dev",IF(AND(LEFT($AC151,3)="Yes",ISNUMBER(SEARCH("needs QA",$AC151)),TRIM(C151)&lt;&gt;"QA"),"Set Current Status back to QA",IF(COUNTIF($B$2:$B$500,$B151)&gt;1,"Duplicate name - check row",IF(AND(TRIM(C151)="RELEASED IN PROD",Y151&lt;&gt;"Yes"),"Released but Confirmed Deployed? is not Yes",IF(COUNTIF('Rework Log'!$A$3:$A$500,$B151)&gt;0,"",IF(AND(S151&lt;&gt;"",M151&lt;&gt;"",S151&lt;M151),"QA target is before DB Dev target",IF(AND(S151&lt;&gt;"",P151&lt;&gt;"",S151&lt;P151),"QA target is before PBI Dev target",IF(AND(V151&lt;&gt;"",S151&lt;&gt;"",V151&lt;S151),"DPO Approval target is before QA target",IF(AND(Z151&lt;&gt;"",V151&lt;&gt;"",Z151&lt;V151),"Confirmed Deployed date is before DPO Approval target","")))))))))))))))))</f>
        <v/>
      </c>
      <c r="AE151" s="62"/>
    </row>
    <row r="152" spans="1:31" x14ac:dyDescent="0.25">
      <c r="A152" s="62"/>
      <c r="B152" s="62"/>
      <c r="C152" s="62"/>
      <c r="D152" s="64" t="str">
        <f ca="1">IF($B152="","",IF(LEFT($AC152,3)="Yes",IF(LEN($AC152)&gt;5,"Blocked - "&amp;MID($AC152,7,100),"Blocked")&amp;IF(SUMPRODUCT((TRIM('Rework Log'!$A$3:$A$500)=TRIM($B152))*('Rework Log'!$G$3:$G$500&lt;&gt;"Yes")*('Rework Log'!$G$3:$G$500&lt;&gt;"Did not pass re-test"))=0,"",IF(SUMPRODUCT(((TRIM('Rework Log'!$A$3:$A$500)=TRIM($B152))*('Rework Log'!$G$3:$G$500&lt;&gt;"Yes")*('Rework Log'!$G$3:$G$500&lt;&gt;"Did not pass re-test"))*ISNUMBER('Rework Log'!$J$3:$J$500))&gt;0," - fixed, awaiting re-test",IF(SUMPRODUCT(MAX(((TRIM('Rework Log'!$A$3:$A$500)=TRIM($B152))*('Rework Log'!$G$3:$G$500&lt;&gt;"Yes")*('Rework Log'!$G$3:$G$500&lt;&gt;"Did not pass re-test"))*IFERROR('Rework Log'!$I$3:$I$500*1,0)))=0," - unclaimed"," - promised "&amp;TEXT(SUMPRODUCT(MAX(((TRIM('Rework Log'!$A$3:$A$500)=TRIM($B152))*('Rework Log'!$G$3:$G$500&lt;&gt;"Yes")*('Rework Log'!$G$3:$G$500&lt;&gt;"Did not pass re-test"))*IFERROR('Rework Log'!$I$3:$I$500*1,0))),"m/d")))),IF(TRIM(C152)="NOT STARTED",IF(K152="","No plan date set",IF(K152&lt;TODAY(),"Review - planned start passed","On track")),IF(TRIM(C152)="DB Dev",IF(M152="","No target set",IF(AND(M152&lt;TODAY(),O152=""),"Overdue","On track")),IF(TRIM(C152)="PBI Dev",IF(P152="","No target set",IF(AND(P152&lt;TODAY(),R152=""),"Overdue","On track")),IF(TRIM(C152)="QA",IF(S152="","No target set",IF(AND(S152&lt;TODAY(),U152=""),"Overdue","On track")),IF(TRIM(C152)="DPO Approval",IF(V152="","No target set",IF(V152&lt;TODAY(),"Overdue","On track")),IF(TRIM(C152)="RELEASED IN PROD","Delivered",""))))))))</f>
        <v/>
      </c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4" t="str">
        <f>IF($B152="","",IF(AND(LEFT($AC152,3)="Yes",SUMPRODUCT((TRIM('Rework Log'!$A$3:$A$500)=TRIM($B152))*('Rework Log'!$G$3:$G$500&lt;&gt;"Yes")*('Rework Log'!$G$3:$G$500&lt;&gt;"Did not pass re-test"))=0),"Blocked - log it on Rework Log",IF(AND(LEFT($AC152,3)&lt;&gt;"Yes",SUMPRODUCT((TRIM('Rework Log'!$A$3:$A$500)=TRIM($B152))*('Rework Log'!$G$3:$G$500&lt;&gt;"Yes")*('Rework Log'!$G$3:$G$500&lt;&gt;"Did not pass re-test"))&gt;0),"Open rework row - mark Blocked? or close it",IF(AND(LEFT($AC152,3)&lt;&gt;"Yes",SUMPRODUCT((TRIM('Rework Log'!$A$3:$A$500)=TRIM($B152))*('Rework Log'!$G$3:$G$500&lt;&gt;"Yes")*('Rework Log'!$G$3:$G$500&lt;&gt;"Did not pass re-test"))=0,COUNTIF('Rework Log'!$A$3:$A$500,$B152)&gt;0,IFERROR(INDEX('Rework Log'!$G:$G,SUMPRODUCT(MAX((TRIM('Rework Log'!$A$3:$A$500)=TRIM($B152))*ROW('Rework Log'!$A$3:$A$500)))),"")="Did not pass re-test"),"Last fix rejected - re-block or log next attempt",IF(AND(LEFT($AC152,3)="Yes",ISNUMBER(SEARCH("needs DB Dev",$AC152)),O152&lt;&gt;"",SUMPRODUCT(MAX(((TRIM('Rework Log'!$A$3:$A$500)=TRIM($B152))*('Rework Log'!$G$3:$G$500&lt;&gt;"Yes")*('Rework Log'!$G$3:$G$500&lt;&gt;"Did not pass re-test"))*IFERROR('Rework Log'!$I$3:$I$500*1,0)))&gt;0),"Move old DB Dev completion date to Rework Log (col H)",IF(AND(LEFT($AC152,3)="Yes",ISNUMBER(SEARCH("needs PBI Dev",$AC152)),R152&lt;&gt;"",SUMPRODUCT(MAX(((TRIM('Rework Log'!$A$3:$A$500)=TRIM($B152))*('Rework Log'!$G$3:$G$500&lt;&gt;"Yes")*('Rework Log'!$G$3:$G$500&lt;&gt;"Did not pass re-test"))*IFERROR('Rework Log'!$I$3:$I$500*1,0)))&gt;0),"Move old PBI Dev completion date to Rework Log (col H)",IF(AND(LEFT($AC152,3)="Yes",ISNUMBER(SEARCH("needs QA",$AC152)),U152&lt;&gt;"",SUMPRODUCT(MAX(((TRIM('Rework Log'!$A$3:$A$500)=TRIM($B152))*('Rework Log'!$G$3:$G$500&lt;&gt;"Yes")*('Rework Log'!$G$3:$G$500&lt;&gt;"Did not pass re-test"))*IFERROR('Rework Log'!$I$3:$I$500*1,0)))&gt;0),"Move old QA completion date to Rework Log (col H)",IF(AND(LEFT($AC152,3)="Yes",ISNUMBER(SEARCH("needs DB Dev",$AC152)),TRIM(C152)&lt;&gt;"DB Dev"),"Set Current Status back to DB Dev",IF(AND(LEFT($AC152,3)="Yes",ISNUMBER(SEARCH("needs PBI Dev",$AC152)),TRIM(C152)&lt;&gt;"PBI Dev"),"Set Current Status back to PBI Dev",IF(AND(LEFT($AC152,3)="Yes",ISNUMBER(SEARCH("needs QA",$AC152)),TRIM(C152)&lt;&gt;"QA"),"Set Current Status back to QA",IF(COUNTIF($B$2:$B$500,$B152)&gt;1,"Duplicate name - check row",IF(AND(TRIM(C152)="RELEASED IN PROD",Y152&lt;&gt;"Yes"),"Released but Confirmed Deployed? is not Yes",IF(COUNTIF('Rework Log'!$A$3:$A$500,$B152)&gt;0,"",IF(AND(S152&lt;&gt;"",M152&lt;&gt;"",S152&lt;M152),"QA target is before DB Dev target",IF(AND(S152&lt;&gt;"",P152&lt;&gt;"",S152&lt;P152),"QA target is before PBI Dev target",IF(AND(V152&lt;&gt;"",S152&lt;&gt;"",V152&lt;S152),"DPO Approval target is before QA target",IF(AND(Z152&lt;&gt;"",V152&lt;&gt;"",Z152&lt;V152),"Confirmed Deployed date is before DPO Approval target","")))))))))))))))))</f>
        <v/>
      </c>
      <c r="AE152" s="62"/>
    </row>
    <row r="153" spans="1:31" x14ac:dyDescent="0.25">
      <c r="A153" s="62"/>
      <c r="B153" s="62"/>
      <c r="C153" s="62"/>
      <c r="D153" s="64" t="str">
        <f ca="1">IF($B153="","",IF(LEFT($AC153,3)="Yes",IF(LEN($AC153)&gt;5,"Blocked - "&amp;MID($AC153,7,100),"Blocked")&amp;IF(SUMPRODUCT((TRIM('Rework Log'!$A$3:$A$500)=TRIM($B153))*('Rework Log'!$G$3:$G$500&lt;&gt;"Yes")*('Rework Log'!$G$3:$G$500&lt;&gt;"Did not pass re-test"))=0,"",IF(SUMPRODUCT(((TRIM('Rework Log'!$A$3:$A$500)=TRIM($B153))*('Rework Log'!$G$3:$G$500&lt;&gt;"Yes")*('Rework Log'!$G$3:$G$500&lt;&gt;"Did not pass re-test"))*ISNUMBER('Rework Log'!$J$3:$J$500))&gt;0," - fixed, awaiting re-test",IF(SUMPRODUCT(MAX(((TRIM('Rework Log'!$A$3:$A$500)=TRIM($B153))*('Rework Log'!$G$3:$G$500&lt;&gt;"Yes")*('Rework Log'!$G$3:$G$500&lt;&gt;"Did not pass re-test"))*IFERROR('Rework Log'!$I$3:$I$500*1,0)))=0," - unclaimed"," - promised "&amp;TEXT(SUMPRODUCT(MAX(((TRIM('Rework Log'!$A$3:$A$500)=TRIM($B153))*('Rework Log'!$G$3:$G$500&lt;&gt;"Yes")*('Rework Log'!$G$3:$G$500&lt;&gt;"Did not pass re-test"))*IFERROR('Rework Log'!$I$3:$I$500*1,0))),"m/d")))),IF(TRIM(C153)="NOT STARTED",IF(K153="","No plan date set",IF(K153&lt;TODAY(),"Review - planned start passed","On track")),IF(TRIM(C153)="DB Dev",IF(M153="","No target set",IF(AND(M153&lt;TODAY(),O153=""),"Overdue","On track")),IF(TRIM(C153)="PBI Dev",IF(P153="","No target set",IF(AND(P153&lt;TODAY(),R153=""),"Overdue","On track")),IF(TRIM(C153)="QA",IF(S153="","No target set",IF(AND(S153&lt;TODAY(),U153=""),"Overdue","On track")),IF(TRIM(C153)="DPO Approval",IF(V153="","No target set",IF(V153&lt;TODAY(),"Overdue","On track")),IF(TRIM(C153)="RELEASED IN PROD","Delivered",""))))))))</f>
        <v/>
      </c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4" t="str">
        <f>IF($B153="","",IF(AND(LEFT($AC153,3)="Yes",SUMPRODUCT((TRIM('Rework Log'!$A$3:$A$500)=TRIM($B153))*('Rework Log'!$G$3:$G$500&lt;&gt;"Yes")*('Rework Log'!$G$3:$G$500&lt;&gt;"Did not pass re-test"))=0),"Blocked - log it on Rework Log",IF(AND(LEFT($AC153,3)&lt;&gt;"Yes",SUMPRODUCT((TRIM('Rework Log'!$A$3:$A$500)=TRIM($B153))*('Rework Log'!$G$3:$G$500&lt;&gt;"Yes")*('Rework Log'!$G$3:$G$500&lt;&gt;"Did not pass re-test"))&gt;0),"Open rework row - mark Blocked? or close it",IF(AND(LEFT($AC153,3)&lt;&gt;"Yes",SUMPRODUCT((TRIM('Rework Log'!$A$3:$A$500)=TRIM($B153))*('Rework Log'!$G$3:$G$500&lt;&gt;"Yes")*('Rework Log'!$G$3:$G$500&lt;&gt;"Did not pass re-test"))=0,COUNTIF('Rework Log'!$A$3:$A$500,$B153)&gt;0,IFERROR(INDEX('Rework Log'!$G:$G,SUMPRODUCT(MAX((TRIM('Rework Log'!$A$3:$A$500)=TRIM($B153))*ROW('Rework Log'!$A$3:$A$500)))),"")="Did not pass re-test"),"Last fix rejected - re-block or log next attempt",IF(AND(LEFT($AC153,3)="Yes",ISNUMBER(SEARCH("needs DB Dev",$AC153)),O153&lt;&gt;"",SUMPRODUCT(MAX(((TRIM('Rework Log'!$A$3:$A$500)=TRIM($B153))*('Rework Log'!$G$3:$G$500&lt;&gt;"Yes")*('Rework Log'!$G$3:$G$500&lt;&gt;"Did not pass re-test"))*IFERROR('Rework Log'!$I$3:$I$500*1,0)))&gt;0),"Move old DB Dev completion date to Rework Log (col H)",IF(AND(LEFT($AC153,3)="Yes",ISNUMBER(SEARCH("needs PBI Dev",$AC153)),R153&lt;&gt;"",SUMPRODUCT(MAX(((TRIM('Rework Log'!$A$3:$A$500)=TRIM($B153))*('Rework Log'!$G$3:$G$500&lt;&gt;"Yes")*('Rework Log'!$G$3:$G$500&lt;&gt;"Did not pass re-test"))*IFERROR('Rework Log'!$I$3:$I$500*1,0)))&gt;0),"Move old PBI Dev completion date to Rework Log (col H)",IF(AND(LEFT($AC153,3)="Yes",ISNUMBER(SEARCH("needs QA",$AC153)),U153&lt;&gt;"",SUMPRODUCT(MAX(((TRIM('Rework Log'!$A$3:$A$500)=TRIM($B153))*('Rework Log'!$G$3:$G$500&lt;&gt;"Yes")*('Rework Log'!$G$3:$G$500&lt;&gt;"Did not pass re-test"))*IFERROR('Rework Log'!$I$3:$I$500*1,0)))&gt;0),"Move old QA completion date to Rework Log (col H)",IF(AND(LEFT($AC153,3)="Yes",ISNUMBER(SEARCH("needs DB Dev",$AC153)),TRIM(C153)&lt;&gt;"DB Dev"),"Set Current Status back to DB Dev",IF(AND(LEFT($AC153,3)="Yes",ISNUMBER(SEARCH("needs PBI Dev",$AC153)),TRIM(C153)&lt;&gt;"PBI Dev"),"Set Current Status back to PBI Dev",IF(AND(LEFT($AC153,3)="Yes",ISNUMBER(SEARCH("needs QA",$AC153)),TRIM(C153)&lt;&gt;"QA"),"Set Current Status back to QA",IF(COUNTIF($B$2:$B$500,$B153)&gt;1,"Duplicate name - check row",IF(AND(TRIM(C153)="RELEASED IN PROD",Y153&lt;&gt;"Yes"),"Released but Confirmed Deployed? is not Yes",IF(COUNTIF('Rework Log'!$A$3:$A$500,$B153)&gt;0,"",IF(AND(S153&lt;&gt;"",M153&lt;&gt;"",S153&lt;M153),"QA target is before DB Dev target",IF(AND(S153&lt;&gt;"",P153&lt;&gt;"",S153&lt;P153),"QA target is before PBI Dev target",IF(AND(V153&lt;&gt;"",S153&lt;&gt;"",V153&lt;S153),"DPO Approval target is before QA target",IF(AND(Z153&lt;&gt;"",V153&lt;&gt;"",Z153&lt;V153),"Confirmed Deployed date is before DPO Approval target","")))))))))))))))))</f>
        <v/>
      </c>
      <c r="AE153" s="62"/>
    </row>
    <row r="154" spans="1:31" x14ac:dyDescent="0.25">
      <c r="A154" s="62"/>
      <c r="B154" s="62"/>
      <c r="C154" s="62"/>
      <c r="D154" s="64" t="str">
        <f ca="1">IF($B154="","",IF(LEFT($AC154,3)="Yes",IF(LEN($AC154)&gt;5,"Blocked - "&amp;MID($AC154,7,100),"Blocked")&amp;IF(SUMPRODUCT((TRIM('Rework Log'!$A$3:$A$500)=TRIM($B154))*('Rework Log'!$G$3:$G$500&lt;&gt;"Yes")*('Rework Log'!$G$3:$G$500&lt;&gt;"Did not pass re-test"))=0,"",IF(SUMPRODUCT(((TRIM('Rework Log'!$A$3:$A$500)=TRIM($B154))*('Rework Log'!$G$3:$G$500&lt;&gt;"Yes")*('Rework Log'!$G$3:$G$500&lt;&gt;"Did not pass re-test"))*ISNUMBER('Rework Log'!$J$3:$J$500))&gt;0," - fixed, awaiting re-test",IF(SUMPRODUCT(MAX(((TRIM('Rework Log'!$A$3:$A$500)=TRIM($B154))*('Rework Log'!$G$3:$G$500&lt;&gt;"Yes")*('Rework Log'!$G$3:$G$500&lt;&gt;"Did not pass re-test"))*IFERROR('Rework Log'!$I$3:$I$500*1,0)))=0," - unclaimed"," - promised "&amp;TEXT(SUMPRODUCT(MAX(((TRIM('Rework Log'!$A$3:$A$500)=TRIM($B154))*('Rework Log'!$G$3:$G$500&lt;&gt;"Yes")*('Rework Log'!$G$3:$G$500&lt;&gt;"Did not pass re-test"))*IFERROR('Rework Log'!$I$3:$I$500*1,0))),"m/d")))),IF(TRIM(C154)="NOT STARTED",IF(K154="","No plan date set",IF(K154&lt;TODAY(),"Review - planned start passed","On track")),IF(TRIM(C154)="DB Dev",IF(M154="","No target set",IF(AND(M154&lt;TODAY(),O154=""),"Overdue","On track")),IF(TRIM(C154)="PBI Dev",IF(P154="","No target set",IF(AND(P154&lt;TODAY(),R154=""),"Overdue","On track")),IF(TRIM(C154)="QA",IF(S154="","No target set",IF(AND(S154&lt;TODAY(),U154=""),"Overdue","On track")),IF(TRIM(C154)="DPO Approval",IF(V154="","No target set",IF(V154&lt;TODAY(),"Overdue","On track")),IF(TRIM(C154)="RELEASED IN PROD","Delivered",""))))))))</f>
        <v/>
      </c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4" t="str">
        <f>IF($B154="","",IF(AND(LEFT($AC154,3)="Yes",SUMPRODUCT((TRIM('Rework Log'!$A$3:$A$500)=TRIM($B154))*('Rework Log'!$G$3:$G$500&lt;&gt;"Yes")*('Rework Log'!$G$3:$G$500&lt;&gt;"Did not pass re-test"))=0),"Blocked - log it on Rework Log",IF(AND(LEFT($AC154,3)&lt;&gt;"Yes",SUMPRODUCT((TRIM('Rework Log'!$A$3:$A$500)=TRIM($B154))*('Rework Log'!$G$3:$G$500&lt;&gt;"Yes")*('Rework Log'!$G$3:$G$500&lt;&gt;"Did not pass re-test"))&gt;0),"Open rework row - mark Blocked? or close it",IF(AND(LEFT($AC154,3)&lt;&gt;"Yes",SUMPRODUCT((TRIM('Rework Log'!$A$3:$A$500)=TRIM($B154))*('Rework Log'!$G$3:$G$500&lt;&gt;"Yes")*('Rework Log'!$G$3:$G$500&lt;&gt;"Did not pass re-test"))=0,COUNTIF('Rework Log'!$A$3:$A$500,$B154)&gt;0,IFERROR(INDEX('Rework Log'!$G:$G,SUMPRODUCT(MAX((TRIM('Rework Log'!$A$3:$A$500)=TRIM($B154))*ROW('Rework Log'!$A$3:$A$500)))),"")="Did not pass re-test"),"Last fix rejected - re-block or log next attempt",IF(AND(LEFT($AC154,3)="Yes",ISNUMBER(SEARCH("needs DB Dev",$AC154)),O154&lt;&gt;"",SUMPRODUCT(MAX(((TRIM('Rework Log'!$A$3:$A$500)=TRIM($B154))*('Rework Log'!$G$3:$G$500&lt;&gt;"Yes")*('Rework Log'!$G$3:$G$500&lt;&gt;"Did not pass re-test"))*IFERROR('Rework Log'!$I$3:$I$500*1,0)))&gt;0),"Move old DB Dev completion date to Rework Log (col H)",IF(AND(LEFT($AC154,3)="Yes",ISNUMBER(SEARCH("needs PBI Dev",$AC154)),R154&lt;&gt;"",SUMPRODUCT(MAX(((TRIM('Rework Log'!$A$3:$A$500)=TRIM($B154))*('Rework Log'!$G$3:$G$500&lt;&gt;"Yes")*('Rework Log'!$G$3:$G$500&lt;&gt;"Did not pass re-test"))*IFERROR('Rework Log'!$I$3:$I$500*1,0)))&gt;0),"Move old PBI Dev completion date to Rework Log (col H)",IF(AND(LEFT($AC154,3)="Yes",ISNUMBER(SEARCH("needs QA",$AC154)),U154&lt;&gt;"",SUMPRODUCT(MAX(((TRIM('Rework Log'!$A$3:$A$500)=TRIM($B154))*('Rework Log'!$G$3:$G$500&lt;&gt;"Yes")*('Rework Log'!$G$3:$G$500&lt;&gt;"Did not pass re-test"))*IFERROR('Rework Log'!$I$3:$I$500*1,0)))&gt;0),"Move old QA completion date to Rework Log (col H)",IF(AND(LEFT($AC154,3)="Yes",ISNUMBER(SEARCH("needs DB Dev",$AC154)),TRIM(C154)&lt;&gt;"DB Dev"),"Set Current Status back to DB Dev",IF(AND(LEFT($AC154,3)="Yes",ISNUMBER(SEARCH("needs PBI Dev",$AC154)),TRIM(C154)&lt;&gt;"PBI Dev"),"Set Current Status back to PBI Dev",IF(AND(LEFT($AC154,3)="Yes",ISNUMBER(SEARCH("needs QA",$AC154)),TRIM(C154)&lt;&gt;"QA"),"Set Current Status back to QA",IF(COUNTIF($B$2:$B$500,$B154)&gt;1,"Duplicate name - check row",IF(AND(TRIM(C154)="RELEASED IN PROD",Y154&lt;&gt;"Yes"),"Released but Confirmed Deployed? is not Yes",IF(COUNTIF('Rework Log'!$A$3:$A$500,$B154)&gt;0,"",IF(AND(S154&lt;&gt;"",M154&lt;&gt;"",S154&lt;M154),"QA target is before DB Dev target",IF(AND(S154&lt;&gt;"",P154&lt;&gt;"",S154&lt;P154),"QA target is before PBI Dev target",IF(AND(V154&lt;&gt;"",S154&lt;&gt;"",V154&lt;S154),"DPO Approval target is before QA target",IF(AND(Z154&lt;&gt;"",V154&lt;&gt;"",Z154&lt;V154),"Confirmed Deployed date is before DPO Approval target","")))))))))))))))))</f>
        <v/>
      </c>
      <c r="AE154" s="62"/>
    </row>
    <row r="155" spans="1:31" x14ac:dyDescent="0.25">
      <c r="A155" s="62"/>
      <c r="B155" s="62"/>
      <c r="C155" s="62"/>
      <c r="D155" s="64" t="str">
        <f ca="1">IF($B155="","",IF(LEFT($AC155,3)="Yes",IF(LEN($AC155)&gt;5,"Blocked - "&amp;MID($AC155,7,100),"Blocked")&amp;IF(SUMPRODUCT((TRIM('Rework Log'!$A$3:$A$500)=TRIM($B155))*('Rework Log'!$G$3:$G$500&lt;&gt;"Yes")*('Rework Log'!$G$3:$G$500&lt;&gt;"Did not pass re-test"))=0,"",IF(SUMPRODUCT(((TRIM('Rework Log'!$A$3:$A$500)=TRIM($B155))*('Rework Log'!$G$3:$G$500&lt;&gt;"Yes")*('Rework Log'!$G$3:$G$500&lt;&gt;"Did not pass re-test"))*ISNUMBER('Rework Log'!$J$3:$J$500))&gt;0," - fixed, awaiting re-test",IF(SUMPRODUCT(MAX(((TRIM('Rework Log'!$A$3:$A$500)=TRIM($B155))*('Rework Log'!$G$3:$G$500&lt;&gt;"Yes")*('Rework Log'!$G$3:$G$500&lt;&gt;"Did not pass re-test"))*IFERROR('Rework Log'!$I$3:$I$500*1,0)))=0," - unclaimed"," - promised "&amp;TEXT(SUMPRODUCT(MAX(((TRIM('Rework Log'!$A$3:$A$500)=TRIM($B155))*('Rework Log'!$G$3:$G$500&lt;&gt;"Yes")*('Rework Log'!$G$3:$G$500&lt;&gt;"Did not pass re-test"))*IFERROR('Rework Log'!$I$3:$I$500*1,0))),"m/d")))),IF(TRIM(C155)="NOT STARTED",IF(K155="","No plan date set",IF(K155&lt;TODAY(),"Review - planned start passed","On track")),IF(TRIM(C155)="DB Dev",IF(M155="","No target set",IF(AND(M155&lt;TODAY(),O155=""),"Overdue","On track")),IF(TRIM(C155)="PBI Dev",IF(P155="","No target set",IF(AND(P155&lt;TODAY(),R155=""),"Overdue","On track")),IF(TRIM(C155)="QA",IF(S155="","No target set",IF(AND(S155&lt;TODAY(),U155=""),"Overdue","On track")),IF(TRIM(C155)="DPO Approval",IF(V155="","No target set",IF(V155&lt;TODAY(),"Overdue","On track")),IF(TRIM(C155)="RELEASED IN PROD","Delivered",""))))))))</f>
        <v/>
      </c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4" t="str">
        <f>IF($B155="","",IF(AND(LEFT($AC155,3)="Yes",SUMPRODUCT((TRIM('Rework Log'!$A$3:$A$500)=TRIM($B155))*('Rework Log'!$G$3:$G$500&lt;&gt;"Yes")*('Rework Log'!$G$3:$G$500&lt;&gt;"Did not pass re-test"))=0),"Blocked - log it on Rework Log",IF(AND(LEFT($AC155,3)&lt;&gt;"Yes",SUMPRODUCT((TRIM('Rework Log'!$A$3:$A$500)=TRIM($B155))*('Rework Log'!$G$3:$G$500&lt;&gt;"Yes")*('Rework Log'!$G$3:$G$500&lt;&gt;"Did not pass re-test"))&gt;0),"Open rework row - mark Blocked? or close it",IF(AND(LEFT($AC155,3)&lt;&gt;"Yes",SUMPRODUCT((TRIM('Rework Log'!$A$3:$A$500)=TRIM($B155))*('Rework Log'!$G$3:$G$500&lt;&gt;"Yes")*('Rework Log'!$G$3:$G$500&lt;&gt;"Did not pass re-test"))=0,COUNTIF('Rework Log'!$A$3:$A$500,$B155)&gt;0,IFERROR(INDEX('Rework Log'!$G:$G,SUMPRODUCT(MAX((TRIM('Rework Log'!$A$3:$A$500)=TRIM($B155))*ROW('Rework Log'!$A$3:$A$500)))),"")="Did not pass re-test"),"Last fix rejected - re-block or log next attempt",IF(AND(LEFT($AC155,3)="Yes",ISNUMBER(SEARCH("needs DB Dev",$AC155)),O155&lt;&gt;"",SUMPRODUCT(MAX(((TRIM('Rework Log'!$A$3:$A$500)=TRIM($B155))*('Rework Log'!$G$3:$G$500&lt;&gt;"Yes")*('Rework Log'!$G$3:$G$500&lt;&gt;"Did not pass re-test"))*IFERROR('Rework Log'!$I$3:$I$500*1,0)))&gt;0),"Move old DB Dev completion date to Rework Log (col H)",IF(AND(LEFT($AC155,3)="Yes",ISNUMBER(SEARCH("needs PBI Dev",$AC155)),R155&lt;&gt;"",SUMPRODUCT(MAX(((TRIM('Rework Log'!$A$3:$A$500)=TRIM($B155))*('Rework Log'!$G$3:$G$500&lt;&gt;"Yes")*('Rework Log'!$G$3:$G$500&lt;&gt;"Did not pass re-test"))*IFERROR('Rework Log'!$I$3:$I$500*1,0)))&gt;0),"Move old PBI Dev completion date to Rework Log (col H)",IF(AND(LEFT($AC155,3)="Yes",ISNUMBER(SEARCH("needs QA",$AC155)),U155&lt;&gt;"",SUMPRODUCT(MAX(((TRIM('Rework Log'!$A$3:$A$500)=TRIM($B155))*('Rework Log'!$G$3:$G$500&lt;&gt;"Yes")*('Rework Log'!$G$3:$G$500&lt;&gt;"Did not pass re-test"))*IFERROR('Rework Log'!$I$3:$I$500*1,0)))&gt;0),"Move old QA completion date to Rework Log (col H)",IF(AND(LEFT($AC155,3)="Yes",ISNUMBER(SEARCH("needs DB Dev",$AC155)),TRIM(C155)&lt;&gt;"DB Dev"),"Set Current Status back to DB Dev",IF(AND(LEFT($AC155,3)="Yes",ISNUMBER(SEARCH("needs PBI Dev",$AC155)),TRIM(C155)&lt;&gt;"PBI Dev"),"Set Current Status back to PBI Dev",IF(AND(LEFT($AC155,3)="Yes",ISNUMBER(SEARCH("needs QA",$AC155)),TRIM(C155)&lt;&gt;"QA"),"Set Current Status back to QA",IF(COUNTIF($B$2:$B$500,$B155)&gt;1,"Duplicate name - check row",IF(AND(TRIM(C155)="RELEASED IN PROD",Y155&lt;&gt;"Yes"),"Released but Confirmed Deployed? is not Yes",IF(COUNTIF('Rework Log'!$A$3:$A$500,$B155)&gt;0,"",IF(AND(S155&lt;&gt;"",M155&lt;&gt;"",S155&lt;M155),"QA target is before DB Dev target",IF(AND(S155&lt;&gt;"",P155&lt;&gt;"",S155&lt;P155),"QA target is before PBI Dev target",IF(AND(V155&lt;&gt;"",S155&lt;&gt;"",V155&lt;S155),"DPO Approval target is before QA target",IF(AND(Z155&lt;&gt;"",V155&lt;&gt;"",Z155&lt;V155),"Confirmed Deployed date is before DPO Approval target","")))))))))))))))))</f>
        <v/>
      </c>
      <c r="AE155" s="62"/>
    </row>
    <row r="156" spans="1:31" x14ac:dyDescent="0.25">
      <c r="A156" s="62"/>
      <c r="B156" s="62"/>
      <c r="C156" s="62"/>
      <c r="D156" s="64" t="str">
        <f ca="1">IF($B156="","",IF(LEFT($AC156,3)="Yes",IF(LEN($AC156)&gt;5,"Blocked - "&amp;MID($AC156,7,100),"Blocked")&amp;IF(SUMPRODUCT((TRIM('Rework Log'!$A$3:$A$500)=TRIM($B156))*('Rework Log'!$G$3:$G$500&lt;&gt;"Yes")*('Rework Log'!$G$3:$G$500&lt;&gt;"Did not pass re-test"))=0,"",IF(SUMPRODUCT(((TRIM('Rework Log'!$A$3:$A$500)=TRIM($B156))*('Rework Log'!$G$3:$G$500&lt;&gt;"Yes")*('Rework Log'!$G$3:$G$500&lt;&gt;"Did not pass re-test"))*ISNUMBER('Rework Log'!$J$3:$J$500))&gt;0," - fixed, awaiting re-test",IF(SUMPRODUCT(MAX(((TRIM('Rework Log'!$A$3:$A$500)=TRIM($B156))*('Rework Log'!$G$3:$G$500&lt;&gt;"Yes")*('Rework Log'!$G$3:$G$500&lt;&gt;"Did not pass re-test"))*IFERROR('Rework Log'!$I$3:$I$500*1,0)))=0," - unclaimed"," - promised "&amp;TEXT(SUMPRODUCT(MAX(((TRIM('Rework Log'!$A$3:$A$500)=TRIM($B156))*('Rework Log'!$G$3:$G$500&lt;&gt;"Yes")*('Rework Log'!$G$3:$G$500&lt;&gt;"Did not pass re-test"))*IFERROR('Rework Log'!$I$3:$I$500*1,0))),"m/d")))),IF(TRIM(C156)="NOT STARTED",IF(K156="","No plan date set",IF(K156&lt;TODAY(),"Review - planned start passed","On track")),IF(TRIM(C156)="DB Dev",IF(M156="","No target set",IF(AND(M156&lt;TODAY(),O156=""),"Overdue","On track")),IF(TRIM(C156)="PBI Dev",IF(P156="","No target set",IF(AND(P156&lt;TODAY(),R156=""),"Overdue","On track")),IF(TRIM(C156)="QA",IF(S156="","No target set",IF(AND(S156&lt;TODAY(),U156=""),"Overdue","On track")),IF(TRIM(C156)="DPO Approval",IF(V156="","No target set",IF(V156&lt;TODAY(),"Overdue","On track")),IF(TRIM(C156)="RELEASED IN PROD","Delivered",""))))))))</f>
        <v/>
      </c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4" t="str">
        <f>IF($B156="","",IF(AND(LEFT($AC156,3)="Yes",SUMPRODUCT((TRIM('Rework Log'!$A$3:$A$500)=TRIM($B156))*('Rework Log'!$G$3:$G$500&lt;&gt;"Yes")*('Rework Log'!$G$3:$G$500&lt;&gt;"Did not pass re-test"))=0),"Blocked - log it on Rework Log",IF(AND(LEFT($AC156,3)&lt;&gt;"Yes",SUMPRODUCT((TRIM('Rework Log'!$A$3:$A$500)=TRIM($B156))*('Rework Log'!$G$3:$G$500&lt;&gt;"Yes")*('Rework Log'!$G$3:$G$500&lt;&gt;"Did not pass re-test"))&gt;0),"Open rework row - mark Blocked? or close it",IF(AND(LEFT($AC156,3)&lt;&gt;"Yes",SUMPRODUCT((TRIM('Rework Log'!$A$3:$A$500)=TRIM($B156))*('Rework Log'!$G$3:$G$500&lt;&gt;"Yes")*('Rework Log'!$G$3:$G$500&lt;&gt;"Did not pass re-test"))=0,COUNTIF('Rework Log'!$A$3:$A$500,$B156)&gt;0,IFERROR(INDEX('Rework Log'!$G:$G,SUMPRODUCT(MAX((TRIM('Rework Log'!$A$3:$A$500)=TRIM($B156))*ROW('Rework Log'!$A$3:$A$500)))),"")="Did not pass re-test"),"Last fix rejected - re-block or log next attempt",IF(AND(LEFT($AC156,3)="Yes",ISNUMBER(SEARCH("needs DB Dev",$AC156)),O156&lt;&gt;"",SUMPRODUCT(MAX(((TRIM('Rework Log'!$A$3:$A$500)=TRIM($B156))*('Rework Log'!$G$3:$G$500&lt;&gt;"Yes")*('Rework Log'!$G$3:$G$500&lt;&gt;"Did not pass re-test"))*IFERROR('Rework Log'!$I$3:$I$500*1,0)))&gt;0),"Move old DB Dev completion date to Rework Log (col H)",IF(AND(LEFT($AC156,3)="Yes",ISNUMBER(SEARCH("needs PBI Dev",$AC156)),R156&lt;&gt;"",SUMPRODUCT(MAX(((TRIM('Rework Log'!$A$3:$A$500)=TRIM($B156))*('Rework Log'!$G$3:$G$500&lt;&gt;"Yes")*('Rework Log'!$G$3:$G$500&lt;&gt;"Did not pass re-test"))*IFERROR('Rework Log'!$I$3:$I$500*1,0)))&gt;0),"Move old PBI Dev completion date to Rework Log (col H)",IF(AND(LEFT($AC156,3)="Yes",ISNUMBER(SEARCH("needs QA",$AC156)),U156&lt;&gt;"",SUMPRODUCT(MAX(((TRIM('Rework Log'!$A$3:$A$500)=TRIM($B156))*('Rework Log'!$G$3:$G$500&lt;&gt;"Yes")*('Rework Log'!$G$3:$G$500&lt;&gt;"Did not pass re-test"))*IFERROR('Rework Log'!$I$3:$I$500*1,0)))&gt;0),"Move old QA completion date to Rework Log (col H)",IF(AND(LEFT($AC156,3)="Yes",ISNUMBER(SEARCH("needs DB Dev",$AC156)),TRIM(C156)&lt;&gt;"DB Dev"),"Set Current Status back to DB Dev",IF(AND(LEFT($AC156,3)="Yes",ISNUMBER(SEARCH("needs PBI Dev",$AC156)),TRIM(C156)&lt;&gt;"PBI Dev"),"Set Current Status back to PBI Dev",IF(AND(LEFT($AC156,3)="Yes",ISNUMBER(SEARCH("needs QA",$AC156)),TRIM(C156)&lt;&gt;"QA"),"Set Current Status back to QA",IF(COUNTIF($B$2:$B$500,$B156)&gt;1,"Duplicate name - check row",IF(AND(TRIM(C156)="RELEASED IN PROD",Y156&lt;&gt;"Yes"),"Released but Confirmed Deployed? is not Yes",IF(COUNTIF('Rework Log'!$A$3:$A$500,$B156)&gt;0,"",IF(AND(S156&lt;&gt;"",M156&lt;&gt;"",S156&lt;M156),"QA target is before DB Dev target",IF(AND(S156&lt;&gt;"",P156&lt;&gt;"",S156&lt;P156),"QA target is before PBI Dev target",IF(AND(V156&lt;&gt;"",S156&lt;&gt;"",V156&lt;S156),"DPO Approval target is before QA target",IF(AND(Z156&lt;&gt;"",V156&lt;&gt;"",Z156&lt;V156),"Confirmed Deployed date is before DPO Approval target","")))))))))))))))))</f>
        <v/>
      </c>
      <c r="AE156" s="62"/>
    </row>
    <row r="157" spans="1:31" x14ac:dyDescent="0.25">
      <c r="A157" s="62"/>
      <c r="B157" s="62"/>
      <c r="C157" s="62"/>
      <c r="D157" s="64" t="str">
        <f ca="1">IF($B157="","",IF(LEFT($AC157,3)="Yes",IF(LEN($AC157)&gt;5,"Blocked - "&amp;MID($AC157,7,100),"Blocked")&amp;IF(SUMPRODUCT((TRIM('Rework Log'!$A$3:$A$500)=TRIM($B157))*('Rework Log'!$G$3:$G$500&lt;&gt;"Yes")*('Rework Log'!$G$3:$G$500&lt;&gt;"Did not pass re-test"))=0,"",IF(SUMPRODUCT(((TRIM('Rework Log'!$A$3:$A$500)=TRIM($B157))*('Rework Log'!$G$3:$G$500&lt;&gt;"Yes")*('Rework Log'!$G$3:$G$500&lt;&gt;"Did not pass re-test"))*ISNUMBER('Rework Log'!$J$3:$J$500))&gt;0," - fixed, awaiting re-test",IF(SUMPRODUCT(MAX(((TRIM('Rework Log'!$A$3:$A$500)=TRIM($B157))*('Rework Log'!$G$3:$G$500&lt;&gt;"Yes")*('Rework Log'!$G$3:$G$500&lt;&gt;"Did not pass re-test"))*IFERROR('Rework Log'!$I$3:$I$500*1,0)))=0," - unclaimed"," - promised "&amp;TEXT(SUMPRODUCT(MAX(((TRIM('Rework Log'!$A$3:$A$500)=TRIM($B157))*('Rework Log'!$G$3:$G$500&lt;&gt;"Yes")*('Rework Log'!$G$3:$G$500&lt;&gt;"Did not pass re-test"))*IFERROR('Rework Log'!$I$3:$I$500*1,0))),"m/d")))),IF(TRIM(C157)="NOT STARTED",IF(K157="","No plan date set",IF(K157&lt;TODAY(),"Review - planned start passed","On track")),IF(TRIM(C157)="DB Dev",IF(M157="","No target set",IF(AND(M157&lt;TODAY(),O157=""),"Overdue","On track")),IF(TRIM(C157)="PBI Dev",IF(P157="","No target set",IF(AND(P157&lt;TODAY(),R157=""),"Overdue","On track")),IF(TRIM(C157)="QA",IF(S157="","No target set",IF(AND(S157&lt;TODAY(),U157=""),"Overdue","On track")),IF(TRIM(C157)="DPO Approval",IF(V157="","No target set",IF(V157&lt;TODAY(),"Overdue","On track")),IF(TRIM(C157)="RELEASED IN PROD","Delivered",""))))))))</f>
        <v/>
      </c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4" t="str">
        <f>IF($B157="","",IF(AND(LEFT($AC157,3)="Yes",SUMPRODUCT((TRIM('Rework Log'!$A$3:$A$500)=TRIM($B157))*('Rework Log'!$G$3:$G$500&lt;&gt;"Yes")*('Rework Log'!$G$3:$G$500&lt;&gt;"Did not pass re-test"))=0),"Blocked - log it on Rework Log",IF(AND(LEFT($AC157,3)&lt;&gt;"Yes",SUMPRODUCT((TRIM('Rework Log'!$A$3:$A$500)=TRIM($B157))*('Rework Log'!$G$3:$G$500&lt;&gt;"Yes")*('Rework Log'!$G$3:$G$500&lt;&gt;"Did not pass re-test"))&gt;0),"Open rework row - mark Blocked? or close it",IF(AND(LEFT($AC157,3)&lt;&gt;"Yes",SUMPRODUCT((TRIM('Rework Log'!$A$3:$A$500)=TRIM($B157))*('Rework Log'!$G$3:$G$500&lt;&gt;"Yes")*('Rework Log'!$G$3:$G$500&lt;&gt;"Did not pass re-test"))=0,COUNTIF('Rework Log'!$A$3:$A$500,$B157)&gt;0,IFERROR(INDEX('Rework Log'!$G:$G,SUMPRODUCT(MAX((TRIM('Rework Log'!$A$3:$A$500)=TRIM($B157))*ROW('Rework Log'!$A$3:$A$500)))),"")="Did not pass re-test"),"Last fix rejected - re-block or log next attempt",IF(AND(LEFT($AC157,3)="Yes",ISNUMBER(SEARCH("needs DB Dev",$AC157)),O157&lt;&gt;"",SUMPRODUCT(MAX(((TRIM('Rework Log'!$A$3:$A$500)=TRIM($B157))*('Rework Log'!$G$3:$G$500&lt;&gt;"Yes")*('Rework Log'!$G$3:$G$500&lt;&gt;"Did not pass re-test"))*IFERROR('Rework Log'!$I$3:$I$500*1,0)))&gt;0),"Move old DB Dev completion date to Rework Log (col H)",IF(AND(LEFT($AC157,3)="Yes",ISNUMBER(SEARCH("needs PBI Dev",$AC157)),R157&lt;&gt;"",SUMPRODUCT(MAX(((TRIM('Rework Log'!$A$3:$A$500)=TRIM($B157))*('Rework Log'!$G$3:$G$500&lt;&gt;"Yes")*('Rework Log'!$G$3:$G$500&lt;&gt;"Did not pass re-test"))*IFERROR('Rework Log'!$I$3:$I$500*1,0)))&gt;0),"Move old PBI Dev completion date to Rework Log (col H)",IF(AND(LEFT($AC157,3)="Yes",ISNUMBER(SEARCH("needs QA",$AC157)),U157&lt;&gt;"",SUMPRODUCT(MAX(((TRIM('Rework Log'!$A$3:$A$500)=TRIM($B157))*('Rework Log'!$G$3:$G$500&lt;&gt;"Yes")*('Rework Log'!$G$3:$G$500&lt;&gt;"Did not pass re-test"))*IFERROR('Rework Log'!$I$3:$I$500*1,0)))&gt;0),"Move old QA completion date to Rework Log (col H)",IF(AND(LEFT($AC157,3)="Yes",ISNUMBER(SEARCH("needs DB Dev",$AC157)),TRIM(C157)&lt;&gt;"DB Dev"),"Set Current Status back to DB Dev",IF(AND(LEFT($AC157,3)="Yes",ISNUMBER(SEARCH("needs PBI Dev",$AC157)),TRIM(C157)&lt;&gt;"PBI Dev"),"Set Current Status back to PBI Dev",IF(AND(LEFT($AC157,3)="Yes",ISNUMBER(SEARCH("needs QA",$AC157)),TRIM(C157)&lt;&gt;"QA"),"Set Current Status back to QA",IF(COUNTIF($B$2:$B$500,$B157)&gt;1,"Duplicate name - check row",IF(AND(TRIM(C157)="RELEASED IN PROD",Y157&lt;&gt;"Yes"),"Released but Confirmed Deployed? is not Yes",IF(COUNTIF('Rework Log'!$A$3:$A$500,$B157)&gt;0,"",IF(AND(S157&lt;&gt;"",M157&lt;&gt;"",S157&lt;M157),"QA target is before DB Dev target",IF(AND(S157&lt;&gt;"",P157&lt;&gt;"",S157&lt;P157),"QA target is before PBI Dev target",IF(AND(V157&lt;&gt;"",S157&lt;&gt;"",V157&lt;S157),"DPO Approval target is before QA target",IF(AND(Z157&lt;&gt;"",V157&lt;&gt;"",Z157&lt;V157),"Confirmed Deployed date is before DPO Approval target","")))))))))))))))))</f>
        <v/>
      </c>
      <c r="AE157" s="62"/>
    </row>
    <row r="158" spans="1:31" x14ac:dyDescent="0.25">
      <c r="A158" s="62"/>
      <c r="B158" s="62"/>
      <c r="C158" s="62"/>
      <c r="D158" s="64" t="str">
        <f ca="1">IF($B158="","",IF(LEFT($AC158,3)="Yes",IF(LEN($AC158)&gt;5,"Blocked - "&amp;MID($AC158,7,100),"Blocked")&amp;IF(SUMPRODUCT((TRIM('Rework Log'!$A$3:$A$500)=TRIM($B158))*('Rework Log'!$G$3:$G$500&lt;&gt;"Yes")*('Rework Log'!$G$3:$G$500&lt;&gt;"Did not pass re-test"))=0,"",IF(SUMPRODUCT(((TRIM('Rework Log'!$A$3:$A$500)=TRIM($B158))*('Rework Log'!$G$3:$G$500&lt;&gt;"Yes")*('Rework Log'!$G$3:$G$500&lt;&gt;"Did not pass re-test"))*ISNUMBER('Rework Log'!$J$3:$J$500))&gt;0," - fixed, awaiting re-test",IF(SUMPRODUCT(MAX(((TRIM('Rework Log'!$A$3:$A$500)=TRIM($B158))*('Rework Log'!$G$3:$G$500&lt;&gt;"Yes")*('Rework Log'!$G$3:$G$500&lt;&gt;"Did not pass re-test"))*IFERROR('Rework Log'!$I$3:$I$500*1,0)))=0," - unclaimed"," - promised "&amp;TEXT(SUMPRODUCT(MAX(((TRIM('Rework Log'!$A$3:$A$500)=TRIM($B158))*('Rework Log'!$G$3:$G$500&lt;&gt;"Yes")*('Rework Log'!$G$3:$G$500&lt;&gt;"Did not pass re-test"))*IFERROR('Rework Log'!$I$3:$I$500*1,0))),"m/d")))),IF(TRIM(C158)="NOT STARTED",IF(K158="","No plan date set",IF(K158&lt;TODAY(),"Review - planned start passed","On track")),IF(TRIM(C158)="DB Dev",IF(M158="","No target set",IF(AND(M158&lt;TODAY(),O158=""),"Overdue","On track")),IF(TRIM(C158)="PBI Dev",IF(P158="","No target set",IF(AND(P158&lt;TODAY(),R158=""),"Overdue","On track")),IF(TRIM(C158)="QA",IF(S158="","No target set",IF(AND(S158&lt;TODAY(),U158=""),"Overdue","On track")),IF(TRIM(C158)="DPO Approval",IF(V158="","No target set",IF(V158&lt;TODAY(),"Overdue","On track")),IF(TRIM(C158)="RELEASED IN PROD","Delivered",""))))))))</f>
        <v/>
      </c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4" t="str">
        <f>IF($B158="","",IF(AND(LEFT($AC158,3)="Yes",SUMPRODUCT((TRIM('Rework Log'!$A$3:$A$500)=TRIM($B158))*('Rework Log'!$G$3:$G$500&lt;&gt;"Yes")*('Rework Log'!$G$3:$G$500&lt;&gt;"Did not pass re-test"))=0),"Blocked - log it on Rework Log",IF(AND(LEFT($AC158,3)&lt;&gt;"Yes",SUMPRODUCT((TRIM('Rework Log'!$A$3:$A$500)=TRIM($B158))*('Rework Log'!$G$3:$G$500&lt;&gt;"Yes")*('Rework Log'!$G$3:$G$500&lt;&gt;"Did not pass re-test"))&gt;0),"Open rework row - mark Blocked? or close it",IF(AND(LEFT($AC158,3)&lt;&gt;"Yes",SUMPRODUCT((TRIM('Rework Log'!$A$3:$A$500)=TRIM($B158))*('Rework Log'!$G$3:$G$500&lt;&gt;"Yes")*('Rework Log'!$G$3:$G$500&lt;&gt;"Did not pass re-test"))=0,COUNTIF('Rework Log'!$A$3:$A$500,$B158)&gt;0,IFERROR(INDEX('Rework Log'!$G:$G,SUMPRODUCT(MAX((TRIM('Rework Log'!$A$3:$A$500)=TRIM($B158))*ROW('Rework Log'!$A$3:$A$500)))),"")="Did not pass re-test"),"Last fix rejected - re-block or log next attempt",IF(AND(LEFT($AC158,3)="Yes",ISNUMBER(SEARCH("needs DB Dev",$AC158)),O158&lt;&gt;"",SUMPRODUCT(MAX(((TRIM('Rework Log'!$A$3:$A$500)=TRIM($B158))*('Rework Log'!$G$3:$G$500&lt;&gt;"Yes")*('Rework Log'!$G$3:$G$500&lt;&gt;"Did not pass re-test"))*IFERROR('Rework Log'!$I$3:$I$500*1,0)))&gt;0),"Move old DB Dev completion date to Rework Log (col H)",IF(AND(LEFT($AC158,3)="Yes",ISNUMBER(SEARCH("needs PBI Dev",$AC158)),R158&lt;&gt;"",SUMPRODUCT(MAX(((TRIM('Rework Log'!$A$3:$A$500)=TRIM($B158))*('Rework Log'!$G$3:$G$500&lt;&gt;"Yes")*('Rework Log'!$G$3:$G$500&lt;&gt;"Did not pass re-test"))*IFERROR('Rework Log'!$I$3:$I$500*1,0)))&gt;0),"Move old PBI Dev completion date to Rework Log (col H)",IF(AND(LEFT($AC158,3)="Yes",ISNUMBER(SEARCH("needs QA",$AC158)),U158&lt;&gt;"",SUMPRODUCT(MAX(((TRIM('Rework Log'!$A$3:$A$500)=TRIM($B158))*('Rework Log'!$G$3:$G$500&lt;&gt;"Yes")*('Rework Log'!$G$3:$G$500&lt;&gt;"Did not pass re-test"))*IFERROR('Rework Log'!$I$3:$I$500*1,0)))&gt;0),"Move old QA completion date to Rework Log (col H)",IF(AND(LEFT($AC158,3)="Yes",ISNUMBER(SEARCH("needs DB Dev",$AC158)),TRIM(C158)&lt;&gt;"DB Dev"),"Set Current Status back to DB Dev",IF(AND(LEFT($AC158,3)="Yes",ISNUMBER(SEARCH("needs PBI Dev",$AC158)),TRIM(C158)&lt;&gt;"PBI Dev"),"Set Current Status back to PBI Dev",IF(AND(LEFT($AC158,3)="Yes",ISNUMBER(SEARCH("needs QA",$AC158)),TRIM(C158)&lt;&gt;"QA"),"Set Current Status back to QA",IF(COUNTIF($B$2:$B$500,$B158)&gt;1,"Duplicate name - check row",IF(AND(TRIM(C158)="RELEASED IN PROD",Y158&lt;&gt;"Yes"),"Released but Confirmed Deployed? is not Yes",IF(COUNTIF('Rework Log'!$A$3:$A$500,$B158)&gt;0,"",IF(AND(S158&lt;&gt;"",M158&lt;&gt;"",S158&lt;M158),"QA target is before DB Dev target",IF(AND(S158&lt;&gt;"",P158&lt;&gt;"",S158&lt;P158),"QA target is before PBI Dev target",IF(AND(V158&lt;&gt;"",S158&lt;&gt;"",V158&lt;S158),"DPO Approval target is before QA target",IF(AND(Z158&lt;&gt;"",V158&lt;&gt;"",Z158&lt;V158),"Confirmed Deployed date is before DPO Approval target","")))))))))))))))))</f>
        <v/>
      </c>
      <c r="AE158" s="62"/>
    </row>
    <row r="159" spans="1:31" x14ac:dyDescent="0.25">
      <c r="A159" s="62"/>
      <c r="B159" s="62"/>
      <c r="C159" s="62"/>
      <c r="D159" s="64" t="str">
        <f ca="1">IF($B159="","",IF(LEFT($AC159,3)="Yes",IF(LEN($AC159)&gt;5,"Blocked - "&amp;MID($AC159,7,100),"Blocked")&amp;IF(SUMPRODUCT((TRIM('Rework Log'!$A$3:$A$500)=TRIM($B159))*('Rework Log'!$G$3:$G$500&lt;&gt;"Yes")*('Rework Log'!$G$3:$G$500&lt;&gt;"Did not pass re-test"))=0,"",IF(SUMPRODUCT(((TRIM('Rework Log'!$A$3:$A$500)=TRIM($B159))*('Rework Log'!$G$3:$G$500&lt;&gt;"Yes")*('Rework Log'!$G$3:$G$500&lt;&gt;"Did not pass re-test"))*ISNUMBER('Rework Log'!$J$3:$J$500))&gt;0," - fixed, awaiting re-test",IF(SUMPRODUCT(MAX(((TRIM('Rework Log'!$A$3:$A$500)=TRIM($B159))*('Rework Log'!$G$3:$G$500&lt;&gt;"Yes")*('Rework Log'!$G$3:$G$500&lt;&gt;"Did not pass re-test"))*IFERROR('Rework Log'!$I$3:$I$500*1,0)))=0," - unclaimed"," - promised "&amp;TEXT(SUMPRODUCT(MAX(((TRIM('Rework Log'!$A$3:$A$500)=TRIM($B159))*('Rework Log'!$G$3:$G$500&lt;&gt;"Yes")*('Rework Log'!$G$3:$G$500&lt;&gt;"Did not pass re-test"))*IFERROR('Rework Log'!$I$3:$I$500*1,0))),"m/d")))),IF(TRIM(C159)="NOT STARTED",IF(K159="","No plan date set",IF(K159&lt;TODAY(),"Review - planned start passed","On track")),IF(TRIM(C159)="DB Dev",IF(M159="","No target set",IF(AND(M159&lt;TODAY(),O159=""),"Overdue","On track")),IF(TRIM(C159)="PBI Dev",IF(P159="","No target set",IF(AND(P159&lt;TODAY(),R159=""),"Overdue","On track")),IF(TRIM(C159)="QA",IF(S159="","No target set",IF(AND(S159&lt;TODAY(),U159=""),"Overdue","On track")),IF(TRIM(C159)="DPO Approval",IF(V159="","No target set",IF(V159&lt;TODAY(),"Overdue","On track")),IF(TRIM(C159)="RELEASED IN PROD","Delivered",""))))))))</f>
        <v/>
      </c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4" t="str">
        <f>IF($B159="","",IF(AND(LEFT($AC159,3)="Yes",SUMPRODUCT((TRIM('Rework Log'!$A$3:$A$500)=TRIM($B159))*('Rework Log'!$G$3:$G$500&lt;&gt;"Yes")*('Rework Log'!$G$3:$G$500&lt;&gt;"Did not pass re-test"))=0),"Blocked - log it on Rework Log",IF(AND(LEFT($AC159,3)&lt;&gt;"Yes",SUMPRODUCT((TRIM('Rework Log'!$A$3:$A$500)=TRIM($B159))*('Rework Log'!$G$3:$G$500&lt;&gt;"Yes")*('Rework Log'!$G$3:$G$500&lt;&gt;"Did not pass re-test"))&gt;0),"Open rework row - mark Blocked? or close it",IF(AND(LEFT($AC159,3)&lt;&gt;"Yes",SUMPRODUCT((TRIM('Rework Log'!$A$3:$A$500)=TRIM($B159))*('Rework Log'!$G$3:$G$500&lt;&gt;"Yes")*('Rework Log'!$G$3:$G$500&lt;&gt;"Did not pass re-test"))=0,COUNTIF('Rework Log'!$A$3:$A$500,$B159)&gt;0,IFERROR(INDEX('Rework Log'!$G:$G,SUMPRODUCT(MAX((TRIM('Rework Log'!$A$3:$A$500)=TRIM($B159))*ROW('Rework Log'!$A$3:$A$500)))),"")="Did not pass re-test"),"Last fix rejected - re-block or log next attempt",IF(AND(LEFT($AC159,3)="Yes",ISNUMBER(SEARCH("needs DB Dev",$AC159)),O159&lt;&gt;"",SUMPRODUCT(MAX(((TRIM('Rework Log'!$A$3:$A$500)=TRIM($B159))*('Rework Log'!$G$3:$G$500&lt;&gt;"Yes")*('Rework Log'!$G$3:$G$500&lt;&gt;"Did not pass re-test"))*IFERROR('Rework Log'!$I$3:$I$500*1,0)))&gt;0),"Move old DB Dev completion date to Rework Log (col H)",IF(AND(LEFT($AC159,3)="Yes",ISNUMBER(SEARCH("needs PBI Dev",$AC159)),R159&lt;&gt;"",SUMPRODUCT(MAX(((TRIM('Rework Log'!$A$3:$A$500)=TRIM($B159))*('Rework Log'!$G$3:$G$500&lt;&gt;"Yes")*('Rework Log'!$G$3:$G$500&lt;&gt;"Did not pass re-test"))*IFERROR('Rework Log'!$I$3:$I$500*1,0)))&gt;0),"Move old PBI Dev completion date to Rework Log (col H)",IF(AND(LEFT($AC159,3)="Yes",ISNUMBER(SEARCH("needs QA",$AC159)),U159&lt;&gt;"",SUMPRODUCT(MAX(((TRIM('Rework Log'!$A$3:$A$500)=TRIM($B159))*('Rework Log'!$G$3:$G$500&lt;&gt;"Yes")*('Rework Log'!$G$3:$G$500&lt;&gt;"Did not pass re-test"))*IFERROR('Rework Log'!$I$3:$I$500*1,0)))&gt;0),"Move old QA completion date to Rework Log (col H)",IF(AND(LEFT($AC159,3)="Yes",ISNUMBER(SEARCH("needs DB Dev",$AC159)),TRIM(C159)&lt;&gt;"DB Dev"),"Set Current Status back to DB Dev",IF(AND(LEFT($AC159,3)="Yes",ISNUMBER(SEARCH("needs PBI Dev",$AC159)),TRIM(C159)&lt;&gt;"PBI Dev"),"Set Current Status back to PBI Dev",IF(AND(LEFT($AC159,3)="Yes",ISNUMBER(SEARCH("needs QA",$AC159)),TRIM(C159)&lt;&gt;"QA"),"Set Current Status back to QA",IF(COUNTIF($B$2:$B$500,$B159)&gt;1,"Duplicate name - check row",IF(AND(TRIM(C159)="RELEASED IN PROD",Y159&lt;&gt;"Yes"),"Released but Confirmed Deployed? is not Yes",IF(COUNTIF('Rework Log'!$A$3:$A$500,$B159)&gt;0,"",IF(AND(S159&lt;&gt;"",M159&lt;&gt;"",S159&lt;M159),"QA target is before DB Dev target",IF(AND(S159&lt;&gt;"",P159&lt;&gt;"",S159&lt;P159),"QA target is before PBI Dev target",IF(AND(V159&lt;&gt;"",S159&lt;&gt;"",V159&lt;S159),"DPO Approval target is before QA target",IF(AND(Z159&lt;&gt;"",V159&lt;&gt;"",Z159&lt;V159),"Confirmed Deployed date is before DPO Approval target","")))))))))))))))))</f>
        <v/>
      </c>
      <c r="AE159" s="62"/>
    </row>
    <row r="160" spans="1:31" x14ac:dyDescent="0.25">
      <c r="A160" s="62"/>
      <c r="B160" s="62"/>
      <c r="C160" s="62"/>
      <c r="D160" s="64" t="str">
        <f ca="1">IF($B160="","",IF(LEFT($AC160,3)="Yes",IF(LEN($AC160)&gt;5,"Blocked - "&amp;MID($AC160,7,100),"Blocked")&amp;IF(SUMPRODUCT((TRIM('Rework Log'!$A$3:$A$500)=TRIM($B160))*('Rework Log'!$G$3:$G$500&lt;&gt;"Yes")*('Rework Log'!$G$3:$G$500&lt;&gt;"Did not pass re-test"))=0,"",IF(SUMPRODUCT(((TRIM('Rework Log'!$A$3:$A$500)=TRIM($B160))*('Rework Log'!$G$3:$G$500&lt;&gt;"Yes")*('Rework Log'!$G$3:$G$500&lt;&gt;"Did not pass re-test"))*ISNUMBER('Rework Log'!$J$3:$J$500))&gt;0," - fixed, awaiting re-test",IF(SUMPRODUCT(MAX(((TRIM('Rework Log'!$A$3:$A$500)=TRIM($B160))*('Rework Log'!$G$3:$G$500&lt;&gt;"Yes")*('Rework Log'!$G$3:$G$500&lt;&gt;"Did not pass re-test"))*IFERROR('Rework Log'!$I$3:$I$500*1,0)))=0," - unclaimed"," - promised "&amp;TEXT(SUMPRODUCT(MAX(((TRIM('Rework Log'!$A$3:$A$500)=TRIM($B160))*('Rework Log'!$G$3:$G$500&lt;&gt;"Yes")*('Rework Log'!$G$3:$G$500&lt;&gt;"Did not pass re-test"))*IFERROR('Rework Log'!$I$3:$I$500*1,0))),"m/d")))),IF(TRIM(C160)="NOT STARTED",IF(K160="","No plan date set",IF(K160&lt;TODAY(),"Review - planned start passed","On track")),IF(TRIM(C160)="DB Dev",IF(M160="","No target set",IF(AND(M160&lt;TODAY(),O160=""),"Overdue","On track")),IF(TRIM(C160)="PBI Dev",IF(P160="","No target set",IF(AND(P160&lt;TODAY(),R160=""),"Overdue","On track")),IF(TRIM(C160)="QA",IF(S160="","No target set",IF(AND(S160&lt;TODAY(),U160=""),"Overdue","On track")),IF(TRIM(C160)="DPO Approval",IF(V160="","No target set",IF(V160&lt;TODAY(),"Overdue","On track")),IF(TRIM(C160)="RELEASED IN PROD","Delivered",""))))))))</f>
        <v/>
      </c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4" t="str">
        <f>IF($B160="","",IF(AND(LEFT($AC160,3)="Yes",SUMPRODUCT((TRIM('Rework Log'!$A$3:$A$500)=TRIM($B160))*('Rework Log'!$G$3:$G$500&lt;&gt;"Yes")*('Rework Log'!$G$3:$G$500&lt;&gt;"Did not pass re-test"))=0),"Blocked - log it on Rework Log",IF(AND(LEFT($AC160,3)&lt;&gt;"Yes",SUMPRODUCT((TRIM('Rework Log'!$A$3:$A$500)=TRIM($B160))*('Rework Log'!$G$3:$G$500&lt;&gt;"Yes")*('Rework Log'!$G$3:$G$500&lt;&gt;"Did not pass re-test"))&gt;0),"Open rework row - mark Blocked? or close it",IF(AND(LEFT($AC160,3)&lt;&gt;"Yes",SUMPRODUCT((TRIM('Rework Log'!$A$3:$A$500)=TRIM($B160))*('Rework Log'!$G$3:$G$500&lt;&gt;"Yes")*('Rework Log'!$G$3:$G$500&lt;&gt;"Did not pass re-test"))=0,COUNTIF('Rework Log'!$A$3:$A$500,$B160)&gt;0,IFERROR(INDEX('Rework Log'!$G:$G,SUMPRODUCT(MAX((TRIM('Rework Log'!$A$3:$A$500)=TRIM($B160))*ROW('Rework Log'!$A$3:$A$500)))),"")="Did not pass re-test"),"Last fix rejected - re-block or log next attempt",IF(AND(LEFT($AC160,3)="Yes",ISNUMBER(SEARCH("needs DB Dev",$AC160)),O160&lt;&gt;"",SUMPRODUCT(MAX(((TRIM('Rework Log'!$A$3:$A$500)=TRIM($B160))*('Rework Log'!$G$3:$G$500&lt;&gt;"Yes")*('Rework Log'!$G$3:$G$500&lt;&gt;"Did not pass re-test"))*IFERROR('Rework Log'!$I$3:$I$500*1,0)))&gt;0),"Move old DB Dev completion date to Rework Log (col H)",IF(AND(LEFT($AC160,3)="Yes",ISNUMBER(SEARCH("needs PBI Dev",$AC160)),R160&lt;&gt;"",SUMPRODUCT(MAX(((TRIM('Rework Log'!$A$3:$A$500)=TRIM($B160))*('Rework Log'!$G$3:$G$500&lt;&gt;"Yes")*('Rework Log'!$G$3:$G$500&lt;&gt;"Did not pass re-test"))*IFERROR('Rework Log'!$I$3:$I$500*1,0)))&gt;0),"Move old PBI Dev completion date to Rework Log (col H)",IF(AND(LEFT($AC160,3)="Yes",ISNUMBER(SEARCH("needs QA",$AC160)),U160&lt;&gt;"",SUMPRODUCT(MAX(((TRIM('Rework Log'!$A$3:$A$500)=TRIM($B160))*('Rework Log'!$G$3:$G$500&lt;&gt;"Yes")*('Rework Log'!$G$3:$G$500&lt;&gt;"Did not pass re-test"))*IFERROR('Rework Log'!$I$3:$I$500*1,0)))&gt;0),"Move old QA completion date to Rework Log (col H)",IF(AND(LEFT($AC160,3)="Yes",ISNUMBER(SEARCH("needs DB Dev",$AC160)),TRIM(C160)&lt;&gt;"DB Dev"),"Set Current Status back to DB Dev",IF(AND(LEFT($AC160,3)="Yes",ISNUMBER(SEARCH("needs PBI Dev",$AC160)),TRIM(C160)&lt;&gt;"PBI Dev"),"Set Current Status back to PBI Dev",IF(AND(LEFT($AC160,3)="Yes",ISNUMBER(SEARCH("needs QA",$AC160)),TRIM(C160)&lt;&gt;"QA"),"Set Current Status back to QA",IF(COUNTIF($B$2:$B$500,$B160)&gt;1,"Duplicate name - check row",IF(AND(TRIM(C160)="RELEASED IN PROD",Y160&lt;&gt;"Yes"),"Released but Confirmed Deployed? is not Yes",IF(COUNTIF('Rework Log'!$A$3:$A$500,$B160)&gt;0,"",IF(AND(S160&lt;&gt;"",M160&lt;&gt;"",S160&lt;M160),"QA target is before DB Dev target",IF(AND(S160&lt;&gt;"",P160&lt;&gt;"",S160&lt;P160),"QA target is before PBI Dev target",IF(AND(V160&lt;&gt;"",S160&lt;&gt;"",V160&lt;S160),"DPO Approval target is before QA target",IF(AND(Z160&lt;&gt;"",V160&lt;&gt;"",Z160&lt;V160),"Confirmed Deployed date is before DPO Approval target","")))))))))))))))))</f>
        <v/>
      </c>
      <c r="AE160" s="62"/>
    </row>
    <row r="161" spans="1:31" x14ac:dyDescent="0.25">
      <c r="A161" s="62"/>
      <c r="B161" s="62"/>
      <c r="C161" s="62"/>
      <c r="D161" s="64" t="str">
        <f ca="1">IF($B161="","",IF(LEFT($AC161,3)="Yes",IF(LEN($AC161)&gt;5,"Blocked - "&amp;MID($AC161,7,100),"Blocked")&amp;IF(SUMPRODUCT((TRIM('Rework Log'!$A$3:$A$500)=TRIM($B161))*('Rework Log'!$G$3:$G$500&lt;&gt;"Yes")*('Rework Log'!$G$3:$G$500&lt;&gt;"Did not pass re-test"))=0,"",IF(SUMPRODUCT(((TRIM('Rework Log'!$A$3:$A$500)=TRIM($B161))*('Rework Log'!$G$3:$G$500&lt;&gt;"Yes")*('Rework Log'!$G$3:$G$500&lt;&gt;"Did not pass re-test"))*ISNUMBER('Rework Log'!$J$3:$J$500))&gt;0," - fixed, awaiting re-test",IF(SUMPRODUCT(MAX(((TRIM('Rework Log'!$A$3:$A$500)=TRIM($B161))*('Rework Log'!$G$3:$G$500&lt;&gt;"Yes")*('Rework Log'!$G$3:$G$500&lt;&gt;"Did not pass re-test"))*IFERROR('Rework Log'!$I$3:$I$500*1,0)))=0," - unclaimed"," - promised "&amp;TEXT(SUMPRODUCT(MAX(((TRIM('Rework Log'!$A$3:$A$500)=TRIM($B161))*('Rework Log'!$G$3:$G$500&lt;&gt;"Yes")*('Rework Log'!$G$3:$G$500&lt;&gt;"Did not pass re-test"))*IFERROR('Rework Log'!$I$3:$I$500*1,0))),"m/d")))),IF(TRIM(C161)="NOT STARTED",IF(K161="","No plan date set",IF(K161&lt;TODAY(),"Review - planned start passed","On track")),IF(TRIM(C161)="DB Dev",IF(M161="","No target set",IF(AND(M161&lt;TODAY(),O161=""),"Overdue","On track")),IF(TRIM(C161)="PBI Dev",IF(P161="","No target set",IF(AND(P161&lt;TODAY(),R161=""),"Overdue","On track")),IF(TRIM(C161)="QA",IF(S161="","No target set",IF(AND(S161&lt;TODAY(),U161=""),"Overdue","On track")),IF(TRIM(C161)="DPO Approval",IF(V161="","No target set",IF(V161&lt;TODAY(),"Overdue","On track")),IF(TRIM(C161)="RELEASED IN PROD","Delivered",""))))))))</f>
        <v/>
      </c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4" t="str">
        <f>IF($B161="","",IF(AND(LEFT($AC161,3)="Yes",SUMPRODUCT((TRIM('Rework Log'!$A$3:$A$500)=TRIM($B161))*('Rework Log'!$G$3:$G$500&lt;&gt;"Yes")*('Rework Log'!$G$3:$G$500&lt;&gt;"Did not pass re-test"))=0),"Blocked - log it on Rework Log",IF(AND(LEFT($AC161,3)&lt;&gt;"Yes",SUMPRODUCT((TRIM('Rework Log'!$A$3:$A$500)=TRIM($B161))*('Rework Log'!$G$3:$G$500&lt;&gt;"Yes")*('Rework Log'!$G$3:$G$500&lt;&gt;"Did not pass re-test"))&gt;0),"Open rework row - mark Blocked? or close it",IF(AND(LEFT($AC161,3)&lt;&gt;"Yes",SUMPRODUCT((TRIM('Rework Log'!$A$3:$A$500)=TRIM($B161))*('Rework Log'!$G$3:$G$500&lt;&gt;"Yes")*('Rework Log'!$G$3:$G$500&lt;&gt;"Did not pass re-test"))=0,COUNTIF('Rework Log'!$A$3:$A$500,$B161)&gt;0,IFERROR(INDEX('Rework Log'!$G:$G,SUMPRODUCT(MAX((TRIM('Rework Log'!$A$3:$A$500)=TRIM($B161))*ROW('Rework Log'!$A$3:$A$500)))),"")="Did not pass re-test"),"Last fix rejected - re-block or log next attempt",IF(AND(LEFT($AC161,3)="Yes",ISNUMBER(SEARCH("needs DB Dev",$AC161)),O161&lt;&gt;"",SUMPRODUCT(MAX(((TRIM('Rework Log'!$A$3:$A$500)=TRIM($B161))*('Rework Log'!$G$3:$G$500&lt;&gt;"Yes")*('Rework Log'!$G$3:$G$500&lt;&gt;"Did not pass re-test"))*IFERROR('Rework Log'!$I$3:$I$500*1,0)))&gt;0),"Move old DB Dev completion date to Rework Log (col H)",IF(AND(LEFT($AC161,3)="Yes",ISNUMBER(SEARCH("needs PBI Dev",$AC161)),R161&lt;&gt;"",SUMPRODUCT(MAX(((TRIM('Rework Log'!$A$3:$A$500)=TRIM($B161))*('Rework Log'!$G$3:$G$500&lt;&gt;"Yes")*('Rework Log'!$G$3:$G$500&lt;&gt;"Did not pass re-test"))*IFERROR('Rework Log'!$I$3:$I$500*1,0)))&gt;0),"Move old PBI Dev completion date to Rework Log (col H)",IF(AND(LEFT($AC161,3)="Yes",ISNUMBER(SEARCH("needs QA",$AC161)),U161&lt;&gt;"",SUMPRODUCT(MAX(((TRIM('Rework Log'!$A$3:$A$500)=TRIM($B161))*('Rework Log'!$G$3:$G$500&lt;&gt;"Yes")*('Rework Log'!$G$3:$G$500&lt;&gt;"Did not pass re-test"))*IFERROR('Rework Log'!$I$3:$I$500*1,0)))&gt;0),"Move old QA completion date to Rework Log (col H)",IF(AND(LEFT($AC161,3)="Yes",ISNUMBER(SEARCH("needs DB Dev",$AC161)),TRIM(C161)&lt;&gt;"DB Dev"),"Set Current Status back to DB Dev",IF(AND(LEFT($AC161,3)="Yes",ISNUMBER(SEARCH("needs PBI Dev",$AC161)),TRIM(C161)&lt;&gt;"PBI Dev"),"Set Current Status back to PBI Dev",IF(AND(LEFT($AC161,3)="Yes",ISNUMBER(SEARCH("needs QA",$AC161)),TRIM(C161)&lt;&gt;"QA"),"Set Current Status back to QA",IF(COUNTIF($B$2:$B$500,$B161)&gt;1,"Duplicate name - check row",IF(AND(TRIM(C161)="RELEASED IN PROD",Y161&lt;&gt;"Yes"),"Released but Confirmed Deployed? is not Yes",IF(COUNTIF('Rework Log'!$A$3:$A$500,$B161)&gt;0,"",IF(AND(S161&lt;&gt;"",M161&lt;&gt;"",S161&lt;M161),"QA target is before DB Dev target",IF(AND(S161&lt;&gt;"",P161&lt;&gt;"",S161&lt;P161),"QA target is before PBI Dev target",IF(AND(V161&lt;&gt;"",S161&lt;&gt;"",V161&lt;S161),"DPO Approval target is before QA target",IF(AND(Z161&lt;&gt;"",V161&lt;&gt;"",Z161&lt;V161),"Confirmed Deployed date is before DPO Approval target","")))))))))))))))))</f>
        <v/>
      </c>
      <c r="AE161" s="62"/>
    </row>
    <row r="162" spans="1:31" x14ac:dyDescent="0.25">
      <c r="A162" s="62"/>
      <c r="B162" s="62"/>
      <c r="C162" s="62"/>
      <c r="D162" s="64" t="str">
        <f ca="1">IF($B162="","",IF(LEFT($AC162,3)="Yes",IF(LEN($AC162)&gt;5,"Blocked - "&amp;MID($AC162,7,100),"Blocked")&amp;IF(SUMPRODUCT((TRIM('Rework Log'!$A$3:$A$500)=TRIM($B162))*('Rework Log'!$G$3:$G$500&lt;&gt;"Yes")*('Rework Log'!$G$3:$G$500&lt;&gt;"Did not pass re-test"))=0,"",IF(SUMPRODUCT(((TRIM('Rework Log'!$A$3:$A$500)=TRIM($B162))*('Rework Log'!$G$3:$G$500&lt;&gt;"Yes")*('Rework Log'!$G$3:$G$500&lt;&gt;"Did not pass re-test"))*ISNUMBER('Rework Log'!$J$3:$J$500))&gt;0," - fixed, awaiting re-test",IF(SUMPRODUCT(MAX(((TRIM('Rework Log'!$A$3:$A$500)=TRIM($B162))*('Rework Log'!$G$3:$G$500&lt;&gt;"Yes")*('Rework Log'!$G$3:$G$500&lt;&gt;"Did not pass re-test"))*IFERROR('Rework Log'!$I$3:$I$500*1,0)))=0," - unclaimed"," - promised "&amp;TEXT(SUMPRODUCT(MAX(((TRIM('Rework Log'!$A$3:$A$500)=TRIM($B162))*('Rework Log'!$G$3:$G$500&lt;&gt;"Yes")*('Rework Log'!$G$3:$G$500&lt;&gt;"Did not pass re-test"))*IFERROR('Rework Log'!$I$3:$I$500*1,0))),"m/d")))),IF(TRIM(C162)="NOT STARTED",IF(K162="","No plan date set",IF(K162&lt;TODAY(),"Review - planned start passed","On track")),IF(TRIM(C162)="DB Dev",IF(M162="","No target set",IF(AND(M162&lt;TODAY(),O162=""),"Overdue","On track")),IF(TRIM(C162)="PBI Dev",IF(P162="","No target set",IF(AND(P162&lt;TODAY(),R162=""),"Overdue","On track")),IF(TRIM(C162)="QA",IF(S162="","No target set",IF(AND(S162&lt;TODAY(),U162=""),"Overdue","On track")),IF(TRIM(C162)="DPO Approval",IF(V162="","No target set",IF(V162&lt;TODAY(),"Overdue","On track")),IF(TRIM(C162)="RELEASED IN PROD","Delivered",""))))))))</f>
        <v/>
      </c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4" t="str">
        <f>IF($B162="","",IF(AND(LEFT($AC162,3)="Yes",SUMPRODUCT((TRIM('Rework Log'!$A$3:$A$500)=TRIM($B162))*('Rework Log'!$G$3:$G$500&lt;&gt;"Yes")*('Rework Log'!$G$3:$G$500&lt;&gt;"Did not pass re-test"))=0),"Blocked - log it on Rework Log",IF(AND(LEFT($AC162,3)&lt;&gt;"Yes",SUMPRODUCT((TRIM('Rework Log'!$A$3:$A$500)=TRIM($B162))*('Rework Log'!$G$3:$G$500&lt;&gt;"Yes")*('Rework Log'!$G$3:$G$500&lt;&gt;"Did not pass re-test"))&gt;0),"Open rework row - mark Blocked? or close it",IF(AND(LEFT($AC162,3)&lt;&gt;"Yes",SUMPRODUCT((TRIM('Rework Log'!$A$3:$A$500)=TRIM($B162))*('Rework Log'!$G$3:$G$500&lt;&gt;"Yes")*('Rework Log'!$G$3:$G$500&lt;&gt;"Did not pass re-test"))=0,COUNTIF('Rework Log'!$A$3:$A$500,$B162)&gt;0,IFERROR(INDEX('Rework Log'!$G:$G,SUMPRODUCT(MAX((TRIM('Rework Log'!$A$3:$A$500)=TRIM($B162))*ROW('Rework Log'!$A$3:$A$500)))),"")="Did not pass re-test"),"Last fix rejected - re-block or log next attempt",IF(AND(LEFT($AC162,3)="Yes",ISNUMBER(SEARCH("needs DB Dev",$AC162)),O162&lt;&gt;"",SUMPRODUCT(MAX(((TRIM('Rework Log'!$A$3:$A$500)=TRIM($B162))*('Rework Log'!$G$3:$G$500&lt;&gt;"Yes")*('Rework Log'!$G$3:$G$500&lt;&gt;"Did not pass re-test"))*IFERROR('Rework Log'!$I$3:$I$500*1,0)))&gt;0),"Move old DB Dev completion date to Rework Log (col H)",IF(AND(LEFT($AC162,3)="Yes",ISNUMBER(SEARCH("needs PBI Dev",$AC162)),R162&lt;&gt;"",SUMPRODUCT(MAX(((TRIM('Rework Log'!$A$3:$A$500)=TRIM($B162))*('Rework Log'!$G$3:$G$500&lt;&gt;"Yes")*('Rework Log'!$G$3:$G$500&lt;&gt;"Did not pass re-test"))*IFERROR('Rework Log'!$I$3:$I$500*1,0)))&gt;0),"Move old PBI Dev completion date to Rework Log (col H)",IF(AND(LEFT($AC162,3)="Yes",ISNUMBER(SEARCH("needs QA",$AC162)),U162&lt;&gt;"",SUMPRODUCT(MAX(((TRIM('Rework Log'!$A$3:$A$500)=TRIM($B162))*('Rework Log'!$G$3:$G$500&lt;&gt;"Yes")*('Rework Log'!$G$3:$G$500&lt;&gt;"Did not pass re-test"))*IFERROR('Rework Log'!$I$3:$I$500*1,0)))&gt;0),"Move old QA completion date to Rework Log (col H)",IF(AND(LEFT($AC162,3)="Yes",ISNUMBER(SEARCH("needs DB Dev",$AC162)),TRIM(C162)&lt;&gt;"DB Dev"),"Set Current Status back to DB Dev",IF(AND(LEFT($AC162,3)="Yes",ISNUMBER(SEARCH("needs PBI Dev",$AC162)),TRIM(C162)&lt;&gt;"PBI Dev"),"Set Current Status back to PBI Dev",IF(AND(LEFT($AC162,3)="Yes",ISNUMBER(SEARCH("needs QA",$AC162)),TRIM(C162)&lt;&gt;"QA"),"Set Current Status back to QA",IF(COUNTIF($B$2:$B$500,$B162)&gt;1,"Duplicate name - check row",IF(AND(TRIM(C162)="RELEASED IN PROD",Y162&lt;&gt;"Yes"),"Released but Confirmed Deployed? is not Yes",IF(COUNTIF('Rework Log'!$A$3:$A$500,$B162)&gt;0,"",IF(AND(S162&lt;&gt;"",M162&lt;&gt;"",S162&lt;M162),"QA target is before DB Dev target",IF(AND(S162&lt;&gt;"",P162&lt;&gt;"",S162&lt;P162),"QA target is before PBI Dev target",IF(AND(V162&lt;&gt;"",S162&lt;&gt;"",V162&lt;S162),"DPO Approval target is before QA target",IF(AND(Z162&lt;&gt;"",V162&lt;&gt;"",Z162&lt;V162),"Confirmed Deployed date is before DPO Approval target","")))))))))))))))))</f>
        <v/>
      </c>
      <c r="AE162" s="62"/>
    </row>
    <row r="163" spans="1:31" x14ac:dyDescent="0.25">
      <c r="A163" s="62"/>
      <c r="B163" s="62"/>
      <c r="C163" s="62"/>
      <c r="D163" s="64" t="str">
        <f ca="1">IF($B163="","",IF(LEFT($AC163,3)="Yes",IF(LEN($AC163)&gt;5,"Blocked - "&amp;MID($AC163,7,100),"Blocked")&amp;IF(SUMPRODUCT((TRIM('Rework Log'!$A$3:$A$500)=TRIM($B163))*('Rework Log'!$G$3:$G$500&lt;&gt;"Yes")*('Rework Log'!$G$3:$G$500&lt;&gt;"Did not pass re-test"))=0,"",IF(SUMPRODUCT(((TRIM('Rework Log'!$A$3:$A$500)=TRIM($B163))*('Rework Log'!$G$3:$G$500&lt;&gt;"Yes")*('Rework Log'!$G$3:$G$500&lt;&gt;"Did not pass re-test"))*ISNUMBER('Rework Log'!$J$3:$J$500))&gt;0," - fixed, awaiting re-test",IF(SUMPRODUCT(MAX(((TRIM('Rework Log'!$A$3:$A$500)=TRIM($B163))*('Rework Log'!$G$3:$G$500&lt;&gt;"Yes")*('Rework Log'!$G$3:$G$500&lt;&gt;"Did not pass re-test"))*IFERROR('Rework Log'!$I$3:$I$500*1,0)))=0," - unclaimed"," - promised "&amp;TEXT(SUMPRODUCT(MAX(((TRIM('Rework Log'!$A$3:$A$500)=TRIM($B163))*('Rework Log'!$G$3:$G$500&lt;&gt;"Yes")*('Rework Log'!$G$3:$G$500&lt;&gt;"Did not pass re-test"))*IFERROR('Rework Log'!$I$3:$I$500*1,0))),"m/d")))),IF(TRIM(C163)="NOT STARTED",IF(K163="","No plan date set",IF(K163&lt;TODAY(),"Review - planned start passed","On track")),IF(TRIM(C163)="DB Dev",IF(M163="","No target set",IF(AND(M163&lt;TODAY(),O163=""),"Overdue","On track")),IF(TRIM(C163)="PBI Dev",IF(P163="","No target set",IF(AND(P163&lt;TODAY(),R163=""),"Overdue","On track")),IF(TRIM(C163)="QA",IF(S163="","No target set",IF(AND(S163&lt;TODAY(),U163=""),"Overdue","On track")),IF(TRIM(C163)="DPO Approval",IF(V163="","No target set",IF(V163&lt;TODAY(),"Overdue","On track")),IF(TRIM(C163)="RELEASED IN PROD","Delivered",""))))))))</f>
        <v/>
      </c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4" t="str">
        <f>IF($B163="","",IF(AND(LEFT($AC163,3)="Yes",SUMPRODUCT((TRIM('Rework Log'!$A$3:$A$500)=TRIM($B163))*('Rework Log'!$G$3:$G$500&lt;&gt;"Yes")*('Rework Log'!$G$3:$G$500&lt;&gt;"Did not pass re-test"))=0),"Blocked - log it on Rework Log",IF(AND(LEFT($AC163,3)&lt;&gt;"Yes",SUMPRODUCT((TRIM('Rework Log'!$A$3:$A$500)=TRIM($B163))*('Rework Log'!$G$3:$G$500&lt;&gt;"Yes")*('Rework Log'!$G$3:$G$500&lt;&gt;"Did not pass re-test"))&gt;0),"Open rework row - mark Blocked? or close it",IF(AND(LEFT($AC163,3)&lt;&gt;"Yes",SUMPRODUCT((TRIM('Rework Log'!$A$3:$A$500)=TRIM($B163))*('Rework Log'!$G$3:$G$500&lt;&gt;"Yes")*('Rework Log'!$G$3:$G$500&lt;&gt;"Did not pass re-test"))=0,COUNTIF('Rework Log'!$A$3:$A$500,$B163)&gt;0,IFERROR(INDEX('Rework Log'!$G:$G,SUMPRODUCT(MAX((TRIM('Rework Log'!$A$3:$A$500)=TRIM($B163))*ROW('Rework Log'!$A$3:$A$500)))),"")="Did not pass re-test"),"Last fix rejected - re-block or log next attempt",IF(AND(LEFT($AC163,3)="Yes",ISNUMBER(SEARCH("needs DB Dev",$AC163)),O163&lt;&gt;"",SUMPRODUCT(MAX(((TRIM('Rework Log'!$A$3:$A$500)=TRIM($B163))*('Rework Log'!$G$3:$G$500&lt;&gt;"Yes")*('Rework Log'!$G$3:$G$500&lt;&gt;"Did not pass re-test"))*IFERROR('Rework Log'!$I$3:$I$500*1,0)))&gt;0),"Move old DB Dev completion date to Rework Log (col H)",IF(AND(LEFT($AC163,3)="Yes",ISNUMBER(SEARCH("needs PBI Dev",$AC163)),R163&lt;&gt;"",SUMPRODUCT(MAX(((TRIM('Rework Log'!$A$3:$A$500)=TRIM($B163))*('Rework Log'!$G$3:$G$500&lt;&gt;"Yes")*('Rework Log'!$G$3:$G$500&lt;&gt;"Did not pass re-test"))*IFERROR('Rework Log'!$I$3:$I$500*1,0)))&gt;0),"Move old PBI Dev completion date to Rework Log (col H)",IF(AND(LEFT($AC163,3)="Yes",ISNUMBER(SEARCH("needs QA",$AC163)),U163&lt;&gt;"",SUMPRODUCT(MAX(((TRIM('Rework Log'!$A$3:$A$500)=TRIM($B163))*('Rework Log'!$G$3:$G$500&lt;&gt;"Yes")*('Rework Log'!$G$3:$G$500&lt;&gt;"Did not pass re-test"))*IFERROR('Rework Log'!$I$3:$I$500*1,0)))&gt;0),"Move old QA completion date to Rework Log (col H)",IF(AND(LEFT($AC163,3)="Yes",ISNUMBER(SEARCH("needs DB Dev",$AC163)),TRIM(C163)&lt;&gt;"DB Dev"),"Set Current Status back to DB Dev",IF(AND(LEFT($AC163,3)="Yes",ISNUMBER(SEARCH("needs PBI Dev",$AC163)),TRIM(C163)&lt;&gt;"PBI Dev"),"Set Current Status back to PBI Dev",IF(AND(LEFT($AC163,3)="Yes",ISNUMBER(SEARCH("needs QA",$AC163)),TRIM(C163)&lt;&gt;"QA"),"Set Current Status back to QA",IF(COUNTIF($B$2:$B$500,$B163)&gt;1,"Duplicate name - check row",IF(AND(TRIM(C163)="RELEASED IN PROD",Y163&lt;&gt;"Yes"),"Released but Confirmed Deployed? is not Yes",IF(COUNTIF('Rework Log'!$A$3:$A$500,$B163)&gt;0,"",IF(AND(S163&lt;&gt;"",M163&lt;&gt;"",S163&lt;M163),"QA target is before DB Dev target",IF(AND(S163&lt;&gt;"",P163&lt;&gt;"",S163&lt;P163),"QA target is before PBI Dev target",IF(AND(V163&lt;&gt;"",S163&lt;&gt;"",V163&lt;S163),"DPO Approval target is before QA target",IF(AND(Z163&lt;&gt;"",V163&lt;&gt;"",Z163&lt;V163),"Confirmed Deployed date is before DPO Approval target","")))))))))))))))))</f>
        <v/>
      </c>
      <c r="AE163" s="62"/>
    </row>
    <row r="164" spans="1:31" x14ac:dyDescent="0.25">
      <c r="A164" s="62"/>
      <c r="B164" s="62"/>
      <c r="C164" s="62"/>
      <c r="D164" s="64" t="str">
        <f ca="1">IF($B164="","",IF(LEFT($AC164,3)="Yes",IF(LEN($AC164)&gt;5,"Blocked - "&amp;MID($AC164,7,100),"Blocked")&amp;IF(SUMPRODUCT((TRIM('Rework Log'!$A$3:$A$500)=TRIM($B164))*('Rework Log'!$G$3:$G$500&lt;&gt;"Yes")*('Rework Log'!$G$3:$G$500&lt;&gt;"Did not pass re-test"))=0,"",IF(SUMPRODUCT(((TRIM('Rework Log'!$A$3:$A$500)=TRIM($B164))*('Rework Log'!$G$3:$G$500&lt;&gt;"Yes")*('Rework Log'!$G$3:$G$500&lt;&gt;"Did not pass re-test"))*ISNUMBER('Rework Log'!$J$3:$J$500))&gt;0," - fixed, awaiting re-test",IF(SUMPRODUCT(MAX(((TRIM('Rework Log'!$A$3:$A$500)=TRIM($B164))*('Rework Log'!$G$3:$G$500&lt;&gt;"Yes")*('Rework Log'!$G$3:$G$500&lt;&gt;"Did not pass re-test"))*IFERROR('Rework Log'!$I$3:$I$500*1,0)))=0," - unclaimed"," - promised "&amp;TEXT(SUMPRODUCT(MAX(((TRIM('Rework Log'!$A$3:$A$500)=TRIM($B164))*('Rework Log'!$G$3:$G$500&lt;&gt;"Yes")*('Rework Log'!$G$3:$G$500&lt;&gt;"Did not pass re-test"))*IFERROR('Rework Log'!$I$3:$I$500*1,0))),"m/d")))),IF(TRIM(C164)="NOT STARTED",IF(K164="","No plan date set",IF(K164&lt;TODAY(),"Review - planned start passed","On track")),IF(TRIM(C164)="DB Dev",IF(M164="","No target set",IF(AND(M164&lt;TODAY(),O164=""),"Overdue","On track")),IF(TRIM(C164)="PBI Dev",IF(P164="","No target set",IF(AND(P164&lt;TODAY(),R164=""),"Overdue","On track")),IF(TRIM(C164)="QA",IF(S164="","No target set",IF(AND(S164&lt;TODAY(),U164=""),"Overdue","On track")),IF(TRIM(C164)="DPO Approval",IF(V164="","No target set",IF(V164&lt;TODAY(),"Overdue","On track")),IF(TRIM(C164)="RELEASED IN PROD","Delivered",""))))))))</f>
        <v/>
      </c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4" t="str">
        <f>IF($B164="","",IF(AND(LEFT($AC164,3)="Yes",SUMPRODUCT((TRIM('Rework Log'!$A$3:$A$500)=TRIM($B164))*('Rework Log'!$G$3:$G$500&lt;&gt;"Yes")*('Rework Log'!$G$3:$G$500&lt;&gt;"Did not pass re-test"))=0),"Blocked - log it on Rework Log",IF(AND(LEFT($AC164,3)&lt;&gt;"Yes",SUMPRODUCT((TRIM('Rework Log'!$A$3:$A$500)=TRIM($B164))*('Rework Log'!$G$3:$G$500&lt;&gt;"Yes")*('Rework Log'!$G$3:$G$500&lt;&gt;"Did not pass re-test"))&gt;0),"Open rework row - mark Blocked? or close it",IF(AND(LEFT($AC164,3)&lt;&gt;"Yes",SUMPRODUCT((TRIM('Rework Log'!$A$3:$A$500)=TRIM($B164))*('Rework Log'!$G$3:$G$500&lt;&gt;"Yes")*('Rework Log'!$G$3:$G$500&lt;&gt;"Did not pass re-test"))=0,COUNTIF('Rework Log'!$A$3:$A$500,$B164)&gt;0,IFERROR(INDEX('Rework Log'!$G:$G,SUMPRODUCT(MAX((TRIM('Rework Log'!$A$3:$A$500)=TRIM($B164))*ROW('Rework Log'!$A$3:$A$500)))),"")="Did not pass re-test"),"Last fix rejected - re-block or log next attempt",IF(AND(LEFT($AC164,3)="Yes",ISNUMBER(SEARCH("needs DB Dev",$AC164)),O164&lt;&gt;"",SUMPRODUCT(MAX(((TRIM('Rework Log'!$A$3:$A$500)=TRIM($B164))*('Rework Log'!$G$3:$G$500&lt;&gt;"Yes")*('Rework Log'!$G$3:$G$500&lt;&gt;"Did not pass re-test"))*IFERROR('Rework Log'!$I$3:$I$500*1,0)))&gt;0),"Move old DB Dev completion date to Rework Log (col H)",IF(AND(LEFT($AC164,3)="Yes",ISNUMBER(SEARCH("needs PBI Dev",$AC164)),R164&lt;&gt;"",SUMPRODUCT(MAX(((TRIM('Rework Log'!$A$3:$A$500)=TRIM($B164))*('Rework Log'!$G$3:$G$500&lt;&gt;"Yes")*('Rework Log'!$G$3:$G$500&lt;&gt;"Did not pass re-test"))*IFERROR('Rework Log'!$I$3:$I$500*1,0)))&gt;0),"Move old PBI Dev completion date to Rework Log (col H)",IF(AND(LEFT($AC164,3)="Yes",ISNUMBER(SEARCH("needs QA",$AC164)),U164&lt;&gt;"",SUMPRODUCT(MAX(((TRIM('Rework Log'!$A$3:$A$500)=TRIM($B164))*('Rework Log'!$G$3:$G$500&lt;&gt;"Yes")*('Rework Log'!$G$3:$G$500&lt;&gt;"Did not pass re-test"))*IFERROR('Rework Log'!$I$3:$I$500*1,0)))&gt;0),"Move old QA completion date to Rework Log (col H)",IF(AND(LEFT($AC164,3)="Yes",ISNUMBER(SEARCH("needs DB Dev",$AC164)),TRIM(C164)&lt;&gt;"DB Dev"),"Set Current Status back to DB Dev",IF(AND(LEFT($AC164,3)="Yes",ISNUMBER(SEARCH("needs PBI Dev",$AC164)),TRIM(C164)&lt;&gt;"PBI Dev"),"Set Current Status back to PBI Dev",IF(AND(LEFT($AC164,3)="Yes",ISNUMBER(SEARCH("needs QA",$AC164)),TRIM(C164)&lt;&gt;"QA"),"Set Current Status back to QA",IF(COUNTIF($B$2:$B$500,$B164)&gt;1,"Duplicate name - check row",IF(AND(TRIM(C164)="RELEASED IN PROD",Y164&lt;&gt;"Yes"),"Released but Confirmed Deployed? is not Yes",IF(COUNTIF('Rework Log'!$A$3:$A$500,$B164)&gt;0,"",IF(AND(S164&lt;&gt;"",M164&lt;&gt;"",S164&lt;M164),"QA target is before DB Dev target",IF(AND(S164&lt;&gt;"",P164&lt;&gt;"",S164&lt;P164),"QA target is before PBI Dev target",IF(AND(V164&lt;&gt;"",S164&lt;&gt;"",V164&lt;S164),"DPO Approval target is before QA target",IF(AND(Z164&lt;&gt;"",V164&lt;&gt;"",Z164&lt;V164),"Confirmed Deployed date is before DPO Approval target","")))))))))))))))))</f>
        <v/>
      </c>
      <c r="AE164" s="62"/>
    </row>
    <row r="165" spans="1:31" x14ac:dyDescent="0.25">
      <c r="A165" s="62"/>
      <c r="B165" s="62"/>
      <c r="C165" s="62"/>
      <c r="D165" s="64" t="str">
        <f ca="1">IF($B165="","",IF(LEFT($AC165,3)="Yes",IF(LEN($AC165)&gt;5,"Blocked - "&amp;MID($AC165,7,100),"Blocked")&amp;IF(SUMPRODUCT((TRIM('Rework Log'!$A$3:$A$500)=TRIM($B165))*('Rework Log'!$G$3:$G$500&lt;&gt;"Yes")*('Rework Log'!$G$3:$G$500&lt;&gt;"Did not pass re-test"))=0,"",IF(SUMPRODUCT(((TRIM('Rework Log'!$A$3:$A$500)=TRIM($B165))*('Rework Log'!$G$3:$G$500&lt;&gt;"Yes")*('Rework Log'!$G$3:$G$500&lt;&gt;"Did not pass re-test"))*ISNUMBER('Rework Log'!$J$3:$J$500))&gt;0," - fixed, awaiting re-test",IF(SUMPRODUCT(MAX(((TRIM('Rework Log'!$A$3:$A$500)=TRIM($B165))*('Rework Log'!$G$3:$G$500&lt;&gt;"Yes")*('Rework Log'!$G$3:$G$500&lt;&gt;"Did not pass re-test"))*IFERROR('Rework Log'!$I$3:$I$500*1,0)))=0," - unclaimed"," - promised "&amp;TEXT(SUMPRODUCT(MAX(((TRIM('Rework Log'!$A$3:$A$500)=TRIM($B165))*('Rework Log'!$G$3:$G$500&lt;&gt;"Yes")*('Rework Log'!$G$3:$G$500&lt;&gt;"Did not pass re-test"))*IFERROR('Rework Log'!$I$3:$I$500*1,0))),"m/d")))),IF(TRIM(C165)="NOT STARTED",IF(K165="","No plan date set",IF(K165&lt;TODAY(),"Review - planned start passed","On track")),IF(TRIM(C165)="DB Dev",IF(M165="","No target set",IF(AND(M165&lt;TODAY(),O165=""),"Overdue","On track")),IF(TRIM(C165)="PBI Dev",IF(P165="","No target set",IF(AND(P165&lt;TODAY(),R165=""),"Overdue","On track")),IF(TRIM(C165)="QA",IF(S165="","No target set",IF(AND(S165&lt;TODAY(),U165=""),"Overdue","On track")),IF(TRIM(C165)="DPO Approval",IF(V165="","No target set",IF(V165&lt;TODAY(),"Overdue","On track")),IF(TRIM(C165)="RELEASED IN PROD","Delivered",""))))))))</f>
        <v/>
      </c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4" t="str">
        <f>IF($B165="","",IF(AND(LEFT($AC165,3)="Yes",SUMPRODUCT((TRIM('Rework Log'!$A$3:$A$500)=TRIM($B165))*('Rework Log'!$G$3:$G$500&lt;&gt;"Yes")*('Rework Log'!$G$3:$G$500&lt;&gt;"Did not pass re-test"))=0),"Blocked - log it on Rework Log",IF(AND(LEFT($AC165,3)&lt;&gt;"Yes",SUMPRODUCT((TRIM('Rework Log'!$A$3:$A$500)=TRIM($B165))*('Rework Log'!$G$3:$G$500&lt;&gt;"Yes")*('Rework Log'!$G$3:$G$500&lt;&gt;"Did not pass re-test"))&gt;0),"Open rework row - mark Blocked? or close it",IF(AND(LEFT($AC165,3)&lt;&gt;"Yes",SUMPRODUCT((TRIM('Rework Log'!$A$3:$A$500)=TRIM($B165))*('Rework Log'!$G$3:$G$500&lt;&gt;"Yes")*('Rework Log'!$G$3:$G$500&lt;&gt;"Did not pass re-test"))=0,COUNTIF('Rework Log'!$A$3:$A$500,$B165)&gt;0,IFERROR(INDEX('Rework Log'!$G:$G,SUMPRODUCT(MAX((TRIM('Rework Log'!$A$3:$A$500)=TRIM($B165))*ROW('Rework Log'!$A$3:$A$500)))),"")="Did not pass re-test"),"Last fix rejected - re-block or log next attempt",IF(AND(LEFT($AC165,3)="Yes",ISNUMBER(SEARCH("needs DB Dev",$AC165)),O165&lt;&gt;"",SUMPRODUCT(MAX(((TRIM('Rework Log'!$A$3:$A$500)=TRIM($B165))*('Rework Log'!$G$3:$G$500&lt;&gt;"Yes")*('Rework Log'!$G$3:$G$500&lt;&gt;"Did not pass re-test"))*IFERROR('Rework Log'!$I$3:$I$500*1,0)))&gt;0),"Move old DB Dev completion date to Rework Log (col H)",IF(AND(LEFT($AC165,3)="Yes",ISNUMBER(SEARCH("needs PBI Dev",$AC165)),R165&lt;&gt;"",SUMPRODUCT(MAX(((TRIM('Rework Log'!$A$3:$A$500)=TRIM($B165))*('Rework Log'!$G$3:$G$500&lt;&gt;"Yes")*('Rework Log'!$G$3:$G$500&lt;&gt;"Did not pass re-test"))*IFERROR('Rework Log'!$I$3:$I$500*1,0)))&gt;0),"Move old PBI Dev completion date to Rework Log (col H)",IF(AND(LEFT($AC165,3)="Yes",ISNUMBER(SEARCH("needs QA",$AC165)),U165&lt;&gt;"",SUMPRODUCT(MAX(((TRIM('Rework Log'!$A$3:$A$500)=TRIM($B165))*('Rework Log'!$G$3:$G$500&lt;&gt;"Yes")*('Rework Log'!$G$3:$G$500&lt;&gt;"Did not pass re-test"))*IFERROR('Rework Log'!$I$3:$I$500*1,0)))&gt;0),"Move old QA completion date to Rework Log (col H)",IF(AND(LEFT($AC165,3)="Yes",ISNUMBER(SEARCH("needs DB Dev",$AC165)),TRIM(C165)&lt;&gt;"DB Dev"),"Set Current Status back to DB Dev",IF(AND(LEFT($AC165,3)="Yes",ISNUMBER(SEARCH("needs PBI Dev",$AC165)),TRIM(C165)&lt;&gt;"PBI Dev"),"Set Current Status back to PBI Dev",IF(AND(LEFT($AC165,3)="Yes",ISNUMBER(SEARCH("needs QA",$AC165)),TRIM(C165)&lt;&gt;"QA"),"Set Current Status back to QA",IF(COUNTIF($B$2:$B$500,$B165)&gt;1,"Duplicate name - check row",IF(AND(TRIM(C165)="RELEASED IN PROD",Y165&lt;&gt;"Yes"),"Released but Confirmed Deployed? is not Yes",IF(COUNTIF('Rework Log'!$A$3:$A$500,$B165)&gt;0,"",IF(AND(S165&lt;&gt;"",M165&lt;&gt;"",S165&lt;M165),"QA target is before DB Dev target",IF(AND(S165&lt;&gt;"",P165&lt;&gt;"",S165&lt;P165),"QA target is before PBI Dev target",IF(AND(V165&lt;&gt;"",S165&lt;&gt;"",V165&lt;S165),"DPO Approval target is before QA target",IF(AND(Z165&lt;&gt;"",V165&lt;&gt;"",Z165&lt;V165),"Confirmed Deployed date is before DPO Approval target","")))))))))))))))))</f>
        <v/>
      </c>
      <c r="AE165" s="62"/>
    </row>
    <row r="166" spans="1:31" x14ac:dyDescent="0.25">
      <c r="A166" s="62"/>
      <c r="B166" s="62"/>
      <c r="C166" s="62"/>
      <c r="D166" s="64" t="str">
        <f ca="1">IF($B166="","",IF(LEFT($AC166,3)="Yes",IF(LEN($AC166)&gt;5,"Blocked - "&amp;MID($AC166,7,100),"Blocked")&amp;IF(SUMPRODUCT((TRIM('Rework Log'!$A$3:$A$500)=TRIM($B166))*('Rework Log'!$G$3:$G$500&lt;&gt;"Yes")*('Rework Log'!$G$3:$G$500&lt;&gt;"Did not pass re-test"))=0,"",IF(SUMPRODUCT(((TRIM('Rework Log'!$A$3:$A$500)=TRIM($B166))*('Rework Log'!$G$3:$G$500&lt;&gt;"Yes")*('Rework Log'!$G$3:$G$500&lt;&gt;"Did not pass re-test"))*ISNUMBER('Rework Log'!$J$3:$J$500))&gt;0," - fixed, awaiting re-test",IF(SUMPRODUCT(MAX(((TRIM('Rework Log'!$A$3:$A$500)=TRIM($B166))*('Rework Log'!$G$3:$G$500&lt;&gt;"Yes")*('Rework Log'!$G$3:$G$500&lt;&gt;"Did not pass re-test"))*IFERROR('Rework Log'!$I$3:$I$500*1,0)))=0," - unclaimed"," - promised "&amp;TEXT(SUMPRODUCT(MAX(((TRIM('Rework Log'!$A$3:$A$500)=TRIM($B166))*('Rework Log'!$G$3:$G$500&lt;&gt;"Yes")*('Rework Log'!$G$3:$G$500&lt;&gt;"Did not pass re-test"))*IFERROR('Rework Log'!$I$3:$I$500*1,0))),"m/d")))),IF(TRIM(C166)="NOT STARTED",IF(K166="","No plan date set",IF(K166&lt;TODAY(),"Review - planned start passed","On track")),IF(TRIM(C166)="DB Dev",IF(M166="","No target set",IF(AND(M166&lt;TODAY(),O166=""),"Overdue","On track")),IF(TRIM(C166)="PBI Dev",IF(P166="","No target set",IF(AND(P166&lt;TODAY(),R166=""),"Overdue","On track")),IF(TRIM(C166)="QA",IF(S166="","No target set",IF(AND(S166&lt;TODAY(),U166=""),"Overdue","On track")),IF(TRIM(C166)="DPO Approval",IF(V166="","No target set",IF(V166&lt;TODAY(),"Overdue","On track")),IF(TRIM(C166)="RELEASED IN PROD","Delivered",""))))))))</f>
        <v/>
      </c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4" t="str">
        <f>IF($B166="","",IF(AND(LEFT($AC166,3)="Yes",SUMPRODUCT((TRIM('Rework Log'!$A$3:$A$500)=TRIM($B166))*('Rework Log'!$G$3:$G$500&lt;&gt;"Yes")*('Rework Log'!$G$3:$G$500&lt;&gt;"Did not pass re-test"))=0),"Blocked - log it on Rework Log",IF(AND(LEFT($AC166,3)&lt;&gt;"Yes",SUMPRODUCT((TRIM('Rework Log'!$A$3:$A$500)=TRIM($B166))*('Rework Log'!$G$3:$G$500&lt;&gt;"Yes")*('Rework Log'!$G$3:$G$500&lt;&gt;"Did not pass re-test"))&gt;0),"Open rework row - mark Blocked? or close it",IF(AND(LEFT($AC166,3)&lt;&gt;"Yes",SUMPRODUCT((TRIM('Rework Log'!$A$3:$A$500)=TRIM($B166))*('Rework Log'!$G$3:$G$500&lt;&gt;"Yes")*('Rework Log'!$G$3:$G$500&lt;&gt;"Did not pass re-test"))=0,COUNTIF('Rework Log'!$A$3:$A$500,$B166)&gt;0,IFERROR(INDEX('Rework Log'!$G:$G,SUMPRODUCT(MAX((TRIM('Rework Log'!$A$3:$A$500)=TRIM($B166))*ROW('Rework Log'!$A$3:$A$500)))),"")="Did not pass re-test"),"Last fix rejected - re-block or log next attempt",IF(AND(LEFT($AC166,3)="Yes",ISNUMBER(SEARCH("needs DB Dev",$AC166)),O166&lt;&gt;"",SUMPRODUCT(MAX(((TRIM('Rework Log'!$A$3:$A$500)=TRIM($B166))*('Rework Log'!$G$3:$G$500&lt;&gt;"Yes")*('Rework Log'!$G$3:$G$500&lt;&gt;"Did not pass re-test"))*IFERROR('Rework Log'!$I$3:$I$500*1,0)))&gt;0),"Move old DB Dev completion date to Rework Log (col H)",IF(AND(LEFT($AC166,3)="Yes",ISNUMBER(SEARCH("needs PBI Dev",$AC166)),R166&lt;&gt;"",SUMPRODUCT(MAX(((TRIM('Rework Log'!$A$3:$A$500)=TRIM($B166))*('Rework Log'!$G$3:$G$500&lt;&gt;"Yes")*('Rework Log'!$G$3:$G$500&lt;&gt;"Did not pass re-test"))*IFERROR('Rework Log'!$I$3:$I$500*1,0)))&gt;0),"Move old PBI Dev completion date to Rework Log (col H)",IF(AND(LEFT($AC166,3)="Yes",ISNUMBER(SEARCH("needs QA",$AC166)),U166&lt;&gt;"",SUMPRODUCT(MAX(((TRIM('Rework Log'!$A$3:$A$500)=TRIM($B166))*('Rework Log'!$G$3:$G$500&lt;&gt;"Yes")*('Rework Log'!$G$3:$G$500&lt;&gt;"Did not pass re-test"))*IFERROR('Rework Log'!$I$3:$I$500*1,0)))&gt;0),"Move old QA completion date to Rework Log (col H)",IF(AND(LEFT($AC166,3)="Yes",ISNUMBER(SEARCH("needs DB Dev",$AC166)),TRIM(C166)&lt;&gt;"DB Dev"),"Set Current Status back to DB Dev",IF(AND(LEFT($AC166,3)="Yes",ISNUMBER(SEARCH("needs PBI Dev",$AC166)),TRIM(C166)&lt;&gt;"PBI Dev"),"Set Current Status back to PBI Dev",IF(AND(LEFT($AC166,3)="Yes",ISNUMBER(SEARCH("needs QA",$AC166)),TRIM(C166)&lt;&gt;"QA"),"Set Current Status back to QA",IF(COUNTIF($B$2:$B$500,$B166)&gt;1,"Duplicate name - check row",IF(AND(TRIM(C166)="RELEASED IN PROD",Y166&lt;&gt;"Yes"),"Released but Confirmed Deployed? is not Yes",IF(COUNTIF('Rework Log'!$A$3:$A$500,$B166)&gt;0,"",IF(AND(S166&lt;&gt;"",M166&lt;&gt;"",S166&lt;M166),"QA target is before DB Dev target",IF(AND(S166&lt;&gt;"",P166&lt;&gt;"",S166&lt;P166),"QA target is before PBI Dev target",IF(AND(V166&lt;&gt;"",S166&lt;&gt;"",V166&lt;S166),"DPO Approval target is before QA target",IF(AND(Z166&lt;&gt;"",V166&lt;&gt;"",Z166&lt;V166),"Confirmed Deployed date is before DPO Approval target","")))))))))))))))))</f>
        <v/>
      </c>
      <c r="AE166" s="62"/>
    </row>
    <row r="167" spans="1:31" x14ac:dyDescent="0.25">
      <c r="A167" s="62"/>
      <c r="B167" s="62"/>
      <c r="C167" s="62"/>
      <c r="D167" s="64" t="str">
        <f ca="1">IF($B167="","",IF(LEFT($AC167,3)="Yes",IF(LEN($AC167)&gt;5,"Blocked - "&amp;MID($AC167,7,100),"Blocked")&amp;IF(SUMPRODUCT((TRIM('Rework Log'!$A$3:$A$500)=TRIM($B167))*('Rework Log'!$G$3:$G$500&lt;&gt;"Yes")*('Rework Log'!$G$3:$G$500&lt;&gt;"Did not pass re-test"))=0,"",IF(SUMPRODUCT(((TRIM('Rework Log'!$A$3:$A$500)=TRIM($B167))*('Rework Log'!$G$3:$G$500&lt;&gt;"Yes")*('Rework Log'!$G$3:$G$500&lt;&gt;"Did not pass re-test"))*ISNUMBER('Rework Log'!$J$3:$J$500))&gt;0," - fixed, awaiting re-test",IF(SUMPRODUCT(MAX(((TRIM('Rework Log'!$A$3:$A$500)=TRIM($B167))*('Rework Log'!$G$3:$G$500&lt;&gt;"Yes")*('Rework Log'!$G$3:$G$500&lt;&gt;"Did not pass re-test"))*IFERROR('Rework Log'!$I$3:$I$500*1,0)))=0," - unclaimed"," - promised "&amp;TEXT(SUMPRODUCT(MAX(((TRIM('Rework Log'!$A$3:$A$500)=TRIM($B167))*('Rework Log'!$G$3:$G$500&lt;&gt;"Yes")*('Rework Log'!$G$3:$G$500&lt;&gt;"Did not pass re-test"))*IFERROR('Rework Log'!$I$3:$I$500*1,0))),"m/d")))),IF(TRIM(C167)="NOT STARTED",IF(K167="","No plan date set",IF(K167&lt;TODAY(),"Review - planned start passed","On track")),IF(TRIM(C167)="DB Dev",IF(M167="","No target set",IF(AND(M167&lt;TODAY(),O167=""),"Overdue","On track")),IF(TRIM(C167)="PBI Dev",IF(P167="","No target set",IF(AND(P167&lt;TODAY(),R167=""),"Overdue","On track")),IF(TRIM(C167)="QA",IF(S167="","No target set",IF(AND(S167&lt;TODAY(),U167=""),"Overdue","On track")),IF(TRIM(C167)="DPO Approval",IF(V167="","No target set",IF(V167&lt;TODAY(),"Overdue","On track")),IF(TRIM(C167)="RELEASED IN PROD","Delivered",""))))))))</f>
        <v/>
      </c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4" t="str">
        <f>IF($B167="","",IF(AND(LEFT($AC167,3)="Yes",SUMPRODUCT((TRIM('Rework Log'!$A$3:$A$500)=TRIM($B167))*('Rework Log'!$G$3:$G$500&lt;&gt;"Yes")*('Rework Log'!$G$3:$G$500&lt;&gt;"Did not pass re-test"))=0),"Blocked - log it on Rework Log",IF(AND(LEFT($AC167,3)&lt;&gt;"Yes",SUMPRODUCT((TRIM('Rework Log'!$A$3:$A$500)=TRIM($B167))*('Rework Log'!$G$3:$G$500&lt;&gt;"Yes")*('Rework Log'!$G$3:$G$500&lt;&gt;"Did not pass re-test"))&gt;0),"Open rework row - mark Blocked? or close it",IF(AND(LEFT($AC167,3)&lt;&gt;"Yes",SUMPRODUCT((TRIM('Rework Log'!$A$3:$A$500)=TRIM($B167))*('Rework Log'!$G$3:$G$500&lt;&gt;"Yes")*('Rework Log'!$G$3:$G$500&lt;&gt;"Did not pass re-test"))=0,COUNTIF('Rework Log'!$A$3:$A$500,$B167)&gt;0,IFERROR(INDEX('Rework Log'!$G:$G,SUMPRODUCT(MAX((TRIM('Rework Log'!$A$3:$A$500)=TRIM($B167))*ROW('Rework Log'!$A$3:$A$500)))),"")="Did not pass re-test"),"Last fix rejected - re-block or log next attempt",IF(AND(LEFT($AC167,3)="Yes",ISNUMBER(SEARCH("needs DB Dev",$AC167)),O167&lt;&gt;"",SUMPRODUCT(MAX(((TRIM('Rework Log'!$A$3:$A$500)=TRIM($B167))*('Rework Log'!$G$3:$G$500&lt;&gt;"Yes")*('Rework Log'!$G$3:$G$500&lt;&gt;"Did not pass re-test"))*IFERROR('Rework Log'!$I$3:$I$500*1,0)))&gt;0),"Move old DB Dev completion date to Rework Log (col H)",IF(AND(LEFT($AC167,3)="Yes",ISNUMBER(SEARCH("needs PBI Dev",$AC167)),R167&lt;&gt;"",SUMPRODUCT(MAX(((TRIM('Rework Log'!$A$3:$A$500)=TRIM($B167))*('Rework Log'!$G$3:$G$500&lt;&gt;"Yes")*('Rework Log'!$G$3:$G$500&lt;&gt;"Did not pass re-test"))*IFERROR('Rework Log'!$I$3:$I$500*1,0)))&gt;0),"Move old PBI Dev completion date to Rework Log (col H)",IF(AND(LEFT($AC167,3)="Yes",ISNUMBER(SEARCH("needs QA",$AC167)),U167&lt;&gt;"",SUMPRODUCT(MAX(((TRIM('Rework Log'!$A$3:$A$500)=TRIM($B167))*('Rework Log'!$G$3:$G$500&lt;&gt;"Yes")*('Rework Log'!$G$3:$G$500&lt;&gt;"Did not pass re-test"))*IFERROR('Rework Log'!$I$3:$I$500*1,0)))&gt;0),"Move old QA completion date to Rework Log (col H)",IF(AND(LEFT($AC167,3)="Yes",ISNUMBER(SEARCH("needs DB Dev",$AC167)),TRIM(C167)&lt;&gt;"DB Dev"),"Set Current Status back to DB Dev",IF(AND(LEFT($AC167,3)="Yes",ISNUMBER(SEARCH("needs PBI Dev",$AC167)),TRIM(C167)&lt;&gt;"PBI Dev"),"Set Current Status back to PBI Dev",IF(AND(LEFT($AC167,3)="Yes",ISNUMBER(SEARCH("needs QA",$AC167)),TRIM(C167)&lt;&gt;"QA"),"Set Current Status back to QA",IF(COUNTIF($B$2:$B$500,$B167)&gt;1,"Duplicate name - check row",IF(AND(TRIM(C167)="RELEASED IN PROD",Y167&lt;&gt;"Yes"),"Released but Confirmed Deployed? is not Yes",IF(COUNTIF('Rework Log'!$A$3:$A$500,$B167)&gt;0,"",IF(AND(S167&lt;&gt;"",M167&lt;&gt;"",S167&lt;M167),"QA target is before DB Dev target",IF(AND(S167&lt;&gt;"",P167&lt;&gt;"",S167&lt;P167),"QA target is before PBI Dev target",IF(AND(V167&lt;&gt;"",S167&lt;&gt;"",V167&lt;S167),"DPO Approval target is before QA target",IF(AND(Z167&lt;&gt;"",V167&lt;&gt;"",Z167&lt;V167),"Confirmed Deployed date is before DPO Approval target","")))))))))))))))))</f>
        <v/>
      </c>
      <c r="AE167" s="62"/>
    </row>
    <row r="168" spans="1:31" x14ac:dyDescent="0.25">
      <c r="A168" s="62"/>
      <c r="B168" s="62"/>
      <c r="C168" s="62"/>
      <c r="D168" s="64" t="str">
        <f ca="1">IF($B168="","",IF(LEFT($AC168,3)="Yes",IF(LEN($AC168)&gt;5,"Blocked - "&amp;MID($AC168,7,100),"Blocked")&amp;IF(SUMPRODUCT((TRIM('Rework Log'!$A$3:$A$500)=TRIM($B168))*('Rework Log'!$G$3:$G$500&lt;&gt;"Yes")*('Rework Log'!$G$3:$G$500&lt;&gt;"Did not pass re-test"))=0,"",IF(SUMPRODUCT(((TRIM('Rework Log'!$A$3:$A$500)=TRIM($B168))*('Rework Log'!$G$3:$G$500&lt;&gt;"Yes")*('Rework Log'!$G$3:$G$500&lt;&gt;"Did not pass re-test"))*ISNUMBER('Rework Log'!$J$3:$J$500))&gt;0," - fixed, awaiting re-test",IF(SUMPRODUCT(MAX(((TRIM('Rework Log'!$A$3:$A$500)=TRIM($B168))*('Rework Log'!$G$3:$G$500&lt;&gt;"Yes")*('Rework Log'!$G$3:$G$500&lt;&gt;"Did not pass re-test"))*IFERROR('Rework Log'!$I$3:$I$500*1,0)))=0," - unclaimed"," - promised "&amp;TEXT(SUMPRODUCT(MAX(((TRIM('Rework Log'!$A$3:$A$500)=TRIM($B168))*('Rework Log'!$G$3:$G$500&lt;&gt;"Yes")*('Rework Log'!$G$3:$G$500&lt;&gt;"Did not pass re-test"))*IFERROR('Rework Log'!$I$3:$I$500*1,0))),"m/d")))),IF(TRIM(C168)="NOT STARTED",IF(K168="","No plan date set",IF(K168&lt;TODAY(),"Review - planned start passed","On track")),IF(TRIM(C168)="DB Dev",IF(M168="","No target set",IF(AND(M168&lt;TODAY(),O168=""),"Overdue","On track")),IF(TRIM(C168)="PBI Dev",IF(P168="","No target set",IF(AND(P168&lt;TODAY(),R168=""),"Overdue","On track")),IF(TRIM(C168)="QA",IF(S168="","No target set",IF(AND(S168&lt;TODAY(),U168=""),"Overdue","On track")),IF(TRIM(C168)="DPO Approval",IF(V168="","No target set",IF(V168&lt;TODAY(),"Overdue","On track")),IF(TRIM(C168)="RELEASED IN PROD","Delivered",""))))))))</f>
        <v/>
      </c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4" t="str">
        <f>IF($B168="","",IF(AND(LEFT($AC168,3)="Yes",SUMPRODUCT((TRIM('Rework Log'!$A$3:$A$500)=TRIM($B168))*('Rework Log'!$G$3:$G$500&lt;&gt;"Yes")*('Rework Log'!$G$3:$G$500&lt;&gt;"Did not pass re-test"))=0),"Blocked - log it on Rework Log",IF(AND(LEFT($AC168,3)&lt;&gt;"Yes",SUMPRODUCT((TRIM('Rework Log'!$A$3:$A$500)=TRIM($B168))*('Rework Log'!$G$3:$G$500&lt;&gt;"Yes")*('Rework Log'!$G$3:$G$500&lt;&gt;"Did not pass re-test"))&gt;0),"Open rework row - mark Blocked? or close it",IF(AND(LEFT($AC168,3)&lt;&gt;"Yes",SUMPRODUCT((TRIM('Rework Log'!$A$3:$A$500)=TRIM($B168))*('Rework Log'!$G$3:$G$500&lt;&gt;"Yes")*('Rework Log'!$G$3:$G$500&lt;&gt;"Did not pass re-test"))=0,COUNTIF('Rework Log'!$A$3:$A$500,$B168)&gt;0,IFERROR(INDEX('Rework Log'!$G:$G,SUMPRODUCT(MAX((TRIM('Rework Log'!$A$3:$A$500)=TRIM($B168))*ROW('Rework Log'!$A$3:$A$500)))),"")="Did not pass re-test"),"Last fix rejected - re-block or log next attempt",IF(AND(LEFT($AC168,3)="Yes",ISNUMBER(SEARCH("needs DB Dev",$AC168)),O168&lt;&gt;"",SUMPRODUCT(MAX(((TRIM('Rework Log'!$A$3:$A$500)=TRIM($B168))*('Rework Log'!$G$3:$G$500&lt;&gt;"Yes")*('Rework Log'!$G$3:$G$500&lt;&gt;"Did not pass re-test"))*IFERROR('Rework Log'!$I$3:$I$500*1,0)))&gt;0),"Move old DB Dev completion date to Rework Log (col H)",IF(AND(LEFT($AC168,3)="Yes",ISNUMBER(SEARCH("needs PBI Dev",$AC168)),R168&lt;&gt;"",SUMPRODUCT(MAX(((TRIM('Rework Log'!$A$3:$A$500)=TRIM($B168))*('Rework Log'!$G$3:$G$500&lt;&gt;"Yes")*('Rework Log'!$G$3:$G$500&lt;&gt;"Did not pass re-test"))*IFERROR('Rework Log'!$I$3:$I$500*1,0)))&gt;0),"Move old PBI Dev completion date to Rework Log (col H)",IF(AND(LEFT($AC168,3)="Yes",ISNUMBER(SEARCH("needs QA",$AC168)),U168&lt;&gt;"",SUMPRODUCT(MAX(((TRIM('Rework Log'!$A$3:$A$500)=TRIM($B168))*('Rework Log'!$G$3:$G$500&lt;&gt;"Yes")*('Rework Log'!$G$3:$G$500&lt;&gt;"Did not pass re-test"))*IFERROR('Rework Log'!$I$3:$I$500*1,0)))&gt;0),"Move old QA completion date to Rework Log (col H)",IF(AND(LEFT($AC168,3)="Yes",ISNUMBER(SEARCH("needs DB Dev",$AC168)),TRIM(C168)&lt;&gt;"DB Dev"),"Set Current Status back to DB Dev",IF(AND(LEFT($AC168,3)="Yes",ISNUMBER(SEARCH("needs PBI Dev",$AC168)),TRIM(C168)&lt;&gt;"PBI Dev"),"Set Current Status back to PBI Dev",IF(AND(LEFT($AC168,3)="Yes",ISNUMBER(SEARCH("needs QA",$AC168)),TRIM(C168)&lt;&gt;"QA"),"Set Current Status back to QA",IF(COUNTIF($B$2:$B$500,$B168)&gt;1,"Duplicate name - check row",IF(AND(TRIM(C168)="RELEASED IN PROD",Y168&lt;&gt;"Yes"),"Released but Confirmed Deployed? is not Yes",IF(COUNTIF('Rework Log'!$A$3:$A$500,$B168)&gt;0,"",IF(AND(S168&lt;&gt;"",M168&lt;&gt;"",S168&lt;M168),"QA target is before DB Dev target",IF(AND(S168&lt;&gt;"",P168&lt;&gt;"",S168&lt;P168),"QA target is before PBI Dev target",IF(AND(V168&lt;&gt;"",S168&lt;&gt;"",V168&lt;S168),"DPO Approval target is before QA target",IF(AND(Z168&lt;&gt;"",V168&lt;&gt;"",Z168&lt;V168),"Confirmed Deployed date is before DPO Approval target","")))))))))))))))))</f>
        <v/>
      </c>
      <c r="AE168" s="62"/>
    </row>
    <row r="169" spans="1:31" x14ac:dyDescent="0.25">
      <c r="A169" s="62"/>
      <c r="B169" s="62"/>
      <c r="C169" s="62"/>
      <c r="D169" s="64" t="str">
        <f ca="1">IF($B169="","",IF(LEFT($AC169,3)="Yes",IF(LEN($AC169)&gt;5,"Blocked - "&amp;MID($AC169,7,100),"Blocked")&amp;IF(SUMPRODUCT((TRIM('Rework Log'!$A$3:$A$500)=TRIM($B169))*('Rework Log'!$G$3:$G$500&lt;&gt;"Yes")*('Rework Log'!$G$3:$G$500&lt;&gt;"Did not pass re-test"))=0,"",IF(SUMPRODUCT(((TRIM('Rework Log'!$A$3:$A$500)=TRIM($B169))*('Rework Log'!$G$3:$G$500&lt;&gt;"Yes")*('Rework Log'!$G$3:$G$500&lt;&gt;"Did not pass re-test"))*ISNUMBER('Rework Log'!$J$3:$J$500))&gt;0," - fixed, awaiting re-test",IF(SUMPRODUCT(MAX(((TRIM('Rework Log'!$A$3:$A$500)=TRIM($B169))*('Rework Log'!$G$3:$G$500&lt;&gt;"Yes")*('Rework Log'!$G$3:$G$500&lt;&gt;"Did not pass re-test"))*IFERROR('Rework Log'!$I$3:$I$500*1,0)))=0," - unclaimed"," - promised "&amp;TEXT(SUMPRODUCT(MAX(((TRIM('Rework Log'!$A$3:$A$500)=TRIM($B169))*('Rework Log'!$G$3:$G$500&lt;&gt;"Yes")*('Rework Log'!$G$3:$G$500&lt;&gt;"Did not pass re-test"))*IFERROR('Rework Log'!$I$3:$I$500*1,0))),"m/d")))),IF(TRIM(C169)="NOT STARTED",IF(K169="","No plan date set",IF(K169&lt;TODAY(),"Review - planned start passed","On track")),IF(TRIM(C169)="DB Dev",IF(M169="","No target set",IF(AND(M169&lt;TODAY(),O169=""),"Overdue","On track")),IF(TRIM(C169)="PBI Dev",IF(P169="","No target set",IF(AND(P169&lt;TODAY(),R169=""),"Overdue","On track")),IF(TRIM(C169)="QA",IF(S169="","No target set",IF(AND(S169&lt;TODAY(),U169=""),"Overdue","On track")),IF(TRIM(C169)="DPO Approval",IF(V169="","No target set",IF(V169&lt;TODAY(),"Overdue","On track")),IF(TRIM(C169)="RELEASED IN PROD","Delivered",""))))))))</f>
        <v/>
      </c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4" t="str">
        <f>IF($B169="","",IF(AND(LEFT($AC169,3)="Yes",SUMPRODUCT((TRIM('Rework Log'!$A$3:$A$500)=TRIM($B169))*('Rework Log'!$G$3:$G$500&lt;&gt;"Yes")*('Rework Log'!$G$3:$G$500&lt;&gt;"Did not pass re-test"))=0),"Blocked - log it on Rework Log",IF(AND(LEFT($AC169,3)&lt;&gt;"Yes",SUMPRODUCT((TRIM('Rework Log'!$A$3:$A$500)=TRIM($B169))*('Rework Log'!$G$3:$G$500&lt;&gt;"Yes")*('Rework Log'!$G$3:$G$500&lt;&gt;"Did not pass re-test"))&gt;0),"Open rework row - mark Blocked? or close it",IF(AND(LEFT($AC169,3)&lt;&gt;"Yes",SUMPRODUCT((TRIM('Rework Log'!$A$3:$A$500)=TRIM($B169))*('Rework Log'!$G$3:$G$500&lt;&gt;"Yes")*('Rework Log'!$G$3:$G$500&lt;&gt;"Did not pass re-test"))=0,COUNTIF('Rework Log'!$A$3:$A$500,$B169)&gt;0,IFERROR(INDEX('Rework Log'!$G:$G,SUMPRODUCT(MAX((TRIM('Rework Log'!$A$3:$A$500)=TRIM($B169))*ROW('Rework Log'!$A$3:$A$500)))),"")="Did not pass re-test"),"Last fix rejected - re-block or log next attempt",IF(AND(LEFT($AC169,3)="Yes",ISNUMBER(SEARCH("needs DB Dev",$AC169)),O169&lt;&gt;"",SUMPRODUCT(MAX(((TRIM('Rework Log'!$A$3:$A$500)=TRIM($B169))*('Rework Log'!$G$3:$G$500&lt;&gt;"Yes")*('Rework Log'!$G$3:$G$500&lt;&gt;"Did not pass re-test"))*IFERROR('Rework Log'!$I$3:$I$500*1,0)))&gt;0),"Move old DB Dev completion date to Rework Log (col H)",IF(AND(LEFT($AC169,3)="Yes",ISNUMBER(SEARCH("needs PBI Dev",$AC169)),R169&lt;&gt;"",SUMPRODUCT(MAX(((TRIM('Rework Log'!$A$3:$A$500)=TRIM($B169))*('Rework Log'!$G$3:$G$500&lt;&gt;"Yes")*('Rework Log'!$G$3:$G$500&lt;&gt;"Did not pass re-test"))*IFERROR('Rework Log'!$I$3:$I$500*1,0)))&gt;0),"Move old PBI Dev completion date to Rework Log (col H)",IF(AND(LEFT($AC169,3)="Yes",ISNUMBER(SEARCH("needs QA",$AC169)),U169&lt;&gt;"",SUMPRODUCT(MAX(((TRIM('Rework Log'!$A$3:$A$500)=TRIM($B169))*('Rework Log'!$G$3:$G$500&lt;&gt;"Yes")*('Rework Log'!$G$3:$G$500&lt;&gt;"Did not pass re-test"))*IFERROR('Rework Log'!$I$3:$I$500*1,0)))&gt;0),"Move old QA completion date to Rework Log (col H)",IF(AND(LEFT($AC169,3)="Yes",ISNUMBER(SEARCH("needs DB Dev",$AC169)),TRIM(C169)&lt;&gt;"DB Dev"),"Set Current Status back to DB Dev",IF(AND(LEFT($AC169,3)="Yes",ISNUMBER(SEARCH("needs PBI Dev",$AC169)),TRIM(C169)&lt;&gt;"PBI Dev"),"Set Current Status back to PBI Dev",IF(AND(LEFT($AC169,3)="Yes",ISNUMBER(SEARCH("needs QA",$AC169)),TRIM(C169)&lt;&gt;"QA"),"Set Current Status back to QA",IF(COUNTIF($B$2:$B$500,$B169)&gt;1,"Duplicate name - check row",IF(AND(TRIM(C169)="RELEASED IN PROD",Y169&lt;&gt;"Yes"),"Released but Confirmed Deployed? is not Yes",IF(COUNTIF('Rework Log'!$A$3:$A$500,$B169)&gt;0,"",IF(AND(S169&lt;&gt;"",M169&lt;&gt;"",S169&lt;M169),"QA target is before DB Dev target",IF(AND(S169&lt;&gt;"",P169&lt;&gt;"",S169&lt;P169),"QA target is before PBI Dev target",IF(AND(V169&lt;&gt;"",S169&lt;&gt;"",V169&lt;S169),"DPO Approval target is before QA target",IF(AND(Z169&lt;&gt;"",V169&lt;&gt;"",Z169&lt;V169),"Confirmed Deployed date is before DPO Approval target","")))))))))))))))))</f>
        <v/>
      </c>
      <c r="AE169" s="62"/>
    </row>
    <row r="170" spans="1:31" x14ac:dyDescent="0.25">
      <c r="A170" s="62"/>
      <c r="B170" s="62"/>
      <c r="C170" s="62"/>
      <c r="D170" s="64" t="str">
        <f ca="1">IF($B170="","",IF(LEFT($AC170,3)="Yes",IF(LEN($AC170)&gt;5,"Blocked - "&amp;MID($AC170,7,100),"Blocked")&amp;IF(SUMPRODUCT((TRIM('Rework Log'!$A$3:$A$500)=TRIM($B170))*('Rework Log'!$G$3:$G$500&lt;&gt;"Yes")*('Rework Log'!$G$3:$G$500&lt;&gt;"Did not pass re-test"))=0,"",IF(SUMPRODUCT(((TRIM('Rework Log'!$A$3:$A$500)=TRIM($B170))*('Rework Log'!$G$3:$G$500&lt;&gt;"Yes")*('Rework Log'!$G$3:$G$500&lt;&gt;"Did not pass re-test"))*ISNUMBER('Rework Log'!$J$3:$J$500))&gt;0," - fixed, awaiting re-test",IF(SUMPRODUCT(MAX(((TRIM('Rework Log'!$A$3:$A$500)=TRIM($B170))*('Rework Log'!$G$3:$G$500&lt;&gt;"Yes")*('Rework Log'!$G$3:$G$500&lt;&gt;"Did not pass re-test"))*IFERROR('Rework Log'!$I$3:$I$500*1,0)))=0," - unclaimed"," - promised "&amp;TEXT(SUMPRODUCT(MAX(((TRIM('Rework Log'!$A$3:$A$500)=TRIM($B170))*('Rework Log'!$G$3:$G$500&lt;&gt;"Yes")*('Rework Log'!$G$3:$G$500&lt;&gt;"Did not pass re-test"))*IFERROR('Rework Log'!$I$3:$I$500*1,0))),"m/d")))),IF(TRIM(C170)="NOT STARTED",IF(K170="","No plan date set",IF(K170&lt;TODAY(),"Review - planned start passed","On track")),IF(TRIM(C170)="DB Dev",IF(M170="","No target set",IF(AND(M170&lt;TODAY(),O170=""),"Overdue","On track")),IF(TRIM(C170)="PBI Dev",IF(P170="","No target set",IF(AND(P170&lt;TODAY(),R170=""),"Overdue","On track")),IF(TRIM(C170)="QA",IF(S170="","No target set",IF(AND(S170&lt;TODAY(),U170=""),"Overdue","On track")),IF(TRIM(C170)="DPO Approval",IF(V170="","No target set",IF(V170&lt;TODAY(),"Overdue","On track")),IF(TRIM(C170)="RELEASED IN PROD","Delivered",""))))))))</f>
        <v/>
      </c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4" t="str">
        <f>IF($B170="","",IF(AND(LEFT($AC170,3)="Yes",SUMPRODUCT((TRIM('Rework Log'!$A$3:$A$500)=TRIM($B170))*('Rework Log'!$G$3:$G$500&lt;&gt;"Yes")*('Rework Log'!$G$3:$G$500&lt;&gt;"Did not pass re-test"))=0),"Blocked - log it on Rework Log",IF(AND(LEFT($AC170,3)&lt;&gt;"Yes",SUMPRODUCT((TRIM('Rework Log'!$A$3:$A$500)=TRIM($B170))*('Rework Log'!$G$3:$G$500&lt;&gt;"Yes")*('Rework Log'!$G$3:$G$500&lt;&gt;"Did not pass re-test"))&gt;0),"Open rework row - mark Blocked? or close it",IF(AND(LEFT($AC170,3)&lt;&gt;"Yes",SUMPRODUCT((TRIM('Rework Log'!$A$3:$A$500)=TRIM($B170))*('Rework Log'!$G$3:$G$500&lt;&gt;"Yes")*('Rework Log'!$G$3:$G$500&lt;&gt;"Did not pass re-test"))=0,COUNTIF('Rework Log'!$A$3:$A$500,$B170)&gt;0,IFERROR(INDEX('Rework Log'!$G:$G,SUMPRODUCT(MAX((TRIM('Rework Log'!$A$3:$A$500)=TRIM($B170))*ROW('Rework Log'!$A$3:$A$500)))),"")="Did not pass re-test"),"Last fix rejected - re-block or log next attempt",IF(AND(LEFT($AC170,3)="Yes",ISNUMBER(SEARCH("needs DB Dev",$AC170)),O170&lt;&gt;"",SUMPRODUCT(MAX(((TRIM('Rework Log'!$A$3:$A$500)=TRIM($B170))*('Rework Log'!$G$3:$G$500&lt;&gt;"Yes")*('Rework Log'!$G$3:$G$500&lt;&gt;"Did not pass re-test"))*IFERROR('Rework Log'!$I$3:$I$500*1,0)))&gt;0),"Move old DB Dev completion date to Rework Log (col H)",IF(AND(LEFT($AC170,3)="Yes",ISNUMBER(SEARCH("needs PBI Dev",$AC170)),R170&lt;&gt;"",SUMPRODUCT(MAX(((TRIM('Rework Log'!$A$3:$A$500)=TRIM($B170))*('Rework Log'!$G$3:$G$500&lt;&gt;"Yes")*('Rework Log'!$G$3:$G$500&lt;&gt;"Did not pass re-test"))*IFERROR('Rework Log'!$I$3:$I$500*1,0)))&gt;0),"Move old PBI Dev completion date to Rework Log (col H)",IF(AND(LEFT($AC170,3)="Yes",ISNUMBER(SEARCH("needs QA",$AC170)),U170&lt;&gt;"",SUMPRODUCT(MAX(((TRIM('Rework Log'!$A$3:$A$500)=TRIM($B170))*('Rework Log'!$G$3:$G$500&lt;&gt;"Yes")*('Rework Log'!$G$3:$G$500&lt;&gt;"Did not pass re-test"))*IFERROR('Rework Log'!$I$3:$I$500*1,0)))&gt;0),"Move old QA completion date to Rework Log (col H)",IF(AND(LEFT($AC170,3)="Yes",ISNUMBER(SEARCH("needs DB Dev",$AC170)),TRIM(C170)&lt;&gt;"DB Dev"),"Set Current Status back to DB Dev",IF(AND(LEFT($AC170,3)="Yes",ISNUMBER(SEARCH("needs PBI Dev",$AC170)),TRIM(C170)&lt;&gt;"PBI Dev"),"Set Current Status back to PBI Dev",IF(AND(LEFT($AC170,3)="Yes",ISNUMBER(SEARCH("needs QA",$AC170)),TRIM(C170)&lt;&gt;"QA"),"Set Current Status back to QA",IF(COUNTIF($B$2:$B$500,$B170)&gt;1,"Duplicate name - check row",IF(AND(TRIM(C170)="RELEASED IN PROD",Y170&lt;&gt;"Yes"),"Released but Confirmed Deployed? is not Yes",IF(COUNTIF('Rework Log'!$A$3:$A$500,$B170)&gt;0,"",IF(AND(S170&lt;&gt;"",M170&lt;&gt;"",S170&lt;M170),"QA target is before DB Dev target",IF(AND(S170&lt;&gt;"",P170&lt;&gt;"",S170&lt;P170),"QA target is before PBI Dev target",IF(AND(V170&lt;&gt;"",S170&lt;&gt;"",V170&lt;S170),"DPO Approval target is before QA target",IF(AND(Z170&lt;&gt;"",V170&lt;&gt;"",Z170&lt;V170),"Confirmed Deployed date is before DPO Approval target","")))))))))))))))))</f>
        <v/>
      </c>
      <c r="AE170" s="62"/>
    </row>
    <row r="171" spans="1:31" x14ac:dyDescent="0.25">
      <c r="A171" s="62"/>
      <c r="B171" s="62"/>
      <c r="C171" s="62"/>
      <c r="D171" s="64" t="str">
        <f ca="1">IF($B171="","",IF(LEFT($AC171,3)="Yes",IF(LEN($AC171)&gt;5,"Blocked - "&amp;MID($AC171,7,100),"Blocked")&amp;IF(SUMPRODUCT((TRIM('Rework Log'!$A$3:$A$500)=TRIM($B171))*('Rework Log'!$G$3:$G$500&lt;&gt;"Yes")*('Rework Log'!$G$3:$G$500&lt;&gt;"Did not pass re-test"))=0,"",IF(SUMPRODUCT(((TRIM('Rework Log'!$A$3:$A$500)=TRIM($B171))*('Rework Log'!$G$3:$G$500&lt;&gt;"Yes")*('Rework Log'!$G$3:$G$500&lt;&gt;"Did not pass re-test"))*ISNUMBER('Rework Log'!$J$3:$J$500))&gt;0," - fixed, awaiting re-test",IF(SUMPRODUCT(MAX(((TRIM('Rework Log'!$A$3:$A$500)=TRIM($B171))*('Rework Log'!$G$3:$G$500&lt;&gt;"Yes")*('Rework Log'!$G$3:$G$500&lt;&gt;"Did not pass re-test"))*IFERROR('Rework Log'!$I$3:$I$500*1,0)))=0," - unclaimed"," - promised "&amp;TEXT(SUMPRODUCT(MAX(((TRIM('Rework Log'!$A$3:$A$500)=TRIM($B171))*('Rework Log'!$G$3:$G$500&lt;&gt;"Yes")*('Rework Log'!$G$3:$G$500&lt;&gt;"Did not pass re-test"))*IFERROR('Rework Log'!$I$3:$I$500*1,0))),"m/d")))),IF(TRIM(C171)="NOT STARTED",IF(K171="","No plan date set",IF(K171&lt;TODAY(),"Review - planned start passed","On track")),IF(TRIM(C171)="DB Dev",IF(M171="","No target set",IF(AND(M171&lt;TODAY(),O171=""),"Overdue","On track")),IF(TRIM(C171)="PBI Dev",IF(P171="","No target set",IF(AND(P171&lt;TODAY(),R171=""),"Overdue","On track")),IF(TRIM(C171)="QA",IF(S171="","No target set",IF(AND(S171&lt;TODAY(),U171=""),"Overdue","On track")),IF(TRIM(C171)="DPO Approval",IF(V171="","No target set",IF(V171&lt;TODAY(),"Overdue","On track")),IF(TRIM(C171)="RELEASED IN PROD","Delivered",""))))))))</f>
        <v/>
      </c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4" t="str">
        <f>IF($B171="","",IF(AND(LEFT($AC171,3)="Yes",SUMPRODUCT((TRIM('Rework Log'!$A$3:$A$500)=TRIM($B171))*('Rework Log'!$G$3:$G$500&lt;&gt;"Yes")*('Rework Log'!$G$3:$G$500&lt;&gt;"Did not pass re-test"))=0),"Blocked - log it on Rework Log",IF(AND(LEFT($AC171,3)&lt;&gt;"Yes",SUMPRODUCT((TRIM('Rework Log'!$A$3:$A$500)=TRIM($B171))*('Rework Log'!$G$3:$G$500&lt;&gt;"Yes")*('Rework Log'!$G$3:$G$500&lt;&gt;"Did not pass re-test"))&gt;0),"Open rework row - mark Blocked? or close it",IF(AND(LEFT($AC171,3)&lt;&gt;"Yes",SUMPRODUCT((TRIM('Rework Log'!$A$3:$A$500)=TRIM($B171))*('Rework Log'!$G$3:$G$500&lt;&gt;"Yes")*('Rework Log'!$G$3:$G$500&lt;&gt;"Did not pass re-test"))=0,COUNTIF('Rework Log'!$A$3:$A$500,$B171)&gt;0,IFERROR(INDEX('Rework Log'!$G:$G,SUMPRODUCT(MAX((TRIM('Rework Log'!$A$3:$A$500)=TRIM($B171))*ROW('Rework Log'!$A$3:$A$500)))),"")="Did not pass re-test"),"Last fix rejected - re-block or log next attempt",IF(AND(LEFT($AC171,3)="Yes",ISNUMBER(SEARCH("needs DB Dev",$AC171)),O171&lt;&gt;"",SUMPRODUCT(MAX(((TRIM('Rework Log'!$A$3:$A$500)=TRIM($B171))*('Rework Log'!$G$3:$G$500&lt;&gt;"Yes")*('Rework Log'!$G$3:$G$500&lt;&gt;"Did not pass re-test"))*IFERROR('Rework Log'!$I$3:$I$500*1,0)))&gt;0),"Move old DB Dev completion date to Rework Log (col H)",IF(AND(LEFT($AC171,3)="Yes",ISNUMBER(SEARCH("needs PBI Dev",$AC171)),R171&lt;&gt;"",SUMPRODUCT(MAX(((TRIM('Rework Log'!$A$3:$A$500)=TRIM($B171))*('Rework Log'!$G$3:$G$500&lt;&gt;"Yes")*('Rework Log'!$G$3:$G$500&lt;&gt;"Did not pass re-test"))*IFERROR('Rework Log'!$I$3:$I$500*1,0)))&gt;0),"Move old PBI Dev completion date to Rework Log (col H)",IF(AND(LEFT($AC171,3)="Yes",ISNUMBER(SEARCH("needs QA",$AC171)),U171&lt;&gt;"",SUMPRODUCT(MAX(((TRIM('Rework Log'!$A$3:$A$500)=TRIM($B171))*('Rework Log'!$G$3:$G$500&lt;&gt;"Yes")*('Rework Log'!$G$3:$G$500&lt;&gt;"Did not pass re-test"))*IFERROR('Rework Log'!$I$3:$I$500*1,0)))&gt;0),"Move old QA completion date to Rework Log (col H)",IF(AND(LEFT($AC171,3)="Yes",ISNUMBER(SEARCH("needs DB Dev",$AC171)),TRIM(C171)&lt;&gt;"DB Dev"),"Set Current Status back to DB Dev",IF(AND(LEFT($AC171,3)="Yes",ISNUMBER(SEARCH("needs PBI Dev",$AC171)),TRIM(C171)&lt;&gt;"PBI Dev"),"Set Current Status back to PBI Dev",IF(AND(LEFT($AC171,3)="Yes",ISNUMBER(SEARCH("needs QA",$AC171)),TRIM(C171)&lt;&gt;"QA"),"Set Current Status back to QA",IF(COUNTIF($B$2:$B$500,$B171)&gt;1,"Duplicate name - check row",IF(AND(TRIM(C171)="RELEASED IN PROD",Y171&lt;&gt;"Yes"),"Released but Confirmed Deployed? is not Yes",IF(COUNTIF('Rework Log'!$A$3:$A$500,$B171)&gt;0,"",IF(AND(S171&lt;&gt;"",M171&lt;&gt;"",S171&lt;M171),"QA target is before DB Dev target",IF(AND(S171&lt;&gt;"",P171&lt;&gt;"",S171&lt;P171),"QA target is before PBI Dev target",IF(AND(V171&lt;&gt;"",S171&lt;&gt;"",V171&lt;S171),"DPO Approval target is before QA target",IF(AND(Z171&lt;&gt;"",V171&lt;&gt;"",Z171&lt;V171),"Confirmed Deployed date is before DPO Approval target","")))))))))))))))))</f>
        <v/>
      </c>
      <c r="AE171" s="62"/>
    </row>
    <row r="172" spans="1:31" x14ac:dyDescent="0.25">
      <c r="A172" s="62"/>
      <c r="B172" s="62"/>
      <c r="C172" s="62"/>
      <c r="D172" s="64" t="str">
        <f ca="1">IF($B172="","",IF(LEFT($AC172,3)="Yes",IF(LEN($AC172)&gt;5,"Blocked - "&amp;MID($AC172,7,100),"Blocked")&amp;IF(SUMPRODUCT((TRIM('Rework Log'!$A$3:$A$500)=TRIM($B172))*('Rework Log'!$G$3:$G$500&lt;&gt;"Yes")*('Rework Log'!$G$3:$G$500&lt;&gt;"Did not pass re-test"))=0,"",IF(SUMPRODUCT(((TRIM('Rework Log'!$A$3:$A$500)=TRIM($B172))*('Rework Log'!$G$3:$G$500&lt;&gt;"Yes")*('Rework Log'!$G$3:$G$500&lt;&gt;"Did not pass re-test"))*ISNUMBER('Rework Log'!$J$3:$J$500))&gt;0," - fixed, awaiting re-test",IF(SUMPRODUCT(MAX(((TRIM('Rework Log'!$A$3:$A$500)=TRIM($B172))*('Rework Log'!$G$3:$G$500&lt;&gt;"Yes")*('Rework Log'!$G$3:$G$500&lt;&gt;"Did not pass re-test"))*IFERROR('Rework Log'!$I$3:$I$500*1,0)))=0," - unclaimed"," - promised "&amp;TEXT(SUMPRODUCT(MAX(((TRIM('Rework Log'!$A$3:$A$500)=TRIM($B172))*('Rework Log'!$G$3:$G$500&lt;&gt;"Yes")*('Rework Log'!$G$3:$G$500&lt;&gt;"Did not pass re-test"))*IFERROR('Rework Log'!$I$3:$I$500*1,0))),"m/d")))),IF(TRIM(C172)="NOT STARTED",IF(K172="","No plan date set",IF(K172&lt;TODAY(),"Review - planned start passed","On track")),IF(TRIM(C172)="DB Dev",IF(M172="","No target set",IF(AND(M172&lt;TODAY(),O172=""),"Overdue","On track")),IF(TRIM(C172)="PBI Dev",IF(P172="","No target set",IF(AND(P172&lt;TODAY(),R172=""),"Overdue","On track")),IF(TRIM(C172)="QA",IF(S172="","No target set",IF(AND(S172&lt;TODAY(),U172=""),"Overdue","On track")),IF(TRIM(C172)="DPO Approval",IF(V172="","No target set",IF(V172&lt;TODAY(),"Overdue","On track")),IF(TRIM(C172)="RELEASED IN PROD","Delivered",""))))))))</f>
        <v/>
      </c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4" t="str">
        <f>IF($B172="","",IF(AND(LEFT($AC172,3)="Yes",SUMPRODUCT((TRIM('Rework Log'!$A$3:$A$500)=TRIM($B172))*('Rework Log'!$G$3:$G$500&lt;&gt;"Yes")*('Rework Log'!$G$3:$G$500&lt;&gt;"Did not pass re-test"))=0),"Blocked - log it on Rework Log",IF(AND(LEFT($AC172,3)&lt;&gt;"Yes",SUMPRODUCT((TRIM('Rework Log'!$A$3:$A$500)=TRIM($B172))*('Rework Log'!$G$3:$G$500&lt;&gt;"Yes")*('Rework Log'!$G$3:$G$500&lt;&gt;"Did not pass re-test"))&gt;0),"Open rework row - mark Blocked? or close it",IF(AND(LEFT($AC172,3)&lt;&gt;"Yes",SUMPRODUCT((TRIM('Rework Log'!$A$3:$A$500)=TRIM($B172))*('Rework Log'!$G$3:$G$500&lt;&gt;"Yes")*('Rework Log'!$G$3:$G$500&lt;&gt;"Did not pass re-test"))=0,COUNTIF('Rework Log'!$A$3:$A$500,$B172)&gt;0,IFERROR(INDEX('Rework Log'!$G:$G,SUMPRODUCT(MAX((TRIM('Rework Log'!$A$3:$A$500)=TRIM($B172))*ROW('Rework Log'!$A$3:$A$500)))),"")="Did not pass re-test"),"Last fix rejected - re-block or log next attempt",IF(AND(LEFT($AC172,3)="Yes",ISNUMBER(SEARCH("needs DB Dev",$AC172)),O172&lt;&gt;"",SUMPRODUCT(MAX(((TRIM('Rework Log'!$A$3:$A$500)=TRIM($B172))*('Rework Log'!$G$3:$G$500&lt;&gt;"Yes")*('Rework Log'!$G$3:$G$500&lt;&gt;"Did not pass re-test"))*IFERROR('Rework Log'!$I$3:$I$500*1,0)))&gt;0),"Move old DB Dev completion date to Rework Log (col H)",IF(AND(LEFT($AC172,3)="Yes",ISNUMBER(SEARCH("needs PBI Dev",$AC172)),R172&lt;&gt;"",SUMPRODUCT(MAX(((TRIM('Rework Log'!$A$3:$A$500)=TRIM($B172))*('Rework Log'!$G$3:$G$500&lt;&gt;"Yes")*('Rework Log'!$G$3:$G$500&lt;&gt;"Did not pass re-test"))*IFERROR('Rework Log'!$I$3:$I$500*1,0)))&gt;0),"Move old PBI Dev completion date to Rework Log (col H)",IF(AND(LEFT($AC172,3)="Yes",ISNUMBER(SEARCH("needs QA",$AC172)),U172&lt;&gt;"",SUMPRODUCT(MAX(((TRIM('Rework Log'!$A$3:$A$500)=TRIM($B172))*('Rework Log'!$G$3:$G$500&lt;&gt;"Yes")*('Rework Log'!$G$3:$G$500&lt;&gt;"Did not pass re-test"))*IFERROR('Rework Log'!$I$3:$I$500*1,0)))&gt;0),"Move old QA completion date to Rework Log (col H)",IF(AND(LEFT($AC172,3)="Yes",ISNUMBER(SEARCH("needs DB Dev",$AC172)),TRIM(C172)&lt;&gt;"DB Dev"),"Set Current Status back to DB Dev",IF(AND(LEFT($AC172,3)="Yes",ISNUMBER(SEARCH("needs PBI Dev",$AC172)),TRIM(C172)&lt;&gt;"PBI Dev"),"Set Current Status back to PBI Dev",IF(AND(LEFT($AC172,3)="Yes",ISNUMBER(SEARCH("needs QA",$AC172)),TRIM(C172)&lt;&gt;"QA"),"Set Current Status back to QA",IF(COUNTIF($B$2:$B$500,$B172)&gt;1,"Duplicate name - check row",IF(AND(TRIM(C172)="RELEASED IN PROD",Y172&lt;&gt;"Yes"),"Released but Confirmed Deployed? is not Yes",IF(COUNTIF('Rework Log'!$A$3:$A$500,$B172)&gt;0,"",IF(AND(S172&lt;&gt;"",M172&lt;&gt;"",S172&lt;M172),"QA target is before DB Dev target",IF(AND(S172&lt;&gt;"",P172&lt;&gt;"",S172&lt;P172),"QA target is before PBI Dev target",IF(AND(V172&lt;&gt;"",S172&lt;&gt;"",V172&lt;S172),"DPO Approval target is before QA target",IF(AND(Z172&lt;&gt;"",V172&lt;&gt;"",Z172&lt;V172),"Confirmed Deployed date is before DPO Approval target","")))))))))))))))))</f>
        <v/>
      </c>
      <c r="AE172" s="62"/>
    </row>
    <row r="173" spans="1:31" x14ac:dyDescent="0.25">
      <c r="A173" s="62"/>
      <c r="B173" s="62"/>
      <c r="C173" s="62"/>
      <c r="D173" s="64" t="str">
        <f ca="1">IF($B173="","",IF(LEFT($AC173,3)="Yes",IF(LEN($AC173)&gt;5,"Blocked - "&amp;MID($AC173,7,100),"Blocked")&amp;IF(SUMPRODUCT((TRIM('Rework Log'!$A$3:$A$500)=TRIM($B173))*('Rework Log'!$G$3:$G$500&lt;&gt;"Yes")*('Rework Log'!$G$3:$G$500&lt;&gt;"Did not pass re-test"))=0,"",IF(SUMPRODUCT(((TRIM('Rework Log'!$A$3:$A$500)=TRIM($B173))*('Rework Log'!$G$3:$G$500&lt;&gt;"Yes")*('Rework Log'!$G$3:$G$500&lt;&gt;"Did not pass re-test"))*ISNUMBER('Rework Log'!$J$3:$J$500))&gt;0," - fixed, awaiting re-test",IF(SUMPRODUCT(MAX(((TRIM('Rework Log'!$A$3:$A$500)=TRIM($B173))*('Rework Log'!$G$3:$G$500&lt;&gt;"Yes")*('Rework Log'!$G$3:$G$500&lt;&gt;"Did not pass re-test"))*IFERROR('Rework Log'!$I$3:$I$500*1,0)))=0," - unclaimed"," - promised "&amp;TEXT(SUMPRODUCT(MAX(((TRIM('Rework Log'!$A$3:$A$500)=TRIM($B173))*('Rework Log'!$G$3:$G$500&lt;&gt;"Yes")*('Rework Log'!$G$3:$G$500&lt;&gt;"Did not pass re-test"))*IFERROR('Rework Log'!$I$3:$I$500*1,0))),"m/d")))),IF(TRIM(C173)="NOT STARTED",IF(K173="","No plan date set",IF(K173&lt;TODAY(),"Review - planned start passed","On track")),IF(TRIM(C173)="DB Dev",IF(M173="","No target set",IF(AND(M173&lt;TODAY(),O173=""),"Overdue","On track")),IF(TRIM(C173)="PBI Dev",IF(P173="","No target set",IF(AND(P173&lt;TODAY(),R173=""),"Overdue","On track")),IF(TRIM(C173)="QA",IF(S173="","No target set",IF(AND(S173&lt;TODAY(),U173=""),"Overdue","On track")),IF(TRIM(C173)="DPO Approval",IF(V173="","No target set",IF(V173&lt;TODAY(),"Overdue","On track")),IF(TRIM(C173)="RELEASED IN PROD","Delivered",""))))))))</f>
        <v/>
      </c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4" t="str">
        <f>IF($B173="","",IF(AND(LEFT($AC173,3)="Yes",SUMPRODUCT((TRIM('Rework Log'!$A$3:$A$500)=TRIM($B173))*('Rework Log'!$G$3:$G$500&lt;&gt;"Yes")*('Rework Log'!$G$3:$G$500&lt;&gt;"Did not pass re-test"))=0),"Blocked - log it on Rework Log",IF(AND(LEFT($AC173,3)&lt;&gt;"Yes",SUMPRODUCT((TRIM('Rework Log'!$A$3:$A$500)=TRIM($B173))*('Rework Log'!$G$3:$G$500&lt;&gt;"Yes")*('Rework Log'!$G$3:$G$500&lt;&gt;"Did not pass re-test"))&gt;0),"Open rework row - mark Blocked? or close it",IF(AND(LEFT($AC173,3)&lt;&gt;"Yes",SUMPRODUCT((TRIM('Rework Log'!$A$3:$A$500)=TRIM($B173))*('Rework Log'!$G$3:$G$500&lt;&gt;"Yes")*('Rework Log'!$G$3:$G$500&lt;&gt;"Did not pass re-test"))=0,COUNTIF('Rework Log'!$A$3:$A$500,$B173)&gt;0,IFERROR(INDEX('Rework Log'!$G:$G,SUMPRODUCT(MAX((TRIM('Rework Log'!$A$3:$A$500)=TRIM($B173))*ROW('Rework Log'!$A$3:$A$500)))),"")="Did not pass re-test"),"Last fix rejected - re-block or log next attempt",IF(AND(LEFT($AC173,3)="Yes",ISNUMBER(SEARCH("needs DB Dev",$AC173)),O173&lt;&gt;"",SUMPRODUCT(MAX(((TRIM('Rework Log'!$A$3:$A$500)=TRIM($B173))*('Rework Log'!$G$3:$G$500&lt;&gt;"Yes")*('Rework Log'!$G$3:$G$500&lt;&gt;"Did not pass re-test"))*IFERROR('Rework Log'!$I$3:$I$500*1,0)))&gt;0),"Move old DB Dev completion date to Rework Log (col H)",IF(AND(LEFT($AC173,3)="Yes",ISNUMBER(SEARCH("needs PBI Dev",$AC173)),R173&lt;&gt;"",SUMPRODUCT(MAX(((TRIM('Rework Log'!$A$3:$A$500)=TRIM($B173))*('Rework Log'!$G$3:$G$500&lt;&gt;"Yes")*('Rework Log'!$G$3:$G$500&lt;&gt;"Did not pass re-test"))*IFERROR('Rework Log'!$I$3:$I$500*1,0)))&gt;0),"Move old PBI Dev completion date to Rework Log (col H)",IF(AND(LEFT($AC173,3)="Yes",ISNUMBER(SEARCH("needs QA",$AC173)),U173&lt;&gt;"",SUMPRODUCT(MAX(((TRIM('Rework Log'!$A$3:$A$500)=TRIM($B173))*('Rework Log'!$G$3:$G$500&lt;&gt;"Yes")*('Rework Log'!$G$3:$G$500&lt;&gt;"Did not pass re-test"))*IFERROR('Rework Log'!$I$3:$I$500*1,0)))&gt;0),"Move old QA completion date to Rework Log (col H)",IF(AND(LEFT($AC173,3)="Yes",ISNUMBER(SEARCH("needs DB Dev",$AC173)),TRIM(C173)&lt;&gt;"DB Dev"),"Set Current Status back to DB Dev",IF(AND(LEFT($AC173,3)="Yes",ISNUMBER(SEARCH("needs PBI Dev",$AC173)),TRIM(C173)&lt;&gt;"PBI Dev"),"Set Current Status back to PBI Dev",IF(AND(LEFT($AC173,3)="Yes",ISNUMBER(SEARCH("needs QA",$AC173)),TRIM(C173)&lt;&gt;"QA"),"Set Current Status back to QA",IF(COUNTIF($B$2:$B$500,$B173)&gt;1,"Duplicate name - check row",IF(AND(TRIM(C173)="RELEASED IN PROD",Y173&lt;&gt;"Yes"),"Released but Confirmed Deployed? is not Yes",IF(COUNTIF('Rework Log'!$A$3:$A$500,$B173)&gt;0,"",IF(AND(S173&lt;&gt;"",M173&lt;&gt;"",S173&lt;M173),"QA target is before DB Dev target",IF(AND(S173&lt;&gt;"",P173&lt;&gt;"",S173&lt;P173),"QA target is before PBI Dev target",IF(AND(V173&lt;&gt;"",S173&lt;&gt;"",V173&lt;S173),"DPO Approval target is before QA target",IF(AND(Z173&lt;&gt;"",V173&lt;&gt;"",Z173&lt;V173),"Confirmed Deployed date is before DPO Approval target","")))))))))))))))))</f>
        <v/>
      </c>
      <c r="AE173" s="62"/>
    </row>
    <row r="174" spans="1:31" x14ac:dyDescent="0.25">
      <c r="A174" s="62"/>
      <c r="B174" s="62"/>
      <c r="C174" s="62"/>
      <c r="D174" s="64" t="str">
        <f ca="1">IF($B174="","",IF(LEFT($AC174,3)="Yes",IF(LEN($AC174)&gt;5,"Blocked - "&amp;MID($AC174,7,100),"Blocked")&amp;IF(SUMPRODUCT((TRIM('Rework Log'!$A$3:$A$500)=TRIM($B174))*('Rework Log'!$G$3:$G$500&lt;&gt;"Yes")*('Rework Log'!$G$3:$G$500&lt;&gt;"Did not pass re-test"))=0,"",IF(SUMPRODUCT(((TRIM('Rework Log'!$A$3:$A$500)=TRIM($B174))*('Rework Log'!$G$3:$G$500&lt;&gt;"Yes")*('Rework Log'!$G$3:$G$500&lt;&gt;"Did not pass re-test"))*ISNUMBER('Rework Log'!$J$3:$J$500))&gt;0," - fixed, awaiting re-test",IF(SUMPRODUCT(MAX(((TRIM('Rework Log'!$A$3:$A$500)=TRIM($B174))*('Rework Log'!$G$3:$G$500&lt;&gt;"Yes")*('Rework Log'!$G$3:$G$500&lt;&gt;"Did not pass re-test"))*IFERROR('Rework Log'!$I$3:$I$500*1,0)))=0," - unclaimed"," - promised "&amp;TEXT(SUMPRODUCT(MAX(((TRIM('Rework Log'!$A$3:$A$500)=TRIM($B174))*('Rework Log'!$G$3:$G$500&lt;&gt;"Yes")*('Rework Log'!$G$3:$G$500&lt;&gt;"Did not pass re-test"))*IFERROR('Rework Log'!$I$3:$I$500*1,0))),"m/d")))),IF(TRIM(C174)="NOT STARTED",IF(K174="","No plan date set",IF(K174&lt;TODAY(),"Review - planned start passed","On track")),IF(TRIM(C174)="DB Dev",IF(M174="","No target set",IF(AND(M174&lt;TODAY(),O174=""),"Overdue","On track")),IF(TRIM(C174)="PBI Dev",IF(P174="","No target set",IF(AND(P174&lt;TODAY(),R174=""),"Overdue","On track")),IF(TRIM(C174)="QA",IF(S174="","No target set",IF(AND(S174&lt;TODAY(),U174=""),"Overdue","On track")),IF(TRIM(C174)="DPO Approval",IF(V174="","No target set",IF(V174&lt;TODAY(),"Overdue","On track")),IF(TRIM(C174)="RELEASED IN PROD","Delivered",""))))))))</f>
        <v/>
      </c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4" t="str">
        <f>IF($B174="","",IF(AND(LEFT($AC174,3)="Yes",SUMPRODUCT((TRIM('Rework Log'!$A$3:$A$500)=TRIM($B174))*('Rework Log'!$G$3:$G$500&lt;&gt;"Yes")*('Rework Log'!$G$3:$G$500&lt;&gt;"Did not pass re-test"))=0),"Blocked - log it on Rework Log",IF(AND(LEFT($AC174,3)&lt;&gt;"Yes",SUMPRODUCT((TRIM('Rework Log'!$A$3:$A$500)=TRIM($B174))*('Rework Log'!$G$3:$G$500&lt;&gt;"Yes")*('Rework Log'!$G$3:$G$500&lt;&gt;"Did not pass re-test"))&gt;0),"Open rework row - mark Blocked? or close it",IF(AND(LEFT($AC174,3)&lt;&gt;"Yes",SUMPRODUCT((TRIM('Rework Log'!$A$3:$A$500)=TRIM($B174))*('Rework Log'!$G$3:$G$500&lt;&gt;"Yes")*('Rework Log'!$G$3:$G$500&lt;&gt;"Did not pass re-test"))=0,COUNTIF('Rework Log'!$A$3:$A$500,$B174)&gt;0,IFERROR(INDEX('Rework Log'!$G:$G,SUMPRODUCT(MAX((TRIM('Rework Log'!$A$3:$A$500)=TRIM($B174))*ROW('Rework Log'!$A$3:$A$500)))),"")="Did not pass re-test"),"Last fix rejected - re-block or log next attempt",IF(AND(LEFT($AC174,3)="Yes",ISNUMBER(SEARCH("needs DB Dev",$AC174)),O174&lt;&gt;"",SUMPRODUCT(MAX(((TRIM('Rework Log'!$A$3:$A$500)=TRIM($B174))*('Rework Log'!$G$3:$G$500&lt;&gt;"Yes")*('Rework Log'!$G$3:$G$500&lt;&gt;"Did not pass re-test"))*IFERROR('Rework Log'!$I$3:$I$500*1,0)))&gt;0),"Move old DB Dev completion date to Rework Log (col H)",IF(AND(LEFT($AC174,3)="Yes",ISNUMBER(SEARCH("needs PBI Dev",$AC174)),R174&lt;&gt;"",SUMPRODUCT(MAX(((TRIM('Rework Log'!$A$3:$A$500)=TRIM($B174))*('Rework Log'!$G$3:$G$500&lt;&gt;"Yes")*('Rework Log'!$G$3:$G$500&lt;&gt;"Did not pass re-test"))*IFERROR('Rework Log'!$I$3:$I$500*1,0)))&gt;0),"Move old PBI Dev completion date to Rework Log (col H)",IF(AND(LEFT($AC174,3)="Yes",ISNUMBER(SEARCH("needs QA",$AC174)),U174&lt;&gt;"",SUMPRODUCT(MAX(((TRIM('Rework Log'!$A$3:$A$500)=TRIM($B174))*('Rework Log'!$G$3:$G$500&lt;&gt;"Yes")*('Rework Log'!$G$3:$G$500&lt;&gt;"Did not pass re-test"))*IFERROR('Rework Log'!$I$3:$I$500*1,0)))&gt;0),"Move old QA completion date to Rework Log (col H)",IF(AND(LEFT($AC174,3)="Yes",ISNUMBER(SEARCH("needs DB Dev",$AC174)),TRIM(C174)&lt;&gt;"DB Dev"),"Set Current Status back to DB Dev",IF(AND(LEFT($AC174,3)="Yes",ISNUMBER(SEARCH("needs PBI Dev",$AC174)),TRIM(C174)&lt;&gt;"PBI Dev"),"Set Current Status back to PBI Dev",IF(AND(LEFT($AC174,3)="Yes",ISNUMBER(SEARCH("needs QA",$AC174)),TRIM(C174)&lt;&gt;"QA"),"Set Current Status back to QA",IF(COUNTIF($B$2:$B$500,$B174)&gt;1,"Duplicate name - check row",IF(AND(TRIM(C174)="RELEASED IN PROD",Y174&lt;&gt;"Yes"),"Released but Confirmed Deployed? is not Yes",IF(COUNTIF('Rework Log'!$A$3:$A$500,$B174)&gt;0,"",IF(AND(S174&lt;&gt;"",M174&lt;&gt;"",S174&lt;M174),"QA target is before DB Dev target",IF(AND(S174&lt;&gt;"",P174&lt;&gt;"",S174&lt;P174),"QA target is before PBI Dev target",IF(AND(V174&lt;&gt;"",S174&lt;&gt;"",V174&lt;S174),"DPO Approval target is before QA target",IF(AND(Z174&lt;&gt;"",V174&lt;&gt;"",Z174&lt;V174),"Confirmed Deployed date is before DPO Approval target","")))))))))))))))))</f>
        <v/>
      </c>
      <c r="AE174" s="62"/>
    </row>
    <row r="175" spans="1:31" x14ac:dyDescent="0.25">
      <c r="A175" s="62"/>
      <c r="B175" s="62"/>
      <c r="C175" s="62"/>
      <c r="D175" s="64" t="str">
        <f ca="1">IF($B175="","",IF(LEFT($AC175,3)="Yes",IF(LEN($AC175)&gt;5,"Blocked - "&amp;MID($AC175,7,100),"Blocked")&amp;IF(SUMPRODUCT((TRIM('Rework Log'!$A$3:$A$500)=TRIM($B175))*('Rework Log'!$G$3:$G$500&lt;&gt;"Yes")*('Rework Log'!$G$3:$G$500&lt;&gt;"Did not pass re-test"))=0,"",IF(SUMPRODUCT(((TRIM('Rework Log'!$A$3:$A$500)=TRIM($B175))*('Rework Log'!$G$3:$G$500&lt;&gt;"Yes")*('Rework Log'!$G$3:$G$500&lt;&gt;"Did not pass re-test"))*ISNUMBER('Rework Log'!$J$3:$J$500))&gt;0," - fixed, awaiting re-test",IF(SUMPRODUCT(MAX(((TRIM('Rework Log'!$A$3:$A$500)=TRIM($B175))*('Rework Log'!$G$3:$G$500&lt;&gt;"Yes")*('Rework Log'!$G$3:$G$500&lt;&gt;"Did not pass re-test"))*IFERROR('Rework Log'!$I$3:$I$500*1,0)))=0," - unclaimed"," - promised "&amp;TEXT(SUMPRODUCT(MAX(((TRIM('Rework Log'!$A$3:$A$500)=TRIM($B175))*('Rework Log'!$G$3:$G$500&lt;&gt;"Yes")*('Rework Log'!$G$3:$G$500&lt;&gt;"Did not pass re-test"))*IFERROR('Rework Log'!$I$3:$I$500*1,0))),"m/d")))),IF(TRIM(C175)="NOT STARTED",IF(K175="","No plan date set",IF(K175&lt;TODAY(),"Review - planned start passed","On track")),IF(TRIM(C175)="DB Dev",IF(M175="","No target set",IF(AND(M175&lt;TODAY(),O175=""),"Overdue","On track")),IF(TRIM(C175)="PBI Dev",IF(P175="","No target set",IF(AND(P175&lt;TODAY(),R175=""),"Overdue","On track")),IF(TRIM(C175)="QA",IF(S175="","No target set",IF(AND(S175&lt;TODAY(),U175=""),"Overdue","On track")),IF(TRIM(C175)="DPO Approval",IF(V175="","No target set",IF(V175&lt;TODAY(),"Overdue","On track")),IF(TRIM(C175)="RELEASED IN PROD","Delivered",""))))))))</f>
        <v/>
      </c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4" t="str">
        <f>IF($B175="","",IF(AND(LEFT($AC175,3)="Yes",SUMPRODUCT((TRIM('Rework Log'!$A$3:$A$500)=TRIM($B175))*('Rework Log'!$G$3:$G$500&lt;&gt;"Yes")*('Rework Log'!$G$3:$G$500&lt;&gt;"Did not pass re-test"))=0),"Blocked - log it on Rework Log",IF(AND(LEFT($AC175,3)&lt;&gt;"Yes",SUMPRODUCT((TRIM('Rework Log'!$A$3:$A$500)=TRIM($B175))*('Rework Log'!$G$3:$G$500&lt;&gt;"Yes")*('Rework Log'!$G$3:$G$500&lt;&gt;"Did not pass re-test"))&gt;0),"Open rework row - mark Blocked? or close it",IF(AND(LEFT($AC175,3)&lt;&gt;"Yes",SUMPRODUCT((TRIM('Rework Log'!$A$3:$A$500)=TRIM($B175))*('Rework Log'!$G$3:$G$500&lt;&gt;"Yes")*('Rework Log'!$G$3:$G$500&lt;&gt;"Did not pass re-test"))=0,COUNTIF('Rework Log'!$A$3:$A$500,$B175)&gt;0,IFERROR(INDEX('Rework Log'!$G:$G,SUMPRODUCT(MAX((TRIM('Rework Log'!$A$3:$A$500)=TRIM($B175))*ROW('Rework Log'!$A$3:$A$500)))),"")="Did not pass re-test"),"Last fix rejected - re-block or log next attempt",IF(AND(LEFT($AC175,3)="Yes",ISNUMBER(SEARCH("needs DB Dev",$AC175)),O175&lt;&gt;"",SUMPRODUCT(MAX(((TRIM('Rework Log'!$A$3:$A$500)=TRIM($B175))*('Rework Log'!$G$3:$G$500&lt;&gt;"Yes")*('Rework Log'!$G$3:$G$500&lt;&gt;"Did not pass re-test"))*IFERROR('Rework Log'!$I$3:$I$500*1,0)))&gt;0),"Move old DB Dev completion date to Rework Log (col H)",IF(AND(LEFT($AC175,3)="Yes",ISNUMBER(SEARCH("needs PBI Dev",$AC175)),R175&lt;&gt;"",SUMPRODUCT(MAX(((TRIM('Rework Log'!$A$3:$A$500)=TRIM($B175))*('Rework Log'!$G$3:$G$500&lt;&gt;"Yes")*('Rework Log'!$G$3:$G$500&lt;&gt;"Did not pass re-test"))*IFERROR('Rework Log'!$I$3:$I$500*1,0)))&gt;0),"Move old PBI Dev completion date to Rework Log (col H)",IF(AND(LEFT($AC175,3)="Yes",ISNUMBER(SEARCH("needs QA",$AC175)),U175&lt;&gt;"",SUMPRODUCT(MAX(((TRIM('Rework Log'!$A$3:$A$500)=TRIM($B175))*('Rework Log'!$G$3:$G$500&lt;&gt;"Yes")*('Rework Log'!$G$3:$G$500&lt;&gt;"Did not pass re-test"))*IFERROR('Rework Log'!$I$3:$I$500*1,0)))&gt;0),"Move old QA completion date to Rework Log (col H)",IF(AND(LEFT($AC175,3)="Yes",ISNUMBER(SEARCH("needs DB Dev",$AC175)),TRIM(C175)&lt;&gt;"DB Dev"),"Set Current Status back to DB Dev",IF(AND(LEFT($AC175,3)="Yes",ISNUMBER(SEARCH("needs PBI Dev",$AC175)),TRIM(C175)&lt;&gt;"PBI Dev"),"Set Current Status back to PBI Dev",IF(AND(LEFT($AC175,3)="Yes",ISNUMBER(SEARCH("needs QA",$AC175)),TRIM(C175)&lt;&gt;"QA"),"Set Current Status back to QA",IF(COUNTIF($B$2:$B$500,$B175)&gt;1,"Duplicate name - check row",IF(AND(TRIM(C175)="RELEASED IN PROD",Y175&lt;&gt;"Yes"),"Released but Confirmed Deployed? is not Yes",IF(COUNTIF('Rework Log'!$A$3:$A$500,$B175)&gt;0,"",IF(AND(S175&lt;&gt;"",M175&lt;&gt;"",S175&lt;M175),"QA target is before DB Dev target",IF(AND(S175&lt;&gt;"",P175&lt;&gt;"",S175&lt;P175),"QA target is before PBI Dev target",IF(AND(V175&lt;&gt;"",S175&lt;&gt;"",V175&lt;S175),"DPO Approval target is before QA target",IF(AND(Z175&lt;&gt;"",V175&lt;&gt;"",Z175&lt;V175),"Confirmed Deployed date is before DPO Approval target","")))))))))))))))))</f>
        <v/>
      </c>
      <c r="AE175" s="62"/>
    </row>
    <row r="176" spans="1:31" x14ac:dyDescent="0.25">
      <c r="A176" s="62"/>
      <c r="B176" s="62"/>
      <c r="C176" s="62"/>
      <c r="D176" s="64" t="str">
        <f ca="1">IF($B176="","",IF(LEFT($AC176,3)="Yes",IF(LEN($AC176)&gt;5,"Blocked - "&amp;MID($AC176,7,100),"Blocked")&amp;IF(SUMPRODUCT((TRIM('Rework Log'!$A$3:$A$500)=TRIM($B176))*('Rework Log'!$G$3:$G$500&lt;&gt;"Yes")*('Rework Log'!$G$3:$G$500&lt;&gt;"Did not pass re-test"))=0,"",IF(SUMPRODUCT(((TRIM('Rework Log'!$A$3:$A$500)=TRIM($B176))*('Rework Log'!$G$3:$G$500&lt;&gt;"Yes")*('Rework Log'!$G$3:$G$500&lt;&gt;"Did not pass re-test"))*ISNUMBER('Rework Log'!$J$3:$J$500))&gt;0," - fixed, awaiting re-test",IF(SUMPRODUCT(MAX(((TRIM('Rework Log'!$A$3:$A$500)=TRIM($B176))*('Rework Log'!$G$3:$G$500&lt;&gt;"Yes")*('Rework Log'!$G$3:$G$500&lt;&gt;"Did not pass re-test"))*IFERROR('Rework Log'!$I$3:$I$500*1,0)))=0," - unclaimed"," - promised "&amp;TEXT(SUMPRODUCT(MAX(((TRIM('Rework Log'!$A$3:$A$500)=TRIM($B176))*('Rework Log'!$G$3:$G$500&lt;&gt;"Yes")*('Rework Log'!$G$3:$G$500&lt;&gt;"Did not pass re-test"))*IFERROR('Rework Log'!$I$3:$I$500*1,0))),"m/d")))),IF(TRIM(C176)="NOT STARTED",IF(K176="","No plan date set",IF(K176&lt;TODAY(),"Review - planned start passed","On track")),IF(TRIM(C176)="DB Dev",IF(M176="","No target set",IF(AND(M176&lt;TODAY(),O176=""),"Overdue","On track")),IF(TRIM(C176)="PBI Dev",IF(P176="","No target set",IF(AND(P176&lt;TODAY(),R176=""),"Overdue","On track")),IF(TRIM(C176)="QA",IF(S176="","No target set",IF(AND(S176&lt;TODAY(),U176=""),"Overdue","On track")),IF(TRIM(C176)="DPO Approval",IF(V176="","No target set",IF(V176&lt;TODAY(),"Overdue","On track")),IF(TRIM(C176)="RELEASED IN PROD","Delivered",""))))))))</f>
        <v/>
      </c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4" t="str">
        <f>IF($B176="","",IF(AND(LEFT($AC176,3)="Yes",SUMPRODUCT((TRIM('Rework Log'!$A$3:$A$500)=TRIM($B176))*('Rework Log'!$G$3:$G$500&lt;&gt;"Yes")*('Rework Log'!$G$3:$G$500&lt;&gt;"Did not pass re-test"))=0),"Blocked - log it on Rework Log",IF(AND(LEFT($AC176,3)&lt;&gt;"Yes",SUMPRODUCT((TRIM('Rework Log'!$A$3:$A$500)=TRIM($B176))*('Rework Log'!$G$3:$G$500&lt;&gt;"Yes")*('Rework Log'!$G$3:$G$500&lt;&gt;"Did not pass re-test"))&gt;0),"Open rework row - mark Blocked? or close it",IF(AND(LEFT($AC176,3)&lt;&gt;"Yes",SUMPRODUCT((TRIM('Rework Log'!$A$3:$A$500)=TRIM($B176))*('Rework Log'!$G$3:$G$500&lt;&gt;"Yes")*('Rework Log'!$G$3:$G$500&lt;&gt;"Did not pass re-test"))=0,COUNTIF('Rework Log'!$A$3:$A$500,$B176)&gt;0,IFERROR(INDEX('Rework Log'!$G:$G,SUMPRODUCT(MAX((TRIM('Rework Log'!$A$3:$A$500)=TRIM($B176))*ROW('Rework Log'!$A$3:$A$500)))),"")="Did not pass re-test"),"Last fix rejected - re-block or log next attempt",IF(AND(LEFT($AC176,3)="Yes",ISNUMBER(SEARCH("needs DB Dev",$AC176)),O176&lt;&gt;"",SUMPRODUCT(MAX(((TRIM('Rework Log'!$A$3:$A$500)=TRIM($B176))*('Rework Log'!$G$3:$G$500&lt;&gt;"Yes")*('Rework Log'!$G$3:$G$500&lt;&gt;"Did not pass re-test"))*IFERROR('Rework Log'!$I$3:$I$500*1,0)))&gt;0),"Move old DB Dev completion date to Rework Log (col H)",IF(AND(LEFT($AC176,3)="Yes",ISNUMBER(SEARCH("needs PBI Dev",$AC176)),R176&lt;&gt;"",SUMPRODUCT(MAX(((TRIM('Rework Log'!$A$3:$A$500)=TRIM($B176))*('Rework Log'!$G$3:$G$500&lt;&gt;"Yes")*('Rework Log'!$G$3:$G$500&lt;&gt;"Did not pass re-test"))*IFERROR('Rework Log'!$I$3:$I$500*1,0)))&gt;0),"Move old PBI Dev completion date to Rework Log (col H)",IF(AND(LEFT($AC176,3)="Yes",ISNUMBER(SEARCH("needs QA",$AC176)),U176&lt;&gt;"",SUMPRODUCT(MAX(((TRIM('Rework Log'!$A$3:$A$500)=TRIM($B176))*('Rework Log'!$G$3:$G$500&lt;&gt;"Yes")*('Rework Log'!$G$3:$G$500&lt;&gt;"Did not pass re-test"))*IFERROR('Rework Log'!$I$3:$I$500*1,0)))&gt;0),"Move old QA completion date to Rework Log (col H)",IF(AND(LEFT($AC176,3)="Yes",ISNUMBER(SEARCH("needs DB Dev",$AC176)),TRIM(C176)&lt;&gt;"DB Dev"),"Set Current Status back to DB Dev",IF(AND(LEFT($AC176,3)="Yes",ISNUMBER(SEARCH("needs PBI Dev",$AC176)),TRIM(C176)&lt;&gt;"PBI Dev"),"Set Current Status back to PBI Dev",IF(AND(LEFT($AC176,3)="Yes",ISNUMBER(SEARCH("needs QA",$AC176)),TRIM(C176)&lt;&gt;"QA"),"Set Current Status back to QA",IF(COUNTIF($B$2:$B$500,$B176)&gt;1,"Duplicate name - check row",IF(AND(TRIM(C176)="RELEASED IN PROD",Y176&lt;&gt;"Yes"),"Released but Confirmed Deployed? is not Yes",IF(COUNTIF('Rework Log'!$A$3:$A$500,$B176)&gt;0,"",IF(AND(S176&lt;&gt;"",M176&lt;&gt;"",S176&lt;M176),"QA target is before DB Dev target",IF(AND(S176&lt;&gt;"",P176&lt;&gt;"",S176&lt;P176),"QA target is before PBI Dev target",IF(AND(V176&lt;&gt;"",S176&lt;&gt;"",V176&lt;S176),"DPO Approval target is before QA target",IF(AND(Z176&lt;&gt;"",V176&lt;&gt;"",Z176&lt;V176),"Confirmed Deployed date is before DPO Approval target","")))))))))))))))))</f>
        <v/>
      </c>
      <c r="AE176" s="62"/>
    </row>
    <row r="177" spans="1:31" x14ac:dyDescent="0.25">
      <c r="A177" s="62"/>
      <c r="B177" s="62"/>
      <c r="C177" s="62"/>
      <c r="D177" s="64" t="str">
        <f ca="1">IF($B177="","",IF(LEFT($AC177,3)="Yes",IF(LEN($AC177)&gt;5,"Blocked - "&amp;MID($AC177,7,100),"Blocked")&amp;IF(SUMPRODUCT((TRIM('Rework Log'!$A$3:$A$500)=TRIM($B177))*('Rework Log'!$G$3:$G$500&lt;&gt;"Yes")*('Rework Log'!$G$3:$G$500&lt;&gt;"Did not pass re-test"))=0,"",IF(SUMPRODUCT(((TRIM('Rework Log'!$A$3:$A$500)=TRIM($B177))*('Rework Log'!$G$3:$G$500&lt;&gt;"Yes")*('Rework Log'!$G$3:$G$500&lt;&gt;"Did not pass re-test"))*ISNUMBER('Rework Log'!$J$3:$J$500))&gt;0," - fixed, awaiting re-test",IF(SUMPRODUCT(MAX(((TRIM('Rework Log'!$A$3:$A$500)=TRIM($B177))*('Rework Log'!$G$3:$G$500&lt;&gt;"Yes")*('Rework Log'!$G$3:$G$500&lt;&gt;"Did not pass re-test"))*IFERROR('Rework Log'!$I$3:$I$500*1,0)))=0," - unclaimed"," - promised "&amp;TEXT(SUMPRODUCT(MAX(((TRIM('Rework Log'!$A$3:$A$500)=TRIM($B177))*('Rework Log'!$G$3:$G$500&lt;&gt;"Yes")*('Rework Log'!$G$3:$G$500&lt;&gt;"Did not pass re-test"))*IFERROR('Rework Log'!$I$3:$I$500*1,0))),"m/d")))),IF(TRIM(C177)="NOT STARTED",IF(K177="","No plan date set",IF(K177&lt;TODAY(),"Review - planned start passed","On track")),IF(TRIM(C177)="DB Dev",IF(M177="","No target set",IF(AND(M177&lt;TODAY(),O177=""),"Overdue","On track")),IF(TRIM(C177)="PBI Dev",IF(P177="","No target set",IF(AND(P177&lt;TODAY(),R177=""),"Overdue","On track")),IF(TRIM(C177)="QA",IF(S177="","No target set",IF(AND(S177&lt;TODAY(),U177=""),"Overdue","On track")),IF(TRIM(C177)="DPO Approval",IF(V177="","No target set",IF(V177&lt;TODAY(),"Overdue","On track")),IF(TRIM(C177)="RELEASED IN PROD","Delivered",""))))))))</f>
        <v/>
      </c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4" t="str">
        <f>IF($B177="","",IF(AND(LEFT($AC177,3)="Yes",SUMPRODUCT((TRIM('Rework Log'!$A$3:$A$500)=TRIM($B177))*('Rework Log'!$G$3:$G$500&lt;&gt;"Yes")*('Rework Log'!$G$3:$G$500&lt;&gt;"Did not pass re-test"))=0),"Blocked - log it on Rework Log",IF(AND(LEFT($AC177,3)&lt;&gt;"Yes",SUMPRODUCT((TRIM('Rework Log'!$A$3:$A$500)=TRIM($B177))*('Rework Log'!$G$3:$G$500&lt;&gt;"Yes")*('Rework Log'!$G$3:$G$500&lt;&gt;"Did not pass re-test"))&gt;0),"Open rework row - mark Blocked? or close it",IF(AND(LEFT($AC177,3)&lt;&gt;"Yes",SUMPRODUCT((TRIM('Rework Log'!$A$3:$A$500)=TRIM($B177))*('Rework Log'!$G$3:$G$500&lt;&gt;"Yes")*('Rework Log'!$G$3:$G$500&lt;&gt;"Did not pass re-test"))=0,COUNTIF('Rework Log'!$A$3:$A$500,$B177)&gt;0,IFERROR(INDEX('Rework Log'!$G:$G,SUMPRODUCT(MAX((TRIM('Rework Log'!$A$3:$A$500)=TRIM($B177))*ROW('Rework Log'!$A$3:$A$500)))),"")="Did not pass re-test"),"Last fix rejected - re-block or log next attempt",IF(AND(LEFT($AC177,3)="Yes",ISNUMBER(SEARCH("needs DB Dev",$AC177)),O177&lt;&gt;"",SUMPRODUCT(MAX(((TRIM('Rework Log'!$A$3:$A$500)=TRIM($B177))*('Rework Log'!$G$3:$G$500&lt;&gt;"Yes")*('Rework Log'!$G$3:$G$500&lt;&gt;"Did not pass re-test"))*IFERROR('Rework Log'!$I$3:$I$500*1,0)))&gt;0),"Move old DB Dev completion date to Rework Log (col H)",IF(AND(LEFT($AC177,3)="Yes",ISNUMBER(SEARCH("needs PBI Dev",$AC177)),R177&lt;&gt;"",SUMPRODUCT(MAX(((TRIM('Rework Log'!$A$3:$A$500)=TRIM($B177))*('Rework Log'!$G$3:$G$500&lt;&gt;"Yes")*('Rework Log'!$G$3:$G$500&lt;&gt;"Did not pass re-test"))*IFERROR('Rework Log'!$I$3:$I$500*1,0)))&gt;0),"Move old PBI Dev completion date to Rework Log (col H)",IF(AND(LEFT($AC177,3)="Yes",ISNUMBER(SEARCH("needs QA",$AC177)),U177&lt;&gt;"",SUMPRODUCT(MAX(((TRIM('Rework Log'!$A$3:$A$500)=TRIM($B177))*('Rework Log'!$G$3:$G$500&lt;&gt;"Yes")*('Rework Log'!$G$3:$G$500&lt;&gt;"Did not pass re-test"))*IFERROR('Rework Log'!$I$3:$I$500*1,0)))&gt;0),"Move old QA completion date to Rework Log (col H)",IF(AND(LEFT($AC177,3)="Yes",ISNUMBER(SEARCH("needs DB Dev",$AC177)),TRIM(C177)&lt;&gt;"DB Dev"),"Set Current Status back to DB Dev",IF(AND(LEFT($AC177,3)="Yes",ISNUMBER(SEARCH("needs PBI Dev",$AC177)),TRIM(C177)&lt;&gt;"PBI Dev"),"Set Current Status back to PBI Dev",IF(AND(LEFT($AC177,3)="Yes",ISNUMBER(SEARCH("needs QA",$AC177)),TRIM(C177)&lt;&gt;"QA"),"Set Current Status back to QA",IF(COUNTIF($B$2:$B$500,$B177)&gt;1,"Duplicate name - check row",IF(AND(TRIM(C177)="RELEASED IN PROD",Y177&lt;&gt;"Yes"),"Released but Confirmed Deployed? is not Yes",IF(COUNTIF('Rework Log'!$A$3:$A$500,$B177)&gt;0,"",IF(AND(S177&lt;&gt;"",M177&lt;&gt;"",S177&lt;M177),"QA target is before DB Dev target",IF(AND(S177&lt;&gt;"",P177&lt;&gt;"",S177&lt;P177),"QA target is before PBI Dev target",IF(AND(V177&lt;&gt;"",S177&lt;&gt;"",V177&lt;S177),"DPO Approval target is before QA target",IF(AND(Z177&lt;&gt;"",V177&lt;&gt;"",Z177&lt;V177),"Confirmed Deployed date is before DPO Approval target","")))))))))))))))))</f>
        <v/>
      </c>
      <c r="AE177" s="62"/>
    </row>
    <row r="178" spans="1:31" x14ac:dyDescent="0.25">
      <c r="A178" s="62"/>
      <c r="B178" s="62"/>
      <c r="C178" s="62"/>
      <c r="D178" s="64" t="str">
        <f ca="1">IF($B178="","",IF(LEFT($AC178,3)="Yes",IF(LEN($AC178)&gt;5,"Blocked - "&amp;MID($AC178,7,100),"Blocked")&amp;IF(SUMPRODUCT((TRIM('Rework Log'!$A$3:$A$500)=TRIM($B178))*('Rework Log'!$G$3:$G$500&lt;&gt;"Yes")*('Rework Log'!$G$3:$G$500&lt;&gt;"Did not pass re-test"))=0,"",IF(SUMPRODUCT(((TRIM('Rework Log'!$A$3:$A$500)=TRIM($B178))*('Rework Log'!$G$3:$G$500&lt;&gt;"Yes")*('Rework Log'!$G$3:$G$500&lt;&gt;"Did not pass re-test"))*ISNUMBER('Rework Log'!$J$3:$J$500))&gt;0," - fixed, awaiting re-test",IF(SUMPRODUCT(MAX(((TRIM('Rework Log'!$A$3:$A$500)=TRIM($B178))*('Rework Log'!$G$3:$G$500&lt;&gt;"Yes")*('Rework Log'!$G$3:$G$500&lt;&gt;"Did not pass re-test"))*IFERROR('Rework Log'!$I$3:$I$500*1,0)))=0," - unclaimed"," - promised "&amp;TEXT(SUMPRODUCT(MAX(((TRIM('Rework Log'!$A$3:$A$500)=TRIM($B178))*('Rework Log'!$G$3:$G$500&lt;&gt;"Yes")*('Rework Log'!$G$3:$G$500&lt;&gt;"Did not pass re-test"))*IFERROR('Rework Log'!$I$3:$I$500*1,0))),"m/d")))),IF(TRIM(C178)="NOT STARTED",IF(K178="","No plan date set",IF(K178&lt;TODAY(),"Review - planned start passed","On track")),IF(TRIM(C178)="DB Dev",IF(M178="","No target set",IF(AND(M178&lt;TODAY(),O178=""),"Overdue","On track")),IF(TRIM(C178)="PBI Dev",IF(P178="","No target set",IF(AND(P178&lt;TODAY(),R178=""),"Overdue","On track")),IF(TRIM(C178)="QA",IF(S178="","No target set",IF(AND(S178&lt;TODAY(),U178=""),"Overdue","On track")),IF(TRIM(C178)="DPO Approval",IF(V178="","No target set",IF(V178&lt;TODAY(),"Overdue","On track")),IF(TRIM(C178)="RELEASED IN PROD","Delivered",""))))))))</f>
        <v/>
      </c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4" t="str">
        <f>IF($B178="","",IF(AND(LEFT($AC178,3)="Yes",SUMPRODUCT((TRIM('Rework Log'!$A$3:$A$500)=TRIM($B178))*('Rework Log'!$G$3:$G$500&lt;&gt;"Yes")*('Rework Log'!$G$3:$G$500&lt;&gt;"Did not pass re-test"))=0),"Blocked - log it on Rework Log",IF(AND(LEFT($AC178,3)&lt;&gt;"Yes",SUMPRODUCT((TRIM('Rework Log'!$A$3:$A$500)=TRIM($B178))*('Rework Log'!$G$3:$G$500&lt;&gt;"Yes")*('Rework Log'!$G$3:$G$500&lt;&gt;"Did not pass re-test"))&gt;0),"Open rework row - mark Blocked? or close it",IF(AND(LEFT($AC178,3)&lt;&gt;"Yes",SUMPRODUCT((TRIM('Rework Log'!$A$3:$A$500)=TRIM($B178))*('Rework Log'!$G$3:$G$500&lt;&gt;"Yes")*('Rework Log'!$G$3:$G$500&lt;&gt;"Did not pass re-test"))=0,COUNTIF('Rework Log'!$A$3:$A$500,$B178)&gt;0,IFERROR(INDEX('Rework Log'!$G:$G,SUMPRODUCT(MAX((TRIM('Rework Log'!$A$3:$A$500)=TRIM($B178))*ROW('Rework Log'!$A$3:$A$500)))),"")="Did not pass re-test"),"Last fix rejected - re-block or log next attempt",IF(AND(LEFT($AC178,3)="Yes",ISNUMBER(SEARCH("needs DB Dev",$AC178)),O178&lt;&gt;"",SUMPRODUCT(MAX(((TRIM('Rework Log'!$A$3:$A$500)=TRIM($B178))*('Rework Log'!$G$3:$G$500&lt;&gt;"Yes")*('Rework Log'!$G$3:$G$500&lt;&gt;"Did not pass re-test"))*IFERROR('Rework Log'!$I$3:$I$500*1,0)))&gt;0),"Move old DB Dev completion date to Rework Log (col H)",IF(AND(LEFT($AC178,3)="Yes",ISNUMBER(SEARCH("needs PBI Dev",$AC178)),R178&lt;&gt;"",SUMPRODUCT(MAX(((TRIM('Rework Log'!$A$3:$A$500)=TRIM($B178))*('Rework Log'!$G$3:$G$500&lt;&gt;"Yes")*('Rework Log'!$G$3:$G$500&lt;&gt;"Did not pass re-test"))*IFERROR('Rework Log'!$I$3:$I$500*1,0)))&gt;0),"Move old PBI Dev completion date to Rework Log (col H)",IF(AND(LEFT($AC178,3)="Yes",ISNUMBER(SEARCH("needs QA",$AC178)),U178&lt;&gt;"",SUMPRODUCT(MAX(((TRIM('Rework Log'!$A$3:$A$500)=TRIM($B178))*('Rework Log'!$G$3:$G$500&lt;&gt;"Yes")*('Rework Log'!$G$3:$G$500&lt;&gt;"Did not pass re-test"))*IFERROR('Rework Log'!$I$3:$I$500*1,0)))&gt;0),"Move old QA completion date to Rework Log (col H)",IF(AND(LEFT($AC178,3)="Yes",ISNUMBER(SEARCH("needs DB Dev",$AC178)),TRIM(C178)&lt;&gt;"DB Dev"),"Set Current Status back to DB Dev",IF(AND(LEFT($AC178,3)="Yes",ISNUMBER(SEARCH("needs PBI Dev",$AC178)),TRIM(C178)&lt;&gt;"PBI Dev"),"Set Current Status back to PBI Dev",IF(AND(LEFT($AC178,3)="Yes",ISNUMBER(SEARCH("needs QA",$AC178)),TRIM(C178)&lt;&gt;"QA"),"Set Current Status back to QA",IF(COUNTIF($B$2:$B$500,$B178)&gt;1,"Duplicate name - check row",IF(AND(TRIM(C178)="RELEASED IN PROD",Y178&lt;&gt;"Yes"),"Released but Confirmed Deployed? is not Yes",IF(COUNTIF('Rework Log'!$A$3:$A$500,$B178)&gt;0,"",IF(AND(S178&lt;&gt;"",M178&lt;&gt;"",S178&lt;M178),"QA target is before DB Dev target",IF(AND(S178&lt;&gt;"",P178&lt;&gt;"",S178&lt;P178),"QA target is before PBI Dev target",IF(AND(V178&lt;&gt;"",S178&lt;&gt;"",V178&lt;S178),"DPO Approval target is before QA target",IF(AND(Z178&lt;&gt;"",V178&lt;&gt;"",Z178&lt;V178),"Confirmed Deployed date is before DPO Approval target","")))))))))))))))))</f>
        <v/>
      </c>
      <c r="AE178" s="62"/>
    </row>
    <row r="179" spans="1:31" x14ac:dyDescent="0.25">
      <c r="A179" s="62"/>
      <c r="B179" s="62"/>
      <c r="C179" s="62"/>
      <c r="D179" s="64" t="str">
        <f ca="1">IF($B179="","",IF(LEFT($AC179,3)="Yes",IF(LEN($AC179)&gt;5,"Blocked - "&amp;MID($AC179,7,100),"Blocked")&amp;IF(SUMPRODUCT((TRIM('Rework Log'!$A$3:$A$500)=TRIM($B179))*('Rework Log'!$G$3:$G$500&lt;&gt;"Yes")*('Rework Log'!$G$3:$G$500&lt;&gt;"Did not pass re-test"))=0,"",IF(SUMPRODUCT(((TRIM('Rework Log'!$A$3:$A$500)=TRIM($B179))*('Rework Log'!$G$3:$G$500&lt;&gt;"Yes")*('Rework Log'!$G$3:$G$500&lt;&gt;"Did not pass re-test"))*ISNUMBER('Rework Log'!$J$3:$J$500))&gt;0," - fixed, awaiting re-test",IF(SUMPRODUCT(MAX(((TRIM('Rework Log'!$A$3:$A$500)=TRIM($B179))*('Rework Log'!$G$3:$G$500&lt;&gt;"Yes")*('Rework Log'!$G$3:$G$500&lt;&gt;"Did not pass re-test"))*IFERROR('Rework Log'!$I$3:$I$500*1,0)))=0," - unclaimed"," - promised "&amp;TEXT(SUMPRODUCT(MAX(((TRIM('Rework Log'!$A$3:$A$500)=TRIM($B179))*('Rework Log'!$G$3:$G$500&lt;&gt;"Yes")*('Rework Log'!$G$3:$G$500&lt;&gt;"Did not pass re-test"))*IFERROR('Rework Log'!$I$3:$I$500*1,0))),"m/d")))),IF(TRIM(C179)="NOT STARTED",IF(K179="","No plan date set",IF(K179&lt;TODAY(),"Review - planned start passed","On track")),IF(TRIM(C179)="DB Dev",IF(M179="","No target set",IF(AND(M179&lt;TODAY(),O179=""),"Overdue","On track")),IF(TRIM(C179)="PBI Dev",IF(P179="","No target set",IF(AND(P179&lt;TODAY(),R179=""),"Overdue","On track")),IF(TRIM(C179)="QA",IF(S179="","No target set",IF(AND(S179&lt;TODAY(),U179=""),"Overdue","On track")),IF(TRIM(C179)="DPO Approval",IF(V179="","No target set",IF(V179&lt;TODAY(),"Overdue","On track")),IF(TRIM(C179)="RELEASED IN PROD","Delivered",""))))))))</f>
        <v/>
      </c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4" t="str">
        <f>IF($B179="","",IF(AND(LEFT($AC179,3)="Yes",SUMPRODUCT((TRIM('Rework Log'!$A$3:$A$500)=TRIM($B179))*('Rework Log'!$G$3:$G$500&lt;&gt;"Yes")*('Rework Log'!$G$3:$G$500&lt;&gt;"Did not pass re-test"))=0),"Blocked - log it on Rework Log",IF(AND(LEFT($AC179,3)&lt;&gt;"Yes",SUMPRODUCT((TRIM('Rework Log'!$A$3:$A$500)=TRIM($B179))*('Rework Log'!$G$3:$G$500&lt;&gt;"Yes")*('Rework Log'!$G$3:$G$500&lt;&gt;"Did not pass re-test"))&gt;0),"Open rework row - mark Blocked? or close it",IF(AND(LEFT($AC179,3)&lt;&gt;"Yes",SUMPRODUCT((TRIM('Rework Log'!$A$3:$A$500)=TRIM($B179))*('Rework Log'!$G$3:$G$500&lt;&gt;"Yes")*('Rework Log'!$G$3:$G$500&lt;&gt;"Did not pass re-test"))=0,COUNTIF('Rework Log'!$A$3:$A$500,$B179)&gt;0,IFERROR(INDEX('Rework Log'!$G:$G,SUMPRODUCT(MAX((TRIM('Rework Log'!$A$3:$A$500)=TRIM($B179))*ROW('Rework Log'!$A$3:$A$500)))),"")="Did not pass re-test"),"Last fix rejected - re-block or log next attempt",IF(AND(LEFT($AC179,3)="Yes",ISNUMBER(SEARCH("needs DB Dev",$AC179)),O179&lt;&gt;"",SUMPRODUCT(MAX(((TRIM('Rework Log'!$A$3:$A$500)=TRIM($B179))*('Rework Log'!$G$3:$G$500&lt;&gt;"Yes")*('Rework Log'!$G$3:$G$500&lt;&gt;"Did not pass re-test"))*IFERROR('Rework Log'!$I$3:$I$500*1,0)))&gt;0),"Move old DB Dev completion date to Rework Log (col H)",IF(AND(LEFT($AC179,3)="Yes",ISNUMBER(SEARCH("needs PBI Dev",$AC179)),R179&lt;&gt;"",SUMPRODUCT(MAX(((TRIM('Rework Log'!$A$3:$A$500)=TRIM($B179))*('Rework Log'!$G$3:$G$500&lt;&gt;"Yes")*('Rework Log'!$G$3:$G$500&lt;&gt;"Did not pass re-test"))*IFERROR('Rework Log'!$I$3:$I$500*1,0)))&gt;0),"Move old PBI Dev completion date to Rework Log (col H)",IF(AND(LEFT($AC179,3)="Yes",ISNUMBER(SEARCH("needs QA",$AC179)),U179&lt;&gt;"",SUMPRODUCT(MAX(((TRIM('Rework Log'!$A$3:$A$500)=TRIM($B179))*('Rework Log'!$G$3:$G$500&lt;&gt;"Yes")*('Rework Log'!$G$3:$G$500&lt;&gt;"Did not pass re-test"))*IFERROR('Rework Log'!$I$3:$I$500*1,0)))&gt;0),"Move old QA completion date to Rework Log (col H)",IF(AND(LEFT($AC179,3)="Yes",ISNUMBER(SEARCH("needs DB Dev",$AC179)),TRIM(C179)&lt;&gt;"DB Dev"),"Set Current Status back to DB Dev",IF(AND(LEFT($AC179,3)="Yes",ISNUMBER(SEARCH("needs PBI Dev",$AC179)),TRIM(C179)&lt;&gt;"PBI Dev"),"Set Current Status back to PBI Dev",IF(AND(LEFT($AC179,3)="Yes",ISNUMBER(SEARCH("needs QA",$AC179)),TRIM(C179)&lt;&gt;"QA"),"Set Current Status back to QA",IF(COUNTIF($B$2:$B$500,$B179)&gt;1,"Duplicate name - check row",IF(AND(TRIM(C179)="RELEASED IN PROD",Y179&lt;&gt;"Yes"),"Released but Confirmed Deployed? is not Yes",IF(COUNTIF('Rework Log'!$A$3:$A$500,$B179)&gt;0,"",IF(AND(S179&lt;&gt;"",M179&lt;&gt;"",S179&lt;M179),"QA target is before DB Dev target",IF(AND(S179&lt;&gt;"",P179&lt;&gt;"",S179&lt;P179),"QA target is before PBI Dev target",IF(AND(V179&lt;&gt;"",S179&lt;&gt;"",V179&lt;S179),"DPO Approval target is before QA target",IF(AND(Z179&lt;&gt;"",V179&lt;&gt;"",Z179&lt;V179),"Confirmed Deployed date is before DPO Approval target","")))))))))))))))))</f>
        <v/>
      </c>
      <c r="AE179" s="62"/>
    </row>
    <row r="180" spans="1:31" x14ac:dyDescent="0.25">
      <c r="A180" s="62"/>
      <c r="B180" s="62"/>
      <c r="C180" s="62"/>
      <c r="D180" s="64" t="str">
        <f ca="1">IF($B180="","",IF(LEFT($AC180,3)="Yes",IF(LEN($AC180)&gt;5,"Blocked - "&amp;MID($AC180,7,100),"Blocked")&amp;IF(SUMPRODUCT((TRIM('Rework Log'!$A$3:$A$500)=TRIM($B180))*('Rework Log'!$G$3:$G$500&lt;&gt;"Yes")*('Rework Log'!$G$3:$G$500&lt;&gt;"Did not pass re-test"))=0,"",IF(SUMPRODUCT(((TRIM('Rework Log'!$A$3:$A$500)=TRIM($B180))*('Rework Log'!$G$3:$G$500&lt;&gt;"Yes")*('Rework Log'!$G$3:$G$500&lt;&gt;"Did not pass re-test"))*ISNUMBER('Rework Log'!$J$3:$J$500))&gt;0," - fixed, awaiting re-test",IF(SUMPRODUCT(MAX(((TRIM('Rework Log'!$A$3:$A$500)=TRIM($B180))*('Rework Log'!$G$3:$G$500&lt;&gt;"Yes")*('Rework Log'!$G$3:$G$500&lt;&gt;"Did not pass re-test"))*IFERROR('Rework Log'!$I$3:$I$500*1,0)))=0," - unclaimed"," - promised "&amp;TEXT(SUMPRODUCT(MAX(((TRIM('Rework Log'!$A$3:$A$500)=TRIM($B180))*('Rework Log'!$G$3:$G$500&lt;&gt;"Yes")*('Rework Log'!$G$3:$G$500&lt;&gt;"Did not pass re-test"))*IFERROR('Rework Log'!$I$3:$I$500*1,0))),"m/d")))),IF(TRIM(C180)="NOT STARTED",IF(K180="","No plan date set",IF(K180&lt;TODAY(),"Review - planned start passed","On track")),IF(TRIM(C180)="DB Dev",IF(M180="","No target set",IF(AND(M180&lt;TODAY(),O180=""),"Overdue","On track")),IF(TRIM(C180)="PBI Dev",IF(P180="","No target set",IF(AND(P180&lt;TODAY(),R180=""),"Overdue","On track")),IF(TRIM(C180)="QA",IF(S180="","No target set",IF(AND(S180&lt;TODAY(),U180=""),"Overdue","On track")),IF(TRIM(C180)="DPO Approval",IF(V180="","No target set",IF(V180&lt;TODAY(),"Overdue","On track")),IF(TRIM(C180)="RELEASED IN PROD","Delivered",""))))))))</f>
        <v/>
      </c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4" t="str">
        <f>IF($B180="","",IF(AND(LEFT($AC180,3)="Yes",SUMPRODUCT((TRIM('Rework Log'!$A$3:$A$500)=TRIM($B180))*('Rework Log'!$G$3:$G$500&lt;&gt;"Yes")*('Rework Log'!$G$3:$G$500&lt;&gt;"Did not pass re-test"))=0),"Blocked - log it on Rework Log",IF(AND(LEFT($AC180,3)&lt;&gt;"Yes",SUMPRODUCT((TRIM('Rework Log'!$A$3:$A$500)=TRIM($B180))*('Rework Log'!$G$3:$G$500&lt;&gt;"Yes")*('Rework Log'!$G$3:$G$500&lt;&gt;"Did not pass re-test"))&gt;0),"Open rework row - mark Blocked? or close it",IF(AND(LEFT($AC180,3)&lt;&gt;"Yes",SUMPRODUCT((TRIM('Rework Log'!$A$3:$A$500)=TRIM($B180))*('Rework Log'!$G$3:$G$500&lt;&gt;"Yes")*('Rework Log'!$G$3:$G$500&lt;&gt;"Did not pass re-test"))=0,COUNTIF('Rework Log'!$A$3:$A$500,$B180)&gt;0,IFERROR(INDEX('Rework Log'!$G:$G,SUMPRODUCT(MAX((TRIM('Rework Log'!$A$3:$A$500)=TRIM($B180))*ROW('Rework Log'!$A$3:$A$500)))),"")="Did not pass re-test"),"Last fix rejected - re-block or log next attempt",IF(AND(LEFT($AC180,3)="Yes",ISNUMBER(SEARCH("needs DB Dev",$AC180)),O180&lt;&gt;"",SUMPRODUCT(MAX(((TRIM('Rework Log'!$A$3:$A$500)=TRIM($B180))*('Rework Log'!$G$3:$G$500&lt;&gt;"Yes")*('Rework Log'!$G$3:$G$500&lt;&gt;"Did not pass re-test"))*IFERROR('Rework Log'!$I$3:$I$500*1,0)))&gt;0),"Move old DB Dev completion date to Rework Log (col H)",IF(AND(LEFT($AC180,3)="Yes",ISNUMBER(SEARCH("needs PBI Dev",$AC180)),R180&lt;&gt;"",SUMPRODUCT(MAX(((TRIM('Rework Log'!$A$3:$A$500)=TRIM($B180))*('Rework Log'!$G$3:$G$500&lt;&gt;"Yes")*('Rework Log'!$G$3:$G$500&lt;&gt;"Did not pass re-test"))*IFERROR('Rework Log'!$I$3:$I$500*1,0)))&gt;0),"Move old PBI Dev completion date to Rework Log (col H)",IF(AND(LEFT($AC180,3)="Yes",ISNUMBER(SEARCH("needs QA",$AC180)),U180&lt;&gt;"",SUMPRODUCT(MAX(((TRIM('Rework Log'!$A$3:$A$500)=TRIM($B180))*('Rework Log'!$G$3:$G$500&lt;&gt;"Yes")*('Rework Log'!$G$3:$G$500&lt;&gt;"Did not pass re-test"))*IFERROR('Rework Log'!$I$3:$I$500*1,0)))&gt;0),"Move old QA completion date to Rework Log (col H)",IF(AND(LEFT($AC180,3)="Yes",ISNUMBER(SEARCH("needs DB Dev",$AC180)),TRIM(C180)&lt;&gt;"DB Dev"),"Set Current Status back to DB Dev",IF(AND(LEFT($AC180,3)="Yes",ISNUMBER(SEARCH("needs PBI Dev",$AC180)),TRIM(C180)&lt;&gt;"PBI Dev"),"Set Current Status back to PBI Dev",IF(AND(LEFT($AC180,3)="Yes",ISNUMBER(SEARCH("needs QA",$AC180)),TRIM(C180)&lt;&gt;"QA"),"Set Current Status back to QA",IF(COUNTIF($B$2:$B$500,$B180)&gt;1,"Duplicate name - check row",IF(AND(TRIM(C180)="RELEASED IN PROD",Y180&lt;&gt;"Yes"),"Released but Confirmed Deployed? is not Yes",IF(COUNTIF('Rework Log'!$A$3:$A$500,$B180)&gt;0,"",IF(AND(S180&lt;&gt;"",M180&lt;&gt;"",S180&lt;M180),"QA target is before DB Dev target",IF(AND(S180&lt;&gt;"",P180&lt;&gt;"",S180&lt;P180),"QA target is before PBI Dev target",IF(AND(V180&lt;&gt;"",S180&lt;&gt;"",V180&lt;S180),"DPO Approval target is before QA target",IF(AND(Z180&lt;&gt;"",V180&lt;&gt;"",Z180&lt;V180),"Confirmed Deployed date is before DPO Approval target","")))))))))))))))))</f>
        <v/>
      </c>
      <c r="AE180" s="62"/>
    </row>
    <row r="181" spans="1:31" x14ac:dyDescent="0.25">
      <c r="A181" s="62"/>
      <c r="B181" s="62"/>
      <c r="C181" s="62"/>
      <c r="D181" s="64" t="str">
        <f ca="1">IF($B181="","",IF(LEFT($AC181,3)="Yes",IF(LEN($AC181)&gt;5,"Blocked - "&amp;MID($AC181,7,100),"Blocked")&amp;IF(SUMPRODUCT((TRIM('Rework Log'!$A$3:$A$500)=TRIM($B181))*('Rework Log'!$G$3:$G$500&lt;&gt;"Yes")*('Rework Log'!$G$3:$G$500&lt;&gt;"Did not pass re-test"))=0,"",IF(SUMPRODUCT(((TRIM('Rework Log'!$A$3:$A$500)=TRIM($B181))*('Rework Log'!$G$3:$G$500&lt;&gt;"Yes")*('Rework Log'!$G$3:$G$500&lt;&gt;"Did not pass re-test"))*ISNUMBER('Rework Log'!$J$3:$J$500))&gt;0," - fixed, awaiting re-test",IF(SUMPRODUCT(MAX(((TRIM('Rework Log'!$A$3:$A$500)=TRIM($B181))*('Rework Log'!$G$3:$G$500&lt;&gt;"Yes")*('Rework Log'!$G$3:$G$500&lt;&gt;"Did not pass re-test"))*IFERROR('Rework Log'!$I$3:$I$500*1,0)))=0," - unclaimed"," - promised "&amp;TEXT(SUMPRODUCT(MAX(((TRIM('Rework Log'!$A$3:$A$500)=TRIM($B181))*('Rework Log'!$G$3:$G$500&lt;&gt;"Yes")*('Rework Log'!$G$3:$G$500&lt;&gt;"Did not pass re-test"))*IFERROR('Rework Log'!$I$3:$I$500*1,0))),"m/d")))),IF(TRIM(C181)="NOT STARTED",IF(K181="","No plan date set",IF(K181&lt;TODAY(),"Review - planned start passed","On track")),IF(TRIM(C181)="DB Dev",IF(M181="","No target set",IF(AND(M181&lt;TODAY(),O181=""),"Overdue","On track")),IF(TRIM(C181)="PBI Dev",IF(P181="","No target set",IF(AND(P181&lt;TODAY(),R181=""),"Overdue","On track")),IF(TRIM(C181)="QA",IF(S181="","No target set",IF(AND(S181&lt;TODAY(),U181=""),"Overdue","On track")),IF(TRIM(C181)="DPO Approval",IF(V181="","No target set",IF(V181&lt;TODAY(),"Overdue","On track")),IF(TRIM(C181)="RELEASED IN PROD","Delivered",""))))))))</f>
        <v/>
      </c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4" t="str">
        <f>IF($B181="","",IF(AND(LEFT($AC181,3)="Yes",SUMPRODUCT((TRIM('Rework Log'!$A$3:$A$500)=TRIM($B181))*('Rework Log'!$G$3:$G$500&lt;&gt;"Yes")*('Rework Log'!$G$3:$G$500&lt;&gt;"Did not pass re-test"))=0),"Blocked - log it on Rework Log",IF(AND(LEFT($AC181,3)&lt;&gt;"Yes",SUMPRODUCT((TRIM('Rework Log'!$A$3:$A$500)=TRIM($B181))*('Rework Log'!$G$3:$G$500&lt;&gt;"Yes")*('Rework Log'!$G$3:$G$500&lt;&gt;"Did not pass re-test"))&gt;0),"Open rework row - mark Blocked? or close it",IF(AND(LEFT($AC181,3)&lt;&gt;"Yes",SUMPRODUCT((TRIM('Rework Log'!$A$3:$A$500)=TRIM($B181))*('Rework Log'!$G$3:$G$500&lt;&gt;"Yes")*('Rework Log'!$G$3:$G$500&lt;&gt;"Did not pass re-test"))=0,COUNTIF('Rework Log'!$A$3:$A$500,$B181)&gt;0,IFERROR(INDEX('Rework Log'!$G:$G,SUMPRODUCT(MAX((TRIM('Rework Log'!$A$3:$A$500)=TRIM($B181))*ROW('Rework Log'!$A$3:$A$500)))),"")="Did not pass re-test"),"Last fix rejected - re-block or log next attempt",IF(AND(LEFT($AC181,3)="Yes",ISNUMBER(SEARCH("needs DB Dev",$AC181)),O181&lt;&gt;"",SUMPRODUCT(MAX(((TRIM('Rework Log'!$A$3:$A$500)=TRIM($B181))*('Rework Log'!$G$3:$G$500&lt;&gt;"Yes")*('Rework Log'!$G$3:$G$500&lt;&gt;"Did not pass re-test"))*IFERROR('Rework Log'!$I$3:$I$500*1,0)))&gt;0),"Move old DB Dev completion date to Rework Log (col H)",IF(AND(LEFT($AC181,3)="Yes",ISNUMBER(SEARCH("needs PBI Dev",$AC181)),R181&lt;&gt;"",SUMPRODUCT(MAX(((TRIM('Rework Log'!$A$3:$A$500)=TRIM($B181))*('Rework Log'!$G$3:$G$500&lt;&gt;"Yes")*('Rework Log'!$G$3:$G$500&lt;&gt;"Did not pass re-test"))*IFERROR('Rework Log'!$I$3:$I$500*1,0)))&gt;0),"Move old PBI Dev completion date to Rework Log (col H)",IF(AND(LEFT($AC181,3)="Yes",ISNUMBER(SEARCH("needs QA",$AC181)),U181&lt;&gt;"",SUMPRODUCT(MAX(((TRIM('Rework Log'!$A$3:$A$500)=TRIM($B181))*('Rework Log'!$G$3:$G$500&lt;&gt;"Yes")*('Rework Log'!$G$3:$G$500&lt;&gt;"Did not pass re-test"))*IFERROR('Rework Log'!$I$3:$I$500*1,0)))&gt;0),"Move old QA completion date to Rework Log (col H)",IF(AND(LEFT($AC181,3)="Yes",ISNUMBER(SEARCH("needs DB Dev",$AC181)),TRIM(C181)&lt;&gt;"DB Dev"),"Set Current Status back to DB Dev",IF(AND(LEFT($AC181,3)="Yes",ISNUMBER(SEARCH("needs PBI Dev",$AC181)),TRIM(C181)&lt;&gt;"PBI Dev"),"Set Current Status back to PBI Dev",IF(AND(LEFT($AC181,3)="Yes",ISNUMBER(SEARCH("needs QA",$AC181)),TRIM(C181)&lt;&gt;"QA"),"Set Current Status back to QA",IF(COUNTIF($B$2:$B$500,$B181)&gt;1,"Duplicate name - check row",IF(AND(TRIM(C181)="RELEASED IN PROD",Y181&lt;&gt;"Yes"),"Released but Confirmed Deployed? is not Yes",IF(COUNTIF('Rework Log'!$A$3:$A$500,$B181)&gt;0,"",IF(AND(S181&lt;&gt;"",M181&lt;&gt;"",S181&lt;M181),"QA target is before DB Dev target",IF(AND(S181&lt;&gt;"",P181&lt;&gt;"",S181&lt;P181),"QA target is before PBI Dev target",IF(AND(V181&lt;&gt;"",S181&lt;&gt;"",V181&lt;S181),"DPO Approval target is before QA target",IF(AND(Z181&lt;&gt;"",V181&lt;&gt;"",Z181&lt;V181),"Confirmed Deployed date is before DPO Approval target","")))))))))))))))))</f>
        <v/>
      </c>
      <c r="AE181" s="62"/>
    </row>
    <row r="182" spans="1:31" x14ac:dyDescent="0.25">
      <c r="A182" s="62"/>
      <c r="B182" s="62"/>
      <c r="C182" s="62"/>
      <c r="D182" s="64" t="str">
        <f ca="1">IF($B182="","",IF(LEFT($AC182,3)="Yes",IF(LEN($AC182)&gt;5,"Blocked - "&amp;MID($AC182,7,100),"Blocked")&amp;IF(SUMPRODUCT((TRIM('Rework Log'!$A$3:$A$500)=TRIM($B182))*('Rework Log'!$G$3:$G$500&lt;&gt;"Yes")*('Rework Log'!$G$3:$G$500&lt;&gt;"Did not pass re-test"))=0,"",IF(SUMPRODUCT(((TRIM('Rework Log'!$A$3:$A$500)=TRIM($B182))*('Rework Log'!$G$3:$G$500&lt;&gt;"Yes")*('Rework Log'!$G$3:$G$500&lt;&gt;"Did not pass re-test"))*ISNUMBER('Rework Log'!$J$3:$J$500))&gt;0," - fixed, awaiting re-test",IF(SUMPRODUCT(MAX(((TRIM('Rework Log'!$A$3:$A$500)=TRIM($B182))*('Rework Log'!$G$3:$G$500&lt;&gt;"Yes")*('Rework Log'!$G$3:$G$500&lt;&gt;"Did not pass re-test"))*IFERROR('Rework Log'!$I$3:$I$500*1,0)))=0," - unclaimed"," - promised "&amp;TEXT(SUMPRODUCT(MAX(((TRIM('Rework Log'!$A$3:$A$500)=TRIM($B182))*('Rework Log'!$G$3:$G$500&lt;&gt;"Yes")*('Rework Log'!$G$3:$G$500&lt;&gt;"Did not pass re-test"))*IFERROR('Rework Log'!$I$3:$I$500*1,0))),"m/d")))),IF(TRIM(C182)="NOT STARTED",IF(K182="","No plan date set",IF(K182&lt;TODAY(),"Review - planned start passed","On track")),IF(TRIM(C182)="DB Dev",IF(M182="","No target set",IF(AND(M182&lt;TODAY(),O182=""),"Overdue","On track")),IF(TRIM(C182)="PBI Dev",IF(P182="","No target set",IF(AND(P182&lt;TODAY(),R182=""),"Overdue","On track")),IF(TRIM(C182)="QA",IF(S182="","No target set",IF(AND(S182&lt;TODAY(),U182=""),"Overdue","On track")),IF(TRIM(C182)="DPO Approval",IF(V182="","No target set",IF(V182&lt;TODAY(),"Overdue","On track")),IF(TRIM(C182)="RELEASED IN PROD","Delivered",""))))))))</f>
        <v/>
      </c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4" t="str">
        <f>IF($B182="","",IF(AND(LEFT($AC182,3)="Yes",SUMPRODUCT((TRIM('Rework Log'!$A$3:$A$500)=TRIM($B182))*('Rework Log'!$G$3:$G$500&lt;&gt;"Yes")*('Rework Log'!$G$3:$G$500&lt;&gt;"Did not pass re-test"))=0),"Blocked - log it on Rework Log",IF(AND(LEFT($AC182,3)&lt;&gt;"Yes",SUMPRODUCT((TRIM('Rework Log'!$A$3:$A$500)=TRIM($B182))*('Rework Log'!$G$3:$G$500&lt;&gt;"Yes")*('Rework Log'!$G$3:$G$500&lt;&gt;"Did not pass re-test"))&gt;0),"Open rework row - mark Blocked? or close it",IF(AND(LEFT($AC182,3)&lt;&gt;"Yes",SUMPRODUCT((TRIM('Rework Log'!$A$3:$A$500)=TRIM($B182))*('Rework Log'!$G$3:$G$500&lt;&gt;"Yes")*('Rework Log'!$G$3:$G$500&lt;&gt;"Did not pass re-test"))=0,COUNTIF('Rework Log'!$A$3:$A$500,$B182)&gt;0,IFERROR(INDEX('Rework Log'!$G:$G,SUMPRODUCT(MAX((TRIM('Rework Log'!$A$3:$A$500)=TRIM($B182))*ROW('Rework Log'!$A$3:$A$500)))),"")="Did not pass re-test"),"Last fix rejected - re-block or log next attempt",IF(AND(LEFT($AC182,3)="Yes",ISNUMBER(SEARCH("needs DB Dev",$AC182)),O182&lt;&gt;"",SUMPRODUCT(MAX(((TRIM('Rework Log'!$A$3:$A$500)=TRIM($B182))*('Rework Log'!$G$3:$G$500&lt;&gt;"Yes")*('Rework Log'!$G$3:$G$500&lt;&gt;"Did not pass re-test"))*IFERROR('Rework Log'!$I$3:$I$500*1,0)))&gt;0),"Move old DB Dev completion date to Rework Log (col H)",IF(AND(LEFT($AC182,3)="Yes",ISNUMBER(SEARCH("needs PBI Dev",$AC182)),R182&lt;&gt;"",SUMPRODUCT(MAX(((TRIM('Rework Log'!$A$3:$A$500)=TRIM($B182))*('Rework Log'!$G$3:$G$500&lt;&gt;"Yes")*('Rework Log'!$G$3:$G$500&lt;&gt;"Did not pass re-test"))*IFERROR('Rework Log'!$I$3:$I$500*1,0)))&gt;0),"Move old PBI Dev completion date to Rework Log (col H)",IF(AND(LEFT($AC182,3)="Yes",ISNUMBER(SEARCH("needs QA",$AC182)),U182&lt;&gt;"",SUMPRODUCT(MAX(((TRIM('Rework Log'!$A$3:$A$500)=TRIM($B182))*('Rework Log'!$G$3:$G$500&lt;&gt;"Yes")*('Rework Log'!$G$3:$G$500&lt;&gt;"Did not pass re-test"))*IFERROR('Rework Log'!$I$3:$I$500*1,0)))&gt;0),"Move old QA completion date to Rework Log (col H)",IF(AND(LEFT($AC182,3)="Yes",ISNUMBER(SEARCH("needs DB Dev",$AC182)),TRIM(C182)&lt;&gt;"DB Dev"),"Set Current Status back to DB Dev",IF(AND(LEFT($AC182,3)="Yes",ISNUMBER(SEARCH("needs PBI Dev",$AC182)),TRIM(C182)&lt;&gt;"PBI Dev"),"Set Current Status back to PBI Dev",IF(AND(LEFT($AC182,3)="Yes",ISNUMBER(SEARCH("needs QA",$AC182)),TRIM(C182)&lt;&gt;"QA"),"Set Current Status back to QA",IF(COUNTIF($B$2:$B$500,$B182)&gt;1,"Duplicate name - check row",IF(AND(TRIM(C182)="RELEASED IN PROD",Y182&lt;&gt;"Yes"),"Released but Confirmed Deployed? is not Yes",IF(COUNTIF('Rework Log'!$A$3:$A$500,$B182)&gt;0,"",IF(AND(S182&lt;&gt;"",M182&lt;&gt;"",S182&lt;M182),"QA target is before DB Dev target",IF(AND(S182&lt;&gt;"",P182&lt;&gt;"",S182&lt;P182),"QA target is before PBI Dev target",IF(AND(V182&lt;&gt;"",S182&lt;&gt;"",V182&lt;S182),"DPO Approval target is before QA target",IF(AND(Z182&lt;&gt;"",V182&lt;&gt;"",Z182&lt;V182),"Confirmed Deployed date is before DPO Approval target","")))))))))))))))))</f>
        <v/>
      </c>
      <c r="AE182" s="62"/>
    </row>
    <row r="183" spans="1:31" x14ac:dyDescent="0.25">
      <c r="A183" s="62"/>
      <c r="B183" s="62"/>
      <c r="C183" s="62"/>
      <c r="D183" s="64" t="str">
        <f ca="1">IF($B183="","",IF(LEFT($AC183,3)="Yes",IF(LEN($AC183)&gt;5,"Blocked - "&amp;MID($AC183,7,100),"Blocked")&amp;IF(SUMPRODUCT((TRIM('Rework Log'!$A$3:$A$500)=TRIM($B183))*('Rework Log'!$G$3:$G$500&lt;&gt;"Yes")*('Rework Log'!$G$3:$G$500&lt;&gt;"Did not pass re-test"))=0,"",IF(SUMPRODUCT(((TRIM('Rework Log'!$A$3:$A$500)=TRIM($B183))*('Rework Log'!$G$3:$G$500&lt;&gt;"Yes")*('Rework Log'!$G$3:$G$500&lt;&gt;"Did not pass re-test"))*ISNUMBER('Rework Log'!$J$3:$J$500))&gt;0," - fixed, awaiting re-test",IF(SUMPRODUCT(MAX(((TRIM('Rework Log'!$A$3:$A$500)=TRIM($B183))*('Rework Log'!$G$3:$G$500&lt;&gt;"Yes")*('Rework Log'!$G$3:$G$500&lt;&gt;"Did not pass re-test"))*IFERROR('Rework Log'!$I$3:$I$500*1,0)))=0," - unclaimed"," - promised "&amp;TEXT(SUMPRODUCT(MAX(((TRIM('Rework Log'!$A$3:$A$500)=TRIM($B183))*('Rework Log'!$G$3:$G$500&lt;&gt;"Yes")*('Rework Log'!$G$3:$G$500&lt;&gt;"Did not pass re-test"))*IFERROR('Rework Log'!$I$3:$I$500*1,0))),"m/d")))),IF(TRIM(C183)="NOT STARTED",IF(K183="","No plan date set",IF(K183&lt;TODAY(),"Review - planned start passed","On track")),IF(TRIM(C183)="DB Dev",IF(M183="","No target set",IF(AND(M183&lt;TODAY(),O183=""),"Overdue","On track")),IF(TRIM(C183)="PBI Dev",IF(P183="","No target set",IF(AND(P183&lt;TODAY(),R183=""),"Overdue","On track")),IF(TRIM(C183)="QA",IF(S183="","No target set",IF(AND(S183&lt;TODAY(),U183=""),"Overdue","On track")),IF(TRIM(C183)="DPO Approval",IF(V183="","No target set",IF(V183&lt;TODAY(),"Overdue","On track")),IF(TRIM(C183)="RELEASED IN PROD","Delivered",""))))))))</f>
        <v/>
      </c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4" t="str">
        <f>IF($B183="","",IF(AND(LEFT($AC183,3)="Yes",SUMPRODUCT((TRIM('Rework Log'!$A$3:$A$500)=TRIM($B183))*('Rework Log'!$G$3:$G$500&lt;&gt;"Yes")*('Rework Log'!$G$3:$G$500&lt;&gt;"Did not pass re-test"))=0),"Blocked - log it on Rework Log",IF(AND(LEFT($AC183,3)&lt;&gt;"Yes",SUMPRODUCT((TRIM('Rework Log'!$A$3:$A$500)=TRIM($B183))*('Rework Log'!$G$3:$G$500&lt;&gt;"Yes")*('Rework Log'!$G$3:$G$500&lt;&gt;"Did not pass re-test"))&gt;0),"Open rework row - mark Blocked? or close it",IF(AND(LEFT($AC183,3)&lt;&gt;"Yes",SUMPRODUCT((TRIM('Rework Log'!$A$3:$A$500)=TRIM($B183))*('Rework Log'!$G$3:$G$500&lt;&gt;"Yes")*('Rework Log'!$G$3:$G$500&lt;&gt;"Did not pass re-test"))=0,COUNTIF('Rework Log'!$A$3:$A$500,$B183)&gt;0,IFERROR(INDEX('Rework Log'!$G:$G,SUMPRODUCT(MAX((TRIM('Rework Log'!$A$3:$A$500)=TRIM($B183))*ROW('Rework Log'!$A$3:$A$500)))),"")="Did not pass re-test"),"Last fix rejected - re-block or log next attempt",IF(AND(LEFT($AC183,3)="Yes",ISNUMBER(SEARCH("needs DB Dev",$AC183)),O183&lt;&gt;"",SUMPRODUCT(MAX(((TRIM('Rework Log'!$A$3:$A$500)=TRIM($B183))*('Rework Log'!$G$3:$G$500&lt;&gt;"Yes")*('Rework Log'!$G$3:$G$500&lt;&gt;"Did not pass re-test"))*IFERROR('Rework Log'!$I$3:$I$500*1,0)))&gt;0),"Move old DB Dev completion date to Rework Log (col H)",IF(AND(LEFT($AC183,3)="Yes",ISNUMBER(SEARCH("needs PBI Dev",$AC183)),R183&lt;&gt;"",SUMPRODUCT(MAX(((TRIM('Rework Log'!$A$3:$A$500)=TRIM($B183))*('Rework Log'!$G$3:$G$500&lt;&gt;"Yes")*('Rework Log'!$G$3:$G$500&lt;&gt;"Did not pass re-test"))*IFERROR('Rework Log'!$I$3:$I$500*1,0)))&gt;0),"Move old PBI Dev completion date to Rework Log (col H)",IF(AND(LEFT($AC183,3)="Yes",ISNUMBER(SEARCH("needs QA",$AC183)),U183&lt;&gt;"",SUMPRODUCT(MAX(((TRIM('Rework Log'!$A$3:$A$500)=TRIM($B183))*('Rework Log'!$G$3:$G$500&lt;&gt;"Yes")*('Rework Log'!$G$3:$G$500&lt;&gt;"Did not pass re-test"))*IFERROR('Rework Log'!$I$3:$I$500*1,0)))&gt;0),"Move old QA completion date to Rework Log (col H)",IF(AND(LEFT($AC183,3)="Yes",ISNUMBER(SEARCH("needs DB Dev",$AC183)),TRIM(C183)&lt;&gt;"DB Dev"),"Set Current Status back to DB Dev",IF(AND(LEFT($AC183,3)="Yes",ISNUMBER(SEARCH("needs PBI Dev",$AC183)),TRIM(C183)&lt;&gt;"PBI Dev"),"Set Current Status back to PBI Dev",IF(AND(LEFT($AC183,3)="Yes",ISNUMBER(SEARCH("needs QA",$AC183)),TRIM(C183)&lt;&gt;"QA"),"Set Current Status back to QA",IF(COUNTIF($B$2:$B$500,$B183)&gt;1,"Duplicate name - check row",IF(AND(TRIM(C183)="RELEASED IN PROD",Y183&lt;&gt;"Yes"),"Released but Confirmed Deployed? is not Yes",IF(COUNTIF('Rework Log'!$A$3:$A$500,$B183)&gt;0,"",IF(AND(S183&lt;&gt;"",M183&lt;&gt;"",S183&lt;M183),"QA target is before DB Dev target",IF(AND(S183&lt;&gt;"",P183&lt;&gt;"",S183&lt;P183),"QA target is before PBI Dev target",IF(AND(V183&lt;&gt;"",S183&lt;&gt;"",V183&lt;S183),"DPO Approval target is before QA target",IF(AND(Z183&lt;&gt;"",V183&lt;&gt;"",Z183&lt;V183),"Confirmed Deployed date is before DPO Approval target","")))))))))))))))))</f>
        <v/>
      </c>
      <c r="AE183" s="62"/>
    </row>
    <row r="184" spans="1:31" x14ac:dyDescent="0.25">
      <c r="A184" s="62"/>
      <c r="B184" s="62"/>
      <c r="C184" s="62"/>
      <c r="D184" s="64" t="str">
        <f ca="1">IF($B184="","",IF(LEFT($AC184,3)="Yes",IF(LEN($AC184)&gt;5,"Blocked - "&amp;MID($AC184,7,100),"Blocked")&amp;IF(SUMPRODUCT((TRIM('Rework Log'!$A$3:$A$500)=TRIM($B184))*('Rework Log'!$G$3:$G$500&lt;&gt;"Yes")*('Rework Log'!$G$3:$G$500&lt;&gt;"Did not pass re-test"))=0,"",IF(SUMPRODUCT(((TRIM('Rework Log'!$A$3:$A$500)=TRIM($B184))*('Rework Log'!$G$3:$G$500&lt;&gt;"Yes")*('Rework Log'!$G$3:$G$500&lt;&gt;"Did not pass re-test"))*ISNUMBER('Rework Log'!$J$3:$J$500))&gt;0," - fixed, awaiting re-test",IF(SUMPRODUCT(MAX(((TRIM('Rework Log'!$A$3:$A$500)=TRIM($B184))*('Rework Log'!$G$3:$G$500&lt;&gt;"Yes")*('Rework Log'!$G$3:$G$500&lt;&gt;"Did not pass re-test"))*IFERROR('Rework Log'!$I$3:$I$500*1,0)))=0," - unclaimed"," - promised "&amp;TEXT(SUMPRODUCT(MAX(((TRIM('Rework Log'!$A$3:$A$500)=TRIM($B184))*('Rework Log'!$G$3:$G$500&lt;&gt;"Yes")*('Rework Log'!$G$3:$G$500&lt;&gt;"Did not pass re-test"))*IFERROR('Rework Log'!$I$3:$I$500*1,0))),"m/d")))),IF(TRIM(C184)="NOT STARTED",IF(K184="","No plan date set",IF(K184&lt;TODAY(),"Review - planned start passed","On track")),IF(TRIM(C184)="DB Dev",IF(M184="","No target set",IF(AND(M184&lt;TODAY(),O184=""),"Overdue","On track")),IF(TRIM(C184)="PBI Dev",IF(P184="","No target set",IF(AND(P184&lt;TODAY(),R184=""),"Overdue","On track")),IF(TRIM(C184)="QA",IF(S184="","No target set",IF(AND(S184&lt;TODAY(),U184=""),"Overdue","On track")),IF(TRIM(C184)="DPO Approval",IF(V184="","No target set",IF(V184&lt;TODAY(),"Overdue","On track")),IF(TRIM(C184)="RELEASED IN PROD","Delivered",""))))))))</f>
        <v/>
      </c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4" t="str">
        <f>IF($B184="","",IF(AND(LEFT($AC184,3)="Yes",SUMPRODUCT((TRIM('Rework Log'!$A$3:$A$500)=TRIM($B184))*('Rework Log'!$G$3:$G$500&lt;&gt;"Yes")*('Rework Log'!$G$3:$G$500&lt;&gt;"Did not pass re-test"))=0),"Blocked - log it on Rework Log",IF(AND(LEFT($AC184,3)&lt;&gt;"Yes",SUMPRODUCT((TRIM('Rework Log'!$A$3:$A$500)=TRIM($B184))*('Rework Log'!$G$3:$G$500&lt;&gt;"Yes")*('Rework Log'!$G$3:$G$500&lt;&gt;"Did not pass re-test"))&gt;0),"Open rework row - mark Blocked? or close it",IF(AND(LEFT($AC184,3)&lt;&gt;"Yes",SUMPRODUCT((TRIM('Rework Log'!$A$3:$A$500)=TRIM($B184))*('Rework Log'!$G$3:$G$500&lt;&gt;"Yes")*('Rework Log'!$G$3:$G$500&lt;&gt;"Did not pass re-test"))=0,COUNTIF('Rework Log'!$A$3:$A$500,$B184)&gt;0,IFERROR(INDEX('Rework Log'!$G:$G,SUMPRODUCT(MAX((TRIM('Rework Log'!$A$3:$A$500)=TRIM($B184))*ROW('Rework Log'!$A$3:$A$500)))),"")="Did not pass re-test"),"Last fix rejected - re-block or log next attempt",IF(AND(LEFT($AC184,3)="Yes",ISNUMBER(SEARCH("needs DB Dev",$AC184)),O184&lt;&gt;"",SUMPRODUCT(MAX(((TRIM('Rework Log'!$A$3:$A$500)=TRIM($B184))*('Rework Log'!$G$3:$G$500&lt;&gt;"Yes")*('Rework Log'!$G$3:$G$500&lt;&gt;"Did not pass re-test"))*IFERROR('Rework Log'!$I$3:$I$500*1,0)))&gt;0),"Move old DB Dev completion date to Rework Log (col H)",IF(AND(LEFT($AC184,3)="Yes",ISNUMBER(SEARCH("needs PBI Dev",$AC184)),R184&lt;&gt;"",SUMPRODUCT(MAX(((TRIM('Rework Log'!$A$3:$A$500)=TRIM($B184))*('Rework Log'!$G$3:$G$500&lt;&gt;"Yes")*('Rework Log'!$G$3:$G$500&lt;&gt;"Did not pass re-test"))*IFERROR('Rework Log'!$I$3:$I$500*1,0)))&gt;0),"Move old PBI Dev completion date to Rework Log (col H)",IF(AND(LEFT($AC184,3)="Yes",ISNUMBER(SEARCH("needs QA",$AC184)),U184&lt;&gt;"",SUMPRODUCT(MAX(((TRIM('Rework Log'!$A$3:$A$500)=TRIM($B184))*('Rework Log'!$G$3:$G$500&lt;&gt;"Yes")*('Rework Log'!$G$3:$G$500&lt;&gt;"Did not pass re-test"))*IFERROR('Rework Log'!$I$3:$I$500*1,0)))&gt;0),"Move old QA completion date to Rework Log (col H)",IF(AND(LEFT($AC184,3)="Yes",ISNUMBER(SEARCH("needs DB Dev",$AC184)),TRIM(C184)&lt;&gt;"DB Dev"),"Set Current Status back to DB Dev",IF(AND(LEFT($AC184,3)="Yes",ISNUMBER(SEARCH("needs PBI Dev",$AC184)),TRIM(C184)&lt;&gt;"PBI Dev"),"Set Current Status back to PBI Dev",IF(AND(LEFT($AC184,3)="Yes",ISNUMBER(SEARCH("needs QA",$AC184)),TRIM(C184)&lt;&gt;"QA"),"Set Current Status back to QA",IF(COUNTIF($B$2:$B$500,$B184)&gt;1,"Duplicate name - check row",IF(AND(TRIM(C184)="RELEASED IN PROD",Y184&lt;&gt;"Yes"),"Released but Confirmed Deployed? is not Yes",IF(COUNTIF('Rework Log'!$A$3:$A$500,$B184)&gt;0,"",IF(AND(S184&lt;&gt;"",M184&lt;&gt;"",S184&lt;M184),"QA target is before DB Dev target",IF(AND(S184&lt;&gt;"",P184&lt;&gt;"",S184&lt;P184),"QA target is before PBI Dev target",IF(AND(V184&lt;&gt;"",S184&lt;&gt;"",V184&lt;S184),"DPO Approval target is before QA target",IF(AND(Z184&lt;&gt;"",V184&lt;&gt;"",Z184&lt;V184),"Confirmed Deployed date is before DPO Approval target","")))))))))))))))))</f>
        <v/>
      </c>
      <c r="AE184" s="62"/>
    </row>
    <row r="185" spans="1:31" x14ac:dyDescent="0.25">
      <c r="A185" s="62"/>
      <c r="B185" s="62"/>
      <c r="C185" s="62"/>
      <c r="D185" s="64" t="str">
        <f ca="1">IF($B185="","",IF(LEFT($AC185,3)="Yes",IF(LEN($AC185)&gt;5,"Blocked - "&amp;MID($AC185,7,100),"Blocked")&amp;IF(SUMPRODUCT((TRIM('Rework Log'!$A$3:$A$500)=TRIM($B185))*('Rework Log'!$G$3:$G$500&lt;&gt;"Yes")*('Rework Log'!$G$3:$G$500&lt;&gt;"Did not pass re-test"))=0,"",IF(SUMPRODUCT(((TRIM('Rework Log'!$A$3:$A$500)=TRIM($B185))*('Rework Log'!$G$3:$G$500&lt;&gt;"Yes")*('Rework Log'!$G$3:$G$500&lt;&gt;"Did not pass re-test"))*ISNUMBER('Rework Log'!$J$3:$J$500))&gt;0," - fixed, awaiting re-test",IF(SUMPRODUCT(MAX(((TRIM('Rework Log'!$A$3:$A$500)=TRIM($B185))*('Rework Log'!$G$3:$G$500&lt;&gt;"Yes")*('Rework Log'!$G$3:$G$500&lt;&gt;"Did not pass re-test"))*IFERROR('Rework Log'!$I$3:$I$500*1,0)))=0," - unclaimed"," - promised "&amp;TEXT(SUMPRODUCT(MAX(((TRIM('Rework Log'!$A$3:$A$500)=TRIM($B185))*('Rework Log'!$G$3:$G$500&lt;&gt;"Yes")*('Rework Log'!$G$3:$G$500&lt;&gt;"Did not pass re-test"))*IFERROR('Rework Log'!$I$3:$I$500*1,0))),"m/d")))),IF(TRIM(C185)="NOT STARTED",IF(K185="","No plan date set",IF(K185&lt;TODAY(),"Review - planned start passed","On track")),IF(TRIM(C185)="DB Dev",IF(M185="","No target set",IF(AND(M185&lt;TODAY(),O185=""),"Overdue","On track")),IF(TRIM(C185)="PBI Dev",IF(P185="","No target set",IF(AND(P185&lt;TODAY(),R185=""),"Overdue","On track")),IF(TRIM(C185)="QA",IF(S185="","No target set",IF(AND(S185&lt;TODAY(),U185=""),"Overdue","On track")),IF(TRIM(C185)="DPO Approval",IF(V185="","No target set",IF(V185&lt;TODAY(),"Overdue","On track")),IF(TRIM(C185)="RELEASED IN PROD","Delivered",""))))))))</f>
        <v/>
      </c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4" t="str">
        <f>IF($B185="","",IF(AND(LEFT($AC185,3)="Yes",SUMPRODUCT((TRIM('Rework Log'!$A$3:$A$500)=TRIM($B185))*('Rework Log'!$G$3:$G$500&lt;&gt;"Yes")*('Rework Log'!$G$3:$G$500&lt;&gt;"Did not pass re-test"))=0),"Blocked - log it on Rework Log",IF(AND(LEFT($AC185,3)&lt;&gt;"Yes",SUMPRODUCT((TRIM('Rework Log'!$A$3:$A$500)=TRIM($B185))*('Rework Log'!$G$3:$G$500&lt;&gt;"Yes")*('Rework Log'!$G$3:$G$500&lt;&gt;"Did not pass re-test"))&gt;0),"Open rework row - mark Blocked? or close it",IF(AND(LEFT($AC185,3)&lt;&gt;"Yes",SUMPRODUCT((TRIM('Rework Log'!$A$3:$A$500)=TRIM($B185))*('Rework Log'!$G$3:$G$500&lt;&gt;"Yes")*('Rework Log'!$G$3:$G$500&lt;&gt;"Did not pass re-test"))=0,COUNTIF('Rework Log'!$A$3:$A$500,$B185)&gt;0,IFERROR(INDEX('Rework Log'!$G:$G,SUMPRODUCT(MAX((TRIM('Rework Log'!$A$3:$A$500)=TRIM($B185))*ROW('Rework Log'!$A$3:$A$500)))),"")="Did not pass re-test"),"Last fix rejected - re-block or log next attempt",IF(AND(LEFT($AC185,3)="Yes",ISNUMBER(SEARCH("needs DB Dev",$AC185)),O185&lt;&gt;"",SUMPRODUCT(MAX(((TRIM('Rework Log'!$A$3:$A$500)=TRIM($B185))*('Rework Log'!$G$3:$G$500&lt;&gt;"Yes")*('Rework Log'!$G$3:$G$500&lt;&gt;"Did not pass re-test"))*IFERROR('Rework Log'!$I$3:$I$500*1,0)))&gt;0),"Move old DB Dev completion date to Rework Log (col H)",IF(AND(LEFT($AC185,3)="Yes",ISNUMBER(SEARCH("needs PBI Dev",$AC185)),R185&lt;&gt;"",SUMPRODUCT(MAX(((TRIM('Rework Log'!$A$3:$A$500)=TRIM($B185))*('Rework Log'!$G$3:$G$500&lt;&gt;"Yes")*('Rework Log'!$G$3:$G$500&lt;&gt;"Did not pass re-test"))*IFERROR('Rework Log'!$I$3:$I$500*1,0)))&gt;0),"Move old PBI Dev completion date to Rework Log (col H)",IF(AND(LEFT($AC185,3)="Yes",ISNUMBER(SEARCH("needs QA",$AC185)),U185&lt;&gt;"",SUMPRODUCT(MAX(((TRIM('Rework Log'!$A$3:$A$500)=TRIM($B185))*('Rework Log'!$G$3:$G$500&lt;&gt;"Yes")*('Rework Log'!$G$3:$G$500&lt;&gt;"Did not pass re-test"))*IFERROR('Rework Log'!$I$3:$I$500*1,0)))&gt;0),"Move old QA completion date to Rework Log (col H)",IF(AND(LEFT($AC185,3)="Yes",ISNUMBER(SEARCH("needs DB Dev",$AC185)),TRIM(C185)&lt;&gt;"DB Dev"),"Set Current Status back to DB Dev",IF(AND(LEFT($AC185,3)="Yes",ISNUMBER(SEARCH("needs PBI Dev",$AC185)),TRIM(C185)&lt;&gt;"PBI Dev"),"Set Current Status back to PBI Dev",IF(AND(LEFT($AC185,3)="Yes",ISNUMBER(SEARCH("needs QA",$AC185)),TRIM(C185)&lt;&gt;"QA"),"Set Current Status back to QA",IF(COUNTIF($B$2:$B$500,$B185)&gt;1,"Duplicate name - check row",IF(AND(TRIM(C185)="RELEASED IN PROD",Y185&lt;&gt;"Yes"),"Released but Confirmed Deployed? is not Yes",IF(COUNTIF('Rework Log'!$A$3:$A$500,$B185)&gt;0,"",IF(AND(S185&lt;&gt;"",M185&lt;&gt;"",S185&lt;M185),"QA target is before DB Dev target",IF(AND(S185&lt;&gt;"",P185&lt;&gt;"",S185&lt;P185),"QA target is before PBI Dev target",IF(AND(V185&lt;&gt;"",S185&lt;&gt;"",V185&lt;S185),"DPO Approval target is before QA target",IF(AND(Z185&lt;&gt;"",V185&lt;&gt;"",Z185&lt;V185),"Confirmed Deployed date is before DPO Approval target","")))))))))))))))))</f>
        <v/>
      </c>
      <c r="AE185" s="62"/>
    </row>
    <row r="186" spans="1:31" x14ac:dyDescent="0.25">
      <c r="A186" s="62"/>
      <c r="B186" s="62"/>
      <c r="C186" s="62"/>
      <c r="D186" s="64" t="str">
        <f ca="1">IF($B186="","",IF(LEFT($AC186,3)="Yes",IF(LEN($AC186)&gt;5,"Blocked - "&amp;MID($AC186,7,100),"Blocked")&amp;IF(SUMPRODUCT((TRIM('Rework Log'!$A$3:$A$500)=TRIM($B186))*('Rework Log'!$G$3:$G$500&lt;&gt;"Yes")*('Rework Log'!$G$3:$G$500&lt;&gt;"Did not pass re-test"))=0,"",IF(SUMPRODUCT(((TRIM('Rework Log'!$A$3:$A$500)=TRIM($B186))*('Rework Log'!$G$3:$G$500&lt;&gt;"Yes")*('Rework Log'!$G$3:$G$500&lt;&gt;"Did not pass re-test"))*ISNUMBER('Rework Log'!$J$3:$J$500))&gt;0," - fixed, awaiting re-test",IF(SUMPRODUCT(MAX(((TRIM('Rework Log'!$A$3:$A$500)=TRIM($B186))*('Rework Log'!$G$3:$G$500&lt;&gt;"Yes")*('Rework Log'!$G$3:$G$500&lt;&gt;"Did not pass re-test"))*IFERROR('Rework Log'!$I$3:$I$500*1,0)))=0," - unclaimed"," - promised "&amp;TEXT(SUMPRODUCT(MAX(((TRIM('Rework Log'!$A$3:$A$500)=TRIM($B186))*('Rework Log'!$G$3:$G$500&lt;&gt;"Yes")*('Rework Log'!$G$3:$G$500&lt;&gt;"Did not pass re-test"))*IFERROR('Rework Log'!$I$3:$I$500*1,0))),"m/d")))),IF(TRIM(C186)="NOT STARTED",IF(K186="","No plan date set",IF(K186&lt;TODAY(),"Review - planned start passed","On track")),IF(TRIM(C186)="DB Dev",IF(M186="","No target set",IF(AND(M186&lt;TODAY(),O186=""),"Overdue","On track")),IF(TRIM(C186)="PBI Dev",IF(P186="","No target set",IF(AND(P186&lt;TODAY(),R186=""),"Overdue","On track")),IF(TRIM(C186)="QA",IF(S186="","No target set",IF(AND(S186&lt;TODAY(),U186=""),"Overdue","On track")),IF(TRIM(C186)="DPO Approval",IF(V186="","No target set",IF(V186&lt;TODAY(),"Overdue","On track")),IF(TRIM(C186)="RELEASED IN PROD","Delivered",""))))))))</f>
        <v/>
      </c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4" t="str">
        <f>IF($B186="","",IF(AND(LEFT($AC186,3)="Yes",SUMPRODUCT((TRIM('Rework Log'!$A$3:$A$500)=TRIM($B186))*('Rework Log'!$G$3:$G$500&lt;&gt;"Yes")*('Rework Log'!$G$3:$G$500&lt;&gt;"Did not pass re-test"))=0),"Blocked - log it on Rework Log",IF(AND(LEFT($AC186,3)&lt;&gt;"Yes",SUMPRODUCT((TRIM('Rework Log'!$A$3:$A$500)=TRIM($B186))*('Rework Log'!$G$3:$G$500&lt;&gt;"Yes")*('Rework Log'!$G$3:$G$500&lt;&gt;"Did not pass re-test"))&gt;0),"Open rework row - mark Blocked? or close it",IF(AND(LEFT($AC186,3)&lt;&gt;"Yes",SUMPRODUCT((TRIM('Rework Log'!$A$3:$A$500)=TRIM($B186))*('Rework Log'!$G$3:$G$500&lt;&gt;"Yes")*('Rework Log'!$G$3:$G$500&lt;&gt;"Did not pass re-test"))=0,COUNTIF('Rework Log'!$A$3:$A$500,$B186)&gt;0,IFERROR(INDEX('Rework Log'!$G:$G,SUMPRODUCT(MAX((TRIM('Rework Log'!$A$3:$A$500)=TRIM($B186))*ROW('Rework Log'!$A$3:$A$500)))),"")="Did not pass re-test"),"Last fix rejected - re-block or log next attempt",IF(AND(LEFT($AC186,3)="Yes",ISNUMBER(SEARCH("needs DB Dev",$AC186)),O186&lt;&gt;"",SUMPRODUCT(MAX(((TRIM('Rework Log'!$A$3:$A$500)=TRIM($B186))*('Rework Log'!$G$3:$G$500&lt;&gt;"Yes")*('Rework Log'!$G$3:$G$500&lt;&gt;"Did not pass re-test"))*IFERROR('Rework Log'!$I$3:$I$500*1,0)))&gt;0),"Move old DB Dev completion date to Rework Log (col H)",IF(AND(LEFT($AC186,3)="Yes",ISNUMBER(SEARCH("needs PBI Dev",$AC186)),R186&lt;&gt;"",SUMPRODUCT(MAX(((TRIM('Rework Log'!$A$3:$A$500)=TRIM($B186))*('Rework Log'!$G$3:$G$500&lt;&gt;"Yes")*('Rework Log'!$G$3:$G$500&lt;&gt;"Did not pass re-test"))*IFERROR('Rework Log'!$I$3:$I$500*1,0)))&gt;0),"Move old PBI Dev completion date to Rework Log (col H)",IF(AND(LEFT($AC186,3)="Yes",ISNUMBER(SEARCH("needs QA",$AC186)),U186&lt;&gt;"",SUMPRODUCT(MAX(((TRIM('Rework Log'!$A$3:$A$500)=TRIM($B186))*('Rework Log'!$G$3:$G$500&lt;&gt;"Yes")*('Rework Log'!$G$3:$G$500&lt;&gt;"Did not pass re-test"))*IFERROR('Rework Log'!$I$3:$I$500*1,0)))&gt;0),"Move old QA completion date to Rework Log (col H)",IF(AND(LEFT($AC186,3)="Yes",ISNUMBER(SEARCH("needs DB Dev",$AC186)),TRIM(C186)&lt;&gt;"DB Dev"),"Set Current Status back to DB Dev",IF(AND(LEFT($AC186,3)="Yes",ISNUMBER(SEARCH("needs PBI Dev",$AC186)),TRIM(C186)&lt;&gt;"PBI Dev"),"Set Current Status back to PBI Dev",IF(AND(LEFT($AC186,3)="Yes",ISNUMBER(SEARCH("needs QA",$AC186)),TRIM(C186)&lt;&gt;"QA"),"Set Current Status back to QA",IF(COUNTIF($B$2:$B$500,$B186)&gt;1,"Duplicate name - check row",IF(AND(TRIM(C186)="RELEASED IN PROD",Y186&lt;&gt;"Yes"),"Released but Confirmed Deployed? is not Yes",IF(COUNTIF('Rework Log'!$A$3:$A$500,$B186)&gt;0,"",IF(AND(S186&lt;&gt;"",M186&lt;&gt;"",S186&lt;M186),"QA target is before DB Dev target",IF(AND(S186&lt;&gt;"",P186&lt;&gt;"",S186&lt;P186),"QA target is before PBI Dev target",IF(AND(V186&lt;&gt;"",S186&lt;&gt;"",V186&lt;S186),"DPO Approval target is before QA target",IF(AND(Z186&lt;&gt;"",V186&lt;&gt;"",Z186&lt;V186),"Confirmed Deployed date is before DPO Approval target","")))))))))))))))))</f>
        <v/>
      </c>
      <c r="AE186" s="62"/>
    </row>
    <row r="187" spans="1:31" x14ac:dyDescent="0.25">
      <c r="A187" s="62"/>
      <c r="B187" s="62"/>
      <c r="C187" s="62"/>
      <c r="D187" s="64" t="str">
        <f ca="1">IF($B187="","",IF(LEFT($AC187,3)="Yes",IF(LEN($AC187)&gt;5,"Blocked - "&amp;MID($AC187,7,100),"Blocked")&amp;IF(SUMPRODUCT((TRIM('Rework Log'!$A$3:$A$500)=TRIM($B187))*('Rework Log'!$G$3:$G$500&lt;&gt;"Yes")*('Rework Log'!$G$3:$G$500&lt;&gt;"Did not pass re-test"))=0,"",IF(SUMPRODUCT(((TRIM('Rework Log'!$A$3:$A$500)=TRIM($B187))*('Rework Log'!$G$3:$G$500&lt;&gt;"Yes")*('Rework Log'!$G$3:$G$500&lt;&gt;"Did not pass re-test"))*ISNUMBER('Rework Log'!$J$3:$J$500))&gt;0," - fixed, awaiting re-test",IF(SUMPRODUCT(MAX(((TRIM('Rework Log'!$A$3:$A$500)=TRIM($B187))*('Rework Log'!$G$3:$G$500&lt;&gt;"Yes")*('Rework Log'!$G$3:$G$500&lt;&gt;"Did not pass re-test"))*IFERROR('Rework Log'!$I$3:$I$500*1,0)))=0," - unclaimed"," - promised "&amp;TEXT(SUMPRODUCT(MAX(((TRIM('Rework Log'!$A$3:$A$500)=TRIM($B187))*('Rework Log'!$G$3:$G$500&lt;&gt;"Yes")*('Rework Log'!$G$3:$G$500&lt;&gt;"Did not pass re-test"))*IFERROR('Rework Log'!$I$3:$I$500*1,0))),"m/d")))),IF(TRIM(C187)="NOT STARTED",IF(K187="","No plan date set",IF(K187&lt;TODAY(),"Review - planned start passed","On track")),IF(TRIM(C187)="DB Dev",IF(M187="","No target set",IF(AND(M187&lt;TODAY(),O187=""),"Overdue","On track")),IF(TRIM(C187)="PBI Dev",IF(P187="","No target set",IF(AND(P187&lt;TODAY(),R187=""),"Overdue","On track")),IF(TRIM(C187)="QA",IF(S187="","No target set",IF(AND(S187&lt;TODAY(),U187=""),"Overdue","On track")),IF(TRIM(C187)="DPO Approval",IF(V187="","No target set",IF(V187&lt;TODAY(),"Overdue","On track")),IF(TRIM(C187)="RELEASED IN PROD","Delivered",""))))))))</f>
        <v/>
      </c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4" t="str">
        <f>IF($B187="","",IF(AND(LEFT($AC187,3)="Yes",SUMPRODUCT((TRIM('Rework Log'!$A$3:$A$500)=TRIM($B187))*('Rework Log'!$G$3:$G$500&lt;&gt;"Yes")*('Rework Log'!$G$3:$G$500&lt;&gt;"Did not pass re-test"))=0),"Blocked - log it on Rework Log",IF(AND(LEFT($AC187,3)&lt;&gt;"Yes",SUMPRODUCT((TRIM('Rework Log'!$A$3:$A$500)=TRIM($B187))*('Rework Log'!$G$3:$G$500&lt;&gt;"Yes")*('Rework Log'!$G$3:$G$500&lt;&gt;"Did not pass re-test"))&gt;0),"Open rework row - mark Blocked? or close it",IF(AND(LEFT($AC187,3)&lt;&gt;"Yes",SUMPRODUCT((TRIM('Rework Log'!$A$3:$A$500)=TRIM($B187))*('Rework Log'!$G$3:$G$500&lt;&gt;"Yes")*('Rework Log'!$G$3:$G$500&lt;&gt;"Did not pass re-test"))=0,COUNTIF('Rework Log'!$A$3:$A$500,$B187)&gt;0,IFERROR(INDEX('Rework Log'!$G:$G,SUMPRODUCT(MAX((TRIM('Rework Log'!$A$3:$A$500)=TRIM($B187))*ROW('Rework Log'!$A$3:$A$500)))),"")="Did not pass re-test"),"Last fix rejected - re-block or log next attempt",IF(AND(LEFT($AC187,3)="Yes",ISNUMBER(SEARCH("needs DB Dev",$AC187)),O187&lt;&gt;"",SUMPRODUCT(MAX(((TRIM('Rework Log'!$A$3:$A$500)=TRIM($B187))*('Rework Log'!$G$3:$G$500&lt;&gt;"Yes")*('Rework Log'!$G$3:$G$500&lt;&gt;"Did not pass re-test"))*IFERROR('Rework Log'!$I$3:$I$500*1,0)))&gt;0),"Move old DB Dev completion date to Rework Log (col H)",IF(AND(LEFT($AC187,3)="Yes",ISNUMBER(SEARCH("needs PBI Dev",$AC187)),R187&lt;&gt;"",SUMPRODUCT(MAX(((TRIM('Rework Log'!$A$3:$A$500)=TRIM($B187))*('Rework Log'!$G$3:$G$500&lt;&gt;"Yes")*('Rework Log'!$G$3:$G$500&lt;&gt;"Did not pass re-test"))*IFERROR('Rework Log'!$I$3:$I$500*1,0)))&gt;0),"Move old PBI Dev completion date to Rework Log (col H)",IF(AND(LEFT($AC187,3)="Yes",ISNUMBER(SEARCH("needs QA",$AC187)),U187&lt;&gt;"",SUMPRODUCT(MAX(((TRIM('Rework Log'!$A$3:$A$500)=TRIM($B187))*('Rework Log'!$G$3:$G$500&lt;&gt;"Yes")*('Rework Log'!$G$3:$G$500&lt;&gt;"Did not pass re-test"))*IFERROR('Rework Log'!$I$3:$I$500*1,0)))&gt;0),"Move old QA completion date to Rework Log (col H)",IF(AND(LEFT($AC187,3)="Yes",ISNUMBER(SEARCH("needs DB Dev",$AC187)),TRIM(C187)&lt;&gt;"DB Dev"),"Set Current Status back to DB Dev",IF(AND(LEFT($AC187,3)="Yes",ISNUMBER(SEARCH("needs PBI Dev",$AC187)),TRIM(C187)&lt;&gt;"PBI Dev"),"Set Current Status back to PBI Dev",IF(AND(LEFT($AC187,3)="Yes",ISNUMBER(SEARCH("needs QA",$AC187)),TRIM(C187)&lt;&gt;"QA"),"Set Current Status back to QA",IF(COUNTIF($B$2:$B$500,$B187)&gt;1,"Duplicate name - check row",IF(AND(TRIM(C187)="RELEASED IN PROD",Y187&lt;&gt;"Yes"),"Released but Confirmed Deployed? is not Yes",IF(COUNTIF('Rework Log'!$A$3:$A$500,$B187)&gt;0,"",IF(AND(S187&lt;&gt;"",M187&lt;&gt;"",S187&lt;M187),"QA target is before DB Dev target",IF(AND(S187&lt;&gt;"",P187&lt;&gt;"",S187&lt;P187),"QA target is before PBI Dev target",IF(AND(V187&lt;&gt;"",S187&lt;&gt;"",V187&lt;S187),"DPO Approval target is before QA target",IF(AND(Z187&lt;&gt;"",V187&lt;&gt;"",Z187&lt;V187),"Confirmed Deployed date is before DPO Approval target","")))))))))))))))))</f>
        <v/>
      </c>
      <c r="AE187" s="62"/>
    </row>
    <row r="188" spans="1:31" x14ac:dyDescent="0.25">
      <c r="A188" s="62"/>
      <c r="B188" s="62"/>
      <c r="C188" s="62"/>
      <c r="D188" s="64" t="str">
        <f ca="1">IF($B188="","",IF(LEFT($AC188,3)="Yes",IF(LEN($AC188)&gt;5,"Blocked - "&amp;MID($AC188,7,100),"Blocked")&amp;IF(SUMPRODUCT((TRIM('Rework Log'!$A$3:$A$500)=TRIM($B188))*('Rework Log'!$G$3:$G$500&lt;&gt;"Yes")*('Rework Log'!$G$3:$G$500&lt;&gt;"Did not pass re-test"))=0,"",IF(SUMPRODUCT(((TRIM('Rework Log'!$A$3:$A$500)=TRIM($B188))*('Rework Log'!$G$3:$G$500&lt;&gt;"Yes")*('Rework Log'!$G$3:$G$500&lt;&gt;"Did not pass re-test"))*ISNUMBER('Rework Log'!$J$3:$J$500))&gt;0," - fixed, awaiting re-test",IF(SUMPRODUCT(MAX(((TRIM('Rework Log'!$A$3:$A$500)=TRIM($B188))*('Rework Log'!$G$3:$G$500&lt;&gt;"Yes")*('Rework Log'!$G$3:$G$500&lt;&gt;"Did not pass re-test"))*IFERROR('Rework Log'!$I$3:$I$500*1,0)))=0," - unclaimed"," - promised "&amp;TEXT(SUMPRODUCT(MAX(((TRIM('Rework Log'!$A$3:$A$500)=TRIM($B188))*('Rework Log'!$G$3:$G$500&lt;&gt;"Yes")*('Rework Log'!$G$3:$G$500&lt;&gt;"Did not pass re-test"))*IFERROR('Rework Log'!$I$3:$I$500*1,0))),"m/d")))),IF(TRIM(C188)="NOT STARTED",IF(K188="","No plan date set",IF(K188&lt;TODAY(),"Review - planned start passed","On track")),IF(TRIM(C188)="DB Dev",IF(M188="","No target set",IF(AND(M188&lt;TODAY(),O188=""),"Overdue","On track")),IF(TRIM(C188)="PBI Dev",IF(P188="","No target set",IF(AND(P188&lt;TODAY(),R188=""),"Overdue","On track")),IF(TRIM(C188)="QA",IF(S188="","No target set",IF(AND(S188&lt;TODAY(),U188=""),"Overdue","On track")),IF(TRIM(C188)="DPO Approval",IF(V188="","No target set",IF(V188&lt;TODAY(),"Overdue","On track")),IF(TRIM(C188)="RELEASED IN PROD","Delivered",""))))))))</f>
        <v/>
      </c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4" t="str">
        <f>IF($B188="","",IF(AND(LEFT($AC188,3)="Yes",SUMPRODUCT((TRIM('Rework Log'!$A$3:$A$500)=TRIM($B188))*('Rework Log'!$G$3:$G$500&lt;&gt;"Yes")*('Rework Log'!$G$3:$G$500&lt;&gt;"Did not pass re-test"))=0),"Blocked - log it on Rework Log",IF(AND(LEFT($AC188,3)&lt;&gt;"Yes",SUMPRODUCT((TRIM('Rework Log'!$A$3:$A$500)=TRIM($B188))*('Rework Log'!$G$3:$G$500&lt;&gt;"Yes")*('Rework Log'!$G$3:$G$500&lt;&gt;"Did not pass re-test"))&gt;0),"Open rework row - mark Blocked? or close it",IF(AND(LEFT($AC188,3)&lt;&gt;"Yes",SUMPRODUCT((TRIM('Rework Log'!$A$3:$A$500)=TRIM($B188))*('Rework Log'!$G$3:$G$500&lt;&gt;"Yes")*('Rework Log'!$G$3:$G$500&lt;&gt;"Did not pass re-test"))=0,COUNTIF('Rework Log'!$A$3:$A$500,$B188)&gt;0,IFERROR(INDEX('Rework Log'!$G:$G,SUMPRODUCT(MAX((TRIM('Rework Log'!$A$3:$A$500)=TRIM($B188))*ROW('Rework Log'!$A$3:$A$500)))),"")="Did not pass re-test"),"Last fix rejected - re-block or log next attempt",IF(AND(LEFT($AC188,3)="Yes",ISNUMBER(SEARCH("needs DB Dev",$AC188)),O188&lt;&gt;"",SUMPRODUCT(MAX(((TRIM('Rework Log'!$A$3:$A$500)=TRIM($B188))*('Rework Log'!$G$3:$G$500&lt;&gt;"Yes")*('Rework Log'!$G$3:$G$500&lt;&gt;"Did not pass re-test"))*IFERROR('Rework Log'!$I$3:$I$500*1,0)))&gt;0),"Move old DB Dev completion date to Rework Log (col H)",IF(AND(LEFT($AC188,3)="Yes",ISNUMBER(SEARCH("needs PBI Dev",$AC188)),R188&lt;&gt;"",SUMPRODUCT(MAX(((TRIM('Rework Log'!$A$3:$A$500)=TRIM($B188))*('Rework Log'!$G$3:$G$500&lt;&gt;"Yes")*('Rework Log'!$G$3:$G$500&lt;&gt;"Did not pass re-test"))*IFERROR('Rework Log'!$I$3:$I$500*1,0)))&gt;0),"Move old PBI Dev completion date to Rework Log (col H)",IF(AND(LEFT($AC188,3)="Yes",ISNUMBER(SEARCH("needs QA",$AC188)),U188&lt;&gt;"",SUMPRODUCT(MAX(((TRIM('Rework Log'!$A$3:$A$500)=TRIM($B188))*('Rework Log'!$G$3:$G$500&lt;&gt;"Yes")*('Rework Log'!$G$3:$G$500&lt;&gt;"Did not pass re-test"))*IFERROR('Rework Log'!$I$3:$I$500*1,0)))&gt;0),"Move old QA completion date to Rework Log (col H)",IF(AND(LEFT($AC188,3)="Yes",ISNUMBER(SEARCH("needs DB Dev",$AC188)),TRIM(C188)&lt;&gt;"DB Dev"),"Set Current Status back to DB Dev",IF(AND(LEFT($AC188,3)="Yes",ISNUMBER(SEARCH("needs PBI Dev",$AC188)),TRIM(C188)&lt;&gt;"PBI Dev"),"Set Current Status back to PBI Dev",IF(AND(LEFT($AC188,3)="Yes",ISNUMBER(SEARCH("needs QA",$AC188)),TRIM(C188)&lt;&gt;"QA"),"Set Current Status back to QA",IF(COUNTIF($B$2:$B$500,$B188)&gt;1,"Duplicate name - check row",IF(AND(TRIM(C188)="RELEASED IN PROD",Y188&lt;&gt;"Yes"),"Released but Confirmed Deployed? is not Yes",IF(COUNTIF('Rework Log'!$A$3:$A$500,$B188)&gt;0,"",IF(AND(S188&lt;&gt;"",M188&lt;&gt;"",S188&lt;M188),"QA target is before DB Dev target",IF(AND(S188&lt;&gt;"",P188&lt;&gt;"",S188&lt;P188),"QA target is before PBI Dev target",IF(AND(V188&lt;&gt;"",S188&lt;&gt;"",V188&lt;S188),"DPO Approval target is before QA target",IF(AND(Z188&lt;&gt;"",V188&lt;&gt;"",Z188&lt;V188),"Confirmed Deployed date is before DPO Approval target","")))))))))))))))))</f>
        <v/>
      </c>
      <c r="AE188" s="62"/>
    </row>
    <row r="189" spans="1:31" x14ac:dyDescent="0.25">
      <c r="A189" s="62"/>
      <c r="B189" s="62"/>
      <c r="C189" s="62"/>
      <c r="D189" s="64" t="str">
        <f ca="1">IF($B189="","",IF(LEFT($AC189,3)="Yes",IF(LEN($AC189)&gt;5,"Blocked - "&amp;MID($AC189,7,100),"Blocked")&amp;IF(SUMPRODUCT((TRIM('Rework Log'!$A$3:$A$500)=TRIM($B189))*('Rework Log'!$G$3:$G$500&lt;&gt;"Yes")*('Rework Log'!$G$3:$G$500&lt;&gt;"Did not pass re-test"))=0,"",IF(SUMPRODUCT(((TRIM('Rework Log'!$A$3:$A$500)=TRIM($B189))*('Rework Log'!$G$3:$G$500&lt;&gt;"Yes")*('Rework Log'!$G$3:$G$500&lt;&gt;"Did not pass re-test"))*ISNUMBER('Rework Log'!$J$3:$J$500))&gt;0," - fixed, awaiting re-test",IF(SUMPRODUCT(MAX(((TRIM('Rework Log'!$A$3:$A$500)=TRIM($B189))*('Rework Log'!$G$3:$G$500&lt;&gt;"Yes")*('Rework Log'!$G$3:$G$500&lt;&gt;"Did not pass re-test"))*IFERROR('Rework Log'!$I$3:$I$500*1,0)))=0," - unclaimed"," - promised "&amp;TEXT(SUMPRODUCT(MAX(((TRIM('Rework Log'!$A$3:$A$500)=TRIM($B189))*('Rework Log'!$G$3:$G$500&lt;&gt;"Yes")*('Rework Log'!$G$3:$G$500&lt;&gt;"Did not pass re-test"))*IFERROR('Rework Log'!$I$3:$I$500*1,0))),"m/d")))),IF(TRIM(C189)="NOT STARTED",IF(K189="","No plan date set",IF(K189&lt;TODAY(),"Review - planned start passed","On track")),IF(TRIM(C189)="DB Dev",IF(M189="","No target set",IF(AND(M189&lt;TODAY(),O189=""),"Overdue","On track")),IF(TRIM(C189)="PBI Dev",IF(P189="","No target set",IF(AND(P189&lt;TODAY(),R189=""),"Overdue","On track")),IF(TRIM(C189)="QA",IF(S189="","No target set",IF(AND(S189&lt;TODAY(),U189=""),"Overdue","On track")),IF(TRIM(C189)="DPO Approval",IF(V189="","No target set",IF(V189&lt;TODAY(),"Overdue","On track")),IF(TRIM(C189)="RELEASED IN PROD","Delivered",""))))))))</f>
        <v/>
      </c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4" t="str">
        <f>IF($B189="","",IF(AND(LEFT($AC189,3)="Yes",SUMPRODUCT((TRIM('Rework Log'!$A$3:$A$500)=TRIM($B189))*('Rework Log'!$G$3:$G$500&lt;&gt;"Yes")*('Rework Log'!$G$3:$G$500&lt;&gt;"Did not pass re-test"))=0),"Blocked - log it on Rework Log",IF(AND(LEFT($AC189,3)&lt;&gt;"Yes",SUMPRODUCT((TRIM('Rework Log'!$A$3:$A$500)=TRIM($B189))*('Rework Log'!$G$3:$G$500&lt;&gt;"Yes")*('Rework Log'!$G$3:$G$500&lt;&gt;"Did not pass re-test"))&gt;0),"Open rework row - mark Blocked? or close it",IF(AND(LEFT($AC189,3)&lt;&gt;"Yes",SUMPRODUCT((TRIM('Rework Log'!$A$3:$A$500)=TRIM($B189))*('Rework Log'!$G$3:$G$500&lt;&gt;"Yes")*('Rework Log'!$G$3:$G$500&lt;&gt;"Did not pass re-test"))=0,COUNTIF('Rework Log'!$A$3:$A$500,$B189)&gt;0,IFERROR(INDEX('Rework Log'!$G:$G,SUMPRODUCT(MAX((TRIM('Rework Log'!$A$3:$A$500)=TRIM($B189))*ROW('Rework Log'!$A$3:$A$500)))),"")="Did not pass re-test"),"Last fix rejected - re-block or log next attempt",IF(AND(LEFT($AC189,3)="Yes",ISNUMBER(SEARCH("needs DB Dev",$AC189)),O189&lt;&gt;"",SUMPRODUCT(MAX(((TRIM('Rework Log'!$A$3:$A$500)=TRIM($B189))*('Rework Log'!$G$3:$G$500&lt;&gt;"Yes")*('Rework Log'!$G$3:$G$500&lt;&gt;"Did not pass re-test"))*IFERROR('Rework Log'!$I$3:$I$500*1,0)))&gt;0),"Move old DB Dev completion date to Rework Log (col H)",IF(AND(LEFT($AC189,3)="Yes",ISNUMBER(SEARCH("needs PBI Dev",$AC189)),R189&lt;&gt;"",SUMPRODUCT(MAX(((TRIM('Rework Log'!$A$3:$A$500)=TRIM($B189))*('Rework Log'!$G$3:$G$500&lt;&gt;"Yes")*('Rework Log'!$G$3:$G$500&lt;&gt;"Did not pass re-test"))*IFERROR('Rework Log'!$I$3:$I$500*1,0)))&gt;0),"Move old PBI Dev completion date to Rework Log (col H)",IF(AND(LEFT($AC189,3)="Yes",ISNUMBER(SEARCH("needs QA",$AC189)),U189&lt;&gt;"",SUMPRODUCT(MAX(((TRIM('Rework Log'!$A$3:$A$500)=TRIM($B189))*('Rework Log'!$G$3:$G$500&lt;&gt;"Yes")*('Rework Log'!$G$3:$G$500&lt;&gt;"Did not pass re-test"))*IFERROR('Rework Log'!$I$3:$I$500*1,0)))&gt;0),"Move old QA completion date to Rework Log (col H)",IF(AND(LEFT($AC189,3)="Yes",ISNUMBER(SEARCH("needs DB Dev",$AC189)),TRIM(C189)&lt;&gt;"DB Dev"),"Set Current Status back to DB Dev",IF(AND(LEFT($AC189,3)="Yes",ISNUMBER(SEARCH("needs PBI Dev",$AC189)),TRIM(C189)&lt;&gt;"PBI Dev"),"Set Current Status back to PBI Dev",IF(AND(LEFT($AC189,3)="Yes",ISNUMBER(SEARCH("needs QA",$AC189)),TRIM(C189)&lt;&gt;"QA"),"Set Current Status back to QA",IF(COUNTIF($B$2:$B$500,$B189)&gt;1,"Duplicate name - check row",IF(AND(TRIM(C189)="RELEASED IN PROD",Y189&lt;&gt;"Yes"),"Released but Confirmed Deployed? is not Yes",IF(COUNTIF('Rework Log'!$A$3:$A$500,$B189)&gt;0,"",IF(AND(S189&lt;&gt;"",M189&lt;&gt;"",S189&lt;M189),"QA target is before DB Dev target",IF(AND(S189&lt;&gt;"",P189&lt;&gt;"",S189&lt;P189),"QA target is before PBI Dev target",IF(AND(V189&lt;&gt;"",S189&lt;&gt;"",V189&lt;S189),"DPO Approval target is before QA target",IF(AND(Z189&lt;&gt;"",V189&lt;&gt;"",Z189&lt;V189),"Confirmed Deployed date is before DPO Approval target","")))))))))))))))))</f>
        <v/>
      </c>
      <c r="AE189" s="62"/>
    </row>
    <row r="190" spans="1:31" x14ac:dyDescent="0.25">
      <c r="A190" s="62"/>
      <c r="B190" s="62"/>
      <c r="C190" s="62"/>
      <c r="D190" s="64" t="str">
        <f ca="1">IF($B190="","",IF(LEFT($AC190,3)="Yes",IF(LEN($AC190)&gt;5,"Blocked - "&amp;MID($AC190,7,100),"Blocked")&amp;IF(SUMPRODUCT((TRIM('Rework Log'!$A$3:$A$500)=TRIM($B190))*('Rework Log'!$G$3:$G$500&lt;&gt;"Yes")*('Rework Log'!$G$3:$G$500&lt;&gt;"Did not pass re-test"))=0,"",IF(SUMPRODUCT(((TRIM('Rework Log'!$A$3:$A$500)=TRIM($B190))*('Rework Log'!$G$3:$G$500&lt;&gt;"Yes")*('Rework Log'!$G$3:$G$500&lt;&gt;"Did not pass re-test"))*ISNUMBER('Rework Log'!$J$3:$J$500))&gt;0," - fixed, awaiting re-test",IF(SUMPRODUCT(MAX(((TRIM('Rework Log'!$A$3:$A$500)=TRIM($B190))*('Rework Log'!$G$3:$G$500&lt;&gt;"Yes")*('Rework Log'!$G$3:$G$500&lt;&gt;"Did not pass re-test"))*IFERROR('Rework Log'!$I$3:$I$500*1,0)))=0," - unclaimed"," - promised "&amp;TEXT(SUMPRODUCT(MAX(((TRIM('Rework Log'!$A$3:$A$500)=TRIM($B190))*('Rework Log'!$G$3:$G$500&lt;&gt;"Yes")*('Rework Log'!$G$3:$G$500&lt;&gt;"Did not pass re-test"))*IFERROR('Rework Log'!$I$3:$I$500*1,0))),"m/d")))),IF(TRIM(C190)="NOT STARTED",IF(K190="","No plan date set",IF(K190&lt;TODAY(),"Review - planned start passed","On track")),IF(TRIM(C190)="DB Dev",IF(M190="","No target set",IF(AND(M190&lt;TODAY(),O190=""),"Overdue","On track")),IF(TRIM(C190)="PBI Dev",IF(P190="","No target set",IF(AND(P190&lt;TODAY(),R190=""),"Overdue","On track")),IF(TRIM(C190)="QA",IF(S190="","No target set",IF(AND(S190&lt;TODAY(),U190=""),"Overdue","On track")),IF(TRIM(C190)="DPO Approval",IF(V190="","No target set",IF(V190&lt;TODAY(),"Overdue","On track")),IF(TRIM(C190)="RELEASED IN PROD","Delivered",""))))))))</f>
        <v/>
      </c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4" t="str">
        <f>IF($B190="","",IF(AND(LEFT($AC190,3)="Yes",SUMPRODUCT((TRIM('Rework Log'!$A$3:$A$500)=TRIM($B190))*('Rework Log'!$G$3:$G$500&lt;&gt;"Yes")*('Rework Log'!$G$3:$G$500&lt;&gt;"Did not pass re-test"))=0),"Blocked - log it on Rework Log",IF(AND(LEFT($AC190,3)&lt;&gt;"Yes",SUMPRODUCT((TRIM('Rework Log'!$A$3:$A$500)=TRIM($B190))*('Rework Log'!$G$3:$G$500&lt;&gt;"Yes")*('Rework Log'!$G$3:$G$500&lt;&gt;"Did not pass re-test"))&gt;0),"Open rework row - mark Blocked? or close it",IF(AND(LEFT($AC190,3)&lt;&gt;"Yes",SUMPRODUCT((TRIM('Rework Log'!$A$3:$A$500)=TRIM($B190))*('Rework Log'!$G$3:$G$500&lt;&gt;"Yes")*('Rework Log'!$G$3:$G$500&lt;&gt;"Did not pass re-test"))=0,COUNTIF('Rework Log'!$A$3:$A$500,$B190)&gt;0,IFERROR(INDEX('Rework Log'!$G:$G,SUMPRODUCT(MAX((TRIM('Rework Log'!$A$3:$A$500)=TRIM($B190))*ROW('Rework Log'!$A$3:$A$500)))),"")="Did not pass re-test"),"Last fix rejected - re-block or log next attempt",IF(AND(LEFT($AC190,3)="Yes",ISNUMBER(SEARCH("needs DB Dev",$AC190)),O190&lt;&gt;"",SUMPRODUCT(MAX(((TRIM('Rework Log'!$A$3:$A$500)=TRIM($B190))*('Rework Log'!$G$3:$G$500&lt;&gt;"Yes")*('Rework Log'!$G$3:$G$500&lt;&gt;"Did not pass re-test"))*IFERROR('Rework Log'!$I$3:$I$500*1,0)))&gt;0),"Move old DB Dev completion date to Rework Log (col H)",IF(AND(LEFT($AC190,3)="Yes",ISNUMBER(SEARCH("needs PBI Dev",$AC190)),R190&lt;&gt;"",SUMPRODUCT(MAX(((TRIM('Rework Log'!$A$3:$A$500)=TRIM($B190))*('Rework Log'!$G$3:$G$500&lt;&gt;"Yes")*('Rework Log'!$G$3:$G$500&lt;&gt;"Did not pass re-test"))*IFERROR('Rework Log'!$I$3:$I$500*1,0)))&gt;0),"Move old PBI Dev completion date to Rework Log (col H)",IF(AND(LEFT($AC190,3)="Yes",ISNUMBER(SEARCH("needs QA",$AC190)),U190&lt;&gt;"",SUMPRODUCT(MAX(((TRIM('Rework Log'!$A$3:$A$500)=TRIM($B190))*('Rework Log'!$G$3:$G$500&lt;&gt;"Yes")*('Rework Log'!$G$3:$G$500&lt;&gt;"Did not pass re-test"))*IFERROR('Rework Log'!$I$3:$I$500*1,0)))&gt;0),"Move old QA completion date to Rework Log (col H)",IF(AND(LEFT($AC190,3)="Yes",ISNUMBER(SEARCH("needs DB Dev",$AC190)),TRIM(C190)&lt;&gt;"DB Dev"),"Set Current Status back to DB Dev",IF(AND(LEFT($AC190,3)="Yes",ISNUMBER(SEARCH("needs PBI Dev",$AC190)),TRIM(C190)&lt;&gt;"PBI Dev"),"Set Current Status back to PBI Dev",IF(AND(LEFT($AC190,3)="Yes",ISNUMBER(SEARCH("needs QA",$AC190)),TRIM(C190)&lt;&gt;"QA"),"Set Current Status back to QA",IF(COUNTIF($B$2:$B$500,$B190)&gt;1,"Duplicate name - check row",IF(AND(TRIM(C190)="RELEASED IN PROD",Y190&lt;&gt;"Yes"),"Released but Confirmed Deployed? is not Yes",IF(COUNTIF('Rework Log'!$A$3:$A$500,$B190)&gt;0,"",IF(AND(S190&lt;&gt;"",M190&lt;&gt;"",S190&lt;M190),"QA target is before DB Dev target",IF(AND(S190&lt;&gt;"",P190&lt;&gt;"",S190&lt;P190),"QA target is before PBI Dev target",IF(AND(V190&lt;&gt;"",S190&lt;&gt;"",V190&lt;S190),"DPO Approval target is before QA target",IF(AND(Z190&lt;&gt;"",V190&lt;&gt;"",Z190&lt;V190),"Confirmed Deployed date is before DPO Approval target","")))))))))))))))))</f>
        <v/>
      </c>
      <c r="AE190" s="62"/>
    </row>
    <row r="191" spans="1:31" x14ac:dyDescent="0.25">
      <c r="A191" s="62"/>
      <c r="B191" s="62"/>
      <c r="C191" s="62"/>
      <c r="D191" s="64" t="str">
        <f ca="1">IF($B191="","",IF(LEFT($AC191,3)="Yes",IF(LEN($AC191)&gt;5,"Blocked - "&amp;MID($AC191,7,100),"Blocked")&amp;IF(SUMPRODUCT((TRIM('Rework Log'!$A$3:$A$500)=TRIM($B191))*('Rework Log'!$G$3:$G$500&lt;&gt;"Yes")*('Rework Log'!$G$3:$G$500&lt;&gt;"Did not pass re-test"))=0,"",IF(SUMPRODUCT(((TRIM('Rework Log'!$A$3:$A$500)=TRIM($B191))*('Rework Log'!$G$3:$G$500&lt;&gt;"Yes")*('Rework Log'!$G$3:$G$500&lt;&gt;"Did not pass re-test"))*ISNUMBER('Rework Log'!$J$3:$J$500))&gt;0," - fixed, awaiting re-test",IF(SUMPRODUCT(MAX(((TRIM('Rework Log'!$A$3:$A$500)=TRIM($B191))*('Rework Log'!$G$3:$G$500&lt;&gt;"Yes")*('Rework Log'!$G$3:$G$500&lt;&gt;"Did not pass re-test"))*IFERROR('Rework Log'!$I$3:$I$500*1,0)))=0," - unclaimed"," - promised "&amp;TEXT(SUMPRODUCT(MAX(((TRIM('Rework Log'!$A$3:$A$500)=TRIM($B191))*('Rework Log'!$G$3:$G$500&lt;&gt;"Yes")*('Rework Log'!$G$3:$G$500&lt;&gt;"Did not pass re-test"))*IFERROR('Rework Log'!$I$3:$I$500*1,0))),"m/d")))),IF(TRIM(C191)="NOT STARTED",IF(K191="","No plan date set",IF(K191&lt;TODAY(),"Review - planned start passed","On track")),IF(TRIM(C191)="DB Dev",IF(M191="","No target set",IF(AND(M191&lt;TODAY(),O191=""),"Overdue","On track")),IF(TRIM(C191)="PBI Dev",IF(P191="","No target set",IF(AND(P191&lt;TODAY(),R191=""),"Overdue","On track")),IF(TRIM(C191)="QA",IF(S191="","No target set",IF(AND(S191&lt;TODAY(),U191=""),"Overdue","On track")),IF(TRIM(C191)="DPO Approval",IF(V191="","No target set",IF(V191&lt;TODAY(),"Overdue","On track")),IF(TRIM(C191)="RELEASED IN PROD","Delivered",""))))))))</f>
        <v/>
      </c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4" t="str">
        <f>IF($B191="","",IF(AND(LEFT($AC191,3)="Yes",SUMPRODUCT((TRIM('Rework Log'!$A$3:$A$500)=TRIM($B191))*('Rework Log'!$G$3:$G$500&lt;&gt;"Yes")*('Rework Log'!$G$3:$G$500&lt;&gt;"Did not pass re-test"))=0),"Blocked - log it on Rework Log",IF(AND(LEFT($AC191,3)&lt;&gt;"Yes",SUMPRODUCT((TRIM('Rework Log'!$A$3:$A$500)=TRIM($B191))*('Rework Log'!$G$3:$G$500&lt;&gt;"Yes")*('Rework Log'!$G$3:$G$500&lt;&gt;"Did not pass re-test"))&gt;0),"Open rework row - mark Blocked? or close it",IF(AND(LEFT($AC191,3)&lt;&gt;"Yes",SUMPRODUCT((TRIM('Rework Log'!$A$3:$A$500)=TRIM($B191))*('Rework Log'!$G$3:$G$500&lt;&gt;"Yes")*('Rework Log'!$G$3:$G$500&lt;&gt;"Did not pass re-test"))=0,COUNTIF('Rework Log'!$A$3:$A$500,$B191)&gt;0,IFERROR(INDEX('Rework Log'!$G:$G,SUMPRODUCT(MAX((TRIM('Rework Log'!$A$3:$A$500)=TRIM($B191))*ROW('Rework Log'!$A$3:$A$500)))),"")="Did not pass re-test"),"Last fix rejected - re-block or log next attempt",IF(AND(LEFT($AC191,3)="Yes",ISNUMBER(SEARCH("needs DB Dev",$AC191)),O191&lt;&gt;"",SUMPRODUCT(MAX(((TRIM('Rework Log'!$A$3:$A$500)=TRIM($B191))*('Rework Log'!$G$3:$G$500&lt;&gt;"Yes")*('Rework Log'!$G$3:$G$500&lt;&gt;"Did not pass re-test"))*IFERROR('Rework Log'!$I$3:$I$500*1,0)))&gt;0),"Move old DB Dev completion date to Rework Log (col H)",IF(AND(LEFT($AC191,3)="Yes",ISNUMBER(SEARCH("needs PBI Dev",$AC191)),R191&lt;&gt;"",SUMPRODUCT(MAX(((TRIM('Rework Log'!$A$3:$A$500)=TRIM($B191))*('Rework Log'!$G$3:$G$500&lt;&gt;"Yes")*('Rework Log'!$G$3:$G$500&lt;&gt;"Did not pass re-test"))*IFERROR('Rework Log'!$I$3:$I$500*1,0)))&gt;0),"Move old PBI Dev completion date to Rework Log (col H)",IF(AND(LEFT($AC191,3)="Yes",ISNUMBER(SEARCH("needs QA",$AC191)),U191&lt;&gt;"",SUMPRODUCT(MAX(((TRIM('Rework Log'!$A$3:$A$500)=TRIM($B191))*('Rework Log'!$G$3:$G$500&lt;&gt;"Yes")*('Rework Log'!$G$3:$G$500&lt;&gt;"Did not pass re-test"))*IFERROR('Rework Log'!$I$3:$I$500*1,0)))&gt;0),"Move old QA completion date to Rework Log (col H)",IF(AND(LEFT($AC191,3)="Yes",ISNUMBER(SEARCH("needs DB Dev",$AC191)),TRIM(C191)&lt;&gt;"DB Dev"),"Set Current Status back to DB Dev",IF(AND(LEFT($AC191,3)="Yes",ISNUMBER(SEARCH("needs PBI Dev",$AC191)),TRIM(C191)&lt;&gt;"PBI Dev"),"Set Current Status back to PBI Dev",IF(AND(LEFT($AC191,3)="Yes",ISNUMBER(SEARCH("needs QA",$AC191)),TRIM(C191)&lt;&gt;"QA"),"Set Current Status back to QA",IF(COUNTIF($B$2:$B$500,$B191)&gt;1,"Duplicate name - check row",IF(AND(TRIM(C191)="RELEASED IN PROD",Y191&lt;&gt;"Yes"),"Released but Confirmed Deployed? is not Yes",IF(COUNTIF('Rework Log'!$A$3:$A$500,$B191)&gt;0,"",IF(AND(S191&lt;&gt;"",M191&lt;&gt;"",S191&lt;M191),"QA target is before DB Dev target",IF(AND(S191&lt;&gt;"",P191&lt;&gt;"",S191&lt;P191),"QA target is before PBI Dev target",IF(AND(V191&lt;&gt;"",S191&lt;&gt;"",V191&lt;S191),"DPO Approval target is before QA target",IF(AND(Z191&lt;&gt;"",V191&lt;&gt;"",Z191&lt;V191),"Confirmed Deployed date is before DPO Approval target","")))))))))))))))))</f>
        <v/>
      </c>
      <c r="AE191" s="62"/>
    </row>
    <row r="192" spans="1:31" x14ac:dyDescent="0.25">
      <c r="A192" s="62"/>
      <c r="B192" s="62"/>
      <c r="C192" s="62"/>
      <c r="D192" s="64" t="str">
        <f ca="1">IF($B192="","",IF(LEFT($AC192,3)="Yes",IF(LEN($AC192)&gt;5,"Blocked - "&amp;MID($AC192,7,100),"Blocked")&amp;IF(SUMPRODUCT((TRIM('Rework Log'!$A$3:$A$500)=TRIM($B192))*('Rework Log'!$G$3:$G$500&lt;&gt;"Yes")*('Rework Log'!$G$3:$G$500&lt;&gt;"Did not pass re-test"))=0,"",IF(SUMPRODUCT(((TRIM('Rework Log'!$A$3:$A$500)=TRIM($B192))*('Rework Log'!$G$3:$G$500&lt;&gt;"Yes")*('Rework Log'!$G$3:$G$500&lt;&gt;"Did not pass re-test"))*ISNUMBER('Rework Log'!$J$3:$J$500))&gt;0," - fixed, awaiting re-test",IF(SUMPRODUCT(MAX(((TRIM('Rework Log'!$A$3:$A$500)=TRIM($B192))*('Rework Log'!$G$3:$G$500&lt;&gt;"Yes")*('Rework Log'!$G$3:$G$500&lt;&gt;"Did not pass re-test"))*IFERROR('Rework Log'!$I$3:$I$500*1,0)))=0," - unclaimed"," - promised "&amp;TEXT(SUMPRODUCT(MAX(((TRIM('Rework Log'!$A$3:$A$500)=TRIM($B192))*('Rework Log'!$G$3:$G$500&lt;&gt;"Yes")*('Rework Log'!$G$3:$G$500&lt;&gt;"Did not pass re-test"))*IFERROR('Rework Log'!$I$3:$I$500*1,0))),"m/d")))),IF(TRIM(C192)="NOT STARTED",IF(K192="","No plan date set",IF(K192&lt;TODAY(),"Review - planned start passed","On track")),IF(TRIM(C192)="DB Dev",IF(M192="","No target set",IF(AND(M192&lt;TODAY(),O192=""),"Overdue","On track")),IF(TRIM(C192)="PBI Dev",IF(P192="","No target set",IF(AND(P192&lt;TODAY(),R192=""),"Overdue","On track")),IF(TRIM(C192)="QA",IF(S192="","No target set",IF(AND(S192&lt;TODAY(),U192=""),"Overdue","On track")),IF(TRIM(C192)="DPO Approval",IF(V192="","No target set",IF(V192&lt;TODAY(),"Overdue","On track")),IF(TRIM(C192)="RELEASED IN PROD","Delivered",""))))))))</f>
        <v/>
      </c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4" t="str">
        <f>IF($B192="","",IF(AND(LEFT($AC192,3)="Yes",SUMPRODUCT((TRIM('Rework Log'!$A$3:$A$500)=TRIM($B192))*('Rework Log'!$G$3:$G$500&lt;&gt;"Yes")*('Rework Log'!$G$3:$G$500&lt;&gt;"Did not pass re-test"))=0),"Blocked - log it on Rework Log",IF(AND(LEFT($AC192,3)&lt;&gt;"Yes",SUMPRODUCT((TRIM('Rework Log'!$A$3:$A$500)=TRIM($B192))*('Rework Log'!$G$3:$G$500&lt;&gt;"Yes")*('Rework Log'!$G$3:$G$500&lt;&gt;"Did not pass re-test"))&gt;0),"Open rework row - mark Blocked? or close it",IF(AND(LEFT($AC192,3)&lt;&gt;"Yes",SUMPRODUCT((TRIM('Rework Log'!$A$3:$A$500)=TRIM($B192))*('Rework Log'!$G$3:$G$500&lt;&gt;"Yes")*('Rework Log'!$G$3:$G$500&lt;&gt;"Did not pass re-test"))=0,COUNTIF('Rework Log'!$A$3:$A$500,$B192)&gt;0,IFERROR(INDEX('Rework Log'!$G:$G,SUMPRODUCT(MAX((TRIM('Rework Log'!$A$3:$A$500)=TRIM($B192))*ROW('Rework Log'!$A$3:$A$500)))),"")="Did not pass re-test"),"Last fix rejected - re-block or log next attempt",IF(AND(LEFT($AC192,3)="Yes",ISNUMBER(SEARCH("needs DB Dev",$AC192)),O192&lt;&gt;"",SUMPRODUCT(MAX(((TRIM('Rework Log'!$A$3:$A$500)=TRIM($B192))*('Rework Log'!$G$3:$G$500&lt;&gt;"Yes")*('Rework Log'!$G$3:$G$500&lt;&gt;"Did not pass re-test"))*IFERROR('Rework Log'!$I$3:$I$500*1,0)))&gt;0),"Move old DB Dev completion date to Rework Log (col H)",IF(AND(LEFT($AC192,3)="Yes",ISNUMBER(SEARCH("needs PBI Dev",$AC192)),R192&lt;&gt;"",SUMPRODUCT(MAX(((TRIM('Rework Log'!$A$3:$A$500)=TRIM($B192))*('Rework Log'!$G$3:$G$500&lt;&gt;"Yes")*('Rework Log'!$G$3:$G$500&lt;&gt;"Did not pass re-test"))*IFERROR('Rework Log'!$I$3:$I$500*1,0)))&gt;0),"Move old PBI Dev completion date to Rework Log (col H)",IF(AND(LEFT($AC192,3)="Yes",ISNUMBER(SEARCH("needs QA",$AC192)),U192&lt;&gt;"",SUMPRODUCT(MAX(((TRIM('Rework Log'!$A$3:$A$500)=TRIM($B192))*('Rework Log'!$G$3:$G$500&lt;&gt;"Yes")*('Rework Log'!$G$3:$G$500&lt;&gt;"Did not pass re-test"))*IFERROR('Rework Log'!$I$3:$I$500*1,0)))&gt;0),"Move old QA completion date to Rework Log (col H)",IF(AND(LEFT($AC192,3)="Yes",ISNUMBER(SEARCH("needs DB Dev",$AC192)),TRIM(C192)&lt;&gt;"DB Dev"),"Set Current Status back to DB Dev",IF(AND(LEFT($AC192,3)="Yes",ISNUMBER(SEARCH("needs PBI Dev",$AC192)),TRIM(C192)&lt;&gt;"PBI Dev"),"Set Current Status back to PBI Dev",IF(AND(LEFT($AC192,3)="Yes",ISNUMBER(SEARCH("needs QA",$AC192)),TRIM(C192)&lt;&gt;"QA"),"Set Current Status back to QA",IF(COUNTIF($B$2:$B$500,$B192)&gt;1,"Duplicate name - check row",IF(AND(TRIM(C192)="RELEASED IN PROD",Y192&lt;&gt;"Yes"),"Released but Confirmed Deployed? is not Yes",IF(COUNTIF('Rework Log'!$A$3:$A$500,$B192)&gt;0,"",IF(AND(S192&lt;&gt;"",M192&lt;&gt;"",S192&lt;M192),"QA target is before DB Dev target",IF(AND(S192&lt;&gt;"",P192&lt;&gt;"",S192&lt;P192),"QA target is before PBI Dev target",IF(AND(V192&lt;&gt;"",S192&lt;&gt;"",V192&lt;S192),"DPO Approval target is before QA target",IF(AND(Z192&lt;&gt;"",V192&lt;&gt;"",Z192&lt;V192),"Confirmed Deployed date is before DPO Approval target","")))))))))))))))))</f>
        <v/>
      </c>
      <c r="AE192" s="62"/>
    </row>
    <row r="193" spans="1:31" x14ac:dyDescent="0.25">
      <c r="A193" s="62"/>
      <c r="B193" s="62"/>
      <c r="C193" s="62"/>
      <c r="D193" s="64" t="str">
        <f ca="1">IF($B193="","",IF(LEFT($AC193,3)="Yes",IF(LEN($AC193)&gt;5,"Blocked - "&amp;MID($AC193,7,100),"Blocked")&amp;IF(SUMPRODUCT((TRIM('Rework Log'!$A$3:$A$500)=TRIM($B193))*('Rework Log'!$G$3:$G$500&lt;&gt;"Yes")*('Rework Log'!$G$3:$G$500&lt;&gt;"Did not pass re-test"))=0,"",IF(SUMPRODUCT(((TRIM('Rework Log'!$A$3:$A$500)=TRIM($B193))*('Rework Log'!$G$3:$G$500&lt;&gt;"Yes")*('Rework Log'!$G$3:$G$500&lt;&gt;"Did not pass re-test"))*ISNUMBER('Rework Log'!$J$3:$J$500))&gt;0," - fixed, awaiting re-test",IF(SUMPRODUCT(MAX(((TRIM('Rework Log'!$A$3:$A$500)=TRIM($B193))*('Rework Log'!$G$3:$G$500&lt;&gt;"Yes")*('Rework Log'!$G$3:$G$500&lt;&gt;"Did not pass re-test"))*IFERROR('Rework Log'!$I$3:$I$500*1,0)))=0," - unclaimed"," - promised "&amp;TEXT(SUMPRODUCT(MAX(((TRIM('Rework Log'!$A$3:$A$500)=TRIM($B193))*('Rework Log'!$G$3:$G$500&lt;&gt;"Yes")*('Rework Log'!$G$3:$G$500&lt;&gt;"Did not pass re-test"))*IFERROR('Rework Log'!$I$3:$I$500*1,0))),"m/d")))),IF(TRIM(C193)="NOT STARTED",IF(K193="","No plan date set",IF(K193&lt;TODAY(),"Review - planned start passed","On track")),IF(TRIM(C193)="DB Dev",IF(M193="","No target set",IF(AND(M193&lt;TODAY(),O193=""),"Overdue","On track")),IF(TRIM(C193)="PBI Dev",IF(P193="","No target set",IF(AND(P193&lt;TODAY(),R193=""),"Overdue","On track")),IF(TRIM(C193)="QA",IF(S193="","No target set",IF(AND(S193&lt;TODAY(),U193=""),"Overdue","On track")),IF(TRIM(C193)="DPO Approval",IF(V193="","No target set",IF(V193&lt;TODAY(),"Overdue","On track")),IF(TRIM(C193)="RELEASED IN PROD","Delivered",""))))))))</f>
        <v/>
      </c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4" t="str">
        <f>IF($B193="","",IF(AND(LEFT($AC193,3)="Yes",SUMPRODUCT((TRIM('Rework Log'!$A$3:$A$500)=TRIM($B193))*('Rework Log'!$G$3:$G$500&lt;&gt;"Yes")*('Rework Log'!$G$3:$G$500&lt;&gt;"Did not pass re-test"))=0),"Blocked - log it on Rework Log",IF(AND(LEFT($AC193,3)&lt;&gt;"Yes",SUMPRODUCT((TRIM('Rework Log'!$A$3:$A$500)=TRIM($B193))*('Rework Log'!$G$3:$G$500&lt;&gt;"Yes")*('Rework Log'!$G$3:$G$500&lt;&gt;"Did not pass re-test"))&gt;0),"Open rework row - mark Blocked? or close it",IF(AND(LEFT($AC193,3)&lt;&gt;"Yes",SUMPRODUCT((TRIM('Rework Log'!$A$3:$A$500)=TRIM($B193))*('Rework Log'!$G$3:$G$500&lt;&gt;"Yes")*('Rework Log'!$G$3:$G$500&lt;&gt;"Did not pass re-test"))=0,COUNTIF('Rework Log'!$A$3:$A$500,$B193)&gt;0,IFERROR(INDEX('Rework Log'!$G:$G,SUMPRODUCT(MAX((TRIM('Rework Log'!$A$3:$A$500)=TRIM($B193))*ROW('Rework Log'!$A$3:$A$500)))),"")="Did not pass re-test"),"Last fix rejected - re-block or log next attempt",IF(AND(LEFT($AC193,3)="Yes",ISNUMBER(SEARCH("needs DB Dev",$AC193)),O193&lt;&gt;"",SUMPRODUCT(MAX(((TRIM('Rework Log'!$A$3:$A$500)=TRIM($B193))*('Rework Log'!$G$3:$G$500&lt;&gt;"Yes")*('Rework Log'!$G$3:$G$500&lt;&gt;"Did not pass re-test"))*IFERROR('Rework Log'!$I$3:$I$500*1,0)))&gt;0),"Move old DB Dev completion date to Rework Log (col H)",IF(AND(LEFT($AC193,3)="Yes",ISNUMBER(SEARCH("needs PBI Dev",$AC193)),R193&lt;&gt;"",SUMPRODUCT(MAX(((TRIM('Rework Log'!$A$3:$A$500)=TRIM($B193))*('Rework Log'!$G$3:$G$500&lt;&gt;"Yes")*('Rework Log'!$G$3:$G$500&lt;&gt;"Did not pass re-test"))*IFERROR('Rework Log'!$I$3:$I$500*1,0)))&gt;0),"Move old PBI Dev completion date to Rework Log (col H)",IF(AND(LEFT($AC193,3)="Yes",ISNUMBER(SEARCH("needs QA",$AC193)),U193&lt;&gt;"",SUMPRODUCT(MAX(((TRIM('Rework Log'!$A$3:$A$500)=TRIM($B193))*('Rework Log'!$G$3:$G$500&lt;&gt;"Yes")*('Rework Log'!$G$3:$G$500&lt;&gt;"Did not pass re-test"))*IFERROR('Rework Log'!$I$3:$I$500*1,0)))&gt;0),"Move old QA completion date to Rework Log (col H)",IF(AND(LEFT($AC193,3)="Yes",ISNUMBER(SEARCH("needs DB Dev",$AC193)),TRIM(C193)&lt;&gt;"DB Dev"),"Set Current Status back to DB Dev",IF(AND(LEFT($AC193,3)="Yes",ISNUMBER(SEARCH("needs PBI Dev",$AC193)),TRIM(C193)&lt;&gt;"PBI Dev"),"Set Current Status back to PBI Dev",IF(AND(LEFT($AC193,3)="Yes",ISNUMBER(SEARCH("needs QA",$AC193)),TRIM(C193)&lt;&gt;"QA"),"Set Current Status back to QA",IF(COUNTIF($B$2:$B$500,$B193)&gt;1,"Duplicate name - check row",IF(AND(TRIM(C193)="RELEASED IN PROD",Y193&lt;&gt;"Yes"),"Released but Confirmed Deployed? is not Yes",IF(COUNTIF('Rework Log'!$A$3:$A$500,$B193)&gt;0,"",IF(AND(S193&lt;&gt;"",M193&lt;&gt;"",S193&lt;M193),"QA target is before DB Dev target",IF(AND(S193&lt;&gt;"",P193&lt;&gt;"",S193&lt;P193),"QA target is before PBI Dev target",IF(AND(V193&lt;&gt;"",S193&lt;&gt;"",V193&lt;S193),"DPO Approval target is before QA target",IF(AND(Z193&lt;&gt;"",V193&lt;&gt;"",Z193&lt;V193),"Confirmed Deployed date is before DPO Approval target","")))))))))))))))))</f>
        <v/>
      </c>
      <c r="AE193" s="62"/>
    </row>
    <row r="194" spans="1:31" x14ac:dyDescent="0.25">
      <c r="A194" s="62"/>
      <c r="B194" s="62"/>
      <c r="C194" s="62"/>
      <c r="D194" s="64" t="str">
        <f ca="1">IF($B194="","",IF(LEFT($AC194,3)="Yes",IF(LEN($AC194)&gt;5,"Blocked - "&amp;MID($AC194,7,100),"Blocked")&amp;IF(SUMPRODUCT((TRIM('Rework Log'!$A$3:$A$500)=TRIM($B194))*('Rework Log'!$G$3:$G$500&lt;&gt;"Yes")*('Rework Log'!$G$3:$G$500&lt;&gt;"Did not pass re-test"))=0,"",IF(SUMPRODUCT(((TRIM('Rework Log'!$A$3:$A$500)=TRIM($B194))*('Rework Log'!$G$3:$G$500&lt;&gt;"Yes")*('Rework Log'!$G$3:$G$500&lt;&gt;"Did not pass re-test"))*ISNUMBER('Rework Log'!$J$3:$J$500))&gt;0," - fixed, awaiting re-test",IF(SUMPRODUCT(MAX(((TRIM('Rework Log'!$A$3:$A$500)=TRIM($B194))*('Rework Log'!$G$3:$G$500&lt;&gt;"Yes")*('Rework Log'!$G$3:$G$500&lt;&gt;"Did not pass re-test"))*IFERROR('Rework Log'!$I$3:$I$500*1,0)))=0," - unclaimed"," - promised "&amp;TEXT(SUMPRODUCT(MAX(((TRIM('Rework Log'!$A$3:$A$500)=TRIM($B194))*('Rework Log'!$G$3:$G$500&lt;&gt;"Yes")*('Rework Log'!$G$3:$G$500&lt;&gt;"Did not pass re-test"))*IFERROR('Rework Log'!$I$3:$I$500*1,0))),"m/d")))),IF(TRIM(C194)="NOT STARTED",IF(K194="","No plan date set",IF(K194&lt;TODAY(),"Review - planned start passed","On track")),IF(TRIM(C194)="DB Dev",IF(M194="","No target set",IF(AND(M194&lt;TODAY(),O194=""),"Overdue","On track")),IF(TRIM(C194)="PBI Dev",IF(P194="","No target set",IF(AND(P194&lt;TODAY(),R194=""),"Overdue","On track")),IF(TRIM(C194)="QA",IF(S194="","No target set",IF(AND(S194&lt;TODAY(),U194=""),"Overdue","On track")),IF(TRIM(C194)="DPO Approval",IF(V194="","No target set",IF(V194&lt;TODAY(),"Overdue","On track")),IF(TRIM(C194)="RELEASED IN PROD","Delivered",""))))))))</f>
        <v/>
      </c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4" t="str">
        <f>IF($B194="","",IF(AND(LEFT($AC194,3)="Yes",SUMPRODUCT((TRIM('Rework Log'!$A$3:$A$500)=TRIM($B194))*('Rework Log'!$G$3:$G$500&lt;&gt;"Yes")*('Rework Log'!$G$3:$G$500&lt;&gt;"Did not pass re-test"))=0),"Blocked - log it on Rework Log",IF(AND(LEFT($AC194,3)&lt;&gt;"Yes",SUMPRODUCT((TRIM('Rework Log'!$A$3:$A$500)=TRIM($B194))*('Rework Log'!$G$3:$G$500&lt;&gt;"Yes")*('Rework Log'!$G$3:$G$500&lt;&gt;"Did not pass re-test"))&gt;0),"Open rework row - mark Blocked? or close it",IF(AND(LEFT($AC194,3)&lt;&gt;"Yes",SUMPRODUCT((TRIM('Rework Log'!$A$3:$A$500)=TRIM($B194))*('Rework Log'!$G$3:$G$500&lt;&gt;"Yes")*('Rework Log'!$G$3:$G$500&lt;&gt;"Did not pass re-test"))=0,COUNTIF('Rework Log'!$A$3:$A$500,$B194)&gt;0,IFERROR(INDEX('Rework Log'!$G:$G,SUMPRODUCT(MAX((TRIM('Rework Log'!$A$3:$A$500)=TRIM($B194))*ROW('Rework Log'!$A$3:$A$500)))),"")="Did not pass re-test"),"Last fix rejected - re-block or log next attempt",IF(AND(LEFT($AC194,3)="Yes",ISNUMBER(SEARCH("needs DB Dev",$AC194)),O194&lt;&gt;"",SUMPRODUCT(MAX(((TRIM('Rework Log'!$A$3:$A$500)=TRIM($B194))*('Rework Log'!$G$3:$G$500&lt;&gt;"Yes")*('Rework Log'!$G$3:$G$500&lt;&gt;"Did not pass re-test"))*IFERROR('Rework Log'!$I$3:$I$500*1,0)))&gt;0),"Move old DB Dev completion date to Rework Log (col H)",IF(AND(LEFT($AC194,3)="Yes",ISNUMBER(SEARCH("needs PBI Dev",$AC194)),R194&lt;&gt;"",SUMPRODUCT(MAX(((TRIM('Rework Log'!$A$3:$A$500)=TRIM($B194))*('Rework Log'!$G$3:$G$500&lt;&gt;"Yes")*('Rework Log'!$G$3:$G$500&lt;&gt;"Did not pass re-test"))*IFERROR('Rework Log'!$I$3:$I$500*1,0)))&gt;0),"Move old PBI Dev completion date to Rework Log (col H)",IF(AND(LEFT($AC194,3)="Yes",ISNUMBER(SEARCH("needs QA",$AC194)),U194&lt;&gt;"",SUMPRODUCT(MAX(((TRIM('Rework Log'!$A$3:$A$500)=TRIM($B194))*('Rework Log'!$G$3:$G$500&lt;&gt;"Yes")*('Rework Log'!$G$3:$G$500&lt;&gt;"Did not pass re-test"))*IFERROR('Rework Log'!$I$3:$I$500*1,0)))&gt;0),"Move old QA completion date to Rework Log (col H)",IF(AND(LEFT($AC194,3)="Yes",ISNUMBER(SEARCH("needs DB Dev",$AC194)),TRIM(C194)&lt;&gt;"DB Dev"),"Set Current Status back to DB Dev",IF(AND(LEFT($AC194,3)="Yes",ISNUMBER(SEARCH("needs PBI Dev",$AC194)),TRIM(C194)&lt;&gt;"PBI Dev"),"Set Current Status back to PBI Dev",IF(AND(LEFT($AC194,3)="Yes",ISNUMBER(SEARCH("needs QA",$AC194)),TRIM(C194)&lt;&gt;"QA"),"Set Current Status back to QA",IF(COUNTIF($B$2:$B$500,$B194)&gt;1,"Duplicate name - check row",IF(AND(TRIM(C194)="RELEASED IN PROD",Y194&lt;&gt;"Yes"),"Released but Confirmed Deployed? is not Yes",IF(COUNTIF('Rework Log'!$A$3:$A$500,$B194)&gt;0,"",IF(AND(S194&lt;&gt;"",M194&lt;&gt;"",S194&lt;M194),"QA target is before DB Dev target",IF(AND(S194&lt;&gt;"",P194&lt;&gt;"",S194&lt;P194),"QA target is before PBI Dev target",IF(AND(V194&lt;&gt;"",S194&lt;&gt;"",V194&lt;S194),"DPO Approval target is before QA target",IF(AND(Z194&lt;&gt;"",V194&lt;&gt;"",Z194&lt;V194),"Confirmed Deployed date is before DPO Approval target","")))))))))))))))))</f>
        <v/>
      </c>
      <c r="AE194" s="62"/>
    </row>
    <row r="195" spans="1:31" x14ac:dyDescent="0.25">
      <c r="A195" s="62"/>
      <c r="B195" s="62"/>
      <c r="C195" s="62"/>
      <c r="D195" s="64" t="str">
        <f ca="1">IF($B195="","",IF(LEFT($AC195,3)="Yes",IF(LEN($AC195)&gt;5,"Blocked - "&amp;MID($AC195,7,100),"Blocked")&amp;IF(SUMPRODUCT((TRIM('Rework Log'!$A$3:$A$500)=TRIM($B195))*('Rework Log'!$G$3:$G$500&lt;&gt;"Yes")*('Rework Log'!$G$3:$G$500&lt;&gt;"Did not pass re-test"))=0,"",IF(SUMPRODUCT(((TRIM('Rework Log'!$A$3:$A$500)=TRIM($B195))*('Rework Log'!$G$3:$G$500&lt;&gt;"Yes")*('Rework Log'!$G$3:$G$500&lt;&gt;"Did not pass re-test"))*ISNUMBER('Rework Log'!$J$3:$J$500))&gt;0," - fixed, awaiting re-test",IF(SUMPRODUCT(MAX(((TRIM('Rework Log'!$A$3:$A$500)=TRIM($B195))*('Rework Log'!$G$3:$G$500&lt;&gt;"Yes")*('Rework Log'!$G$3:$G$500&lt;&gt;"Did not pass re-test"))*IFERROR('Rework Log'!$I$3:$I$500*1,0)))=0," - unclaimed"," - promised "&amp;TEXT(SUMPRODUCT(MAX(((TRIM('Rework Log'!$A$3:$A$500)=TRIM($B195))*('Rework Log'!$G$3:$G$500&lt;&gt;"Yes")*('Rework Log'!$G$3:$G$500&lt;&gt;"Did not pass re-test"))*IFERROR('Rework Log'!$I$3:$I$500*1,0))),"m/d")))),IF(TRIM(C195)="NOT STARTED",IF(K195="","No plan date set",IF(K195&lt;TODAY(),"Review - planned start passed","On track")),IF(TRIM(C195)="DB Dev",IF(M195="","No target set",IF(AND(M195&lt;TODAY(),O195=""),"Overdue","On track")),IF(TRIM(C195)="PBI Dev",IF(P195="","No target set",IF(AND(P195&lt;TODAY(),R195=""),"Overdue","On track")),IF(TRIM(C195)="QA",IF(S195="","No target set",IF(AND(S195&lt;TODAY(),U195=""),"Overdue","On track")),IF(TRIM(C195)="DPO Approval",IF(V195="","No target set",IF(V195&lt;TODAY(),"Overdue","On track")),IF(TRIM(C195)="RELEASED IN PROD","Delivered",""))))))))</f>
        <v/>
      </c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4" t="str">
        <f>IF($B195="","",IF(AND(LEFT($AC195,3)="Yes",SUMPRODUCT((TRIM('Rework Log'!$A$3:$A$500)=TRIM($B195))*('Rework Log'!$G$3:$G$500&lt;&gt;"Yes")*('Rework Log'!$G$3:$G$500&lt;&gt;"Did not pass re-test"))=0),"Blocked - log it on Rework Log",IF(AND(LEFT($AC195,3)&lt;&gt;"Yes",SUMPRODUCT((TRIM('Rework Log'!$A$3:$A$500)=TRIM($B195))*('Rework Log'!$G$3:$G$500&lt;&gt;"Yes")*('Rework Log'!$G$3:$G$500&lt;&gt;"Did not pass re-test"))&gt;0),"Open rework row - mark Blocked? or close it",IF(AND(LEFT($AC195,3)&lt;&gt;"Yes",SUMPRODUCT((TRIM('Rework Log'!$A$3:$A$500)=TRIM($B195))*('Rework Log'!$G$3:$G$500&lt;&gt;"Yes")*('Rework Log'!$G$3:$G$500&lt;&gt;"Did not pass re-test"))=0,COUNTIF('Rework Log'!$A$3:$A$500,$B195)&gt;0,IFERROR(INDEX('Rework Log'!$G:$G,SUMPRODUCT(MAX((TRIM('Rework Log'!$A$3:$A$500)=TRIM($B195))*ROW('Rework Log'!$A$3:$A$500)))),"")="Did not pass re-test"),"Last fix rejected - re-block or log next attempt",IF(AND(LEFT($AC195,3)="Yes",ISNUMBER(SEARCH("needs DB Dev",$AC195)),O195&lt;&gt;"",SUMPRODUCT(MAX(((TRIM('Rework Log'!$A$3:$A$500)=TRIM($B195))*('Rework Log'!$G$3:$G$500&lt;&gt;"Yes")*('Rework Log'!$G$3:$G$500&lt;&gt;"Did not pass re-test"))*IFERROR('Rework Log'!$I$3:$I$500*1,0)))&gt;0),"Move old DB Dev completion date to Rework Log (col H)",IF(AND(LEFT($AC195,3)="Yes",ISNUMBER(SEARCH("needs PBI Dev",$AC195)),R195&lt;&gt;"",SUMPRODUCT(MAX(((TRIM('Rework Log'!$A$3:$A$500)=TRIM($B195))*('Rework Log'!$G$3:$G$500&lt;&gt;"Yes")*('Rework Log'!$G$3:$G$500&lt;&gt;"Did not pass re-test"))*IFERROR('Rework Log'!$I$3:$I$500*1,0)))&gt;0),"Move old PBI Dev completion date to Rework Log (col H)",IF(AND(LEFT($AC195,3)="Yes",ISNUMBER(SEARCH("needs QA",$AC195)),U195&lt;&gt;"",SUMPRODUCT(MAX(((TRIM('Rework Log'!$A$3:$A$500)=TRIM($B195))*('Rework Log'!$G$3:$G$500&lt;&gt;"Yes")*('Rework Log'!$G$3:$G$500&lt;&gt;"Did not pass re-test"))*IFERROR('Rework Log'!$I$3:$I$500*1,0)))&gt;0),"Move old QA completion date to Rework Log (col H)",IF(AND(LEFT($AC195,3)="Yes",ISNUMBER(SEARCH("needs DB Dev",$AC195)),TRIM(C195)&lt;&gt;"DB Dev"),"Set Current Status back to DB Dev",IF(AND(LEFT($AC195,3)="Yes",ISNUMBER(SEARCH("needs PBI Dev",$AC195)),TRIM(C195)&lt;&gt;"PBI Dev"),"Set Current Status back to PBI Dev",IF(AND(LEFT($AC195,3)="Yes",ISNUMBER(SEARCH("needs QA",$AC195)),TRIM(C195)&lt;&gt;"QA"),"Set Current Status back to QA",IF(COUNTIF($B$2:$B$500,$B195)&gt;1,"Duplicate name - check row",IF(AND(TRIM(C195)="RELEASED IN PROD",Y195&lt;&gt;"Yes"),"Released but Confirmed Deployed? is not Yes",IF(COUNTIF('Rework Log'!$A$3:$A$500,$B195)&gt;0,"",IF(AND(S195&lt;&gt;"",M195&lt;&gt;"",S195&lt;M195),"QA target is before DB Dev target",IF(AND(S195&lt;&gt;"",P195&lt;&gt;"",S195&lt;P195),"QA target is before PBI Dev target",IF(AND(V195&lt;&gt;"",S195&lt;&gt;"",V195&lt;S195),"DPO Approval target is before QA target",IF(AND(Z195&lt;&gt;"",V195&lt;&gt;"",Z195&lt;V195),"Confirmed Deployed date is before DPO Approval target","")))))))))))))))))</f>
        <v/>
      </c>
      <c r="AE195" s="62"/>
    </row>
    <row r="196" spans="1:31" x14ac:dyDescent="0.25">
      <c r="A196" s="62"/>
      <c r="B196" s="62"/>
      <c r="C196" s="62"/>
      <c r="D196" s="64" t="str">
        <f ca="1">IF($B196="","",IF(LEFT($AC196,3)="Yes",IF(LEN($AC196)&gt;5,"Blocked - "&amp;MID($AC196,7,100),"Blocked")&amp;IF(SUMPRODUCT((TRIM('Rework Log'!$A$3:$A$500)=TRIM($B196))*('Rework Log'!$G$3:$G$500&lt;&gt;"Yes")*('Rework Log'!$G$3:$G$500&lt;&gt;"Did not pass re-test"))=0,"",IF(SUMPRODUCT(((TRIM('Rework Log'!$A$3:$A$500)=TRIM($B196))*('Rework Log'!$G$3:$G$500&lt;&gt;"Yes")*('Rework Log'!$G$3:$G$500&lt;&gt;"Did not pass re-test"))*ISNUMBER('Rework Log'!$J$3:$J$500))&gt;0," - fixed, awaiting re-test",IF(SUMPRODUCT(MAX(((TRIM('Rework Log'!$A$3:$A$500)=TRIM($B196))*('Rework Log'!$G$3:$G$500&lt;&gt;"Yes")*('Rework Log'!$G$3:$G$500&lt;&gt;"Did not pass re-test"))*IFERROR('Rework Log'!$I$3:$I$500*1,0)))=0," - unclaimed"," - promised "&amp;TEXT(SUMPRODUCT(MAX(((TRIM('Rework Log'!$A$3:$A$500)=TRIM($B196))*('Rework Log'!$G$3:$G$500&lt;&gt;"Yes")*('Rework Log'!$G$3:$G$500&lt;&gt;"Did not pass re-test"))*IFERROR('Rework Log'!$I$3:$I$500*1,0))),"m/d")))),IF(TRIM(C196)="NOT STARTED",IF(K196="","No plan date set",IF(K196&lt;TODAY(),"Review - planned start passed","On track")),IF(TRIM(C196)="DB Dev",IF(M196="","No target set",IF(AND(M196&lt;TODAY(),O196=""),"Overdue","On track")),IF(TRIM(C196)="PBI Dev",IF(P196="","No target set",IF(AND(P196&lt;TODAY(),R196=""),"Overdue","On track")),IF(TRIM(C196)="QA",IF(S196="","No target set",IF(AND(S196&lt;TODAY(),U196=""),"Overdue","On track")),IF(TRIM(C196)="DPO Approval",IF(V196="","No target set",IF(V196&lt;TODAY(),"Overdue","On track")),IF(TRIM(C196)="RELEASED IN PROD","Delivered",""))))))))</f>
        <v/>
      </c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4" t="str">
        <f>IF($B196="","",IF(AND(LEFT($AC196,3)="Yes",SUMPRODUCT((TRIM('Rework Log'!$A$3:$A$500)=TRIM($B196))*('Rework Log'!$G$3:$G$500&lt;&gt;"Yes")*('Rework Log'!$G$3:$G$500&lt;&gt;"Did not pass re-test"))=0),"Blocked - log it on Rework Log",IF(AND(LEFT($AC196,3)&lt;&gt;"Yes",SUMPRODUCT((TRIM('Rework Log'!$A$3:$A$500)=TRIM($B196))*('Rework Log'!$G$3:$G$500&lt;&gt;"Yes")*('Rework Log'!$G$3:$G$500&lt;&gt;"Did not pass re-test"))&gt;0),"Open rework row - mark Blocked? or close it",IF(AND(LEFT($AC196,3)&lt;&gt;"Yes",SUMPRODUCT((TRIM('Rework Log'!$A$3:$A$500)=TRIM($B196))*('Rework Log'!$G$3:$G$500&lt;&gt;"Yes")*('Rework Log'!$G$3:$G$500&lt;&gt;"Did not pass re-test"))=0,COUNTIF('Rework Log'!$A$3:$A$500,$B196)&gt;0,IFERROR(INDEX('Rework Log'!$G:$G,SUMPRODUCT(MAX((TRIM('Rework Log'!$A$3:$A$500)=TRIM($B196))*ROW('Rework Log'!$A$3:$A$500)))),"")="Did not pass re-test"),"Last fix rejected - re-block or log next attempt",IF(AND(LEFT($AC196,3)="Yes",ISNUMBER(SEARCH("needs DB Dev",$AC196)),O196&lt;&gt;"",SUMPRODUCT(MAX(((TRIM('Rework Log'!$A$3:$A$500)=TRIM($B196))*('Rework Log'!$G$3:$G$500&lt;&gt;"Yes")*('Rework Log'!$G$3:$G$500&lt;&gt;"Did not pass re-test"))*IFERROR('Rework Log'!$I$3:$I$500*1,0)))&gt;0),"Move old DB Dev completion date to Rework Log (col H)",IF(AND(LEFT($AC196,3)="Yes",ISNUMBER(SEARCH("needs PBI Dev",$AC196)),R196&lt;&gt;"",SUMPRODUCT(MAX(((TRIM('Rework Log'!$A$3:$A$500)=TRIM($B196))*('Rework Log'!$G$3:$G$500&lt;&gt;"Yes")*('Rework Log'!$G$3:$G$500&lt;&gt;"Did not pass re-test"))*IFERROR('Rework Log'!$I$3:$I$500*1,0)))&gt;0),"Move old PBI Dev completion date to Rework Log (col H)",IF(AND(LEFT($AC196,3)="Yes",ISNUMBER(SEARCH("needs QA",$AC196)),U196&lt;&gt;"",SUMPRODUCT(MAX(((TRIM('Rework Log'!$A$3:$A$500)=TRIM($B196))*('Rework Log'!$G$3:$G$500&lt;&gt;"Yes")*('Rework Log'!$G$3:$G$500&lt;&gt;"Did not pass re-test"))*IFERROR('Rework Log'!$I$3:$I$500*1,0)))&gt;0),"Move old QA completion date to Rework Log (col H)",IF(AND(LEFT($AC196,3)="Yes",ISNUMBER(SEARCH("needs DB Dev",$AC196)),TRIM(C196)&lt;&gt;"DB Dev"),"Set Current Status back to DB Dev",IF(AND(LEFT($AC196,3)="Yes",ISNUMBER(SEARCH("needs PBI Dev",$AC196)),TRIM(C196)&lt;&gt;"PBI Dev"),"Set Current Status back to PBI Dev",IF(AND(LEFT($AC196,3)="Yes",ISNUMBER(SEARCH("needs QA",$AC196)),TRIM(C196)&lt;&gt;"QA"),"Set Current Status back to QA",IF(COUNTIF($B$2:$B$500,$B196)&gt;1,"Duplicate name - check row",IF(AND(TRIM(C196)="RELEASED IN PROD",Y196&lt;&gt;"Yes"),"Released but Confirmed Deployed? is not Yes",IF(COUNTIF('Rework Log'!$A$3:$A$500,$B196)&gt;0,"",IF(AND(S196&lt;&gt;"",M196&lt;&gt;"",S196&lt;M196),"QA target is before DB Dev target",IF(AND(S196&lt;&gt;"",P196&lt;&gt;"",S196&lt;P196),"QA target is before PBI Dev target",IF(AND(V196&lt;&gt;"",S196&lt;&gt;"",V196&lt;S196),"DPO Approval target is before QA target",IF(AND(Z196&lt;&gt;"",V196&lt;&gt;"",Z196&lt;V196),"Confirmed Deployed date is before DPO Approval target","")))))))))))))))))</f>
        <v/>
      </c>
      <c r="AE196" s="62"/>
    </row>
    <row r="197" spans="1:31" x14ac:dyDescent="0.25">
      <c r="A197" s="62"/>
      <c r="B197" s="62"/>
      <c r="C197" s="62"/>
      <c r="D197" s="64" t="str">
        <f ca="1">IF($B197="","",IF(LEFT($AC197,3)="Yes",IF(LEN($AC197)&gt;5,"Blocked - "&amp;MID($AC197,7,100),"Blocked")&amp;IF(SUMPRODUCT((TRIM('Rework Log'!$A$3:$A$500)=TRIM($B197))*('Rework Log'!$G$3:$G$500&lt;&gt;"Yes")*('Rework Log'!$G$3:$G$500&lt;&gt;"Did not pass re-test"))=0,"",IF(SUMPRODUCT(((TRIM('Rework Log'!$A$3:$A$500)=TRIM($B197))*('Rework Log'!$G$3:$G$500&lt;&gt;"Yes")*('Rework Log'!$G$3:$G$500&lt;&gt;"Did not pass re-test"))*ISNUMBER('Rework Log'!$J$3:$J$500))&gt;0," - fixed, awaiting re-test",IF(SUMPRODUCT(MAX(((TRIM('Rework Log'!$A$3:$A$500)=TRIM($B197))*('Rework Log'!$G$3:$G$500&lt;&gt;"Yes")*('Rework Log'!$G$3:$G$500&lt;&gt;"Did not pass re-test"))*IFERROR('Rework Log'!$I$3:$I$500*1,0)))=0," - unclaimed"," - promised "&amp;TEXT(SUMPRODUCT(MAX(((TRIM('Rework Log'!$A$3:$A$500)=TRIM($B197))*('Rework Log'!$G$3:$G$500&lt;&gt;"Yes")*('Rework Log'!$G$3:$G$500&lt;&gt;"Did not pass re-test"))*IFERROR('Rework Log'!$I$3:$I$500*1,0))),"m/d")))),IF(TRIM(C197)="NOT STARTED",IF(K197="","No plan date set",IF(K197&lt;TODAY(),"Review - planned start passed","On track")),IF(TRIM(C197)="DB Dev",IF(M197="","No target set",IF(AND(M197&lt;TODAY(),O197=""),"Overdue","On track")),IF(TRIM(C197)="PBI Dev",IF(P197="","No target set",IF(AND(P197&lt;TODAY(),R197=""),"Overdue","On track")),IF(TRIM(C197)="QA",IF(S197="","No target set",IF(AND(S197&lt;TODAY(),U197=""),"Overdue","On track")),IF(TRIM(C197)="DPO Approval",IF(V197="","No target set",IF(V197&lt;TODAY(),"Overdue","On track")),IF(TRIM(C197)="RELEASED IN PROD","Delivered",""))))))))</f>
        <v/>
      </c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4" t="str">
        <f>IF($B197="","",IF(AND(LEFT($AC197,3)="Yes",SUMPRODUCT((TRIM('Rework Log'!$A$3:$A$500)=TRIM($B197))*('Rework Log'!$G$3:$G$500&lt;&gt;"Yes")*('Rework Log'!$G$3:$G$500&lt;&gt;"Did not pass re-test"))=0),"Blocked - log it on Rework Log",IF(AND(LEFT($AC197,3)&lt;&gt;"Yes",SUMPRODUCT((TRIM('Rework Log'!$A$3:$A$500)=TRIM($B197))*('Rework Log'!$G$3:$G$500&lt;&gt;"Yes")*('Rework Log'!$G$3:$G$500&lt;&gt;"Did not pass re-test"))&gt;0),"Open rework row - mark Blocked? or close it",IF(AND(LEFT($AC197,3)&lt;&gt;"Yes",SUMPRODUCT((TRIM('Rework Log'!$A$3:$A$500)=TRIM($B197))*('Rework Log'!$G$3:$G$500&lt;&gt;"Yes")*('Rework Log'!$G$3:$G$500&lt;&gt;"Did not pass re-test"))=0,COUNTIF('Rework Log'!$A$3:$A$500,$B197)&gt;0,IFERROR(INDEX('Rework Log'!$G:$G,SUMPRODUCT(MAX((TRIM('Rework Log'!$A$3:$A$500)=TRIM($B197))*ROW('Rework Log'!$A$3:$A$500)))),"")="Did not pass re-test"),"Last fix rejected - re-block or log next attempt",IF(AND(LEFT($AC197,3)="Yes",ISNUMBER(SEARCH("needs DB Dev",$AC197)),O197&lt;&gt;"",SUMPRODUCT(MAX(((TRIM('Rework Log'!$A$3:$A$500)=TRIM($B197))*('Rework Log'!$G$3:$G$500&lt;&gt;"Yes")*('Rework Log'!$G$3:$G$500&lt;&gt;"Did not pass re-test"))*IFERROR('Rework Log'!$I$3:$I$500*1,0)))&gt;0),"Move old DB Dev completion date to Rework Log (col H)",IF(AND(LEFT($AC197,3)="Yes",ISNUMBER(SEARCH("needs PBI Dev",$AC197)),R197&lt;&gt;"",SUMPRODUCT(MAX(((TRIM('Rework Log'!$A$3:$A$500)=TRIM($B197))*('Rework Log'!$G$3:$G$500&lt;&gt;"Yes")*('Rework Log'!$G$3:$G$500&lt;&gt;"Did not pass re-test"))*IFERROR('Rework Log'!$I$3:$I$500*1,0)))&gt;0),"Move old PBI Dev completion date to Rework Log (col H)",IF(AND(LEFT($AC197,3)="Yes",ISNUMBER(SEARCH("needs QA",$AC197)),U197&lt;&gt;"",SUMPRODUCT(MAX(((TRIM('Rework Log'!$A$3:$A$500)=TRIM($B197))*('Rework Log'!$G$3:$G$500&lt;&gt;"Yes")*('Rework Log'!$G$3:$G$500&lt;&gt;"Did not pass re-test"))*IFERROR('Rework Log'!$I$3:$I$500*1,0)))&gt;0),"Move old QA completion date to Rework Log (col H)",IF(AND(LEFT($AC197,3)="Yes",ISNUMBER(SEARCH("needs DB Dev",$AC197)),TRIM(C197)&lt;&gt;"DB Dev"),"Set Current Status back to DB Dev",IF(AND(LEFT($AC197,3)="Yes",ISNUMBER(SEARCH("needs PBI Dev",$AC197)),TRIM(C197)&lt;&gt;"PBI Dev"),"Set Current Status back to PBI Dev",IF(AND(LEFT($AC197,3)="Yes",ISNUMBER(SEARCH("needs QA",$AC197)),TRIM(C197)&lt;&gt;"QA"),"Set Current Status back to QA",IF(COUNTIF($B$2:$B$500,$B197)&gt;1,"Duplicate name - check row",IF(AND(TRIM(C197)="RELEASED IN PROD",Y197&lt;&gt;"Yes"),"Released but Confirmed Deployed? is not Yes",IF(COUNTIF('Rework Log'!$A$3:$A$500,$B197)&gt;0,"",IF(AND(S197&lt;&gt;"",M197&lt;&gt;"",S197&lt;M197),"QA target is before DB Dev target",IF(AND(S197&lt;&gt;"",P197&lt;&gt;"",S197&lt;P197),"QA target is before PBI Dev target",IF(AND(V197&lt;&gt;"",S197&lt;&gt;"",V197&lt;S197),"DPO Approval target is before QA target",IF(AND(Z197&lt;&gt;"",V197&lt;&gt;"",Z197&lt;V197),"Confirmed Deployed date is before DPO Approval target","")))))))))))))))))</f>
        <v/>
      </c>
      <c r="AE197" s="62"/>
    </row>
    <row r="198" spans="1:31" x14ac:dyDescent="0.25">
      <c r="A198" s="62"/>
      <c r="B198" s="62"/>
      <c r="C198" s="62"/>
      <c r="D198" s="64" t="str">
        <f ca="1">IF($B198="","",IF(LEFT($AC198,3)="Yes",IF(LEN($AC198)&gt;5,"Blocked - "&amp;MID($AC198,7,100),"Blocked")&amp;IF(SUMPRODUCT((TRIM('Rework Log'!$A$3:$A$500)=TRIM($B198))*('Rework Log'!$G$3:$G$500&lt;&gt;"Yes")*('Rework Log'!$G$3:$G$500&lt;&gt;"Did not pass re-test"))=0,"",IF(SUMPRODUCT(((TRIM('Rework Log'!$A$3:$A$500)=TRIM($B198))*('Rework Log'!$G$3:$G$500&lt;&gt;"Yes")*('Rework Log'!$G$3:$G$500&lt;&gt;"Did not pass re-test"))*ISNUMBER('Rework Log'!$J$3:$J$500))&gt;0," - fixed, awaiting re-test",IF(SUMPRODUCT(MAX(((TRIM('Rework Log'!$A$3:$A$500)=TRIM($B198))*('Rework Log'!$G$3:$G$500&lt;&gt;"Yes")*('Rework Log'!$G$3:$G$500&lt;&gt;"Did not pass re-test"))*IFERROR('Rework Log'!$I$3:$I$500*1,0)))=0," - unclaimed"," - promised "&amp;TEXT(SUMPRODUCT(MAX(((TRIM('Rework Log'!$A$3:$A$500)=TRIM($B198))*('Rework Log'!$G$3:$G$500&lt;&gt;"Yes")*('Rework Log'!$G$3:$G$500&lt;&gt;"Did not pass re-test"))*IFERROR('Rework Log'!$I$3:$I$500*1,0))),"m/d")))),IF(TRIM(C198)="NOT STARTED",IF(K198="","No plan date set",IF(K198&lt;TODAY(),"Review - planned start passed","On track")),IF(TRIM(C198)="DB Dev",IF(M198="","No target set",IF(AND(M198&lt;TODAY(),O198=""),"Overdue","On track")),IF(TRIM(C198)="PBI Dev",IF(P198="","No target set",IF(AND(P198&lt;TODAY(),R198=""),"Overdue","On track")),IF(TRIM(C198)="QA",IF(S198="","No target set",IF(AND(S198&lt;TODAY(),U198=""),"Overdue","On track")),IF(TRIM(C198)="DPO Approval",IF(V198="","No target set",IF(V198&lt;TODAY(),"Overdue","On track")),IF(TRIM(C198)="RELEASED IN PROD","Delivered",""))))))))</f>
        <v/>
      </c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4" t="str">
        <f>IF($B198="","",IF(AND(LEFT($AC198,3)="Yes",SUMPRODUCT((TRIM('Rework Log'!$A$3:$A$500)=TRIM($B198))*('Rework Log'!$G$3:$G$500&lt;&gt;"Yes")*('Rework Log'!$G$3:$G$500&lt;&gt;"Did not pass re-test"))=0),"Blocked - log it on Rework Log",IF(AND(LEFT($AC198,3)&lt;&gt;"Yes",SUMPRODUCT((TRIM('Rework Log'!$A$3:$A$500)=TRIM($B198))*('Rework Log'!$G$3:$G$500&lt;&gt;"Yes")*('Rework Log'!$G$3:$G$500&lt;&gt;"Did not pass re-test"))&gt;0),"Open rework row - mark Blocked? or close it",IF(AND(LEFT($AC198,3)&lt;&gt;"Yes",SUMPRODUCT((TRIM('Rework Log'!$A$3:$A$500)=TRIM($B198))*('Rework Log'!$G$3:$G$500&lt;&gt;"Yes")*('Rework Log'!$G$3:$G$500&lt;&gt;"Did not pass re-test"))=0,COUNTIF('Rework Log'!$A$3:$A$500,$B198)&gt;0,IFERROR(INDEX('Rework Log'!$G:$G,SUMPRODUCT(MAX((TRIM('Rework Log'!$A$3:$A$500)=TRIM($B198))*ROW('Rework Log'!$A$3:$A$500)))),"")="Did not pass re-test"),"Last fix rejected - re-block or log next attempt",IF(AND(LEFT($AC198,3)="Yes",ISNUMBER(SEARCH("needs DB Dev",$AC198)),O198&lt;&gt;"",SUMPRODUCT(MAX(((TRIM('Rework Log'!$A$3:$A$500)=TRIM($B198))*('Rework Log'!$G$3:$G$500&lt;&gt;"Yes")*('Rework Log'!$G$3:$G$500&lt;&gt;"Did not pass re-test"))*IFERROR('Rework Log'!$I$3:$I$500*1,0)))&gt;0),"Move old DB Dev completion date to Rework Log (col H)",IF(AND(LEFT($AC198,3)="Yes",ISNUMBER(SEARCH("needs PBI Dev",$AC198)),R198&lt;&gt;"",SUMPRODUCT(MAX(((TRIM('Rework Log'!$A$3:$A$500)=TRIM($B198))*('Rework Log'!$G$3:$G$500&lt;&gt;"Yes")*('Rework Log'!$G$3:$G$500&lt;&gt;"Did not pass re-test"))*IFERROR('Rework Log'!$I$3:$I$500*1,0)))&gt;0),"Move old PBI Dev completion date to Rework Log (col H)",IF(AND(LEFT($AC198,3)="Yes",ISNUMBER(SEARCH("needs QA",$AC198)),U198&lt;&gt;"",SUMPRODUCT(MAX(((TRIM('Rework Log'!$A$3:$A$500)=TRIM($B198))*('Rework Log'!$G$3:$G$500&lt;&gt;"Yes")*('Rework Log'!$G$3:$G$500&lt;&gt;"Did not pass re-test"))*IFERROR('Rework Log'!$I$3:$I$500*1,0)))&gt;0),"Move old QA completion date to Rework Log (col H)",IF(AND(LEFT($AC198,3)="Yes",ISNUMBER(SEARCH("needs DB Dev",$AC198)),TRIM(C198)&lt;&gt;"DB Dev"),"Set Current Status back to DB Dev",IF(AND(LEFT($AC198,3)="Yes",ISNUMBER(SEARCH("needs PBI Dev",$AC198)),TRIM(C198)&lt;&gt;"PBI Dev"),"Set Current Status back to PBI Dev",IF(AND(LEFT($AC198,3)="Yes",ISNUMBER(SEARCH("needs QA",$AC198)),TRIM(C198)&lt;&gt;"QA"),"Set Current Status back to QA",IF(COUNTIF($B$2:$B$500,$B198)&gt;1,"Duplicate name - check row",IF(AND(TRIM(C198)="RELEASED IN PROD",Y198&lt;&gt;"Yes"),"Released but Confirmed Deployed? is not Yes",IF(COUNTIF('Rework Log'!$A$3:$A$500,$B198)&gt;0,"",IF(AND(S198&lt;&gt;"",M198&lt;&gt;"",S198&lt;M198),"QA target is before DB Dev target",IF(AND(S198&lt;&gt;"",P198&lt;&gt;"",S198&lt;P198),"QA target is before PBI Dev target",IF(AND(V198&lt;&gt;"",S198&lt;&gt;"",V198&lt;S198),"DPO Approval target is before QA target",IF(AND(Z198&lt;&gt;"",V198&lt;&gt;"",Z198&lt;V198),"Confirmed Deployed date is before DPO Approval target","")))))))))))))))))</f>
        <v/>
      </c>
      <c r="AE198" s="62"/>
    </row>
    <row r="199" spans="1:31" x14ac:dyDescent="0.25">
      <c r="A199" s="62"/>
      <c r="B199" s="62"/>
      <c r="C199" s="62"/>
      <c r="D199" s="64" t="str">
        <f ca="1">IF($B199="","",IF(LEFT($AC199,3)="Yes",IF(LEN($AC199)&gt;5,"Blocked - "&amp;MID($AC199,7,100),"Blocked")&amp;IF(SUMPRODUCT((TRIM('Rework Log'!$A$3:$A$500)=TRIM($B199))*('Rework Log'!$G$3:$G$500&lt;&gt;"Yes")*('Rework Log'!$G$3:$G$500&lt;&gt;"Did not pass re-test"))=0,"",IF(SUMPRODUCT(((TRIM('Rework Log'!$A$3:$A$500)=TRIM($B199))*('Rework Log'!$G$3:$G$500&lt;&gt;"Yes")*('Rework Log'!$G$3:$G$500&lt;&gt;"Did not pass re-test"))*ISNUMBER('Rework Log'!$J$3:$J$500))&gt;0," - fixed, awaiting re-test",IF(SUMPRODUCT(MAX(((TRIM('Rework Log'!$A$3:$A$500)=TRIM($B199))*('Rework Log'!$G$3:$G$500&lt;&gt;"Yes")*('Rework Log'!$G$3:$G$500&lt;&gt;"Did not pass re-test"))*IFERROR('Rework Log'!$I$3:$I$500*1,0)))=0," - unclaimed"," - promised "&amp;TEXT(SUMPRODUCT(MAX(((TRIM('Rework Log'!$A$3:$A$500)=TRIM($B199))*('Rework Log'!$G$3:$G$500&lt;&gt;"Yes")*('Rework Log'!$G$3:$G$500&lt;&gt;"Did not pass re-test"))*IFERROR('Rework Log'!$I$3:$I$500*1,0))),"m/d")))),IF(TRIM(C199)="NOT STARTED",IF(K199="","No plan date set",IF(K199&lt;TODAY(),"Review - planned start passed","On track")),IF(TRIM(C199)="DB Dev",IF(M199="","No target set",IF(AND(M199&lt;TODAY(),O199=""),"Overdue","On track")),IF(TRIM(C199)="PBI Dev",IF(P199="","No target set",IF(AND(P199&lt;TODAY(),R199=""),"Overdue","On track")),IF(TRIM(C199)="QA",IF(S199="","No target set",IF(AND(S199&lt;TODAY(),U199=""),"Overdue","On track")),IF(TRIM(C199)="DPO Approval",IF(V199="","No target set",IF(V199&lt;TODAY(),"Overdue","On track")),IF(TRIM(C199)="RELEASED IN PROD","Delivered",""))))))))</f>
        <v/>
      </c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4" t="str">
        <f>IF($B199="","",IF(AND(LEFT($AC199,3)="Yes",SUMPRODUCT((TRIM('Rework Log'!$A$3:$A$500)=TRIM($B199))*('Rework Log'!$G$3:$G$500&lt;&gt;"Yes")*('Rework Log'!$G$3:$G$500&lt;&gt;"Did not pass re-test"))=0),"Blocked - log it on Rework Log",IF(AND(LEFT($AC199,3)&lt;&gt;"Yes",SUMPRODUCT((TRIM('Rework Log'!$A$3:$A$500)=TRIM($B199))*('Rework Log'!$G$3:$G$500&lt;&gt;"Yes")*('Rework Log'!$G$3:$G$500&lt;&gt;"Did not pass re-test"))&gt;0),"Open rework row - mark Blocked? or close it",IF(AND(LEFT($AC199,3)&lt;&gt;"Yes",SUMPRODUCT((TRIM('Rework Log'!$A$3:$A$500)=TRIM($B199))*('Rework Log'!$G$3:$G$500&lt;&gt;"Yes")*('Rework Log'!$G$3:$G$500&lt;&gt;"Did not pass re-test"))=0,COUNTIF('Rework Log'!$A$3:$A$500,$B199)&gt;0,IFERROR(INDEX('Rework Log'!$G:$G,SUMPRODUCT(MAX((TRIM('Rework Log'!$A$3:$A$500)=TRIM($B199))*ROW('Rework Log'!$A$3:$A$500)))),"")="Did not pass re-test"),"Last fix rejected - re-block or log next attempt",IF(AND(LEFT($AC199,3)="Yes",ISNUMBER(SEARCH("needs DB Dev",$AC199)),O199&lt;&gt;"",SUMPRODUCT(MAX(((TRIM('Rework Log'!$A$3:$A$500)=TRIM($B199))*('Rework Log'!$G$3:$G$500&lt;&gt;"Yes")*('Rework Log'!$G$3:$G$500&lt;&gt;"Did not pass re-test"))*IFERROR('Rework Log'!$I$3:$I$500*1,0)))&gt;0),"Move old DB Dev completion date to Rework Log (col H)",IF(AND(LEFT($AC199,3)="Yes",ISNUMBER(SEARCH("needs PBI Dev",$AC199)),R199&lt;&gt;"",SUMPRODUCT(MAX(((TRIM('Rework Log'!$A$3:$A$500)=TRIM($B199))*('Rework Log'!$G$3:$G$500&lt;&gt;"Yes")*('Rework Log'!$G$3:$G$500&lt;&gt;"Did not pass re-test"))*IFERROR('Rework Log'!$I$3:$I$500*1,0)))&gt;0),"Move old PBI Dev completion date to Rework Log (col H)",IF(AND(LEFT($AC199,3)="Yes",ISNUMBER(SEARCH("needs QA",$AC199)),U199&lt;&gt;"",SUMPRODUCT(MAX(((TRIM('Rework Log'!$A$3:$A$500)=TRIM($B199))*('Rework Log'!$G$3:$G$500&lt;&gt;"Yes")*('Rework Log'!$G$3:$G$500&lt;&gt;"Did not pass re-test"))*IFERROR('Rework Log'!$I$3:$I$500*1,0)))&gt;0),"Move old QA completion date to Rework Log (col H)",IF(AND(LEFT($AC199,3)="Yes",ISNUMBER(SEARCH("needs DB Dev",$AC199)),TRIM(C199)&lt;&gt;"DB Dev"),"Set Current Status back to DB Dev",IF(AND(LEFT($AC199,3)="Yes",ISNUMBER(SEARCH("needs PBI Dev",$AC199)),TRIM(C199)&lt;&gt;"PBI Dev"),"Set Current Status back to PBI Dev",IF(AND(LEFT($AC199,3)="Yes",ISNUMBER(SEARCH("needs QA",$AC199)),TRIM(C199)&lt;&gt;"QA"),"Set Current Status back to QA",IF(COUNTIF($B$2:$B$500,$B199)&gt;1,"Duplicate name - check row",IF(AND(TRIM(C199)="RELEASED IN PROD",Y199&lt;&gt;"Yes"),"Released but Confirmed Deployed? is not Yes",IF(COUNTIF('Rework Log'!$A$3:$A$500,$B199)&gt;0,"",IF(AND(S199&lt;&gt;"",M199&lt;&gt;"",S199&lt;M199),"QA target is before DB Dev target",IF(AND(S199&lt;&gt;"",P199&lt;&gt;"",S199&lt;P199),"QA target is before PBI Dev target",IF(AND(V199&lt;&gt;"",S199&lt;&gt;"",V199&lt;S199),"DPO Approval target is before QA target",IF(AND(Z199&lt;&gt;"",V199&lt;&gt;"",Z199&lt;V199),"Confirmed Deployed date is before DPO Approval target","")))))))))))))))))</f>
        <v/>
      </c>
      <c r="AE199" s="62"/>
    </row>
    <row r="200" spans="1:31" x14ac:dyDescent="0.25">
      <c r="A200" s="62"/>
      <c r="B200" s="62"/>
      <c r="C200" s="62"/>
      <c r="D200" s="64" t="str">
        <f ca="1">IF($B200="","",IF(LEFT($AC200,3)="Yes",IF(LEN($AC200)&gt;5,"Blocked - "&amp;MID($AC200,7,100),"Blocked")&amp;IF(SUMPRODUCT((TRIM('Rework Log'!$A$3:$A$500)=TRIM($B200))*('Rework Log'!$G$3:$G$500&lt;&gt;"Yes")*('Rework Log'!$G$3:$G$500&lt;&gt;"Did not pass re-test"))=0,"",IF(SUMPRODUCT(((TRIM('Rework Log'!$A$3:$A$500)=TRIM($B200))*('Rework Log'!$G$3:$G$500&lt;&gt;"Yes")*('Rework Log'!$G$3:$G$500&lt;&gt;"Did not pass re-test"))*ISNUMBER('Rework Log'!$J$3:$J$500))&gt;0," - fixed, awaiting re-test",IF(SUMPRODUCT(MAX(((TRIM('Rework Log'!$A$3:$A$500)=TRIM($B200))*('Rework Log'!$G$3:$G$500&lt;&gt;"Yes")*('Rework Log'!$G$3:$G$500&lt;&gt;"Did not pass re-test"))*IFERROR('Rework Log'!$I$3:$I$500*1,0)))=0," - unclaimed"," - promised "&amp;TEXT(SUMPRODUCT(MAX(((TRIM('Rework Log'!$A$3:$A$500)=TRIM($B200))*('Rework Log'!$G$3:$G$500&lt;&gt;"Yes")*('Rework Log'!$G$3:$G$500&lt;&gt;"Did not pass re-test"))*IFERROR('Rework Log'!$I$3:$I$500*1,0))),"m/d")))),IF(TRIM(C200)="NOT STARTED",IF(K200="","No plan date set",IF(K200&lt;TODAY(),"Review - planned start passed","On track")),IF(TRIM(C200)="DB Dev",IF(M200="","No target set",IF(AND(M200&lt;TODAY(),O200=""),"Overdue","On track")),IF(TRIM(C200)="PBI Dev",IF(P200="","No target set",IF(AND(P200&lt;TODAY(),R200=""),"Overdue","On track")),IF(TRIM(C200)="QA",IF(S200="","No target set",IF(AND(S200&lt;TODAY(),U200=""),"Overdue","On track")),IF(TRIM(C200)="DPO Approval",IF(V200="","No target set",IF(V200&lt;TODAY(),"Overdue","On track")),IF(TRIM(C200)="RELEASED IN PROD","Delivered",""))))))))</f>
        <v/>
      </c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4" t="str">
        <f>IF($B200="","",IF(AND(LEFT($AC200,3)="Yes",SUMPRODUCT((TRIM('Rework Log'!$A$3:$A$500)=TRIM($B200))*('Rework Log'!$G$3:$G$500&lt;&gt;"Yes")*('Rework Log'!$G$3:$G$500&lt;&gt;"Did not pass re-test"))=0),"Blocked - log it on Rework Log",IF(AND(LEFT($AC200,3)&lt;&gt;"Yes",SUMPRODUCT((TRIM('Rework Log'!$A$3:$A$500)=TRIM($B200))*('Rework Log'!$G$3:$G$500&lt;&gt;"Yes")*('Rework Log'!$G$3:$G$500&lt;&gt;"Did not pass re-test"))&gt;0),"Open rework row - mark Blocked? or close it",IF(AND(LEFT($AC200,3)&lt;&gt;"Yes",SUMPRODUCT((TRIM('Rework Log'!$A$3:$A$500)=TRIM($B200))*('Rework Log'!$G$3:$G$500&lt;&gt;"Yes")*('Rework Log'!$G$3:$G$500&lt;&gt;"Did not pass re-test"))=0,COUNTIF('Rework Log'!$A$3:$A$500,$B200)&gt;0,IFERROR(INDEX('Rework Log'!$G:$G,SUMPRODUCT(MAX((TRIM('Rework Log'!$A$3:$A$500)=TRIM($B200))*ROW('Rework Log'!$A$3:$A$500)))),"")="Did not pass re-test"),"Last fix rejected - re-block or log next attempt",IF(AND(LEFT($AC200,3)="Yes",ISNUMBER(SEARCH("needs DB Dev",$AC200)),O200&lt;&gt;"",SUMPRODUCT(MAX(((TRIM('Rework Log'!$A$3:$A$500)=TRIM($B200))*('Rework Log'!$G$3:$G$500&lt;&gt;"Yes")*('Rework Log'!$G$3:$G$500&lt;&gt;"Did not pass re-test"))*IFERROR('Rework Log'!$I$3:$I$500*1,0)))&gt;0),"Move old DB Dev completion date to Rework Log (col H)",IF(AND(LEFT($AC200,3)="Yes",ISNUMBER(SEARCH("needs PBI Dev",$AC200)),R200&lt;&gt;"",SUMPRODUCT(MAX(((TRIM('Rework Log'!$A$3:$A$500)=TRIM($B200))*('Rework Log'!$G$3:$G$500&lt;&gt;"Yes")*('Rework Log'!$G$3:$G$500&lt;&gt;"Did not pass re-test"))*IFERROR('Rework Log'!$I$3:$I$500*1,0)))&gt;0),"Move old PBI Dev completion date to Rework Log (col H)",IF(AND(LEFT($AC200,3)="Yes",ISNUMBER(SEARCH("needs QA",$AC200)),U200&lt;&gt;"",SUMPRODUCT(MAX(((TRIM('Rework Log'!$A$3:$A$500)=TRIM($B200))*('Rework Log'!$G$3:$G$500&lt;&gt;"Yes")*('Rework Log'!$G$3:$G$500&lt;&gt;"Did not pass re-test"))*IFERROR('Rework Log'!$I$3:$I$500*1,0)))&gt;0),"Move old QA completion date to Rework Log (col H)",IF(AND(LEFT($AC200,3)="Yes",ISNUMBER(SEARCH("needs DB Dev",$AC200)),TRIM(C200)&lt;&gt;"DB Dev"),"Set Current Status back to DB Dev",IF(AND(LEFT($AC200,3)="Yes",ISNUMBER(SEARCH("needs PBI Dev",$AC200)),TRIM(C200)&lt;&gt;"PBI Dev"),"Set Current Status back to PBI Dev",IF(AND(LEFT($AC200,3)="Yes",ISNUMBER(SEARCH("needs QA",$AC200)),TRIM(C200)&lt;&gt;"QA"),"Set Current Status back to QA",IF(COUNTIF($B$2:$B$500,$B200)&gt;1,"Duplicate name - check row",IF(AND(TRIM(C200)="RELEASED IN PROD",Y200&lt;&gt;"Yes"),"Released but Confirmed Deployed? is not Yes",IF(COUNTIF('Rework Log'!$A$3:$A$500,$B200)&gt;0,"",IF(AND(S200&lt;&gt;"",M200&lt;&gt;"",S200&lt;M200),"QA target is before DB Dev target",IF(AND(S200&lt;&gt;"",P200&lt;&gt;"",S200&lt;P200),"QA target is before PBI Dev target",IF(AND(V200&lt;&gt;"",S200&lt;&gt;"",V200&lt;S200),"DPO Approval target is before QA target",IF(AND(Z200&lt;&gt;"",V200&lt;&gt;"",Z200&lt;V200),"Confirmed Deployed date is before DPO Approval target","")))))))))))))))))</f>
        <v/>
      </c>
      <c r="AE200" s="62"/>
    </row>
    <row r="201" spans="1:31" x14ac:dyDescent="0.25">
      <c r="A201" s="62"/>
      <c r="B201" s="62"/>
      <c r="C201" s="62"/>
      <c r="D201" s="66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6"/>
      <c r="AE201" s="62"/>
    </row>
    <row r="202" spans="1:31" x14ac:dyDescent="0.25">
      <c r="A202" s="62"/>
      <c r="B202" s="62"/>
      <c r="C202" s="62"/>
      <c r="D202" s="66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6"/>
      <c r="AE202" s="62"/>
    </row>
    <row r="203" spans="1:31" x14ac:dyDescent="0.25">
      <c r="A203" s="62"/>
      <c r="B203" s="62"/>
      <c r="C203" s="62"/>
      <c r="D203" s="66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6"/>
      <c r="AE203" s="62"/>
    </row>
    <row r="204" spans="1:31" x14ac:dyDescent="0.25">
      <c r="A204" s="62"/>
      <c r="B204" s="62"/>
      <c r="C204" s="62"/>
      <c r="D204" s="66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6"/>
      <c r="AE204" s="62"/>
    </row>
    <row r="205" spans="1:31" x14ac:dyDescent="0.25">
      <c r="A205" s="62"/>
      <c r="B205" s="62"/>
      <c r="C205" s="62"/>
      <c r="D205" s="66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6"/>
      <c r="AE205" s="62"/>
    </row>
    <row r="206" spans="1:31" x14ac:dyDescent="0.25">
      <c r="A206" s="62"/>
      <c r="B206" s="62"/>
      <c r="C206" s="62"/>
      <c r="D206" s="66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6"/>
      <c r="AE206" s="62"/>
    </row>
    <row r="207" spans="1:31" x14ac:dyDescent="0.25">
      <c r="A207" s="62"/>
      <c r="B207" s="62"/>
      <c r="C207" s="62"/>
      <c r="D207" s="66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6"/>
      <c r="AE207" s="62"/>
    </row>
    <row r="208" spans="1:31" x14ac:dyDescent="0.25">
      <c r="A208" s="62"/>
      <c r="B208" s="62"/>
      <c r="C208" s="62"/>
      <c r="D208" s="66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6"/>
      <c r="AE208" s="62"/>
    </row>
    <row r="209" spans="1:31" x14ac:dyDescent="0.25">
      <c r="A209" s="62"/>
      <c r="B209" s="62"/>
      <c r="C209" s="62"/>
      <c r="D209" s="66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6"/>
      <c r="AE209" s="62"/>
    </row>
    <row r="210" spans="1:31" x14ac:dyDescent="0.25">
      <c r="A210" s="62"/>
      <c r="B210" s="62"/>
      <c r="C210" s="62"/>
      <c r="D210" s="66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6"/>
      <c r="AE210" s="62"/>
    </row>
    <row r="211" spans="1:31" x14ac:dyDescent="0.25">
      <c r="A211" s="62"/>
      <c r="B211" s="62"/>
      <c r="C211" s="62"/>
      <c r="D211" s="66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6"/>
      <c r="AE211" s="62"/>
    </row>
    <row r="212" spans="1:31" x14ac:dyDescent="0.25">
      <c r="A212" s="62"/>
      <c r="B212" s="62"/>
      <c r="C212" s="62"/>
      <c r="D212" s="66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6"/>
      <c r="AE212" s="62"/>
    </row>
    <row r="213" spans="1:31" x14ac:dyDescent="0.25">
      <c r="A213" s="62"/>
      <c r="B213" s="62"/>
      <c r="C213" s="62"/>
      <c r="D213" s="66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6"/>
      <c r="AE213" s="62"/>
    </row>
    <row r="214" spans="1:31" x14ac:dyDescent="0.25">
      <c r="A214" s="62"/>
      <c r="B214" s="62"/>
      <c r="C214" s="62"/>
      <c r="D214" s="66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6"/>
      <c r="AE214" s="62"/>
    </row>
    <row r="215" spans="1:31" x14ac:dyDescent="0.25">
      <c r="A215" s="62"/>
      <c r="B215" s="62"/>
      <c r="C215" s="62"/>
      <c r="D215" s="66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6"/>
      <c r="AE215" s="62"/>
    </row>
    <row r="216" spans="1:31" x14ac:dyDescent="0.25">
      <c r="A216" s="62"/>
      <c r="B216" s="62"/>
      <c r="C216" s="62"/>
      <c r="D216" s="66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6"/>
      <c r="AE216" s="62"/>
    </row>
    <row r="217" spans="1:31" x14ac:dyDescent="0.25">
      <c r="A217" s="62"/>
      <c r="B217" s="62"/>
      <c r="C217" s="62"/>
      <c r="D217" s="66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6"/>
      <c r="AE217" s="62"/>
    </row>
    <row r="218" spans="1:31" x14ac:dyDescent="0.25">
      <c r="A218" s="62"/>
      <c r="B218" s="62"/>
      <c r="C218" s="62"/>
      <c r="D218" s="66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6"/>
      <c r="AE218" s="62"/>
    </row>
    <row r="219" spans="1:31" x14ac:dyDescent="0.25">
      <c r="A219" s="62"/>
      <c r="B219" s="62"/>
      <c r="C219" s="62"/>
      <c r="D219" s="66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6"/>
      <c r="AE219" s="62"/>
    </row>
    <row r="220" spans="1:31" x14ac:dyDescent="0.25">
      <c r="A220" s="62"/>
      <c r="B220" s="62"/>
      <c r="C220" s="62"/>
      <c r="D220" s="66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6"/>
      <c r="AE220" s="62"/>
    </row>
    <row r="221" spans="1:31" x14ac:dyDescent="0.25">
      <c r="A221" s="62"/>
      <c r="B221" s="62"/>
      <c r="C221" s="62"/>
      <c r="D221" s="66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6"/>
      <c r="AE221" s="62"/>
    </row>
    <row r="222" spans="1:31" x14ac:dyDescent="0.25">
      <c r="A222" s="62"/>
      <c r="B222" s="62"/>
      <c r="C222" s="62"/>
      <c r="D222" s="66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6"/>
      <c r="AE222" s="62"/>
    </row>
    <row r="223" spans="1:31" x14ac:dyDescent="0.25">
      <c r="A223" s="62"/>
      <c r="B223" s="62"/>
      <c r="C223" s="62"/>
      <c r="D223" s="66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6"/>
      <c r="AE223" s="62"/>
    </row>
    <row r="224" spans="1:31" x14ac:dyDescent="0.25">
      <c r="A224" s="62"/>
      <c r="B224" s="62"/>
      <c r="C224" s="62"/>
      <c r="D224" s="66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6"/>
      <c r="AE224" s="62"/>
    </row>
    <row r="225" spans="1:31" x14ac:dyDescent="0.25">
      <c r="A225" s="62"/>
      <c r="B225" s="62"/>
      <c r="C225" s="62"/>
      <c r="D225" s="66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6"/>
      <c r="AE225" s="62"/>
    </row>
    <row r="226" spans="1:31" x14ac:dyDescent="0.25">
      <c r="A226" s="62"/>
      <c r="B226" s="62"/>
      <c r="C226" s="62"/>
      <c r="D226" s="66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6"/>
      <c r="AE226" s="62"/>
    </row>
    <row r="227" spans="1:31" x14ac:dyDescent="0.25">
      <c r="A227" s="62"/>
      <c r="B227" s="62"/>
      <c r="C227" s="62"/>
      <c r="D227" s="66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6"/>
      <c r="AE227" s="62"/>
    </row>
    <row r="228" spans="1:31" x14ac:dyDescent="0.25">
      <c r="A228" s="62"/>
      <c r="B228" s="62"/>
      <c r="C228" s="62"/>
      <c r="D228" s="66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6"/>
      <c r="AE228" s="62"/>
    </row>
    <row r="229" spans="1:31" x14ac:dyDescent="0.25">
      <c r="A229" s="62"/>
      <c r="B229" s="62"/>
      <c r="C229" s="62"/>
      <c r="D229" s="66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6"/>
      <c r="AE229" s="62"/>
    </row>
    <row r="230" spans="1:31" x14ac:dyDescent="0.25">
      <c r="A230" s="62"/>
      <c r="B230" s="62"/>
      <c r="C230" s="62"/>
      <c r="D230" s="66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6"/>
      <c r="AE230" s="62"/>
    </row>
    <row r="231" spans="1:31" x14ac:dyDescent="0.25">
      <c r="A231" s="62"/>
      <c r="B231" s="62"/>
      <c r="C231" s="62"/>
      <c r="D231" s="66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6"/>
      <c r="AE231" s="62"/>
    </row>
    <row r="232" spans="1:31" x14ac:dyDescent="0.25">
      <c r="A232" s="62"/>
      <c r="B232" s="62"/>
      <c r="C232" s="62"/>
      <c r="D232" s="66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6"/>
      <c r="AE232" s="62"/>
    </row>
    <row r="233" spans="1:31" x14ac:dyDescent="0.25">
      <c r="A233" s="62"/>
      <c r="B233" s="62"/>
      <c r="C233" s="62"/>
      <c r="D233" s="66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6"/>
      <c r="AE233" s="62"/>
    </row>
    <row r="234" spans="1:31" x14ac:dyDescent="0.25">
      <c r="A234" s="62"/>
      <c r="B234" s="62"/>
      <c r="C234" s="62"/>
      <c r="D234" s="66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6"/>
      <c r="AE234" s="62"/>
    </row>
    <row r="235" spans="1:31" x14ac:dyDescent="0.25">
      <c r="A235" s="62"/>
      <c r="B235" s="62"/>
      <c r="C235" s="62"/>
      <c r="D235" s="66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6"/>
      <c r="AE235" s="62"/>
    </row>
    <row r="236" spans="1:31" x14ac:dyDescent="0.25">
      <c r="A236" s="62"/>
      <c r="B236" s="62"/>
      <c r="C236" s="62"/>
      <c r="D236" s="66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6"/>
      <c r="AE236" s="62"/>
    </row>
    <row r="237" spans="1:31" x14ac:dyDescent="0.25">
      <c r="A237" s="62"/>
      <c r="B237" s="62"/>
      <c r="C237" s="62"/>
      <c r="D237" s="66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6"/>
      <c r="AE237" s="62"/>
    </row>
    <row r="238" spans="1:31" x14ac:dyDescent="0.25">
      <c r="A238" s="62"/>
      <c r="B238" s="62"/>
      <c r="C238" s="62"/>
      <c r="D238" s="66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6"/>
      <c r="AE238" s="62"/>
    </row>
    <row r="239" spans="1:31" x14ac:dyDescent="0.25">
      <c r="A239" s="62"/>
      <c r="B239" s="62"/>
      <c r="C239" s="62"/>
      <c r="D239" s="66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6"/>
      <c r="AE239" s="62"/>
    </row>
    <row r="240" spans="1:31" x14ac:dyDescent="0.25">
      <c r="A240" s="62"/>
      <c r="B240" s="62"/>
      <c r="C240" s="62"/>
      <c r="D240" s="66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6"/>
      <c r="AE240" s="62"/>
    </row>
    <row r="241" spans="1:31" x14ac:dyDescent="0.25">
      <c r="A241" s="62"/>
      <c r="B241" s="62"/>
      <c r="C241" s="62"/>
      <c r="D241" s="66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6"/>
      <c r="AE241" s="62"/>
    </row>
    <row r="242" spans="1:31" x14ac:dyDescent="0.25">
      <c r="A242" s="62"/>
      <c r="B242" s="62"/>
      <c r="C242" s="62"/>
      <c r="D242" s="66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6"/>
      <c r="AE242" s="62"/>
    </row>
    <row r="243" spans="1:31" x14ac:dyDescent="0.25">
      <c r="A243" s="62"/>
      <c r="B243" s="62"/>
      <c r="C243" s="62"/>
      <c r="D243" s="66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6"/>
      <c r="AE243" s="62"/>
    </row>
    <row r="244" spans="1:31" x14ac:dyDescent="0.25">
      <c r="A244" s="62"/>
      <c r="B244" s="62"/>
      <c r="C244" s="62"/>
      <c r="D244" s="66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6"/>
      <c r="AE244" s="62"/>
    </row>
    <row r="245" spans="1:31" x14ac:dyDescent="0.25">
      <c r="A245" s="62"/>
      <c r="B245" s="62"/>
      <c r="C245" s="62"/>
      <c r="D245" s="66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6"/>
      <c r="AE245" s="62"/>
    </row>
    <row r="246" spans="1:31" x14ac:dyDescent="0.25">
      <c r="A246" s="62"/>
      <c r="B246" s="62"/>
      <c r="C246" s="62"/>
      <c r="D246" s="66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6"/>
      <c r="AE246" s="62"/>
    </row>
    <row r="247" spans="1:31" x14ac:dyDescent="0.25">
      <c r="A247" s="62"/>
      <c r="B247" s="62"/>
      <c r="C247" s="62"/>
      <c r="D247" s="66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6"/>
      <c r="AE247" s="62"/>
    </row>
    <row r="248" spans="1:31" x14ac:dyDescent="0.25">
      <c r="A248" s="62"/>
      <c r="B248" s="62"/>
      <c r="C248" s="62"/>
      <c r="D248" s="66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6"/>
      <c r="AE248" s="62"/>
    </row>
    <row r="249" spans="1:31" x14ac:dyDescent="0.25">
      <c r="A249" s="62"/>
      <c r="B249" s="62"/>
      <c r="C249" s="62"/>
      <c r="D249" s="66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6"/>
      <c r="AE249" s="62"/>
    </row>
    <row r="250" spans="1:31" x14ac:dyDescent="0.25">
      <c r="A250" s="62"/>
      <c r="B250" s="62"/>
      <c r="C250" s="62"/>
      <c r="D250" s="66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6"/>
      <c r="AE250" s="62"/>
    </row>
    <row r="251" spans="1:31" x14ac:dyDescent="0.25">
      <c r="A251" s="62"/>
      <c r="B251" s="62"/>
      <c r="C251" s="62"/>
      <c r="D251" s="66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6"/>
      <c r="AE251" s="62"/>
    </row>
    <row r="252" spans="1:31" x14ac:dyDescent="0.25">
      <c r="A252" s="62"/>
      <c r="B252" s="62"/>
      <c r="C252" s="62"/>
      <c r="D252" s="66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6"/>
      <c r="AE252" s="62"/>
    </row>
    <row r="253" spans="1:31" x14ac:dyDescent="0.25">
      <c r="A253" s="62"/>
      <c r="B253" s="62"/>
      <c r="C253" s="62"/>
      <c r="D253" s="66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6"/>
      <c r="AE253" s="62"/>
    </row>
    <row r="254" spans="1:31" x14ac:dyDescent="0.25">
      <c r="A254" s="62"/>
      <c r="B254" s="62"/>
      <c r="C254" s="62"/>
      <c r="D254" s="66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6"/>
      <c r="AE254" s="62"/>
    </row>
    <row r="255" spans="1:31" x14ac:dyDescent="0.25">
      <c r="A255" s="62"/>
      <c r="B255" s="62"/>
      <c r="C255" s="62"/>
      <c r="D255" s="66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6"/>
      <c r="AE255" s="62"/>
    </row>
    <row r="256" spans="1:31" x14ac:dyDescent="0.25">
      <c r="A256" s="62"/>
      <c r="B256" s="62"/>
      <c r="C256" s="62"/>
      <c r="D256" s="66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6"/>
      <c r="AE256" s="62"/>
    </row>
    <row r="257" spans="1:31" x14ac:dyDescent="0.25">
      <c r="A257" s="62"/>
      <c r="B257" s="62"/>
      <c r="C257" s="62"/>
      <c r="D257" s="66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6"/>
      <c r="AE257" s="62"/>
    </row>
    <row r="258" spans="1:31" x14ac:dyDescent="0.25">
      <c r="A258" s="62"/>
      <c r="B258" s="62"/>
      <c r="C258" s="62"/>
      <c r="D258" s="66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6"/>
      <c r="AE258" s="62"/>
    </row>
    <row r="259" spans="1:31" x14ac:dyDescent="0.25">
      <c r="A259" s="62"/>
      <c r="B259" s="62"/>
      <c r="C259" s="62"/>
      <c r="D259" s="66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6"/>
      <c r="AE259" s="62"/>
    </row>
    <row r="260" spans="1:31" x14ac:dyDescent="0.25">
      <c r="A260" s="62"/>
      <c r="B260" s="62"/>
      <c r="C260" s="62"/>
      <c r="D260" s="66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6"/>
      <c r="AE260" s="62"/>
    </row>
    <row r="261" spans="1:31" x14ac:dyDescent="0.25">
      <c r="A261" s="62"/>
      <c r="B261" s="62"/>
      <c r="C261" s="62"/>
      <c r="D261" s="66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6"/>
      <c r="AE261" s="62"/>
    </row>
    <row r="262" spans="1:31" x14ac:dyDescent="0.25">
      <c r="A262" s="62"/>
      <c r="B262" s="62"/>
      <c r="C262" s="62"/>
      <c r="D262" s="66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6"/>
      <c r="AE262" s="62"/>
    </row>
    <row r="263" spans="1:31" x14ac:dyDescent="0.25">
      <c r="A263" s="62"/>
      <c r="B263" s="62"/>
      <c r="C263" s="62"/>
      <c r="D263" s="66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6"/>
      <c r="AE263" s="62"/>
    </row>
    <row r="264" spans="1:31" x14ac:dyDescent="0.25">
      <c r="A264" s="62"/>
      <c r="B264" s="62"/>
      <c r="C264" s="62"/>
      <c r="D264" s="66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6"/>
      <c r="AE264" s="62"/>
    </row>
    <row r="265" spans="1:31" x14ac:dyDescent="0.25">
      <c r="A265" s="62"/>
      <c r="B265" s="62"/>
      <c r="C265" s="62"/>
      <c r="D265" s="66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6"/>
      <c r="AE265" s="62"/>
    </row>
    <row r="266" spans="1:31" x14ac:dyDescent="0.25">
      <c r="A266" s="62"/>
      <c r="B266" s="62"/>
      <c r="C266" s="62"/>
      <c r="D266" s="66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6"/>
      <c r="AE266" s="62"/>
    </row>
    <row r="267" spans="1:31" x14ac:dyDescent="0.25">
      <c r="A267" s="62"/>
      <c r="B267" s="62"/>
      <c r="C267" s="62"/>
      <c r="D267" s="66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6"/>
      <c r="AE267" s="62"/>
    </row>
    <row r="268" spans="1:31" x14ac:dyDescent="0.25">
      <c r="A268" s="62"/>
      <c r="B268" s="62"/>
      <c r="C268" s="62"/>
      <c r="D268" s="66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6"/>
      <c r="AE268" s="62"/>
    </row>
    <row r="269" spans="1:31" x14ac:dyDescent="0.25">
      <c r="A269" s="62"/>
      <c r="B269" s="62"/>
      <c r="C269" s="62"/>
      <c r="D269" s="66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6"/>
      <c r="AE269" s="62"/>
    </row>
    <row r="270" spans="1:31" x14ac:dyDescent="0.25">
      <c r="A270" s="62"/>
      <c r="B270" s="62"/>
      <c r="C270" s="62"/>
      <c r="D270" s="66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6"/>
      <c r="AE270" s="62"/>
    </row>
    <row r="271" spans="1:31" x14ac:dyDescent="0.25">
      <c r="A271" s="62"/>
      <c r="B271" s="62"/>
      <c r="C271" s="62"/>
      <c r="D271" s="66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6"/>
      <c r="AE271" s="62"/>
    </row>
    <row r="272" spans="1:31" x14ac:dyDescent="0.25">
      <c r="A272" s="62"/>
      <c r="B272" s="62"/>
      <c r="C272" s="62"/>
      <c r="D272" s="66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6"/>
      <c r="AE272" s="62"/>
    </row>
    <row r="273" spans="1:31" x14ac:dyDescent="0.25">
      <c r="A273" s="62"/>
      <c r="B273" s="62"/>
      <c r="C273" s="62"/>
      <c r="D273" s="66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6"/>
      <c r="AE273" s="62"/>
    </row>
    <row r="274" spans="1:31" x14ac:dyDescent="0.25">
      <c r="A274" s="62"/>
      <c r="B274" s="62"/>
      <c r="C274" s="62"/>
      <c r="D274" s="66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6"/>
      <c r="AE274" s="62"/>
    </row>
    <row r="275" spans="1:31" x14ac:dyDescent="0.25">
      <c r="A275" s="62"/>
      <c r="B275" s="62"/>
      <c r="C275" s="62"/>
      <c r="D275" s="66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6"/>
      <c r="AE275" s="62"/>
    </row>
    <row r="276" spans="1:31" x14ac:dyDescent="0.25">
      <c r="A276" s="62"/>
      <c r="B276" s="62"/>
      <c r="C276" s="62"/>
      <c r="D276" s="66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6"/>
      <c r="AE276" s="62"/>
    </row>
    <row r="277" spans="1:31" x14ac:dyDescent="0.25">
      <c r="A277" s="62"/>
      <c r="B277" s="62"/>
      <c r="C277" s="62"/>
      <c r="D277" s="66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6"/>
      <c r="AE277" s="62"/>
    </row>
    <row r="278" spans="1:31" x14ac:dyDescent="0.25">
      <c r="A278" s="62"/>
      <c r="B278" s="62"/>
      <c r="C278" s="62"/>
      <c r="D278" s="66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6"/>
      <c r="AE278" s="62"/>
    </row>
    <row r="279" spans="1:31" x14ac:dyDescent="0.25">
      <c r="A279" s="62"/>
      <c r="B279" s="62"/>
      <c r="C279" s="62"/>
      <c r="D279" s="66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6"/>
      <c r="AE279" s="62"/>
    </row>
    <row r="280" spans="1:31" x14ac:dyDescent="0.25">
      <c r="A280" s="62"/>
      <c r="B280" s="62"/>
      <c r="C280" s="62"/>
      <c r="D280" s="66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6"/>
      <c r="AE280" s="62"/>
    </row>
    <row r="281" spans="1:31" x14ac:dyDescent="0.25">
      <c r="A281" s="62"/>
      <c r="B281" s="62"/>
      <c r="C281" s="62"/>
      <c r="D281" s="66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6"/>
      <c r="AE281" s="62"/>
    </row>
    <row r="282" spans="1:31" x14ac:dyDescent="0.25">
      <c r="A282" s="62"/>
      <c r="B282" s="62"/>
      <c r="C282" s="62"/>
      <c r="D282" s="66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6"/>
      <c r="AE282" s="62"/>
    </row>
    <row r="283" spans="1:31" x14ac:dyDescent="0.25">
      <c r="A283" s="62"/>
      <c r="B283" s="62"/>
      <c r="C283" s="62"/>
      <c r="D283" s="66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6"/>
      <c r="AE283" s="62"/>
    </row>
    <row r="284" spans="1:31" x14ac:dyDescent="0.25">
      <c r="A284" s="62"/>
      <c r="B284" s="62"/>
      <c r="C284" s="62"/>
      <c r="D284" s="66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6"/>
      <c r="AE284" s="62"/>
    </row>
    <row r="285" spans="1:31" x14ac:dyDescent="0.25">
      <c r="A285" s="62"/>
      <c r="B285" s="62"/>
      <c r="C285" s="62"/>
      <c r="D285" s="66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6"/>
      <c r="AE285" s="62"/>
    </row>
    <row r="286" spans="1:31" x14ac:dyDescent="0.25">
      <c r="A286" s="62"/>
      <c r="B286" s="62"/>
      <c r="C286" s="62"/>
      <c r="D286" s="66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6"/>
      <c r="AE286" s="62"/>
    </row>
    <row r="287" spans="1:31" x14ac:dyDescent="0.25">
      <c r="A287" s="62"/>
      <c r="B287" s="62"/>
      <c r="C287" s="62"/>
      <c r="D287" s="66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6"/>
      <c r="AE287" s="62"/>
    </row>
    <row r="288" spans="1:31" x14ac:dyDescent="0.25">
      <c r="A288" s="62"/>
      <c r="B288" s="62"/>
      <c r="C288" s="62"/>
      <c r="D288" s="66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6"/>
      <c r="AE288" s="62"/>
    </row>
    <row r="289" spans="1:31" x14ac:dyDescent="0.25">
      <c r="A289" s="62"/>
      <c r="B289" s="62"/>
      <c r="C289" s="62"/>
      <c r="D289" s="66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6"/>
      <c r="AE289" s="62"/>
    </row>
    <row r="290" spans="1:31" x14ac:dyDescent="0.25">
      <c r="A290" s="62"/>
      <c r="B290" s="62"/>
      <c r="C290" s="62"/>
      <c r="D290" s="66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6"/>
      <c r="AE290" s="62"/>
    </row>
    <row r="291" spans="1:31" x14ac:dyDescent="0.25">
      <c r="A291" s="62"/>
      <c r="B291" s="62"/>
      <c r="C291" s="62"/>
      <c r="D291" s="66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6"/>
      <c r="AE291" s="62"/>
    </row>
    <row r="292" spans="1:31" x14ac:dyDescent="0.25">
      <c r="A292" s="62"/>
      <c r="B292" s="62"/>
      <c r="C292" s="62"/>
      <c r="D292" s="66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6"/>
      <c r="AE292" s="62"/>
    </row>
    <row r="293" spans="1:31" x14ac:dyDescent="0.25">
      <c r="A293" s="62"/>
      <c r="B293" s="62"/>
      <c r="C293" s="62"/>
      <c r="D293" s="66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6"/>
      <c r="AE293" s="62"/>
    </row>
    <row r="294" spans="1:31" x14ac:dyDescent="0.25">
      <c r="A294" s="62"/>
      <c r="B294" s="62"/>
      <c r="C294" s="62"/>
      <c r="D294" s="66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6"/>
      <c r="AE294" s="62"/>
    </row>
    <row r="295" spans="1:31" x14ac:dyDescent="0.25">
      <c r="A295" s="62"/>
      <c r="B295" s="62"/>
      <c r="C295" s="62"/>
      <c r="D295" s="66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6"/>
      <c r="AE295" s="62"/>
    </row>
    <row r="296" spans="1:31" x14ac:dyDescent="0.25">
      <c r="A296" s="62"/>
      <c r="B296" s="62"/>
      <c r="C296" s="62"/>
      <c r="D296" s="66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6"/>
      <c r="AE296" s="62"/>
    </row>
    <row r="297" spans="1:31" x14ac:dyDescent="0.25">
      <c r="A297" s="62"/>
      <c r="B297" s="62"/>
      <c r="C297" s="62"/>
      <c r="D297" s="66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6"/>
      <c r="AE297" s="62"/>
    </row>
    <row r="298" spans="1:31" x14ac:dyDescent="0.25">
      <c r="A298" s="62"/>
      <c r="B298" s="62"/>
      <c r="C298" s="62"/>
      <c r="D298" s="66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6"/>
      <c r="AE298" s="62"/>
    </row>
    <row r="299" spans="1:31" x14ac:dyDescent="0.25">
      <c r="A299" s="62"/>
      <c r="B299" s="62"/>
      <c r="C299" s="62"/>
      <c r="D299" s="66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6"/>
      <c r="AE299" s="62"/>
    </row>
    <row r="300" spans="1:31" x14ac:dyDescent="0.25">
      <c r="A300" s="62"/>
      <c r="B300" s="62"/>
      <c r="C300" s="62"/>
      <c r="D300" s="66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6"/>
      <c r="AE300" s="62"/>
    </row>
    <row r="301" spans="1:31" x14ac:dyDescent="0.25">
      <c r="A301" s="62"/>
      <c r="B301" s="62"/>
      <c r="C301" s="62"/>
      <c r="D301" s="66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6"/>
      <c r="AE301" s="62"/>
    </row>
    <row r="302" spans="1:31" x14ac:dyDescent="0.25">
      <c r="A302" s="62"/>
      <c r="B302" s="62"/>
      <c r="C302" s="62"/>
      <c r="D302" s="66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6"/>
      <c r="AE302" s="62"/>
    </row>
    <row r="303" spans="1:31" x14ac:dyDescent="0.25">
      <c r="A303" s="62"/>
      <c r="B303" s="62"/>
      <c r="C303" s="62"/>
      <c r="D303" s="66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6"/>
      <c r="AE303" s="62"/>
    </row>
    <row r="304" spans="1:31" x14ac:dyDescent="0.25">
      <c r="A304" s="62"/>
      <c r="B304" s="62"/>
      <c r="C304" s="62"/>
      <c r="D304" s="66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6"/>
      <c r="AE304" s="62"/>
    </row>
    <row r="305" spans="1:31" x14ac:dyDescent="0.25">
      <c r="A305" s="62"/>
      <c r="B305" s="62"/>
      <c r="C305" s="62"/>
      <c r="D305" s="66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6"/>
      <c r="AE305" s="62"/>
    </row>
    <row r="306" spans="1:31" x14ac:dyDescent="0.25">
      <c r="A306" s="62"/>
      <c r="B306" s="62"/>
      <c r="C306" s="62"/>
      <c r="D306" s="66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6"/>
      <c r="AE306" s="62"/>
    </row>
    <row r="307" spans="1:31" x14ac:dyDescent="0.25">
      <c r="A307" s="62"/>
      <c r="B307" s="62"/>
      <c r="C307" s="62"/>
      <c r="D307" s="66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6"/>
      <c r="AE307" s="62"/>
    </row>
    <row r="308" spans="1:31" x14ac:dyDescent="0.25">
      <c r="A308" s="62"/>
      <c r="B308" s="62"/>
      <c r="C308" s="62"/>
      <c r="D308" s="66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6"/>
      <c r="AE308" s="62"/>
    </row>
    <row r="309" spans="1:31" x14ac:dyDescent="0.25">
      <c r="A309" s="62"/>
      <c r="B309" s="62"/>
      <c r="C309" s="62"/>
      <c r="D309" s="66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6"/>
      <c r="AE309" s="62"/>
    </row>
    <row r="310" spans="1:31" x14ac:dyDescent="0.25">
      <c r="A310" s="62"/>
      <c r="B310" s="62"/>
      <c r="C310" s="62"/>
      <c r="D310" s="66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6"/>
      <c r="AE310" s="62"/>
    </row>
    <row r="311" spans="1:31" x14ac:dyDescent="0.25">
      <c r="A311" s="62"/>
      <c r="B311" s="62"/>
      <c r="C311" s="62"/>
      <c r="D311" s="66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6"/>
      <c r="AE311" s="62"/>
    </row>
    <row r="312" spans="1:31" x14ac:dyDescent="0.25">
      <c r="A312" s="62"/>
      <c r="B312" s="62"/>
      <c r="C312" s="62"/>
      <c r="D312" s="66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6"/>
      <c r="AE312" s="62"/>
    </row>
    <row r="313" spans="1:31" x14ac:dyDescent="0.25">
      <c r="A313" s="62"/>
      <c r="B313" s="62"/>
      <c r="C313" s="62"/>
      <c r="D313" s="66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6"/>
      <c r="AE313" s="62"/>
    </row>
    <row r="314" spans="1:31" x14ac:dyDescent="0.25">
      <c r="A314" s="62"/>
      <c r="B314" s="62"/>
      <c r="C314" s="62"/>
      <c r="D314" s="66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6"/>
      <c r="AE314" s="62"/>
    </row>
    <row r="315" spans="1:31" x14ac:dyDescent="0.25">
      <c r="A315" s="62"/>
      <c r="B315" s="62"/>
      <c r="C315" s="62"/>
      <c r="D315" s="66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6"/>
      <c r="AE315" s="62"/>
    </row>
    <row r="316" spans="1:31" x14ac:dyDescent="0.25">
      <c r="A316" s="62"/>
      <c r="B316" s="62"/>
      <c r="C316" s="62"/>
      <c r="D316" s="66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6"/>
      <c r="AE316" s="62"/>
    </row>
    <row r="317" spans="1:31" x14ac:dyDescent="0.25">
      <c r="A317" s="62"/>
      <c r="B317" s="62"/>
      <c r="C317" s="62"/>
      <c r="D317" s="66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6"/>
      <c r="AE317" s="62"/>
    </row>
    <row r="318" spans="1:31" x14ac:dyDescent="0.25">
      <c r="A318" s="62"/>
      <c r="B318" s="62"/>
      <c r="C318" s="62"/>
      <c r="D318" s="66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6"/>
      <c r="AE318" s="62"/>
    </row>
    <row r="319" spans="1:31" x14ac:dyDescent="0.25">
      <c r="A319" s="62"/>
      <c r="B319" s="62"/>
      <c r="C319" s="62"/>
      <c r="D319" s="66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6"/>
      <c r="AE319" s="62"/>
    </row>
    <row r="320" spans="1:31" x14ac:dyDescent="0.25">
      <c r="A320" s="62"/>
      <c r="B320" s="62"/>
      <c r="C320" s="62"/>
      <c r="D320" s="66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6"/>
      <c r="AE320" s="62"/>
    </row>
    <row r="321" spans="1:31" x14ac:dyDescent="0.25">
      <c r="A321" s="62"/>
      <c r="B321" s="62"/>
      <c r="C321" s="62"/>
      <c r="D321" s="66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6"/>
      <c r="AE321" s="62"/>
    </row>
    <row r="322" spans="1:31" x14ac:dyDescent="0.25">
      <c r="A322" s="62"/>
      <c r="B322" s="62"/>
      <c r="C322" s="62"/>
      <c r="D322" s="66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6"/>
      <c r="AE322" s="62"/>
    </row>
    <row r="323" spans="1:31" x14ac:dyDescent="0.25">
      <c r="A323" s="62"/>
      <c r="B323" s="62"/>
      <c r="C323" s="62"/>
      <c r="D323" s="66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6"/>
      <c r="AE323" s="62"/>
    </row>
    <row r="324" spans="1:31" x14ac:dyDescent="0.25">
      <c r="A324" s="62"/>
      <c r="B324" s="62"/>
      <c r="C324" s="62"/>
      <c r="D324" s="66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6"/>
      <c r="AE324" s="62"/>
    </row>
    <row r="325" spans="1:31" x14ac:dyDescent="0.25">
      <c r="A325" s="62"/>
      <c r="B325" s="62"/>
      <c r="C325" s="62"/>
      <c r="D325" s="66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6"/>
      <c r="AE325" s="62"/>
    </row>
    <row r="326" spans="1:31" x14ac:dyDescent="0.25">
      <c r="A326" s="62"/>
      <c r="B326" s="62"/>
      <c r="C326" s="62"/>
      <c r="D326" s="66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6"/>
      <c r="AE326" s="62"/>
    </row>
    <row r="327" spans="1:31" x14ac:dyDescent="0.25">
      <c r="A327" s="62"/>
      <c r="B327" s="62"/>
      <c r="C327" s="62"/>
      <c r="D327" s="66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6"/>
      <c r="AE327" s="62"/>
    </row>
    <row r="328" spans="1:31" x14ac:dyDescent="0.25">
      <c r="A328" s="62"/>
      <c r="B328" s="62"/>
      <c r="C328" s="62"/>
      <c r="D328" s="66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6"/>
      <c r="AE328" s="62"/>
    </row>
    <row r="329" spans="1:31" x14ac:dyDescent="0.25">
      <c r="A329" s="62"/>
      <c r="B329" s="62"/>
      <c r="C329" s="62"/>
      <c r="D329" s="66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6"/>
      <c r="AE329" s="62"/>
    </row>
    <row r="330" spans="1:31" x14ac:dyDescent="0.25">
      <c r="A330" s="62"/>
      <c r="B330" s="62"/>
      <c r="C330" s="62"/>
      <c r="D330" s="66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6"/>
      <c r="AE330" s="62"/>
    </row>
    <row r="331" spans="1:31" x14ac:dyDescent="0.25">
      <c r="A331" s="62"/>
      <c r="B331" s="62"/>
      <c r="C331" s="62"/>
      <c r="D331" s="66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6"/>
      <c r="AE331" s="62"/>
    </row>
    <row r="332" spans="1:31" x14ac:dyDescent="0.25">
      <c r="A332" s="62"/>
      <c r="B332" s="62"/>
      <c r="C332" s="62"/>
      <c r="D332" s="66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6"/>
      <c r="AE332" s="62"/>
    </row>
    <row r="333" spans="1:31" x14ac:dyDescent="0.25">
      <c r="A333" s="62"/>
      <c r="B333" s="62"/>
      <c r="C333" s="62"/>
      <c r="D333" s="66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6"/>
      <c r="AE333" s="62"/>
    </row>
    <row r="334" spans="1:31" x14ac:dyDescent="0.25">
      <c r="A334" s="62"/>
      <c r="B334" s="62"/>
      <c r="C334" s="62"/>
      <c r="D334" s="66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6"/>
      <c r="AE334" s="62"/>
    </row>
    <row r="335" spans="1:31" x14ac:dyDescent="0.25">
      <c r="A335" s="62"/>
      <c r="B335" s="62"/>
      <c r="C335" s="62"/>
      <c r="D335" s="66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6"/>
      <c r="AE335" s="62"/>
    </row>
    <row r="336" spans="1:31" x14ac:dyDescent="0.25">
      <c r="A336" s="62"/>
      <c r="B336" s="62"/>
      <c r="C336" s="62"/>
      <c r="D336" s="66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6"/>
      <c r="AE336" s="62"/>
    </row>
    <row r="337" spans="1:31" x14ac:dyDescent="0.25">
      <c r="A337" s="62"/>
      <c r="B337" s="62"/>
      <c r="C337" s="62"/>
      <c r="D337" s="66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6"/>
      <c r="AE337" s="62"/>
    </row>
    <row r="338" spans="1:31" x14ac:dyDescent="0.25">
      <c r="A338" s="62"/>
      <c r="B338" s="62"/>
      <c r="C338" s="62"/>
      <c r="D338" s="66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6"/>
      <c r="AE338" s="62"/>
    </row>
    <row r="339" spans="1:31" x14ac:dyDescent="0.25">
      <c r="A339" s="62"/>
      <c r="B339" s="62"/>
      <c r="C339" s="62"/>
      <c r="D339" s="66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6"/>
      <c r="AE339" s="62"/>
    </row>
    <row r="340" spans="1:31" x14ac:dyDescent="0.25">
      <c r="A340" s="62"/>
      <c r="B340" s="62"/>
      <c r="C340" s="62"/>
      <c r="D340" s="66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6"/>
      <c r="AE340" s="62"/>
    </row>
    <row r="341" spans="1:31" x14ac:dyDescent="0.25">
      <c r="A341" s="62"/>
      <c r="B341" s="62"/>
      <c r="C341" s="62"/>
      <c r="D341" s="66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6"/>
      <c r="AE341" s="62"/>
    </row>
    <row r="342" spans="1:31" x14ac:dyDescent="0.25">
      <c r="A342" s="62"/>
      <c r="B342" s="62"/>
      <c r="C342" s="62"/>
      <c r="D342" s="66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6"/>
      <c r="AE342" s="62"/>
    </row>
    <row r="343" spans="1:31" x14ac:dyDescent="0.25">
      <c r="A343" s="62"/>
      <c r="B343" s="62"/>
      <c r="C343" s="62"/>
      <c r="D343" s="66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6"/>
      <c r="AE343" s="62"/>
    </row>
    <row r="344" spans="1:31" x14ac:dyDescent="0.25">
      <c r="A344" s="62"/>
      <c r="B344" s="62"/>
      <c r="C344" s="62"/>
      <c r="D344" s="66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6"/>
      <c r="AE344" s="62"/>
    </row>
    <row r="345" spans="1:31" x14ac:dyDescent="0.25">
      <c r="A345" s="62"/>
      <c r="B345" s="62"/>
      <c r="C345" s="62"/>
      <c r="D345" s="66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6"/>
      <c r="AE345" s="62"/>
    </row>
    <row r="346" spans="1:31" x14ac:dyDescent="0.25">
      <c r="A346" s="62"/>
      <c r="B346" s="62"/>
      <c r="C346" s="62"/>
      <c r="D346" s="66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6"/>
      <c r="AE346" s="62"/>
    </row>
    <row r="347" spans="1:31" x14ac:dyDescent="0.25">
      <c r="A347" s="62"/>
      <c r="B347" s="62"/>
      <c r="C347" s="62"/>
      <c r="D347" s="66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6"/>
      <c r="AE347" s="62"/>
    </row>
    <row r="348" spans="1:31" x14ac:dyDescent="0.25">
      <c r="A348" s="62"/>
      <c r="B348" s="62"/>
      <c r="C348" s="62"/>
      <c r="D348" s="66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6"/>
      <c r="AE348" s="62"/>
    </row>
    <row r="349" spans="1:31" x14ac:dyDescent="0.25">
      <c r="A349" s="62"/>
      <c r="B349" s="62"/>
      <c r="C349" s="62"/>
      <c r="D349" s="66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6"/>
      <c r="AE349" s="62"/>
    </row>
    <row r="350" spans="1:31" x14ac:dyDescent="0.25">
      <c r="A350" s="62"/>
      <c r="B350" s="62"/>
      <c r="C350" s="62"/>
      <c r="D350" s="66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6"/>
      <c r="AE350" s="62"/>
    </row>
    <row r="351" spans="1:31" x14ac:dyDescent="0.25">
      <c r="A351" s="62"/>
      <c r="B351" s="62"/>
      <c r="C351" s="62"/>
      <c r="D351" s="66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6"/>
      <c r="AE351" s="62"/>
    </row>
    <row r="352" spans="1:31" x14ac:dyDescent="0.25">
      <c r="A352" s="62"/>
      <c r="B352" s="62"/>
      <c r="C352" s="62"/>
      <c r="D352" s="66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6"/>
      <c r="AE352" s="62"/>
    </row>
    <row r="353" spans="1:31" x14ac:dyDescent="0.25">
      <c r="A353" s="62"/>
      <c r="B353" s="62"/>
      <c r="C353" s="62"/>
      <c r="D353" s="66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6"/>
      <c r="AE353" s="62"/>
    </row>
    <row r="354" spans="1:31" x14ac:dyDescent="0.25">
      <c r="A354" s="62"/>
      <c r="B354" s="62"/>
      <c r="C354" s="62"/>
      <c r="D354" s="66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6"/>
      <c r="AE354" s="62"/>
    </row>
    <row r="355" spans="1:31" x14ac:dyDescent="0.25">
      <c r="A355" s="62"/>
      <c r="B355" s="62"/>
      <c r="C355" s="62"/>
      <c r="D355" s="66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6"/>
      <c r="AE355" s="62"/>
    </row>
    <row r="356" spans="1:31" x14ac:dyDescent="0.25">
      <c r="A356" s="62"/>
      <c r="B356" s="62"/>
      <c r="C356" s="62"/>
      <c r="D356" s="66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6"/>
      <c r="AE356" s="62"/>
    </row>
    <row r="357" spans="1:31" x14ac:dyDescent="0.25">
      <c r="A357" s="62"/>
      <c r="B357" s="62"/>
      <c r="C357" s="62"/>
      <c r="D357" s="66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6"/>
      <c r="AE357" s="62"/>
    </row>
    <row r="358" spans="1:31" x14ac:dyDescent="0.25">
      <c r="A358" s="62"/>
      <c r="B358" s="62"/>
      <c r="C358" s="62"/>
      <c r="D358" s="66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6"/>
      <c r="AE358" s="62"/>
    </row>
    <row r="359" spans="1:31" x14ac:dyDescent="0.25">
      <c r="A359" s="62"/>
      <c r="B359" s="62"/>
      <c r="C359" s="62"/>
      <c r="D359" s="66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6"/>
      <c r="AE359" s="62"/>
    </row>
    <row r="360" spans="1:31" x14ac:dyDescent="0.25">
      <c r="A360" s="62"/>
      <c r="B360" s="62"/>
      <c r="C360" s="62"/>
      <c r="D360" s="66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6"/>
      <c r="AE360" s="62"/>
    </row>
    <row r="361" spans="1:31" x14ac:dyDescent="0.25">
      <c r="A361" s="62"/>
      <c r="B361" s="62"/>
      <c r="C361" s="62"/>
      <c r="D361" s="66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6"/>
      <c r="AE361" s="62"/>
    </row>
    <row r="362" spans="1:31" x14ac:dyDescent="0.25">
      <c r="A362" s="62"/>
      <c r="B362" s="62"/>
      <c r="C362" s="62"/>
      <c r="D362" s="66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6"/>
      <c r="AE362" s="62"/>
    </row>
    <row r="363" spans="1:31" x14ac:dyDescent="0.25">
      <c r="A363" s="62"/>
      <c r="B363" s="62"/>
      <c r="C363" s="62"/>
      <c r="D363" s="66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6"/>
      <c r="AE363" s="62"/>
    </row>
    <row r="364" spans="1:31" x14ac:dyDescent="0.25">
      <c r="A364" s="62"/>
      <c r="B364" s="62"/>
      <c r="C364" s="62"/>
      <c r="D364" s="66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6"/>
      <c r="AE364" s="62"/>
    </row>
    <row r="365" spans="1:31" x14ac:dyDescent="0.25">
      <c r="A365" s="62"/>
      <c r="B365" s="62"/>
      <c r="C365" s="62"/>
      <c r="D365" s="66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6"/>
      <c r="AE365" s="62"/>
    </row>
    <row r="366" spans="1:31" x14ac:dyDescent="0.25">
      <c r="A366" s="62"/>
      <c r="B366" s="62"/>
      <c r="C366" s="62"/>
      <c r="D366" s="66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6"/>
      <c r="AE366" s="62"/>
    </row>
    <row r="367" spans="1:31" x14ac:dyDescent="0.25">
      <c r="A367" s="62"/>
      <c r="B367" s="62"/>
      <c r="C367" s="62"/>
      <c r="D367" s="66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6"/>
      <c r="AE367" s="62"/>
    </row>
    <row r="368" spans="1:31" x14ac:dyDescent="0.25">
      <c r="A368" s="62"/>
      <c r="B368" s="62"/>
      <c r="C368" s="62"/>
      <c r="D368" s="66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6"/>
      <c r="AE368" s="62"/>
    </row>
    <row r="369" spans="1:31" x14ac:dyDescent="0.25">
      <c r="A369" s="62"/>
      <c r="B369" s="62"/>
      <c r="C369" s="62"/>
      <c r="D369" s="66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6"/>
      <c r="AE369" s="62"/>
    </row>
    <row r="370" spans="1:31" x14ac:dyDescent="0.25">
      <c r="A370" s="62"/>
      <c r="B370" s="62"/>
      <c r="C370" s="62"/>
      <c r="D370" s="66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6"/>
      <c r="AE370" s="62"/>
    </row>
    <row r="371" spans="1:31" x14ac:dyDescent="0.25">
      <c r="A371" s="62"/>
      <c r="B371" s="62"/>
      <c r="C371" s="62"/>
      <c r="D371" s="66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6"/>
      <c r="AE371" s="62"/>
    </row>
    <row r="372" spans="1:31" x14ac:dyDescent="0.25">
      <c r="A372" s="62"/>
      <c r="B372" s="62"/>
      <c r="C372" s="62"/>
      <c r="D372" s="66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6"/>
      <c r="AE372" s="62"/>
    </row>
    <row r="373" spans="1:31" x14ac:dyDescent="0.25">
      <c r="A373" s="62"/>
      <c r="B373" s="62"/>
      <c r="C373" s="62"/>
      <c r="D373" s="66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6"/>
      <c r="AE373" s="62"/>
    </row>
    <row r="374" spans="1:31" x14ac:dyDescent="0.25">
      <c r="A374" s="62"/>
      <c r="B374" s="62"/>
      <c r="C374" s="62"/>
      <c r="D374" s="66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6"/>
      <c r="AE374" s="62"/>
    </row>
    <row r="375" spans="1:31" x14ac:dyDescent="0.25">
      <c r="A375" s="62"/>
      <c r="B375" s="62"/>
      <c r="C375" s="62"/>
      <c r="D375" s="66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6"/>
      <c r="AE375" s="62"/>
    </row>
    <row r="376" spans="1:31" x14ac:dyDescent="0.25">
      <c r="A376" s="62"/>
      <c r="B376" s="62"/>
      <c r="C376" s="62"/>
      <c r="D376" s="66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6"/>
      <c r="AE376" s="62"/>
    </row>
    <row r="377" spans="1:31" x14ac:dyDescent="0.25">
      <c r="A377" s="62"/>
      <c r="B377" s="62"/>
      <c r="C377" s="62"/>
      <c r="D377" s="66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6"/>
      <c r="AE377" s="62"/>
    </row>
    <row r="378" spans="1:31" x14ac:dyDescent="0.25">
      <c r="A378" s="62"/>
      <c r="B378" s="62"/>
      <c r="C378" s="62"/>
      <c r="D378" s="66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6"/>
      <c r="AE378" s="62"/>
    </row>
    <row r="379" spans="1:31" x14ac:dyDescent="0.25">
      <c r="A379" s="62"/>
      <c r="B379" s="62"/>
      <c r="C379" s="62"/>
      <c r="D379" s="66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6"/>
      <c r="AE379" s="62"/>
    </row>
    <row r="380" spans="1:31" x14ac:dyDescent="0.25">
      <c r="A380" s="62"/>
      <c r="B380" s="62"/>
      <c r="C380" s="62"/>
      <c r="D380" s="66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6"/>
      <c r="AE380" s="62"/>
    </row>
    <row r="381" spans="1:31" x14ac:dyDescent="0.25">
      <c r="A381" s="62"/>
      <c r="B381" s="62"/>
      <c r="C381" s="62"/>
      <c r="D381" s="66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6"/>
      <c r="AE381" s="62"/>
    </row>
    <row r="382" spans="1:31" x14ac:dyDescent="0.25">
      <c r="A382" s="62"/>
      <c r="B382" s="62"/>
      <c r="C382" s="62"/>
      <c r="D382" s="66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6"/>
      <c r="AE382" s="62"/>
    </row>
    <row r="383" spans="1:31" x14ac:dyDescent="0.25">
      <c r="A383" s="62"/>
      <c r="B383" s="62"/>
      <c r="C383" s="62"/>
      <c r="D383" s="66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6"/>
      <c r="AE383" s="62"/>
    </row>
    <row r="384" spans="1:31" x14ac:dyDescent="0.25">
      <c r="A384" s="62"/>
      <c r="B384" s="62"/>
      <c r="C384" s="62"/>
      <c r="D384" s="66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6"/>
      <c r="AE384" s="62"/>
    </row>
    <row r="385" spans="1:31" x14ac:dyDescent="0.25">
      <c r="A385" s="62"/>
      <c r="B385" s="62"/>
      <c r="C385" s="62"/>
      <c r="D385" s="66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6"/>
      <c r="AE385" s="62"/>
    </row>
    <row r="386" spans="1:31" x14ac:dyDescent="0.25">
      <c r="A386" s="62"/>
      <c r="B386" s="62"/>
      <c r="C386" s="62"/>
      <c r="D386" s="66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6"/>
      <c r="AE386" s="62"/>
    </row>
    <row r="387" spans="1:31" x14ac:dyDescent="0.25">
      <c r="A387" s="62"/>
      <c r="B387" s="62"/>
      <c r="C387" s="62"/>
      <c r="D387" s="66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6"/>
      <c r="AE387" s="62"/>
    </row>
    <row r="388" spans="1:31" x14ac:dyDescent="0.25">
      <c r="A388" s="62"/>
      <c r="B388" s="62"/>
      <c r="C388" s="62"/>
      <c r="D388" s="66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6"/>
      <c r="AE388" s="62"/>
    </row>
    <row r="389" spans="1:31" x14ac:dyDescent="0.25">
      <c r="A389" s="62"/>
      <c r="B389" s="62"/>
      <c r="C389" s="62"/>
      <c r="D389" s="66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6"/>
      <c r="AE389" s="62"/>
    </row>
    <row r="390" spans="1:31" x14ac:dyDescent="0.25">
      <c r="A390" s="62"/>
      <c r="B390" s="62"/>
      <c r="C390" s="62"/>
      <c r="D390" s="66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6"/>
      <c r="AE390" s="62"/>
    </row>
    <row r="391" spans="1:31" x14ac:dyDescent="0.25">
      <c r="A391" s="62"/>
      <c r="B391" s="62"/>
      <c r="C391" s="62"/>
      <c r="D391" s="66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6"/>
      <c r="AE391" s="62"/>
    </row>
    <row r="392" spans="1:31" x14ac:dyDescent="0.25">
      <c r="A392" s="62"/>
      <c r="B392" s="62"/>
      <c r="C392" s="62"/>
      <c r="D392" s="66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6"/>
      <c r="AE392" s="62"/>
    </row>
    <row r="393" spans="1:31" x14ac:dyDescent="0.25">
      <c r="A393" s="62"/>
      <c r="B393" s="62"/>
      <c r="C393" s="62"/>
      <c r="D393" s="66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6"/>
      <c r="AE393" s="62"/>
    </row>
    <row r="394" spans="1:31" x14ac:dyDescent="0.25">
      <c r="A394" s="62"/>
      <c r="B394" s="62"/>
      <c r="C394" s="62"/>
      <c r="D394" s="66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6"/>
      <c r="AE394" s="62"/>
    </row>
    <row r="395" spans="1:31" x14ac:dyDescent="0.25">
      <c r="A395" s="62"/>
      <c r="B395" s="62"/>
      <c r="C395" s="62"/>
      <c r="D395" s="66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6"/>
      <c r="AE395" s="62"/>
    </row>
    <row r="396" spans="1:31" x14ac:dyDescent="0.25">
      <c r="A396" s="62"/>
      <c r="B396" s="62"/>
      <c r="C396" s="62"/>
      <c r="D396" s="66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6"/>
      <c r="AE396" s="62"/>
    </row>
    <row r="397" spans="1:31" x14ac:dyDescent="0.25">
      <c r="A397" s="62"/>
      <c r="B397" s="62"/>
      <c r="C397" s="62"/>
      <c r="D397" s="66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6"/>
      <c r="AE397" s="62"/>
    </row>
    <row r="398" spans="1:31" x14ac:dyDescent="0.25">
      <c r="A398" s="62"/>
      <c r="B398" s="62"/>
      <c r="C398" s="62"/>
      <c r="D398" s="66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6"/>
      <c r="AE398" s="62"/>
    </row>
    <row r="399" spans="1:31" x14ac:dyDescent="0.25">
      <c r="A399" s="62"/>
      <c r="B399" s="62"/>
      <c r="C399" s="62"/>
      <c r="D399" s="66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6"/>
      <c r="AE399" s="62"/>
    </row>
    <row r="400" spans="1:31" x14ac:dyDescent="0.25">
      <c r="A400" s="62"/>
      <c r="B400" s="62"/>
      <c r="C400" s="62"/>
      <c r="D400" s="66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6"/>
      <c r="AE400" s="62"/>
    </row>
    <row r="401" spans="1:31" x14ac:dyDescent="0.25">
      <c r="A401" s="62"/>
      <c r="B401" s="62"/>
      <c r="C401" s="62"/>
      <c r="D401" s="66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6"/>
      <c r="AE401" s="62"/>
    </row>
    <row r="402" spans="1:31" x14ac:dyDescent="0.25">
      <c r="A402" s="62"/>
      <c r="B402" s="62"/>
      <c r="C402" s="62"/>
      <c r="D402" s="66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6"/>
      <c r="AE402" s="62"/>
    </row>
    <row r="403" spans="1:31" x14ac:dyDescent="0.25">
      <c r="A403" s="62"/>
      <c r="B403" s="62"/>
      <c r="C403" s="62"/>
      <c r="D403" s="66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6"/>
      <c r="AE403" s="62"/>
    </row>
    <row r="404" spans="1:31" x14ac:dyDescent="0.25">
      <c r="A404" s="62"/>
      <c r="B404" s="62"/>
      <c r="C404" s="62"/>
      <c r="D404" s="66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6"/>
      <c r="AE404" s="62"/>
    </row>
    <row r="405" spans="1:31" x14ac:dyDescent="0.25">
      <c r="A405" s="62"/>
      <c r="B405" s="62"/>
      <c r="C405" s="62"/>
      <c r="D405" s="66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6"/>
      <c r="AE405" s="62"/>
    </row>
    <row r="406" spans="1:31" x14ac:dyDescent="0.25">
      <c r="A406" s="62"/>
      <c r="B406" s="62"/>
      <c r="C406" s="62"/>
      <c r="D406" s="66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6"/>
      <c r="AE406" s="62"/>
    </row>
    <row r="407" spans="1:31" x14ac:dyDescent="0.25">
      <c r="A407" s="62"/>
      <c r="B407" s="62"/>
      <c r="C407" s="62"/>
      <c r="D407" s="66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6"/>
      <c r="AE407" s="62"/>
    </row>
    <row r="408" spans="1:31" x14ac:dyDescent="0.25">
      <c r="A408" s="62"/>
      <c r="B408" s="62"/>
      <c r="C408" s="62"/>
      <c r="D408" s="66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6"/>
      <c r="AE408" s="62"/>
    </row>
    <row r="409" spans="1:31" x14ac:dyDescent="0.25">
      <c r="A409" s="62"/>
      <c r="B409" s="62"/>
      <c r="C409" s="62"/>
      <c r="D409" s="66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6"/>
      <c r="AE409" s="62"/>
    </row>
    <row r="410" spans="1:31" x14ac:dyDescent="0.25">
      <c r="A410" s="62"/>
      <c r="B410" s="62"/>
      <c r="C410" s="62"/>
      <c r="D410" s="66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6"/>
      <c r="AE410" s="62"/>
    </row>
    <row r="411" spans="1:31" x14ac:dyDescent="0.25">
      <c r="A411" s="62"/>
      <c r="B411" s="62"/>
      <c r="C411" s="62"/>
      <c r="D411" s="66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6"/>
      <c r="AE411" s="62"/>
    </row>
    <row r="412" spans="1:31" x14ac:dyDescent="0.25">
      <c r="A412" s="62"/>
      <c r="B412" s="62"/>
      <c r="C412" s="62"/>
      <c r="D412" s="66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6"/>
      <c r="AE412" s="62"/>
    </row>
    <row r="413" spans="1:31" x14ac:dyDescent="0.25">
      <c r="A413" s="62"/>
      <c r="B413" s="62"/>
      <c r="C413" s="62"/>
      <c r="D413" s="66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6"/>
      <c r="AE413" s="62"/>
    </row>
    <row r="414" spans="1:31" x14ac:dyDescent="0.25">
      <c r="A414" s="62"/>
      <c r="B414" s="62"/>
      <c r="C414" s="62"/>
      <c r="D414" s="66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6"/>
      <c r="AE414" s="62"/>
    </row>
    <row r="415" spans="1:31" x14ac:dyDescent="0.25">
      <c r="A415" s="62"/>
      <c r="B415" s="62"/>
      <c r="C415" s="62"/>
      <c r="D415" s="66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6"/>
      <c r="AE415" s="62"/>
    </row>
    <row r="416" spans="1:31" x14ac:dyDescent="0.25">
      <c r="A416" s="62"/>
      <c r="B416" s="62"/>
      <c r="C416" s="62"/>
      <c r="D416" s="66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6"/>
      <c r="AE416" s="62"/>
    </row>
    <row r="417" spans="1:31" x14ac:dyDescent="0.25">
      <c r="A417" s="62"/>
      <c r="B417" s="62"/>
      <c r="C417" s="62"/>
      <c r="D417" s="66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6"/>
      <c r="AE417" s="62"/>
    </row>
    <row r="418" spans="1:31" x14ac:dyDescent="0.25">
      <c r="A418" s="62"/>
      <c r="B418" s="62"/>
      <c r="C418" s="62"/>
      <c r="D418" s="66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6"/>
      <c r="AE418" s="62"/>
    </row>
    <row r="419" spans="1:31" x14ac:dyDescent="0.25">
      <c r="A419" s="62"/>
      <c r="B419" s="62"/>
      <c r="C419" s="62"/>
      <c r="D419" s="66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6"/>
      <c r="AE419" s="62"/>
    </row>
    <row r="420" spans="1:31" x14ac:dyDescent="0.25">
      <c r="A420" s="62"/>
      <c r="B420" s="62"/>
      <c r="C420" s="62"/>
      <c r="D420" s="66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6"/>
      <c r="AE420" s="62"/>
    </row>
    <row r="421" spans="1:31" x14ac:dyDescent="0.25">
      <c r="A421" s="62"/>
      <c r="B421" s="62"/>
      <c r="C421" s="62"/>
      <c r="D421" s="66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6"/>
      <c r="AE421" s="62"/>
    </row>
    <row r="422" spans="1:31" x14ac:dyDescent="0.25">
      <c r="A422" s="62"/>
      <c r="B422" s="62"/>
      <c r="C422" s="62"/>
      <c r="D422" s="66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6"/>
      <c r="AE422" s="62"/>
    </row>
    <row r="423" spans="1:31" x14ac:dyDescent="0.25">
      <c r="A423" s="62"/>
      <c r="B423" s="62"/>
      <c r="C423" s="62"/>
      <c r="D423" s="66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6"/>
      <c r="AE423" s="62"/>
    </row>
    <row r="424" spans="1:31" x14ac:dyDescent="0.25">
      <c r="A424" s="62"/>
      <c r="B424" s="62"/>
      <c r="C424" s="62"/>
      <c r="D424" s="66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6"/>
      <c r="AE424" s="62"/>
    </row>
    <row r="425" spans="1:31" x14ac:dyDescent="0.25">
      <c r="A425" s="62"/>
      <c r="B425" s="62"/>
      <c r="C425" s="62"/>
      <c r="D425" s="66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6"/>
      <c r="AE425" s="62"/>
    </row>
    <row r="426" spans="1:31" x14ac:dyDescent="0.25">
      <c r="A426" s="62"/>
      <c r="B426" s="62"/>
      <c r="C426" s="62"/>
      <c r="D426" s="66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6"/>
      <c r="AE426" s="62"/>
    </row>
    <row r="427" spans="1:31" x14ac:dyDescent="0.25">
      <c r="A427" s="62"/>
      <c r="B427" s="62"/>
      <c r="C427" s="62"/>
      <c r="D427" s="66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6"/>
      <c r="AE427" s="62"/>
    </row>
    <row r="428" spans="1:31" x14ac:dyDescent="0.25">
      <c r="A428" s="62"/>
      <c r="B428" s="62"/>
      <c r="C428" s="62"/>
      <c r="D428" s="66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6"/>
      <c r="AE428" s="62"/>
    </row>
    <row r="429" spans="1:31" x14ac:dyDescent="0.25">
      <c r="A429" s="62"/>
      <c r="B429" s="62"/>
      <c r="C429" s="62"/>
      <c r="D429" s="66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6"/>
      <c r="AE429" s="62"/>
    </row>
    <row r="430" spans="1:31" x14ac:dyDescent="0.25">
      <c r="A430" s="62"/>
      <c r="B430" s="62"/>
      <c r="C430" s="62"/>
      <c r="D430" s="66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6"/>
      <c r="AE430" s="62"/>
    </row>
    <row r="431" spans="1:31" x14ac:dyDescent="0.25">
      <c r="A431" s="62"/>
      <c r="B431" s="62"/>
      <c r="C431" s="62"/>
      <c r="D431" s="66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6"/>
      <c r="AE431" s="62"/>
    </row>
    <row r="432" spans="1:31" x14ac:dyDescent="0.25">
      <c r="A432" s="62"/>
      <c r="B432" s="62"/>
      <c r="C432" s="62"/>
      <c r="D432" s="66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6"/>
      <c r="AE432" s="62"/>
    </row>
    <row r="433" spans="1:31" x14ac:dyDescent="0.25">
      <c r="A433" s="62"/>
      <c r="B433" s="62"/>
      <c r="C433" s="62"/>
      <c r="D433" s="66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6"/>
      <c r="AE433" s="62"/>
    </row>
    <row r="434" spans="1:31" x14ac:dyDescent="0.25">
      <c r="A434" s="62"/>
      <c r="B434" s="62"/>
      <c r="C434" s="62"/>
      <c r="D434" s="66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6"/>
      <c r="AE434" s="62"/>
    </row>
    <row r="435" spans="1:31" x14ac:dyDescent="0.25">
      <c r="A435" s="62"/>
      <c r="B435" s="62"/>
      <c r="C435" s="62"/>
      <c r="D435" s="66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6"/>
      <c r="AE435" s="62"/>
    </row>
    <row r="436" spans="1:31" x14ac:dyDescent="0.25">
      <c r="A436" s="62"/>
      <c r="B436" s="62"/>
      <c r="C436" s="62"/>
      <c r="D436" s="66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6"/>
      <c r="AE436" s="62"/>
    </row>
    <row r="437" spans="1:31" x14ac:dyDescent="0.25">
      <c r="A437" s="62"/>
      <c r="B437" s="62"/>
      <c r="C437" s="62"/>
      <c r="D437" s="66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6"/>
      <c r="AE437" s="62"/>
    </row>
    <row r="438" spans="1:31" x14ac:dyDescent="0.25">
      <c r="A438" s="62"/>
      <c r="B438" s="62"/>
      <c r="C438" s="62"/>
      <c r="D438" s="66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6"/>
      <c r="AE438" s="62"/>
    </row>
    <row r="439" spans="1:31" x14ac:dyDescent="0.25">
      <c r="A439" s="62"/>
      <c r="B439" s="62"/>
      <c r="C439" s="62"/>
      <c r="D439" s="66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6"/>
      <c r="AE439" s="62"/>
    </row>
    <row r="440" spans="1:31" x14ac:dyDescent="0.25">
      <c r="A440" s="62"/>
      <c r="B440" s="62"/>
      <c r="C440" s="62"/>
      <c r="D440" s="66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6"/>
      <c r="AE440" s="62"/>
    </row>
    <row r="441" spans="1:31" x14ac:dyDescent="0.25">
      <c r="A441" s="62"/>
      <c r="B441" s="62"/>
      <c r="C441" s="62"/>
      <c r="D441" s="66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6"/>
      <c r="AE441" s="62"/>
    </row>
    <row r="442" spans="1:31" x14ac:dyDescent="0.25">
      <c r="A442" s="62"/>
      <c r="B442" s="62"/>
      <c r="C442" s="62"/>
      <c r="D442" s="66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6"/>
      <c r="AE442" s="62"/>
    </row>
    <row r="443" spans="1:31" x14ac:dyDescent="0.25">
      <c r="A443" s="62"/>
      <c r="B443" s="62"/>
      <c r="C443" s="62"/>
      <c r="D443" s="66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6"/>
      <c r="AE443" s="62"/>
    </row>
    <row r="444" spans="1:31" x14ac:dyDescent="0.25">
      <c r="A444" s="62"/>
      <c r="B444" s="62"/>
      <c r="C444" s="62"/>
      <c r="D444" s="66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6"/>
      <c r="AE444" s="62"/>
    </row>
    <row r="445" spans="1:31" x14ac:dyDescent="0.25">
      <c r="A445" s="62"/>
      <c r="B445" s="62"/>
      <c r="C445" s="62"/>
      <c r="D445" s="66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6"/>
      <c r="AE445" s="62"/>
    </row>
    <row r="446" spans="1:31" x14ac:dyDescent="0.25">
      <c r="A446" s="62"/>
      <c r="B446" s="62"/>
      <c r="C446" s="62"/>
      <c r="D446" s="66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6"/>
      <c r="AE446" s="62"/>
    </row>
    <row r="447" spans="1:31" x14ac:dyDescent="0.25">
      <c r="A447" s="62"/>
      <c r="B447" s="62"/>
      <c r="C447" s="62"/>
      <c r="D447" s="66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6"/>
      <c r="AE447" s="62"/>
    </row>
    <row r="448" spans="1:31" x14ac:dyDescent="0.25">
      <c r="A448" s="62"/>
      <c r="B448" s="62"/>
      <c r="C448" s="62"/>
      <c r="D448" s="66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6"/>
      <c r="AE448" s="62"/>
    </row>
    <row r="449" spans="1:31" x14ac:dyDescent="0.25">
      <c r="A449" s="62"/>
      <c r="B449" s="62"/>
      <c r="C449" s="62"/>
      <c r="D449" s="66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6"/>
      <c r="AE449" s="62"/>
    </row>
    <row r="450" spans="1:31" x14ac:dyDescent="0.25">
      <c r="A450" s="62"/>
      <c r="B450" s="62"/>
      <c r="C450" s="62"/>
      <c r="D450" s="66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6"/>
      <c r="AE450" s="62"/>
    </row>
    <row r="451" spans="1:31" x14ac:dyDescent="0.25">
      <c r="A451" s="62"/>
      <c r="B451" s="62"/>
      <c r="C451" s="62"/>
      <c r="D451" s="66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6"/>
      <c r="AE451" s="62"/>
    </row>
    <row r="452" spans="1:31" x14ac:dyDescent="0.25">
      <c r="A452" s="62"/>
      <c r="B452" s="62"/>
      <c r="C452" s="62"/>
      <c r="D452" s="66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6"/>
      <c r="AE452" s="62"/>
    </row>
    <row r="453" spans="1:31" x14ac:dyDescent="0.25">
      <c r="A453" s="62"/>
      <c r="B453" s="62"/>
      <c r="C453" s="62"/>
      <c r="D453" s="66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6"/>
      <c r="AE453" s="62"/>
    </row>
    <row r="454" spans="1:31" x14ac:dyDescent="0.25">
      <c r="A454" s="62"/>
      <c r="B454" s="62"/>
      <c r="C454" s="62"/>
      <c r="D454" s="66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6"/>
      <c r="AE454" s="62"/>
    </row>
    <row r="455" spans="1:31" x14ac:dyDescent="0.25">
      <c r="A455" s="62"/>
      <c r="B455" s="62"/>
      <c r="C455" s="62"/>
      <c r="D455" s="66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6"/>
      <c r="AE455" s="62"/>
    </row>
    <row r="456" spans="1:31" x14ac:dyDescent="0.25">
      <c r="A456" s="62"/>
      <c r="B456" s="62"/>
      <c r="C456" s="62"/>
      <c r="D456" s="66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6"/>
      <c r="AE456" s="62"/>
    </row>
    <row r="457" spans="1:31" x14ac:dyDescent="0.25">
      <c r="A457" s="62"/>
      <c r="B457" s="62"/>
      <c r="C457" s="62"/>
      <c r="D457" s="66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6"/>
      <c r="AE457" s="62"/>
    </row>
    <row r="458" spans="1:31" x14ac:dyDescent="0.25">
      <c r="A458" s="62"/>
      <c r="B458" s="62"/>
      <c r="C458" s="62"/>
      <c r="D458" s="66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6"/>
      <c r="AE458" s="62"/>
    </row>
    <row r="459" spans="1:31" x14ac:dyDescent="0.25">
      <c r="A459" s="62"/>
      <c r="B459" s="62"/>
      <c r="C459" s="62"/>
      <c r="D459" s="66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6"/>
      <c r="AE459" s="62"/>
    </row>
    <row r="460" spans="1:31" x14ac:dyDescent="0.25">
      <c r="A460" s="62"/>
      <c r="B460" s="62"/>
      <c r="C460" s="62"/>
      <c r="D460" s="66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6"/>
      <c r="AE460" s="62"/>
    </row>
    <row r="461" spans="1:31" x14ac:dyDescent="0.25">
      <c r="A461" s="62"/>
      <c r="B461" s="62"/>
      <c r="C461" s="62"/>
      <c r="D461" s="66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6"/>
      <c r="AE461" s="62"/>
    </row>
    <row r="462" spans="1:31" x14ac:dyDescent="0.25">
      <c r="A462" s="62"/>
      <c r="B462" s="62"/>
      <c r="C462" s="62"/>
      <c r="D462" s="66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6"/>
      <c r="AE462" s="62"/>
    </row>
    <row r="463" spans="1:31" x14ac:dyDescent="0.25">
      <c r="A463" s="62"/>
      <c r="B463" s="62"/>
      <c r="C463" s="62"/>
      <c r="D463" s="66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6"/>
      <c r="AE463" s="62"/>
    </row>
    <row r="464" spans="1:31" x14ac:dyDescent="0.25">
      <c r="A464" s="62"/>
      <c r="B464" s="62"/>
      <c r="C464" s="62"/>
      <c r="D464" s="66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6"/>
      <c r="AE464" s="62"/>
    </row>
    <row r="465" spans="1:31" x14ac:dyDescent="0.25">
      <c r="A465" s="62"/>
      <c r="B465" s="62"/>
      <c r="C465" s="62"/>
      <c r="D465" s="66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6"/>
      <c r="AE465" s="62"/>
    </row>
    <row r="466" spans="1:31" x14ac:dyDescent="0.25">
      <c r="A466" s="62"/>
      <c r="B466" s="62"/>
      <c r="C466" s="62"/>
      <c r="D466" s="66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6"/>
      <c r="AE466" s="62"/>
    </row>
    <row r="467" spans="1:31" x14ac:dyDescent="0.25">
      <c r="A467" s="62"/>
      <c r="B467" s="62"/>
      <c r="C467" s="62"/>
      <c r="D467" s="66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6"/>
      <c r="AE467" s="62"/>
    </row>
    <row r="468" spans="1:31" x14ac:dyDescent="0.25">
      <c r="A468" s="62"/>
      <c r="B468" s="62"/>
      <c r="C468" s="62"/>
      <c r="D468" s="66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6"/>
      <c r="AE468" s="62"/>
    </row>
    <row r="469" spans="1:31" x14ac:dyDescent="0.25">
      <c r="A469" s="62"/>
      <c r="B469" s="62"/>
      <c r="C469" s="62"/>
      <c r="D469" s="66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6"/>
      <c r="AE469" s="62"/>
    </row>
    <row r="470" spans="1:31" x14ac:dyDescent="0.25">
      <c r="A470" s="62"/>
      <c r="B470" s="62"/>
      <c r="C470" s="62"/>
      <c r="D470" s="66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6"/>
      <c r="AE470" s="62"/>
    </row>
    <row r="471" spans="1:31" x14ac:dyDescent="0.25">
      <c r="A471" s="62"/>
      <c r="B471" s="62"/>
      <c r="C471" s="62"/>
      <c r="D471" s="66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6"/>
      <c r="AE471" s="62"/>
    </row>
    <row r="472" spans="1:31" x14ac:dyDescent="0.25">
      <c r="A472" s="62"/>
      <c r="B472" s="62"/>
      <c r="C472" s="62"/>
      <c r="D472" s="66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6"/>
      <c r="AE472" s="62"/>
    </row>
    <row r="473" spans="1:31" x14ac:dyDescent="0.25">
      <c r="A473" s="62"/>
      <c r="B473" s="62"/>
      <c r="C473" s="62"/>
      <c r="D473" s="66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6"/>
      <c r="AE473" s="62"/>
    </row>
    <row r="474" spans="1:31" x14ac:dyDescent="0.25">
      <c r="A474" s="62"/>
      <c r="B474" s="62"/>
      <c r="C474" s="62"/>
      <c r="D474" s="66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6"/>
      <c r="AE474" s="62"/>
    </row>
    <row r="475" spans="1:31" x14ac:dyDescent="0.25">
      <c r="A475" s="62"/>
      <c r="B475" s="62"/>
      <c r="C475" s="62"/>
      <c r="D475" s="66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6"/>
      <c r="AE475" s="62"/>
    </row>
    <row r="476" spans="1:31" x14ac:dyDescent="0.25">
      <c r="A476" s="62"/>
      <c r="B476" s="62"/>
      <c r="C476" s="62"/>
      <c r="D476" s="66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6"/>
      <c r="AE476" s="62"/>
    </row>
    <row r="477" spans="1:31" x14ac:dyDescent="0.25">
      <c r="A477" s="62"/>
      <c r="B477" s="62"/>
      <c r="C477" s="62"/>
      <c r="D477" s="66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6"/>
      <c r="AE477" s="62"/>
    </row>
    <row r="478" spans="1:31" x14ac:dyDescent="0.25">
      <c r="A478" s="62"/>
      <c r="B478" s="62"/>
      <c r="C478" s="62"/>
      <c r="D478" s="66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6"/>
      <c r="AE478" s="62"/>
    </row>
    <row r="479" spans="1:31" x14ac:dyDescent="0.25">
      <c r="A479" s="62"/>
      <c r="B479" s="62"/>
      <c r="C479" s="62"/>
      <c r="D479" s="66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6"/>
      <c r="AE479" s="62"/>
    </row>
    <row r="480" spans="1:31" x14ac:dyDescent="0.25">
      <c r="A480" s="62"/>
      <c r="B480" s="62"/>
      <c r="C480" s="62"/>
      <c r="D480" s="66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6"/>
      <c r="AE480" s="62"/>
    </row>
    <row r="481" spans="1:31" x14ac:dyDescent="0.25">
      <c r="A481" s="62"/>
      <c r="B481" s="62"/>
      <c r="C481" s="62"/>
      <c r="D481" s="66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6"/>
      <c r="AE481" s="62"/>
    </row>
    <row r="482" spans="1:31" x14ac:dyDescent="0.25">
      <c r="A482" s="62"/>
      <c r="B482" s="62"/>
      <c r="C482" s="62"/>
      <c r="D482" s="66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6"/>
      <c r="AE482" s="62"/>
    </row>
    <row r="483" spans="1:31" x14ac:dyDescent="0.25">
      <c r="A483" s="62"/>
      <c r="B483" s="62"/>
      <c r="C483" s="62"/>
      <c r="D483" s="66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6"/>
      <c r="AE483" s="62"/>
    </row>
    <row r="484" spans="1:31" x14ac:dyDescent="0.25">
      <c r="A484" s="62"/>
      <c r="B484" s="62"/>
      <c r="C484" s="62"/>
      <c r="D484" s="66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6"/>
      <c r="AE484" s="62"/>
    </row>
    <row r="485" spans="1:31" x14ac:dyDescent="0.25">
      <c r="A485" s="62"/>
      <c r="B485" s="62"/>
      <c r="C485" s="62"/>
      <c r="D485" s="66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6"/>
      <c r="AE485" s="62"/>
    </row>
    <row r="486" spans="1:31" x14ac:dyDescent="0.25">
      <c r="A486" s="62"/>
      <c r="B486" s="62"/>
      <c r="C486" s="62"/>
      <c r="D486" s="66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6"/>
      <c r="AE486" s="62"/>
    </row>
    <row r="487" spans="1:31" x14ac:dyDescent="0.25">
      <c r="A487" s="62"/>
      <c r="B487" s="62"/>
      <c r="C487" s="62"/>
      <c r="D487" s="66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6"/>
      <c r="AE487" s="62"/>
    </row>
    <row r="488" spans="1:31" x14ac:dyDescent="0.25">
      <c r="A488" s="62"/>
      <c r="B488" s="62"/>
      <c r="C488" s="62"/>
      <c r="D488" s="66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6"/>
      <c r="AE488" s="62"/>
    </row>
    <row r="489" spans="1:31" x14ac:dyDescent="0.25">
      <c r="A489" s="62"/>
      <c r="B489" s="62"/>
      <c r="C489" s="62"/>
      <c r="D489" s="66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6"/>
      <c r="AE489" s="62"/>
    </row>
    <row r="490" spans="1:31" x14ac:dyDescent="0.25">
      <c r="A490" s="62"/>
      <c r="B490" s="62"/>
      <c r="C490" s="62"/>
      <c r="D490" s="66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6"/>
      <c r="AE490" s="62"/>
    </row>
    <row r="491" spans="1:31" x14ac:dyDescent="0.25">
      <c r="A491" s="62"/>
      <c r="B491" s="62"/>
      <c r="C491" s="62"/>
      <c r="D491" s="66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6"/>
      <c r="AE491" s="62"/>
    </row>
    <row r="492" spans="1:31" x14ac:dyDescent="0.25">
      <c r="A492" s="62"/>
      <c r="B492" s="62"/>
      <c r="C492" s="62"/>
      <c r="D492" s="66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6"/>
      <c r="AE492" s="62"/>
    </row>
    <row r="493" spans="1:31" x14ac:dyDescent="0.25">
      <c r="A493" s="62"/>
      <c r="B493" s="62"/>
      <c r="C493" s="62"/>
      <c r="D493" s="66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6"/>
      <c r="AE493" s="62"/>
    </row>
    <row r="494" spans="1:31" x14ac:dyDescent="0.25">
      <c r="A494" s="62"/>
      <c r="B494" s="62"/>
      <c r="C494" s="62"/>
      <c r="D494" s="66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6"/>
      <c r="AE494" s="62"/>
    </row>
    <row r="495" spans="1:31" x14ac:dyDescent="0.25">
      <c r="A495" s="62"/>
      <c r="B495" s="62"/>
      <c r="C495" s="62"/>
      <c r="D495" s="66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6"/>
      <c r="AE495" s="62"/>
    </row>
    <row r="496" spans="1:31" x14ac:dyDescent="0.25">
      <c r="A496" s="62"/>
      <c r="B496" s="62"/>
      <c r="C496" s="62"/>
      <c r="D496" s="66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6"/>
      <c r="AE496" s="62"/>
    </row>
    <row r="497" spans="1:31" x14ac:dyDescent="0.25">
      <c r="A497" s="62"/>
      <c r="B497" s="62"/>
      <c r="C497" s="62"/>
      <c r="D497" s="66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6"/>
      <c r="AE497" s="62"/>
    </row>
    <row r="498" spans="1:31" x14ac:dyDescent="0.25">
      <c r="A498" s="62"/>
      <c r="B498" s="62"/>
      <c r="C498" s="62"/>
      <c r="D498" s="66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6"/>
      <c r="AE498" s="62"/>
    </row>
    <row r="499" spans="1:31" x14ac:dyDescent="0.25">
      <c r="A499" s="62"/>
      <c r="B499" s="62"/>
      <c r="C499" s="62"/>
      <c r="D499" s="66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6"/>
      <c r="AE499" s="62"/>
    </row>
    <row r="500" spans="1:31" x14ac:dyDescent="0.25">
      <c r="A500" s="62"/>
      <c r="B500" s="62"/>
      <c r="C500" s="62"/>
      <c r="D500" s="66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6"/>
      <c r="AE500" s="62"/>
    </row>
  </sheetData>
  <sheetProtection sheet="1" formatColumns="0" formatRows="0" sort="0" autoFilter="0"/>
  <conditionalFormatting sqref="A74:AA500 A2:AE73">
    <cfRule type="expression" dxfId="44" priority="17">
      <formula>AND($B2&lt;&gt;"",MOD(ROW(),2)=0)</formula>
    </cfRule>
  </conditionalFormatting>
  <conditionalFormatting sqref="D2:D500">
    <cfRule type="expression" dxfId="43" priority="1">
      <formula>ISNUMBER(SEARCH("Blocked",$D2))</formula>
    </cfRule>
    <cfRule type="expression" dxfId="42" priority="2">
      <formula>ISNUMBER(SEARCH("overdue",$D2))</formula>
    </cfRule>
    <cfRule type="expression" dxfId="41" priority="3">
      <formula>ISNUMBER(SEARCH("no target",$D2))</formula>
    </cfRule>
    <cfRule type="expression" dxfId="40" priority="4">
      <formula>ISNUMBER(SEARCH("Review",$D2))</formula>
    </cfRule>
    <cfRule type="expression" dxfId="39" priority="5">
      <formula>OR($D2="On track",$D2="Delivered")</formula>
    </cfRule>
  </conditionalFormatting>
  <conditionalFormatting sqref="M74:N500">
    <cfRule type="expression" dxfId="38" priority="10">
      <formula>$Y74="Yes – needs DB Dev to fix"</formula>
    </cfRule>
  </conditionalFormatting>
  <conditionalFormatting sqref="M2:O73">
    <cfRule type="expression" dxfId="37" priority="49">
      <formula>$AC2="Yes – needs DB Dev to fix"</formula>
    </cfRule>
  </conditionalFormatting>
  <conditionalFormatting sqref="O74:P500">
    <cfRule type="expression" dxfId="36" priority="11">
      <formula>$Y74="Yes – needs PBI Dev to fix"</formula>
    </cfRule>
  </conditionalFormatting>
  <conditionalFormatting sqref="P2:R73">
    <cfRule type="expression" dxfId="35" priority="52">
      <formula>$AC2="Yes – needs PBI Dev to fix"</formula>
    </cfRule>
  </conditionalFormatting>
  <conditionalFormatting sqref="Q74:R500">
    <cfRule type="expression" dxfId="34" priority="12">
      <formula>$Y74="Yes – needs QA to fix"</formula>
    </cfRule>
  </conditionalFormatting>
  <conditionalFormatting sqref="S74:T500">
    <cfRule type="expression" dxfId="33" priority="13">
      <formula>$Y74="Yes – needs DPO Approval to fix"</formula>
    </cfRule>
  </conditionalFormatting>
  <conditionalFormatting sqref="S2:U73">
    <cfRule type="expression" dxfId="32" priority="55">
      <formula>$AC2="Yes – needs QA to fix"</formula>
    </cfRule>
  </conditionalFormatting>
  <conditionalFormatting sqref="U74:U500">
    <cfRule type="expression" dxfId="31" priority="9">
      <formula>$U74="Yes"</formula>
    </cfRule>
  </conditionalFormatting>
  <conditionalFormatting sqref="V2:X73">
    <cfRule type="expression" dxfId="30" priority="58">
      <formula>$AC2="Yes – needs DPO Approval to fix"</formula>
    </cfRule>
  </conditionalFormatting>
  <conditionalFormatting sqref="Y2:Y73">
    <cfRule type="expression" dxfId="29" priority="30">
      <formula>$Y2="Yes"</formula>
    </cfRule>
  </conditionalFormatting>
  <conditionalFormatting sqref="Y74:Y500">
    <cfRule type="expression" dxfId="28" priority="6">
      <formula>LEFT($Y74,3)="Yes"</formula>
    </cfRule>
  </conditionalFormatting>
  <conditionalFormatting sqref="Z74:Z500">
    <cfRule type="expression" dxfId="27" priority="14">
      <formula>ISNUMBER(SEARCH("log it",$Z74))</formula>
    </cfRule>
    <cfRule type="expression" dxfId="26" priority="14">
      <formula>ISNUMBER(SEARCH("Open rework",$Z74))</formula>
    </cfRule>
    <cfRule type="expression" dxfId="25" priority="14">
      <formula>ISNUMBER(SEARCH("Move old",$Z74))</formula>
    </cfRule>
    <cfRule type="expression" dxfId="24" priority="15">
      <formula>ISNUMBER(SEARCH("Duplicate",$Z74))</formula>
    </cfRule>
    <cfRule type="expression" dxfId="23" priority="16">
      <formula>$Z74&lt;&gt;""</formula>
    </cfRule>
  </conditionalFormatting>
  <conditionalFormatting sqref="AC2:AC73">
    <cfRule type="expression" dxfId="22" priority="32">
      <formula>LEFT($AC2,3)="Yes"</formula>
    </cfRule>
  </conditionalFormatting>
  <conditionalFormatting sqref="AD2:AD500">
    <cfRule type="expression" dxfId="21" priority="24">
      <formula>ISNUMBER(SEARCH("log it",$AD2))</formula>
    </cfRule>
    <cfRule type="expression" dxfId="20" priority="25">
      <formula>ISNUMBER(SEARCH("Open rework",$AD2))</formula>
    </cfRule>
    <cfRule type="expression" dxfId="19" priority="26">
      <formula>ISNUMBER(SEARCH("Last fix rejected",$AD2))</formula>
    </cfRule>
    <cfRule type="expression" dxfId="18" priority="27">
      <formula>ISNUMBER(SEARCH("Move old",$AD2))</formula>
    </cfRule>
    <cfRule type="expression" dxfId="17" priority="28">
      <formula>ISNUMBER(SEARCH("Set Current Status",$AD2))</formula>
    </cfRule>
    <cfRule type="expression" dxfId="16" priority="29">
      <formula>ISNUMBER(SEARCH("Duplicate",$AD2))</formula>
    </cfRule>
    <cfRule type="expression" dxfId="15" priority="59">
      <formula>$AD2&lt;&gt;""</formula>
    </cfRule>
  </conditionalFormatting>
  <dataValidations count="1">
    <dataValidation type="date" operator="greaterThanOrEqual" allowBlank="1" showErrorMessage="1" errorTitle="Real date only" error="This column only accepts real dates." sqref="K2:K500 M2:W500 Z2:Z500" xr:uid="{00000000-0002-0000-0100-000000000000}">
      <formula1>DATE(2020,1,1)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promptTitle="Domain" prompt="Pick from the list, or type a new domain." xr:uid="{00000000-0002-0000-0100-000001000000}">
          <x14:formula1>
            <xm:f>'Data Validation'!$A$3:$A$7</xm:f>
          </x14:formula1>
          <xm:sqref>A2:A500</xm:sqref>
        </x14:dataValidation>
        <x14:dataValidation type="list" allowBlank="1" showInputMessage="1" promptTitle="Current Status" prompt="Where is this report right now?" xr:uid="{00000000-0002-0000-0100-000002000000}">
          <x14:formula1>
            <xm:f>'Data Validation'!$F$3:$F$8</xm:f>
          </x14:formula1>
          <xm:sqref>C2:C500</xm:sqref>
        </x14:dataValidation>
        <x14:dataValidation type="list" allowBlank="1" showInputMessage="1" promptTitle="PO" prompt="Pick from the list, or type a new PO name." xr:uid="{00000000-0002-0000-0100-000003000000}">
          <x14:formula1>
            <xm:f>'Data Validation'!$D$3:$D$4</xm:f>
          </x14:formula1>
          <xm:sqref>F2:F500</xm:sqref>
        </x14:dataValidation>
        <x14:dataValidation type="list" allowBlank="1" showInputMessage="1" promptTitle="DB Developer" prompt="Pick from the list, or type a new name." xr:uid="{00000000-0002-0000-0100-000004000000}">
          <x14:formula1>
            <xm:f>'Data Validation'!$B$3:$B$10</xm:f>
          </x14:formula1>
          <xm:sqref>G2:G500</xm:sqref>
        </x14:dataValidation>
        <x14:dataValidation type="list" allowBlank="1" showInputMessage="1" promptTitle="PBI Developer" prompt="Pick from the list, or type a new name." xr:uid="{00000000-0002-0000-0100-000005000000}">
          <x14:formula1>
            <xm:f>'Data Validation'!$C$3:$C$5</xm:f>
          </x14:formula1>
          <xm:sqref>H2:H500</xm:sqref>
        </x14:dataValidation>
        <x14:dataValidation type="list" allowBlank="1" showInputMessage="1" promptTitle="QA Tester" prompt="Pick from the list, or type a new name." xr:uid="{00000000-0002-0000-0100-000006000000}">
          <x14:formula1>
            <xm:f>'Data Validation'!$H$3:$H$6</xm:f>
          </x14:formula1>
          <xm:sqref>I2:I500</xm:sqref>
        </x14:dataValidation>
        <x14:dataValidation type="list" allowBlank="1" showInputMessage="1" showErrorMessage="1" promptTitle="Confirmed Deployed?" prompt="Confirmed live in production? Yes/No." xr:uid="{00000000-0002-0000-0100-000007000000}">
          <x14:formula1>
            <xm:f>'Data Validation'!$E$3:$E$4</xm:f>
          </x14:formula1>
          <xm:sqref>Y2:Y500</xm:sqref>
        </x14:dataValidation>
        <x14:dataValidation type="list" allowBlank="1" showInputMessage="1" showErrorMessage="1" promptTitle="Blocked?" prompt="Is this report blocked, and if so, does a previous stage need to fix something? Pick from the list. Log details on Rework Log." xr:uid="{00000000-0002-0000-0100-000008000000}">
          <x14:formula1>
            <xm:f>'Data Validation'!$I$3:$I$8</xm:f>
          </x14:formula1>
          <xm:sqref>AC2:AC500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D6608"/>
  </sheetPr>
  <dimension ref="A1:E31"/>
  <sheetViews>
    <sheetView showGridLines="0" workbookViewId="0"/>
  </sheetViews>
  <sheetFormatPr defaultRowHeight="15" x14ac:dyDescent="0.25"/>
  <cols>
    <col min="1" max="1" width="24" customWidth="1"/>
    <col min="2" max="5" width="16" customWidth="1"/>
  </cols>
  <sheetData>
    <row r="1" spans="1:5" ht="21" customHeight="1" x14ac:dyDescent="0.35">
      <c r="A1" s="7" t="s">
        <v>234</v>
      </c>
    </row>
    <row r="2" spans="1:5" x14ac:dyDescent="0.25">
      <c r="A2" s="6" t="s">
        <v>235</v>
      </c>
    </row>
    <row r="4" spans="1:5" ht="21.95" customHeight="1" x14ac:dyDescent="0.25">
      <c r="A4" s="5" t="s">
        <v>236</v>
      </c>
      <c r="B4" s="75"/>
      <c r="C4" s="69"/>
      <c r="D4" s="69"/>
      <c r="E4" s="69"/>
    </row>
    <row r="6" spans="1:5" x14ac:dyDescent="0.25">
      <c r="A6" s="34" t="s">
        <v>46</v>
      </c>
      <c r="B6" s="71" t="str">
        <f>IF($B$4="","",IFERROR(INDEX('Combined Delivery Data'!$A:$A,MATCH($B$4,'Combined Delivery Data'!$B:$B,0)),""))</f>
        <v/>
      </c>
      <c r="C6" s="72"/>
      <c r="D6" s="72"/>
      <c r="E6" s="73"/>
    </row>
    <row r="7" spans="1:5" x14ac:dyDescent="0.25">
      <c r="A7" s="34" t="s">
        <v>47</v>
      </c>
      <c r="B7" s="71" t="str">
        <f>IF($B$4="","",IFERROR(INDEX('Combined Delivery Data'!$C:$C,MATCH($B$4,'Combined Delivery Data'!$B:$B,0)),""))</f>
        <v/>
      </c>
      <c r="C7" s="72"/>
      <c r="D7" s="72"/>
      <c r="E7" s="73"/>
    </row>
    <row r="8" spans="1:5" x14ac:dyDescent="0.25">
      <c r="A8" s="34" t="s">
        <v>237</v>
      </c>
      <c r="B8" s="71" t="str">
        <f>IF($B$4="","",IFERROR(INDEX('Combined Delivery Data'!$D:$D,MATCH($B$4,'Combined Delivery Data'!$B:$B,0)),""))</f>
        <v/>
      </c>
      <c r="C8" s="72"/>
      <c r="D8" s="72"/>
      <c r="E8" s="73"/>
    </row>
    <row r="9" spans="1:5" x14ac:dyDescent="0.25">
      <c r="A9" s="34" t="s">
        <v>49</v>
      </c>
      <c r="B9" s="71" t="str">
        <f>IF($B$4="","",IFERROR(INDEX('Combined Delivery Data'!$E:$E,MATCH($B$4,'Combined Delivery Data'!$B:$B,0)),""))</f>
        <v/>
      </c>
      <c r="C9" s="72"/>
      <c r="D9" s="72"/>
      <c r="E9" s="73"/>
    </row>
    <row r="10" spans="1:5" x14ac:dyDescent="0.25">
      <c r="A10" s="34" t="s">
        <v>50</v>
      </c>
      <c r="B10" s="71" t="str">
        <f>IF($B$4="","",IFERROR(INDEX('Combined Delivery Data'!$F:$F,MATCH($B$4,'Combined Delivery Data'!$B:$B,0)),""))</f>
        <v/>
      </c>
      <c r="C10" s="72"/>
      <c r="D10" s="72"/>
      <c r="E10" s="73"/>
    </row>
    <row r="11" spans="1:5" x14ac:dyDescent="0.25">
      <c r="A11" s="34" t="s">
        <v>51</v>
      </c>
      <c r="B11" s="71" t="str">
        <f>IF($B$4="","",IFERROR(INDEX('Combined Delivery Data'!$G:$G,MATCH($B$4,'Combined Delivery Data'!$B:$B,0)),""))</f>
        <v/>
      </c>
      <c r="C11" s="72"/>
      <c r="D11" s="72"/>
      <c r="E11" s="73"/>
    </row>
    <row r="12" spans="1:5" x14ac:dyDescent="0.25">
      <c r="A12" s="34" t="s">
        <v>52</v>
      </c>
      <c r="B12" s="71" t="str">
        <f>IF($B$4="","",IFERROR(INDEX('Combined Delivery Data'!$H:$H,MATCH($B$4,'Combined Delivery Data'!$B:$B,0)),""))</f>
        <v/>
      </c>
      <c r="C12" s="72"/>
      <c r="D12" s="72"/>
      <c r="E12" s="73"/>
    </row>
    <row r="13" spans="1:5" x14ac:dyDescent="0.25">
      <c r="A13" s="34" t="s">
        <v>53</v>
      </c>
      <c r="B13" s="71" t="str">
        <f>IF($B$4="","",IFERROR(INDEX('Combined Delivery Data'!$I:$I,MATCH($B$4,'Combined Delivery Data'!$B:$B,0)),""))</f>
        <v/>
      </c>
      <c r="C13" s="72"/>
      <c r="D13" s="72"/>
      <c r="E13" s="73"/>
    </row>
    <row r="14" spans="1:5" x14ac:dyDescent="0.25">
      <c r="A14" s="34" t="s">
        <v>238</v>
      </c>
      <c r="B14" s="74" t="str">
        <f>IF($B$4="","",IFERROR(INDEX('Combined Delivery Data'!$M:$M,MATCH($B$4,'Combined Delivery Data'!$B:$B,0)),""))</f>
        <v/>
      </c>
      <c r="C14" s="72"/>
      <c r="D14" s="72"/>
      <c r="E14" s="73"/>
    </row>
    <row r="15" spans="1:5" x14ac:dyDescent="0.25">
      <c r="A15" s="34" t="s">
        <v>239</v>
      </c>
      <c r="B15" s="74" t="str">
        <f>IF($B$4="","",IFERROR(INDEX('Combined Delivery Data'!$N:$N,MATCH($B$4,'Combined Delivery Data'!$B:$B,0)),""))</f>
        <v/>
      </c>
      <c r="C15" s="72"/>
      <c r="D15" s="72"/>
      <c r="E15" s="73"/>
    </row>
    <row r="16" spans="1:5" x14ac:dyDescent="0.25">
      <c r="A16" s="34" t="s">
        <v>240</v>
      </c>
      <c r="B16" s="74" t="str">
        <f>IF($B$4="","",IFERROR(INDEX('Combined Delivery Data'!$O:$O,MATCH($B$4,'Combined Delivery Data'!$B:$B,0)),""))</f>
        <v/>
      </c>
      <c r="C16" s="72"/>
      <c r="D16" s="72"/>
      <c r="E16" s="73"/>
    </row>
    <row r="17" spans="1:5" x14ac:dyDescent="0.25">
      <c r="A17" s="34" t="s">
        <v>241</v>
      </c>
      <c r="B17" s="74" t="str">
        <f>IF($B$4="","",IFERROR(INDEX('Combined Delivery Data'!$P:$P,MATCH($B$4,'Combined Delivery Data'!$B:$B,0)),""))</f>
        <v/>
      </c>
      <c r="C17" s="72"/>
      <c r="D17" s="72"/>
      <c r="E17" s="73"/>
    </row>
    <row r="18" spans="1:5" x14ac:dyDescent="0.25">
      <c r="A18" s="34" t="s">
        <v>242</v>
      </c>
      <c r="B18" s="74" t="str">
        <f>IF($B$4="","",IFERROR(INDEX('Combined Delivery Data'!$Q:$Q,MATCH($B$4,'Combined Delivery Data'!$B:$B,0)),""))</f>
        <v/>
      </c>
      <c r="C18" s="72"/>
      <c r="D18" s="72"/>
      <c r="E18" s="73"/>
    </row>
    <row r="19" spans="1:5" x14ac:dyDescent="0.25">
      <c r="A19" s="34" t="s">
        <v>243</v>
      </c>
      <c r="B19" s="74" t="str">
        <f>IF($B$4="","",IFERROR(INDEX('Combined Delivery Data'!$R:$R,MATCH($B$4,'Combined Delivery Data'!$B:$B,0)),""))</f>
        <v/>
      </c>
      <c r="C19" s="72"/>
      <c r="D19" s="72"/>
      <c r="E19" s="73"/>
    </row>
    <row r="20" spans="1:5" x14ac:dyDescent="0.25">
      <c r="A20" s="34" t="s">
        <v>244</v>
      </c>
      <c r="B20" s="74" t="str">
        <f>IF($B$4="","",IFERROR(INDEX('Combined Delivery Data'!$S:$S,MATCH($B$4,'Combined Delivery Data'!$B:$B,0)),""))</f>
        <v/>
      </c>
      <c r="C20" s="72"/>
      <c r="D20" s="72"/>
      <c r="E20" s="73"/>
    </row>
    <row r="21" spans="1:5" x14ac:dyDescent="0.25">
      <c r="A21" s="34" t="s">
        <v>68</v>
      </c>
      <c r="B21" s="71" t="str">
        <f>IF($B$4="","",IFERROR(INDEX('Combined Delivery Data'!$T:$T,MATCH($B$4,'Combined Delivery Data'!$B:$B,0)),""))</f>
        <v/>
      </c>
      <c r="C21" s="72"/>
      <c r="D21" s="72"/>
      <c r="E21" s="73"/>
    </row>
    <row r="22" spans="1:5" x14ac:dyDescent="0.25">
      <c r="A22" s="34" t="s">
        <v>69</v>
      </c>
      <c r="B22" s="71" t="str">
        <f>IF($B$4="","",IFERROR(INDEX('Combined Delivery Data'!$U:$U,MATCH($B$4,'Combined Delivery Data'!$B:$B,0)),""))</f>
        <v/>
      </c>
      <c r="C22" s="72"/>
      <c r="D22" s="72"/>
      <c r="E22" s="73"/>
    </row>
    <row r="23" spans="1:5" x14ac:dyDescent="0.25">
      <c r="A23" s="34" t="s">
        <v>70</v>
      </c>
      <c r="B23" s="74" t="str">
        <f>IF($B$4="","",IFERROR(INDEX('Combined Delivery Data'!$V:$V,MATCH($B$4,'Combined Delivery Data'!$B:$B,0)),""))</f>
        <v/>
      </c>
      <c r="C23" s="72"/>
      <c r="D23" s="72"/>
      <c r="E23" s="73"/>
    </row>
    <row r="24" spans="1:5" x14ac:dyDescent="0.25">
      <c r="A24" s="34" t="s">
        <v>73</v>
      </c>
      <c r="B24" s="71" t="str">
        <f>IF($B$4="","",IFERROR(INDEX('Combined Delivery Data'!$Y:$Y,MATCH($B$4,'Combined Delivery Data'!$B:$B,0)),""))</f>
        <v/>
      </c>
      <c r="C24" s="72"/>
      <c r="D24" s="72"/>
      <c r="E24" s="73"/>
    </row>
    <row r="25" spans="1:5" x14ac:dyDescent="0.25">
      <c r="A25" s="34" t="s">
        <v>245</v>
      </c>
      <c r="B25" s="71" t="str">
        <f>IF($B$4="","",IFERROR(INDEX('Combined Delivery Data'!$Z:$Z,MATCH($B$4,'Combined Delivery Data'!$B:$B,0)),""))</f>
        <v/>
      </c>
      <c r="C25" s="72"/>
      <c r="D25" s="72"/>
      <c r="E25" s="73"/>
    </row>
    <row r="26" spans="1:5" x14ac:dyDescent="0.25">
      <c r="A26" s="34" t="s">
        <v>15</v>
      </c>
      <c r="B26" s="71" t="str">
        <f>IF($B$4="","",IFERROR(INDEX('Rework Log'!$P:$P,MATCH($B$4,'Rework Log'!$O:$O,0)),""))</f>
        <v/>
      </c>
      <c r="C26" s="72"/>
      <c r="D26" s="72"/>
      <c r="E26" s="73"/>
    </row>
    <row r="27" spans="1:5" x14ac:dyDescent="0.25">
      <c r="A27" s="34" t="s">
        <v>16</v>
      </c>
      <c r="B27" s="71" t="str">
        <f>IF($B$4="","",IFERROR(INDEX('Rework Log'!$Q:$Q,MATCH($B$4,'Rework Log'!$O:$O,0)),""))</f>
        <v/>
      </c>
      <c r="C27" s="72"/>
      <c r="D27" s="72"/>
      <c r="E27" s="73"/>
    </row>
    <row r="28" spans="1:5" x14ac:dyDescent="0.25">
      <c r="A28" s="34" t="s">
        <v>17</v>
      </c>
      <c r="B28" s="71" t="str">
        <f>IF($B$4="","",IFERROR(INDEX('Rework Log'!$R:$R,MATCH($B$4,'Rework Log'!$O:$O,0)),""))</f>
        <v/>
      </c>
      <c r="C28" s="72"/>
      <c r="D28" s="72"/>
      <c r="E28" s="73"/>
    </row>
    <row r="29" spans="1:5" x14ac:dyDescent="0.25">
      <c r="A29" s="34" t="s">
        <v>18</v>
      </c>
      <c r="B29" s="71" t="str">
        <f>IF($B$4="","",IFERROR(INDEX('Rework Log'!$S:$S,MATCH($B$4,'Rework Log'!$O:$O,0)),""))</f>
        <v/>
      </c>
      <c r="C29" s="72"/>
      <c r="D29" s="72"/>
      <c r="E29" s="73"/>
    </row>
    <row r="30" spans="1:5" ht="15.6" customHeight="1" x14ac:dyDescent="0.25">
      <c r="A30" s="34"/>
      <c r="B30" s="71"/>
      <c r="C30" s="72"/>
      <c r="D30" s="72"/>
      <c r="E30" s="73"/>
    </row>
    <row r="31" spans="1:5" ht="15.6" customHeight="1" x14ac:dyDescent="0.25">
      <c r="A31" s="35" t="s">
        <v>75</v>
      </c>
      <c r="B31" s="76" t="str">
        <f>IF($B$4="","",IFERROR(INDEX('Combined Delivery Data'!$AA:$AA,MATCH($B$4,'Combined Delivery Data'!$B:$B,0)),""))</f>
        <v/>
      </c>
      <c r="C31" s="69"/>
      <c r="D31" s="69"/>
      <c r="E31" s="69"/>
    </row>
  </sheetData>
  <sheetProtection sheet="1"/>
  <mergeCells count="27">
    <mergeCell ref="B31:E31"/>
    <mergeCell ref="B18:E18"/>
    <mergeCell ref="B27:E27"/>
    <mergeCell ref="B12:E12"/>
    <mergeCell ref="B21:E21"/>
    <mergeCell ref="B14:E14"/>
    <mergeCell ref="B17:E17"/>
    <mergeCell ref="B23:E23"/>
    <mergeCell ref="B13:E13"/>
    <mergeCell ref="B29:E29"/>
    <mergeCell ref="B19:E19"/>
    <mergeCell ref="B28:E28"/>
    <mergeCell ref="B4:E4"/>
    <mergeCell ref="B16:E16"/>
    <mergeCell ref="B7:E7"/>
    <mergeCell ref="B25:E25"/>
    <mergeCell ref="B22:E22"/>
    <mergeCell ref="B11:E11"/>
    <mergeCell ref="B8:E8"/>
    <mergeCell ref="B10:E10"/>
    <mergeCell ref="B9:E9"/>
    <mergeCell ref="B6:E6"/>
    <mergeCell ref="B30:E30"/>
    <mergeCell ref="B15:E15"/>
    <mergeCell ref="B24:E24"/>
    <mergeCell ref="B20:E20"/>
    <mergeCell ref="B26:E26"/>
  </mergeCells>
  <pageMargins left="0.75" right="0.75" top="1" bottom="1" header="0.5" footer="0.5"/>
  <headerFooter>
    <oddFooter>&amp;L&amp;"Aptos"&amp;10 &amp;K000000_x000D_# This content is for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3226"/>
  </sheetPr>
  <dimension ref="A1:S500"/>
  <sheetViews>
    <sheetView workbookViewId="0">
      <pane ySplit="2" topLeftCell="A3" activePane="bottomLeft" state="frozen"/>
      <selection pane="bottomLeft" activeCell="I8" sqref="I8"/>
    </sheetView>
  </sheetViews>
  <sheetFormatPr defaultRowHeight="15" x14ac:dyDescent="0.25"/>
  <cols>
    <col min="1" max="1" width="34" customWidth="1"/>
    <col min="2" max="2" width="14" customWidth="1"/>
    <col min="3" max="4" width="11" customWidth="1"/>
    <col min="5" max="5" width="13" customWidth="1"/>
    <col min="6" max="6" width="36" customWidth="1"/>
    <col min="7" max="7" width="16" customWidth="1"/>
    <col min="8" max="8" width="17" customWidth="1"/>
    <col min="9" max="9" width="14" customWidth="1"/>
    <col min="10" max="11" width="12" customWidth="1"/>
    <col min="12" max="12" width="36" customWidth="1"/>
    <col min="13" max="13" width="18" customWidth="1"/>
    <col min="15" max="15" width="34" customWidth="1"/>
    <col min="16" max="17" width="12" customWidth="1"/>
    <col min="18" max="18" width="14" customWidth="1"/>
    <col min="19" max="19" width="16" customWidth="1"/>
  </cols>
  <sheetData>
    <row r="1" spans="1:19" ht="75.95" customHeight="1" x14ac:dyDescent="0.25">
      <c r="A1" s="68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O1" s="70" t="s">
        <v>1</v>
      </c>
      <c r="P1" s="69"/>
      <c r="Q1" s="69"/>
      <c r="R1" s="69"/>
      <c r="S1" s="69"/>
    </row>
    <row r="2" spans="1:19" ht="30" customHeight="1" x14ac:dyDescent="0.25">
      <c r="A2" s="18" t="s">
        <v>2</v>
      </c>
      <c r="B2" s="18" t="s">
        <v>3</v>
      </c>
      <c r="C2" s="18" t="s">
        <v>4</v>
      </c>
      <c r="D2" s="18" t="s">
        <v>5</v>
      </c>
      <c r="E2" s="18" t="s">
        <v>6</v>
      </c>
      <c r="F2" s="18" t="s">
        <v>7</v>
      </c>
      <c r="G2" s="18" t="s">
        <v>8</v>
      </c>
      <c r="H2" s="49" t="s">
        <v>9</v>
      </c>
      <c r="I2" s="49" t="s">
        <v>10</v>
      </c>
      <c r="J2" s="49" t="s">
        <v>11</v>
      </c>
      <c r="K2" s="49" t="s">
        <v>12</v>
      </c>
      <c r="L2" s="49" t="s">
        <v>13</v>
      </c>
      <c r="M2" s="22" t="s">
        <v>14</v>
      </c>
      <c r="O2" s="22" t="s">
        <v>2</v>
      </c>
      <c r="P2" s="22" t="s">
        <v>15</v>
      </c>
      <c r="Q2" s="22" t="s">
        <v>16</v>
      </c>
      <c r="R2" s="22" t="s">
        <v>17</v>
      </c>
      <c r="S2" s="22" t="s">
        <v>18</v>
      </c>
    </row>
    <row r="3" spans="1:19" x14ac:dyDescent="0.25">
      <c r="A3" s="50" t="s">
        <v>19</v>
      </c>
      <c r="B3" s="54">
        <v>46228</v>
      </c>
      <c r="C3" s="50" t="s">
        <v>20</v>
      </c>
      <c r="D3" s="50" t="s">
        <v>21</v>
      </c>
      <c r="E3" s="50" t="s">
        <v>22</v>
      </c>
      <c r="F3" s="50" t="s">
        <v>23</v>
      </c>
      <c r="G3" s="50" t="s">
        <v>24</v>
      </c>
      <c r="H3" s="54"/>
      <c r="I3" s="54">
        <v>46228</v>
      </c>
      <c r="J3" s="54">
        <v>46231</v>
      </c>
      <c r="K3" s="50" t="s">
        <v>25</v>
      </c>
      <c r="L3" s="50"/>
      <c r="M3" s="64" t="str">
        <f ca="1">IF($A3="","",IF($G3="Did not pass re-test","Sent back again",IF($G3="Yes",IF(AND(ISNUMBER($J3),ISNUMBER($B3)),"Fixed in "&amp;($J3-$B3)&amp;" d","Accepted"),IF(SUMPRODUCT(--(TRIM('Combined Delivery Data'!$B$2:$B$500)=TRIM($A3)))=0,"Not on main tab - renamed?",IF(NOT(ISNUMBER($B3)),"Missing or invalid sent-back date",IF($B3&gt;TODAY(),"Sent-back date is in future",IF(ISNUMBER($J3),IF($J3&lt;$B3,"Check dates - fixed before sent","Fixed in "&amp;($J3-$B3)&amp;" d"),IF(AND($I3&lt;&gt;"",NOT(ISNUMBER($I3))),"Check Expected Fix Date",IF($I3="","UNCLAIMED "&amp;(TODAY()-$B3)&amp;" d",IF(TODAY()&gt;$I3,(TODAY()-$I3)&amp;" d LATE","Open "&amp;(TODAY()-$B3)&amp;" d"))))))))))</f>
        <v>Sent back again</v>
      </c>
      <c r="O3" s="66" t="str">
        <f>'Combined Delivery Data'!B2</f>
        <v>RPT_04_Active Leaks</v>
      </c>
      <c r="P3" s="66">
        <f t="shared" ref="P3:P66" si="0">IF($O3="","",SUMPRODUCT(--(TRIM($A$3:$A$500)=TRIM($O3))))</f>
        <v>0</v>
      </c>
      <c r="Q3" s="66">
        <f t="shared" ref="Q3:Q66" si="1">IF($O3="","",SUMPRODUCT((TRIM($A$3:$A$500)=TRIM($O3))*($G$3:$G$500&lt;&gt;"Yes")*($G$3:$G$500&lt;&gt;"Did not pass re-test")))</f>
        <v>0</v>
      </c>
      <c r="R3" s="67" t="str">
        <f t="shared" ref="R3:R66" si="2">IF($O3="","",IF(SUMPRODUCT(MAX((TRIM($A$3:$A$500)=TRIM($O3))*ROW($A$3:$A$500)))=0,"",INDEX($B:$B,SUMPRODUCT(MAX((TRIM($A$3:$A$500)=TRIM($O3))*ROW($A$3:$A$500))))))</f>
        <v/>
      </c>
      <c r="S3" s="66" t="str">
        <f t="shared" ref="S3:S66" si="3">IF($O3="","",IF(SUMPRODUCT(MAX((TRIM($A$3:$A$500)=TRIM($O3))*ROW($A$3:$A$500)))=0,"",INDEX($C:$C,SUMPRODUCT(MAX((TRIM($A$3:$A$500)=TRIM($O3))*ROW($A$3:$A$500))))&amp;" -&gt; "&amp;INDEX($D:$D,SUMPRODUCT(MAX((TRIM($A$3:$A$500)=TRIM($O3))*ROW($A$3:$A$500))))))</f>
        <v/>
      </c>
    </row>
    <row r="4" spans="1:19" x14ac:dyDescent="0.25">
      <c r="A4" s="50"/>
      <c r="B4" s="54"/>
      <c r="C4" s="50"/>
      <c r="D4" s="50"/>
      <c r="E4" s="50"/>
      <c r="F4" s="50"/>
      <c r="G4" s="50"/>
      <c r="H4" s="63"/>
      <c r="I4" s="63"/>
      <c r="J4" s="63"/>
      <c r="K4" s="62"/>
      <c r="L4" s="62"/>
      <c r="M4" s="64"/>
      <c r="O4" s="66" t="str">
        <f>'Combined Delivery Data'!B3</f>
        <v>RPT_04_Count of Active Leaks On Hand</v>
      </c>
      <c r="P4" s="66">
        <f t="shared" si="0"/>
        <v>0</v>
      </c>
      <c r="Q4" s="66">
        <f t="shared" si="1"/>
        <v>0</v>
      </c>
      <c r="R4" s="67" t="str">
        <f t="shared" si="2"/>
        <v/>
      </c>
      <c r="S4" s="66" t="str">
        <f t="shared" si="3"/>
        <v/>
      </c>
    </row>
    <row r="5" spans="1:19" x14ac:dyDescent="0.25">
      <c r="A5" s="62"/>
      <c r="B5" s="63"/>
      <c r="C5" s="62" t="s">
        <v>20</v>
      </c>
      <c r="D5" s="62"/>
      <c r="E5" s="62"/>
      <c r="F5" s="62"/>
      <c r="G5" s="62" t="s">
        <v>24</v>
      </c>
      <c r="H5" s="63"/>
      <c r="I5" s="63"/>
      <c r="J5" s="63"/>
      <c r="K5" s="62"/>
      <c r="L5" s="62"/>
      <c r="M5" s="64" t="str">
        <f ca="1">IF($A5="","",IF($G5="Did not pass re-test","Sent back again",IF($G5="Yes",IF(AND(ISNUMBER($J5),ISNUMBER($B5)),"Fixed in "&amp;($J5-$B5)&amp;" d","Accepted"),IF(SUMPRODUCT(--(TRIM('Combined Delivery Data'!$B$2:$B$500)=TRIM($A5)))=0,"Not on main tab - renamed?",IF(NOT(ISNUMBER($B5)),"Missing or invalid sent-back date",IF($B5&gt;TODAY(),"Sent-back date is in future",IF(ISNUMBER($J5),IF($J5&lt;$B5,"Check dates - fixed before sent","Fixed in "&amp;($J5-$B5)&amp;" d"),IF(AND($I5&lt;&gt;"",NOT(ISNUMBER($I5))),"Check Expected Fix Date",IF($I5="","UNCLAIMED "&amp;(TODAY()-$B5)&amp;" d",IF(TODAY()&gt;$I5,(TODAY()-$I5)&amp;" d LATE","Open "&amp;(TODAY()-$B5)&amp;" d"))))))))))</f>
        <v/>
      </c>
      <c r="O5" s="66" t="str">
        <f>'Combined Delivery Data'!B4</f>
        <v>RPT_04_Leak Scheduling</v>
      </c>
      <c r="P5" s="66">
        <f t="shared" si="0"/>
        <v>0</v>
      </c>
      <c r="Q5" s="66">
        <f t="shared" si="1"/>
        <v>0</v>
      </c>
      <c r="R5" s="67" t="str">
        <f t="shared" si="2"/>
        <v/>
      </c>
      <c r="S5" s="66" t="str">
        <f t="shared" si="3"/>
        <v/>
      </c>
    </row>
    <row r="6" spans="1:19" x14ac:dyDescent="0.25">
      <c r="A6" s="62"/>
      <c r="B6" s="63"/>
      <c r="C6" s="62" t="s">
        <v>20</v>
      </c>
      <c r="D6" s="62"/>
      <c r="E6" s="62"/>
      <c r="F6" s="62"/>
      <c r="G6" s="62" t="s">
        <v>26</v>
      </c>
      <c r="H6" s="63"/>
      <c r="I6" s="63"/>
      <c r="J6" s="63"/>
      <c r="K6" s="62"/>
      <c r="L6" s="62"/>
      <c r="M6" s="64" t="str">
        <f ca="1">IF($A6="","",IF($G6="Did not pass re-test","Sent back again",IF($G6="Yes",IF(AND(ISNUMBER($J6),ISNUMBER($B6)),"Fixed in "&amp;($J6-$B6)&amp;" d","Accepted"),IF(SUMPRODUCT(--(TRIM('Combined Delivery Data'!$B$2:$B$500)=TRIM($A6)))=0,"Not on main tab - renamed?",IF(NOT(ISNUMBER($B6)),"Missing or invalid sent-back date",IF($B6&gt;TODAY(),"Sent-back date is in future",IF(ISNUMBER($J6),IF($J6&lt;$B6,"Check dates - fixed before sent","Fixed in "&amp;($J6-$B6)&amp;" d"),IF(AND($I6&lt;&gt;"",NOT(ISNUMBER($I6))),"Check Expected Fix Date",IF($I6="","UNCLAIMED "&amp;(TODAY()-$B6)&amp;" d",IF(TODAY()&gt;$I6,(TODAY()-$I6)&amp;" d LATE","Open "&amp;(TODAY()-$B6)&amp;" d"))))))))))</f>
        <v/>
      </c>
      <c r="O6" s="66" t="str">
        <f>'Combined Delivery Data'!B5</f>
        <v>RPT_04_Leak Days Remaining</v>
      </c>
      <c r="P6" s="66">
        <f t="shared" si="0"/>
        <v>0</v>
      </c>
      <c r="Q6" s="66">
        <f t="shared" si="1"/>
        <v>0</v>
      </c>
      <c r="R6" s="67" t="str">
        <f t="shared" si="2"/>
        <v/>
      </c>
      <c r="S6" s="66" t="str">
        <f t="shared" si="3"/>
        <v/>
      </c>
    </row>
    <row r="7" spans="1:19" x14ac:dyDescent="0.25">
      <c r="A7" s="62"/>
      <c r="B7" s="63"/>
      <c r="C7" s="62" t="s">
        <v>20</v>
      </c>
      <c r="D7" s="62"/>
      <c r="E7" s="62"/>
      <c r="F7" s="62"/>
      <c r="G7" s="62" t="s">
        <v>26</v>
      </c>
      <c r="H7" s="63"/>
      <c r="I7" s="63"/>
      <c r="J7" s="63"/>
      <c r="K7" s="62"/>
      <c r="L7" s="62"/>
      <c r="M7" s="64" t="str">
        <f ca="1">IF($A7="","",IF($G7="Did not pass re-test","Sent back again",IF($G7="Yes",IF(AND(ISNUMBER($J7),ISNUMBER($B7)),"Fixed in "&amp;($J7-$B7)&amp;" d","Accepted"),IF(SUMPRODUCT(--(TRIM('Combined Delivery Data'!$B$2:$B$500)=TRIM($A7)))=0,"Not on main tab - renamed?",IF(NOT(ISNUMBER($B7)),"Missing or invalid sent-back date",IF($B7&gt;TODAY(),"Sent-back date is in future",IF(ISNUMBER($J7),IF($J7&lt;$B7,"Check dates - fixed before sent","Fixed in "&amp;($J7-$B7)&amp;" d"),IF(AND($I7&lt;&gt;"",NOT(ISNUMBER($I7))),"Check Expected Fix Date",IF($I7="","UNCLAIMED "&amp;(TODAY()-$B7)&amp;" d",IF(TODAY()&gt;$I7,(TODAY()-$I7)&amp;" d LATE","Open "&amp;(TODAY()-$B7)&amp;" d"))))))))))</f>
        <v/>
      </c>
      <c r="O7" s="66" t="str">
        <f>'Combined Delivery Data'!B6</f>
        <v>RPT_04_Cleared Leaks</v>
      </c>
      <c r="P7" s="66">
        <f t="shared" si="0"/>
        <v>0</v>
      </c>
      <c r="Q7" s="66">
        <f t="shared" si="1"/>
        <v>0</v>
      </c>
      <c r="R7" s="67" t="str">
        <f t="shared" si="2"/>
        <v/>
      </c>
      <c r="S7" s="66" t="str">
        <f t="shared" si="3"/>
        <v/>
      </c>
    </row>
    <row r="8" spans="1:19" x14ac:dyDescent="0.25">
      <c r="A8" s="62"/>
      <c r="B8" s="63"/>
      <c r="C8" s="62" t="s">
        <v>20</v>
      </c>
      <c r="D8" s="62"/>
      <c r="E8" s="62"/>
      <c r="F8" s="62"/>
      <c r="G8" s="62" t="s">
        <v>26</v>
      </c>
      <c r="H8" s="63"/>
      <c r="I8" s="63"/>
      <c r="J8" s="63"/>
      <c r="K8" s="62"/>
      <c r="L8" s="62"/>
      <c r="M8" s="64" t="str">
        <f ca="1">IF($A8="","",IF($G8="Did not pass re-test","Sent back again",IF($G8="Yes",IF(AND(ISNUMBER($J8),ISNUMBER($B8)),"Fixed in "&amp;($J8-$B8)&amp;" d","Accepted"),IF(SUMPRODUCT(--(TRIM('Combined Delivery Data'!$B$2:$B$500)=TRIM($A8)))=0,"Not on main tab - renamed?",IF(NOT(ISNUMBER($B8)),"Missing or invalid sent-back date",IF($B8&gt;TODAY(),"Sent-back date is in future",IF(ISNUMBER($J8),IF($J8&lt;$B8,"Check dates - fixed before sent","Fixed in "&amp;($J8-$B8)&amp;" d"),IF(AND($I8&lt;&gt;"",NOT(ISNUMBER($I8))),"Check Expected Fix Date",IF($I8="","UNCLAIMED "&amp;(TODAY()-$B8)&amp;" d",IF(TODAY()&gt;$I8,(TODAY()-$I8)&amp;" d LATE","Open "&amp;(TODAY()-$B8)&amp;" d"))))))))))</f>
        <v/>
      </c>
      <c r="O8" s="66" t="str">
        <f>'Combined Delivery Data'!B7</f>
        <v>RPT_04_Leaks Repaired Detail</v>
      </c>
      <c r="P8" s="66">
        <f t="shared" si="0"/>
        <v>0</v>
      </c>
      <c r="Q8" s="66">
        <f t="shared" si="1"/>
        <v>0</v>
      </c>
      <c r="R8" s="67" t="str">
        <f t="shared" si="2"/>
        <v/>
      </c>
      <c r="S8" s="66" t="str">
        <f t="shared" si="3"/>
        <v/>
      </c>
    </row>
    <row r="9" spans="1:19" x14ac:dyDescent="0.25">
      <c r="A9" s="62"/>
      <c r="B9" s="63"/>
      <c r="C9" s="62" t="s">
        <v>20</v>
      </c>
      <c r="D9" s="62"/>
      <c r="E9" s="62"/>
      <c r="F9" s="62"/>
      <c r="G9" s="62" t="s">
        <v>26</v>
      </c>
      <c r="H9" s="63"/>
      <c r="I9" s="63"/>
      <c r="J9" s="63"/>
      <c r="K9" s="62"/>
      <c r="L9" s="62"/>
      <c r="M9" s="64" t="str">
        <f ca="1">IF($A9="","",IF($G9="Did not pass re-test","Sent back again",IF($G9="Yes",IF(AND(ISNUMBER($J9),ISNUMBER($B9)),"Fixed in "&amp;($J9-$B9)&amp;" d","Accepted"),IF(SUMPRODUCT(--(TRIM('Combined Delivery Data'!$B$2:$B$500)=TRIM($A9)))=0,"Not on main tab - renamed?",IF(NOT(ISNUMBER($B9)),"Missing or invalid sent-back date",IF($B9&gt;TODAY(),"Sent-back date is in future",IF(ISNUMBER($J9),IF($J9&lt;$B9,"Check dates - fixed before sent","Fixed in "&amp;($J9-$B9)&amp;" d"),IF(AND($I9&lt;&gt;"",NOT(ISNUMBER($I9))),"Check Expected Fix Date",IF($I9="","UNCLAIMED "&amp;(TODAY()-$B9)&amp;" d",IF(TODAY()&gt;$I9,(TODAY()-$I9)&amp;" d LATE","Open "&amp;(TODAY()-$B9)&amp;" d"))))))))))</f>
        <v/>
      </c>
      <c r="O9" s="66" t="str">
        <f>'Combined Delivery Data'!B8</f>
        <v>RPT_04_Leaks Aging</v>
      </c>
      <c r="P9" s="66">
        <f t="shared" si="0"/>
        <v>0</v>
      </c>
      <c r="Q9" s="66">
        <f t="shared" si="1"/>
        <v>0</v>
      </c>
      <c r="R9" s="67" t="str">
        <f t="shared" si="2"/>
        <v/>
      </c>
      <c r="S9" s="66" t="str">
        <f t="shared" si="3"/>
        <v/>
      </c>
    </row>
    <row r="10" spans="1:19" x14ac:dyDescent="0.25">
      <c r="A10" s="62"/>
      <c r="B10" s="63"/>
      <c r="C10" s="62" t="s">
        <v>20</v>
      </c>
      <c r="D10" s="62"/>
      <c r="E10" s="62"/>
      <c r="F10" s="62"/>
      <c r="G10" s="62" t="s">
        <v>26</v>
      </c>
      <c r="H10" s="63"/>
      <c r="I10" s="63"/>
      <c r="J10" s="63"/>
      <c r="K10" s="62"/>
      <c r="L10" s="62"/>
      <c r="M10" s="64" t="str">
        <f ca="1">IF($A10="","",IF($G10="Did not pass re-test","Sent back again",IF($G10="Yes",IF(AND(ISNUMBER($J10),ISNUMBER($B10)),"Fixed in "&amp;($J10-$B10)&amp;" d","Accepted"),IF(SUMPRODUCT(--(TRIM('Combined Delivery Data'!$B$2:$B$500)=TRIM($A10)))=0,"Not on main tab - renamed?",IF(NOT(ISNUMBER($B10)),"Missing or invalid sent-back date",IF($B10&gt;TODAY(),"Sent-back date is in future",IF(ISNUMBER($J10),IF($J10&lt;$B10,"Check dates - fixed before sent","Fixed in "&amp;($J10-$B10)&amp;" d"),IF(AND($I10&lt;&gt;"",NOT(ISNUMBER($I10))),"Check Expected Fix Date",IF($I10="","UNCLAIMED "&amp;(TODAY()-$B10)&amp;" d",IF(TODAY()&gt;$I10,(TODAY()-$I10)&amp;" d LATE","Open "&amp;(TODAY()-$B10)&amp;" d"))))))))))</f>
        <v/>
      </c>
      <c r="O10" s="66" t="str">
        <f>'Combined Delivery Data'!B9</f>
        <v>RPT_04_Prior Leak Readings</v>
      </c>
      <c r="P10" s="66">
        <f t="shared" si="0"/>
        <v>0</v>
      </c>
      <c r="Q10" s="66">
        <f t="shared" si="1"/>
        <v>0</v>
      </c>
      <c r="R10" s="67" t="str">
        <f t="shared" si="2"/>
        <v/>
      </c>
      <c r="S10" s="66" t="str">
        <f t="shared" si="3"/>
        <v/>
      </c>
    </row>
    <row r="11" spans="1:19" x14ac:dyDescent="0.25">
      <c r="A11" s="62"/>
      <c r="B11" s="63"/>
      <c r="C11" s="62" t="s">
        <v>20</v>
      </c>
      <c r="D11" s="62"/>
      <c r="E11" s="62"/>
      <c r="F11" s="62"/>
      <c r="G11" s="62" t="s">
        <v>26</v>
      </c>
      <c r="H11" s="63"/>
      <c r="I11" s="63"/>
      <c r="J11" s="63"/>
      <c r="K11" s="62"/>
      <c r="L11" s="62"/>
      <c r="M11" s="64" t="str">
        <f ca="1">IF($A11="","",IF($G11="Did not pass re-test","Sent back again",IF($G11="Yes",IF(AND(ISNUMBER($J11),ISNUMBER($B11)),"Fixed in "&amp;($J11-$B11)&amp;" d","Accepted"),IF(SUMPRODUCT(--(TRIM('Combined Delivery Data'!$B$2:$B$500)=TRIM($A11)))=0,"Not on main tab - renamed?",IF(NOT(ISNUMBER($B11)),"Missing or invalid sent-back date",IF($B11&gt;TODAY(),"Sent-back date is in future",IF(ISNUMBER($J11),IF($J11&lt;$B11,"Check dates - fixed before sent","Fixed in "&amp;($J11-$B11)&amp;" d"),IF(AND($I11&lt;&gt;"",NOT(ISNUMBER($I11))),"Check Expected Fix Date",IF($I11="","UNCLAIMED "&amp;(TODAY()-$B11)&amp;" d",IF(TODAY()&gt;$I11,(TODAY()-$I11)&amp;" d LATE","Open "&amp;(TODAY()-$B11)&amp;" d"))))))))))</f>
        <v/>
      </c>
      <c r="O11" s="66" t="str">
        <f>'Combined Delivery Data'!B10</f>
        <v>RSS_04_Leak Grade Change History</v>
      </c>
      <c r="P11" s="66">
        <f t="shared" si="0"/>
        <v>0</v>
      </c>
      <c r="Q11" s="66">
        <f t="shared" si="1"/>
        <v>0</v>
      </c>
      <c r="R11" s="67" t="str">
        <f t="shared" si="2"/>
        <v/>
      </c>
      <c r="S11" s="66" t="str">
        <f t="shared" si="3"/>
        <v/>
      </c>
    </row>
    <row r="12" spans="1:19" x14ac:dyDescent="0.25">
      <c r="A12" s="62"/>
      <c r="B12" s="63"/>
      <c r="C12" s="62" t="s">
        <v>20</v>
      </c>
      <c r="D12" s="62"/>
      <c r="E12" s="62"/>
      <c r="F12" s="62"/>
      <c r="G12" s="62" t="s">
        <v>26</v>
      </c>
      <c r="H12" s="63"/>
      <c r="I12" s="63"/>
      <c r="J12" s="63"/>
      <c r="K12" s="62"/>
      <c r="L12" s="62"/>
      <c r="M12" s="64" t="str">
        <f ca="1">IF($A12="","",IF($G12="Did not pass re-test","Sent back again",IF($G12="Yes",IF(AND(ISNUMBER($J12),ISNUMBER($B12)),"Fixed in "&amp;($J12-$B12)&amp;" d","Accepted"),IF(SUMPRODUCT(--(TRIM('Combined Delivery Data'!$B$2:$B$500)=TRIM($A12)))=0,"Not on main tab - renamed?",IF(NOT(ISNUMBER($B12)),"Missing or invalid sent-back date",IF($B12&gt;TODAY(),"Sent-back date is in future",IF(ISNUMBER($J12),IF($J12&lt;$B12,"Check dates - fixed before sent","Fixed in "&amp;($J12-$B12)&amp;" d"),IF(AND($I12&lt;&gt;"",NOT(ISNUMBER($I12))),"Check Expected Fix Date",IF($I12="","UNCLAIMED "&amp;(TODAY()-$B12)&amp;" d",IF(TODAY()&gt;$I12,(TODAY()-$I12)&amp;" d LATE","Open "&amp;(TODAY()-$B12)&amp;" d"))))))))))</f>
        <v/>
      </c>
      <c r="O12" s="66" t="str">
        <f>'Combined Delivery Data'!B11</f>
        <v>RPT_04_Surveillances With Zero Readings</v>
      </c>
      <c r="P12" s="66">
        <f t="shared" si="0"/>
        <v>0</v>
      </c>
      <c r="Q12" s="66">
        <f t="shared" si="1"/>
        <v>0</v>
      </c>
      <c r="R12" s="67" t="str">
        <f t="shared" si="2"/>
        <v/>
      </c>
      <c r="S12" s="66" t="str">
        <f t="shared" si="3"/>
        <v/>
      </c>
    </row>
    <row r="13" spans="1:19" x14ac:dyDescent="0.25">
      <c r="A13" s="62"/>
      <c r="B13" s="63"/>
      <c r="C13" s="62" t="s">
        <v>20</v>
      </c>
      <c r="D13" s="62"/>
      <c r="E13" s="62"/>
      <c r="F13" s="62"/>
      <c r="G13" s="62" t="s">
        <v>26</v>
      </c>
      <c r="H13" s="63"/>
      <c r="I13" s="63"/>
      <c r="J13" s="63"/>
      <c r="K13" s="62"/>
      <c r="L13" s="62"/>
      <c r="M13" s="64" t="str">
        <f ca="1">IF($A13="","",IF($G13="Did not pass re-test","Sent back again",IF($G13="Yes",IF(AND(ISNUMBER($J13),ISNUMBER($B13)),"Fixed in "&amp;($J13-$B13)&amp;" d","Accepted"),IF(SUMPRODUCT(--(TRIM('Combined Delivery Data'!$B$2:$B$500)=TRIM($A13)))=0,"Not on main tab - renamed?",IF(NOT(ISNUMBER($B13)),"Missing or invalid sent-back date",IF($B13&gt;TODAY(),"Sent-back date is in future",IF(ISNUMBER($J13),IF($J13&lt;$B13,"Check dates - fixed before sent","Fixed in "&amp;($J13-$B13)&amp;" d"),IF(AND($I13&lt;&gt;"",NOT(ISNUMBER($I13))),"Check Expected Fix Date",IF($I13="","UNCLAIMED "&amp;(TODAY()-$B13)&amp;" d",IF(TODAY()&gt;$I13,(TODAY()-$I13)&amp;" d LATE","Open "&amp;(TODAY()-$B13)&amp;" d"))))))))))</f>
        <v/>
      </c>
      <c r="O13" s="66" t="str">
        <f>'Combined Delivery Data'!B12</f>
        <v>RPT_04 High Emitter leaks</v>
      </c>
      <c r="P13" s="66">
        <f t="shared" si="0"/>
        <v>0</v>
      </c>
      <c r="Q13" s="66">
        <f t="shared" si="1"/>
        <v>0</v>
      </c>
      <c r="R13" s="67" t="str">
        <f t="shared" si="2"/>
        <v/>
      </c>
      <c r="S13" s="66" t="str">
        <f t="shared" si="3"/>
        <v/>
      </c>
    </row>
    <row r="14" spans="1:19" x14ac:dyDescent="0.25">
      <c r="A14" s="62"/>
      <c r="B14" s="63"/>
      <c r="C14" s="62" t="s">
        <v>20</v>
      </c>
      <c r="D14" s="62"/>
      <c r="E14" s="62"/>
      <c r="F14" s="62"/>
      <c r="G14" s="62" t="s">
        <v>26</v>
      </c>
      <c r="H14" s="63"/>
      <c r="I14" s="63"/>
      <c r="J14" s="63"/>
      <c r="K14" s="62"/>
      <c r="L14" s="62"/>
      <c r="M14" s="64" t="str">
        <f ca="1">IF($A14="","",IF($G14="Did not pass re-test","Sent back again",IF($G14="Yes",IF(AND(ISNUMBER($J14),ISNUMBER($B14)),"Fixed in "&amp;($J14-$B14)&amp;" d","Accepted"),IF(SUMPRODUCT(--(TRIM('Combined Delivery Data'!$B$2:$B$500)=TRIM($A14)))=0,"Not on main tab - renamed?",IF(NOT(ISNUMBER($B14)),"Missing or invalid sent-back date",IF($B14&gt;TODAY(),"Sent-back date is in future",IF(ISNUMBER($J14),IF($J14&lt;$B14,"Check dates - fixed before sent","Fixed in "&amp;($J14-$B14)&amp;" d"),IF(AND($I14&lt;&gt;"",NOT(ISNUMBER($I14))),"Check Expected Fix Date",IF($I14="","UNCLAIMED "&amp;(TODAY()-$B14)&amp;" d",IF(TODAY()&gt;$I14,(TODAY()-$I14)&amp;" d LATE","Open "&amp;(TODAY()-$B14)&amp;" d"))))))))))</f>
        <v/>
      </c>
      <c r="O14" s="66" t="str">
        <f>'Combined Delivery Data'!B13</f>
        <v>RPT_04_School Zone Leaks Without Repair</v>
      </c>
      <c r="P14" s="66">
        <f t="shared" si="0"/>
        <v>0</v>
      </c>
      <c r="Q14" s="66">
        <f t="shared" si="1"/>
        <v>0</v>
      </c>
      <c r="R14" s="67" t="str">
        <f t="shared" si="2"/>
        <v/>
      </c>
      <c r="S14" s="66" t="str">
        <f t="shared" si="3"/>
        <v/>
      </c>
    </row>
    <row r="15" spans="1:19" x14ac:dyDescent="0.25">
      <c r="A15" s="62"/>
      <c r="B15" s="63"/>
      <c r="C15" s="62" t="s">
        <v>20</v>
      </c>
      <c r="D15" s="62"/>
      <c r="E15" s="62"/>
      <c r="F15" s="62"/>
      <c r="G15" s="62" t="s">
        <v>26</v>
      </c>
      <c r="H15" s="63"/>
      <c r="I15" s="63"/>
      <c r="J15" s="63"/>
      <c r="K15" s="62"/>
      <c r="L15" s="62"/>
      <c r="M15" s="64" t="str">
        <f ca="1">IF($A15="","",IF($G15="Did not pass re-test","Sent back again",IF($G15="Yes",IF(AND(ISNUMBER($J15),ISNUMBER($B15)),"Fixed in "&amp;($J15-$B15)&amp;" d","Accepted"),IF(SUMPRODUCT(--(TRIM('Combined Delivery Data'!$B$2:$B$500)=TRIM($A15)))=0,"Not on main tab - renamed?",IF(NOT(ISNUMBER($B15)),"Missing or invalid sent-back date",IF($B15&gt;TODAY(),"Sent-back date is in future",IF(ISNUMBER($J15),IF($J15&lt;$B15,"Check dates - fixed before sent","Fixed in "&amp;($J15-$B15)&amp;" d"),IF(AND($I15&lt;&gt;"",NOT(ISNUMBER($I15))),"Check Expected Fix Date",IF($I15="","UNCLAIMED "&amp;(TODAY()-$B15)&amp;" d",IF(TODAY()&gt;$I15,(TODAY()-$I15)&amp;" d LATE","Open "&amp;(TODAY()-$B15)&amp;" d"))))))))))</f>
        <v/>
      </c>
      <c r="O15" s="66" t="str">
        <f>'Combined Delivery Data'!B14</f>
        <v>RPT_04_PSC Quarterly Leak</v>
      </c>
      <c r="P15" s="66">
        <f t="shared" si="0"/>
        <v>0</v>
      </c>
      <c r="Q15" s="66">
        <f t="shared" si="1"/>
        <v>0</v>
      </c>
      <c r="R15" s="67" t="str">
        <f t="shared" si="2"/>
        <v/>
      </c>
      <c r="S15" s="66" t="str">
        <f t="shared" si="3"/>
        <v/>
      </c>
    </row>
    <row r="16" spans="1:19" x14ac:dyDescent="0.25">
      <c r="A16" s="62"/>
      <c r="B16" s="63"/>
      <c r="C16" s="62" t="s">
        <v>20</v>
      </c>
      <c r="D16" s="62"/>
      <c r="E16" s="62"/>
      <c r="F16" s="62"/>
      <c r="G16" s="62" t="s">
        <v>26</v>
      </c>
      <c r="H16" s="63"/>
      <c r="I16" s="63"/>
      <c r="J16" s="63"/>
      <c r="K16" s="62"/>
      <c r="L16" s="62"/>
      <c r="M16" s="64" t="str">
        <f ca="1">IF($A16="","",IF($G16="Did not pass re-test","Sent back again",IF($G16="Yes",IF(AND(ISNUMBER($J16),ISNUMBER($B16)),"Fixed in "&amp;($J16-$B16)&amp;" d","Accepted"),IF(SUMPRODUCT(--(TRIM('Combined Delivery Data'!$B$2:$B$500)=TRIM($A16)))=0,"Not on main tab - renamed?",IF(NOT(ISNUMBER($B16)),"Missing or invalid sent-back date",IF($B16&gt;TODAY(),"Sent-back date is in future",IF(ISNUMBER($J16),IF($J16&lt;$B16,"Check dates - fixed before sent","Fixed in "&amp;($J16-$B16)&amp;" d"),IF(AND($I16&lt;&gt;"",NOT(ISNUMBER($I16))),"Check Expected Fix Date",IF($I16="","UNCLAIMED "&amp;(TODAY()-$B16)&amp;" d",IF(TODAY()&gt;$I16,(TODAY()-$I16)&amp;" d LATE","Open "&amp;(TODAY()-$B16)&amp;" d"))))))))))</f>
        <v/>
      </c>
      <c r="O16" s="66" t="str">
        <f>'Combined Delivery Data'!B15</f>
        <v>RPT_04_Rechecks Completed less than 14 days</v>
      </c>
      <c r="P16" s="66">
        <f t="shared" si="0"/>
        <v>0</v>
      </c>
      <c r="Q16" s="66">
        <f t="shared" si="1"/>
        <v>0</v>
      </c>
      <c r="R16" s="67" t="str">
        <f t="shared" si="2"/>
        <v/>
      </c>
      <c r="S16" s="66" t="str">
        <f t="shared" si="3"/>
        <v/>
      </c>
    </row>
    <row r="17" spans="1:19" x14ac:dyDescent="0.25">
      <c r="A17" s="62"/>
      <c r="B17" s="63"/>
      <c r="C17" s="62" t="s">
        <v>20</v>
      </c>
      <c r="D17" s="62"/>
      <c r="E17" s="62"/>
      <c r="F17" s="62"/>
      <c r="G17" s="62" t="s">
        <v>26</v>
      </c>
      <c r="H17" s="63"/>
      <c r="I17" s="63"/>
      <c r="J17" s="63"/>
      <c r="K17" s="62"/>
      <c r="L17" s="62"/>
      <c r="M17" s="64" t="str">
        <f ca="1">IF($A17="","",IF($G17="Did not pass re-test","Sent back again",IF($G17="Yes",IF(AND(ISNUMBER($J17),ISNUMBER($B17)),"Fixed in "&amp;($J17-$B17)&amp;" d","Accepted"),IF(SUMPRODUCT(--(TRIM('Combined Delivery Data'!$B$2:$B$500)=TRIM($A17)))=0,"Not on main tab - renamed?",IF(NOT(ISNUMBER($B17)),"Missing or invalid sent-back date",IF($B17&gt;TODAY(),"Sent-back date is in future",IF(ISNUMBER($J17),IF($J17&lt;$B17,"Check dates - fixed before sent","Fixed in "&amp;($J17-$B17)&amp;" d"),IF(AND($I17&lt;&gt;"",NOT(ISNUMBER($I17))),"Check Expected Fix Date",IF($I17="","UNCLAIMED "&amp;(TODAY()-$B17)&amp;" d",IF(TODAY()&gt;$I17,(TODAY()-$I17)&amp;" d LATE","Open "&amp;(TODAY()-$B17)&amp;" d"))))))))))</f>
        <v/>
      </c>
      <c r="O17" s="66" t="str">
        <f>'Combined Delivery Data'!B16</f>
        <v>RPT_04_SEI Leak Activity</v>
      </c>
      <c r="P17" s="66">
        <f t="shared" si="0"/>
        <v>0</v>
      </c>
      <c r="Q17" s="66">
        <f t="shared" si="1"/>
        <v>0</v>
      </c>
      <c r="R17" s="67" t="str">
        <f t="shared" si="2"/>
        <v/>
      </c>
      <c r="S17" s="66" t="str">
        <f t="shared" si="3"/>
        <v/>
      </c>
    </row>
    <row r="18" spans="1:19" x14ac:dyDescent="0.25">
      <c r="A18" s="62"/>
      <c r="B18" s="63"/>
      <c r="C18" s="62" t="s">
        <v>20</v>
      </c>
      <c r="D18" s="62"/>
      <c r="E18" s="62"/>
      <c r="F18" s="62"/>
      <c r="G18" s="62" t="s">
        <v>26</v>
      </c>
      <c r="H18" s="63"/>
      <c r="I18" s="63"/>
      <c r="J18" s="63"/>
      <c r="K18" s="62"/>
      <c r="L18" s="62"/>
      <c r="M18" s="64" t="str">
        <f ca="1">IF($A18="","",IF($G18="Did not pass re-test","Sent back again",IF($G18="Yes",IF(AND(ISNUMBER($J18),ISNUMBER($B18)),"Fixed in "&amp;($J18-$B18)&amp;" d","Accepted"),IF(SUMPRODUCT(--(TRIM('Combined Delivery Data'!$B$2:$B$500)=TRIM($A18)))=0,"Not on main tab - renamed?",IF(NOT(ISNUMBER($B18)),"Missing or invalid sent-back date",IF($B18&gt;TODAY(),"Sent-back date is in future",IF(ISNUMBER($J18),IF($J18&lt;$B18,"Check dates - fixed before sent","Fixed in "&amp;($J18-$B18)&amp;" d"),IF(AND($I18&lt;&gt;"",NOT(ISNUMBER($I18))),"Check Expected Fix Date",IF($I18="","UNCLAIMED "&amp;(TODAY()-$B18)&amp;" d",IF(TODAY()&gt;$I18,(TODAY()-$I18)&amp;" d LATE","Open "&amp;(TODAY()-$B18)&amp;" d"))))))))))</f>
        <v/>
      </c>
      <c r="O18" s="66" t="str">
        <f>'Combined Delivery Data'!B17</f>
        <v>RPT_04_CMS Leak Productivity</v>
      </c>
      <c r="P18" s="66">
        <f t="shared" si="0"/>
        <v>0</v>
      </c>
      <c r="Q18" s="66">
        <f t="shared" si="1"/>
        <v>0</v>
      </c>
      <c r="R18" s="67" t="str">
        <f t="shared" si="2"/>
        <v/>
      </c>
      <c r="S18" s="66" t="str">
        <f t="shared" si="3"/>
        <v/>
      </c>
    </row>
    <row r="19" spans="1:19" x14ac:dyDescent="0.25">
      <c r="A19" s="62"/>
      <c r="B19" s="63"/>
      <c r="C19" s="62" t="s">
        <v>20</v>
      </c>
      <c r="D19" s="62"/>
      <c r="E19" s="62"/>
      <c r="F19" s="62"/>
      <c r="G19" s="62" t="s">
        <v>26</v>
      </c>
      <c r="H19" s="63"/>
      <c r="I19" s="63"/>
      <c r="J19" s="63"/>
      <c r="K19" s="62"/>
      <c r="L19" s="62"/>
      <c r="M19" s="64" t="str">
        <f ca="1">IF($A19="","",IF($G19="Did not pass re-test","Sent back again",IF($G19="Yes",IF(AND(ISNUMBER($J19),ISNUMBER($B19)),"Fixed in "&amp;($J19-$B19)&amp;" d","Accepted"),IF(SUMPRODUCT(--(TRIM('Combined Delivery Data'!$B$2:$B$500)=TRIM($A19)))=0,"Not on main tab - renamed?",IF(NOT(ISNUMBER($B19)),"Missing or invalid sent-back date",IF($B19&gt;TODAY(),"Sent-back date is in future",IF(ISNUMBER($J19),IF($J19&lt;$B19,"Check dates - fixed before sent","Fixed in "&amp;($J19-$B19)&amp;" d"),IF(AND($I19&lt;&gt;"",NOT(ISNUMBER($I19))),"Check Expected Fix Date",IF($I19="","UNCLAIMED "&amp;(TODAY()-$B19)&amp;" d",IF(TODAY()&gt;$I19,(TODAY()-$I19)&amp;" d LATE","Open "&amp;(TODAY()-$B19)&amp;" d"))))))))))</f>
        <v/>
      </c>
      <c r="O19" s="66" t="str">
        <f>'Combined Delivery Data'!B18</f>
        <v>RPT_04_Main Break Corrosion and Leak Cluster</v>
      </c>
      <c r="P19" s="66">
        <f t="shared" si="0"/>
        <v>0</v>
      </c>
      <c r="Q19" s="66">
        <f t="shared" si="1"/>
        <v>0</v>
      </c>
      <c r="R19" s="67" t="str">
        <f t="shared" si="2"/>
        <v/>
      </c>
      <c r="S19" s="66" t="str">
        <f t="shared" si="3"/>
        <v/>
      </c>
    </row>
    <row r="20" spans="1:19" x14ac:dyDescent="0.25">
      <c r="A20" s="62"/>
      <c r="B20" s="63"/>
      <c r="C20" s="62" t="s">
        <v>20</v>
      </c>
      <c r="D20" s="62"/>
      <c r="E20" s="62"/>
      <c r="F20" s="62"/>
      <c r="G20" s="62" t="s">
        <v>26</v>
      </c>
      <c r="H20" s="63"/>
      <c r="I20" s="63"/>
      <c r="J20" s="63"/>
      <c r="K20" s="62"/>
      <c r="L20" s="62"/>
      <c r="M20" s="64" t="str">
        <f ca="1">IF($A20="","",IF($G20="Did not pass re-test","Sent back again",IF($G20="Yes",IF(AND(ISNUMBER($J20),ISNUMBER($B20)),"Fixed in "&amp;($J20-$B20)&amp;" d","Accepted"),IF(SUMPRODUCT(--(TRIM('Combined Delivery Data'!$B$2:$B$500)=TRIM($A20)))=0,"Not on main tab - renamed?",IF(NOT(ISNUMBER($B20)),"Missing or invalid sent-back date",IF($B20&gt;TODAY(),"Sent-back date is in future",IF(ISNUMBER($J20),IF($J20&lt;$B20,"Check dates - fixed before sent","Fixed in "&amp;($J20-$B20)&amp;" d"),IF(AND($I20&lt;&gt;"",NOT(ISNUMBER($I20))),"Check Expected Fix Date",IF($I20="","UNCLAIMED "&amp;(TODAY()-$B20)&amp;" d",IF(TODAY()&gt;$I20,(TODAY()-$I20)&amp;" d LATE","Open "&amp;(TODAY()-$B20)&amp;" d"))))))))))</f>
        <v/>
      </c>
      <c r="O20" s="66" t="str">
        <f>'Combined Delivery Data'!B19</f>
        <v>RPT_04_Leak Summary Status</v>
      </c>
      <c r="P20" s="66">
        <f t="shared" si="0"/>
        <v>0</v>
      </c>
      <c r="Q20" s="66">
        <f t="shared" si="1"/>
        <v>0</v>
      </c>
      <c r="R20" s="67" t="str">
        <f t="shared" si="2"/>
        <v/>
      </c>
      <c r="S20" s="66" t="str">
        <f t="shared" si="3"/>
        <v/>
      </c>
    </row>
    <row r="21" spans="1:19" x14ac:dyDescent="0.25">
      <c r="A21" s="62"/>
      <c r="B21" s="63"/>
      <c r="C21" s="62" t="s">
        <v>20</v>
      </c>
      <c r="D21" s="62"/>
      <c r="E21" s="62"/>
      <c r="F21" s="62"/>
      <c r="G21" s="62" t="s">
        <v>26</v>
      </c>
      <c r="H21" s="63"/>
      <c r="I21" s="63"/>
      <c r="J21" s="63"/>
      <c r="K21" s="62"/>
      <c r="L21" s="62"/>
      <c r="M21" s="64" t="str">
        <f ca="1">IF($A21="","",IF($G21="Did not pass re-test","Sent back again",IF($G21="Yes",IF(AND(ISNUMBER($J21),ISNUMBER($B21)),"Fixed in "&amp;($J21-$B21)&amp;" d","Accepted"),IF(SUMPRODUCT(--(TRIM('Combined Delivery Data'!$B$2:$B$500)=TRIM($A21)))=0,"Not on main tab - renamed?",IF(NOT(ISNUMBER($B21)),"Missing or invalid sent-back date",IF($B21&gt;TODAY(),"Sent-back date is in future",IF(ISNUMBER($J21),IF($J21&lt;$B21,"Check dates - fixed before sent","Fixed in "&amp;($J21-$B21)&amp;" d"),IF(AND($I21&lt;&gt;"",NOT(ISNUMBER($I21))),"Check Expected Fix Date",IF($I21="","UNCLAIMED "&amp;(TODAY()-$B21)&amp;" d",IF(TODAY()&gt;$I21,(TODAY()-$I21)&amp;" d LATE","Open "&amp;(TODAY()-$B21)&amp;" d"))))))))))</f>
        <v/>
      </c>
      <c r="O21" s="66" t="str">
        <f>'Combined Delivery Data'!B20</f>
        <v>RPT_04_PSC Leak Printout</v>
      </c>
      <c r="P21" s="66">
        <f t="shared" si="0"/>
        <v>0</v>
      </c>
      <c r="Q21" s="66">
        <f t="shared" si="1"/>
        <v>0</v>
      </c>
      <c r="R21" s="67" t="str">
        <f t="shared" si="2"/>
        <v/>
      </c>
      <c r="S21" s="66" t="str">
        <f t="shared" si="3"/>
        <v/>
      </c>
    </row>
    <row r="22" spans="1:19" x14ac:dyDescent="0.25">
      <c r="A22" s="62"/>
      <c r="B22" s="63"/>
      <c r="C22" s="62" t="s">
        <v>20</v>
      </c>
      <c r="D22" s="62"/>
      <c r="E22" s="62"/>
      <c r="F22" s="62"/>
      <c r="G22" s="62" t="s">
        <v>26</v>
      </c>
      <c r="H22" s="63"/>
      <c r="I22" s="63"/>
      <c r="J22" s="63"/>
      <c r="K22" s="62"/>
      <c r="L22" s="62"/>
      <c r="M22" s="64" t="str">
        <f ca="1">IF($A22="","",IF($G22="Did not pass re-test","Sent back again",IF($G22="Yes",IF(AND(ISNUMBER($J22),ISNUMBER($B22)),"Fixed in "&amp;($J22-$B22)&amp;" d","Accepted"),IF(SUMPRODUCT(--(TRIM('Combined Delivery Data'!$B$2:$B$500)=TRIM($A22)))=0,"Not on main tab - renamed?",IF(NOT(ISNUMBER($B22)),"Missing or invalid sent-back date",IF($B22&gt;TODAY(),"Sent-back date is in future",IF(ISNUMBER($J22),IF($J22&lt;$B22,"Check dates - fixed before sent","Fixed in "&amp;($J22-$B22)&amp;" d"),IF(AND($I22&lt;&gt;"",NOT(ISNUMBER($I22))),"Check Expected Fix Date",IF($I22="","UNCLAIMED "&amp;(TODAY()-$B22)&amp;" d",IF(TODAY()&gt;$I22,(TODAY()-$I22)&amp;" d LATE","Open "&amp;(TODAY()-$B22)&amp;" d"))))))))))</f>
        <v/>
      </c>
      <c r="O22" s="66" t="str">
        <f>'Combined Delivery Data'!B21</f>
        <v>RPT_04_Leak Control Report</v>
      </c>
      <c r="P22" s="66">
        <f t="shared" si="0"/>
        <v>0</v>
      </c>
      <c r="Q22" s="66">
        <f t="shared" si="1"/>
        <v>0</v>
      </c>
      <c r="R22" s="67" t="str">
        <f t="shared" si="2"/>
        <v/>
      </c>
      <c r="S22" s="66" t="str">
        <f t="shared" si="3"/>
        <v/>
      </c>
    </row>
    <row r="23" spans="1:19" x14ac:dyDescent="0.25">
      <c r="A23" s="62"/>
      <c r="B23" s="63"/>
      <c r="C23" s="62" t="s">
        <v>20</v>
      </c>
      <c r="D23" s="62"/>
      <c r="E23" s="62"/>
      <c r="F23" s="62"/>
      <c r="G23" s="62" t="s">
        <v>26</v>
      </c>
      <c r="H23" s="63"/>
      <c r="I23" s="63"/>
      <c r="J23" s="63"/>
      <c r="K23" s="62"/>
      <c r="L23" s="62"/>
      <c r="M23" s="64" t="str">
        <f ca="1">IF($A23="","",IF($G23="Did not pass re-test","Sent back again",IF($G23="Yes",IF(AND(ISNUMBER($J23),ISNUMBER($B23)),"Fixed in "&amp;($J23-$B23)&amp;" d","Accepted"),IF(SUMPRODUCT(--(TRIM('Combined Delivery Data'!$B$2:$B$500)=TRIM($A23)))=0,"Not on main tab - renamed?",IF(NOT(ISNUMBER($B23)),"Missing or invalid sent-back date",IF($B23&gt;TODAY(),"Sent-back date is in future",IF(ISNUMBER($J23),IF($J23&lt;$B23,"Check dates - fixed before sent","Fixed in "&amp;($J23-$B23)&amp;" d"),IF(AND($I23&lt;&gt;"",NOT(ISNUMBER($I23))),"Check Expected Fix Date",IF($I23="","UNCLAIMED "&amp;(TODAY()-$B23)&amp;" d",IF(TODAY()&gt;$I23,(TODAY()-$I23)&amp;" d LATE","Open "&amp;(TODAY()-$B23)&amp;" d"))))))))))</f>
        <v/>
      </c>
      <c r="O23" s="66" t="str">
        <f>'Combined Delivery Data'!B22</f>
        <v>RPT_04_Leak Life Cycle</v>
      </c>
      <c r="P23" s="66">
        <f t="shared" si="0"/>
        <v>0</v>
      </c>
      <c r="Q23" s="66">
        <f t="shared" si="1"/>
        <v>0</v>
      </c>
      <c r="R23" s="67" t="str">
        <f t="shared" si="2"/>
        <v/>
      </c>
      <c r="S23" s="66" t="str">
        <f t="shared" si="3"/>
        <v/>
      </c>
    </row>
    <row r="24" spans="1:19" x14ac:dyDescent="0.25">
      <c r="A24" s="62"/>
      <c r="B24" s="63"/>
      <c r="C24" s="62" t="s">
        <v>20</v>
      </c>
      <c r="D24" s="62"/>
      <c r="E24" s="62"/>
      <c r="F24" s="62"/>
      <c r="G24" s="62" t="s">
        <v>26</v>
      </c>
      <c r="H24" s="63"/>
      <c r="I24" s="63"/>
      <c r="J24" s="63"/>
      <c r="K24" s="62"/>
      <c r="L24" s="62"/>
      <c r="M24" s="64" t="str">
        <f ca="1">IF($A24="","",IF($G24="Did not pass re-test","Sent back again",IF($G24="Yes",IF(AND(ISNUMBER($J24),ISNUMBER($B24)),"Fixed in "&amp;($J24-$B24)&amp;" d","Accepted"),IF(SUMPRODUCT(--(TRIM('Combined Delivery Data'!$B$2:$B$500)=TRIM($A24)))=0,"Not on main tab - renamed?",IF(NOT(ISNUMBER($B24)),"Missing or invalid sent-back date",IF($B24&gt;TODAY(),"Sent-back date is in future",IF(ISNUMBER($J24),IF($J24&lt;$B24,"Check dates - fixed before sent","Fixed in "&amp;($J24-$B24)&amp;" d"),IF(AND($I24&lt;&gt;"",NOT(ISNUMBER($I24))),"Check Expected Fix Date",IF($I24="","UNCLAIMED "&amp;(TODAY()-$B24)&amp;" d",IF(TODAY()&gt;$I24,(TODAY()-$I24)&amp;" d LATE","Open "&amp;(TODAY()-$B24)&amp;" d"))))))))))</f>
        <v/>
      </c>
      <c r="O24" s="66" t="str">
        <f>'Combined Delivery Data'!B23</f>
        <v>RPT_04_Leak Life Cycle Legacy LMS LI</v>
      </c>
      <c r="P24" s="66">
        <f t="shared" si="0"/>
        <v>0</v>
      </c>
      <c r="Q24" s="66">
        <f t="shared" si="1"/>
        <v>0</v>
      </c>
      <c r="R24" s="67" t="str">
        <f t="shared" si="2"/>
        <v/>
      </c>
      <c r="S24" s="66" t="str">
        <f t="shared" si="3"/>
        <v/>
      </c>
    </row>
    <row r="25" spans="1:19" x14ac:dyDescent="0.25">
      <c r="A25" s="62"/>
      <c r="B25" s="63"/>
      <c r="C25" s="62" t="s">
        <v>20</v>
      </c>
      <c r="D25" s="62"/>
      <c r="E25" s="62"/>
      <c r="F25" s="62"/>
      <c r="G25" s="62" t="s">
        <v>26</v>
      </c>
      <c r="H25" s="63"/>
      <c r="I25" s="63"/>
      <c r="J25" s="63"/>
      <c r="K25" s="62"/>
      <c r="L25" s="62"/>
      <c r="M25" s="64" t="str">
        <f ca="1">IF($A25="","",IF($G25="Did not pass re-test","Sent back again",IF($G25="Yes",IF(AND(ISNUMBER($J25),ISNUMBER($B25)),"Fixed in "&amp;($J25-$B25)&amp;" d","Accepted"),IF(SUMPRODUCT(--(TRIM('Combined Delivery Data'!$B$2:$B$500)=TRIM($A25)))=0,"Not on main tab - renamed?",IF(NOT(ISNUMBER($B25)),"Missing or invalid sent-back date",IF($B25&gt;TODAY(),"Sent-back date is in future",IF(ISNUMBER($J25),IF($J25&lt;$B25,"Check dates - fixed before sent","Fixed in "&amp;($J25-$B25)&amp;" d"),IF(AND($I25&lt;&gt;"",NOT(ISNUMBER($I25))),"Check Expected Fix Date",IF($I25="","UNCLAIMED "&amp;(TODAY()-$B25)&amp;" d",IF(TODAY()&gt;$I25,(TODAY()-$I25)&amp;" d LATE","Open "&amp;(TODAY()-$B25)&amp;" d"))))))))))</f>
        <v/>
      </c>
      <c r="O25" s="66" t="str">
        <f>'Combined Delivery Data'!B24</f>
        <v>RPT_04_Leak Increase Reads</v>
      </c>
      <c r="P25" s="66">
        <f t="shared" si="0"/>
        <v>0</v>
      </c>
      <c r="Q25" s="66">
        <f t="shared" si="1"/>
        <v>0</v>
      </c>
      <c r="R25" s="67" t="str">
        <f t="shared" si="2"/>
        <v/>
      </c>
      <c r="S25" s="66" t="str">
        <f t="shared" si="3"/>
        <v/>
      </c>
    </row>
    <row r="26" spans="1:19" x14ac:dyDescent="0.25">
      <c r="A26" s="62"/>
      <c r="B26" s="63"/>
      <c r="C26" s="62" t="s">
        <v>20</v>
      </c>
      <c r="D26" s="62"/>
      <c r="E26" s="62"/>
      <c r="F26" s="62"/>
      <c r="G26" s="62" t="s">
        <v>26</v>
      </c>
      <c r="H26" s="63"/>
      <c r="I26" s="63"/>
      <c r="J26" s="63"/>
      <c r="K26" s="62"/>
      <c r="L26" s="62"/>
      <c r="M26" s="64" t="str">
        <f ca="1">IF($A26="","",IF($G26="Did not pass re-test","Sent back again",IF($G26="Yes",IF(AND(ISNUMBER($J26),ISNUMBER($B26)),"Fixed in "&amp;($J26-$B26)&amp;" d","Accepted"),IF(SUMPRODUCT(--(TRIM('Combined Delivery Data'!$B$2:$B$500)=TRIM($A26)))=0,"Not on main tab - renamed?",IF(NOT(ISNUMBER($B26)),"Missing or invalid sent-back date",IF($B26&gt;TODAY(),"Sent-back date is in future",IF(ISNUMBER($J26),IF($J26&lt;$B26,"Check dates - fixed before sent","Fixed in "&amp;($J26-$B26)&amp;" d"),IF(AND($I26&lt;&gt;"",NOT(ISNUMBER($I26))),"Check Expected Fix Date",IF($I26="","UNCLAIMED "&amp;(TODAY()-$B26)&amp;" d",IF(TODAY()&gt;$I26,(TODAY()-$I26)&amp;" d LATE","Open "&amp;(TODAY()-$B26)&amp;" d"))))))))))</f>
        <v/>
      </c>
      <c r="O26" s="66" t="str">
        <f>'Combined Delivery Data'!B25</f>
        <v>Leak 360 Dashboard</v>
      </c>
      <c r="P26" s="66">
        <f t="shared" si="0"/>
        <v>0</v>
      </c>
      <c r="Q26" s="66">
        <f t="shared" si="1"/>
        <v>0</v>
      </c>
      <c r="R26" s="67" t="str">
        <f t="shared" si="2"/>
        <v/>
      </c>
      <c r="S26" s="66" t="str">
        <f t="shared" si="3"/>
        <v/>
      </c>
    </row>
    <row r="27" spans="1:19" x14ac:dyDescent="0.25">
      <c r="A27" s="62"/>
      <c r="B27" s="63"/>
      <c r="C27" s="62" t="s">
        <v>20</v>
      </c>
      <c r="D27" s="62"/>
      <c r="E27" s="62"/>
      <c r="F27" s="62"/>
      <c r="G27" s="62" t="s">
        <v>26</v>
      </c>
      <c r="H27" s="63"/>
      <c r="I27" s="63"/>
      <c r="J27" s="63"/>
      <c r="K27" s="62"/>
      <c r="L27" s="62"/>
      <c r="M27" s="64" t="str">
        <f ca="1">IF($A27="","",IF($G27="Did not pass re-test","Sent back again",IF($G27="Yes",IF(AND(ISNUMBER($J27),ISNUMBER($B27)),"Fixed in "&amp;($J27-$B27)&amp;" d","Accepted"),IF(SUMPRODUCT(--(TRIM('Combined Delivery Data'!$B$2:$B$500)=TRIM($A27)))=0,"Not on main tab - renamed?",IF(NOT(ISNUMBER($B27)),"Missing or invalid sent-back date",IF($B27&gt;TODAY(),"Sent-back date is in future",IF(ISNUMBER($J27),IF($J27&lt;$B27,"Check dates - fixed before sent","Fixed in "&amp;($J27-$B27)&amp;" d"),IF(AND($I27&lt;&gt;"",NOT(ISNUMBER($I27))),"Check Expected Fix Date",IF($I27="","UNCLAIMED "&amp;(TODAY()-$B27)&amp;" d",IF(TODAY()&gt;$I27,(TODAY()-$I27)&amp;" d LATE","Open "&amp;(TODAY()-$B27)&amp;" d"))))))))))</f>
        <v/>
      </c>
      <c r="O27" s="66" t="str">
        <f>'Combined Delivery Data'!B26</f>
        <v>RPT_04_Leak Recheck Control</v>
      </c>
      <c r="P27" s="66">
        <f t="shared" si="0"/>
        <v>0</v>
      </c>
      <c r="Q27" s="66">
        <f t="shared" si="1"/>
        <v>0</v>
      </c>
      <c r="R27" s="67" t="str">
        <f t="shared" si="2"/>
        <v/>
      </c>
      <c r="S27" s="66" t="str">
        <f t="shared" si="3"/>
        <v/>
      </c>
    </row>
    <row r="28" spans="1:19" x14ac:dyDescent="0.25">
      <c r="A28" s="62"/>
      <c r="B28" s="63"/>
      <c r="C28" s="62" t="s">
        <v>20</v>
      </c>
      <c r="D28" s="62"/>
      <c r="E28" s="62"/>
      <c r="F28" s="62"/>
      <c r="G28" s="62" t="s">
        <v>26</v>
      </c>
      <c r="H28" s="63"/>
      <c r="I28" s="63"/>
      <c r="J28" s="63"/>
      <c r="K28" s="62"/>
      <c r="L28" s="62"/>
      <c r="M28" s="64" t="str">
        <f ca="1">IF($A28="","",IF($G28="Did not pass re-test","Sent back again",IF($G28="Yes",IF(AND(ISNUMBER($J28),ISNUMBER($B28)),"Fixed in "&amp;($J28-$B28)&amp;" d","Accepted"),IF(SUMPRODUCT(--(TRIM('Combined Delivery Data'!$B$2:$B$500)=TRIM($A28)))=0,"Not on main tab - renamed?",IF(NOT(ISNUMBER($B28)),"Missing or invalid sent-back date",IF($B28&gt;TODAY(),"Sent-back date is in future",IF(ISNUMBER($J28),IF($J28&lt;$B28,"Check dates - fixed before sent","Fixed in "&amp;($J28-$B28)&amp;" d"),IF(AND($I28&lt;&gt;"",NOT(ISNUMBER($I28))),"Check Expected Fix Date",IF($I28="","UNCLAIMED "&amp;(TODAY()-$B28)&amp;" d",IF(TODAY()&gt;$I28,(TODAY()-$I28)&amp;" d LATE","Open "&amp;(TODAY()-$B28)&amp;" d"))))))))))</f>
        <v/>
      </c>
      <c r="O28" s="66" t="str">
        <f>'Combined Delivery Data'!B27</f>
        <v>RPT_04_Main_Replacement Report</v>
      </c>
      <c r="P28" s="66">
        <f t="shared" si="0"/>
        <v>0</v>
      </c>
      <c r="Q28" s="66">
        <f t="shared" si="1"/>
        <v>0</v>
      </c>
      <c r="R28" s="67" t="str">
        <f t="shared" si="2"/>
        <v/>
      </c>
      <c r="S28" s="66" t="str">
        <f t="shared" si="3"/>
        <v/>
      </c>
    </row>
    <row r="29" spans="1:19" x14ac:dyDescent="0.25">
      <c r="A29" s="62"/>
      <c r="B29" s="63"/>
      <c r="C29" s="62" t="s">
        <v>20</v>
      </c>
      <c r="D29" s="62"/>
      <c r="E29" s="62"/>
      <c r="F29" s="62"/>
      <c r="G29" s="62" t="s">
        <v>26</v>
      </c>
      <c r="H29" s="63"/>
      <c r="I29" s="63"/>
      <c r="J29" s="63"/>
      <c r="K29" s="62"/>
      <c r="L29" s="62"/>
      <c r="M29" s="64" t="str">
        <f ca="1">IF($A29="","",IF($G29="Did not pass re-test","Sent back again",IF($G29="Yes",IF(AND(ISNUMBER($J29),ISNUMBER($B29)),"Fixed in "&amp;($J29-$B29)&amp;" d","Accepted"),IF(SUMPRODUCT(--(TRIM('Combined Delivery Data'!$B$2:$B$500)=TRIM($A29)))=0,"Not on main tab - renamed?",IF(NOT(ISNUMBER($B29)),"Missing or invalid sent-back date",IF($B29&gt;TODAY(),"Sent-back date is in future",IF(ISNUMBER($J29),IF($J29&lt;$B29,"Check dates - fixed before sent","Fixed in "&amp;($J29-$B29)&amp;" d"),IF(AND($I29&lt;&gt;"",NOT(ISNUMBER($I29))),"Check Expected Fix Date",IF($I29="","UNCLAIMED "&amp;(TODAY()-$B29)&amp;" d",IF(TODAY()&gt;$I29,(TODAY()-$I29)&amp;" d LATE","Open "&amp;(TODAY()-$B29)&amp;" d"))))))))))</f>
        <v/>
      </c>
      <c r="O29" s="66" t="str">
        <f>'Combined Delivery Data'!B28</f>
        <v>New Report: Leak Repair Exception</v>
      </c>
      <c r="P29" s="66">
        <f t="shared" si="0"/>
        <v>0</v>
      </c>
      <c r="Q29" s="66">
        <f t="shared" si="1"/>
        <v>0</v>
      </c>
      <c r="R29" s="67" t="str">
        <f t="shared" si="2"/>
        <v/>
      </c>
      <c r="S29" s="66" t="str">
        <f t="shared" si="3"/>
        <v/>
      </c>
    </row>
    <row r="30" spans="1:19" x14ac:dyDescent="0.25">
      <c r="A30" s="62"/>
      <c r="B30" s="63"/>
      <c r="C30" s="62" t="s">
        <v>20</v>
      </c>
      <c r="D30" s="62"/>
      <c r="E30" s="62"/>
      <c r="F30" s="62"/>
      <c r="G30" s="62" t="s">
        <v>26</v>
      </c>
      <c r="H30" s="63"/>
      <c r="I30" s="63"/>
      <c r="J30" s="63"/>
      <c r="K30" s="62"/>
      <c r="L30" s="62"/>
      <c r="M30" s="64" t="str">
        <f ca="1">IF($A30="","",IF($G30="Did not pass re-test","Sent back again",IF($G30="Yes",IF(AND(ISNUMBER($J30),ISNUMBER($B30)),"Fixed in "&amp;($J30-$B30)&amp;" d","Accepted"),IF(SUMPRODUCT(--(TRIM('Combined Delivery Data'!$B$2:$B$500)=TRIM($A30)))=0,"Not on main tab - renamed?",IF(NOT(ISNUMBER($B30)),"Missing or invalid sent-back date",IF($B30&gt;TODAY(),"Sent-back date is in future",IF(ISNUMBER($J30),IF($J30&lt;$B30,"Check dates - fixed before sent","Fixed in "&amp;($J30-$B30)&amp;" d"),IF(AND($I30&lt;&gt;"",NOT(ISNUMBER($I30))),"Check Expected Fix Date",IF($I30="","UNCLAIMED "&amp;(TODAY()-$B30)&amp;" d",IF(TODAY()&gt;$I30,(TODAY()-$I30)&amp;" d LATE","Open "&amp;(TODAY()-$B30)&amp;" d"))))))))))</f>
        <v/>
      </c>
      <c r="O30" s="66" t="str">
        <f>'Combined Delivery Data'!B29</f>
        <v>New Report: (Leak reading sample point mismatch ) Creating a new report that...</v>
      </c>
      <c r="P30" s="66">
        <f t="shared" si="0"/>
        <v>0</v>
      </c>
      <c r="Q30" s="66">
        <f t="shared" si="1"/>
        <v>0</v>
      </c>
      <c r="R30" s="67" t="str">
        <f t="shared" si="2"/>
        <v/>
      </c>
      <c r="S30" s="66" t="str">
        <f t="shared" si="3"/>
        <v/>
      </c>
    </row>
    <row r="31" spans="1:19" x14ac:dyDescent="0.25">
      <c r="A31" s="62"/>
      <c r="B31" s="63"/>
      <c r="C31" s="62" t="s">
        <v>20</v>
      </c>
      <c r="D31" s="62"/>
      <c r="E31" s="62"/>
      <c r="F31" s="62"/>
      <c r="G31" s="62" t="s">
        <v>26</v>
      </c>
      <c r="H31" s="63"/>
      <c r="I31" s="63"/>
      <c r="J31" s="63"/>
      <c r="K31" s="62"/>
      <c r="L31" s="62"/>
      <c r="M31" s="64" t="str">
        <f ca="1">IF($A31="","",IF($G31="Did not pass re-test","Sent back again",IF($G31="Yes",IF(AND(ISNUMBER($J31),ISNUMBER($B31)),"Fixed in "&amp;($J31-$B31)&amp;" d","Accepted"),IF(SUMPRODUCT(--(TRIM('Combined Delivery Data'!$B$2:$B$500)=TRIM($A31)))=0,"Not on main tab - renamed?",IF(NOT(ISNUMBER($B31)),"Missing or invalid sent-back date",IF($B31&gt;TODAY(),"Sent-back date is in future",IF(ISNUMBER($J31),IF($J31&lt;$B31,"Check dates - fixed before sent","Fixed in "&amp;($J31-$B31)&amp;" d"),IF(AND($I31&lt;&gt;"",NOT(ISNUMBER($I31))),"Check Expected Fix Date",IF($I31="","UNCLAIMED "&amp;(TODAY()-$B31)&amp;" d",IF(TODAY()&gt;$I31,(TODAY()-$I31)&amp;" d LATE","Open "&amp;(TODAY()-$B31)&amp;" d"))))))))))</f>
        <v/>
      </c>
      <c r="O31" s="66" t="str">
        <f>'Combined Delivery Data'!B30</f>
        <v>RPT_02_CO Flue Warning Tag Control</v>
      </c>
      <c r="P31" s="66">
        <f t="shared" si="0"/>
        <v>0</v>
      </c>
      <c r="Q31" s="66">
        <f t="shared" si="1"/>
        <v>0</v>
      </c>
      <c r="R31" s="67" t="str">
        <f t="shared" si="2"/>
        <v/>
      </c>
      <c r="S31" s="66" t="str">
        <f t="shared" si="3"/>
        <v/>
      </c>
    </row>
    <row r="32" spans="1:19" x14ac:dyDescent="0.25">
      <c r="A32" s="62"/>
      <c r="B32" s="63"/>
      <c r="C32" s="62" t="s">
        <v>20</v>
      </c>
      <c r="D32" s="62"/>
      <c r="E32" s="62"/>
      <c r="F32" s="62"/>
      <c r="G32" s="62" t="s">
        <v>26</v>
      </c>
      <c r="H32" s="63"/>
      <c r="I32" s="63"/>
      <c r="J32" s="63"/>
      <c r="K32" s="62"/>
      <c r="L32" s="62"/>
      <c r="M32" s="64" t="str">
        <f ca="1">IF($A32="","",IF($G32="Did not pass re-test","Sent back again",IF($G32="Yes",IF(AND(ISNUMBER($J32),ISNUMBER($B32)),"Fixed in "&amp;($J32-$B32)&amp;" d","Accepted"),IF(SUMPRODUCT(--(TRIM('Combined Delivery Data'!$B$2:$B$500)=TRIM($A32)))=0,"Not on main tab - renamed?",IF(NOT(ISNUMBER($B32)),"Missing or invalid sent-back date",IF($B32&gt;TODAY(),"Sent-back date is in future",IF(ISNUMBER($J32),IF($J32&lt;$B32,"Check dates - fixed before sent","Fixed in "&amp;($J32-$B32)&amp;" d"),IF(AND($I32&lt;&gt;"",NOT(ISNUMBER($I32))),"Check Expected Fix Date",IF($I32="","UNCLAIMED "&amp;(TODAY()-$B32)&amp;" d",IF(TODAY()&gt;$I32,(TODAY()-$I32)&amp;" d LATE","Open "&amp;(TODAY()-$B32)&amp;" d"))))))))))</f>
        <v/>
      </c>
      <c r="O32" s="66" t="str">
        <f>'Combined Delivery Data'!B31</f>
        <v>RPT_02_Warning Tag HEFPA</v>
      </c>
      <c r="P32" s="66">
        <f t="shared" si="0"/>
        <v>0</v>
      </c>
      <c r="Q32" s="66">
        <f t="shared" si="1"/>
        <v>0</v>
      </c>
      <c r="R32" s="67" t="str">
        <f t="shared" si="2"/>
        <v/>
      </c>
      <c r="S32" s="66" t="str">
        <f t="shared" si="3"/>
        <v/>
      </c>
    </row>
    <row r="33" spans="1:19" x14ac:dyDescent="0.25">
      <c r="A33" s="62"/>
      <c r="B33" s="63"/>
      <c r="C33" s="62" t="s">
        <v>20</v>
      </c>
      <c r="D33" s="62"/>
      <c r="E33" s="62"/>
      <c r="F33" s="62"/>
      <c r="G33" s="62" t="s">
        <v>26</v>
      </c>
      <c r="H33" s="63"/>
      <c r="I33" s="63"/>
      <c r="J33" s="63"/>
      <c r="K33" s="62"/>
      <c r="L33" s="62"/>
      <c r="M33" s="64" t="str">
        <f ca="1">IF($A33="","",IF($G33="Did not pass re-test","Sent back again",IF($G33="Yes",IF(AND(ISNUMBER($J33),ISNUMBER($B33)),"Fixed in "&amp;($J33-$B33)&amp;" d","Accepted"),IF(SUMPRODUCT(--(TRIM('Combined Delivery Data'!$B$2:$B$500)=TRIM($A33)))=0,"Not on main tab - renamed?",IF(NOT(ISNUMBER($B33)),"Missing or invalid sent-back date",IF($B33&gt;TODAY(),"Sent-back date is in future",IF(ISNUMBER($J33),IF($J33&lt;$B33,"Check dates - fixed before sent","Fixed in "&amp;($J33-$B33)&amp;" d"),IF(AND($I33&lt;&gt;"",NOT(ISNUMBER($I33))),"Check Expected Fix Date",IF($I33="","UNCLAIMED "&amp;(TODAY()-$B33)&amp;" d",IF(TODAY()&gt;$I33,(TODAY()-$I33)&amp;" d LATE","Open "&amp;(TODAY()-$B33)&amp;" d"))))))))))</f>
        <v/>
      </c>
      <c r="O33" s="66" t="str">
        <f>'Combined Delivery Data'!B32</f>
        <v>RPT_02_Warning tag Printout</v>
      </c>
      <c r="P33" s="66">
        <f t="shared" si="0"/>
        <v>0</v>
      </c>
      <c r="Q33" s="66">
        <f t="shared" si="1"/>
        <v>0</v>
      </c>
      <c r="R33" s="67" t="str">
        <f t="shared" si="2"/>
        <v/>
      </c>
      <c r="S33" s="66" t="str">
        <f t="shared" si="3"/>
        <v/>
      </c>
    </row>
    <row r="34" spans="1:19" x14ac:dyDescent="0.25">
      <c r="A34" s="62"/>
      <c r="B34" s="63"/>
      <c r="C34" s="62" t="s">
        <v>20</v>
      </c>
      <c r="D34" s="62"/>
      <c r="E34" s="62"/>
      <c r="F34" s="62"/>
      <c r="G34" s="62" t="s">
        <v>26</v>
      </c>
      <c r="H34" s="63"/>
      <c r="I34" s="63"/>
      <c r="J34" s="63"/>
      <c r="K34" s="62"/>
      <c r="L34" s="62"/>
      <c r="M34" s="64" t="str">
        <f ca="1">IF($A34="","",IF($G34="Did not pass re-test","Sent back again",IF($G34="Yes",IF(AND(ISNUMBER($J34),ISNUMBER($B34)),"Fixed in "&amp;($J34-$B34)&amp;" d","Accepted"),IF(SUMPRODUCT(--(TRIM('Combined Delivery Data'!$B$2:$B$500)=TRIM($A34)))=0,"Not on main tab - renamed?",IF(NOT(ISNUMBER($B34)),"Missing or invalid sent-back date",IF($B34&gt;TODAY(),"Sent-back date is in future",IF(ISNUMBER($J34),IF($J34&lt;$B34,"Check dates - fixed before sent","Fixed in "&amp;($J34-$B34)&amp;" d"),IF(AND($I34&lt;&gt;"",NOT(ISNUMBER($I34))),"Check Expected Fix Date",IF($I34="","UNCLAIMED "&amp;(TODAY()-$B34)&amp;" d",IF(TODAY()&gt;$I34,(TODAY()-$I34)&amp;" d LATE","Open "&amp;(TODAY()-$B34)&amp;" d"))))))))))</f>
        <v/>
      </c>
      <c r="O34" s="66" t="str">
        <f>'Combined Delivery Data'!B33</f>
        <v>RPT_02_Corrosion</v>
      </c>
      <c r="P34" s="66">
        <f t="shared" si="0"/>
        <v>0</v>
      </c>
      <c r="Q34" s="66">
        <f t="shared" si="1"/>
        <v>0</v>
      </c>
      <c r="R34" s="67" t="str">
        <f t="shared" si="2"/>
        <v/>
      </c>
      <c r="S34" s="66" t="str">
        <f t="shared" si="3"/>
        <v/>
      </c>
    </row>
    <row r="35" spans="1:19" x14ac:dyDescent="0.25">
      <c r="A35" s="62"/>
      <c r="B35" s="63"/>
      <c r="C35" s="62" t="s">
        <v>20</v>
      </c>
      <c r="D35" s="62"/>
      <c r="E35" s="62"/>
      <c r="F35" s="62"/>
      <c r="G35" s="62" t="s">
        <v>26</v>
      </c>
      <c r="H35" s="63"/>
      <c r="I35" s="63"/>
      <c r="J35" s="63"/>
      <c r="K35" s="62"/>
      <c r="L35" s="62"/>
      <c r="M35" s="64" t="str">
        <f ca="1">IF($A35="","",IF($G35="Did not pass re-test","Sent back again",IF($G35="Yes",IF(AND(ISNUMBER($J35),ISNUMBER($B35)),"Fixed in "&amp;($J35-$B35)&amp;" d","Accepted"),IF(SUMPRODUCT(--(TRIM('Combined Delivery Data'!$B$2:$B$500)=TRIM($A35)))=0,"Not on main tab - renamed?",IF(NOT(ISNUMBER($B35)),"Missing or invalid sent-back date",IF($B35&gt;TODAY(),"Sent-back date is in future",IF(ISNUMBER($J35),IF($J35&lt;$B35,"Check dates - fixed before sent","Fixed in "&amp;($J35-$B35)&amp;" d"),IF(AND($I35&lt;&gt;"",NOT(ISNUMBER($I35))),"Check Expected Fix Date",IF($I35="","UNCLAIMED "&amp;(TODAY()-$B35)&amp;" d",IF(TODAY()&gt;$I35,(TODAY()-$I35)&amp;" d LATE","Open "&amp;(TODAY()-$B35)&amp;" d"))))))))))</f>
        <v/>
      </c>
      <c r="O35" s="66" t="str">
        <f>'Combined Delivery Data'!B34</f>
        <v>RPT_02_House Pipe Test Comment Control</v>
      </c>
      <c r="P35" s="66">
        <f t="shared" si="0"/>
        <v>0</v>
      </c>
      <c r="Q35" s="66">
        <f t="shared" si="1"/>
        <v>0</v>
      </c>
      <c r="R35" s="67" t="str">
        <f t="shared" si="2"/>
        <v/>
      </c>
      <c r="S35" s="66" t="str">
        <f t="shared" si="3"/>
        <v/>
      </c>
    </row>
    <row r="36" spans="1:19" x14ac:dyDescent="0.25">
      <c r="A36" s="62"/>
      <c r="B36" s="63"/>
      <c r="C36" s="62" t="s">
        <v>20</v>
      </c>
      <c r="D36" s="62"/>
      <c r="E36" s="62"/>
      <c r="F36" s="62"/>
      <c r="G36" s="62" t="s">
        <v>26</v>
      </c>
      <c r="H36" s="63"/>
      <c r="I36" s="63"/>
      <c r="J36" s="63"/>
      <c r="K36" s="62"/>
      <c r="L36" s="62"/>
      <c r="M36" s="64" t="str">
        <f ca="1">IF($A36="","",IF($G36="Did not pass re-test","Sent back again",IF($G36="Yes",IF(AND(ISNUMBER($J36),ISNUMBER($B36)),"Fixed in "&amp;($J36-$B36)&amp;" d","Accepted"),IF(SUMPRODUCT(--(TRIM('Combined Delivery Data'!$B$2:$B$500)=TRIM($A36)))=0,"Not on main tab - renamed?",IF(NOT(ISNUMBER($B36)),"Missing or invalid sent-back date",IF($B36&gt;TODAY(),"Sent-back date is in future",IF(ISNUMBER($J36),IF($J36&lt;$B36,"Check dates - fixed before sent","Fixed in "&amp;($J36-$B36)&amp;" d"),IF(AND($I36&lt;&gt;"",NOT(ISNUMBER($I36))),"Check Expected Fix Date",IF($I36="","UNCLAIMED "&amp;(TODAY()-$B36)&amp;" d",IF(TODAY()&gt;$I36,(TODAY()-$I36)&amp;" d LATE","Open "&amp;(TODAY()-$B36)&amp;" d"))))))))))</f>
        <v/>
      </c>
      <c r="O36" s="66" t="str">
        <f>'Combined Delivery Data'!B35</f>
        <v>RPT_02_Required Regulator Inspection Performed Control</v>
      </c>
      <c r="P36" s="66">
        <f t="shared" si="0"/>
        <v>1</v>
      </c>
      <c r="Q36" s="66">
        <f t="shared" si="1"/>
        <v>0</v>
      </c>
      <c r="R36" s="67" t="str">
        <f t="shared" si="2"/>
        <v/>
      </c>
      <c r="S36" s="66" t="str">
        <f t="shared" si="3"/>
        <v/>
      </c>
    </row>
    <row r="37" spans="1:19" x14ac:dyDescent="0.25">
      <c r="A37" s="62"/>
      <c r="B37" s="63"/>
      <c r="C37" s="62" t="s">
        <v>20</v>
      </c>
      <c r="D37" s="62"/>
      <c r="E37" s="62"/>
      <c r="F37" s="62"/>
      <c r="G37" s="62" t="s">
        <v>26</v>
      </c>
      <c r="H37" s="63"/>
      <c r="I37" s="63"/>
      <c r="J37" s="63"/>
      <c r="K37" s="62"/>
      <c r="L37" s="62"/>
      <c r="M37" s="64" t="str">
        <f ca="1">IF($A37="","",IF($G37="Did not pass re-test","Sent back again",IF($G37="Yes",IF(AND(ISNUMBER($J37),ISNUMBER($B37)),"Fixed in "&amp;($J37-$B37)&amp;" d","Accepted"),IF(SUMPRODUCT(--(TRIM('Combined Delivery Data'!$B$2:$B$500)=TRIM($A37)))=0,"Not on main tab - renamed?",IF(NOT(ISNUMBER($B37)),"Missing or invalid sent-back date",IF($B37&gt;TODAY(),"Sent-back date is in future",IF(ISNUMBER($J37),IF($J37&lt;$B37,"Check dates - fixed before sent","Fixed in "&amp;($J37-$B37)&amp;" d"),IF(AND($I37&lt;&gt;"",NOT(ISNUMBER($I37))),"Check Expected Fix Date",IF($I37="","UNCLAIMED "&amp;(TODAY()-$B37)&amp;" d",IF(TODAY()&gt;$I37,(TODAY()-$I37)&amp;" d LATE","Open "&amp;(TODAY()-$B37)&amp;" d"))))))))))</f>
        <v/>
      </c>
      <c r="O37" s="66" t="str">
        <f>'Combined Delivery Data'!B36</f>
        <v>RPT_02_Service Regulator Inspections</v>
      </c>
      <c r="P37" s="66">
        <f t="shared" si="0"/>
        <v>0</v>
      </c>
      <c r="Q37" s="66">
        <f t="shared" si="1"/>
        <v>0</v>
      </c>
      <c r="R37" s="67" t="str">
        <f t="shared" si="2"/>
        <v/>
      </c>
      <c r="S37" s="66" t="str">
        <f t="shared" si="3"/>
        <v/>
      </c>
    </row>
    <row r="38" spans="1:19" x14ac:dyDescent="0.25">
      <c r="A38" s="62"/>
      <c r="B38" s="63"/>
      <c r="C38" s="62" t="s">
        <v>20</v>
      </c>
      <c r="D38" s="62"/>
      <c r="E38" s="62"/>
      <c r="F38" s="62"/>
      <c r="G38" s="62" t="s">
        <v>26</v>
      </c>
      <c r="H38" s="63"/>
      <c r="I38" s="63"/>
      <c r="J38" s="63"/>
      <c r="K38" s="62"/>
      <c r="L38" s="62"/>
      <c r="M38" s="64" t="str">
        <f ca="1">IF($A38="","",IF($G38="Did not pass re-test","Sent back again",IF($G38="Yes",IF(AND(ISNUMBER($J38),ISNUMBER($B38)),"Fixed in "&amp;($J38-$B38)&amp;" d","Accepted"),IF(SUMPRODUCT(--(TRIM('Combined Delivery Data'!$B$2:$B$500)=TRIM($A38)))=0,"Not on main tab - renamed?",IF(NOT(ISNUMBER($B38)),"Missing or invalid sent-back date",IF($B38&gt;TODAY(),"Sent-back date is in future",IF(ISNUMBER($J38),IF($J38&lt;$B38,"Check dates - fixed before sent","Fixed in "&amp;($J38-$B38)&amp;" d"),IF(AND($I38&lt;&gt;"",NOT(ISNUMBER($I38))),"Check Expected Fix Date",IF($I38="","UNCLAIMED "&amp;(TODAY()-$B38)&amp;" d",IF(TODAY()&gt;$I38,(TODAY()-$I38)&amp;" d LATE","Open "&amp;(TODAY()-$B38)&amp;" d"))))))))))</f>
        <v/>
      </c>
      <c r="O38" s="66" t="str">
        <f>'Combined Delivery Data'!B37</f>
        <v>RPT_02_Service Regulator Inspection Printout</v>
      </c>
      <c r="P38" s="66">
        <f t="shared" si="0"/>
        <v>0</v>
      </c>
      <c r="Q38" s="66">
        <f t="shared" si="1"/>
        <v>0</v>
      </c>
      <c r="R38" s="67" t="str">
        <f t="shared" si="2"/>
        <v/>
      </c>
      <c r="S38" s="66" t="str">
        <f t="shared" si="3"/>
        <v/>
      </c>
    </row>
    <row r="39" spans="1:19" x14ac:dyDescent="0.25">
      <c r="A39" s="62"/>
      <c r="B39" s="63"/>
      <c r="C39" s="62" t="s">
        <v>20</v>
      </c>
      <c r="D39" s="62"/>
      <c r="E39" s="62"/>
      <c r="F39" s="62"/>
      <c r="G39" s="62" t="s">
        <v>26</v>
      </c>
      <c r="H39" s="63"/>
      <c r="I39" s="63"/>
      <c r="J39" s="63"/>
      <c r="K39" s="62"/>
      <c r="L39" s="62"/>
      <c r="M39" s="64" t="str">
        <f ca="1">IF($A39="","",IF($G39="Did not pass re-test","Sent back again",IF($G39="Yes",IF(AND(ISNUMBER($J39),ISNUMBER($B39)),"Fixed in "&amp;($J39-$B39)&amp;" d","Accepted"),IF(SUMPRODUCT(--(TRIM('Combined Delivery Data'!$B$2:$B$500)=TRIM($A39)))=0,"Not on main tab - renamed?",IF(NOT(ISNUMBER($B39)),"Missing or invalid sent-back date",IF($B39&gt;TODAY(),"Sent-back date is in future",IF(ISNUMBER($J39),IF($J39&lt;$B39,"Check dates - fixed before sent","Fixed in "&amp;($J39-$B39)&amp;" d"),IF(AND($I39&lt;&gt;"",NOT(ISNUMBER($I39))),"Check Expected Fix Date",IF($I39="","UNCLAIMED "&amp;(TODAY()-$B39)&amp;" d",IF(TODAY()&gt;$I39,(TODAY()-$I39)&amp;" d LATE","Open "&amp;(TODAY()-$B39)&amp;" d"))))))))))</f>
        <v/>
      </c>
      <c r="O39" s="66" t="str">
        <f>'Combined Delivery Data'!B38</f>
        <v>RPT_02_20 Year Regulator Inspection</v>
      </c>
      <c r="P39" s="66">
        <f t="shared" si="0"/>
        <v>0</v>
      </c>
      <c r="Q39" s="66">
        <f t="shared" si="1"/>
        <v>0</v>
      </c>
      <c r="R39" s="67" t="str">
        <f t="shared" si="2"/>
        <v/>
      </c>
      <c r="S39" s="66" t="str">
        <f t="shared" si="3"/>
        <v/>
      </c>
    </row>
    <row r="40" spans="1:19" x14ac:dyDescent="0.25">
      <c r="A40" s="62"/>
      <c r="B40" s="63"/>
      <c r="C40" s="62" t="s">
        <v>20</v>
      </c>
      <c r="D40" s="62"/>
      <c r="E40" s="62"/>
      <c r="F40" s="62"/>
      <c r="G40" s="62" t="s">
        <v>26</v>
      </c>
      <c r="H40" s="63"/>
      <c r="I40" s="63"/>
      <c r="J40" s="63"/>
      <c r="K40" s="62"/>
      <c r="L40" s="62"/>
      <c r="M40" s="64" t="str">
        <f ca="1">IF($A40="","",IF($G40="Did not pass re-test","Sent back again",IF($G40="Yes",IF(AND(ISNUMBER($J40),ISNUMBER($B40)),"Fixed in "&amp;($J40-$B40)&amp;" d","Accepted"),IF(SUMPRODUCT(--(TRIM('Combined Delivery Data'!$B$2:$B$500)=TRIM($A40)))=0,"Not on main tab - renamed?",IF(NOT(ISNUMBER($B40)),"Missing or invalid sent-back date",IF($B40&gt;TODAY(),"Sent-back date is in future",IF(ISNUMBER($J40),IF($J40&lt;$B40,"Check dates - fixed before sent","Fixed in "&amp;($J40-$B40)&amp;" d"),IF(AND($I40&lt;&gt;"",NOT(ISNUMBER($I40))),"Check Expected Fix Date",IF($I40="","UNCLAIMED "&amp;(TODAY()-$B40)&amp;" d",IF(TODAY()&gt;$I40,(TODAY()-$I40)&amp;" d LATE","Open "&amp;(TODAY()-$B40)&amp;" d"))))))))))</f>
        <v/>
      </c>
      <c r="O40" s="66" t="str">
        <f>'Combined Delivery Data'!B39</f>
        <v>RPT_02_Fixed Factor</v>
      </c>
      <c r="P40" s="66">
        <f t="shared" si="0"/>
        <v>0</v>
      </c>
      <c r="Q40" s="66">
        <f t="shared" si="1"/>
        <v>0</v>
      </c>
      <c r="R40" s="67" t="str">
        <f t="shared" si="2"/>
        <v/>
      </c>
      <c r="S40" s="66" t="str">
        <f t="shared" si="3"/>
        <v/>
      </c>
    </row>
    <row r="41" spans="1:19" x14ac:dyDescent="0.25">
      <c r="A41" s="62"/>
      <c r="B41" s="63"/>
      <c r="C41" s="62" t="s">
        <v>20</v>
      </c>
      <c r="D41" s="62"/>
      <c r="E41" s="62"/>
      <c r="F41" s="62"/>
      <c r="G41" s="62" t="s">
        <v>26</v>
      </c>
      <c r="H41" s="63"/>
      <c r="I41" s="63"/>
      <c r="J41" s="63"/>
      <c r="K41" s="62"/>
      <c r="L41" s="62"/>
      <c r="M41" s="64" t="str">
        <f ca="1">IF($A41="","",IF($G41="Did not pass re-test","Sent back again",IF($G41="Yes",IF(AND(ISNUMBER($J41),ISNUMBER($B41)),"Fixed in "&amp;($J41-$B41)&amp;" d","Accepted"),IF(SUMPRODUCT(--(TRIM('Combined Delivery Data'!$B$2:$B$500)=TRIM($A41)))=0,"Not on main tab - renamed?",IF(NOT(ISNUMBER($B41)),"Missing or invalid sent-back date",IF($B41&gt;TODAY(),"Sent-back date is in future",IF(ISNUMBER($J41),IF($J41&lt;$B41,"Check dates - fixed before sent","Fixed in "&amp;($J41-$B41)&amp;" d"),IF(AND($I41&lt;&gt;"",NOT(ISNUMBER($I41))),"Check Expected Fix Date",IF($I41="","UNCLAIMED "&amp;(TODAY()-$B41)&amp;" d",IF(TODAY()&gt;$I41,(TODAY()-$I41)&amp;" d LATE","Open "&amp;(TODAY()-$B41)&amp;" d"))))))))))</f>
        <v/>
      </c>
      <c r="O41" s="66" t="str">
        <f>'Combined Delivery Data'!B40</f>
        <v>RPT_02_Fixed Factor Printout</v>
      </c>
      <c r="P41" s="66">
        <f t="shared" si="0"/>
        <v>0</v>
      </c>
      <c r="Q41" s="66">
        <f t="shared" si="1"/>
        <v>0</v>
      </c>
      <c r="R41" s="67" t="str">
        <f t="shared" si="2"/>
        <v/>
      </c>
      <c r="S41" s="66" t="str">
        <f t="shared" si="3"/>
        <v/>
      </c>
    </row>
    <row r="42" spans="1:19" x14ac:dyDescent="0.25">
      <c r="A42" s="62"/>
      <c r="B42" s="63"/>
      <c r="C42" s="62" t="s">
        <v>20</v>
      </c>
      <c r="D42" s="62"/>
      <c r="E42" s="62"/>
      <c r="F42" s="62"/>
      <c r="G42" s="62" t="s">
        <v>26</v>
      </c>
      <c r="H42" s="63"/>
      <c r="I42" s="63"/>
      <c r="J42" s="63"/>
      <c r="K42" s="62"/>
      <c r="L42" s="62"/>
      <c r="M42" s="64" t="str">
        <f ca="1">IF($A42="","",IF($G42="Did not pass re-test","Sent back again",IF($G42="Yes",IF(AND(ISNUMBER($J42),ISNUMBER($B42)),"Fixed in "&amp;($J42-$B42)&amp;" d","Accepted"),IF(SUMPRODUCT(--(TRIM('Combined Delivery Data'!$B$2:$B$500)=TRIM($A42)))=0,"Not on main tab - renamed?",IF(NOT(ISNUMBER($B42)),"Missing or invalid sent-back date",IF($B42&gt;TODAY(),"Sent-back date is in future",IF(ISNUMBER($J42),IF($J42&lt;$B42,"Check dates - fixed before sent","Fixed in "&amp;($J42-$B42)&amp;" d"),IF(AND($I42&lt;&gt;"",NOT(ISNUMBER($I42))),"Check Expected Fix Date",IF($I42="","UNCLAIMED "&amp;(TODAY()-$B42)&amp;" d",IF(TODAY()&gt;$I42,(TODAY()-$I42)&amp;" d LATE","Open "&amp;(TODAY()-$B42)&amp;" d"))))))))))</f>
        <v/>
      </c>
      <c r="O42" s="66" t="str">
        <f>'Combined Delivery Data'!B41</f>
        <v>RPT_02_Work Order Completion Printout</v>
      </c>
      <c r="P42" s="66">
        <f t="shared" si="0"/>
        <v>0</v>
      </c>
      <c r="Q42" s="66">
        <f t="shared" si="1"/>
        <v>0</v>
      </c>
      <c r="R42" s="67" t="str">
        <f t="shared" si="2"/>
        <v/>
      </c>
      <c r="S42" s="66" t="str">
        <f t="shared" si="3"/>
        <v/>
      </c>
    </row>
    <row r="43" spans="1:19" x14ac:dyDescent="0.25">
      <c r="A43" s="62"/>
      <c r="B43" s="63"/>
      <c r="C43" s="62" t="s">
        <v>20</v>
      </c>
      <c r="D43" s="62"/>
      <c r="E43" s="62"/>
      <c r="F43" s="62"/>
      <c r="G43" s="62" t="s">
        <v>26</v>
      </c>
      <c r="H43" s="63"/>
      <c r="I43" s="63"/>
      <c r="J43" s="63"/>
      <c r="K43" s="62"/>
      <c r="L43" s="62"/>
      <c r="M43" s="64" t="str">
        <f ca="1">IF($A43="","",IF($G43="Did not pass re-test","Sent back again",IF($G43="Yes",IF(AND(ISNUMBER($J43),ISNUMBER($B43)),"Fixed in "&amp;($J43-$B43)&amp;" d","Accepted"),IF(SUMPRODUCT(--(TRIM('Combined Delivery Data'!$B$2:$B$500)=TRIM($A43)))=0,"Not on main tab - renamed?",IF(NOT(ISNUMBER($B43)),"Missing or invalid sent-back date",IF($B43&gt;TODAY(),"Sent-back date is in future",IF(ISNUMBER($J43),IF($J43&lt;$B43,"Check dates - fixed before sent","Fixed in "&amp;($J43-$B43)&amp;" d"),IF(AND($I43&lt;&gt;"",NOT(ISNUMBER($I43))),"Check Expected Fix Date",IF($I43="","UNCLAIMED "&amp;(TODAY()-$B43)&amp;" d",IF(TODAY()&gt;$I43,(TODAY()-$I43)&amp;" d LATE","Open "&amp;(TODAY()-$B43)&amp;" d"))))))))))</f>
        <v/>
      </c>
      <c r="O43" s="66" t="str">
        <f>'Combined Delivery Data'!B42</f>
        <v>RPT_02_GRO Control</v>
      </c>
      <c r="P43" s="66">
        <f t="shared" si="0"/>
        <v>0</v>
      </c>
      <c r="Q43" s="66">
        <f t="shared" si="1"/>
        <v>0</v>
      </c>
      <c r="R43" s="67" t="str">
        <f t="shared" si="2"/>
        <v/>
      </c>
      <c r="S43" s="66" t="str">
        <f t="shared" si="3"/>
        <v/>
      </c>
    </row>
    <row r="44" spans="1:19" x14ac:dyDescent="0.25">
      <c r="A44" s="62"/>
      <c r="B44" s="63"/>
      <c r="C44" s="62" t="s">
        <v>20</v>
      </c>
      <c r="D44" s="62"/>
      <c r="E44" s="62"/>
      <c r="F44" s="62"/>
      <c r="G44" s="62" t="s">
        <v>26</v>
      </c>
      <c r="H44" s="63"/>
      <c r="I44" s="63"/>
      <c r="J44" s="63"/>
      <c r="K44" s="62"/>
      <c r="L44" s="62"/>
      <c r="M44" s="64" t="str">
        <f ca="1">IF($A44="","",IF($G44="Did not pass re-test","Sent back again",IF($G44="Yes",IF(AND(ISNUMBER($J44),ISNUMBER($B44)),"Fixed in "&amp;($J44-$B44)&amp;" d","Accepted"),IF(SUMPRODUCT(--(TRIM('Combined Delivery Data'!$B$2:$B$500)=TRIM($A44)))=0,"Not on main tab - renamed?",IF(NOT(ISNUMBER($B44)),"Missing or invalid sent-back date",IF($B44&gt;TODAY(),"Sent-back date is in future",IF(ISNUMBER($J44),IF($J44&lt;$B44,"Check dates - fixed before sent","Fixed in "&amp;($J44-$B44)&amp;" d"),IF(AND($I44&lt;&gt;"",NOT(ISNUMBER($I44))),"Check Expected Fix Date",IF($I44="","UNCLAIMED "&amp;(TODAY()-$B44)&amp;" d",IF(TODAY()&gt;$I44,(TODAY()-$I44)&amp;" d LATE","Open "&amp;(TODAY()-$B44)&amp;" d"))))))))))</f>
        <v/>
      </c>
      <c r="O44" s="66" t="str">
        <f>'Combined Delivery Data'!B43</f>
        <v>RPT_02_GRO Monitor</v>
      </c>
      <c r="P44" s="66">
        <f t="shared" si="0"/>
        <v>0</v>
      </c>
      <c r="Q44" s="66">
        <f t="shared" si="1"/>
        <v>0</v>
      </c>
      <c r="R44" s="67" t="str">
        <f t="shared" si="2"/>
        <v/>
      </c>
      <c r="S44" s="66" t="str">
        <f t="shared" si="3"/>
        <v/>
      </c>
    </row>
    <row r="45" spans="1:19" x14ac:dyDescent="0.25">
      <c r="A45" s="62"/>
      <c r="B45" s="63"/>
      <c r="C45" s="62" t="s">
        <v>20</v>
      </c>
      <c r="D45" s="62"/>
      <c r="E45" s="62"/>
      <c r="F45" s="62"/>
      <c r="G45" s="62" t="s">
        <v>26</v>
      </c>
      <c r="H45" s="63"/>
      <c r="I45" s="63"/>
      <c r="J45" s="63"/>
      <c r="K45" s="62"/>
      <c r="L45" s="62"/>
      <c r="M45" s="64" t="str">
        <f ca="1">IF($A45="","",IF($G45="Did not pass re-test","Sent back again",IF($G45="Yes",IF(AND(ISNUMBER($J45),ISNUMBER($B45)),"Fixed in "&amp;($J45-$B45)&amp;" d","Accepted"),IF(SUMPRODUCT(--(TRIM('Combined Delivery Data'!$B$2:$B$500)=TRIM($A45)))=0,"Not on main tab - renamed?",IF(NOT(ISNUMBER($B45)),"Missing or invalid sent-back date",IF($B45&gt;TODAY(),"Sent-back date is in future",IF(ISNUMBER($J45),IF($J45&lt;$B45,"Check dates - fixed before sent","Fixed in "&amp;($J45-$B45)&amp;" d"),IF(AND($I45&lt;&gt;"",NOT(ISNUMBER($I45))),"Check Expected Fix Date",IF($I45="","UNCLAIMED "&amp;(TODAY()-$B45)&amp;" d",IF(TODAY()&gt;$I45,(TODAY()-$I45)&amp;" d LATE","Open "&amp;(TODAY()-$B45)&amp;" d"))))))))))</f>
        <v/>
      </c>
      <c r="O45" s="66" t="str">
        <f>'Combined Delivery Data'!B44</f>
        <v>RPT_02_Public Buildings Inspection</v>
      </c>
      <c r="P45" s="66">
        <f t="shared" si="0"/>
        <v>0</v>
      </c>
      <c r="Q45" s="66">
        <f t="shared" si="1"/>
        <v>0</v>
      </c>
      <c r="R45" s="67" t="str">
        <f t="shared" si="2"/>
        <v/>
      </c>
      <c r="S45" s="66" t="str">
        <f t="shared" si="3"/>
        <v/>
      </c>
    </row>
    <row r="46" spans="1:19" x14ac:dyDescent="0.25">
      <c r="A46" s="62"/>
      <c r="B46" s="63"/>
      <c r="C46" s="62" t="s">
        <v>20</v>
      </c>
      <c r="D46" s="62"/>
      <c r="E46" s="62"/>
      <c r="F46" s="62"/>
      <c r="G46" s="62" t="s">
        <v>26</v>
      </c>
      <c r="H46" s="63"/>
      <c r="I46" s="63"/>
      <c r="J46" s="63"/>
      <c r="K46" s="62"/>
      <c r="L46" s="62"/>
      <c r="M46" s="64" t="str">
        <f ca="1">IF($A46="","",IF($G46="Did not pass re-test","Sent back again",IF($G46="Yes",IF(AND(ISNUMBER($J46),ISNUMBER($B46)),"Fixed in "&amp;($J46-$B46)&amp;" d","Accepted"),IF(SUMPRODUCT(--(TRIM('Combined Delivery Data'!$B$2:$B$500)=TRIM($A46)))=0,"Not on main tab - renamed?",IF(NOT(ISNUMBER($B46)),"Missing or invalid sent-back date",IF($B46&gt;TODAY(),"Sent-back date is in future",IF(ISNUMBER($J46),IF($J46&lt;$B46,"Check dates - fixed before sent","Fixed in "&amp;($J46-$B46)&amp;" d"),IF(AND($I46&lt;&gt;"",NOT(ISNUMBER($I46))),"Check Expected Fix Date",IF($I46="","UNCLAIMED "&amp;(TODAY()-$B46)&amp;" d",IF(TODAY()&gt;$I46,(TODAY()-$I46)&amp;" d LATE","Open "&amp;(TODAY()-$B46)&amp;" d"))))))))))</f>
        <v/>
      </c>
      <c r="O46" s="66" t="str">
        <f>'Combined Delivery Data'!B45</f>
        <v>RPT_02_Investigate Wall Check and Service Check</v>
      </c>
      <c r="P46" s="66">
        <f t="shared" si="0"/>
        <v>0</v>
      </c>
      <c r="Q46" s="66">
        <f t="shared" si="1"/>
        <v>0</v>
      </c>
      <c r="R46" s="67" t="str">
        <f t="shared" si="2"/>
        <v/>
      </c>
      <c r="S46" s="66" t="str">
        <f t="shared" si="3"/>
        <v/>
      </c>
    </row>
    <row r="47" spans="1:19" x14ac:dyDescent="0.25">
      <c r="A47" s="62"/>
      <c r="B47" s="63"/>
      <c r="C47" s="62" t="s">
        <v>20</v>
      </c>
      <c r="D47" s="62"/>
      <c r="E47" s="62"/>
      <c r="F47" s="62"/>
      <c r="G47" s="62" t="s">
        <v>26</v>
      </c>
      <c r="H47" s="63"/>
      <c r="I47" s="63"/>
      <c r="J47" s="63"/>
      <c r="K47" s="62"/>
      <c r="L47" s="62"/>
      <c r="M47" s="64" t="str">
        <f ca="1">IF($A47="","",IF($G47="Did not pass re-test","Sent back again",IF($G47="Yes",IF(AND(ISNUMBER($J47),ISNUMBER($B47)),"Fixed in "&amp;($J47-$B47)&amp;" d","Accepted"),IF(SUMPRODUCT(--(TRIM('Combined Delivery Data'!$B$2:$B$500)=TRIM($A47)))=0,"Not on main tab - renamed?",IF(NOT(ISNUMBER($B47)),"Missing or invalid sent-back date",IF($B47&gt;TODAY(),"Sent-back date is in future",IF(ISNUMBER($J47),IF($J47&lt;$B47,"Check dates - fixed before sent","Fixed in "&amp;($J47-$B47)&amp;" d"),IF(AND($I47&lt;&gt;"",NOT(ISNUMBER($I47))),"Check Expected Fix Date",IF($I47="","UNCLAIMED "&amp;(TODAY()-$B47)&amp;" d",IF(TODAY()&gt;$I47,(TODAY()-$I47)&amp;" d LATE","Open "&amp;(TODAY()-$B47)&amp;" d"))))))))))</f>
        <v/>
      </c>
      <c r="O47" s="66" t="str">
        <f>'Combined Delivery Data'!B46</f>
        <v>RPT_02_Cut Out Orders</v>
      </c>
      <c r="P47" s="66">
        <f t="shared" si="0"/>
        <v>0</v>
      </c>
      <c r="Q47" s="66">
        <f t="shared" si="1"/>
        <v>0</v>
      </c>
      <c r="R47" s="67" t="str">
        <f t="shared" si="2"/>
        <v/>
      </c>
      <c r="S47" s="66" t="str">
        <f t="shared" si="3"/>
        <v/>
      </c>
    </row>
    <row r="48" spans="1:19" x14ac:dyDescent="0.25">
      <c r="A48" s="62"/>
      <c r="B48" s="63"/>
      <c r="C48" s="62" t="s">
        <v>20</v>
      </c>
      <c r="D48" s="62"/>
      <c r="E48" s="62"/>
      <c r="F48" s="62"/>
      <c r="G48" s="62" t="s">
        <v>26</v>
      </c>
      <c r="H48" s="63"/>
      <c r="I48" s="63"/>
      <c r="J48" s="63"/>
      <c r="K48" s="62"/>
      <c r="L48" s="62"/>
      <c r="M48" s="64" t="str">
        <f ca="1">IF($A48="","",IF($G48="Did not pass re-test","Sent back again",IF($G48="Yes",IF(AND(ISNUMBER($J48),ISNUMBER($B48)),"Fixed in "&amp;($J48-$B48)&amp;" d","Accepted"),IF(SUMPRODUCT(--(TRIM('Combined Delivery Data'!$B$2:$B$500)=TRIM($A48)))=0,"Not on main tab - renamed?",IF(NOT(ISNUMBER($B48)),"Missing or invalid sent-back date",IF($B48&gt;TODAY(),"Sent-back date is in future",IF(ISNUMBER($J48),IF($J48&lt;$B48,"Check dates - fixed before sent","Fixed in "&amp;($J48-$B48)&amp;" d"),IF(AND($I48&lt;&gt;"",NOT(ISNUMBER($I48))),"Check Expected Fix Date",IF($I48="","UNCLAIMED "&amp;(TODAY()-$B48)&amp;" d",IF(TODAY()&gt;$I48,(TODAY()-$I48)&amp;" d LATE","Open "&amp;(TODAY()-$B48)&amp;" d"))))))))))</f>
        <v/>
      </c>
      <c r="O48" s="66" t="str">
        <f>'Combined Delivery Data'!B47</f>
        <v>RPT_02_Gas Trouble</v>
      </c>
      <c r="P48" s="66">
        <f t="shared" si="0"/>
        <v>0</v>
      </c>
      <c r="Q48" s="66">
        <f t="shared" si="1"/>
        <v>0</v>
      </c>
      <c r="R48" s="67" t="str">
        <f t="shared" si="2"/>
        <v/>
      </c>
      <c r="S48" s="66" t="str">
        <f t="shared" si="3"/>
        <v/>
      </c>
    </row>
    <row r="49" spans="1:19" x14ac:dyDescent="0.25">
      <c r="A49" s="62"/>
      <c r="B49" s="63"/>
      <c r="C49" s="62" t="s">
        <v>20</v>
      </c>
      <c r="D49" s="62"/>
      <c r="E49" s="62"/>
      <c r="F49" s="62"/>
      <c r="G49" s="62" t="s">
        <v>26</v>
      </c>
      <c r="H49" s="63"/>
      <c r="I49" s="63"/>
      <c r="J49" s="63"/>
      <c r="K49" s="62"/>
      <c r="L49" s="62"/>
      <c r="M49" s="64" t="str">
        <f ca="1">IF($A49="","",IF($G49="Did not pass re-test","Sent back again",IF($G49="Yes",IF(AND(ISNUMBER($J49),ISNUMBER($B49)),"Fixed in "&amp;($J49-$B49)&amp;" d","Accepted"),IF(SUMPRODUCT(--(TRIM('Combined Delivery Data'!$B$2:$B$500)=TRIM($A49)))=0,"Not on main tab - renamed?",IF(NOT(ISNUMBER($B49)),"Missing or invalid sent-back date",IF($B49&gt;TODAY(),"Sent-back date is in future",IF(ISNUMBER($J49),IF($J49&lt;$B49,"Check dates - fixed before sent","Fixed in "&amp;($J49-$B49)&amp;" d"),IF(AND($I49&lt;&gt;"",NOT(ISNUMBER($I49))),"Check Expected Fix Date",IF($I49="","UNCLAIMED "&amp;(TODAY()-$B49)&amp;" d",IF(TODAY()&gt;$I49,(TODAY()-$I49)&amp;" d LATE","Open "&amp;(TODAY()-$B49)&amp;" d"))))))))))</f>
        <v/>
      </c>
      <c r="O49" s="66" t="str">
        <f>'Combined Delivery Data'!B48</f>
        <v>RPT_02_Wall Check Control</v>
      </c>
      <c r="P49" s="66">
        <f t="shared" si="0"/>
        <v>0</v>
      </c>
      <c r="Q49" s="66">
        <f t="shared" si="1"/>
        <v>0</v>
      </c>
      <c r="R49" s="67" t="str">
        <f t="shared" si="2"/>
        <v/>
      </c>
      <c r="S49" s="66" t="str">
        <f t="shared" si="3"/>
        <v/>
      </c>
    </row>
    <row r="50" spans="1:19" x14ac:dyDescent="0.25">
      <c r="A50" s="62"/>
      <c r="B50" s="63"/>
      <c r="C50" s="62" t="s">
        <v>20</v>
      </c>
      <c r="D50" s="62"/>
      <c r="E50" s="62"/>
      <c r="F50" s="62"/>
      <c r="G50" s="62" t="s">
        <v>26</v>
      </c>
      <c r="H50" s="63"/>
      <c r="I50" s="63"/>
      <c r="J50" s="63"/>
      <c r="K50" s="62"/>
      <c r="L50" s="62"/>
      <c r="M50" s="64" t="str">
        <f ca="1">IF($A50="","",IF($G50="Did not pass re-test","Sent back again",IF($G50="Yes",IF(AND(ISNUMBER($J50),ISNUMBER($B50)),"Fixed in "&amp;($J50-$B50)&amp;" d","Accepted"),IF(SUMPRODUCT(--(TRIM('Combined Delivery Data'!$B$2:$B$500)=TRIM($A50)))=0,"Not on main tab - renamed?",IF(NOT(ISNUMBER($B50)),"Missing or invalid sent-back date",IF($B50&gt;TODAY(),"Sent-back date is in future",IF(ISNUMBER($J50),IF($J50&lt;$B50,"Check dates - fixed before sent","Fixed in "&amp;($J50-$B50)&amp;" d"),IF(AND($I50&lt;&gt;"",NOT(ISNUMBER($I50))),"Check Expected Fix Date",IF($I50="","UNCLAIMED "&amp;(TODAY()-$B50)&amp;" d",IF(TODAY()&gt;$I50,(TODAY()-$I50)&amp;" d LATE","Open "&amp;(TODAY()-$B50)&amp;" d"))))))))))</f>
        <v/>
      </c>
      <c r="O50" s="66" t="str">
        <f>'Combined Delivery Data'!B49</f>
        <v>RPT_02_High Pressure Steel Inside Inspection</v>
      </c>
      <c r="P50" s="66">
        <f t="shared" si="0"/>
        <v>0</v>
      </c>
      <c r="Q50" s="66">
        <f t="shared" si="1"/>
        <v>0</v>
      </c>
      <c r="R50" s="67" t="str">
        <f t="shared" si="2"/>
        <v/>
      </c>
      <c r="S50" s="66" t="str">
        <f t="shared" si="3"/>
        <v/>
      </c>
    </row>
    <row r="51" spans="1:19" x14ac:dyDescent="0.25">
      <c r="A51" s="62"/>
      <c r="B51" s="63"/>
      <c r="C51" s="62" t="s">
        <v>20</v>
      </c>
      <c r="D51" s="62"/>
      <c r="E51" s="62"/>
      <c r="F51" s="62"/>
      <c r="G51" s="62" t="s">
        <v>26</v>
      </c>
      <c r="H51" s="63"/>
      <c r="I51" s="63"/>
      <c r="J51" s="63"/>
      <c r="K51" s="62"/>
      <c r="L51" s="62"/>
      <c r="M51" s="64" t="str">
        <f ca="1">IF($A51="","",IF($G51="Did not pass re-test","Sent back again",IF($G51="Yes",IF(AND(ISNUMBER($J51),ISNUMBER($B51)),"Fixed in "&amp;($J51-$B51)&amp;" d","Accepted"),IF(SUMPRODUCT(--(TRIM('Combined Delivery Data'!$B$2:$B$500)=TRIM($A51)))=0,"Not on main tab - renamed?",IF(NOT(ISNUMBER($B51)),"Missing or invalid sent-back date",IF($B51&gt;TODAY(),"Sent-back date is in future",IF(ISNUMBER($J51),IF($J51&lt;$B51,"Check dates - fixed before sent","Fixed in "&amp;($J51-$B51)&amp;" d"),IF(AND($I51&lt;&gt;"",NOT(ISNUMBER($I51))),"Check Expected Fix Date",IF($I51="","UNCLAIMED "&amp;(TODAY()-$B51)&amp;" d",IF(TODAY()&gt;$I51,(TODAY()-$I51)&amp;" d LATE","Open "&amp;(TODAY()-$B51)&amp;" d"))))))))))</f>
        <v/>
      </c>
      <c r="O51" s="66" t="str">
        <f>'Combined Delivery Data'!B50</f>
        <v>RPT_02_Large Gas Outage</v>
      </c>
      <c r="P51" s="66">
        <f t="shared" si="0"/>
        <v>0</v>
      </c>
      <c r="Q51" s="66">
        <f t="shared" si="1"/>
        <v>0</v>
      </c>
      <c r="R51" s="67" t="str">
        <f t="shared" si="2"/>
        <v/>
      </c>
      <c r="S51" s="66" t="str">
        <f t="shared" si="3"/>
        <v/>
      </c>
    </row>
    <row r="52" spans="1:19" x14ac:dyDescent="0.25">
      <c r="A52" s="62"/>
      <c r="B52" s="63"/>
      <c r="C52" s="62" t="s">
        <v>20</v>
      </c>
      <c r="D52" s="62"/>
      <c r="E52" s="62"/>
      <c r="F52" s="62"/>
      <c r="G52" s="62" t="s">
        <v>26</v>
      </c>
      <c r="H52" s="63"/>
      <c r="I52" s="63"/>
      <c r="J52" s="63"/>
      <c r="K52" s="62"/>
      <c r="L52" s="62"/>
      <c r="M52" s="64" t="str">
        <f ca="1">IF($A52="","",IF($G52="Did not pass re-test","Sent back again",IF($G52="Yes",IF(AND(ISNUMBER($J52),ISNUMBER($B52)),"Fixed in "&amp;($J52-$B52)&amp;" d","Accepted"),IF(SUMPRODUCT(--(TRIM('Combined Delivery Data'!$B$2:$B$500)=TRIM($A52)))=0,"Not on main tab - renamed?",IF(NOT(ISNUMBER($B52)),"Missing or invalid sent-back date",IF($B52&gt;TODAY(),"Sent-back date is in future",IF(ISNUMBER($J52),IF($J52&lt;$B52,"Check dates - fixed before sent","Fixed in "&amp;($J52-$B52)&amp;" d"),IF(AND($I52&lt;&gt;"",NOT(ISNUMBER($I52))),"Check Expected Fix Date",IF($I52="","UNCLAIMED "&amp;(TODAY()-$B52)&amp;" d",IF(TODAY()&gt;$I52,(TODAY()-$I52)&amp;" d LATE","Open "&amp;(TODAY()-$B52)&amp;" d"))))))))))</f>
        <v/>
      </c>
      <c r="O52" s="66" t="str">
        <f>'Combined Delivery Data'!B51</f>
        <v>RPT_02_Fitting Work</v>
      </c>
      <c r="P52" s="66">
        <f t="shared" si="0"/>
        <v>0</v>
      </c>
      <c r="Q52" s="66">
        <f t="shared" si="1"/>
        <v>0</v>
      </c>
      <c r="R52" s="67" t="str">
        <f t="shared" si="2"/>
        <v/>
      </c>
      <c r="S52" s="66" t="str">
        <f t="shared" si="3"/>
        <v/>
      </c>
    </row>
    <row r="53" spans="1:19" x14ac:dyDescent="0.25">
      <c r="A53" s="62"/>
      <c r="B53" s="63"/>
      <c r="C53" s="62" t="s">
        <v>20</v>
      </c>
      <c r="D53" s="62"/>
      <c r="E53" s="62"/>
      <c r="F53" s="62"/>
      <c r="G53" s="62" t="s">
        <v>26</v>
      </c>
      <c r="H53" s="63"/>
      <c r="I53" s="63"/>
      <c r="J53" s="63"/>
      <c r="K53" s="62"/>
      <c r="L53" s="62"/>
      <c r="M53" s="64" t="str">
        <f ca="1">IF($A53="","",IF($G53="Did not pass re-test","Sent back again",IF($G53="Yes",IF(AND(ISNUMBER($J53),ISNUMBER($B53)),"Fixed in "&amp;($J53-$B53)&amp;" d","Accepted"),IF(SUMPRODUCT(--(TRIM('Combined Delivery Data'!$B$2:$B$500)=TRIM($A53)))=0,"Not on main tab - renamed?",IF(NOT(ISNUMBER($B53)),"Missing or invalid sent-back date",IF($B53&gt;TODAY(),"Sent-back date is in future",IF(ISNUMBER($J53),IF($J53&lt;$B53,"Check dates - fixed before sent","Fixed in "&amp;($J53-$B53)&amp;" d"),IF(AND($I53&lt;&gt;"",NOT(ISNUMBER($I53))),"Check Expected Fix Date",IF($I53="","UNCLAIMED "&amp;(TODAY()-$B53)&amp;" d",IF(TODAY()&gt;$I53,(TODAY()-$I53)&amp;" d LATE","Open "&amp;(TODAY()-$B53)&amp;" d"))))))))))</f>
        <v/>
      </c>
      <c r="O53" s="66" t="str">
        <f>'Combined Delivery Data'!B52</f>
        <v>RPT_02_Field Collector Report</v>
      </c>
      <c r="P53" s="66">
        <f t="shared" si="0"/>
        <v>0</v>
      </c>
      <c r="Q53" s="66">
        <f t="shared" si="1"/>
        <v>0</v>
      </c>
      <c r="R53" s="67" t="str">
        <f t="shared" si="2"/>
        <v/>
      </c>
      <c r="S53" s="66" t="str">
        <f t="shared" si="3"/>
        <v/>
      </c>
    </row>
    <row r="54" spans="1:19" x14ac:dyDescent="0.25">
      <c r="A54" s="62"/>
      <c r="B54" s="63"/>
      <c r="C54" s="62" t="s">
        <v>20</v>
      </c>
      <c r="D54" s="62"/>
      <c r="E54" s="62"/>
      <c r="F54" s="62"/>
      <c r="G54" s="62" t="s">
        <v>26</v>
      </c>
      <c r="H54" s="63"/>
      <c r="I54" s="63"/>
      <c r="J54" s="63"/>
      <c r="K54" s="62"/>
      <c r="L54" s="62"/>
      <c r="M54" s="64" t="str">
        <f ca="1">IF($A54="","",IF($G54="Did not pass re-test","Sent back again",IF($G54="Yes",IF(AND(ISNUMBER($J54),ISNUMBER($B54)),"Fixed in "&amp;($J54-$B54)&amp;" d","Accepted"),IF(SUMPRODUCT(--(TRIM('Combined Delivery Data'!$B$2:$B$500)=TRIM($A54)))=0,"Not on main tab - renamed?",IF(NOT(ISNUMBER($B54)),"Missing or invalid sent-back date",IF($B54&gt;TODAY(),"Sent-back date is in future",IF(ISNUMBER($J54),IF($J54&lt;$B54,"Check dates - fixed before sent","Fixed in "&amp;($J54-$B54)&amp;" d"),IF(AND($I54&lt;&gt;"",NOT(ISNUMBER($I54))),"Check Expected Fix Date",IF($I54="","UNCLAIMED "&amp;(TODAY()-$B54)&amp;" d",IF(TODAY()&gt;$I54,(TODAY()-$I54)&amp;" d LATE","Open "&amp;(TODAY()-$B54)&amp;" d"))))))))))</f>
        <v/>
      </c>
      <c r="O54" s="66" t="str">
        <f>'Combined Delivery Data'!B53</f>
        <v>RPT_02_Turn On for Non-Payment</v>
      </c>
      <c r="P54" s="66">
        <f t="shared" si="0"/>
        <v>0</v>
      </c>
      <c r="Q54" s="66">
        <f t="shared" si="1"/>
        <v>0</v>
      </c>
      <c r="R54" s="67" t="str">
        <f t="shared" si="2"/>
        <v/>
      </c>
      <c r="S54" s="66" t="str">
        <f t="shared" si="3"/>
        <v/>
      </c>
    </row>
    <row r="55" spans="1:19" x14ac:dyDescent="0.25">
      <c r="A55" s="62"/>
      <c r="B55" s="63"/>
      <c r="C55" s="62" t="s">
        <v>20</v>
      </c>
      <c r="D55" s="62"/>
      <c r="E55" s="62"/>
      <c r="F55" s="62"/>
      <c r="G55" s="62" t="s">
        <v>26</v>
      </c>
      <c r="H55" s="63"/>
      <c r="I55" s="63"/>
      <c r="J55" s="63"/>
      <c r="K55" s="62"/>
      <c r="L55" s="62"/>
      <c r="M55" s="64" t="str">
        <f ca="1">IF($A55="","",IF($G55="Did not pass re-test","Sent back again",IF($G55="Yes",IF(AND(ISNUMBER($J55),ISNUMBER($B55)),"Fixed in "&amp;($J55-$B55)&amp;" d","Accepted"),IF(SUMPRODUCT(--(TRIM('Combined Delivery Data'!$B$2:$B$500)=TRIM($A55)))=0,"Not on main tab - renamed?",IF(NOT(ISNUMBER($B55)),"Missing or invalid sent-back date",IF($B55&gt;TODAY(),"Sent-back date is in future",IF(ISNUMBER($J55),IF($J55&lt;$B55,"Check dates - fixed before sent","Fixed in "&amp;($J55-$B55)&amp;" d"),IF(AND($I55&lt;&gt;"",NOT(ISNUMBER($I55))),"Check Expected Fix Date",IF($I55="","UNCLAIMED "&amp;(TODAY()-$B55)&amp;" d",IF(TODAY()&gt;$I55,(TODAY()-$I55)&amp;" d LATE","Open "&amp;(TODAY()-$B55)&amp;" d"))))))))))</f>
        <v/>
      </c>
      <c r="O55" s="66" t="str">
        <f>'Combined Delivery Data'!B54</f>
        <v>RPT_02_Collector Payment Recap</v>
      </c>
      <c r="P55" s="66">
        <f t="shared" si="0"/>
        <v>0</v>
      </c>
      <c r="Q55" s="66">
        <f t="shared" si="1"/>
        <v>0</v>
      </c>
      <c r="R55" s="67" t="str">
        <f t="shared" si="2"/>
        <v/>
      </c>
      <c r="S55" s="66" t="str">
        <f t="shared" si="3"/>
        <v/>
      </c>
    </row>
    <row r="56" spans="1:19" x14ac:dyDescent="0.25">
      <c r="A56" s="62"/>
      <c r="B56" s="63"/>
      <c r="C56" s="62" t="s">
        <v>20</v>
      </c>
      <c r="D56" s="62"/>
      <c r="E56" s="62"/>
      <c r="F56" s="62"/>
      <c r="G56" s="62" t="s">
        <v>26</v>
      </c>
      <c r="H56" s="63"/>
      <c r="I56" s="63"/>
      <c r="J56" s="63"/>
      <c r="K56" s="62"/>
      <c r="L56" s="62"/>
      <c r="M56" s="64" t="str">
        <f ca="1">IF($A56="","",IF($G56="Did not pass re-test","Sent back again",IF($G56="Yes",IF(AND(ISNUMBER($J56),ISNUMBER($B56)),"Fixed in "&amp;($J56-$B56)&amp;" d","Accepted"),IF(SUMPRODUCT(--(TRIM('Combined Delivery Data'!$B$2:$B$500)=TRIM($A56)))=0,"Not on main tab - renamed?",IF(NOT(ISNUMBER($B56)),"Missing or invalid sent-back date",IF($B56&gt;TODAY(),"Sent-back date is in future",IF(ISNUMBER($J56),IF($J56&lt;$B56,"Check dates - fixed before sent","Fixed in "&amp;($J56-$B56)&amp;" d"),IF(AND($I56&lt;&gt;"",NOT(ISNUMBER($I56))),"Check Expected Fix Date",IF($I56="","UNCLAIMED "&amp;(TODAY()-$B56)&amp;" d",IF(TODAY()&gt;$I56,(TODAY()-$I56)&amp;" d LATE","Open "&amp;(TODAY()-$B56)&amp;" d"))))))))))</f>
        <v/>
      </c>
      <c r="O56" s="66" t="str">
        <f>'Combined Delivery Data'!B55</f>
        <v>RPT_02_Incentive Management</v>
      </c>
      <c r="P56" s="66">
        <f t="shared" si="0"/>
        <v>0</v>
      </c>
      <c r="Q56" s="66">
        <f t="shared" si="1"/>
        <v>0</v>
      </c>
      <c r="R56" s="67" t="str">
        <f t="shared" si="2"/>
        <v/>
      </c>
      <c r="S56" s="66" t="str">
        <f t="shared" si="3"/>
        <v/>
      </c>
    </row>
    <row r="57" spans="1:19" x14ac:dyDescent="0.25">
      <c r="A57" s="62"/>
      <c r="B57" s="63"/>
      <c r="C57" s="62" t="s">
        <v>20</v>
      </c>
      <c r="D57" s="62"/>
      <c r="E57" s="62"/>
      <c r="F57" s="62"/>
      <c r="G57" s="62" t="s">
        <v>26</v>
      </c>
      <c r="H57" s="63"/>
      <c r="I57" s="63"/>
      <c r="J57" s="63"/>
      <c r="K57" s="62"/>
      <c r="L57" s="62"/>
      <c r="M57" s="64" t="str">
        <f ca="1">IF($A57="","",IF($G57="Did not pass re-test","Sent back again",IF($G57="Yes",IF(AND(ISNUMBER($J57),ISNUMBER($B57)),"Fixed in "&amp;($J57-$B57)&amp;" d","Accepted"),IF(SUMPRODUCT(--(TRIM('Combined Delivery Data'!$B$2:$B$500)=TRIM($A57)))=0,"Not on main tab - renamed?",IF(NOT(ISNUMBER($B57)),"Missing or invalid sent-back date",IF($B57&gt;TODAY(),"Sent-back date is in future",IF(ISNUMBER($J57),IF($J57&lt;$B57,"Check dates - fixed before sent","Fixed in "&amp;($J57-$B57)&amp;" d"),IF(AND($I57&lt;&gt;"",NOT(ISNUMBER($I57))),"Check Expected Fix Date",IF($I57="","UNCLAIMED "&amp;(TODAY()-$B57)&amp;" d",IF(TODAY()&gt;$I57,(TODAY()-$I57)&amp;" d LATE","Open "&amp;(TODAY()-$B57)&amp;" d"))))))))))</f>
        <v/>
      </c>
      <c r="O57" s="66" t="str">
        <f>'Combined Delivery Data'!B56</f>
        <v>RPT_02_UTC Report</v>
      </c>
      <c r="P57" s="66">
        <f t="shared" si="0"/>
        <v>0</v>
      </c>
      <c r="Q57" s="66">
        <f t="shared" si="1"/>
        <v>0</v>
      </c>
      <c r="R57" s="67" t="str">
        <f t="shared" si="2"/>
        <v/>
      </c>
      <c r="S57" s="66" t="str">
        <f t="shared" si="3"/>
        <v/>
      </c>
    </row>
    <row r="58" spans="1:19" x14ac:dyDescent="0.25">
      <c r="A58" s="62"/>
      <c r="B58" s="63"/>
      <c r="C58" s="62" t="s">
        <v>20</v>
      </c>
      <c r="D58" s="62"/>
      <c r="E58" s="62"/>
      <c r="F58" s="62"/>
      <c r="G58" s="62" t="s">
        <v>26</v>
      </c>
      <c r="H58" s="63"/>
      <c r="I58" s="63"/>
      <c r="J58" s="63"/>
      <c r="K58" s="62"/>
      <c r="L58" s="62"/>
      <c r="M58" s="64" t="str">
        <f ca="1">IF($A58="","",IF($G58="Did not pass re-test","Sent back again",IF($G58="Yes",IF(AND(ISNUMBER($J58),ISNUMBER($B58)),"Fixed in "&amp;($J58-$B58)&amp;" d","Accepted"),IF(SUMPRODUCT(--(TRIM('Combined Delivery Data'!$B$2:$B$500)=TRIM($A58)))=0,"Not on main tab - renamed?",IF(NOT(ISNUMBER($B58)),"Missing or invalid sent-back date",IF($B58&gt;TODAY(),"Sent-back date is in future",IF(ISNUMBER($J58),IF($J58&lt;$B58,"Check dates - fixed before sent","Fixed in "&amp;($J58-$B58)&amp;" d"),IF(AND($I58&lt;&gt;"",NOT(ISNUMBER($I58))),"Check Expected Fix Date",IF($I58="","UNCLAIMED "&amp;(TODAY()-$B58)&amp;" d",IF(TODAY()&gt;$I58,(TODAY()-$I58)&amp;" d LATE","Open "&amp;(TODAY()-$B58)&amp;" d"))))))))))</f>
        <v/>
      </c>
      <c r="O58" s="66" t="str">
        <f>'Combined Delivery Data'!B57</f>
        <v>RPT_02_Adjacent Property Checks</v>
      </c>
      <c r="P58" s="66">
        <f t="shared" si="0"/>
        <v>0</v>
      </c>
      <c r="Q58" s="66">
        <f t="shared" si="1"/>
        <v>0</v>
      </c>
      <c r="R58" s="67" t="str">
        <f t="shared" si="2"/>
        <v/>
      </c>
      <c r="S58" s="66" t="str">
        <f t="shared" si="3"/>
        <v/>
      </c>
    </row>
    <row r="59" spans="1:19" x14ac:dyDescent="0.25">
      <c r="A59" s="62"/>
      <c r="B59" s="63"/>
      <c r="C59" s="62" t="s">
        <v>20</v>
      </c>
      <c r="D59" s="62"/>
      <c r="E59" s="62"/>
      <c r="F59" s="62"/>
      <c r="G59" s="62" t="s">
        <v>26</v>
      </c>
      <c r="H59" s="63"/>
      <c r="I59" s="63"/>
      <c r="J59" s="63"/>
      <c r="K59" s="62"/>
      <c r="L59" s="62"/>
      <c r="M59" s="64" t="str">
        <f ca="1">IF($A59="","",IF($G59="Did not pass re-test","Sent back again",IF($G59="Yes",IF(AND(ISNUMBER($J59),ISNUMBER($B59)),"Fixed in "&amp;($J59-$B59)&amp;" d","Accepted"),IF(SUMPRODUCT(--(TRIM('Combined Delivery Data'!$B$2:$B$500)=TRIM($A59)))=0,"Not on main tab - renamed?",IF(NOT(ISNUMBER($B59)),"Missing or invalid sent-back date",IF($B59&gt;TODAY(),"Sent-back date is in future",IF(ISNUMBER($J59),IF($J59&lt;$B59,"Check dates - fixed before sent","Fixed in "&amp;($J59-$B59)&amp;" d"),IF(AND($I59&lt;&gt;"",NOT(ISNUMBER($I59))),"Check Expected Fix Date",IF($I59="","UNCLAIMED "&amp;(TODAY()-$B59)&amp;" d",IF(TODAY()&gt;$I59,(TODAY()-$I59)&amp;" d LATE","Open "&amp;(TODAY()-$B59)&amp;" d"))))))))))</f>
        <v/>
      </c>
      <c r="O59" s="66" t="str">
        <f>'Combined Delivery Data'!B58</f>
        <v>RPT_02_High Bill Investigations</v>
      </c>
      <c r="P59" s="66">
        <f t="shared" si="0"/>
        <v>0</v>
      </c>
      <c r="Q59" s="66">
        <f t="shared" si="1"/>
        <v>0</v>
      </c>
      <c r="R59" s="67" t="str">
        <f t="shared" si="2"/>
        <v/>
      </c>
      <c r="S59" s="66" t="str">
        <f t="shared" si="3"/>
        <v/>
      </c>
    </row>
    <row r="60" spans="1:19" x14ac:dyDescent="0.25">
      <c r="A60" s="62"/>
      <c r="B60" s="63"/>
      <c r="C60" s="62" t="s">
        <v>20</v>
      </c>
      <c r="D60" s="62"/>
      <c r="E60" s="62"/>
      <c r="F60" s="62"/>
      <c r="G60" s="62" t="s">
        <v>26</v>
      </c>
      <c r="H60" s="63"/>
      <c r="I60" s="63"/>
      <c r="J60" s="63"/>
      <c r="K60" s="62"/>
      <c r="L60" s="62"/>
      <c r="M60" s="64" t="str">
        <f ca="1">IF($A60="","",IF($G60="Did not pass re-test","Sent back again",IF($G60="Yes",IF(AND(ISNUMBER($J60),ISNUMBER($B60)),"Fixed in "&amp;($J60-$B60)&amp;" d","Accepted"),IF(SUMPRODUCT(--(TRIM('Combined Delivery Data'!$B$2:$B$500)=TRIM($A60)))=0,"Not on main tab - renamed?",IF(NOT(ISNUMBER($B60)),"Missing or invalid sent-back date",IF($B60&gt;TODAY(),"Sent-back date is in future",IF(ISNUMBER($J60),IF($J60&lt;$B60,"Check dates - fixed before sent","Fixed in "&amp;($J60-$B60)&amp;" d"),IF(AND($I60&lt;&gt;"",NOT(ISNUMBER($I60))),"Check Expected Fix Date",IF($I60="","UNCLAIMED "&amp;(TODAY()-$B60)&amp;" d",IF(TODAY()&gt;$I60,(TODAY()-$I60)&amp;" d LATE","Open "&amp;(TODAY()-$B60)&amp;" d"))))))))))</f>
        <v/>
      </c>
      <c r="O60" s="66" t="str">
        <f>'Combined Delivery Data'!B59</f>
        <v>RPT_02_Emergency Order Type</v>
      </c>
      <c r="P60" s="66">
        <f t="shared" si="0"/>
        <v>0</v>
      </c>
      <c r="Q60" s="66">
        <f t="shared" si="1"/>
        <v>0</v>
      </c>
      <c r="R60" s="67" t="str">
        <f t="shared" si="2"/>
        <v/>
      </c>
      <c r="S60" s="66" t="str">
        <f t="shared" si="3"/>
        <v/>
      </c>
    </row>
    <row r="61" spans="1:19" x14ac:dyDescent="0.25">
      <c r="A61" s="62"/>
      <c r="B61" s="63"/>
      <c r="C61" s="62" t="s">
        <v>20</v>
      </c>
      <c r="D61" s="62"/>
      <c r="E61" s="62"/>
      <c r="F61" s="62"/>
      <c r="G61" s="62" t="s">
        <v>26</v>
      </c>
      <c r="H61" s="63"/>
      <c r="I61" s="63"/>
      <c r="J61" s="63"/>
      <c r="K61" s="62"/>
      <c r="L61" s="62"/>
      <c r="M61" s="64" t="str">
        <f ca="1">IF($A61="","",IF($G61="Did not pass re-test","Sent back again",IF($G61="Yes",IF(AND(ISNUMBER($J61),ISNUMBER($B61)),"Fixed in "&amp;($J61-$B61)&amp;" d","Accepted"),IF(SUMPRODUCT(--(TRIM('Combined Delivery Data'!$B$2:$B$500)=TRIM($A61)))=0,"Not on main tab - renamed?",IF(NOT(ISNUMBER($B61)),"Missing or invalid sent-back date",IF($B61&gt;TODAY(),"Sent-back date is in future",IF(ISNUMBER($J61),IF($J61&lt;$B61,"Check dates - fixed before sent","Fixed in "&amp;($J61-$B61)&amp;" d"),IF(AND($I61&lt;&gt;"",NOT(ISNUMBER($I61))),"Check Expected Fix Date",IF($I61="","UNCLAIMED "&amp;(TODAY()-$B61)&amp;" d",IF(TODAY()&gt;$I61,(TODAY()-$I61)&amp;" d LATE","Open "&amp;(TODAY()-$B61)&amp;" d"))))))))))</f>
        <v/>
      </c>
      <c r="O61" s="66" t="str">
        <f>'Combined Delivery Data'!B60</f>
        <v>RPT_02_Cut Out Curb Box</v>
      </c>
      <c r="P61" s="66">
        <f t="shared" si="0"/>
        <v>0</v>
      </c>
      <c r="Q61" s="66">
        <f t="shared" si="1"/>
        <v>0</v>
      </c>
      <c r="R61" s="67" t="str">
        <f t="shared" si="2"/>
        <v/>
      </c>
      <c r="S61" s="66" t="str">
        <f t="shared" si="3"/>
        <v/>
      </c>
    </row>
    <row r="62" spans="1:19" x14ac:dyDescent="0.25">
      <c r="A62" s="62"/>
      <c r="B62" s="63"/>
      <c r="C62" s="62" t="s">
        <v>20</v>
      </c>
      <c r="D62" s="62"/>
      <c r="E62" s="62"/>
      <c r="F62" s="62"/>
      <c r="G62" s="62" t="s">
        <v>26</v>
      </c>
      <c r="H62" s="63"/>
      <c r="I62" s="63"/>
      <c r="J62" s="63"/>
      <c r="K62" s="62"/>
      <c r="L62" s="62"/>
      <c r="M62" s="64" t="str">
        <f ca="1">IF($A62="","",IF($G62="Did not pass re-test","Sent back again",IF($G62="Yes",IF(AND(ISNUMBER($J62),ISNUMBER($B62)),"Fixed in "&amp;($J62-$B62)&amp;" d","Accepted"),IF(SUMPRODUCT(--(TRIM('Combined Delivery Data'!$B$2:$B$500)=TRIM($A62)))=0,"Not on main tab - renamed?",IF(NOT(ISNUMBER($B62)),"Missing or invalid sent-back date",IF($B62&gt;TODAY(),"Sent-back date is in future",IF(ISNUMBER($J62),IF($J62&lt;$B62,"Check dates - fixed before sent","Fixed in "&amp;($J62-$B62)&amp;" d"),IF(AND($I62&lt;&gt;"",NOT(ISNUMBER($I62))),"Check Expected Fix Date",IF($I62="","UNCLAIMED "&amp;(TODAY()-$B62)&amp;" d",IF(TODAY()&gt;$I62,(TODAY()-$I62)&amp;" d LATE","Open "&amp;(TODAY()-$B62)&amp;" d"))))))))))</f>
        <v/>
      </c>
      <c r="O62" s="66" t="str">
        <f>'Combined Delivery Data'!B61</f>
        <v>RPT_02_New York Incident</v>
      </c>
      <c r="P62" s="66">
        <f t="shared" si="0"/>
        <v>0</v>
      </c>
      <c r="Q62" s="66">
        <f t="shared" si="1"/>
        <v>0</v>
      </c>
      <c r="R62" s="67" t="str">
        <f t="shared" si="2"/>
        <v/>
      </c>
      <c r="S62" s="66" t="str">
        <f t="shared" si="3"/>
        <v/>
      </c>
    </row>
    <row r="63" spans="1:19" x14ac:dyDescent="0.25">
      <c r="A63" s="62"/>
      <c r="B63" s="63"/>
      <c r="C63" s="62" t="s">
        <v>20</v>
      </c>
      <c r="D63" s="62"/>
      <c r="E63" s="62"/>
      <c r="F63" s="62"/>
      <c r="G63" s="62" t="s">
        <v>26</v>
      </c>
      <c r="H63" s="63"/>
      <c r="I63" s="63"/>
      <c r="J63" s="63"/>
      <c r="K63" s="62"/>
      <c r="L63" s="62"/>
      <c r="M63" s="64" t="str">
        <f ca="1">IF($A63="","",IF($G63="Did not pass re-test","Sent back again",IF($G63="Yes",IF(AND(ISNUMBER($J63),ISNUMBER($B63)),"Fixed in "&amp;($J63-$B63)&amp;" d","Accepted"),IF(SUMPRODUCT(--(TRIM('Combined Delivery Data'!$B$2:$B$500)=TRIM($A63)))=0,"Not on main tab - renamed?",IF(NOT(ISNUMBER($B63)),"Missing or invalid sent-back date",IF($B63&gt;TODAY(),"Sent-back date is in future",IF(ISNUMBER($J63),IF($J63&lt;$B63,"Check dates - fixed before sent","Fixed in "&amp;($J63-$B63)&amp;" d"),IF(AND($I63&lt;&gt;"",NOT(ISNUMBER($I63))),"Check Expected Fix Date",IF($I63="","UNCLAIMED "&amp;(TODAY()-$B63)&amp;" d",IF(TODAY()&gt;$I63,(TODAY()-$I63)&amp;" d LATE","Open "&amp;(TODAY()-$B63)&amp;" d"))))))))))</f>
        <v/>
      </c>
      <c r="O63" s="66" t="str">
        <f>'Combined Delivery Data'!B62</f>
        <v>RPT_02_Outside Repeat Leaks</v>
      </c>
      <c r="P63" s="66">
        <f t="shared" si="0"/>
        <v>0</v>
      </c>
      <c r="Q63" s="66">
        <f t="shared" si="1"/>
        <v>0</v>
      </c>
      <c r="R63" s="67" t="str">
        <f t="shared" si="2"/>
        <v/>
      </c>
      <c r="S63" s="66" t="str">
        <f t="shared" si="3"/>
        <v/>
      </c>
    </row>
    <row r="64" spans="1:19" x14ac:dyDescent="0.25">
      <c r="A64" s="62"/>
      <c r="B64" s="63"/>
      <c r="C64" s="62" t="s">
        <v>20</v>
      </c>
      <c r="D64" s="62"/>
      <c r="E64" s="62"/>
      <c r="F64" s="62"/>
      <c r="G64" s="62" t="s">
        <v>26</v>
      </c>
      <c r="H64" s="63"/>
      <c r="I64" s="63"/>
      <c r="J64" s="63"/>
      <c r="K64" s="62"/>
      <c r="L64" s="62"/>
      <c r="M64" s="64" t="str">
        <f ca="1">IF($A64="","",IF($G64="Did not pass re-test","Sent back again",IF($G64="Yes",IF(AND(ISNUMBER($J64),ISNUMBER($B64)),"Fixed in "&amp;($J64-$B64)&amp;" d","Accepted"),IF(SUMPRODUCT(--(TRIM('Combined Delivery Data'!$B$2:$B$500)=TRIM($A64)))=0,"Not on main tab - renamed?",IF(NOT(ISNUMBER($B64)),"Missing or invalid sent-back date",IF($B64&gt;TODAY(),"Sent-back date is in future",IF(ISNUMBER($J64),IF($J64&lt;$B64,"Check dates - fixed before sent","Fixed in "&amp;($J64-$B64)&amp;" d"),IF(AND($I64&lt;&gt;"",NOT(ISNUMBER($I64))),"Check Expected Fix Date",IF($I64="","UNCLAIMED "&amp;(TODAY()-$B64)&amp;" d",IF(TODAY()&gt;$I64,(TODAY()-$I64)&amp;" d LATE","Open "&amp;(TODAY()-$B64)&amp;" d"))))))))))</f>
        <v/>
      </c>
      <c r="O64" s="66" t="str">
        <f>'Combined Delivery Data'!B63</f>
        <v>RPT_02_Meter Change</v>
      </c>
      <c r="P64" s="66">
        <f t="shared" si="0"/>
        <v>0</v>
      </c>
      <c r="Q64" s="66">
        <f t="shared" si="1"/>
        <v>0</v>
      </c>
      <c r="R64" s="67" t="str">
        <f t="shared" si="2"/>
        <v/>
      </c>
      <c r="S64" s="66" t="str">
        <f t="shared" si="3"/>
        <v/>
      </c>
    </row>
    <row r="65" spans="1:19" x14ac:dyDescent="0.25">
      <c r="A65" s="62"/>
      <c r="B65" s="63"/>
      <c r="C65" s="62" t="s">
        <v>20</v>
      </c>
      <c r="D65" s="62"/>
      <c r="E65" s="62"/>
      <c r="F65" s="62"/>
      <c r="G65" s="62" t="s">
        <v>26</v>
      </c>
      <c r="H65" s="63"/>
      <c r="I65" s="63"/>
      <c r="J65" s="63"/>
      <c r="K65" s="62"/>
      <c r="L65" s="62"/>
      <c r="M65" s="64" t="str">
        <f ca="1">IF($A65="","",IF($G65="Did not pass re-test","Sent back again",IF($G65="Yes",IF(AND(ISNUMBER($J65),ISNUMBER($B65)),"Fixed in "&amp;($J65-$B65)&amp;" d","Accepted"),IF(SUMPRODUCT(--(TRIM('Combined Delivery Data'!$B$2:$B$500)=TRIM($A65)))=0,"Not on main tab - renamed?",IF(NOT(ISNUMBER($B65)),"Missing or invalid sent-back date",IF($B65&gt;TODAY(),"Sent-back date is in future",IF(ISNUMBER($J65),IF($J65&lt;$B65,"Check dates - fixed before sent","Fixed in "&amp;($J65-$B65)&amp;" d"),IF(AND($I65&lt;&gt;"",NOT(ISNUMBER($I65))),"Check Expected Fix Date",IF($I65="","UNCLAIMED "&amp;(TODAY()-$B65)&amp;" d",IF(TODAY()&gt;$I65,(TODAY()-$I65)&amp;" d LATE","Open "&amp;(TODAY()-$B65)&amp;" d"))))))))))</f>
        <v/>
      </c>
      <c r="O65" s="66" t="str">
        <f>'Combined Delivery Data'!B64</f>
        <v>RPT_02_Field Order Value</v>
      </c>
      <c r="P65" s="66">
        <f t="shared" si="0"/>
        <v>0</v>
      </c>
      <c r="Q65" s="66">
        <f t="shared" si="1"/>
        <v>0</v>
      </c>
      <c r="R65" s="67" t="str">
        <f t="shared" si="2"/>
        <v/>
      </c>
      <c r="S65" s="66" t="str">
        <f t="shared" si="3"/>
        <v/>
      </c>
    </row>
    <row r="66" spans="1:19" x14ac:dyDescent="0.25">
      <c r="A66" s="62"/>
      <c r="B66" s="63"/>
      <c r="C66" s="62" t="s">
        <v>20</v>
      </c>
      <c r="D66" s="62"/>
      <c r="E66" s="62"/>
      <c r="F66" s="62"/>
      <c r="G66" s="62" t="s">
        <v>26</v>
      </c>
      <c r="H66" s="63"/>
      <c r="I66" s="63"/>
      <c r="J66" s="63"/>
      <c r="K66" s="62"/>
      <c r="L66" s="62"/>
      <c r="M66" s="64" t="str">
        <f ca="1">IF($A66="","",IF($G66="Did not pass re-test","Sent back again",IF($G66="Yes",IF(AND(ISNUMBER($J66),ISNUMBER($B66)),"Fixed in "&amp;($J66-$B66)&amp;" d","Accepted"),IF(SUMPRODUCT(--(TRIM('Combined Delivery Data'!$B$2:$B$500)=TRIM($A66)))=0,"Not on main tab - renamed?",IF(NOT(ISNUMBER($B66)),"Missing or invalid sent-back date",IF($B66&gt;TODAY(),"Sent-back date is in future",IF(ISNUMBER($J66),IF($J66&lt;$B66,"Check dates - fixed before sent","Fixed in "&amp;($J66-$B66)&amp;" d"),IF(AND($I66&lt;&gt;"",NOT(ISNUMBER($I66))),"Check Expected Fix Date",IF($I66="","UNCLAIMED "&amp;(TODAY()-$B66)&amp;" d",IF(TODAY()&gt;$I66,(TODAY()-$I66)&amp;" d LATE","Open "&amp;(TODAY()-$B66)&amp;" d"))))))))))</f>
        <v/>
      </c>
      <c r="O66" s="66" t="str">
        <f>'Combined Delivery Data'!B65</f>
        <v>RPT_02_Same Day Reconnect</v>
      </c>
      <c r="P66" s="66">
        <f t="shared" si="0"/>
        <v>0</v>
      </c>
      <c r="Q66" s="66">
        <f t="shared" si="1"/>
        <v>0</v>
      </c>
      <c r="R66" s="67" t="str">
        <f t="shared" si="2"/>
        <v/>
      </c>
      <c r="S66" s="66" t="str">
        <f t="shared" si="3"/>
        <v/>
      </c>
    </row>
    <row r="67" spans="1:19" x14ac:dyDescent="0.25">
      <c r="A67" s="62"/>
      <c r="B67" s="63"/>
      <c r="C67" s="62" t="s">
        <v>20</v>
      </c>
      <c r="D67" s="62"/>
      <c r="E67" s="62"/>
      <c r="F67" s="62"/>
      <c r="G67" s="62" t="s">
        <v>26</v>
      </c>
      <c r="H67" s="63"/>
      <c r="I67" s="63"/>
      <c r="J67" s="63"/>
      <c r="K67" s="62"/>
      <c r="L67" s="62"/>
      <c r="M67" s="64" t="str">
        <f ca="1">IF($A67="","",IF($G67="Did not pass re-test","Sent back again",IF($G67="Yes",IF(AND(ISNUMBER($J67),ISNUMBER($B67)),"Fixed in "&amp;($J67-$B67)&amp;" d","Accepted"),IF(SUMPRODUCT(--(TRIM('Combined Delivery Data'!$B$2:$B$500)=TRIM($A67)))=0,"Not on main tab - renamed?",IF(NOT(ISNUMBER($B67)),"Missing or invalid sent-back date",IF($B67&gt;TODAY(),"Sent-back date is in future",IF(ISNUMBER($J67),IF($J67&lt;$B67,"Check dates - fixed before sent","Fixed in "&amp;($J67-$B67)&amp;" d"),IF(AND($I67&lt;&gt;"",NOT(ISNUMBER($I67))),"Check Expected Fix Date",IF($I67="","UNCLAIMED "&amp;(TODAY()-$B67)&amp;" d",IF(TODAY()&gt;$I67,(TODAY()-$I67)&amp;" d LATE","Open "&amp;(TODAY()-$B67)&amp;" d"))))))))))</f>
        <v/>
      </c>
      <c r="O67" s="66" t="str">
        <f>'Combined Delivery Data'!B66</f>
        <v>RPT_02_Site Specific Analysis</v>
      </c>
      <c r="P67" s="66">
        <f t="shared" ref="P67:P130" si="4">IF($O67="","",SUMPRODUCT(--(TRIM($A$3:$A$500)=TRIM($O67))))</f>
        <v>0</v>
      </c>
      <c r="Q67" s="66">
        <f t="shared" ref="Q67:Q130" si="5">IF($O67="","",SUMPRODUCT((TRIM($A$3:$A$500)=TRIM($O67))*($G$3:$G$500&lt;&gt;"Yes")*($G$3:$G$500&lt;&gt;"Did not pass re-test")))</f>
        <v>0</v>
      </c>
      <c r="R67" s="67" t="str">
        <f t="shared" ref="R67:R130" si="6">IF($O67="","",IF(SUMPRODUCT(MAX((TRIM($A$3:$A$500)=TRIM($O67))*ROW($A$3:$A$500)))=0,"",INDEX($B:$B,SUMPRODUCT(MAX((TRIM($A$3:$A$500)=TRIM($O67))*ROW($A$3:$A$500))))))</f>
        <v/>
      </c>
      <c r="S67" s="66" t="str">
        <f t="shared" ref="S67:S130" si="7">IF($O67="","",IF(SUMPRODUCT(MAX((TRIM($A$3:$A$500)=TRIM($O67))*ROW($A$3:$A$500)))=0,"",INDEX($C:$C,SUMPRODUCT(MAX((TRIM($A$3:$A$500)=TRIM($O67))*ROW($A$3:$A$500))))&amp;" -&gt; "&amp;INDEX($D:$D,SUMPRODUCT(MAX((TRIM($A$3:$A$500)=TRIM($O67))*ROW($A$3:$A$500))))))</f>
        <v/>
      </c>
    </row>
    <row r="68" spans="1:19" x14ac:dyDescent="0.25">
      <c r="A68" s="62"/>
      <c r="B68" s="63"/>
      <c r="C68" s="62" t="s">
        <v>20</v>
      </c>
      <c r="D68" s="62"/>
      <c r="E68" s="62"/>
      <c r="F68" s="62"/>
      <c r="G68" s="62" t="s">
        <v>26</v>
      </c>
      <c r="H68" s="63"/>
      <c r="I68" s="63"/>
      <c r="J68" s="63"/>
      <c r="K68" s="62"/>
      <c r="L68" s="62"/>
      <c r="M68" s="64" t="str">
        <f ca="1">IF($A68="","",IF($G68="Did not pass re-test","Sent back again",IF($G68="Yes",IF(AND(ISNUMBER($J68),ISNUMBER($B68)),"Fixed in "&amp;($J68-$B68)&amp;" d","Accepted"),IF(SUMPRODUCT(--(TRIM('Combined Delivery Data'!$B$2:$B$500)=TRIM($A68)))=0,"Not on main tab - renamed?",IF(NOT(ISNUMBER($B68)),"Missing or invalid sent-back date",IF($B68&gt;TODAY(),"Sent-back date is in future",IF(ISNUMBER($J68),IF($J68&lt;$B68,"Check dates - fixed before sent","Fixed in "&amp;($J68-$B68)&amp;" d"),IF(AND($I68&lt;&gt;"",NOT(ISNUMBER($I68))),"Check Expected Fix Date",IF($I68="","UNCLAIMED "&amp;(TODAY()-$B68)&amp;" d",IF(TODAY()&gt;$I68,(TODAY()-$I68)&amp;" d LATE","Open "&amp;(TODAY()-$B68)&amp;" d"))))))))))</f>
        <v/>
      </c>
      <c r="O68" s="66" t="str">
        <f>'Combined Delivery Data'!B67</f>
        <v>RPT_02_PSC Wire Down Response Time</v>
      </c>
      <c r="P68" s="66">
        <f t="shared" si="4"/>
        <v>0</v>
      </c>
      <c r="Q68" s="66">
        <f t="shared" si="5"/>
        <v>0</v>
      </c>
      <c r="R68" s="67" t="str">
        <f t="shared" si="6"/>
        <v/>
      </c>
      <c r="S68" s="66" t="str">
        <f t="shared" si="7"/>
        <v/>
      </c>
    </row>
    <row r="69" spans="1:19" x14ac:dyDescent="0.25">
      <c r="A69" s="62"/>
      <c r="B69" s="63"/>
      <c r="C69" s="62" t="s">
        <v>20</v>
      </c>
      <c r="D69" s="62"/>
      <c r="E69" s="62"/>
      <c r="F69" s="62"/>
      <c r="G69" s="62" t="s">
        <v>26</v>
      </c>
      <c r="H69" s="63"/>
      <c r="I69" s="63"/>
      <c r="J69" s="63"/>
      <c r="K69" s="62"/>
      <c r="L69" s="62"/>
      <c r="M69" s="64" t="str">
        <f ca="1">IF($A69="","",IF($G69="Did not pass re-test","Sent back again",IF($G69="Yes",IF(AND(ISNUMBER($J69),ISNUMBER($B69)),"Fixed in "&amp;($J69-$B69)&amp;" d","Accepted"),IF(SUMPRODUCT(--(TRIM('Combined Delivery Data'!$B$2:$B$500)=TRIM($A69)))=0,"Not on main tab - renamed?",IF(NOT(ISNUMBER($B69)),"Missing or invalid sent-back date",IF($B69&gt;TODAY(),"Sent-back date is in future",IF(ISNUMBER($J69),IF($J69&lt;$B69,"Check dates - fixed before sent","Fixed in "&amp;($J69-$B69)&amp;" d"),IF(AND($I69&lt;&gt;"",NOT(ISNUMBER($I69))),"Check Expected Fix Date",IF($I69="","UNCLAIMED "&amp;(TODAY()-$B69)&amp;" d",IF(TODAY()&gt;$I69,(TODAY()-$I69)&amp;" d LATE","Open "&amp;(TODAY()-$B69)&amp;" d"))))))))))</f>
        <v/>
      </c>
      <c r="O69" s="66" t="str">
        <f>'Combined Delivery Data'!B68</f>
        <v>RPT_02_Hazardous Above Ground Leak</v>
      </c>
      <c r="P69" s="66">
        <f t="shared" si="4"/>
        <v>0</v>
      </c>
      <c r="Q69" s="66">
        <f t="shared" si="5"/>
        <v>0</v>
      </c>
      <c r="R69" s="67" t="str">
        <f t="shared" si="6"/>
        <v/>
      </c>
      <c r="S69" s="66" t="str">
        <f t="shared" si="7"/>
        <v/>
      </c>
    </row>
    <row r="70" spans="1:19" x14ac:dyDescent="0.25">
      <c r="A70" s="62"/>
      <c r="B70" s="63"/>
      <c r="C70" s="62" t="s">
        <v>20</v>
      </c>
      <c r="D70" s="62"/>
      <c r="E70" s="62"/>
      <c r="F70" s="62"/>
      <c r="G70" s="62" t="s">
        <v>26</v>
      </c>
      <c r="H70" s="63"/>
      <c r="I70" s="63"/>
      <c r="J70" s="63"/>
      <c r="K70" s="62"/>
      <c r="L70" s="62"/>
      <c r="M70" s="64" t="str">
        <f ca="1">IF($A70="","",IF($G70="Did not pass re-test","Sent back again",IF($G70="Yes",IF(AND(ISNUMBER($J70),ISNUMBER($B70)),"Fixed in "&amp;($J70-$B70)&amp;" d","Accepted"),IF(SUMPRODUCT(--(TRIM('Combined Delivery Data'!$B$2:$B$500)=TRIM($A70)))=0,"Not on main tab - renamed?",IF(NOT(ISNUMBER($B70)),"Missing or invalid sent-back date",IF($B70&gt;TODAY(),"Sent-back date is in future",IF(ISNUMBER($J70),IF($J70&lt;$B70,"Check dates - fixed before sent","Fixed in "&amp;($J70-$B70)&amp;" d"),IF(AND($I70&lt;&gt;"",NOT(ISNUMBER($I70))),"Check Expected Fix Date",IF($I70="","UNCLAIMED "&amp;(TODAY()-$B70)&amp;" d",IF(TODAY()&gt;$I70,(TODAY()-$I70)&amp;" d LATE","Open "&amp;(TODAY()-$B70)&amp;" d"))))))))))</f>
        <v/>
      </c>
      <c r="O70" s="66" t="str">
        <f>'Combined Delivery Data'!B69</f>
        <v>RPT_02_AMI Contractor Completion Report</v>
      </c>
      <c r="P70" s="66">
        <f t="shared" si="4"/>
        <v>0</v>
      </c>
      <c r="Q70" s="66">
        <f t="shared" si="5"/>
        <v>0</v>
      </c>
      <c r="R70" s="67" t="str">
        <f t="shared" si="6"/>
        <v/>
      </c>
      <c r="S70" s="66" t="str">
        <f t="shared" si="7"/>
        <v/>
      </c>
    </row>
    <row r="71" spans="1:19" x14ac:dyDescent="0.25">
      <c r="A71" s="62"/>
      <c r="B71" s="63"/>
      <c r="C71" s="62" t="s">
        <v>20</v>
      </c>
      <c r="D71" s="62"/>
      <c r="E71" s="62"/>
      <c r="F71" s="62"/>
      <c r="G71" s="62" t="s">
        <v>26</v>
      </c>
      <c r="H71" s="63"/>
      <c r="I71" s="63"/>
      <c r="J71" s="63"/>
      <c r="K71" s="62"/>
      <c r="L71" s="62"/>
      <c r="M71" s="64" t="str">
        <f ca="1">IF($A71="","",IF($G71="Did not pass re-test","Sent back again",IF($G71="Yes",IF(AND(ISNUMBER($J71),ISNUMBER($B71)),"Fixed in "&amp;($J71-$B71)&amp;" d","Accepted"),IF(SUMPRODUCT(--(TRIM('Combined Delivery Data'!$B$2:$B$500)=TRIM($A71)))=0,"Not on main tab - renamed?",IF(NOT(ISNUMBER($B71)),"Missing or invalid sent-back date",IF($B71&gt;TODAY(),"Sent-back date is in future",IF(ISNUMBER($J71),IF($J71&lt;$B71,"Check dates - fixed before sent","Fixed in "&amp;($J71-$B71)&amp;" d"),IF(AND($I71&lt;&gt;"",NOT(ISNUMBER($I71))),"Check Expected Fix Date",IF($I71="","UNCLAIMED "&amp;(TODAY()-$B71)&amp;" d",IF(TODAY()&gt;$I71,(TODAY()-$I71)&amp;" d LATE","Open "&amp;(TODAY()-$B71)&amp;" d"))))))))))</f>
        <v/>
      </c>
      <c r="O71" s="66" t="str">
        <f>'Combined Delivery Data'!B70</f>
        <v>RPT_02_Collection Statistic</v>
      </c>
      <c r="P71" s="66">
        <f t="shared" si="4"/>
        <v>0</v>
      </c>
      <c r="Q71" s="66">
        <f t="shared" si="5"/>
        <v>0</v>
      </c>
      <c r="R71" s="67" t="str">
        <f t="shared" si="6"/>
        <v/>
      </c>
      <c r="S71" s="66" t="str">
        <f t="shared" si="7"/>
        <v/>
      </c>
    </row>
    <row r="72" spans="1:19" x14ac:dyDescent="0.25">
      <c r="A72" s="62"/>
      <c r="B72" s="63"/>
      <c r="C72" s="62" t="s">
        <v>20</v>
      </c>
      <c r="D72" s="62"/>
      <c r="E72" s="62"/>
      <c r="F72" s="62"/>
      <c r="G72" s="62" t="s">
        <v>26</v>
      </c>
      <c r="H72" s="63"/>
      <c r="I72" s="63"/>
      <c r="J72" s="63"/>
      <c r="K72" s="62"/>
      <c r="L72" s="62"/>
      <c r="M72" s="64" t="str">
        <f ca="1">IF($A72="","",IF($G72="Did not pass re-test","Sent back again",IF($G72="Yes",IF(AND(ISNUMBER($J72),ISNUMBER($B72)),"Fixed in "&amp;($J72-$B72)&amp;" d","Accepted"),IF(SUMPRODUCT(--(TRIM('Combined Delivery Data'!$B$2:$B$500)=TRIM($A72)))=0,"Not on main tab - renamed?",IF(NOT(ISNUMBER($B72)),"Missing or invalid sent-back date",IF($B72&gt;TODAY(),"Sent-back date is in future",IF(ISNUMBER($J72),IF($J72&lt;$B72,"Check dates - fixed before sent","Fixed in "&amp;($J72-$B72)&amp;" d"),IF(AND($I72&lt;&gt;"",NOT(ISNUMBER($I72))),"Check Expected Fix Date",IF($I72="","UNCLAIMED "&amp;(TODAY()-$B72)&amp;" d",IF(TODAY()&gt;$I72,(TODAY()-$I72)&amp;" d LATE","Open "&amp;(TODAY()-$B72)&amp;" d"))))))))))</f>
        <v/>
      </c>
      <c r="O72" s="66" t="str">
        <f>'Combined Delivery Data'!B71</f>
        <v>RPT_02_First and Last Job</v>
      </c>
      <c r="P72" s="66">
        <f t="shared" si="4"/>
        <v>0</v>
      </c>
      <c r="Q72" s="66">
        <f t="shared" si="5"/>
        <v>0</v>
      </c>
      <c r="R72" s="67" t="str">
        <f t="shared" si="6"/>
        <v/>
      </c>
      <c r="S72" s="66" t="str">
        <f t="shared" si="7"/>
        <v/>
      </c>
    </row>
    <row r="73" spans="1:19" x14ac:dyDescent="0.25">
      <c r="A73" s="62"/>
      <c r="B73" s="63"/>
      <c r="C73" s="62" t="s">
        <v>20</v>
      </c>
      <c r="D73" s="62"/>
      <c r="E73" s="62"/>
      <c r="F73" s="62"/>
      <c r="G73" s="62" t="s">
        <v>26</v>
      </c>
      <c r="H73" s="63"/>
      <c r="I73" s="63"/>
      <c r="J73" s="63"/>
      <c r="K73" s="62"/>
      <c r="L73" s="62"/>
      <c r="M73" s="64" t="str">
        <f ca="1">IF($A73="","",IF($G73="Did not pass re-test","Sent back again",IF($G73="Yes",IF(AND(ISNUMBER($J73),ISNUMBER($B73)),"Fixed in "&amp;($J73-$B73)&amp;" d","Accepted"),IF(SUMPRODUCT(--(TRIM('Combined Delivery Data'!$B$2:$B$500)=TRIM($A73)))=0,"Not on main tab - renamed?",IF(NOT(ISNUMBER($B73)),"Missing or invalid sent-back date",IF($B73&gt;TODAY(),"Sent-back date is in future",IF(ISNUMBER($J73),IF($J73&lt;$B73,"Check dates - fixed before sent","Fixed in "&amp;($J73-$B73)&amp;" d"),IF(AND($I73&lt;&gt;"",NOT(ISNUMBER($I73))),"Check Expected Fix Date",IF($I73="","UNCLAIMED "&amp;(TODAY()-$B73)&amp;" d",IF(TODAY()&gt;$I73,(TODAY()-$I73)&amp;" d LATE","Open "&amp;(TODAY()-$B73)&amp;" d"))))))))))</f>
        <v/>
      </c>
      <c r="O73" s="66" t="str">
        <f>'Combined Delivery Data'!B72</f>
        <v>RPT_02_Rate Class</v>
      </c>
      <c r="P73" s="66">
        <f t="shared" si="4"/>
        <v>0</v>
      </c>
      <c r="Q73" s="66">
        <f t="shared" si="5"/>
        <v>0</v>
      </c>
      <c r="R73" s="67" t="str">
        <f t="shared" si="6"/>
        <v/>
      </c>
      <c r="S73" s="66" t="str">
        <f t="shared" si="7"/>
        <v/>
      </c>
    </row>
    <row r="74" spans="1:19" x14ac:dyDescent="0.25">
      <c r="A74" s="62"/>
      <c r="B74" s="63"/>
      <c r="C74" s="62" t="s">
        <v>20</v>
      </c>
      <c r="D74" s="62"/>
      <c r="E74" s="62"/>
      <c r="F74" s="62"/>
      <c r="G74" s="62" t="s">
        <v>26</v>
      </c>
      <c r="H74" s="63"/>
      <c r="I74" s="63"/>
      <c r="J74" s="63"/>
      <c r="K74" s="62"/>
      <c r="L74" s="62"/>
      <c r="M74" s="64" t="str">
        <f ca="1">IF($A74="","",IF($G74="Did not pass re-test","Sent back again",IF($G74="Yes",IF(AND(ISNUMBER($J74),ISNUMBER($B74)),"Fixed in "&amp;($J74-$B74)&amp;" d","Accepted"),IF(SUMPRODUCT(--(TRIM('Combined Delivery Data'!$B$2:$B$500)=TRIM($A74)))=0,"Not on main tab - renamed?",IF(NOT(ISNUMBER($B74)),"Missing or invalid sent-back date",IF($B74&gt;TODAY(),"Sent-back date is in future",IF(ISNUMBER($J74),IF($J74&lt;$B74,"Check dates - fixed before sent","Fixed in "&amp;($J74-$B74)&amp;" d"),IF(AND($I74&lt;&gt;"",NOT(ISNUMBER($I74))),"Check Expected Fix Date",IF($I74="","UNCLAIMED "&amp;(TODAY()-$B74)&amp;" d",IF(TODAY()&gt;$I74,(TODAY()-$I74)&amp;" d LATE","Open "&amp;(TODAY()-$B74)&amp;" d"))))))))))</f>
        <v/>
      </c>
      <c r="O74" s="66" t="str">
        <f>'Combined Delivery Data'!B73</f>
        <v>RPT_04_Leak Recheck Times</v>
      </c>
      <c r="P74" s="66">
        <f t="shared" si="4"/>
        <v>0</v>
      </c>
      <c r="Q74" s="66">
        <f t="shared" si="5"/>
        <v>0</v>
      </c>
      <c r="R74" s="67" t="str">
        <f t="shared" si="6"/>
        <v/>
      </c>
      <c r="S74" s="66" t="str">
        <f t="shared" si="7"/>
        <v/>
      </c>
    </row>
    <row r="75" spans="1:19" x14ac:dyDescent="0.25">
      <c r="A75" s="62"/>
      <c r="B75" s="63"/>
      <c r="C75" s="62" t="s">
        <v>20</v>
      </c>
      <c r="D75" s="62"/>
      <c r="E75" s="62"/>
      <c r="F75" s="62"/>
      <c r="G75" s="62" t="s">
        <v>26</v>
      </c>
      <c r="H75" s="63"/>
      <c r="I75" s="63"/>
      <c r="J75" s="63"/>
      <c r="K75" s="62"/>
      <c r="L75" s="62"/>
      <c r="M75" s="64" t="str">
        <f ca="1">IF($A75="","",IF($G75="Did not pass re-test","Sent back again",IF($G75="Yes",IF(AND(ISNUMBER($J75),ISNUMBER($B75)),"Fixed in "&amp;($J75-$B75)&amp;" d","Accepted"),IF(SUMPRODUCT(--(TRIM('Combined Delivery Data'!$B$2:$B$500)=TRIM($A75)))=0,"Not on main tab - renamed?",IF(NOT(ISNUMBER($B75)),"Missing or invalid sent-back date",IF($B75&gt;TODAY(),"Sent-back date is in future",IF(ISNUMBER($J75),IF($J75&lt;$B75,"Check dates - fixed before sent","Fixed in "&amp;($J75-$B75)&amp;" d"),IF(AND($I75&lt;&gt;"",NOT(ISNUMBER($I75))),"Check Expected Fix Date",IF($I75="","UNCLAIMED "&amp;(TODAY()-$B75)&amp;" d",IF(TODAY()&gt;$I75,(TODAY()-$I75)&amp;" d LATE","Open "&amp;(TODAY()-$B75)&amp;" d"))))))))))</f>
        <v/>
      </c>
      <c r="O75" s="66">
        <f>'Combined Delivery Data'!B74</f>
        <v>0</v>
      </c>
      <c r="P75" s="66">
        <f t="shared" si="4"/>
        <v>0</v>
      </c>
      <c r="Q75" s="66">
        <f t="shared" si="5"/>
        <v>0</v>
      </c>
      <c r="R75" s="67" t="str">
        <f t="shared" si="6"/>
        <v/>
      </c>
      <c r="S75" s="66" t="str">
        <f t="shared" si="7"/>
        <v/>
      </c>
    </row>
    <row r="76" spans="1:19" x14ac:dyDescent="0.25">
      <c r="A76" s="62"/>
      <c r="B76" s="63"/>
      <c r="C76" s="62" t="s">
        <v>20</v>
      </c>
      <c r="D76" s="62"/>
      <c r="E76" s="62"/>
      <c r="F76" s="62"/>
      <c r="G76" s="62" t="s">
        <v>26</v>
      </c>
      <c r="H76" s="63"/>
      <c r="I76" s="63"/>
      <c r="J76" s="63"/>
      <c r="K76" s="62"/>
      <c r="L76" s="62"/>
      <c r="M76" s="64" t="str">
        <f ca="1">IF($A76="","",IF($G76="Did not pass re-test","Sent back again",IF($G76="Yes",IF(AND(ISNUMBER($J76),ISNUMBER($B76)),"Fixed in "&amp;($J76-$B76)&amp;" d","Accepted"),IF(SUMPRODUCT(--(TRIM('Combined Delivery Data'!$B$2:$B$500)=TRIM($A76)))=0,"Not on main tab - renamed?",IF(NOT(ISNUMBER($B76)),"Missing or invalid sent-back date",IF($B76&gt;TODAY(),"Sent-back date is in future",IF(ISNUMBER($J76),IF($J76&lt;$B76,"Check dates - fixed before sent","Fixed in "&amp;($J76-$B76)&amp;" d"),IF(AND($I76&lt;&gt;"",NOT(ISNUMBER($I76))),"Check Expected Fix Date",IF($I76="","UNCLAIMED "&amp;(TODAY()-$B76)&amp;" d",IF(TODAY()&gt;$I76,(TODAY()-$I76)&amp;" d LATE","Open "&amp;(TODAY()-$B76)&amp;" d"))))))))))</f>
        <v/>
      </c>
      <c r="O76" s="66">
        <f>'Combined Delivery Data'!B75</f>
        <v>0</v>
      </c>
      <c r="P76" s="66">
        <f t="shared" si="4"/>
        <v>0</v>
      </c>
      <c r="Q76" s="66">
        <f t="shared" si="5"/>
        <v>0</v>
      </c>
      <c r="R76" s="67" t="str">
        <f t="shared" si="6"/>
        <v/>
      </c>
      <c r="S76" s="66" t="str">
        <f t="shared" si="7"/>
        <v/>
      </c>
    </row>
    <row r="77" spans="1:19" x14ac:dyDescent="0.25">
      <c r="A77" s="62"/>
      <c r="B77" s="63"/>
      <c r="C77" s="62" t="s">
        <v>20</v>
      </c>
      <c r="D77" s="62"/>
      <c r="E77" s="62"/>
      <c r="F77" s="62"/>
      <c r="G77" s="62" t="s">
        <v>26</v>
      </c>
      <c r="H77" s="63"/>
      <c r="I77" s="63"/>
      <c r="J77" s="63"/>
      <c r="K77" s="62"/>
      <c r="L77" s="62"/>
      <c r="M77" s="64" t="str">
        <f ca="1">IF($A77="","",IF($G77="Did not pass re-test","Sent back again",IF($G77="Yes",IF(AND(ISNUMBER($J77),ISNUMBER($B77)),"Fixed in "&amp;($J77-$B77)&amp;" d","Accepted"),IF(SUMPRODUCT(--(TRIM('Combined Delivery Data'!$B$2:$B$500)=TRIM($A77)))=0,"Not on main tab - renamed?",IF(NOT(ISNUMBER($B77)),"Missing or invalid sent-back date",IF($B77&gt;TODAY(),"Sent-back date is in future",IF(ISNUMBER($J77),IF($J77&lt;$B77,"Check dates - fixed before sent","Fixed in "&amp;($J77-$B77)&amp;" d"),IF(AND($I77&lt;&gt;"",NOT(ISNUMBER($I77))),"Check Expected Fix Date",IF($I77="","UNCLAIMED "&amp;(TODAY()-$B77)&amp;" d",IF(TODAY()&gt;$I77,(TODAY()-$I77)&amp;" d LATE","Open "&amp;(TODAY()-$B77)&amp;" d"))))))))))</f>
        <v/>
      </c>
      <c r="O77" s="66">
        <f>'Combined Delivery Data'!B76</f>
        <v>0</v>
      </c>
      <c r="P77" s="66">
        <f t="shared" si="4"/>
        <v>0</v>
      </c>
      <c r="Q77" s="66">
        <f t="shared" si="5"/>
        <v>0</v>
      </c>
      <c r="R77" s="67" t="str">
        <f t="shared" si="6"/>
        <v/>
      </c>
      <c r="S77" s="66" t="str">
        <f t="shared" si="7"/>
        <v/>
      </c>
    </row>
    <row r="78" spans="1:19" x14ac:dyDescent="0.25">
      <c r="A78" s="62"/>
      <c r="B78" s="63"/>
      <c r="C78" s="62" t="s">
        <v>20</v>
      </c>
      <c r="D78" s="62"/>
      <c r="E78" s="62"/>
      <c r="F78" s="62"/>
      <c r="G78" s="62" t="s">
        <v>26</v>
      </c>
      <c r="H78" s="63"/>
      <c r="I78" s="63"/>
      <c r="J78" s="63"/>
      <c r="K78" s="62"/>
      <c r="L78" s="62"/>
      <c r="M78" s="64" t="str">
        <f ca="1">IF($A78="","",IF($G78="Did not pass re-test","Sent back again",IF($G78="Yes",IF(AND(ISNUMBER($J78),ISNUMBER($B78)),"Fixed in "&amp;($J78-$B78)&amp;" d","Accepted"),IF(SUMPRODUCT(--(TRIM('Combined Delivery Data'!$B$2:$B$500)=TRIM($A78)))=0,"Not on main tab - renamed?",IF(NOT(ISNUMBER($B78)),"Missing or invalid sent-back date",IF($B78&gt;TODAY(),"Sent-back date is in future",IF(ISNUMBER($J78),IF($J78&lt;$B78,"Check dates - fixed before sent","Fixed in "&amp;($J78-$B78)&amp;" d"),IF(AND($I78&lt;&gt;"",NOT(ISNUMBER($I78))),"Check Expected Fix Date",IF($I78="","UNCLAIMED "&amp;(TODAY()-$B78)&amp;" d",IF(TODAY()&gt;$I78,(TODAY()-$I78)&amp;" d LATE","Open "&amp;(TODAY()-$B78)&amp;" d"))))))))))</f>
        <v/>
      </c>
      <c r="O78" s="66">
        <f>'Combined Delivery Data'!B77</f>
        <v>0</v>
      </c>
      <c r="P78" s="66">
        <f t="shared" si="4"/>
        <v>0</v>
      </c>
      <c r="Q78" s="66">
        <f t="shared" si="5"/>
        <v>0</v>
      </c>
      <c r="R78" s="67" t="str">
        <f t="shared" si="6"/>
        <v/>
      </c>
      <c r="S78" s="66" t="str">
        <f t="shared" si="7"/>
        <v/>
      </c>
    </row>
    <row r="79" spans="1:19" x14ac:dyDescent="0.25">
      <c r="A79" s="62"/>
      <c r="B79" s="63"/>
      <c r="C79" s="62" t="s">
        <v>20</v>
      </c>
      <c r="D79" s="62"/>
      <c r="E79" s="62"/>
      <c r="F79" s="62"/>
      <c r="G79" s="62" t="s">
        <v>26</v>
      </c>
      <c r="H79" s="63"/>
      <c r="I79" s="63"/>
      <c r="J79" s="63"/>
      <c r="K79" s="62"/>
      <c r="L79" s="62"/>
      <c r="M79" s="64" t="str">
        <f ca="1">IF($A79="","",IF($G79="Did not pass re-test","Sent back again",IF($G79="Yes",IF(AND(ISNUMBER($J79),ISNUMBER($B79)),"Fixed in "&amp;($J79-$B79)&amp;" d","Accepted"),IF(SUMPRODUCT(--(TRIM('Combined Delivery Data'!$B$2:$B$500)=TRIM($A79)))=0,"Not on main tab - renamed?",IF(NOT(ISNUMBER($B79)),"Missing or invalid sent-back date",IF($B79&gt;TODAY(),"Sent-back date is in future",IF(ISNUMBER($J79),IF($J79&lt;$B79,"Check dates - fixed before sent","Fixed in "&amp;($J79-$B79)&amp;" d"),IF(AND($I79&lt;&gt;"",NOT(ISNUMBER($I79))),"Check Expected Fix Date",IF($I79="","UNCLAIMED "&amp;(TODAY()-$B79)&amp;" d",IF(TODAY()&gt;$I79,(TODAY()-$I79)&amp;" d LATE","Open "&amp;(TODAY()-$B79)&amp;" d"))))))))))</f>
        <v/>
      </c>
      <c r="O79" s="66">
        <f>'Combined Delivery Data'!B78</f>
        <v>0</v>
      </c>
      <c r="P79" s="66">
        <f t="shared" si="4"/>
        <v>0</v>
      </c>
      <c r="Q79" s="66">
        <f t="shared" si="5"/>
        <v>0</v>
      </c>
      <c r="R79" s="67" t="str">
        <f t="shared" si="6"/>
        <v/>
      </c>
      <c r="S79" s="66" t="str">
        <f t="shared" si="7"/>
        <v/>
      </c>
    </row>
    <row r="80" spans="1:19" x14ac:dyDescent="0.25">
      <c r="A80" s="62"/>
      <c r="B80" s="63"/>
      <c r="C80" s="62" t="s">
        <v>20</v>
      </c>
      <c r="D80" s="62"/>
      <c r="E80" s="62"/>
      <c r="F80" s="62"/>
      <c r="G80" s="62" t="s">
        <v>26</v>
      </c>
      <c r="H80" s="63"/>
      <c r="I80" s="63"/>
      <c r="J80" s="63"/>
      <c r="K80" s="62"/>
      <c r="L80" s="62"/>
      <c r="M80" s="64" t="str">
        <f ca="1">IF($A80="","",IF($G80="Did not pass re-test","Sent back again",IF($G80="Yes",IF(AND(ISNUMBER($J80),ISNUMBER($B80)),"Fixed in "&amp;($J80-$B80)&amp;" d","Accepted"),IF(SUMPRODUCT(--(TRIM('Combined Delivery Data'!$B$2:$B$500)=TRIM($A80)))=0,"Not on main tab - renamed?",IF(NOT(ISNUMBER($B80)),"Missing or invalid sent-back date",IF($B80&gt;TODAY(),"Sent-back date is in future",IF(ISNUMBER($J80),IF($J80&lt;$B80,"Check dates - fixed before sent","Fixed in "&amp;($J80-$B80)&amp;" d"),IF(AND($I80&lt;&gt;"",NOT(ISNUMBER($I80))),"Check Expected Fix Date",IF($I80="","UNCLAIMED "&amp;(TODAY()-$B80)&amp;" d",IF(TODAY()&gt;$I80,(TODAY()-$I80)&amp;" d LATE","Open "&amp;(TODAY()-$B80)&amp;" d"))))))))))</f>
        <v/>
      </c>
      <c r="O80" s="66">
        <f>'Combined Delivery Data'!B79</f>
        <v>0</v>
      </c>
      <c r="P80" s="66">
        <f t="shared" si="4"/>
        <v>0</v>
      </c>
      <c r="Q80" s="66">
        <f t="shared" si="5"/>
        <v>0</v>
      </c>
      <c r="R80" s="67" t="str">
        <f t="shared" si="6"/>
        <v/>
      </c>
      <c r="S80" s="66" t="str">
        <f t="shared" si="7"/>
        <v/>
      </c>
    </row>
    <row r="81" spans="1:19" x14ac:dyDescent="0.25">
      <c r="A81" s="62"/>
      <c r="B81" s="63"/>
      <c r="C81" s="62" t="s">
        <v>20</v>
      </c>
      <c r="D81" s="62"/>
      <c r="E81" s="62"/>
      <c r="F81" s="62"/>
      <c r="G81" s="62" t="s">
        <v>26</v>
      </c>
      <c r="H81" s="63"/>
      <c r="I81" s="63"/>
      <c r="J81" s="63"/>
      <c r="K81" s="62"/>
      <c r="L81" s="62"/>
      <c r="M81" s="64" t="str">
        <f ca="1">IF($A81="","",IF($G81="Did not pass re-test","Sent back again",IF($G81="Yes",IF(AND(ISNUMBER($J81),ISNUMBER($B81)),"Fixed in "&amp;($J81-$B81)&amp;" d","Accepted"),IF(SUMPRODUCT(--(TRIM('Combined Delivery Data'!$B$2:$B$500)=TRIM($A81)))=0,"Not on main tab - renamed?",IF(NOT(ISNUMBER($B81)),"Missing or invalid sent-back date",IF($B81&gt;TODAY(),"Sent-back date is in future",IF(ISNUMBER($J81),IF($J81&lt;$B81,"Check dates - fixed before sent","Fixed in "&amp;($J81-$B81)&amp;" d"),IF(AND($I81&lt;&gt;"",NOT(ISNUMBER($I81))),"Check Expected Fix Date",IF($I81="","UNCLAIMED "&amp;(TODAY()-$B81)&amp;" d",IF(TODAY()&gt;$I81,(TODAY()-$I81)&amp;" d LATE","Open "&amp;(TODAY()-$B81)&amp;" d"))))))))))</f>
        <v/>
      </c>
      <c r="O81" s="66">
        <f>'Combined Delivery Data'!B80</f>
        <v>0</v>
      </c>
      <c r="P81" s="66">
        <f t="shared" si="4"/>
        <v>0</v>
      </c>
      <c r="Q81" s="66">
        <f t="shared" si="5"/>
        <v>0</v>
      </c>
      <c r="R81" s="67" t="str">
        <f t="shared" si="6"/>
        <v/>
      </c>
      <c r="S81" s="66" t="str">
        <f t="shared" si="7"/>
        <v/>
      </c>
    </row>
    <row r="82" spans="1:19" x14ac:dyDescent="0.25">
      <c r="A82" s="62"/>
      <c r="B82" s="63"/>
      <c r="C82" s="62" t="s">
        <v>20</v>
      </c>
      <c r="D82" s="62"/>
      <c r="E82" s="62"/>
      <c r="F82" s="62"/>
      <c r="G82" s="62" t="s">
        <v>26</v>
      </c>
      <c r="H82" s="63"/>
      <c r="I82" s="63"/>
      <c r="J82" s="63"/>
      <c r="K82" s="62"/>
      <c r="L82" s="62"/>
      <c r="M82" s="64" t="str">
        <f ca="1">IF($A82="","",IF($G82="Did not pass re-test","Sent back again",IF($G82="Yes",IF(AND(ISNUMBER($J82),ISNUMBER($B82)),"Fixed in "&amp;($J82-$B82)&amp;" d","Accepted"),IF(SUMPRODUCT(--(TRIM('Combined Delivery Data'!$B$2:$B$500)=TRIM($A82)))=0,"Not on main tab - renamed?",IF(NOT(ISNUMBER($B82)),"Missing or invalid sent-back date",IF($B82&gt;TODAY(),"Sent-back date is in future",IF(ISNUMBER($J82),IF($J82&lt;$B82,"Check dates - fixed before sent","Fixed in "&amp;($J82-$B82)&amp;" d"),IF(AND($I82&lt;&gt;"",NOT(ISNUMBER($I82))),"Check Expected Fix Date",IF($I82="","UNCLAIMED "&amp;(TODAY()-$B82)&amp;" d",IF(TODAY()&gt;$I82,(TODAY()-$I82)&amp;" d LATE","Open "&amp;(TODAY()-$B82)&amp;" d"))))))))))</f>
        <v/>
      </c>
      <c r="O82" s="66">
        <f>'Combined Delivery Data'!B81</f>
        <v>0</v>
      </c>
      <c r="P82" s="66">
        <f t="shared" si="4"/>
        <v>0</v>
      </c>
      <c r="Q82" s="66">
        <f t="shared" si="5"/>
        <v>0</v>
      </c>
      <c r="R82" s="67" t="str">
        <f t="shared" si="6"/>
        <v/>
      </c>
      <c r="S82" s="66" t="str">
        <f t="shared" si="7"/>
        <v/>
      </c>
    </row>
    <row r="83" spans="1:19" x14ac:dyDescent="0.25">
      <c r="A83" s="62"/>
      <c r="B83" s="63"/>
      <c r="C83" s="62" t="s">
        <v>20</v>
      </c>
      <c r="D83" s="62"/>
      <c r="E83" s="62"/>
      <c r="F83" s="62"/>
      <c r="G83" s="62" t="s">
        <v>26</v>
      </c>
      <c r="H83" s="63"/>
      <c r="I83" s="63"/>
      <c r="J83" s="63"/>
      <c r="K83" s="62"/>
      <c r="L83" s="62"/>
      <c r="M83" s="64" t="str">
        <f ca="1">IF($A83="","",IF($G83="Did not pass re-test","Sent back again",IF($G83="Yes",IF(AND(ISNUMBER($J83),ISNUMBER($B83)),"Fixed in "&amp;($J83-$B83)&amp;" d","Accepted"),IF(SUMPRODUCT(--(TRIM('Combined Delivery Data'!$B$2:$B$500)=TRIM($A83)))=0,"Not on main tab - renamed?",IF(NOT(ISNUMBER($B83)),"Missing or invalid sent-back date",IF($B83&gt;TODAY(),"Sent-back date is in future",IF(ISNUMBER($J83),IF($J83&lt;$B83,"Check dates - fixed before sent","Fixed in "&amp;($J83-$B83)&amp;" d"),IF(AND($I83&lt;&gt;"",NOT(ISNUMBER($I83))),"Check Expected Fix Date",IF($I83="","UNCLAIMED "&amp;(TODAY()-$B83)&amp;" d",IF(TODAY()&gt;$I83,(TODAY()-$I83)&amp;" d LATE","Open "&amp;(TODAY()-$B83)&amp;" d"))))))))))</f>
        <v/>
      </c>
      <c r="O83" s="66">
        <f>'Combined Delivery Data'!B82</f>
        <v>0</v>
      </c>
      <c r="P83" s="66">
        <f t="shared" si="4"/>
        <v>0</v>
      </c>
      <c r="Q83" s="66">
        <f t="shared" si="5"/>
        <v>0</v>
      </c>
      <c r="R83" s="67" t="str">
        <f t="shared" si="6"/>
        <v/>
      </c>
      <c r="S83" s="66" t="str">
        <f t="shared" si="7"/>
        <v/>
      </c>
    </row>
    <row r="84" spans="1:19" x14ac:dyDescent="0.25">
      <c r="A84" s="62"/>
      <c r="B84" s="63"/>
      <c r="C84" s="62" t="s">
        <v>20</v>
      </c>
      <c r="D84" s="62"/>
      <c r="E84" s="62"/>
      <c r="F84" s="62"/>
      <c r="G84" s="62" t="s">
        <v>26</v>
      </c>
      <c r="H84" s="63"/>
      <c r="I84" s="63"/>
      <c r="J84" s="63"/>
      <c r="K84" s="62"/>
      <c r="L84" s="62"/>
      <c r="M84" s="64" t="str">
        <f ca="1">IF($A84="","",IF($G84="Did not pass re-test","Sent back again",IF($G84="Yes",IF(AND(ISNUMBER($J84),ISNUMBER($B84)),"Fixed in "&amp;($J84-$B84)&amp;" d","Accepted"),IF(SUMPRODUCT(--(TRIM('Combined Delivery Data'!$B$2:$B$500)=TRIM($A84)))=0,"Not on main tab - renamed?",IF(NOT(ISNUMBER($B84)),"Missing or invalid sent-back date",IF($B84&gt;TODAY(),"Sent-back date is in future",IF(ISNUMBER($J84),IF($J84&lt;$B84,"Check dates - fixed before sent","Fixed in "&amp;($J84-$B84)&amp;" d"),IF(AND($I84&lt;&gt;"",NOT(ISNUMBER($I84))),"Check Expected Fix Date",IF($I84="","UNCLAIMED "&amp;(TODAY()-$B84)&amp;" d",IF(TODAY()&gt;$I84,(TODAY()-$I84)&amp;" d LATE","Open "&amp;(TODAY()-$B84)&amp;" d"))))))))))</f>
        <v/>
      </c>
      <c r="O84" s="66">
        <f>'Combined Delivery Data'!B83</f>
        <v>0</v>
      </c>
      <c r="P84" s="66">
        <f t="shared" si="4"/>
        <v>0</v>
      </c>
      <c r="Q84" s="66">
        <f t="shared" si="5"/>
        <v>0</v>
      </c>
      <c r="R84" s="67" t="str">
        <f t="shared" si="6"/>
        <v/>
      </c>
      <c r="S84" s="66" t="str">
        <f t="shared" si="7"/>
        <v/>
      </c>
    </row>
    <row r="85" spans="1:19" x14ac:dyDescent="0.25">
      <c r="A85" s="62"/>
      <c r="B85" s="63"/>
      <c r="C85" s="62" t="s">
        <v>20</v>
      </c>
      <c r="D85" s="62"/>
      <c r="E85" s="62"/>
      <c r="F85" s="62"/>
      <c r="G85" s="62" t="s">
        <v>26</v>
      </c>
      <c r="H85" s="63"/>
      <c r="I85" s="63"/>
      <c r="J85" s="63"/>
      <c r="K85" s="62"/>
      <c r="L85" s="62"/>
      <c r="M85" s="64" t="str">
        <f ca="1">IF($A85="","",IF($G85="Did not pass re-test","Sent back again",IF($G85="Yes",IF(AND(ISNUMBER($J85),ISNUMBER($B85)),"Fixed in "&amp;($J85-$B85)&amp;" d","Accepted"),IF(SUMPRODUCT(--(TRIM('Combined Delivery Data'!$B$2:$B$500)=TRIM($A85)))=0,"Not on main tab - renamed?",IF(NOT(ISNUMBER($B85)),"Missing or invalid sent-back date",IF($B85&gt;TODAY(),"Sent-back date is in future",IF(ISNUMBER($J85),IF($J85&lt;$B85,"Check dates - fixed before sent","Fixed in "&amp;($J85-$B85)&amp;" d"),IF(AND($I85&lt;&gt;"",NOT(ISNUMBER($I85))),"Check Expected Fix Date",IF($I85="","UNCLAIMED "&amp;(TODAY()-$B85)&amp;" d",IF(TODAY()&gt;$I85,(TODAY()-$I85)&amp;" d LATE","Open "&amp;(TODAY()-$B85)&amp;" d"))))))))))</f>
        <v/>
      </c>
      <c r="O85" s="66">
        <f>'Combined Delivery Data'!B84</f>
        <v>0</v>
      </c>
      <c r="P85" s="66">
        <f t="shared" si="4"/>
        <v>0</v>
      </c>
      <c r="Q85" s="66">
        <f t="shared" si="5"/>
        <v>0</v>
      </c>
      <c r="R85" s="67" t="str">
        <f t="shared" si="6"/>
        <v/>
      </c>
      <c r="S85" s="66" t="str">
        <f t="shared" si="7"/>
        <v/>
      </c>
    </row>
    <row r="86" spans="1:19" x14ac:dyDescent="0.25">
      <c r="A86" s="62"/>
      <c r="B86" s="63"/>
      <c r="C86" s="62" t="s">
        <v>20</v>
      </c>
      <c r="D86" s="62"/>
      <c r="E86" s="62"/>
      <c r="F86" s="62"/>
      <c r="G86" s="62" t="s">
        <v>26</v>
      </c>
      <c r="H86" s="63"/>
      <c r="I86" s="63"/>
      <c r="J86" s="63"/>
      <c r="K86" s="62"/>
      <c r="L86" s="62"/>
      <c r="M86" s="64" t="str">
        <f ca="1">IF($A86="","",IF($G86="Did not pass re-test","Sent back again",IF($G86="Yes",IF(AND(ISNUMBER($J86),ISNUMBER($B86)),"Fixed in "&amp;($J86-$B86)&amp;" d","Accepted"),IF(SUMPRODUCT(--(TRIM('Combined Delivery Data'!$B$2:$B$500)=TRIM($A86)))=0,"Not on main tab - renamed?",IF(NOT(ISNUMBER($B86)),"Missing or invalid sent-back date",IF($B86&gt;TODAY(),"Sent-back date is in future",IF(ISNUMBER($J86),IF($J86&lt;$B86,"Check dates - fixed before sent","Fixed in "&amp;($J86-$B86)&amp;" d"),IF(AND($I86&lt;&gt;"",NOT(ISNUMBER($I86))),"Check Expected Fix Date",IF($I86="","UNCLAIMED "&amp;(TODAY()-$B86)&amp;" d",IF(TODAY()&gt;$I86,(TODAY()-$I86)&amp;" d LATE","Open "&amp;(TODAY()-$B86)&amp;" d"))))))))))</f>
        <v/>
      </c>
      <c r="O86" s="66">
        <f>'Combined Delivery Data'!B85</f>
        <v>0</v>
      </c>
      <c r="P86" s="66">
        <f t="shared" si="4"/>
        <v>0</v>
      </c>
      <c r="Q86" s="66">
        <f t="shared" si="5"/>
        <v>0</v>
      </c>
      <c r="R86" s="67" t="str">
        <f t="shared" si="6"/>
        <v/>
      </c>
      <c r="S86" s="66" t="str">
        <f t="shared" si="7"/>
        <v/>
      </c>
    </row>
    <row r="87" spans="1:19" x14ac:dyDescent="0.25">
      <c r="A87" s="62"/>
      <c r="B87" s="63"/>
      <c r="C87" s="62" t="s">
        <v>20</v>
      </c>
      <c r="D87" s="62"/>
      <c r="E87" s="62"/>
      <c r="F87" s="62"/>
      <c r="G87" s="62" t="s">
        <v>26</v>
      </c>
      <c r="H87" s="63"/>
      <c r="I87" s="63"/>
      <c r="J87" s="63"/>
      <c r="K87" s="62"/>
      <c r="L87" s="62"/>
      <c r="M87" s="64" t="str">
        <f ca="1">IF($A87="","",IF($G87="Did not pass re-test","Sent back again",IF($G87="Yes",IF(AND(ISNUMBER($J87),ISNUMBER($B87)),"Fixed in "&amp;($J87-$B87)&amp;" d","Accepted"),IF(SUMPRODUCT(--(TRIM('Combined Delivery Data'!$B$2:$B$500)=TRIM($A87)))=0,"Not on main tab - renamed?",IF(NOT(ISNUMBER($B87)),"Missing or invalid sent-back date",IF($B87&gt;TODAY(),"Sent-back date is in future",IF(ISNUMBER($J87),IF($J87&lt;$B87,"Check dates - fixed before sent","Fixed in "&amp;($J87-$B87)&amp;" d"),IF(AND($I87&lt;&gt;"",NOT(ISNUMBER($I87))),"Check Expected Fix Date",IF($I87="","UNCLAIMED "&amp;(TODAY()-$B87)&amp;" d",IF(TODAY()&gt;$I87,(TODAY()-$I87)&amp;" d LATE","Open "&amp;(TODAY()-$B87)&amp;" d"))))))))))</f>
        <v/>
      </c>
      <c r="O87" s="66">
        <f>'Combined Delivery Data'!B86</f>
        <v>0</v>
      </c>
      <c r="P87" s="66">
        <f t="shared" si="4"/>
        <v>0</v>
      </c>
      <c r="Q87" s="66">
        <f t="shared" si="5"/>
        <v>0</v>
      </c>
      <c r="R87" s="67" t="str">
        <f t="shared" si="6"/>
        <v/>
      </c>
      <c r="S87" s="66" t="str">
        <f t="shared" si="7"/>
        <v/>
      </c>
    </row>
    <row r="88" spans="1:19" x14ac:dyDescent="0.25">
      <c r="A88" s="62"/>
      <c r="B88" s="63"/>
      <c r="C88" s="62" t="s">
        <v>20</v>
      </c>
      <c r="D88" s="62"/>
      <c r="E88" s="62"/>
      <c r="F88" s="62"/>
      <c r="G88" s="62" t="s">
        <v>26</v>
      </c>
      <c r="H88" s="63"/>
      <c r="I88" s="63"/>
      <c r="J88" s="63"/>
      <c r="K88" s="62"/>
      <c r="L88" s="62"/>
      <c r="M88" s="64" t="str">
        <f ca="1">IF($A88="","",IF($G88="Did not pass re-test","Sent back again",IF($G88="Yes",IF(AND(ISNUMBER($J88),ISNUMBER($B88)),"Fixed in "&amp;($J88-$B88)&amp;" d","Accepted"),IF(SUMPRODUCT(--(TRIM('Combined Delivery Data'!$B$2:$B$500)=TRIM($A88)))=0,"Not on main tab - renamed?",IF(NOT(ISNUMBER($B88)),"Missing or invalid sent-back date",IF($B88&gt;TODAY(),"Sent-back date is in future",IF(ISNUMBER($J88),IF($J88&lt;$B88,"Check dates - fixed before sent","Fixed in "&amp;($J88-$B88)&amp;" d"),IF(AND($I88&lt;&gt;"",NOT(ISNUMBER($I88))),"Check Expected Fix Date",IF($I88="","UNCLAIMED "&amp;(TODAY()-$B88)&amp;" d",IF(TODAY()&gt;$I88,(TODAY()-$I88)&amp;" d LATE","Open "&amp;(TODAY()-$B88)&amp;" d"))))))))))</f>
        <v/>
      </c>
      <c r="O88" s="66">
        <f>'Combined Delivery Data'!B87</f>
        <v>0</v>
      </c>
      <c r="P88" s="66">
        <f t="shared" si="4"/>
        <v>0</v>
      </c>
      <c r="Q88" s="66">
        <f t="shared" si="5"/>
        <v>0</v>
      </c>
      <c r="R88" s="67" t="str">
        <f t="shared" si="6"/>
        <v/>
      </c>
      <c r="S88" s="66" t="str">
        <f t="shared" si="7"/>
        <v/>
      </c>
    </row>
    <row r="89" spans="1:19" x14ac:dyDescent="0.25">
      <c r="A89" s="62"/>
      <c r="B89" s="63"/>
      <c r="C89" s="62" t="s">
        <v>20</v>
      </c>
      <c r="D89" s="62"/>
      <c r="E89" s="62"/>
      <c r="F89" s="62"/>
      <c r="G89" s="62" t="s">
        <v>26</v>
      </c>
      <c r="H89" s="63"/>
      <c r="I89" s="63"/>
      <c r="J89" s="63"/>
      <c r="K89" s="62"/>
      <c r="L89" s="62"/>
      <c r="M89" s="64" t="str">
        <f ca="1">IF($A89="","",IF($G89="Did not pass re-test","Sent back again",IF($G89="Yes",IF(AND(ISNUMBER($J89),ISNUMBER($B89)),"Fixed in "&amp;($J89-$B89)&amp;" d","Accepted"),IF(SUMPRODUCT(--(TRIM('Combined Delivery Data'!$B$2:$B$500)=TRIM($A89)))=0,"Not on main tab - renamed?",IF(NOT(ISNUMBER($B89)),"Missing or invalid sent-back date",IF($B89&gt;TODAY(),"Sent-back date is in future",IF(ISNUMBER($J89),IF($J89&lt;$B89,"Check dates - fixed before sent","Fixed in "&amp;($J89-$B89)&amp;" d"),IF(AND($I89&lt;&gt;"",NOT(ISNUMBER($I89))),"Check Expected Fix Date",IF($I89="","UNCLAIMED "&amp;(TODAY()-$B89)&amp;" d",IF(TODAY()&gt;$I89,(TODAY()-$I89)&amp;" d LATE","Open "&amp;(TODAY()-$B89)&amp;" d"))))))))))</f>
        <v/>
      </c>
      <c r="O89" s="66">
        <f>'Combined Delivery Data'!B88</f>
        <v>0</v>
      </c>
      <c r="P89" s="66">
        <f t="shared" si="4"/>
        <v>0</v>
      </c>
      <c r="Q89" s="66">
        <f t="shared" si="5"/>
        <v>0</v>
      </c>
      <c r="R89" s="67" t="str">
        <f t="shared" si="6"/>
        <v/>
      </c>
      <c r="S89" s="66" t="str">
        <f t="shared" si="7"/>
        <v/>
      </c>
    </row>
    <row r="90" spans="1:19" x14ac:dyDescent="0.25">
      <c r="A90" s="62"/>
      <c r="B90" s="63"/>
      <c r="C90" s="62" t="s">
        <v>20</v>
      </c>
      <c r="D90" s="62"/>
      <c r="E90" s="62"/>
      <c r="F90" s="62"/>
      <c r="G90" s="62" t="s">
        <v>26</v>
      </c>
      <c r="H90" s="63"/>
      <c r="I90" s="63"/>
      <c r="J90" s="63"/>
      <c r="K90" s="62"/>
      <c r="L90" s="62"/>
      <c r="M90" s="64" t="str">
        <f ca="1">IF($A90="","",IF($G90="Did not pass re-test","Sent back again",IF($G90="Yes",IF(AND(ISNUMBER($J90),ISNUMBER($B90)),"Fixed in "&amp;($J90-$B90)&amp;" d","Accepted"),IF(SUMPRODUCT(--(TRIM('Combined Delivery Data'!$B$2:$B$500)=TRIM($A90)))=0,"Not on main tab - renamed?",IF(NOT(ISNUMBER($B90)),"Missing or invalid sent-back date",IF($B90&gt;TODAY(),"Sent-back date is in future",IF(ISNUMBER($J90),IF($J90&lt;$B90,"Check dates - fixed before sent","Fixed in "&amp;($J90-$B90)&amp;" d"),IF(AND($I90&lt;&gt;"",NOT(ISNUMBER($I90))),"Check Expected Fix Date",IF($I90="","UNCLAIMED "&amp;(TODAY()-$B90)&amp;" d",IF(TODAY()&gt;$I90,(TODAY()-$I90)&amp;" d LATE","Open "&amp;(TODAY()-$B90)&amp;" d"))))))))))</f>
        <v/>
      </c>
      <c r="O90" s="66">
        <f>'Combined Delivery Data'!B89</f>
        <v>0</v>
      </c>
      <c r="P90" s="66">
        <f t="shared" si="4"/>
        <v>0</v>
      </c>
      <c r="Q90" s="66">
        <f t="shared" si="5"/>
        <v>0</v>
      </c>
      <c r="R90" s="67" t="str">
        <f t="shared" si="6"/>
        <v/>
      </c>
      <c r="S90" s="66" t="str">
        <f t="shared" si="7"/>
        <v/>
      </c>
    </row>
    <row r="91" spans="1:19" x14ac:dyDescent="0.25">
      <c r="A91" s="62"/>
      <c r="B91" s="63"/>
      <c r="C91" s="62" t="s">
        <v>20</v>
      </c>
      <c r="D91" s="62"/>
      <c r="E91" s="62"/>
      <c r="F91" s="62"/>
      <c r="G91" s="62" t="s">
        <v>26</v>
      </c>
      <c r="H91" s="63"/>
      <c r="I91" s="63"/>
      <c r="J91" s="63"/>
      <c r="K91" s="62"/>
      <c r="L91" s="62"/>
      <c r="M91" s="64" t="str">
        <f ca="1">IF($A91="","",IF($G91="Did not pass re-test","Sent back again",IF($G91="Yes",IF(AND(ISNUMBER($J91),ISNUMBER($B91)),"Fixed in "&amp;($J91-$B91)&amp;" d","Accepted"),IF(SUMPRODUCT(--(TRIM('Combined Delivery Data'!$B$2:$B$500)=TRIM($A91)))=0,"Not on main tab - renamed?",IF(NOT(ISNUMBER($B91)),"Missing or invalid sent-back date",IF($B91&gt;TODAY(),"Sent-back date is in future",IF(ISNUMBER($J91),IF($J91&lt;$B91,"Check dates - fixed before sent","Fixed in "&amp;($J91-$B91)&amp;" d"),IF(AND($I91&lt;&gt;"",NOT(ISNUMBER($I91))),"Check Expected Fix Date",IF($I91="","UNCLAIMED "&amp;(TODAY()-$B91)&amp;" d",IF(TODAY()&gt;$I91,(TODAY()-$I91)&amp;" d LATE","Open "&amp;(TODAY()-$B91)&amp;" d"))))))))))</f>
        <v/>
      </c>
      <c r="O91" s="66">
        <f>'Combined Delivery Data'!B90</f>
        <v>0</v>
      </c>
      <c r="P91" s="66">
        <f t="shared" si="4"/>
        <v>0</v>
      </c>
      <c r="Q91" s="66">
        <f t="shared" si="5"/>
        <v>0</v>
      </c>
      <c r="R91" s="67" t="str">
        <f t="shared" si="6"/>
        <v/>
      </c>
      <c r="S91" s="66" t="str">
        <f t="shared" si="7"/>
        <v/>
      </c>
    </row>
    <row r="92" spans="1:19" x14ac:dyDescent="0.25">
      <c r="A92" s="62"/>
      <c r="B92" s="63"/>
      <c r="C92" s="62" t="s">
        <v>20</v>
      </c>
      <c r="D92" s="62"/>
      <c r="E92" s="62"/>
      <c r="F92" s="62"/>
      <c r="G92" s="62" t="s">
        <v>26</v>
      </c>
      <c r="H92" s="63"/>
      <c r="I92" s="63"/>
      <c r="J92" s="63"/>
      <c r="K92" s="62"/>
      <c r="L92" s="62"/>
      <c r="M92" s="64" t="str">
        <f ca="1">IF($A92="","",IF($G92="Did not pass re-test","Sent back again",IF($G92="Yes",IF(AND(ISNUMBER($J92),ISNUMBER($B92)),"Fixed in "&amp;($J92-$B92)&amp;" d","Accepted"),IF(SUMPRODUCT(--(TRIM('Combined Delivery Data'!$B$2:$B$500)=TRIM($A92)))=0,"Not on main tab - renamed?",IF(NOT(ISNUMBER($B92)),"Missing or invalid sent-back date",IF($B92&gt;TODAY(),"Sent-back date is in future",IF(ISNUMBER($J92),IF($J92&lt;$B92,"Check dates - fixed before sent","Fixed in "&amp;($J92-$B92)&amp;" d"),IF(AND($I92&lt;&gt;"",NOT(ISNUMBER($I92))),"Check Expected Fix Date",IF($I92="","UNCLAIMED "&amp;(TODAY()-$B92)&amp;" d",IF(TODAY()&gt;$I92,(TODAY()-$I92)&amp;" d LATE","Open "&amp;(TODAY()-$B92)&amp;" d"))))))))))</f>
        <v/>
      </c>
      <c r="O92" s="66">
        <f>'Combined Delivery Data'!B91</f>
        <v>0</v>
      </c>
      <c r="P92" s="66">
        <f t="shared" si="4"/>
        <v>0</v>
      </c>
      <c r="Q92" s="66">
        <f t="shared" si="5"/>
        <v>0</v>
      </c>
      <c r="R92" s="67" t="str">
        <f t="shared" si="6"/>
        <v/>
      </c>
      <c r="S92" s="66" t="str">
        <f t="shared" si="7"/>
        <v/>
      </c>
    </row>
    <row r="93" spans="1:19" x14ac:dyDescent="0.25">
      <c r="A93" s="62"/>
      <c r="B93" s="63"/>
      <c r="C93" s="62" t="s">
        <v>20</v>
      </c>
      <c r="D93" s="62"/>
      <c r="E93" s="62"/>
      <c r="F93" s="62"/>
      <c r="G93" s="62" t="s">
        <v>26</v>
      </c>
      <c r="H93" s="63"/>
      <c r="I93" s="63"/>
      <c r="J93" s="63"/>
      <c r="K93" s="62"/>
      <c r="L93" s="62"/>
      <c r="M93" s="64" t="str">
        <f ca="1">IF($A93="","",IF($G93="Did not pass re-test","Sent back again",IF($G93="Yes",IF(AND(ISNUMBER($J93),ISNUMBER($B93)),"Fixed in "&amp;($J93-$B93)&amp;" d","Accepted"),IF(SUMPRODUCT(--(TRIM('Combined Delivery Data'!$B$2:$B$500)=TRIM($A93)))=0,"Not on main tab - renamed?",IF(NOT(ISNUMBER($B93)),"Missing or invalid sent-back date",IF($B93&gt;TODAY(),"Sent-back date is in future",IF(ISNUMBER($J93),IF($J93&lt;$B93,"Check dates - fixed before sent","Fixed in "&amp;($J93-$B93)&amp;" d"),IF(AND($I93&lt;&gt;"",NOT(ISNUMBER($I93))),"Check Expected Fix Date",IF($I93="","UNCLAIMED "&amp;(TODAY()-$B93)&amp;" d",IF(TODAY()&gt;$I93,(TODAY()-$I93)&amp;" d LATE","Open "&amp;(TODAY()-$B93)&amp;" d"))))))))))</f>
        <v/>
      </c>
      <c r="O93" s="66">
        <f>'Combined Delivery Data'!B92</f>
        <v>0</v>
      </c>
      <c r="P93" s="66">
        <f t="shared" si="4"/>
        <v>0</v>
      </c>
      <c r="Q93" s="66">
        <f t="shared" si="5"/>
        <v>0</v>
      </c>
      <c r="R93" s="67" t="str">
        <f t="shared" si="6"/>
        <v/>
      </c>
      <c r="S93" s="66" t="str">
        <f t="shared" si="7"/>
        <v/>
      </c>
    </row>
    <row r="94" spans="1:19" x14ac:dyDescent="0.25">
      <c r="A94" s="62"/>
      <c r="B94" s="63"/>
      <c r="C94" s="62" t="s">
        <v>20</v>
      </c>
      <c r="D94" s="62"/>
      <c r="E94" s="62"/>
      <c r="F94" s="62"/>
      <c r="G94" s="62" t="s">
        <v>26</v>
      </c>
      <c r="H94" s="63"/>
      <c r="I94" s="63"/>
      <c r="J94" s="63"/>
      <c r="K94" s="62"/>
      <c r="L94" s="62"/>
      <c r="M94" s="64" t="str">
        <f ca="1">IF($A94="","",IF($G94="Did not pass re-test","Sent back again",IF($G94="Yes",IF(AND(ISNUMBER($J94),ISNUMBER($B94)),"Fixed in "&amp;($J94-$B94)&amp;" d","Accepted"),IF(SUMPRODUCT(--(TRIM('Combined Delivery Data'!$B$2:$B$500)=TRIM($A94)))=0,"Not on main tab - renamed?",IF(NOT(ISNUMBER($B94)),"Missing or invalid sent-back date",IF($B94&gt;TODAY(),"Sent-back date is in future",IF(ISNUMBER($J94),IF($J94&lt;$B94,"Check dates - fixed before sent","Fixed in "&amp;($J94-$B94)&amp;" d"),IF(AND($I94&lt;&gt;"",NOT(ISNUMBER($I94))),"Check Expected Fix Date",IF($I94="","UNCLAIMED "&amp;(TODAY()-$B94)&amp;" d",IF(TODAY()&gt;$I94,(TODAY()-$I94)&amp;" d LATE","Open "&amp;(TODAY()-$B94)&amp;" d"))))))))))</f>
        <v/>
      </c>
      <c r="O94" s="66">
        <f>'Combined Delivery Data'!B93</f>
        <v>0</v>
      </c>
      <c r="P94" s="66">
        <f t="shared" si="4"/>
        <v>0</v>
      </c>
      <c r="Q94" s="66">
        <f t="shared" si="5"/>
        <v>0</v>
      </c>
      <c r="R94" s="67" t="str">
        <f t="shared" si="6"/>
        <v/>
      </c>
      <c r="S94" s="66" t="str">
        <f t="shared" si="7"/>
        <v/>
      </c>
    </row>
    <row r="95" spans="1:19" x14ac:dyDescent="0.25">
      <c r="A95" s="62"/>
      <c r="B95" s="63"/>
      <c r="C95" s="62" t="s">
        <v>20</v>
      </c>
      <c r="D95" s="62"/>
      <c r="E95" s="62"/>
      <c r="F95" s="62"/>
      <c r="G95" s="62" t="s">
        <v>26</v>
      </c>
      <c r="H95" s="63"/>
      <c r="I95" s="63"/>
      <c r="J95" s="63"/>
      <c r="K95" s="62"/>
      <c r="L95" s="62"/>
      <c r="M95" s="64" t="str">
        <f ca="1">IF($A95="","",IF($G95="Did not pass re-test","Sent back again",IF($G95="Yes",IF(AND(ISNUMBER($J95),ISNUMBER($B95)),"Fixed in "&amp;($J95-$B95)&amp;" d","Accepted"),IF(SUMPRODUCT(--(TRIM('Combined Delivery Data'!$B$2:$B$500)=TRIM($A95)))=0,"Not on main tab - renamed?",IF(NOT(ISNUMBER($B95)),"Missing or invalid sent-back date",IF($B95&gt;TODAY(),"Sent-back date is in future",IF(ISNUMBER($J95),IF($J95&lt;$B95,"Check dates - fixed before sent","Fixed in "&amp;($J95-$B95)&amp;" d"),IF(AND($I95&lt;&gt;"",NOT(ISNUMBER($I95))),"Check Expected Fix Date",IF($I95="","UNCLAIMED "&amp;(TODAY()-$B95)&amp;" d",IF(TODAY()&gt;$I95,(TODAY()-$I95)&amp;" d LATE","Open "&amp;(TODAY()-$B95)&amp;" d"))))))))))</f>
        <v/>
      </c>
      <c r="O95" s="66">
        <f>'Combined Delivery Data'!B94</f>
        <v>0</v>
      </c>
      <c r="P95" s="66">
        <f t="shared" si="4"/>
        <v>0</v>
      </c>
      <c r="Q95" s="66">
        <f t="shared" si="5"/>
        <v>0</v>
      </c>
      <c r="R95" s="67" t="str">
        <f t="shared" si="6"/>
        <v/>
      </c>
      <c r="S95" s="66" t="str">
        <f t="shared" si="7"/>
        <v/>
      </c>
    </row>
    <row r="96" spans="1:19" x14ac:dyDescent="0.25">
      <c r="A96" s="62"/>
      <c r="B96" s="63"/>
      <c r="C96" s="62" t="s">
        <v>20</v>
      </c>
      <c r="D96" s="62"/>
      <c r="E96" s="62"/>
      <c r="F96" s="62"/>
      <c r="G96" s="62" t="s">
        <v>26</v>
      </c>
      <c r="H96" s="63"/>
      <c r="I96" s="63"/>
      <c r="J96" s="63"/>
      <c r="K96" s="62"/>
      <c r="L96" s="62"/>
      <c r="M96" s="64" t="str">
        <f ca="1">IF($A96="","",IF($G96="Did not pass re-test","Sent back again",IF($G96="Yes",IF(AND(ISNUMBER($J96),ISNUMBER($B96)),"Fixed in "&amp;($J96-$B96)&amp;" d","Accepted"),IF(SUMPRODUCT(--(TRIM('Combined Delivery Data'!$B$2:$B$500)=TRIM($A96)))=0,"Not on main tab - renamed?",IF(NOT(ISNUMBER($B96)),"Missing or invalid sent-back date",IF($B96&gt;TODAY(),"Sent-back date is in future",IF(ISNUMBER($J96),IF($J96&lt;$B96,"Check dates - fixed before sent","Fixed in "&amp;($J96-$B96)&amp;" d"),IF(AND($I96&lt;&gt;"",NOT(ISNUMBER($I96))),"Check Expected Fix Date",IF($I96="","UNCLAIMED "&amp;(TODAY()-$B96)&amp;" d",IF(TODAY()&gt;$I96,(TODAY()-$I96)&amp;" d LATE","Open "&amp;(TODAY()-$B96)&amp;" d"))))))))))</f>
        <v/>
      </c>
      <c r="O96" s="66">
        <f>'Combined Delivery Data'!B95</f>
        <v>0</v>
      </c>
      <c r="P96" s="66">
        <f t="shared" si="4"/>
        <v>0</v>
      </c>
      <c r="Q96" s="66">
        <f t="shared" si="5"/>
        <v>0</v>
      </c>
      <c r="R96" s="67" t="str">
        <f t="shared" si="6"/>
        <v/>
      </c>
      <c r="S96" s="66" t="str">
        <f t="shared" si="7"/>
        <v/>
      </c>
    </row>
    <row r="97" spans="1:19" x14ac:dyDescent="0.25">
      <c r="A97" s="62"/>
      <c r="B97" s="63"/>
      <c r="C97" s="62" t="s">
        <v>20</v>
      </c>
      <c r="D97" s="62"/>
      <c r="E97" s="62"/>
      <c r="F97" s="62"/>
      <c r="G97" s="62" t="s">
        <v>26</v>
      </c>
      <c r="H97" s="63"/>
      <c r="I97" s="63"/>
      <c r="J97" s="63"/>
      <c r="K97" s="62"/>
      <c r="L97" s="62"/>
      <c r="M97" s="64" t="str">
        <f ca="1">IF($A97="","",IF($G97="Did not pass re-test","Sent back again",IF($G97="Yes",IF(AND(ISNUMBER($J97),ISNUMBER($B97)),"Fixed in "&amp;($J97-$B97)&amp;" d","Accepted"),IF(SUMPRODUCT(--(TRIM('Combined Delivery Data'!$B$2:$B$500)=TRIM($A97)))=0,"Not on main tab - renamed?",IF(NOT(ISNUMBER($B97)),"Missing or invalid sent-back date",IF($B97&gt;TODAY(),"Sent-back date is in future",IF(ISNUMBER($J97),IF($J97&lt;$B97,"Check dates - fixed before sent","Fixed in "&amp;($J97-$B97)&amp;" d"),IF(AND($I97&lt;&gt;"",NOT(ISNUMBER($I97))),"Check Expected Fix Date",IF($I97="","UNCLAIMED "&amp;(TODAY()-$B97)&amp;" d",IF(TODAY()&gt;$I97,(TODAY()-$I97)&amp;" d LATE","Open "&amp;(TODAY()-$B97)&amp;" d"))))))))))</f>
        <v/>
      </c>
      <c r="O97" s="66">
        <f>'Combined Delivery Data'!B96</f>
        <v>0</v>
      </c>
      <c r="P97" s="66">
        <f t="shared" si="4"/>
        <v>0</v>
      </c>
      <c r="Q97" s="66">
        <f t="shared" si="5"/>
        <v>0</v>
      </c>
      <c r="R97" s="67" t="str">
        <f t="shared" si="6"/>
        <v/>
      </c>
      <c r="S97" s="66" t="str">
        <f t="shared" si="7"/>
        <v/>
      </c>
    </row>
    <row r="98" spans="1:19" x14ac:dyDescent="0.25">
      <c r="A98" s="62"/>
      <c r="B98" s="63"/>
      <c r="C98" s="62" t="s">
        <v>20</v>
      </c>
      <c r="D98" s="62"/>
      <c r="E98" s="62"/>
      <c r="F98" s="62"/>
      <c r="G98" s="62" t="s">
        <v>26</v>
      </c>
      <c r="H98" s="63"/>
      <c r="I98" s="63"/>
      <c r="J98" s="63"/>
      <c r="K98" s="62"/>
      <c r="L98" s="62"/>
      <c r="M98" s="64" t="str">
        <f ca="1">IF($A98="","",IF($G98="Did not pass re-test","Sent back again",IF($G98="Yes",IF(AND(ISNUMBER($J98),ISNUMBER($B98)),"Fixed in "&amp;($J98-$B98)&amp;" d","Accepted"),IF(SUMPRODUCT(--(TRIM('Combined Delivery Data'!$B$2:$B$500)=TRIM($A98)))=0,"Not on main tab - renamed?",IF(NOT(ISNUMBER($B98)),"Missing or invalid sent-back date",IF($B98&gt;TODAY(),"Sent-back date is in future",IF(ISNUMBER($J98),IF($J98&lt;$B98,"Check dates - fixed before sent","Fixed in "&amp;($J98-$B98)&amp;" d"),IF(AND($I98&lt;&gt;"",NOT(ISNUMBER($I98))),"Check Expected Fix Date",IF($I98="","UNCLAIMED "&amp;(TODAY()-$B98)&amp;" d",IF(TODAY()&gt;$I98,(TODAY()-$I98)&amp;" d LATE","Open "&amp;(TODAY()-$B98)&amp;" d"))))))))))</f>
        <v/>
      </c>
      <c r="O98" s="66">
        <f>'Combined Delivery Data'!B97</f>
        <v>0</v>
      </c>
      <c r="P98" s="66">
        <f t="shared" si="4"/>
        <v>0</v>
      </c>
      <c r="Q98" s="66">
        <f t="shared" si="5"/>
        <v>0</v>
      </c>
      <c r="R98" s="67" t="str">
        <f t="shared" si="6"/>
        <v/>
      </c>
      <c r="S98" s="66" t="str">
        <f t="shared" si="7"/>
        <v/>
      </c>
    </row>
    <row r="99" spans="1:19" x14ac:dyDescent="0.25">
      <c r="A99" s="62"/>
      <c r="B99" s="63"/>
      <c r="C99" s="62" t="s">
        <v>20</v>
      </c>
      <c r="D99" s="62"/>
      <c r="E99" s="62"/>
      <c r="F99" s="62"/>
      <c r="G99" s="62" t="s">
        <v>26</v>
      </c>
      <c r="H99" s="63"/>
      <c r="I99" s="63"/>
      <c r="J99" s="63"/>
      <c r="K99" s="62"/>
      <c r="L99" s="62"/>
      <c r="M99" s="64" t="str">
        <f ca="1">IF($A99="","",IF($G99="Did not pass re-test","Sent back again",IF($G99="Yes",IF(AND(ISNUMBER($J99),ISNUMBER($B99)),"Fixed in "&amp;($J99-$B99)&amp;" d","Accepted"),IF(SUMPRODUCT(--(TRIM('Combined Delivery Data'!$B$2:$B$500)=TRIM($A99)))=0,"Not on main tab - renamed?",IF(NOT(ISNUMBER($B99)),"Missing or invalid sent-back date",IF($B99&gt;TODAY(),"Sent-back date is in future",IF(ISNUMBER($J99),IF($J99&lt;$B99,"Check dates - fixed before sent","Fixed in "&amp;($J99-$B99)&amp;" d"),IF(AND($I99&lt;&gt;"",NOT(ISNUMBER($I99))),"Check Expected Fix Date",IF($I99="","UNCLAIMED "&amp;(TODAY()-$B99)&amp;" d",IF(TODAY()&gt;$I99,(TODAY()-$I99)&amp;" d LATE","Open "&amp;(TODAY()-$B99)&amp;" d"))))))))))</f>
        <v/>
      </c>
      <c r="O99" s="66">
        <f>'Combined Delivery Data'!B98</f>
        <v>0</v>
      </c>
      <c r="P99" s="66">
        <f t="shared" si="4"/>
        <v>0</v>
      </c>
      <c r="Q99" s="66">
        <f t="shared" si="5"/>
        <v>0</v>
      </c>
      <c r="R99" s="67" t="str">
        <f t="shared" si="6"/>
        <v/>
      </c>
      <c r="S99" s="66" t="str">
        <f t="shared" si="7"/>
        <v/>
      </c>
    </row>
    <row r="100" spans="1:19" x14ac:dyDescent="0.25">
      <c r="A100" s="62"/>
      <c r="B100" s="63"/>
      <c r="C100" s="62" t="s">
        <v>20</v>
      </c>
      <c r="D100" s="62"/>
      <c r="E100" s="62"/>
      <c r="F100" s="62"/>
      <c r="G100" s="62" t="s">
        <v>26</v>
      </c>
      <c r="H100" s="63"/>
      <c r="I100" s="63"/>
      <c r="J100" s="63"/>
      <c r="K100" s="62"/>
      <c r="L100" s="62"/>
      <c r="M100" s="64" t="str">
        <f ca="1">IF($A100="","",IF($G100="Did not pass re-test","Sent back again",IF($G100="Yes",IF(AND(ISNUMBER($J100),ISNUMBER($B100)),"Fixed in "&amp;($J100-$B100)&amp;" d","Accepted"),IF(SUMPRODUCT(--(TRIM('Combined Delivery Data'!$B$2:$B$500)=TRIM($A100)))=0,"Not on main tab - renamed?",IF(NOT(ISNUMBER($B100)),"Missing or invalid sent-back date",IF($B100&gt;TODAY(),"Sent-back date is in future",IF(ISNUMBER($J100),IF($J100&lt;$B100,"Check dates - fixed before sent","Fixed in "&amp;($J100-$B100)&amp;" d"),IF(AND($I100&lt;&gt;"",NOT(ISNUMBER($I100))),"Check Expected Fix Date",IF($I100="","UNCLAIMED "&amp;(TODAY()-$B100)&amp;" d",IF(TODAY()&gt;$I100,(TODAY()-$I100)&amp;" d LATE","Open "&amp;(TODAY()-$B100)&amp;" d"))))))))))</f>
        <v/>
      </c>
      <c r="O100" s="66">
        <f>'Combined Delivery Data'!B99</f>
        <v>0</v>
      </c>
      <c r="P100" s="66">
        <f t="shared" si="4"/>
        <v>0</v>
      </c>
      <c r="Q100" s="66">
        <f t="shared" si="5"/>
        <v>0</v>
      </c>
      <c r="R100" s="67" t="str">
        <f t="shared" si="6"/>
        <v/>
      </c>
      <c r="S100" s="66" t="str">
        <f t="shared" si="7"/>
        <v/>
      </c>
    </row>
    <row r="101" spans="1:19" x14ac:dyDescent="0.25">
      <c r="A101" s="62"/>
      <c r="B101" s="63"/>
      <c r="C101" s="62" t="s">
        <v>20</v>
      </c>
      <c r="D101" s="62"/>
      <c r="E101" s="62"/>
      <c r="F101" s="62"/>
      <c r="G101" s="62" t="s">
        <v>26</v>
      </c>
      <c r="H101" s="63"/>
      <c r="I101" s="63"/>
      <c r="J101" s="63"/>
      <c r="K101" s="62"/>
      <c r="L101" s="62"/>
      <c r="M101" s="64" t="str">
        <f ca="1">IF($A101="","",IF($G101="Did not pass re-test","Sent back again",IF($G101="Yes",IF(AND(ISNUMBER($J101),ISNUMBER($B101)),"Fixed in "&amp;($J101-$B101)&amp;" d","Accepted"),IF(SUMPRODUCT(--(TRIM('Combined Delivery Data'!$B$2:$B$500)=TRIM($A101)))=0,"Not on main tab - renamed?",IF(NOT(ISNUMBER($B101)),"Missing or invalid sent-back date",IF($B101&gt;TODAY(),"Sent-back date is in future",IF(ISNUMBER($J101),IF($J101&lt;$B101,"Check dates - fixed before sent","Fixed in "&amp;($J101-$B101)&amp;" d"),IF(AND($I101&lt;&gt;"",NOT(ISNUMBER($I101))),"Check Expected Fix Date",IF($I101="","UNCLAIMED "&amp;(TODAY()-$B101)&amp;" d",IF(TODAY()&gt;$I101,(TODAY()-$I101)&amp;" d LATE","Open "&amp;(TODAY()-$B101)&amp;" d"))))))))))</f>
        <v/>
      </c>
      <c r="O101" s="66">
        <f>'Combined Delivery Data'!B100</f>
        <v>0</v>
      </c>
      <c r="P101" s="66">
        <f t="shared" si="4"/>
        <v>0</v>
      </c>
      <c r="Q101" s="66">
        <f t="shared" si="5"/>
        <v>0</v>
      </c>
      <c r="R101" s="67" t="str">
        <f t="shared" si="6"/>
        <v/>
      </c>
      <c r="S101" s="66" t="str">
        <f t="shared" si="7"/>
        <v/>
      </c>
    </row>
    <row r="102" spans="1:19" x14ac:dyDescent="0.25">
      <c r="A102" s="62"/>
      <c r="B102" s="63"/>
      <c r="C102" s="62" t="s">
        <v>20</v>
      </c>
      <c r="D102" s="62"/>
      <c r="E102" s="62"/>
      <c r="F102" s="62"/>
      <c r="G102" s="62" t="s">
        <v>26</v>
      </c>
      <c r="H102" s="63"/>
      <c r="I102" s="63"/>
      <c r="J102" s="63"/>
      <c r="K102" s="62"/>
      <c r="L102" s="62"/>
      <c r="M102" s="64" t="str">
        <f ca="1">IF($A102="","",IF($G102="Did not pass re-test","Sent back again",IF($G102="Yes",IF(AND(ISNUMBER($J102),ISNUMBER($B102)),"Fixed in "&amp;($J102-$B102)&amp;" d","Accepted"),IF(SUMPRODUCT(--(TRIM('Combined Delivery Data'!$B$2:$B$500)=TRIM($A102)))=0,"Not on main tab - renamed?",IF(NOT(ISNUMBER($B102)),"Missing or invalid sent-back date",IF($B102&gt;TODAY(),"Sent-back date is in future",IF(ISNUMBER($J102),IF($J102&lt;$B102,"Check dates - fixed before sent","Fixed in "&amp;($J102-$B102)&amp;" d"),IF(AND($I102&lt;&gt;"",NOT(ISNUMBER($I102))),"Check Expected Fix Date",IF($I102="","UNCLAIMED "&amp;(TODAY()-$B102)&amp;" d",IF(TODAY()&gt;$I102,(TODAY()-$I102)&amp;" d LATE","Open "&amp;(TODAY()-$B102)&amp;" d"))))))))))</f>
        <v/>
      </c>
      <c r="O102" s="66">
        <f>'Combined Delivery Data'!B101</f>
        <v>0</v>
      </c>
      <c r="P102" s="66">
        <f t="shared" si="4"/>
        <v>0</v>
      </c>
      <c r="Q102" s="66">
        <f t="shared" si="5"/>
        <v>0</v>
      </c>
      <c r="R102" s="67" t="str">
        <f t="shared" si="6"/>
        <v/>
      </c>
      <c r="S102" s="66" t="str">
        <f t="shared" si="7"/>
        <v/>
      </c>
    </row>
    <row r="103" spans="1:19" x14ac:dyDescent="0.25">
      <c r="A103" s="62"/>
      <c r="B103" s="63"/>
      <c r="C103" s="62" t="s">
        <v>20</v>
      </c>
      <c r="D103" s="62"/>
      <c r="E103" s="62"/>
      <c r="F103" s="62"/>
      <c r="G103" s="62" t="s">
        <v>26</v>
      </c>
      <c r="H103" s="63"/>
      <c r="I103" s="63"/>
      <c r="J103" s="63"/>
      <c r="K103" s="62"/>
      <c r="L103" s="62"/>
      <c r="M103" s="64" t="str">
        <f ca="1">IF($A103="","",IF($G103="Did not pass re-test","Sent back again",IF($G103="Yes",IF(AND(ISNUMBER($J103),ISNUMBER($B103)),"Fixed in "&amp;($J103-$B103)&amp;" d","Accepted"),IF(SUMPRODUCT(--(TRIM('Combined Delivery Data'!$B$2:$B$500)=TRIM($A103)))=0,"Not on main tab - renamed?",IF(NOT(ISNUMBER($B103)),"Missing or invalid sent-back date",IF($B103&gt;TODAY(),"Sent-back date is in future",IF(ISNUMBER($J103),IF($J103&lt;$B103,"Check dates - fixed before sent","Fixed in "&amp;($J103-$B103)&amp;" d"),IF(AND($I103&lt;&gt;"",NOT(ISNUMBER($I103))),"Check Expected Fix Date",IF($I103="","UNCLAIMED "&amp;(TODAY()-$B103)&amp;" d",IF(TODAY()&gt;$I103,(TODAY()-$I103)&amp;" d LATE","Open "&amp;(TODAY()-$B103)&amp;" d"))))))))))</f>
        <v/>
      </c>
      <c r="O103" s="66">
        <f>'Combined Delivery Data'!B102</f>
        <v>0</v>
      </c>
      <c r="P103" s="66">
        <f t="shared" si="4"/>
        <v>0</v>
      </c>
      <c r="Q103" s="66">
        <f t="shared" si="5"/>
        <v>0</v>
      </c>
      <c r="R103" s="67" t="str">
        <f t="shared" si="6"/>
        <v/>
      </c>
      <c r="S103" s="66" t="str">
        <f t="shared" si="7"/>
        <v/>
      </c>
    </row>
    <row r="104" spans="1:19" x14ac:dyDescent="0.25">
      <c r="A104" s="62"/>
      <c r="B104" s="63"/>
      <c r="C104" s="62" t="s">
        <v>20</v>
      </c>
      <c r="D104" s="62"/>
      <c r="E104" s="62"/>
      <c r="F104" s="62"/>
      <c r="G104" s="62" t="s">
        <v>26</v>
      </c>
      <c r="H104" s="63"/>
      <c r="I104" s="63"/>
      <c r="J104" s="63"/>
      <c r="K104" s="62"/>
      <c r="L104" s="62"/>
      <c r="M104" s="64" t="str">
        <f ca="1">IF($A104="","",IF($G104="Did not pass re-test","Sent back again",IF($G104="Yes",IF(AND(ISNUMBER($J104),ISNUMBER($B104)),"Fixed in "&amp;($J104-$B104)&amp;" d","Accepted"),IF(SUMPRODUCT(--(TRIM('Combined Delivery Data'!$B$2:$B$500)=TRIM($A104)))=0,"Not on main tab - renamed?",IF(NOT(ISNUMBER($B104)),"Missing or invalid sent-back date",IF($B104&gt;TODAY(),"Sent-back date is in future",IF(ISNUMBER($J104),IF($J104&lt;$B104,"Check dates - fixed before sent","Fixed in "&amp;($J104-$B104)&amp;" d"),IF(AND($I104&lt;&gt;"",NOT(ISNUMBER($I104))),"Check Expected Fix Date",IF($I104="","UNCLAIMED "&amp;(TODAY()-$B104)&amp;" d",IF(TODAY()&gt;$I104,(TODAY()-$I104)&amp;" d LATE","Open "&amp;(TODAY()-$B104)&amp;" d"))))))))))</f>
        <v/>
      </c>
      <c r="O104" s="66">
        <f>'Combined Delivery Data'!B103</f>
        <v>0</v>
      </c>
      <c r="P104" s="66">
        <f t="shared" si="4"/>
        <v>0</v>
      </c>
      <c r="Q104" s="66">
        <f t="shared" si="5"/>
        <v>0</v>
      </c>
      <c r="R104" s="67" t="str">
        <f t="shared" si="6"/>
        <v/>
      </c>
      <c r="S104" s="66" t="str">
        <f t="shared" si="7"/>
        <v/>
      </c>
    </row>
    <row r="105" spans="1:19" x14ac:dyDescent="0.25">
      <c r="A105" s="62"/>
      <c r="B105" s="63"/>
      <c r="C105" s="62" t="s">
        <v>20</v>
      </c>
      <c r="D105" s="62"/>
      <c r="E105" s="62"/>
      <c r="F105" s="62"/>
      <c r="G105" s="62" t="s">
        <v>26</v>
      </c>
      <c r="H105" s="63"/>
      <c r="I105" s="63"/>
      <c r="J105" s="63"/>
      <c r="K105" s="62"/>
      <c r="L105" s="62"/>
      <c r="M105" s="64" t="str">
        <f ca="1">IF($A105="","",IF($G105="Did not pass re-test","Sent back again",IF($G105="Yes",IF(AND(ISNUMBER($J105),ISNUMBER($B105)),"Fixed in "&amp;($J105-$B105)&amp;" d","Accepted"),IF(SUMPRODUCT(--(TRIM('Combined Delivery Data'!$B$2:$B$500)=TRIM($A105)))=0,"Not on main tab - renamed?",IF(NOT(ISNUMBER($B105)),"Missing or invalid sent-back date",IF($B105&gt;TODAY(),"Sent-back date is in future",IF(ISNUMBER($J105),IF($J105&lt;$B105,"Check dates - fixed before sent","Fixed in "&amp;($J105-$B105)&amp;" d"),IF(AND($I105&lt;&gt;"",NOT(ISNUMBER($I105))),"Check Expected Fix Date",IF($I105="","UNCLAIMED "&amp;(TODAY()-$B105)&amp;" d",IF(TODAY()&gt;$I105,(TODAY()-$I105)&amp;" d LATE","Open "&amp;(TODAY()-$B105)&amp;" d"))))))))))</f>
        <v/>
      </c>
      <c r="O105" s="66">
        <f>'Combined Delivery Data'!B104</f>
        <v>0</v>
      </c>
      <c r="P105" s="66">
        <f t="shared" si="4"/>
        <v>0</v>
      </c>
      <c r="Q105" s="66">
        <f t="shared" si="5"/>
        <v>0</v>
      </c>
      <c r="R105" s="67" t="str">
        <f t="shared" si="6"/>
        <v/>
      </c>
      <c r="S105" s="66" t="str">
        <f t="shared" si="7"/>
        <v/>
      </c>
    </row>
    <row r="106" spans="1:19" x14ac:dyDescent="0.25">
      <c r="A106" s="62"/>
      <c r="B106" s="63"/>
      <c r="C106" s="62" t="s">
        <v>20</v>
      </c>
      <c r="D106" s="62"/>
      <c r="E106" s="62"/>
      <c r="F106" s="62"/>
      <c r="G106" s="62" t="s">
        <v>26</v>
      </c>
      <c r="H106" s="63"/>
      <c r="I106" s="63"/>
      <c r="J106" s="63"/>
      <c r="K106" s="62"/>
      <c r="L106" s="62"/>
      <c r="M106" s="64" t="str">
        <f ca="1">IF($A106="","",IF($G106="Did not pass re-test","Sent back again",IF($G106="Yes",IF(AND(ISNUMBER($J106),ISNUMBER($B106)),"Fixed in "&amp;($J106-$B106)&amp;" d","Accepted"),IF(SUMPRODUCT(--(TRIM('Combined Delivery Data'!$B$2:$B$500)=TRIM($A106)))=0,"Not on main tab - renamed?",IF(NOT(ISNUMBER($B106)),"Missing or invalid sent-back date",IF($B106&gt;TODAY(),"Sent-back date is in future",IF(ISNUMBER($J106),IF($J106&lt;$B106,"Check dates - fixed before sent","Fixed in "&amp;($J106-$B106)&amp;" d"),IF(AND($I106&lt;&gt;"",NOT(ISNUMBER($I106))),"Check Expected Fix Date",IF($I106="","UNCLAIMED "&amp;(TODAY()-$B106)&amp;" d",IF(TODAY()&gt;$I106,(TODAY()-$I106)&amp;" d LATE","Open "&amp;(TODAY()-$B106)&amp;" d"))))))))))</f>
        <v/>
      </c>
      <c r="O106" s="66">
        <f>'Combined Delivery Data'!B105</f>
        <v>0</v>
      </c>
      <c r="P106" s="66">
        <f t="shared" si="4"/>
        <v>0</v>
      </c>
      <c r="Q106" s="66">
        <f t="shared" si="5"/>
        <v>0</v>
      </c>
      <c r="R106" s="67" t="str">
        <f t="shared" si="6"/>
        <v/>
      </c>
      <c r="S106" s="66" t="str">
        <f t="shared" si="7"/>
        <v/>
      </c>
    </row>
    <row r="107" spans="1:19" x14ac:dyDescent="0.25">
      <c r="A107" s="62"/>
      <c r="B107" s="63"/>
      <c r="C107" s="62" t="s">
        <v>20</v>
      </c>
      <c r="D107" s="62"/>
      <c r="E107" s="62"/>
      <c r="F107" s="62"/>
      <c r="G107" s="62" t="s">
        <v>26</v>
      </c>
      <c r="H107" s="63"/>
      <c r="I107" s="63"/>
      <c r="J107" s="63"/>
      <c r="K107" s="62"/>
      <c r="L107" s="62"/>
      <c r="M107" s="64" t="str">
        <f ca="1">IF($A107="","",IF($G107="Did not pass re-test","Sent back again",IF($G107="Yes",IF(AND(ISNUMBER($J107),ISNUMBER($B107)),"Fixed in "&amp;($J107-$B107)&amp;" d","Accepted"),IF(SUMPRODUCT(--(TRIM('Combined Delivery Data'!$B$2:$B$500)=TRIM($A107)))=0,"Not on main tab - renamed?",IF(NOT(ISNUMBER($B107)),"Missing or invalid sent-back date",IF($B107&gt;TODAY(),"Sent-back date is in future",IF(ISNUMBER($J107),IF($J107&lt;$B107,"Check dates - fixed before sent","Fixed in "&amp;($J107-$B107)&amp;" d"),IF(AND($I107&lt;&gt;"",NOT(ISNUMBER($I107))),"Check Expected Fix Date",IF($I107="","UNCLAIMED "&amp;(TODAY()-$B107)&amp;" d",IF(TODAY()&gt;$I107,(TODAY()-$I107)&amp;" d LATE","Open "&amp;(TODAY()-$B107)&amp;" d"))))))))))</f>
        <v/>
      </c>
      <c r="O107" s="66">
        <f>'Combined Delivery Data'!B106</f>
        <v>0</v>
      </c>
      <c r="P107" s="66">
        <f t="shared" si="4"/>
        <v>0</v>
      </c>
      <c r="Q107" s="66">
        <f t="shared" si="5"/>
        <v>0</v>
      </c>
      <c r="R107" s="67" t="str">
        <f t="shared" si="6"/>
        <v/>
      </c>
      <c r="S107" s="66" t="str">
        <f t="shared" si="7"/>
        <v/>
      </c>
    </row>
    <row r="108" spans="1:19" x14ac:dyDescent="0.25">
      <c r="A108" s="62"/>
      <c r="B108" s="63"/>
      <c r="C108" s="62" t="s">
        <v>20</v>
      </c>
      <c r="D108" s="62"/>
      <c r="E108" s="62"/>
      <c r="F108" s="62"/>
      <c r="G108" s="62" t="s">
        <v>26</v>
      </c>
      <c r="H108" s="63"/>
      <c r="I108" s="63"/>
      <c r="J108" s="63"/>
      <c r="K108" s="62"/>
      <c r="L108" s="62"/>
      <c r="M108" s="64" t="str">
        <f ca="1">IF($A108="","",IF($G108="Did not pass re-test","Sent back again",IF($G108="Yes",IF(AND(ISNUMBER($J108),ISNUMBER($B108)),"Fixed in "&amp;($J108-$B108)&amp;" d","Accepted"),IF(SUMPRODUCT(--(TRIM('Combined Delivery Data'!$B$2:$B$500)=TRIM($A108)))=0,"Not on main tab - renamed?",IF(NOT(ISNUMBER($B108)),"Missing or invalid sent-back date",IF($B108&gt;TODAY(),"Sent-back date is in future",IF(ISNUMBER($J108),IF($J108&lt;$B108,"Check dates - fixed before sent","Fixed in "&amp;($J108-$B108)&amp;" d"),IF(AND($I108&lt;&gt;"",NOT(ISNUMBER($I108))),"Check Expected Fix Date",IF($I108="","UNCLAIMED "&amp;(TODAY()-$B108)&amp;" d",IF(TODAY()&gt;$I108,(TODAY()-$I108)&amp;" d LATE","Open "&amp;(TODAY()-$B108)&amp;" d"))))))))))</f>
        <v/>
      </c>
      <c r="O108" s="66">
        <f>'Combined Delivery Data'!B107</f>
        <v>0</v>
      </c>
      <c r="P108" s="66">
        <f t="shared" si="4"/>
        <v>0</v>
      </c>
      <c r="Q108" s="66">
        <f t="shared" si="5"/>
        <v>0</v>
      </c>
      <c r="R108" s="67" t="str">
        <f t="shared" si="6"/>
        <v/>
      </c>
      <c r="S108" s="66" t="str">
        <f t="shared" si="7"/>
        <v/>
      </c>
    </row>
    <row r="109" spans="1:19" x14ac:dyDescent="0.25">
      <c r="A109" s="62"/>
      <c r="B109" s="63"/>
      <c r="C109" s="62" t="s">
        <v>20</v>
      </c>
      <c r="D109" s="62"/>
      <c r="E109" s="62"/>
      <c r="F109" s="62"/>
      <c r="G109" s="62" t="s">
        <v>26</v>
      </c>
      <c r="H109" s="63"/>
      <c r="I109" s="63"/>
      <c r="J109" s="63"/>
      <c r="K109" s="62"/>
      <c r="L109" s="62"/>
      <c r="M109" s="64" t="str">
        <f ca="1">IF($A109="","",IF($G109="Did not pass re-test","Sent back again",IF($G109="Yes",IF(AND(ISNUMBER($J109),ISNUMBER($B109)),"Fixed in "&amp;($J109-$B109)&amp;" d","Accepted"),IF(SUMPRODUCT(--(TRIM('Combined Delivery Data'!$B$2:$B$500)=TRIM($A109)))=0,"Not on main tab - renamed?",IF(NOT(ISNUMBER($B109)),"Missing or invalid sent-back date",IF($B109&gt;TODAY(),"Sent-back date is in future",IF(ISNUMBER($J109),IF($J109&lt;$B109,"Check dates - fixed before sent","Fixed in "&amp;($J109-$B109)&amp;" d"),IF(AND($I109&lt;&gt;"",NOT(ISNUMBER($I109))),"Check Expected Fix Date",IF($I109="","UNCLAIMED "&amp;(TODAY()-$B109)&amp;" d",IF(TODAY()&gt;$I109,(TODAY()-$I109)&amp;" d LATE","Open "&amp;(TODAY()-$B109)&amp;" d"))))))))))</f>
        <v/>
      </c>
      <c r="O109" s="66">
        <f>'Combined Delivery Data'!B108</f>
        <v>0</v>
      </c>
      <c r="P109" s="66">
        <f t="shared" si="4"/>
        <v>0</v>
      </c>
      <c r="Q109" s="66">
        <f t="shared" si="5"/>
        <v>0</v>
      </c>
      <c r="R109" s="67" t="str">
        <f t="shared" si="6"/>
        <v/>
      </c>
      <c r="S109" s="66" t="str">
        <f t="shared" si="7"/>
        <v/>
      </c>
    </row>
    <row r="110" spans="1:19" x14ac:dyDescent="0.25">
      <c r="A110" s="62"/>
      <c r="B110" s="63"/>
      <c r="C110" s="62" t="s">
        <v>20</v>
      </c>
      <c r="D110" s="62"/>
      <c r="E110" s="62"/>
      <c r="F110" s="62"/>
      <c r="G110" s="62" t="s">
        <v>26</v>
      </c>
      <c r="H110" s="63"/>
      <c r="I110" s="63"/>
      <c r="J110" s="63"/>
      <c r="K110" s="62"/>
      <c r="L110" s="62"/>
      <c r="M110" s="64" t="str">
        <f ca="1">IF($A110="","",IF($G110="Did not pass re-test","Sent back again",IF($G110="Yes",IF(AND(ISNUMBER($J110),ISNUMBER($B110)),"Fixed in "&amp;($J110-$B110)&amp;" d","Accepted"),IF(SUMPRODUCT(--(TRIM('Combined Delivery Data'!$B$2:$B$500)=TRIM($A110)))=0,"Not on main tab - renamed?",IF(NOT(ISNUMBER($B110)),"Missing or invalid sent-back date",IF($B110&gt;TODAY(),"Sent-back date is in future",IF(ISNUMBER($J110),IF($J110&lt;$B110,"Check dates - fixed before sent","Fixed in "&amp;($J110-$B110)&amp;" d"),IF(AND($I110&lt;&gt;"",NOT(ISNUMBER($I110))),"Check Expected Fix Date",IF($I110="","UNCLAIMED "&amp;(TODAY()-$B110)&amp;" d",IF(TODAY()&gt;$I110,(TODAY()-$I110)&amp;" d LATE","Open "&amp;(TODAY()-$B110)&amp;" d"))))))))))</f>
        <v/>
      </c>
      <c r="O110" s="66">
        <f>'Combined Delivery Data'!B109</f>
        <v>0</v>
      </c>
      <c r="P110" s="66">
        <f t="shared" si="4"/>
        <v>0</v>
      </c>
      <c r="Q110" s="66">
        <f t="shared" si="5"/>
        <v>0</v>
      </c>
      <c r="R110" s="67" t="str">
        <f t="shared" si="6"/>
        <v/>
      </c>
      <c r="S110" s="66" t="str">
        <f t="shared" si="7"/>
        <v/>
      </c>
    </row>
    <row r="111" spans="1:19" x14ac:dyDescent="0.25">
      <c r="A111" s="62"/>
      <c r="B111" s="63"/>
      <c r="C111" s="62" t="s">
        <v>20</v>
      </c>
      <c r="D111" s="62"/>
      <c r="E111" s="62"/>
      <c r="F111" s="62"/>
      <c r="G111" s="62" t="s">
        <v>26</v>
      </c>
      <c r="H111" s="63"/>
      <c r="I111" s="63"/>
      <c r="J111" s="63"/>
      <c r="K111" s="62"/>
      <c r="L111" s="62"/>
      <c r="M111" s="64" t="str">
        <f ca="1">IF($A111="","",IF($G111="Did not pass re-test","Sent back again",IF($G111="Yes",IF(AND(ISNUMBER($J111),ISNUMBER($B111)),"Fixed in "&amp;($J111-$B111)&amp;" d","Accepted"),IF(SUMPRODUCT(--(TRIM('Combined Delivery Data'!$B$2:$B$500)=TRIM($A111)))=0,"Not on main tab - renamed?",IF(NOT(ISNUMBER($B111)),"Missing or invalid sent-back date",IF($B111&gt;TODAY(),"Sent-back date is in future",IF(ISNUMBER($J111),IF($J111&lt;$B111,"Check dates - fixed before sent","Fixed in "&amp;($J111-$B111)&amp;" d"),IF(AND($I111&lt;&gt;"",NOT(ISNUMBER($I111))),"Check Expected Fix Date",IF($I111="","UNCLAIMED "&amp;(TODAY()-$B111)&amp;" d",IF(TODAY()&gt;$I111,(TODAY()-$I111)&amp;" d LATE","Open "&amp;(TODAY()-$B111)&amp;" d"))))))))))</f>
        <v/>
      </c>
      <c r="O111" s="66">
        <f>'Combined Delivery Data'!B110</f>
        <v>0</v>
      </c>
      <c r="P111" s="66">
        <f t="shared" si="4"/>
        <v>0</v>
      </c>
      <c r="Q111" s="66">
        <f t="shared" si="5"/>
        <v>0</v>
      </c>
      <c r="R111" s="67" t="str">
        <f t="shared" si="6"/>
        <v/>
      </c>
      <c r="S111" s="66" t="str">
        <f t="shared" si="7"/>
        <v/>
      </c>
    </row>
    <row r="112" spans="1:19" x14ac:dyDescent="0.25">
      <c r="A112" s="62"/>
      <c r="B112" s="63"/>
      <c r="C112" s="62" t="s">
        <v>20</v>
      </c>
      <c r="D112" s="62"/>
      <c r="E112" s="62"/>
      <c r="F112" s="62"/>
      <c r="G112" s="62" t="s">
        <v>26</v>
      </c>
      <c r="H112" s="63"/>
      <c r="I112" s="63"/>
      <c r="J112" s="63"/>
      <c r="K112" s="62"/>
      <c r="L112" s="62"/>
      <c r="M112" s="64" t="str">
        <f ca="1">IF($A112="","",IF($G112="Did not pass re-test","Sent back again",IF($G112="Yes",IF(AND(ISNUMBER($J112),ISNUMBER($B112)),"Fixed in "&amp;($J112-$B112)&amp;" d","Accepted"),IF(SUMPRODUCT(--(TRIM('Combined Delivery Data'!$B$2:$B$500)=TRIM($A112)))=0,"Not on main tab - renamed?",IF(NOT(ISNUMBER($B112)),"Missing or invalid sent-back date",IF($B112&gt;TODAY(),"Sent-back date is in future",IF(ISNUMBER($J112),IF($J112&lt;$B112,"Check dates - fixed before sent","Fixed in "&amp;($J112-$B112)&amp;" d"),IF(AND($I112&lt;&gt;"",NOT(ISNUMBER($I112))),"Check Expected Fix Date",IF($I112="","UNCLAIMED "&amp;(TODAY()-$B112)&amp;" d",IF(TODAY()&gt;$I112,(TODAY()-$I112)&amp;" d LATE","Open "&amp;(TODAY()-$B112)&amp;" d"))))))))))</f>
        <v/>
      </c>
      <c r="O112" s="66">
        <f>'Combined Delivery Data'!B111</f>
        <v>0</v>
      </c>
      <c r="P112" s="66">
        <f t="shared" si="4"/>
        <v>0</v>
      </c>
      <c r="Q112" s="66">
        <f t="shared" si="5"/>
        <v>0</v>
      </c>
      <c r="R112" s="67" t="str">
        <f t="shared" si="6"/>
        <v/>
      </c>
      <c r="S112" s="66" t="str">
        <f t="shared" si="7"/>
        <v/>
      </c>
    </row>
    <row r="113" spans="1:19" x14ac:dyDescent="0.25">
      <c r="A113" s="62"/>
      <c r="B113" s="63"/>
      <c r="C113" s="62" t="s">
        <v>20</v>
      </c>
      <c r="D113" s="62"/>
      <c r="E113" s="62"/>
      <c r="F113" s="62"/>
      <c r="G113" s="62" t="s">
        <v>26</v>
      </c>
      <c r="H113" s="63"/>
      <c r="I113" s="63"/>
      <c r="J113" s="63"/>
      <c r="K113" s="62"/>
      <c r="L113" s="62"/>
      <c r="M113" s="64" t="str">
        <f ca="1">IF($A113="","",IF($G113="Did not pass re-test","Sent back again",IF($G113="Yes",IF(AND(ISNUMBER($J113),ISNUMBER($B113)),"Fixed in "&amp;($J113-$B113)&amp;" d","Accepted"),IF(SUMPRODUCT(--(TRIM('Combined Delivery Data'!$B$2:$B$500)=TRIM($A113)))=0,"Not on main tab - renamed?",IF(NOT(ISNUMBER($B113)),"Missing or invalid sent-back date",IF($B113&gt;TODAY(),"Sent-back date is in future",IF(ISNUMBER($J113),IF($J113&lt;$B113,"Check dates - fixed before sent","Fixed in "&amp;($J113-$B113)&amp;" d"),IF(AND($I113&lt;&gt;"",NOT(ISNUMBER($I113))),"Check Expected Fix Date",IF($I113="","UNCLAIMED "&amp;(TODAY()-$B113)&amp;" d",IF(TODAY()&gt;$I113,(TODAY()-$I113)&amp;" d LATE","Open "&amp;(TODAY()-$B113)&amp;" d"))))))))))</f>
        <v/>
      </c>
      <c r="O113" s="66">
        <f>'Combined Delivery Data'!B112</f>
        <v>0</v>
      </c>
      <c r="P113" s="66">
        <f t="shared" si="4"/>
        <v>0</v>
      </c>
      <c r="Q113" s="66">
        <f t="shared" si="5"/>
        <v>0</v>
      </c>
      <c r="R113" s="67" t="str">
        <f t="shared" si="6"/>
        <v/>
      </c>
      <c r="S113" s="66" t="str">
        <f t="shared" si="7"/>
        <v/>
      </c>
    </row>
    <row r="114" spans="1:19" x14ac:dyDescent="0.25">
      <c r="A114" s="62"/>
      <c r="B114" s="63"/>
      <c r="C114" s="62" t="s">
        <v>20</v>
      </c>
      <c r="D114" s="62"/>
      <c r="E114" s="62"/>
      <c r="F114" s="62"/>
      <c r="G114" s="62" t="s">
        <v>26</v>
      </c>
      <c r="H114" s="63"/>
      <c r="I114" s="63"/>
      <c r="J114" s="63"/>
      <c r="K114" s="62"/>
      <c r="L114" s="62"/>
      <c r="M114" s="64" t="str">
        <f ca="1">IF($A114="","",IF($G114="Did not pass re-test","Sent back again",IF($G114="Yes",IF(AND(ISNUMBER($J114),ISNUMBER($B114)),"Fixed in "&amp;($J114-$B114)&amp;" d","Accepted"),IF(SUMPRODUCT(--(TRIM('Combined Delivery Data'!$B$2:$B$500)=TRIM($A114)))=0,"Not on main tab - renamed?",IF(NOT(ISNUMBER($B114)),"Missing or invalid sent-back date",IF($B114&gt;TODAY(),"Sent-back date is in future",IF(ISNUMBER($J114),IF($J114&lt;$B114,"Check dates - fixed before sent","Fixed in "&amp;($J114-$B114)&amp;" d"),IF(AND($I114&lt;&gt;"",NOT(ISNUMBER($I114))),"Check Expected Fix Date",IF($I114="","UNCLAIMED "&amp;(TODAY()-$B114)&amp;" d",IF(TODAY()&gt;$I114,(TODAY()-$I114)&amp;" d LATE","Open "&amp;(TODAY()-$B114)&amp;" d"))))))))))</f>
        <v/>
      </c>
      <c r="O114" s="66">
        <f>'Combined Delivery Data'!B113</f>
        <v>0</v>
      </c>
      <c r="P114" s="66">
        <f t="shared" si="4"/>
        <v>0</v>
      </c>
      <c r="Q114" s="66">
        <f t="shared" si="5"/>
        <v>0</v>
      </c>
      <c r="R114" s="67" t="str">
        <f t="shared" si="6"/>
        <v/>
      </c>
      <c r="S114" s="66" t="str">
        <f t="shared" si="7"/>
        <v/>
      </c>
    </row>
    <row r="115" spans="1:19" x14ac:dyDescent="0.25">
      <c r="A115" s="62"/>
      <c r="B115" s="63"/>
      <c r="C115" s="62" t="s">
        <v>20</v>
      </c>
      <c r="D115" s="62"/>
      <c r="E115" s="62"/>
      <c r="F115" s="62"/>
      <c r="G115" s="62" t="s">
        <v>26</v>
      </c>
      <c r="H115" s="63"/>
      <c r="I115" s="63"/>
      <c r="J115" s="63"/>
      <c r="K115" s="62"/>
      <c r="L115" s="62"/>
      <c r="M115" s="64" t="str">
        <f ca="1">IF($A115="","",IF($G115="Did not pass re-test","Sent back again",IF($G115="Yes",IF(AND(ISNUMBER($J115),ISNUMBER($B115)),"Fixed in "&amp;($J115-$B115)&amp;" d","Accepted"),IF(SUMPRODUCT(--(TRIM('Combined Delivery Data'!$B$2:$B$500)=TRIM($A115)))=0,"Not on main tab - renamed?",IF(NOT(ISNUMBER($B115)),"Missing or invalid sent-back date",IF($B115&gt;TODAY(),"Sent-back date is in future",IF(ISNUMBER($J115),IF($J115&lt;$B115,"Check dates - fixed before sent","Fixed in "&amp;($J115-$B115)&amp;" d"),IF(AND($I115&lt;&gt;"",NOT(ISNUMBER($I115))),"Check Expected Fix Date",IF($I115="","UNCLAIMED "&amp;(TODAY()-$B115)&amp;" d",IF(TODAY()&gt;$I115,(TODAY()-$I115)&amp;" d LATE","Open "&amp;(TODAY()-$B115)&amp;" d"))))))))))</f>
        <v/>
      </c>
      <c r="O115" s="66">
        <f>'Combined Delivery Data'!B114</f>
        <v>0</v>
      </c>
      <c r="P115" s="66">
        <f t="shared" si="4"/>
        <v>0</v>
      </c>
      <c r="Q115" s="66">
        <f t="shared" si="5"/>
        <v>0</v>
      </c>
      <c r="R115" s="67" t="str">
        <f t="shared" si="6"/>
        <v/>
      </c>
      <c r="S115" s="66" t="str">
        <f t="shared" si="7"/>
        <v/>
      </c>
    </row>
    <row r="116" spans="1:19" x14ac:dyDescent="0.25">
      <c r="A116" s="62"/>
      <c r="B116" s="63"/>
      <c r="C116" s="62" t="s">
        <v>20</v>
      </c>
      <c r="D116" s="62"/>
      <c r="E116" s="62"/>
      <c r="F116" s="62"/>
      <c r="G116" s="62" t="s">
        <v>26</v>
      </c>
      <c r="H116" s="63"/>
      <c r="I116" s="63"/>
      <c r="J116" s="63"/>
      <c r="K116" s="62"/>
      <c r="L116" s="62"/>
      <c r="M116" s="64" t="str">
        <f ca="1">IF($A116="","",IF($G116="Did not pass re-test","Sent back again",IF($G116="Yes",IF(AND(ISNUMBER($J116),ISNUMBER($B116)),"Fixed in "&amp;($J116-$B116)&amp;" d","Accepted"),IF(SUMPRODUCT(--(TRIM('Combined Delivery Data'!$B$2:$B$500)=TRIM($A116)))=0,"Not on main tab - renamed?",IF(NOT(ISNUMBER($B116)),"Missing or invalid sent-back date",IF($B116&gt;TODAY(),"Sent-back date is in future",IF(ISNUMBER($J116),IF($J116&lt;$B116,"Check dates - fixed before sent","Fixed in "&amp;($J116-$B116)&amp;" d"),IF(AND($I116&lt;&gt;"",NOT(ISNUMBER($I116))),"Check Expected Fix Date",IF($I116="","UNCLAIMED "&amp;(TODAY()-$B116)&amp;" d",IF(TODAY()&gt;$I116,(TODAY()-$I116)&amp;" d LATE","Open "&amp;(TODAY()-$B116)&amp;" d"))))))))))</f>
        <v/>
      </c>
      <c r="O116" s="66">
        <f>'Combined Delivery Data'!B115</f>
        <v>0</v>
      </c>
      <c r="P116" s="66">
        <f t="shared" si="4"/>
        <v>0</v>
      </c>
      <c r="Q116" s="66">
        <f t="shared" si="5"/>
        <v>0</v>
      </c>
      <c r="R116" s="67" t="str">
        <f t="shared" si="6"/>
        <v/>
      </c>
      <c r="S116" s="66" t="str">
        <f t="shared" si="7"/>
        <v/>
      </c>
    </row>
    <row r="117" spans="1:19" x14ac:dyDescent="0.25">
      <c r="A117" s="62"/>
      <c r="B117" s="63"/>
      <c r="C117" s="62" t="s">
        <v>20</v>
      </c>
      <c r="D117" s="62"/>
      <c r="E117" s="62"/>
      <c r="F117" s="62"/>
      <c r="G117" s="62" t="s">
        <v>26</v>
      </c>
      <c r="H117" s="63"/>
      <c r="I117" s="63"/>
      <c r="J117" s="63"/>
      <c r="K117" s="62"/>
      <c r="L117" s="62"/>
      <c r="M117" s="64" t="str">
        <f ca="1">IF($A117="","",IF($G117="Did not pass re-test","Sent back again",IF($G117="Yes",IF(AND(ISNUMBER($J117),ISNUMBER($B117)),"Fixed in "&amp;($J117-$B117)&amp;" d","Accepted"),IF(SUMPRODUCT(--(TRIM('Combined Delivery Data'!$B$2:$B$500)=TRIM($A117)))=0,"Not on main tab - renamed?",IF(NOT(ISNUMBER($B117)),"Missing or invalid sent-back date",IF($B117&gt;TODAY(),"Sent-back date is in future",IF(ISNUMBER($J117),IF($J117&lt;$B117,"Check dates - fixed before sent","Fixed in "&amp;($J117-$B117)&amp;" d"),IF(AND($I117&lt;&gt;"",NOT(ISNUMBER($I117))),"Check Expected Fix Date",IF($I117="","UNCLAIMED "&amp;(TODAY()-$B117)&amp;" d",IF(TODAY()&gt;$I117,(TODAY()-$I117)&amp;" d LATE","Open "&amp;(TODAY()-$B117)&amp;" d"))))))))))</f>
        <v/>
      </c>
      <c r="O117" s="66">
        <f>'Combined Delivery Data'!B116</f>
        <v>0</v>
      </c>
      <c r="P117" s="66">
        <f t="shared" si="4"/>
        <v>0</v>
      </c>
      <c r="Q117" s="66">
        <f t="shared" si="5"/>
        <v>0</v>
      </c>
      <c r="R117" s="67" t="str">
        <f t="shared" si="6"/>
        <v/>
      </c>
      <c r="S117" s="66" t="str">
        <f t="shared" si="7"/>
        <v/>
      </c>
    </row>
    <row r="118" spans="1:19" x14ac:dyDescent="0.25">
      <c r="A118" s="62"/>
      <c r="B118" s="63"/>
      <c r="C118" s="62" t="s">
        <v>20</v>
      </c>
      <c r="D118" s="62"/>
      <c r="E118" s="62"/>
      <c r="F118" s="62"/>
      <c r="G118" s="62" t="s">
        <v>26</v>
      </c>
      <c r="H118" s="63"/>
      <c r="I118" s="63"/>
      <c r="J118" s="63"/>
      <c r="K118" s="62"/>
      <c r="L118" s="62"/>
      <c r="M118" s="64" t="str">
        <f ca="1">IF($A118="","",IF($G118="Did not pass re-test","Sent back again",IF($G118="Yes",IF(AND(ISNUMBER($J118),ISNUMBER($B118)),"Fixed in "&amp;($J118-$B118)&amp;" d","Accepted"),IF(SUMPRODUCT(--(TRIM('Combined Delivery Data'!$B$2:$B$500)=TRIM($A118)))=0,"Not on main tab - renamed?",IF(NOT(ISNUMBER($B118)),"Missing or invalid sent-back date",IF($B118&gt;TODAY(),"Sent-back date is in future",IF(ISNUMBER($J118),IF($J118&lt;$B118,"Check dates - fixed before sent","Fixed in "&amp;($J118-$B118)&amp;" d"),IF(AND($I118&lt;&gt;"",NOT(ISNUMBER($I118))),"Check Expected Fix Date",IF($I118="","UNCLAIMED "&amp;(TODAY()-$B118)&amp;" d",IF(TODAY()&gt;$I118,(TODAY()-$I118)&amp;" d LATE","Open "&amp;(TODAY()-$B118)&amp;" d"))))))))))</f>
        <v/>
      </c>
      <c r="O118" s="66">
        <f>'Combined Delivery Data'!B117</f>
        <v>0</v>
      </c>
      <c r="P118" s="66">
        <f t="shared" si="4"/>
        <v>0</v>
      </c>
      <c r="Q118" s="66">
        <f t="shared" si="5"/>
        <v>0</v>
      </c>
      <c r="R118" s="67" t="str">
        <f t="shared" si="6"/>
        <v/>
      </c>
      <c r="S118" s="66" t="str">
        <f t="shared" si="7"/>
        <v/>
      </c>
    </row>
    <row r="119" spans="1:19" x14ac:dyDescent="0.25">
      <c r="A119" s="62"/>
      <c r="B119" s="63"/>
      <c r="C119" s="62" t="s">
        <v>20</v>
      </c>
      <c r="D119" s="62"/>
      <c r="E119" s="62"/>
      <c r="F119" s="62"/>
      <c r="G119" s="62" t="s">
        <v>26</v>
      </c>
      <c r="H119" s="63"/>
      <c r="I119" s="63"/>
      <c r="J119" s="63"/>
      <c r="K119" s="62"/>
      <c r="L119" s="62"/>
      <c r="M119" s="64" t="str">
        <f ca="1">IF($A119="","",IF($G119="Did not pass re-test","Sent back again",IF($G119="Yes",IF(AND(ISNUMBER($J119),ISNUMBER($B119)),"Fixed in "&amp;($J119-$B119)&amp;" d","Accepted"),IF(SUMPRODUCT(--(TRIM('Combined Delivery Data'!$B$2:$B$500)=TRIM($A119)))=0,"Not on main tab - renamed?",IF(NOT(ISNUMBER($B119)),"Missing or invalid sent-back date",IF($B119&gt;TODAY(),"Sent-back date is in future",IF(ISNUMBER($J119),IF($J119&lt;$B119,"Check dates - fixed before sent","Fixed in "&amp;($J119-$B119)&amp;" d"),IF(AND($I119&lt;&gt;"",NOT(ISNUMBER($I119))),"Check Expected Fix Date",IF($I119="","UNCLAIMED "&amp;(TODAY()-$B119)&amp;" d",IF(TODAY()&gt;$I119,(TODAY()-$I119)&amp;" d LATE","Open "&amp;(TODAY()-$B119)&amp;" d"))))))))))</f>
        <v/>
      </c>
      <c r="O119" s="66">
        <f>'Combined Delivery Data'!B118</f>
        <v>0</v>
      </c>
      <c r="P119" s="66">
        <f t="shared" si="4"/>
        <v>0</v>
      </c>
      <c r="Q119" s="66">
        <f t="shared" si="5"/>
        <v>0</v>
      </c>
      <c r="R119" s="67" t="str">
        <f t="shared" si="6"/>
        <v/>
      </c>
      <c r="S119" s="66" t="str">
        <f t="shared" si="7"/>
        <v/>
      </c>
    </row>
    <row r="120" spans="1:19" x14ac:dyDescent="0.25">
      <c r="A120" s="62"/>
      <c r="B120" s="63"/>
      <c r="C120" s="62" t="s">
        <v>20</v>
      </c>
      <c r="D120" s="62"/>
      <c r="E120" s="62"/>
      <c r="F120" s="62"/>
      <c r="G120" s="62" t="s">
        <v>26</v>
      </c>
      <c r="H120" s="63"/>
      <c r="I120" s="63"/>
      <c r="J120" s="63"/>
      <c r="K120" s="62"/>
      <c r="L120" s="62"/>
      <c r="M120" s="64" t="str">
        <f ca="1">IF($A120="","",IF($G120="Did not pass re-test","Sent back again",IF($G120="Yes",IF(AND(ISNUMBER($J120),ISNUMBER($B120)),"Fixed in "&amp;($J120-$B120)&amp;" d","Accepted"),IF(SUMPRODUCT(--(TRIM('Combined Delivery Data'!$B$2:$B$500)=TRIM($A120)))=0,"Not on main tab - renamed?",IF(NOT(ISNUMBER($B120)),"Missing or invalid sent-back date",IF($B120&gt;TODAY(),"Sent-back date is in future",IF(ISNUMBER($J120),IF($J120&lt;$B120,"Check dates - fixed before sent","Fixed in "&amp;($J120-$B120)&amp;" d"),IF(AND($I120&lt;&gt;"",NOT(ISNUMBER($I120))),"Check Expected Fix Date",IF($I120="","UNCLAIMED "&amp;(TODAY()-$B120)&amp;" d",IF(TODAY()&gt;$I120,(TODAY()-$I120)&amp;" d LATE","Open "&amp;(TODAY()-$B120)&amp;" d"))))))))))</f>
        <v/>
      </c>
      <c r="O120" s="66">
        <f>'Combined Delivery Data'!B119</f>
        <v>0</v>
      </c>
      <c r="P120" s="66">
        <f t="shared" si="4"/>
        <v>0</v>
      </c>
      <c r="Q120" s="66">
        <f t="shared" si="5"/>
        <v>0</v>
      </c>
      <c r="R120" s="67" t="str">
        <f t="shared" si="6"/>
        <v/>
      </c>
      <c r="S120" s="66" t="str">
        <f t="shared" si="7"/>
        <v/>
      </c>
    </row>
    <row r="121" spans="1:19" x14ac:dyDescent="0.25">
      <c r="A121" s="62"/>
      <c r="B121" s="63"/>
      <c r="C121" s="62" t="s">
        <v>20</v>
      </c>
      <c r="D121" s="62"/>
      <c r="E121" s="62"/>
      <c r="F121" s="62"/>
      <c r="G121" s="62" t="s">
        <v>26</v>
      </c>
      <c r="H121" s="63"/>
      <c r="I121" s="63"/>
      <c r="J121" s="63"/>
      <c r="K121" s="62"/>
      <c r="L121" s="62"/>
      <c r="M121" s="64" t="str">
        <f ca="1">IF($A121="","",IF($G121="Did not pass re-test","Sent back again",IF($G121="Yes",IF(AND(ISNUMBER($J121),ISNUMBER($B121)),"Fixed in "&amp;($J121-$B121)&amp;" d","Accepted"),IF(SUMPRODUCT(--(TRIM('Combined Delivery Data'!$B$2:$B$500)=TRIM($A121)))=0,"Not on main tab - renamed?",IF(NOT(ISNUMBER($B121)),"Missing or invalid sent-back date",IF($B121&gt;TODAY(),"Sent-back date is in future",IF(ISNUMBER($J121),IF($J121&lt;$B121,"Check dates - fixed before sent","Fixed in "&amp;($J121-$B121)&amp;" d"),IF(AND($I121&lt;&gt;"",NOT(ISNUMBER($I121))),"Check Expected Fix Date",IF($I121="","UNCLAIMED "&amp;(TODAY()-$B121)&amp;" d",IF(TODAY()&gt;$I121,(TODAY()-$I121)&amp;" d LATE","Open "&amp;(TODAY()-$B121)&amp;" d"))))))))))</f>
        <v/>
      </c>
      <c r="O121" s="66">
        <f>'Combined Delivery Data'!B120</f>
        <v>0</v>
      </c>
      <c r="P121" s="66">
        <f t="shared" si="4"/>
        <v>0</v>
      </c>
      <c r="Q121" s="66">
        <f t="shared" si="5"/>
        <v>0</v>
      </c>
      <c r="R121" s="67" t="str">
        <f t="shared" si="6"/>
        <v/>
      </c>
      <c r="S121" s="66" t="str">
        <f t="shared" si="7"/>
        <v/>
      </c>
    </row>
    <row r="122" spans="1:19" x14ac:dyDescent="0.25">
      <c r="A122" s="62"/>
      <c r="B122" s="63"/>
      <c r="C122" s="62" t="s">
        <v>20</v>
      </c>
      <c r="D122" s="62"/>
      <c r="E122" s="62"/>
      <c r="F122" s="62"/>
      <c r="G122" s="62" t="s">
        <v>26</v>
      </c>
      <c r="H122" s="63"/>
      <c r="I122" s="63"/>
      <c r="J122" s="63"/>
      <c r="K122" s="62"/>
      <c r="L122" s="62"/>
      <c r="M122" s="64" t="str">
        <f ca="1">IF($A122="","",IF($G122="Did not pass re-test","Sent back again",IF($G122="Yes",IF(AND(ISNUMBER($J122),ISNUMBER($B122)),"Fixed in "&amp;($J122-$B122)&amp;" d","Accepted"),IF(SUMPRODUCT(--(TRIM('Combined Delivery Data'!$B$2:$B$500)=TRIM($A122)))=0,"Not on main tab - renamed?",IF(NOT(ISNUMBER($B122)),"Missing or invalid sent-back date",IF($B122&gt;TODAY(),"Sent-back date is in future",IF(ISNUMBER($J122),IF($J122&lt;$B122,"Check dates - fixed before sent","Fixed in "&amp;($J122-$B122)&amp;" d"),IF(AND($I122&lt;&gt;"",NOT(ISNUMBER($I122))),"Check Expected Fix Date",IF($I122="","UNCLAIMED "&amp;(TODAY()-$B122)&amp;" d",IF(TODAY()&gt;$I122,(TODAY()-$I122)&amp;" d LATE","Open "&amp;(TODAY()-$B122)&amp;" d"))))))))))</f>
        <v/>
      </c>
      <c r="O122" s="66">
        <f>'Combined Delivery Data'!B121</f>
        <v>0</v>
      </c>
      <c r="P122" s="66">
        <f t="shared" si="4"/>
        <v>0</v>
      </c>
      <c r="Q122" s="66">
        <f t="shared" si="5"/>
        <v>0</v>
      </c>
      <c r="R122" s="67" t="str">
        <f t="shared" si="6"/>
        <v/>
      </c>
      <c r="S122" s="66" t="str">
        <f t="shared" si="7"/>
        <v/>
      </c>
    </row>
    <row r="123" spans="1:19" x14ac:dyDescent="0.25">
      <c r="A123" s="62"/>
      <c r="B123" s="63"/>
      <c r="C123" s="62" t="s">
        <v>20</v>
      </c>
      <c r="D123" s="62"/>
      <c r="E123" s="62"/>
      <c r="F123" s="62"/>
      <c r="G123" s="62" t="s">
        <v>26</v>
      </c>
      <c r="H123" s="63"/>
      <c r="I123" s="63"/>
      <c r="J123" s="63"/>
      <c r="K123" s="62"/>
      <c r="L123" s="62"/>
      <c r="M123" s="64" t="str">
        <f ca="1">IF($A123="","",IF($G123="Did not pass re-test","Sent back again",IF($G123="Yes",IF(AND(ISNUMBER($J123),ISNUMBER($B123)),"Fixed in "&amp;($J123-$B123)&amp;" d","Accepted"),IF(SUMPRODUCT(--(TRIM('Combined Delivery Data'!$B$2:$B$500)=TRIM($A123)))=0,"Not on main tab - renamed?",IF(NOT(ISNUMBER($B123)),"Missing or invalid sent-back date",IF($B123&gt;TODAY(),"Sent-back date is in future",IF(ISNUMBER($J123),IF($J123&lt;$B123,"Check dates - fixed before sent","Fixed in "&amp;($J123-$B123)&amp;" d"),IF(AND($I123&lt;&gt;"",NOT(ISNUMBER($I123))),"Check Expected Fix Date",IF($I123="","UNCLAIMED "&amp;(TODAY()-$B123)&amp;" d",IF(TODAY()&gt;$I123,(TODAY()-$I123)&amp;" d LATE","Open "&amp;(TODAY()-$B123)&amp;" d"))))))))))</f>
        <v/>
      </c>
      <c r="O123" s="66">
        <f>'Combined Delivery Data'!B122</f>
        <v>0</v>
      </c>
      <c r="P123" s="66">
        <f t="shared" si="4"/>
        <v>0</v>
      </c>
      <c r="Q123" s="66">
        <f t="shared" si="5"/>
        <v>0</v>
      </c>
      <c r="R123" s="67" t="str">
        <f t="shared" si="6"/>
        <v/>
      </c>
      <c r="S123" s="66" t="str">
        <f t="shared" si="7"/>
        <v/>
      </c>
    </row>
    <row r="124" spans="1:19" x14ac:dyDescent="0.25">
      <c r="A124" s="62"/>
      <c r="B124" s="63"/>
      <c r="C124" s="62" t="s">
        <v>20</v>
      </c>
      <c r="D124" s="62"/>
      <c r="E124" s="62"/>
      <c r="F124" s="62"/>
      <c r="G124" s="62" t="s">
        <v>26</v>
      </c>
      <c r="H124" s="63"/>
      <c r="I124" s="63"/>
      <c r="J124" s="63"/>
      <c r="K124" s="62"/>
      <c r="L124" s="62"/>
      <c r="M124" s="64" t="str">
        <f ca="1">IF($A124="","",IF($G124="Did not pass re-test","Sent back again",IF($G124="Yes",IF(AND(ISNUMBER($J124),ISNUMBER($B124)),"Fixed in "&amp;($J124-$B124)&amp;" d","Accepted"),IF(SUMPRODUCT(--(TRIM('Combined Delivery Data'!$B$2:$B$500)=TRIM($A124)))=0,"Not on main tab - renamed?",IF(NOT(ISNUMBER($B124)),"Missing or invalid sent-back date",IF($B124&gt;TODAY(),"Sent-back date is in future",IF(ISNUMBER($J124),IF($J124&lt;$B124,"Check dates - fixed before sent","Fixed in "&amp;($J124-$B124)&amp;" d"),IF(AND($I124&lt;&gt;"",NOT(ISNUMBER($I124))),"Check Expected Fix Date",IF($I124="","UNCLAIMED "&amp;(TODAY()-$B124)&amp;" d",IF(TODAY()&gt;$I124,(TODAY()-$I124)&amp;" d LATE","Open "&amp;(TODAY()-$B124)&amp;" d"))))))))))</f>
        <v/>
      </c>
      <c r="O124" s="66">
        <f>'Combined Delivery Data'!B123</f>
        <v>0</v>
      </c>
      <c r="P124" s="66">
        <f t="shared" si="4"/>
        <v>0</v>
      </c>
      <c r="Q124" s="66">
        <f t="shared" si="5"/>
        <v>0</v>
      </c>
      <c r="R124" s="67" t="str">
        <f t="shared" si="6"/>
        <v/>
      </c>
      <c r="S124" s="66" t="str">
        <f t="shared" si="7"/>
        <v/>
      </c>
    </row>
    <row r="125" spans="1:19" x14ac:dyDescent="0.25">
      <c r="A125" s="62"/>
      <c r="B125" s="63"/>
      <c r="C125" s="62" t="s">
        <v>20</v>
      </c>
      <c r="D125" s="62"/>
      <c r="E125" s="62"/>
      <c r="F125" s="62"/>
      <c r="G125" s="62" t="s">
        <v>26</v>
      </c>
      <c r="H125" s="63"/>
      <c r="I125" s="63"/>
      <c r="J125" s="63"/>
      <c r="K125" s="62"/>
      <c r="L125" s="62"/>
      <c r="M125" s="64" t="str">
        <f ca="1">IF($A125="","",IF($G125="Did not pass re-test","Sent back again",IF($G125="Yes",IF(AND(ISNUMBER($J125),ISNUMBER($B125)),"Fixed in "&amp;($J125-$B125)&amp;" d","Accepted"),IF(SUMPRODUCT(--(TRIM('Combined Delivery Data'!$B$2:$B$500)=TRIM($A125)))=0,"Not on main tab - renamed?",IF(NOT(ISNUMBER($B125)),"Missing or invalid sent-back date",IF($B125&gt;TODAY(),"Sent-back date is in future",IF(ISNUMBER($J125),IF($J125&lt;$B125,"Check dates - fixed before sent","Fixed in "&amp;($J125-$B125)&amp;" d"),IF(AND($I125&lt;&gt;"",NOT(ISNUMBER($I125))),"Check Expected Fix Date",IF($I125="","UNCLAIMED "&amp;(TODAY()-$B125)&amp;" d",IF(TODAY()&gt;$I125,(TODAY()-$I125)&amp;" d LATE","Open "&amp;(TODAY()-$B125)&amp;" d"))))))))))</f>
        <v/>
      </c>
      <c r="O125" s="66">
        <f>'Combined Delivery Data'!B124</f>
        <v>0</v>
      </c>
      <c r="P125" s="66">
        <f t="shared" si="4"/>
        <v>0</v>
      </c>
      <c r="Q125" s="66">
        <f t="shared" si="5"/>
        <v>0</v>
      </c>
      <c r="R125" s="67" t="str">
        <f t="shared" si="6"/>
        <v/>
      </c>
      <c r="S125" s="66" t="str">
        <f t="shared" si="7"/>
        <v/>
      </c>
    </row>
    <row r="126" spans="1:19" x14ac:dyDescent="0.25">
      <c r="A126" s="62"/>
      <c r="B126" s="63"/>
      <c r="C126" s="62" t="s">
        <v>20</v>
      </c>
      <c r="D126" s="62"/>
      <c r="E126" s="62"/>
      <c r="F126" s="62"/>
      <c r="G126" s="62" t="s">
        <v>26</v>
      </c>
      <c r="H126" s="63"/>
      <c r="I126" s="63"/>
      <c r="J126" s="63"/>
      <c r="K126" s="62"/>
      <c r="L126" s="62"/>
      <c r="M126" s="64" t="str">
        <f ca="1">IF($A126="","",IF($G126="Did not pass re-test","Sent back again",IF($G126="Yes",IF(AND(ISNUMBER($J126),ISNUMBER($B126)),"Fixed in "&amp;($J126-$B126)&amp;" d","Accepted"),IF(SUMPRODUCT(--(TRIM('Combined Delivery Data'!$B$2:$B$500)=TRIM($A126)))=0,"Not on main tab - renamed?",IF(NOT(ISNUMBER($B126)),"Missing or invalid sent-back date",IF($B126&gt;TODAY(),"Sent-back date is in future",IF(ISNUMBER($J126),IF($J126&lt;$B126,"Check dates - fixed before sent","Fixed in "&amp;($J126-$B126)&amp;" d"),IF(AND($I126&lt;&gt;"",NOT(ISNUMBER($I126))),"Check Expected Fix Date",IF($I126="","UNCLAIMED "&amp;(TODAY()-$B126)&amp;" d",IF(TODAY()&gt;$I126,(TODAY()-$I126)&amp;" d LATE","Open "&amp;(TODAY()-$B126)&amp;" d"))))))))))</f>
        <v/>
      </c>
      <c r="O126" s="66">
        <f>'Combined Delivery Data'!B125</f>
        <v>0</v>
      </c>
      <c r="P126" s="66">
        <f t="shared" si="4"/>
        <v>0</v>
      </c>
      <c r="Q126" s="66">
        <f t="shared" si="5"/>
        <v>0</v>
      </c>
      <c r="R126" s="67" t="str">
        <f t="shared" si="6"/>
        <v/>
      </c>
      <c r="S126" s="66" t="str">
        <f t="shared" si="7"/>
        <v/>
      </c>
    </row>
    <row r="127" spans="1:19" x14ac:dyDescent="0.25">
      <c r="A127" s="62"/>
      <c r="B127" s="63"/>
      <c r="C127" s="62" t="s">
        <v>20</v>
      </c>
      <c r="D127" s="62"/>
      <c r="E127" s="62"/>
      <c r="F127" s="62"/>
      <c r="G127" s="62" t="s">
        <v>26</v>
      </c>
      <c r="H127" s="63"/>
      <c r="I127" s="63"/>
      <c r="J127" s="63"/>
      <c r="K127" s="62"/>
      <c r="L127" s="62"/>
      <c r="M127" s="64" t="str">
        <f ca="1">IF($A127="","",IF($G127="Did not pass re-test","Sent back again",IF($G127="Yes",IF(AND(ISNUMBER($J127),ISNUMBER($B127)),"Fixed in "&amp;($J127-$B127)&amp;" d","Accepted"),IF(SUMPRODUCT(--(TRIM('Combined Delivery Data'!$B$2:$B$500)=TRIM($A127)))=0,"Not on main tab - renamed?",IF(NOT(ISNUMBER($B127)),"Missing or invalid sent-back date",IF($B127&gt;TODAY(),"Sent-back date is in future",IF(ISNUMBER($J127),IF($J127&lt;$B127,"Check dates - fixed before sent","Fixed in "&amp;($J127-$B127)&amp;" d"),IF(AND($I127&lt;&gt;"",NOT(ISNUMBER($I127))),"Check Expected Fix Date",IF($I127="","UNCLAIMED "&amp;(TODAY()-$B127)&amp;" d",IF(TODAY()&gt;$I127,(TODAY()-$I127)&amp;" d LATE","Open "&amp;(TODAY()-$B127)&amp;" d"))))))))))</f>
        <v/>
      </c>
      <c r="O127" s="66">
        <f>'Combined Delivery Data'!B126</f>
        <v>0</v>
      </c>
      <c r="P127" s="66">
        <f t="shared" si="4"/>
        <v>0</v>
      </c>
      <c r="Q127" s="66">
        <f t="shared" si="5"/>
        <v>0</v>
      </c>
      <c r="R127" s="67" t="str">
        <f t="shared" si="6"/>
        <v/>
      </c>
      <c r="S127" s="66" t="str">
        <f t="shared" si="7"/>
        <v/>
      </c>
    </row>
    <row r="128" spans="1:19" x14ac:dyDescent="0.25">
      <c r="A128" s="62"/>
      <c r="B128" s="63"/>
      <c r="C128" s="62" t="s">
        <v>20</v>
      </c>
      <c r="D128" s="62"/>
      <c r="E128" s="62"/>
      <c r="F128" s="62"/>
      <c r="G128" s="62" t="s">
        <v>26</v>
      </c>
      <c r="H128" s="63"/>
      <c r="I128" s="63"/>
      <c r="J128" s="63"/>
      <c r="K128" s="62"/>
      <c r="L128" s="62"/>
      <c r="M128" s="64" t="str">
        <f ca="1">IF($A128="","",IF($G128="Did not pass re-test","Sent back again",IF($G128="Yes",IF(AND(ISNUMBER($J128),ISNUMBER($B128)),"Fixed in "&amp;($J128-$B128)&amp;" d","Accepted"),IF(SUMPRODUCT(--(TRIM('Combined Delivery Data'!$B$2:$B$500)=TRIM($A128)))=0,"Not on main tab - renamed?",IF(NOT(ISNUMBER($B128)),"Missing or invalid sent-back date",IF($B128&gt;TODAY(),"Sent-back date is in future",IF(ISNUMBER($J128),IF($J128&lt;$B128,"Check dates - fixed before sent","Fixed in "&amp;($J128-$B128)&amp;" d"),IF(AND($I128&lt;&gt;"",NOT(ISNUMBER($I128))),"Check Expected Fix Date",IF($I128="","UNCLAIMED "&amp;(TODAY()-$B128)&amp;" d",IF(TODAY()&gt;$I128,(TODAY()-$I128)&amp;" d LATE","Open "&amp;(TODAY()-$B128)&amp;" d"))))))))))</f>
        <v/>
      </c>
      <c r="O128" s="66">
        <f>'Combined Delivery Data'!B127</f>
        <v>0</v>
      </c>
      <c r="P128" s="66">
        <f t="shared" si="4"/>
        <v>0</v>
      </c>
      <c r="Q128" s="66">
        <f t="shared" si="5"/>
        <v>0</v>
      </c>
      <c r="R128" s="67" t="str">
        <f t="shared" si="6"/>
        <v/>
      </c>
      <c r="S128" s="66" t="str">
        <f t="shared" si="7"/>
        <v/>
      </c>
    </row>
    <row r="129" spans="1:19" x14ac:dyDescent="0.25">
      <c r="A129" s="62"/>
      <c r="B129" s="63"/>
      <c r="C129" s="62" t="s">
        <v>20</v>
      </c>
      <c r="D129" s="62"/>
      <c r="E129" s="62"/>
      <c r="F129" s="62"/>
      <c r="G129" s="62" t="s">
        <v>26</v>
      </c>
      <c r="H129" s="63"/>
      <c r="I129" s="63"/>
      <c r="J129" s="63"/>
      <c r="K129" s="62"/>
      <c r="L129" s="62"/>
      <c r="M129" s="64" t="str">
        <f ca="1">IF($A129="","",IF($G129="Did not pass re-test","Sent back again",IF($G129="Yes",IF(AND(ISNUMBER($J129),ISNUMBER($B129)),"Fixed in "&amp;($J129-$B129)&amp;" d","Accepted"),IF(SUMPRODUCT(--(TRIM('Combined Delivery Data'!$B$2:$B$500)=TRIM($A129)))=0,"Not on main tab - renamed?",IF(NOT(ISNUMBER($B129)),"Missing or invalid sent-back date",IF($B129&gt;TODAY(),"Sent-back date is in future",IF(ISNUMBER($J129),IF($J129&lt;$B129,"Check dates - fixed before sent","Fixed in "&amp;($J129-$B129)&amp;" d"),IF(AND($I129&lt;&gt;"",NOT(ISNUMBER($I129))),"Check Expected Fix Date",IF($I129="","UNCLAIMED "&amp;(TODAY()-$B129)&amp;" d",IF(TODAY()&gt;$I129,(TODAY()-$I129)&amp;" d LATE","Open "&amp;(TODAY()-$B129)&amp;" d"))))))))))</f>
        <v/>
      </c>
      <c r="O129" s="66">
        <f>'Combined Delivery Data'!B128</f>
        <v>0</v>
      </c>
      <c r="P129" s="66">
        <f t="shared" si="4"/>
        <v>0</v>
      </c>
      <c r="Q129" s="66">
        <f t="shared" si="5"/>
        <v>0</v>
      </c>
      <c r="R129" s="67" t="str">
        <f t="shared" si="6"/>
        <v/>
      </c>
      <c r="S129" s="66" t="str">
        <f t="shared" si="7"/>
        <v/>
      </c>
    </row>
    <row r="130" spans="1:19" x14ac:dyDescent="0.25">
      <c r="A130" s="62"/>
      <c r="B130" s="63"/>
      <c r="C130" s="62" t="s">
        <v>20</v>
      </c>
      <c r="D130" s="62"/>
      <c r="E130" s="62"/>
      <c r="F130" s="62"/>
      <c r="G130" s="62" t="s">
        <v>26</v>
      </c>
      <c r="H130" s="63"/>
      <c r="I130" s="63"/>
      <c r="J130" s="63"/>
      <c r="K130" s="62"/>
      <c r="L130" s="62"/>
      <c r="M130" s="64" t="str">
        <f ca="1">IF($A130="","",IF($G130="Did not pass re-test","Sent back again",IF($G130="Yes",IF(AND(ISNUMBER($J130),ISNUMBER($B130)),"Fixed in "&amp;($J130-$B130)&amp;" d","Accepted"),IF(SUMPRODUCT(--(TRIM('Combined Delivery Data'!$B$2:$B$500)=TRIM($A130)))=0,"Not on main tab - renamed?",IF(NOT(ISNUMBER($B130)),"Missing or invalid sent-back date",IF($B130&gt;TODAY(),"Sent-back date is in future",IF(ISNUMBER($J130),IF($J130&lt;$B130,"Check dates - fixed before sent","Fixed in "&amp;($J130-$B130)&amp;" d"),IF(AND($I130&lt;&gt;"",NOT(ISNUMBER($I130))),"Check Expected Fix Date",IF($I130="","UNCLAIMED "&amp;(TODAY()-$B130)&amp;" d",IF(TODAY()&gt;$I130,(TODAY()-$I130)&amp;" d LATE","Open "&amp;(TODAY()-$B130)&amp;" d"))))))))))</f>
        <v/>
      </c>
      <c r="O130" s="66">
        <f>'Combined Delivery Data'!B129</f>
        <v>0</v>
      </c>
      <c r="P130" s="66">
        <f t="shared" si="4"/>
        <v>0</v>
      </c>
      <c r="Q130" s="66">
        <f t="shared" si="5"/>
        <v>0</v>
      </c>
      <c r="R130" s="67" t="str">
        <f t="shared" si="6"/>
        <v/>
      </c>
      <c r="S130" s="66" t="str">
        <f t="shared" si="7"/>
        <v/>
      </c>
    </row>
    <row r="131" spans="1:19" x14ac:dyDescent="0.25">
      <c r="A131" s="62"/>
      <c r="B131" s="63"/>
      <c r="C131" s="62" t="s">
        <v>20</v>
      </c>
      <c r="D131" s="62"/>
      <c r="E131" s="62"/>
      <c r="F131" s="62"/>
      <c r="G131" s="62" t="s">
        <v>26</v>
      </c>
      <c r="H131" s="63"/>
      <c r="I131" s="63"/>
      <c r="J131" s="63"/>
      <c r="K131" s="62"/>
      <c r="L131" s="62"/>
      <c r="M131" s="64" t="str">
        <f ca="1">IF($A131="","",IF($G131="Did not pass re-test","Sent back again",IF($G131="Yes",IF(AND(ISNUMBER($J131),ISNUMBER($B131)),"Fixed in "&amp;($J131-$B131)&amp;" d","Accepted"),IF(SUMPRODUCT(--(TRIM('Combined Delivery Data'!$B$2:$B$500)=TRIM($A131)))=0,"Not on main tab - renamed?",IF(NOT(ISNUMBER($B131)),"Missing or invalid sent-back date",IF($B131&gt;TODAY(),"Sent-back date is in future",IF(ISNUMBER($J131),IF($J131&lt;$B131,"Check dates - fixed before sent","Fixed in "&amp;($J131-$B131)&amp;" d"),IF(AND($I131&lt;&gt;"",NOT(ISNUMBER($I131))),"Check Expected Fix Date",IF($I131="","UNCLAIMED "&amp;(TODAY()-$B131)&amp;" d",IF(TODAY()&gt;$I131,(TODAY()-$I131)&amp;" d LATE","Open "&amp;(TODAY()-$B131)&amp;" d"))))))))))</f>
        <v/>
      </c>
      <c r="O131" s="66">
        <f>'Combined Delivery Data'!B130</f>
        <v>0</v>
      </c>
      <c r="P131" s="66">
        <f t="shared" ref="P131:P194" si="8">IF($O131="","",SUMPRODUCT(--(TRIM($A$3:$A$500)=TRIM($O131))))</f>
        <v>0</v>
      </c>
      <c r="Q131" s="66">
        <f t="shared" ref="Q131:Q194" si="9">IF($O131="","",SUMPRODUCT((TRIM($A$3:$A$500)=TRIM($O131))*($G$3:$G$500&lt;&gt;"Yes")*($G$3:$G$500&lt;&gt;"Did not pass re-test")))</f>
        <v>0</v>
      </c>
      <c r="R131" s="67" t="str">
        <f t="shared" ref="R131:R194" si="10">IF($O131="","",IF(SUMPRODUCT(MAX((TRIM($A$3:$A$500)=TRIM($O131))*ROW($A$3:$A$500)))=0,"",INDEX($B:$B,SUMPRODUCT(MAX((TRIM($A$3:$A$500)=TRIM($O131))*ROW($A$3:$A$500))))))</f>
        <v/>
      </c>
      <c r="S131" s="66" t="str">
        <f t="shared" ref="S131:S194" si="11">IF($O131="","",IF(SUMPRODUCT(MAX((TRIM($A$3:$A$500)=TRIM($O131))*ROW($A$3:$A$500)))=0,"",INDEX($C:$C,SUMPRODUCT(MAX((TRIM($A$3:$A$500)=TRIM($O131))*ROW($A$3:$A$500))))&amp;" -&gt; "&amp;INDEX($D:$D,SUMPRODUCT(MAX((TRIM($A$3:$A$500)=TRIM($O131))*ROW($A$3:$A$500))))))</f>
        <v/>
      </c>
    </row>
    <row r="132" spans="1:19" x14ac:dyDescent="0.25">
      <c r="A132" s="62"/>
      <c r="B132" s="63"/>
      <c r="C132" s="62" t="s">
        <v>20</v>
      </c>
      <c r="D132" s="62"/>
      <c r="E132" s="62"/>
      <c r="F132" s="62"/>
      <c r="G132" s="62" t="s">
        <v>26</v>
      </c>
      <c r="H132" s="63"/>
      <c r="I132" s="63"/>
      <c r="J132" s="63"/>
      <c r="K132" s="62"/>
      <c r="L132" s="62"/>
      <c r="M132" s="64" t="str">
        <f ca="1">IF($A132="","",IF($G132="Did not pass re-test","Sent back again",IF($G132="Yes",IF(AND(ISNUMBER($J132),ISNUMBER($B132)),"Fixed in "&amp;($J132-$B132)&amp;" d","Accepted"),IF(SUMPRODUCT(--(TRIM('Combined Delivery Data'!$B$2:$B$500)=TRIM($A132)))=0,"Not on main tab - renamed?",IF(NOT(ISNUMBER($B132)),"Missing or invalid sent-back date",IF($B132&gt;TODAY(),"Sent-back date is in future",IF(ISNUMBER($J132),IF($J132&lt;$B132,"Check dates - fixed before sent","Fixed in "&amp;($J132-$B132)&amp;" d"),IF(AND($I132&lt;&gt;"",NOT(ISNUMBER($I132))),"Check Expected Fix Date",IF($I132="","UNCLAIMED "&amp;(TODAY()-$B132)&amp;" d",IF(TODAY()&gt;$I132,(TODAY()-$I132)&amp;" d LATE","Open "&amp;(TODAY()-$B132)&amp;" d"))))))))))</f>
        <v/>
      </c>
      <c r="O132" s="66">
        <f>'Combined Delivery Data'!B131</f>
        <v>0</v>
      </c>
      <c r="P132" s="66">
        <f t="shared" si="8"/>
        <v>0</v>
      </c>
      <c r="Q132" s="66">
        <f t="shared" si="9"/>
        <v>0</v>
      </c>
      <c r="R132" s="67" t="str">
        <f t="shared" si="10"/>
        <v/>
      </c>
      <c r="S132" s="66" t="str">
        <f t="shared" si="11"/>
        <v/>
      </c>
    </row>
    <row r="133" spans="1:19" x14ac:dyDescent="0.25">
      <c r="A133" s="62"/>
      <c r="B133" s="63"/>
      <c r="C133" s="62" t="s">
        <v>20</v>
      </c>
      <c r="D133" s="62"/>
      <c r="E133" s="62"/>
      <c r="F133" s="62"/>
      <c r="G133" s="62" t="s">
        <v>26</v>
      </c>
      <c r="H133" s="63"/>
      <c r="I133" s="63"/>
      <c r="J133" s="63"/>
      <c r="K133" s="62"/>
      <c r="L133" s="62"/>
      <c r="M133" s="64" t="str">
        <f ca="1">IF($A133="","",IF($G133="Did not pass re-test","Sent back again",IF($G133="Yes",IF(AND(ISNUMBER($J133),ISNUMBER($B133)),"Fixed in "&amp;($J133-$B133)&amp;" d","Accepted"),IF(SUMPRODUCT(--(TRIM('Combined Delivery Data'!$B$2:$B$500)=TRIM($A133)))=0,"Not on main tab - renamed?",IF(NOT(ISNUMBER($B133)),"Missing or invalid sent-back date",IF($B133&gt;TODAY(),"Sent-back date is in future",IF(ISNUMBER($J133),IF($J133&lt;$B133,"Check dates - fixed before sent","Fixed in "&amp;($J133-$B133)&amp;" d"),IF(AND($I133&lt;&gt;"",NOT(ISNUMBER($I133))),"Check Expected Fix Date",IF($I133="","UNCLAIMED "&amp;(TODAY()-$B133)&amp;" d",IF(TODAY()&gt;$I133,(TODAY()-$I133)&amp;" d LATE","Open "&amp;(TODAY()-$B133)&amp;" d"))))))))))</f>
        <v/>
      </c>
      <c r="O133" s="66">
        <f>'Combined Delivery Data'!B132</f>
        <v>0</v>
      </c>
      <c r="P133" s="66">
        <f t="shared" si="8"/>
        <v>0</v>
      </c>
      <c r="Q133" s="66">
        <f t="shared" si="9"/>
        <v>0</v>
      </c>
      <c r="R133" s="67" t="str">
        <f t="shared" si="10"/>
        <v/>
      </c>
      <c r="S133" s="66" t="str">
        <f t="shared" si="11"/>
        <v/>
      </c>
    </row>
    <row r="134" spans="1:19" x14ac:dyDescent="0.25">
      <c r="A134" s="62"/>
      <c r="B134" s="63"/>
      <c r="C134" s="62" t="s">
        <v>20</v>
      </c>
      <c r="D134" s="62"/>
      <c r="E134" s="62"/>
      <c r="F134" s="62"/>
      <c r="G134" s="62" t="s">
        <v>26</v>
      </c>
      <c r="H134" s="63"/>
      <c r="I134" s="63"/>
      <c r="J134" s="63"/>
      <c r="K134" s="62"/>
      <c r="L134" s="62"/>
      <c r="M134" s="64" t="str">
        <f ca="1">IF($A134="","",IF($G134="Did not pass re-test","Sent back again",IF($G134="Yes",IF(AND(ISNUMBER($J134),ISNUMBER($B134)),"Fixed in "&amp;($J134-$B134)&amp;" d","Accepted"),IF(SUMPRODUCT(--(TRIM('Combined Delivery Data'!$B$2:$B$500)=TRIM($A134)))=0,"Not on main tab - renamed?",IF(NOT(ISNUMBER($B134)),"Missing or invalid sent-back date",IF($B134&gt;TODAY(),"Sent-back date is in future",IF(ISNUMBER($J134),IF($J134&lt;$B134,"Check dates - fixed before sent","Fixed in "&amp;($J134-$B134)&amp;" d"),IF(AND($I134&lt;&gt;"",NOT(ISNUMBER($I134))),"Check Expected Fix Date",IF($I134="","UNCLAIMED "&amp;(TODAY()-$B134)&amp;" d",IF(TODAY()&gt;$I134,(TODAY()-$I134)&amp;" d LATE","Open "&amp;(TODAY()-$B134)&amp;" d"))))))))))</f>
        <v/>
      </c>
      <c r="O134" s="66">
        <f>'Combined Delivery Data'!B133</f>
        <v>0</v>
      </c>
      <c r="P134" s="66">
        <f t="shared" si="8"/>
        <v>0</v>
      </c>
      <c r="Q134" s="66">
        <f t="shared" si="9"/>
        <v>0</v>
      </c>
      <c r="R134" s="67" t="str">
        <f t="shared" si="10"/>
        <v/>
      </c>
      <c r="S134" s="66" t="str">
        <f t="shared" si="11"/>
        <v/>
      </c>
    </row>
    <row r="135" spans="1:19" x14ac:dyDescent="0.25">
      <c r="A135" s="62"/>
      <c r="B135" s="63"/>
      <c r="C135" s="62" t="s">
        <v>20</v>
      </c>
      <c r="D135" s="62"/>
      <c r="E135" s="62"/>
      <c r="F135" s="62"/>
      <c r="G135" s="62" t="s">
        <v>26</v>
      </c>
      <c r="H135" s="63"/>
      <c r="I135" s="63"/>
      <c r="J135" s="63"/>
      <c r="K135" s="62"/>
      <c r="L135" s="62"/>
      <c r="M135" s="64" t="str">
        <f ca="1">IF($A135="","",IF($G135="Did not pass re-test","Sent back again",IF($G135="Yes",IF(AND(ISNUMBER($J135),ISNUMBER($B135)),"Fixed in "&amp;($J135-$B135)&amp;" d","Accepted"),IF(SUMPRODUCT(--(TRIM('Combined Delivery Data'!$B$2:$B$500)=TRIM($A135)))=0,"Not on main tab - renamed?",IF(NOT(ISNUMBER($B135)),"Missing or invalid sent-back date",IF($B135&gt;TODAY(),"Sent-back date is in future",IF(ISNUMBER($J135),IF($J135&lt;$B135,"Check dates - fixed before sent","Fixed in "&amp;($J135-$B135)&amp;" d"),IF(AND($I135&lt;&gt;"",NOT(ISNUMBER($I135))),"Check Expected Fix Date",IF($I135="","UNCLAIMED "&amp;(TODAY()-$B135)&amp;" d",IF(TODAY()&gt;$I135,(TODAY()-$I135)&amp;" d LATE","Open "&amp;(TODAY()-$B135)&amp;" d"))))))))))</f>
        <v/>
      </c>
      <c r="O135" s="66">
        <f>'Combined Delivery Data'!B134</f>
        <v>0</v>
      </c>
      <c r="P135" s="66">
        <f t="shared" si="8"/>
        <v>0</v>
      </c>
      <c r="Q135" s="66">
        <f t="shared" si="9"/>
        <v>0</v>
      </c>
      <c r="R135" s="67" t="str">
        <f t="shared" si="10"/>
        <v/>
      </c>
      <c r="S135" s="66" t="str">
        <f t="shared" si="11"/>
        <v/>
      </c>
    </row>
    <row r="136" spans="1:19" x14ac:dyDescent="0.25">
      <c r="A136" s="62"/>
      <c r="B136" s="63"/>
      <c r="C136" s="62" t="s">
        <v>20</v>
      </c>
      <c r="D136" s="62"/>
      <c r="E136" s="62"/>
      <c r="F136" s="62"/>
      <c r="G136" s="62" t="s">
        <v>26</v>
      </c>
      <c r="H136" s="63"/>
      <c r="I136" s="63"/>
      <c r="J136" s="63"/>
      <c r="K136" s="62"/>
      <c r="L136" s="62"/>
      <c r="M136" s="64" t="str">
        <f ca="1">IF($A136="","",IF($G136="Did not pass re-test","Sent back again",IF($G136="Yes",IF(AND(ISNUMBER($J136),ISNUMBER($B136)),"Fixed in "&amp;($J136-$B136)&amp;" d","Accepted"),IF(SUMPRODUCT(--(TRIM('Combined Delivery Data'!$B$2:$B$500)=TRIM($A136)))=0,"Not on main tab - renamed?",IF(NOT(ISNUMBER($B136)),"Missing or invalid sent-back date",IF($B136&gt;TODAY(),"Sent-back date is in future",IF(ISNUMBER($J136),IF($J136&lt;$B136,"Check dates - fixed before sent","Fixed in "&amp;($J136-$B136)&amp;" d"),IF(AND($I136&lt;&gt;"",NOT(ISNUMBER($I136))),"Check Expected Fix Date",IF($I136="","UNCLAIMED "&amp;(TODAY()-$B136)&amp;" d",IF(TODAY()&gt;$I136,(TODAY()-$I136)&amp;" d LATE","Open "&amp;(TODAY()-$B136)&amp;" d"))))))))))</f>
        <v/>
      </c>
      <c r="O136" s="66">
        <f>'Combined Delivery Data'!B135</f>
        <v>0</v>
      </c>
      <c r="P136" s="66">
        <f t="shared" si="8"/>
        <v>0</v>
      </c>
      <c r="Q136" s="66">
        <f t="shared" si="9"/>
        <v>0</v>
      </c>
      <c r="R136" s="67" t="str">
        <f t="shared" si="10"/>
        <v/>
      </c>
      <c r="S136" s="66" t="str">
        <f t="shared" si="11"/>
        <v/>
      </c>
    </row>
    <row r="137" spans="1:19" x14ac:dyDescent="0.25">
      <c r="A137" s="62"/>
      <c r="B137" s="63"/>
      <c r="C137" s="62" t="s">
        <v>20</v>
      </c>
      <c r="D137" s="62"/>
      <c r="E137" s="62"/>
      <c r="F137" s="62"/>
      <c r="G137" s="62" t="s">
        <v>26</v>
      </c>
      <c r="H137" s="63"/>
      <c r="I137" s="63"/>
      <c r="J137" s="63"/>
      <c r="K137" s="62"/>
      <c r="L137" s="62"/>
      <c r="M137" s="64" t="str">
        <f ca="1">IF($A137="","",IF($G137="Did not pass re-test","Sent back again",IF($G137="Yes",IF(AND(ISNUMBER($J137),ISNUMBER($B137)),"Fixed in "&amp;($J137-$B137)&amp;" d","Accepted"),IF(SUMPRODUCT(--(TRIM('Combined Delivery Data'!$B$2:$B$500)=TRIM($A137)))=0,"Not on main tab - renamed?",IF(NOT(ISNUMBER($B137)),"Missing or invalid sent-back date",IF($B137&gt;TODAY(),"Sent-back date is in future",IF(ISNUMBER($J137),IF($J137&lt;$B137,"Check dates - fixed before sent","Fixed in "&amp;($J137-$B137)&amp;" d"),IF(AND($I137&lt;&gt;"",NOT(ISNUMBER($I137))),"Check Expected Fix Date",IF($I137="","UNCLAIMED "&amp;(TODAY()-$B137)&amp;" d",IF(TODAY()&gt;$I137,(TODAY()-$I137)&amp;" d LATE","Open "&amp;(TODAY()-$B137)&amp;" d"))))))))))</f>
        <v/>
      </c>
      <c r="O137" s="66">
        <f>'Combined Delivery Data'!B136</f>
        <v>0</v>
      </c>
      <c r="P137" s="66">
        <f t="shared" si="8"/>
        <v>0</v>
      </c>
      <c r="Q137" s="66">
        <f t="shared" si="9"/>
        <v>0</v>
      </c>
      <c r="R137" s="67" t="str">
        <f t="shared" si="10"/>
        <v/>
      </c>
      <c r="S137" s="66" t="str">
        <f t="shared" si="11"/>
        <v/>
      </c>
    </row>
    <row r="138" spans="1:19" x14ac:dyDescent="0.25">
      <c r="A138" s="62"/>
      <c r="B138" s="63"/>
      <c r="C138" s="62" t="s">
        <v>20</v>
      </c>
      <c r="D138" s="62"/>
      <c r="E138" s="62"/>
      <c r="F138" s="62"/>
      <c r="G138" s="62" t="s">
        <v>26</v>
      </c>
      <c r="H138" s="63"/>
      <c r="I138" s="63"/>
      <c r="J138" s="63"/>
      <c r="K138" s="62"/>
      <c r="L138" s="62"/>
      <c r="M138" s="64" t="str">
        <f ca="1">IF($A138="","",IF($G138="Did not pass re-test","Sent back again",IF($G138="Yes",IF(AND(ISNUMBER($J138),ISNUMBER($B138)),"Fixed in "&amp;($J138-$B138)&amp;" d","Accepted"),IF(SUMPRODUCT(--(TRIM('Combined Delivery Data'!$B$2:$B$500)=TRIM($A138)))=0,"Not on main tab - renamed?",IF(NOT(ISNUMBER($B138)),"Missing or invalid sent-back date",IF($B138&gt;TODAY(),"Sent-back date is in future",IF(ISNUMBER($J138),IF($J138&lt;$B138,"Check dates - fixed before sent","Fixed in "&amp;($J138-$B138)&amp;" d"),IF(AND($I138&lt;&gt;"",NOT(ISNUMBER($I138))),"Check Expected Fix Date",IF($I138="","UNCLAIMED "&amp;(TODAY()-$B138)&amp;" d",IF(TODAY()&gt;$I138,(TODAY()-$I138)&amp;" d LATE","Open "&amp;(TODAY()-$B138)&amp;" d"))))))))))</f>
        <v/>
      </c>
      <c r="O138" s="66">
        <f>'Combined Delivery Data'!B137</f>
        <v>0</v>
      </c>
      <c r="P138" s="66">
        <f t="shared" si="8"/>
        <v>0</v>
      </c>
      <c r="Q138" s="66">
        <f t="shared" si="9"/>
        <v>0</v>
      </c>
      <c r="R138" s="67" t="str">
        <f t="shared" si="10"/>
        <v/>
      </c>
      <c r="S138" s="66" t="str">
        <f t="shared" si="11"/>
        <v/>
      </c>
    </row>
    <row r="139" spans="1:19" x14ac:dyDescent="0.25">
      <c r="A139" s="62"/>
      <c r="B139" s="63"/>
      <c r="C139" s="62" t="s">
        <v>20</v>
      </c>
      <c r="D139" s="62"/>
      <c r="E139" s="62"/>
      <c r="F139" s="62"/>
      <c r="G139" s="62" t="s">
        <v>26</v>
      </c>
      <c r="H139" s="63"/>
      <c r="I139" s="63"/>
      <c r="J139" s="63"/>
      <c r="K139" s="62"/>
      <c r="L139" s="62"/>
      <c r="M139" s="64" t="str">
        <f ca="1">IF($A139="","",IF($G139="Did not pass re-test","Sent back again",IF($G139="Yes",IF(AND(ISNUMBER($J139),ISNUMBER($B139)),"Fixed in "&amp;($J139-$B139)&amp;" d","Accepted"),IF(SUMPRODUCT(--(TRIM('Combined Delivery Data'!$B$2:$B$500)=TRIM($A139)))=0,"Not on main tab - renamed?",IF(NOT(ISNUMBER($B139)),"Missing or invalid sent-back date",IF($B139&gt;TODAY(),"Sent-back date is in future",IF(ISNUMBER($J139),IF($J139&lt;$B139,"Check dates - fixed before sent","Fixed in "&amp;($J139-$B139)&amp;" d"),IF(AND($I139&lt;&gt;"",NOT(ISNUMBER($I139))),"Check Expected Fix Date",IF($I139="","UNCLAIMED "&amp;(TODAY()-$B139)&amp;" d",IF(TODAY()&gt;$I139,(TODAY()-$I139)&amp;" d LATE","Open "&amp;(TODAY()-$B139)&amp;" d"))))))))))</f>
        <v/>
      </c>
      <c r="O139" s="66">
        <f>'Combined Delivery Data'!B138</f>
        <v>0</v>
      </c>
      <c r="P139" s="66">
        <f t="shared" si="8"/>
        <v>0</v>
      </c>
      <c r="Q139" s="66">
        <f t="shared" si="9"/>
        <v>0</v>
      </c>
      <c r="R139" s="67" t="str">
        <f t="shared" si="10"/>
        <v/>
      </c>
      <c r="S139" s="66" t="str">
        <f t="shared" si="11"/>
        <v/>
      </c>
    </row>
    <row r="140" spans="1:19" x14ac:dyDescent="0.25">
      <c r="A140" s="62"/>
      <c r="B140" s="63"/>
      <c r="C140" s="62" t="s">
        <v>20</v>
      </c>
      <c r="D140" s="62"/>
      <c r="E140" s="62"/>
      <c r="F140" s="62"/>
      <c r="G140" s="62" t="s">
        <v>26</v>
      </c>
      <c r="H140" s="63"/>
      <c r="I140" s="63"/>
      <c r="J140" s="63"/>
      <c r="K140" s="62"/>
      <c r="L140" s="62"/>
      <c r="M140" s="64" t="str">
        <f ca="1">IF($A140="","",IF($G140="Did not pass re-test","Sent back again",IF($G140="Yes",IF(AND(ISNUMBER($J140),ISNUMBER($B140)),"Fixed in "&amp;($J140-$B140)&amp;" d","Accepted"),IF(SUMPRODUCT(--(TRIM('Combined Delivery Data'!$B$2:$B$500)=TRIM($A140)))=0,"Not on main tab - renamed?",IF(NOT(ISNUMBER($B140)),"Missing or invalid sent-back date",IF($B140&gt;TODAY(),"Sent-back date is in future",IF(ISNUMBER($J140),IF($J140&lt;$B140,"Check dates - fixed before sent","Fixed in "&amp;($J140-$B140)&amp;" d"),IF(AND($I140&lt;&gt;"",NOT(ISNUMBER($I140))),"Check Expected Fix Date",IF($I140="","UNCLAIMED "&amp;(TODAY()-$B140)&amp;" d",IF(TODAY()&gt;$I140,(TODAY()-$I140)&amp;" d LATE","Open "&amp;(TODAY()-$B140)&amp;" d"))))))))))</f>
        <v/>
      </c>
      <c r="O140" s="66">
        <f>'Combined Delivery Data'!B139</f>
        <v>0</v>
      </c>
      <c r="P140" s="66">
        <f t="shared" si="8"/>
        <v>0</v>
      </c>
      <c r="Q140" s="66">
        <f t="shared" si="9"/>
        <v>0</v>
      </c>
      <c r="R140" s="67" t="str">
        <f t="shared" si="10"/>
        <v/>
      </c>
      <c r="S140" s="66" t="str">
        <f t="shared" si="11"/>
        <v/>
      </c>
    </row>
    <row r="141" spans="1:19" x14ac:dyDescent="0.25">
      <c r="A141" s="62"/>
      <c r="B141" s="63"/>
      <c r="C141" s="62" t="s">
        <v>20</v>
      </c>
      <c r="D141" s="62"/>
      <c r="E141" s="62"/>
      <c r="F141" s="62"/>
      <c r="G141" s="62" t="s">
        <v>26</v>
      </c>
      <c r="H141" s="63"/>
      <c r="I141" s="63"/>
      <c r="J141" s="63"/>
      <c r="K141" s="62"/>
      <c r="L141" s="62"/>
      <c r="M141" s="64" t="str">
        <f ca="1">IF($A141="","",IF($G141="Did not pass re-test","Sent back again",IF($G141="Yes",IF(AND(ISNUMBER($J141),ISNUMBER($B141)),"Fixed in "&amp;($J141-$B141)&amp;" d","Accepted"),IF(SUMPRODUCT(--(TRIM('Combined Delivery Data'!$B$2:$B$500)=TRIM($A141)))=0,"Not on main tab - renamed?",IF(NOT(ISNUMBER($B141)),"Missing or invalid sent-back date",IF($B141&gt;TODAY(),"Sent-back date is in future",IF(ISNUMBER($J141),IF($J141&lt;$B141,"Check dates - fixed before sent","Fixed in "&amp;($J141-$B141)&amp;" d"),IF(AND($I141&lt;&gt;"",NOT(ISNUMBER($I141))),"Check Expected Fix Date",IF($I141="","UNCLAIMED "&amp;(TODAY()-$B141)&amp;" d",IF(TODAY()&gt;$I141,(TODAY()-$I141)&amp;" d LATE","Open "&amp;(TODAY()-$B141)&amp;" d"))))))))))</f>
        <v/>
      </c>
      <c r="O141" s="66">
        <f>'Combined Delivery Data'!B140</f>
        <v>0</v>
      </c>
      <c r="P141" s="66">
        <f t="shared" si="8"/>
        <v>0</v>
      </c>
      <c r="Q141" s="66">
        <f t="shared" si="9"/>
        <v>0</v>
      </c>
      <c r="R141" s="67" t="str">
        <f t="shared" si="10"/>
        <v/>
      </c>
      <c r="S141" s="66" t="str">
        <f t="shared" si="11"/>
        <v/>
      </c>
    </row>
    <row r="142" spans="1:19" x14ac:dyDescent="0.25">
      <c r="A142" s="62"/>
      <c r="B142" s="63"/>
      <c r="C142" s="62" t="s">
        <v>20</v>
      </c>
      <c r="D142" s="62"/>
      <c r="E142" s="62"/>
      <c r="F142" s="62"/>
      <c r="G142" s="62" t="s">
        <v>26</v>
      </c>
      <c r="H142" s="63"/>
      <c r="I142" s="63"/>
      <c r="J142" s="63"/>
      <c r="K142" s="62"/>
      <c r="L142" s="62"/>
      <c r="M142" s="64" t="str">
        <f ca="1">IF($A142="","",IF($G142="Did not pass re-test","Sent back again",IF($G142="Yes",IF(AND(ISNUMBER($J142),ISNUMBER($B142)),"Fixed in "&amp;($J142-$B142)&amp;" d","Accepted"),IF(SUMPRODUCT(--(TRIM('Combined Delivery Data'!$B$2:$B$500)=TRIM($A142)))=0,"Not on main tab - renamed?",IF(NOT(ISNUMBER($B142)),"Missing or invalid sent-back date",IF($B142&gt;TODAY(),"Sent-back date is in future",IF(ISNUMBER($J142),IF($J142&lt;$B142,"Check dates - fixed before sent","Fixed in "&amp;($J142-$B142)&amp;" d"),IF(AND($I142&lt;&gt;"",NOT(ISNUMBER($I142))),"Check Expected Fix Date",IF($I142="","UNCLAIMED "&amp;(TODAY()-$B142)&amp;" d",IF(TODAY()&gt;$I142,(TODAY()-$I142)&amp;" d LATE","Open "&amp;(TODAY()-$B142)&amp;" d"))))))))))</f>
        <v/>
      </c>
      <c r="O142" s="66">
        <f>'Combined Delivery Data'!B141</f>
        <v>0</v>
      </c>
      <c r="P142" s="66">
        <f t="shared" si="8"/>
        <v>0</v>
      </c>
      <c r="Q142" s="66">
        <f t="shared" si="9"/>
        <v>0</v>
      </c>
      <c r="R142" s="67" t="str">
        <f t="shared" si="10"/>
        <v/>
      </c>
      <c r="S142" s="66" t="str">
        <f t="shared" si="11"/>
        <v/>
      </c>
    </row>
    <row r="143" spans="1:19" x14ac:dyDescent="0.25">
      <c r="A143" s="62"/>
      <c r="B143" s="63"/>
      <c r="C143" s="62" t="s">
        <v>20</v>
      </c>
      <c r="D143" s="62"/>
      <c r="E143" s="62"/>
      <c r="F143" s="62"/>
      <c r="G143" s="62" t="s">
        <v>26</v>
      </c>
      <c r="H143" s="63"/>
      <c r="I143" s="63"/>
      <c r="J143" s="63"/>
      <c r="K143" s="62"/>
      <c r="L143" s="62"/>
      <c r="M143" s="64" t="str">
        <f ca="1">IF($A143="","",IF($G143="Did not pass re-test","Sent back again",IF($G143="Yes",IF(AND(ISNUMBER($J143),ISNUMBER($B143)),"Fixed in "&amp;($J143-$B143)&amp;" d","Accepted"),IF(SUMPRODUCT(--(TRIM('Combined Delivery Data'!$B$2:$B$500)=TRIM($A143)))=0,"Not on main tab - renamed?",IF(NOT(ISNUMBER($B143)),"Missing or invalid sent-back date",IF($B143&gt;TODAY(),"Sent-back date is in future",IF(ISNUMBER($J143),IF($J143&lt;$B143,"Check dates - fixed before sent","Fixed in "&amp;($J143-$B143)&amp;" d"),IF(AND($I143&lt;&gt;"",NOT(ISNUMBER($I143))),"Check Expected Fix Date",IF($I143="","UNCLAIMED "&amp;(TODAY()-$B143)&amp;" d",IF(TODAY()&gt;$I143,(TODAY()-$I143)&amp;" d LATE","Open "&amp;(TODAY()-$B143)&amp;" d"))))))))))</f>
        <v/>
      </c>
      <c r="O143" s="66">
        <f>'Combined Delivery Data'!B142</f>
        <v>0</v>
      </c>
      <c r="P143" s="66">
        <f t="shared" si="8"/>
        <v>0</v>
      </c>
      <c r="Q143" s="66">
        <f t="shared" si="9"/>
        <v>0</v>
      </c>
      <c r="R143" s="67" t="str">
        <f t="shared" si="10"/>
        <v/>
      </c>
      <c r="S143" s="66" t="str">
        <f t="shared" si="11"/>
        <v/>
      </c>
    </row>
    <row r="144" spans="1:19" x14ac:dyDescent="0.25">
      <c r="A144" s="62"/>
      <c r="B144" s="63"/>
      <c r="C144" s="62" t="s">
        <v>20</v>
      </c>
      <c r="D144" s="62"/>
      <c r="E144" s="62"/>
      <c r="F144" s="62"/>
      <c r="G144" s="62" t="s">
        <v>26</v>
      </c>
      <c r="H144" s="63"/>
      <c r="I144" s="63"/>
      <c r="J144" s="63"/>
      <c r="K144" s="62"/>
      <c r="L144" s="62"/>
      <c r="M144" s="64" t="str">
        <f ca="1">IF($A144="","",IF($G144="Did not pass re-test","Sent back again",IF($G144="Yes",IF(AND(ISNUMBER($J144),ISNUMBER($B144)),"Fixed in "&amp;($J144-$B144)&amp;" d","Accepted"),IF(SUMPRODUCT(--(TRIM('Combined Delivery Data'!$B$2:$B$500)=TRIM($A144)))=0,"Not on main tab - renamed?",IF(NOT(ISNUMBER($B144)),"Missing or invalid sent-back date",IF($B144&gt;TODAY(),"Sent-back date is in future",IF(ISNUMBER($J144),IF($J144&lt;$B144,"Check dates - fixed before sent","Fixed in "&amp;($J144-$B144)&amp;" d"),IF(AND($I144&lt;&gt;"",NOT(ISNUMBER($I144))),"Check Expected Fix Date",IF($I144="","UNCLAIMED "&amp;(TODAY()-$B144)&amp;" d",IF(TODAY()&gt;$I144,(TODAY()-$I144)&amp;" d LATE","Open "&amp;(TODAY()-$B144)&amp;" d"))))))))))</f>
        <v/>
      </c>
      <c r="O144" s="66">
        <f>'Combined Delivery Data'!B143</f>
        <v>0</v>
      </c>
      <c r="P144" s="66">
        <f t="shared" si="8"/>
        <v>0</v>
      </c>
      <c r="Q144" s="66">
        <f t="shared" si="9"/>
        <v>0</v>
      </c>
      <c r="R144" s="67" t="str">
        <f t="shared" si="10"/>
        <v/>
      </c>
      <c r="S144" s="66" t="str">
        <f t="shared" si="11"/>
        <v/>
      </c>
    </row>
    <row r="145" spans="1:19" x14ac:dyDescent="0.25">
      <c r="A145" s="62"/>
      <c r="B145" s="63"/>
      <c r="C145" s="62" t="s">
        <v>20</v>
      </c>
      <c r="D145" s="62"/>
      <c r="E145" s="62"/>
      <c r="F145" s="62"/>
      <c r="G145" s="62" t="s">
        <v>26</v>
      </c>
      <c r="H145" s="63"/>
      <c r="I145" s="63"/>
      <c r="J145" s="63"/>
      <c r="K145" s="62"/>
      <c r="L145" s="62"/>
      <c r="M145" s="64" t="str">
        <f ca="1">IF($A145="","",IF($G145="Did not pass re-test","Sent back again",IF($G145="Yes",IF(AND(ISNUMBER($J145),ISNUMBER($B145)),"Fixed in "&amp;($J145-$B145)&amp;" d","Accepted"),IF(SUMPRODUCT(--(TRIM('Combined Delivery Data'!$B$2:$B$500)=TRIM($A145)))=0,"Not on main tab - renamed?",IF(NOT(ISNUMBER($B145)),"Missing or invalid sent-back date",IF($B145&gt;TODAY(),"Sent-back date is in future",IF(ISNUMBER($J145),IF($J145&lt;$B145,"Check dates - fixed before sent","Fixed in "&amp;($J145-$B145)&amp;" d"),IF(AND($I145&lt;&gt;"",NOT(ISNUMBER($I145))),"Check Expected Fix Date",IF($I145="","UNCLAIMED "&amp;(TODAY()-$B145)&amp;" d",IF(TODAY()&gt;$I145,(TODAY()-$I145)&amp;" d LATE","Open "&amp;(TODAY()-$B145)&amp;" d"))))))))))</f>
        <v/>
      </c>
      <c r="O145" s="66">
        <f>'Combined Delivery Data'!B144</f>
        <v>0</v>
      </c>
      <c r="P145" s="66">
        <f t="shared" si="8"/>
        <v>0</v>
      </c>
      <c r="Q145" s="66">
        <f t="shared" si="9"/>
        <v>0</v>
      </c>
      <c r="R145" s="67" t="str">
        <f t="shared" si="10"/>
        <v/>
      </c>
      <c r="S145" s="66" t="str">
        <f t="shared" si="11"/>
        <v/>
      </c>
    </row>
    <row r="146" spans="1:19" x14ac:dyDescent="0.25">
      <c r="A146" s="62"/>
      <c r="B146" s="63"/>
      <c r="C146" s="62" t="s">
        <v>20</v>
      </c>
      <c r="D146" s="62"/>
      <c r="E146" s="62"/>
      <c r="F146" s="62"/>
      <c r="G146" s="62" t="s">
        <v>26</v>
      </c>
      <c r="H146" s="63"/>
      <c r="I146" s="63"/>
      <c r="J146" s="63"/>
      <c r="K146" s="62"/>
      <c r="L146" s="62"/>
      <c r="M146" s="64" t="str">
        <f ca="1">IF($A146="","",IF($G146="Did not pass re-test","Sent back again",IF($G146="Yes",IF(AND(ISNUMBER($J146),ISNUMBER($B146)),"Fixed in "&amp;($J146-$B146)&amp;" d","Accepted"),IF(SUMPRODUCT(--(TRIM('Combined Delivery Data'!$B$2:$B$500)=TRIM($A146)))=0,"Not on main tab - renamed?",IF(NOT(ISNUMBER($B146)),"Missing or invalid sent-back date",IF($B146&gt;TODAY(),"Sent-back date is in future",IF(ISNUMBER($J146),IF($J146&lt;$B146,"Check dates - fixed before sent","Fixed in "&amp;($J146-$B146)&amp;" d"),IF(AND($I146&lt;&gt;"",NOT(ISNUMBER($I146))),"Check Expected Fix Date",IF($I146="","UNCLAIMED "&amp;(TODAY()-$B146)&amp;" d",IF(TODAY()&gt;$I146,(TODAY()-$I146)&amp;" d LATE","Open "&amp;(TODAY()-$B146)&amp;" d"))))))))))</f>
        <v/>
      </c>
      <c r="O146" s="66">
        <f>'Combined Delivery Data'!B145</f>
        <v>0</v>
      </c>
      <c r="P146" s="66">
        <f t="shared" si="8"/>
        <v>0</v>
      </c>
      <c r="Q146" s="66">
        <f t="shared" si="9"/>
        <v>0</v>
      </c>
      <c r="R146" s="67" t="str">
        <f t="shared" si="10"/>
        <v/>
      </c>
      <c r="S146" s="66" t="str">
        <f t="shared" si="11"/>
        <v/>
      </c>
    </row>
    <row r="147" spans="1:19" x14ac:dyDescent="0.25">
      <c r="A147" s="62"/>
      <c r="B147" s="63"/>
      <c r="C147" s="62" t="s">
        <v>20</v>
      </c>
      <c r="D147" s="62"/>
      <c r="E147" s="62"/>
      <c r="F147" s="62"/>
      <c r="G147" s="62" t="s">
        <v>26</v>
      </c>
      <c r="H147" s="63"/>
      <c r="I147" s="63"/>
      <c r="J147" s="63"/>
      <c r="K147" s="62"/>
      <c r="L147" s="62"/>
      <c r="M147" s="64" t="str">
        <f ca="1">IF($A147="","",IF($G147="Did not pass re-test","Sent back again",IF($G147="Yes",IF(AND(ISNUMBER($J147),ISNUMBER($B147)),"Fixed in "&amp;($J147-$B147)&amp;" d","Accepted"),IF(SUMPRODUCT(--(TRIM('Combined Delivery Data'!$B$2:$B$500)=TRIM($A147)))=0,"Not on main tab - renamed?",IF(NOT(ISNUMBER($B147)),"Missing or invalid sent-back date",IF($B147&gt;TODAY(),"Sent-back date is in future",IF(ISNUMBER($J147),IF($J147&lt;$B147,"Check dates - fixed before sent","Fixed in "&amp;($J147-$B147)&amp;" d"),IF(AND($I147&lt;&gt;"",NOT(ISNUMBER($I147))),"Check Expected Fix Date",IF($I147="","UNCLAIMED "&amp;(TODAY()-$B147)&amp;" d",IF(TODAY()&gt;$I147,(TODAY()-$I147)&amp;" d LATE","Open "&amp;(TODAY()-$B147)&amp;" d"))))))))))</f>
        <v/>
      </c>
      <c r="O147" s="66">
        <f>'Combined Delivery Data'!B146</f>
        <v>0</v>
      </c>
      <c r="P147" s="66">
        <f t="shared" si="8"/>
        <v>0</v>
      </c>
      <c r="Q147" s="66">
        <f t="shared" si="9"/>
        <v>0</v>
      </c>
      <c r="R147" s="67" t="str">
        <f t="shared" si="10"/>
        <v/>
      </c>
      <c r="S147" s="66" t="str">
        <f t="shared" si="11"/>
        <v/>
      </c>
    </row>
    <row r="148" spans="1:19" x14ac:dyDescent="0.25">
      <c r="A148" s="62"/>
      <c r="B148" s="63"/>
      <c r="C148" s="62" t="s">
        <v>20</v>
      </c>
      <c r="D148" s="62"/>
      <c r="E148" s="62"/>
      <c r="F148" s="62"/>
      <c r="G148" s="62" t="s">
        <v>26</v>
      </c>
      <c r="H148" s="63"/>
      <c r="I148" s="63"/>
      <c r="J148" s="63"/>
      <c r="K148" s="62"/>
      <c r="L148" s="62"/>
      <c r="M148" s="64" t="str">
        <f ca="1">IF($A148="","",IF($G148="Did not pass re-test","Sent back again",IF($G148="Yes",IF(AND(ISNUMBER($J148),ISNUMBER($B148)),"Fixed in "&amp;($J148-$B148)&amp;" d","Accepted"),IF(SUMPRODUCT(--(TRIM('Combined Delivery Data'!$B$2:$B$500)=TRIM($A148)))=0,"Not on main tab - renamed?",IF(NOT(ISNUMBER($B148)),"Missing or invalid sent-back date",IF($B148&gt;TODAY(),"Sent-back date is in future",IF(ISNUMBER($J148),IF($J148&lt;$B148,"Check dates - fixed before sent","Fixed in "&amp;($J148-$B148)&amp;" d"),IF(AND($I148&lt;&gt;"",NOT(ISNUMBER($I148))),"Check Expected Fix Date",IF($I148="","UNCLAIMED "&amp;(TODAY()-$B148)&amp;" d",IF(TODAY()&gt;$I148,(TODAY()-$I148)&amp;" d LATE","Open "&amp;(TODAY()-$B148)&amp;" d"))))))))))</f>
        <v/>
      </c>
      <c r="O148" s="66">
        <f>'Combined Delivery Data'!B147</f>
        <v>0</v>
      </c>
      <c r="P148" s="66">
        <f t="shared" si="8"/>
        <v>0</v>
      </c>
      <c r="Q148" s="66">
        <f t="shared" si="9"/>
        <v>0</v>
      </c>
      <c r="R148" s="67" t="str">
        <f t="shared" si="10"/>
        <v/>
      </c>
      <c r="S148" s="66" t="str">
        <f t="shared" si="11"/>
        <v/>
      </c>
    </row>
    <row r="149" spans="1:19" x14ac:dyDescent="0.25">
      <c r="A149" s="62"/>
      <c r="B149" s="63"/>
      <c r="C149" s="62" t="s">
        <v>20</v>
      </c>
      <c r="D149" s="62"/>
      <c r="E149" s="62"/>
      <c r="F149" s="62"/>
      <c r="G149" s="62" t="s">
        <v>26</v>
      </c>
      <c r="H149" s="63"/>
      <c r="I149" s="63"/>
      <c r="J149" s="63"/>
      <c r="K149" s="62"/>
      <c r="L149" s="62"/>
      <c r="M149" s="64" t="str">
        <f ca="1">IF($A149="","",IF($G149="Did not pass re-test","Sent back again",IF($G149="Yes",IF(AND(ISNUMBER($J149),ISNUMBER($B149)),"Fixed in "&amp;($J149-$B149)&amp;" d","Accepted"),IF(SUMPRODUCT(--(TRIM('Combined Delivery Data'!$B$2:$B$500)=TRIM($A149)))=0,"Not on main tab - renamed?",IF(NOT(ISNUMBER($B149)),"Missing or invalid sent-back date",IF($B149&gt;TODAY(),"Sent-back date is in future",IF(ISNUMBER($J149),IF($J149&lt;$B149,"Check dates - fixed before sent","Fixed in "&amp;($J149-$B149)&amp;" d"),IF(AND($I149&lt;&gt;"",NOT(ISNUMBER($I149))),"Check Expected Fix Date",IF($I149="","UNCLAIMED "&amp;(TODAY()-$B149)&amp;" d",IF(TODAY()&gt;$I149,(TODAY()-$I149)&amp;" d LATE","Open "&amp;(TODAY()-$B149)&amp;" d"))))))))))</f>
        <v/>
      </c>
      <c r="O149" s="66">
        <f>'Combined Delivery Data'!B148</f>
        <v>0</v>
      </c>
      <c r="P149" s="66">
        <f t="shared" si="8"/>
        <v>0</v>
      </c>
      <c r="Q149" s="66">
        <f t="shared" si="9"/>
        <v>0</v>
      </c>
      <c r="R149" s="67" t="str">
        <f t="shared" si="10"/>
        <v/>
      </c>
      <c r="S149" s="66" t="str">
        <f t="shared" si="11"/>
        <v/>
      </c>
    </row>
    <row r="150" spans="1:19" x14ac:dyDescent="0.25">
      <c r="A150" s="62"/>
      <c r="B150" s="63"/>
      <c r="C150" s="62" t="s">
        <v>20</v>
      </c>
      <c r="D150" s="62"/>
      <c r="E150" s="62"/>
      <c r="F150" s="62"/>
      <c r="G150" s="62" t="s">
        <v>26</v>
      </c>
      <c r="H150" s="63"/>
      <c r="I150" s="63"/>
      <c r="J150" s="63"/>
      <c r="K150" s="62"/>
      <c r="L150" s="62"/>
      <c r="M150" s="64" t="str">
        <f ca="1">IF($A150="","",IF($G150="Did not pass re-test","Sent back again",IF($G150="Yes",IF(AND(ISNUMBER($J150),ISNUMBER($B150)),"Fixed in "&amp;($J150-$B150)&amp;" d","Accepted"),IF(SUMPRODUCT(--(TRIM('Combined Delivery Data'!$B$2:$B$500)=TRIM($A150)))=0,"Not on main tab - renamed?",IF(NOT(ISNUMBER($B150)),"Missing or invalid sent-back date",IF($B150&gt;TODAY(),"Sent-back date is in future",IF(ISNUMBER($J150),IF($J150&lt;$B150,"Check dates - fixed before sent","Fixed in "&amp;($J150-$B150)&amp;" d"),IF(AND($I150&lt;&gt;"",NOT(ISNUMBER($I150))),"Check Expected Fix Date",IF($I150="","UNCLAIMED "&amp;(TODAY()-$B150)&amp;" d",IF(TODAY()&gt;$I150,(TODAY()-$I150)&amp;" d LATE","Open "&amp;(TODAY()-$B150)&amp;" d"))))))))))</f>
        <v/>
      </c>
      <c r="O150" s="66">
        <f>'Combined Delivery Data'!B149</f>
        <v>0</v>
      </c>
      <c r="P150" s="66">
        <f t="shared" si="8"/>
        <v>0</v>
      </c>
      <c r="Q150" s="66">
        <f t="shared" si="9"/>
        <v>0</v>
      </c>
      <c r="R150" s="67" t="str">
        <f t="shared" si="10"/>
        <v/>
      </c>
      <c r="S150" s="66" t="str">
        <f t="shared" si="11"/>
        <v/>
      </c>
    </row>
    <row r="151" spans="1:19" x14ac:dyDescent="0.25">
      <c r="A151" s="62"/>
      <c r="B151" s="63"/>
      <c r="C151" s="62" t="s">
        <v>20</v>
      </c>
      <c r="D151" s="62"/>
      <c r="E151" s="62"/>
      <c r="F151" s="62"/>
      <c r="G151" s="62" t="s">
        <v>26</v>
      </c>
      <c r="H151" s="63"/>
      <c r="I151" s="63"/>
      <c r="J151" s="63"/>
      <c r="K151" s="62"/>
      <c r="L151" s="62"/>
      <c r="M151" s="64" t="str">
        <f ca="1">IF($A151="","",IF($G151="Did not pass re-test","Sent back again",IF($G151="Yes",IF(AND(ISNUMBER($J151),ISNUMBER($B151)),"Fixed in "&amp;($J151-$B151)&amp;" d","Accepted"),IF(SUMPRODUCT(--(TRIM('Combined Delivery Data'!$B$2:$B$500)=TRIM($A151)))=0,"Not on main tab - renamed?",IF(NOT(ISNUMBER($B151)),"Missing or invalid sent-back date",IF($B151&gt;TODAY(),"Sent-back date is in future",IF(ISNUMBER($J151),IF($J151&lt;$B151,"Check dates - fixed before sent","Fixed in "&amp;($J151-$B151)&amp;" d"),IF(AND($I151&lt;&gt;"",NOT(ISNUMBER($I151))),"Check Expected Fix Date",IF($I151="","UNCLAIMED "&amp;(TODAY()-$B151)&amp;" d",IF(TODAY()&gt;$I151,(TODAY()-$I151)&amp;" d LATE","Open "&amp;(TODAY()-$B151)&amp;" d"))))))))))</f>
        <v/>
      </c>
      <c r="O151" s="66">
        <f>'Combined Delivery Data'!B150</f>
        <v>0</v>
      </c>
      <c r="P151" s="66">
        <f t="shared" si="8"/>
        <v>0</v>
      </c>
      <c r="Q151" s="66">
        <f t="shared" si="9"/>
        <v>0</v>
      </c>
      <c r="R151" s="67" t="str">
        <f t="shared" si="10"/>
        <v/>
      </c>
      <c r="S151" s="66" t="str">
        <f t="shared" si="11"/>
        <v/>
      </c>
    </row>
    <row r="152" spans="1:19" x14ac:dyDescent="0.25">
      <c r="A152" s="62"/>
      <c r="B152" s="63"/>
      <c r="C152" s="62" t="s">
        <v>20</v>
      </c>
      <c r="D152" s="62"/>
      <c r="E152" s="62"/>
      <c r="F152" s="62"/>
      <c r="G152" s="62" t="s">
        <v>26</v>
      </c>
      <c r="H152" s="63"/>
      <c r="I152" s="63"/>
      <c r="J152" s="63"/>
      <c r="K152" s="62"/>
      <c r="L152" s="62"/>
      <c r="M152" s="64" t="str">
        <f ca="1">IF($A152="","",IF($G152="Did not pass re-test","Sent back again",IF($G152="Yes",IF(AND(ISNUMBER($J152),ISNUMBER($B152)),"Fixed in "&amp;($J152-$B152)&amp;" d","Accepted"),IF(SUMPRODUCT(--(TRIM('Combined Delivery Data'!$B$2:$B$500)=TRIM($A152)))=0,"Not on main tab - renamed?",IF(NOT(ISNUMBER($B152)),"Missing or invalid sent-back date",IF($B152&gt;TODAY(),"Sent-back date is in future",IF(ISNUMBER($J152),IF($J152&lt;$B152,"Check dates - fixed before sent","Fixed in "&amp;($J152-$B152)&amp;" d"),IF(AND($I152&lt;&gt;"",NOT(ISNUMBER($I152))),"Check Expected Fix Date",IF($I152="","UNCLAIMED "&amp;(TODAY()-$B152)&amp;" d",IF(TODAY()&gt;$I152,(TODAY()-$I152)&amp;" d LATE","Open "&amp;(TODAY()-$B152)&amp;" d"))))))))))</f>
        <v/>
      </c>
      <c r="O152" s="66">
        <f>'Combined Delivery Data'!B151</f>
        <v>0</v>
      </c>
      <c r="P152" s="66">
        <f t="shared" si="8"/>
        <v>0</v>
      </c>
      <c r="Q152" s="66">
        <f t="shared" si="9"/>
        <v>0</v>
      </c>
      <c r="R152" s="67" t="str">
        <f t="shared" si="10"/>
        <v/>
      </c>
      <c r="S152" s="66" t="str">
        <f t="shared" si="11"/>
        <v/>
      </c>
    </row>
    <row r="153" spans="1:19" x14ac:dyDescent="0.25">
      <c r="A153" s="62"/>
      <c r="B153" s="63"/>
      <c r="C153" s="62" t="s">
        <v>20</v>
      </c>
      <c r="D153" s="62"/>
      <c r="E153" s="62"/>
      <c r="F153" s="62"/>
      <c r="G153" s="62" t="s">
        <v>26</v>
      </c>
      <c r="H153" s="63"/>
      <c r="I153" s="63"/>
      <c r="J153" s="63"/>
      <c r="K153" s="62"/>
      <c r="L153" s="62"/>
      <c r="M153" s="64" t="str">
        <f ca="1">IF($A153="","",IF($G153="Did not pass re-test","Sent back again",IF($G153="Yes",IF(AND(ISNUMBER($J153),ISNUMBER($B153)),"Fixed in "&amp;($J153-$B153)&amp;" d","Accepted"),IF(SUMPRODUCT(--(TRIM('Combined Delivery Data'!$B$2:$B$500)=TRIM($A153)))=0,"Not on main tab - renamed?",IF(NOT(ISNUMBER($B153)),"Missing or invalid sent-back date",IF($B153&gt;TODAY(),"Sent-back date is in future",IF(ISNUMBER($J153),IF($J153&lt;$B153,"Check dates - fixed before sent","Fixed in "&amp;($J153-$B153)&amp;" d"),IF(AND($I153&lt;&gt;"",NOT(ISNUMBER($I153))),"Check Expected Fix Date",IF($I153="","UNCLAIMED "&amp;(TODAY()-$B153)&amp;" d",IF(TODAY()&gt;$I153,(TODAY()-$I153)&amp;" d LATE","Open "&amp;(TODAY()-$B153)&amp;" d"))))))))))</f>
        <v/>
      </c>
      <c r="O153" s="66">
        <f>'Combined Delivery Data'!B152</f>
        <v>0</v>
      </c>
      <c r="P153" s="66">
        <f t="shared" si="8"/>
        <v>0</v>
      </c>
      <c r="Q153" s="66">
        <f t="shared" si="9"/>
        <v>0</v>
      </c>
      <c r="R153" s="67" t="str">
        <f t="shared" si="10"/>
        <v/>
      </c>
      <c r="S153" s="66" t="str">
        <f t="shared" si="11"/>
        <v/>
      </c>
    </row>
    <row r="154" spans="1:19" x14ac:dyDescent="0.25">
      <c r="A154" s="62"/>
      <c r="B154" s="63"/>
      <c r="C154" s="62" t="s">
        <v>20</v>
      </c>
      <c r="D154" s="62"/>
      <c r="E154" s="62"/>
      <c r="F154" s="62"/>
      <c r="G154" s="62" t="s">
        <v>26</v>
      </c>
      <c r="H154" s="63"/>
      <c r="I154" s="63"/>
      <c r="J154" s="63"/>
      <c r="K154" s="62"/>
      <c r="L154" s="62"/>
      <c r="M154" s="64" t="str">
        <f ca="1">IF($A154="","",IF($G154="Did not pass re-test","Sent back again",IF($G154="Yes",IF(AND(ISNUMBER($J154),ISNUMBER($B154)),"Fixed in "&amp;($J154-$B154)&amp;" d","Accepted"),IF(SUMPRODUCT(--(TRIM('Combined Delivery Data'!$B$2:$B$500)=TRIM($A154)))=0,"Not on main tab - renamed?",IF(NOT(ISNUMBER($B154)),"Missing or invalid sent-back date",IF($B154&gt;TODAY(),"Sent-back date is in future",IF(ISNUMBER($J154),IF($J154&lt;$B154,"Check dates - fixed before sent","Fixed in "&amp;($J154-$B154)&amp;" d"),IF(AND($I154&lt;&gt;"",NOT(ISNUMBER($I154))),"Check Expected Fix Date",IF($I154="","UNCLAIMED "&amp;(TODAY()-$B154)&amp;" d",IF(TODAY()&gt;$I154,(TODAY()-$I154)&amp;" d LATE","Open "&amp;(TODAY()-$B154)&amp;" d"))))))))))</f>
        <v/>
      </c>
      <c r="O154" s="66">
        <f>'Combined Delivery Data'!B153</f>
        <v>0</v>
      </c>
      <c r="P154" s="66">
        <f t="shared" si="8"/>
        <v>0</v>
      </c>
      <c r="Q154" s="66">
        <f t="shared" si="9"/>
        <v>0</v>
      </c>
      <c r="R154" s="67" t="str">
        <f t="shared" si="10"/>
        <v/>
      </c>
      <c r="S154" s="66" t="str">
        <f t="shared" si="11"/>
        <v/>
      </c>
    </row>
    <row r="155" spans="1:19" x14ac:dyDescent="0.25">
      <c r="A155" s="62"/>
      <c r="B155" s="63"/>
      <c r="C155" s="62" t="s">
        <v>20</v>
      </c>
      <c r="D155" s="62"/>
      <c r="E155" s="62"/>
      <c r="F155" s="62"/>
      <c r="G155" s="62" t="s">
        <v>26</v>
      </c>
      <c r="H155" s="63"/>
      <c r="I155" s="63"/>
      <c r="J155" s="63"/>
      <c r="K155" s="62"/>
      <c r="L155" s="62"/>
      <c r="M155" s="64" t="str">
        <f ca="1">IF($A155="","",IF($G155="Did not pass re-test","Sent back again",IF($G155="Yes",IF(AND(ISNUMBER($J155),ISNUMBER($B155)),"Fixed in "&amp;($J155-$B155)&amp;" d","Accepted"),IF(SUMPRODUCT(--(TRIM('Combined Delivery Data'!$B$2:$B$500)=TRIM($A155)))=0,"Not on main tab - renamed?",IF(NOT(ISNUMBER($B155)),"Missing or invalid sent-back date",IF($B155&gt;TODAY(),"Sent-back date is in future",IF(ISNUMBER($J155),IF($J155&lt;$B155,"Check dates - fixed before sent","Fixed in "&amp;($J155-$B155)&amp;" d"),IF(AND($I155&lt;&gt;"",NOT(ISNUMBER($I155))),"Check Expected Fix Date",IF($I155="","UNCLAIMED "&amp;(TODAY()-$B155)&amp;" d",IF(TODAY()&gt;$I155,(TODAY()-$I155)&amp;" d LATE","Open "&amp;(TODAY()-$B155)&amp;" d"))))))))))</f>
        <v/>
      </c>
      <c r="O155" s="66">
        <f>'Combined Delivery Data'!B154</f>
        <v>0</v>
      </c>
      <c r="P155" s="66">
        <f t="shared" si="8"/>
        <v>0</v>
      </c>
      <c r="Q155" s="66">
        <f t="shared" si="9"/>
        <v>0</v>
      </c>
      <c r="R155" s="67" t="str">
        <f t="shared" si="10"/>
        <v/>
      </c>
      <c r="S155" s="66" t="str">
        <f t="shared" si="11"/>
        <v/>
      </c>
    </row>
    <row r="156" spans="1:19" x14ac:dyDescent="0.25">
      <c r="A156" s="62"/>
      <c r="B156" s="63"/>
      <c r="C156" s="62" t="s">
        <v>20</v>
      </c>
      <c r="D156" s="62"/>
      <c r="E156" s="62"/>
      <c r="F156" s="62"/>
      <c r="G156" s="62" t="s">
        <v>26</v>
      </c>
      <c r="H156" s="63"/>
      <c r="I156" s="63"/>
      <c r="J156" s="63"/>
      <c r="K156" s="62"/>
      <c r="L156" s="62"/>
      <c r="M156" s="64" t="str">
        <f ca="1">IF($A156="","",IF($G156="Did not pass re-test","Sent back again",IF($G156="Yes",IF(AND(ISNUMBER($J156),ISNUMBER($B156)),"Fixed in "&amp;($J156-$B156)&amp;" d","Accepted"),IF(SUMPRODUCT(--(TRIM('Combined Delivery Data'!$B$2:$B$500)=TRIM($A156)))=0,"Not on main tab - renamed?",IF(NOT(ISNUMBER($B156)),"Missing or invalid sent-back date",IF($B156&gt;TODAY(),"Sent-back date is in future",IF(ISNUMBER($J156),IF($J156&lt;$B156,"Check dates - fixed before sent","Fixed in "&amp;($J156-$B156)&amp;" d"),IF(AND($I156&lt;&gt;"",NOT(ISNUMBER($I156))),"Check Expected Fix Date",IF($I156="","UNCLAIMED "&amp;(TODAY()-$B156)&amp;" d",IF(TODAY()&gt;$I156,(TODAY()-$I156)&amp;" d LATE","Open "&amp;(TODAY()-$B156)&amp;" d"))))))))))</f>
        <v/>
      </c>
      <c r="O156" s="66">
        <f>'Combined Delivery Data'!B155</f>
        <v>0</v>
      </c>
      <c r="P156" s="66">
        <f t="shared" si="8"/>
        <v>0</v>
      </c>
      <c r="Q156" s="66">
        <f t="shared" si="9"/>
        <v>0</v>
      </c>
      <c r="R156" s="67" t="str">
        <f t="shared" si="10"/>
        <v/>
      </c>
      <c r="S156" s="66" t="str">
        <f t="shared" si="11"/>
        <v/>
      </c>
    </row>
    <row r="157" spans="1:19" x14ac:dyDescent="0.25">
      <c r="A157" s="62"/>
      <c r="B157" s="63"/>
      <c r="C157" s="62" t="s">
        <v>20</v>
      </c>
      <c r="D157" s="62"/>
      <c r="E157" s="62"/>
      <c r="F157" s="62"/>
      <c r="G157" s="62" t="s">
        <v>26</v>
      </c>
      <c r="H157" s="63"/>
      <c r="I157" s="63"/>
      <c r="J157" s="63"/>
      <c r="K157" s="62"/>
      <c r="L157" s="62"/>
      <c r="M157" s="64" t="str">
        <f ca="1">IF($A157="","",IF($G157="Did not pass re-test","Sent back again",IF($G157="Yes",IF(AND(ISNUMBER($J157),ISNUMBER($B157)),"Fixed in "&amp;($J157-$B157)&amp;" d","Accepted"),IF(SUMPRODUCT(--(TRIM('Combined Delivery Data'!$B$2:$B$500)=TRIM($A157)))=0,"Not on main tab - renamed?",IF(NOT(ISNUMBER($B157)),"Missing or invalid sent-back date",IF($B157&gt;TODAY(),"Sent-back date is in future",IF(ISNUMBER($J157),IF($J157&lt;$B157,"Check dates - fixed before sent","Fixed in "&amp;($J157-$B157)&amp;" d"),IF(AND($I157&lt;&gt;"",NOT(ISNUMBER($I157))),"Check Expected Fix Date",IF($I157="","UNCLAIMED "&amp;(TODAY()-$B157)&amp;" d",IF(TODAY()&gt;$I157,(TODAY()-$I157)&amp;" d LATE","Open "&amp;(TODAY()-$B157)&amp;" d"))))))))))</f>
        <v/>
      </c>
      <c r="O157" s="66">
        <f>'Combined Delivery Data'!B156</f>
        <v>0</v>
      </c>
      <c r="P157" s="66">
        <f t="shared" si="8"/>
        <v>0</v>
      </c>
      <c r="Q157" s="66">
        <f t="shared" si="9"/>
        <v>0</v>
      </c>
      <c r="R157" s="67" t="str">
        <f t="shared" si="10"/>
        <v/>
      </c>
      <c r="S157" s="66" t="str">
        <f t="shared" si="11"/>
        <v/>
      </c>
    </row>
    <row r="158" spans="1:19" x14ac:dyDescent="0.25">
      <c r="A158" s="62"/>
      <c r="B158" s="63"/>
      <c r="C158" s="62" t="s">
        <v>20</v>
      </c>
      <c r="D158" s="62"/>
      <c r="E158" s="62"/>
      <c r="F158" s="62"/>
      <c r="G158" s="62" t="s">
        <v>26</v>
      </c>
      <c r="H158" s="63"/>
      <c r="I158" s="63"/>
      <c r="J158" s="63"/>
      <c r="K158" s="62"/>
      <c r="L158" s="62"/>
      <c r="M158" s="64" t="str">
        <f ca="1">IF($A158="","",IF($G158="Did not pass re-test","Sent back again",IF($G158="Yes",IF(AND(ISNUMBER($J158),ISNUMBER($B158)),"Fixed in "&amp;($J158-$B158)&amp;" d","Accepted"),IF(SUMPRODUCT(--(TRIM('Combined Delivery Data'!$B$2:$B$500)=TRIM($A158)))=0,"Not on main tab - renamed?",IF(NOT(ISNUMBER($B158)),"Missing or invalid sent-back date",IF($B158&gt;TODAY(),"Sent-back date is in future",IF(ISNUMBER($J158),IF($J158&lt;$B158,"Check dates - fixed before sent","Fixed in "&amp;($J158-$B158)&amp;" d"),IF(AND($I158&lt;&gt;"",NOT(ISNUMBER($I158))),"Check Expected Fix Date",IF($I158="","UNCLAIMED "&amp;(TODAY()-$B158)&amp;" d",IF(TODAY()&gt;$I158,(TODAY()-$I158)&amp;" d LATE","Open "&amp;(TODAY()-$B158)&amp;" d"))))))))))</f>
        <v/>
      </c>
      <c r="O158" s="66">
        <f>'Combined Delivery Data'!B157</f>
        <v>0</v>
      </c>
      <c r="P158" s="66">
        <f t="shared" si="8"/>
        <v>0</v>
      </c>
      <c r="Q158" s="66">
        <f t="shared" si="9"/>
        <v>0</v>
      </c>
      <c r="R158" s="67" t="str">
        <f t="shared" si="10"/>
        <v/>
      </c>
      <c r="S158" s="66" t="str">
        <f t="shared" si="11"/>
        <v/>
      </c>
    </row>
    <row r="159" spans="1:19" x14ac:dyDescent="0.25">
      <c r="A159" s="62"/>
      <c r="B159" s="63"/>
      <c r="C159" s="62" t="s">
        <v>20</v>
      </c>
      <c r="D159" s="62"/>
      <c r="E159" s="62"/>
      <c r="F159" s="62"/>
      <c r="G159" s="62" t="s">
        <v>26</v>
      </c>
      <c r="H159" s="63"/>
      <c r="I159" s="63"/>
      <c r="J159" s="63"/>
      <c r="K159" s="62"/>
      <c r="L159" s="62"/>
      <c r="M159" s="64" t="str">
        <f ca="1">IF($A159="","",IF($G159="Did not pass re-test","Sent back again",IF($G159="Yes",IF(AND(ISNUMBER($J159),ISNUMBER($B159)),"Fixed in "&amp;($J159-$B159)&amp;" d","Accepted"),IF(SUMPRODUCT(--(TRIM('Combined Delivery Data'!$B$2:$B$500)=TRIM($A159)))=0,"Not on main tab - renamed?",IF(NOT(ISNUMBER($B159)),"Missing or invalid sent-back date",IF($B159&gt;TODAY(),"Sent-back date is in future",IF(ISNUMBER($J159),IF($J159&lt;$B159,"Check dates - fixed before sent","Fixed in "&amp;($J159-$B159)&amp;" d"),IF(AND($I159&lt;&gt;"",NOT(ISNUMBER($I159))),"Check Expected Fix Date",IF($I159="","UNCLAIMED "&amp;(TODAY()-$B159)&amp;" d",IF(TODAY()&gt;$I159,(TODAY()-$I159)&amp;" d LATE","Open "&amp;(TODAY()-$B159)&amp;" d"))))))))))</f>
        <v/>
      </c>
      <c r="O159" s="66">
        <f>'Combined Delivery Data'!B158</f>
        <v>0</v>
      </c>
      <c r="P159" s="66">
        <f t="shared" si="8"/>
        <v>0</v>
      </c>
      <c r="Q159" s="66">
        <f t="shared" si="9"/>
        <v>0</v>
      </c>
      <c r="R159" s="67" t="str">
        <f t="shared" si="10"/>
        <v/>
      </c>
      <c r="S159" s="66" t="str">
        <f t="shared" si="11"/>
        <v/>
      </c>
    </row>
    <row r="160" spans="1:19" x14ac:dyDescent="0.25">
      <c r="A160" s="62"/>
      <c r="B160" s="63"/>
      <c r="C160" s="62" t="s">
        <v>20</v>
      </c>
      <c r="D160" s="62"/>
      <c r="E160" s="62"/>
      <c r="F160" s="62"/>
      <c r="G160" s="62" t="s">
        <v>26</v>
      </c>
      <c r="H160" s="63"/>
      <c r="I160" s="63"/>
      <c r="J160" s="63"/>
      <c r="K160" s="62"/>
      <c r="L160" s="62"/>
      <c r="M160" s="64" t="str">
        <f ca="1">IF($A160="","",IF($G160="Did not pass re-test","Sent back again",IF($G160="Yes",IF(AND(ISNUMBER($J160),ISNUMBER($B160)),"Fixed in "&amp;($J160-$B160)&amp;" d","Accepted"),IF(SUMPRODUCT(--(TRIM('Combined Delivery Data'!$B$2:$B$500)=TRIM($A160)))=0,"Not on main tab - renamed?",IF(NOT(ISNUMBER($B160)),"Missing or invalid sent-back date",IF($B160&gt;TODAY(),"Sent-back date is in future",IF(ISNUMBER($J160),IF($J160&lt;$B160,"Check dates - fixed before sent","Fixed in "&amp;($J160-$B160)&amp;" d"),IF(AND($I160&lt;&gt;"",NOT(ISNUMBER($I160))),"Check Expected Fix Date",IF($I160="","UNCLAIMED "&amp;(TODAY()-$B160)&amp;" d",IF(TODAY()&gt;$I160,(TODAY()-$I160)&amp;" d LATE","Open "&amp;(TODAY()-$B160)&amp;" d"))))))))))</f>
        <v/>
      </c>
      <c r="O160" s="66">
        <f>'Combined Delivery Data'!B159</f>
        <v>0</v>
      </c>
      <c r="P160" s="66">
        <f t="shared" si="8"/>
        <v>0</v>
      </c>
      <c r="Q160" s="66">
        <f t="shared" si="9"/>
        <v>0</v>
      </c>
      <c r="R160" s="67" t="str">
        <f t="shared" si="10"/>
        <v/>
      </c>
      <c r="S160" s="66" t="str">
        <f t="shared" si="11"/>
        <v/>
      </c>
    </row>
    <row r="161" spans="1:19" x14ac:dyDescent="0.25">
      <c r="A161" s="62"/>
      <c r="B161" s="63"/>
      <c r="C161" s="62" t="s">
        <v>20</v>
      </c>
      <c r="D161" s="62"/>
      <c r="E161" s="62"/>
      <c r="F161" s="62"/>
      <c r="G161" s="62" t="s">
        <v>26</v>
      </c>
      <c r="H161" s="63"/>
      <c r="I161" s="63"/>
      <c r="J161" s="63"/>
      <c r="K161" s="62"/>
      <c r="L161" s="62"/>
      <c r="M161" s="64" t="str">
        <f ca="1">IF($A161="","",IF($G161="Did not pass re-test","Sent back again",IF($G161="Yes",IF(AND(ISNUMBER($J161),ISNUMBER($B161)),"Fixed in "&amp;($J161-$B161)&amp;" d","Accepted"),IF(SUMPRODUCT(--(TRIM('Combined Delivery Data'!$B$2:$B$500)=TRIM($A161)))=0,"Not on main tab - renamed?",IF(NOT(ISNUMBER($B161)),"Missing or invalid sent-back date",IF($B161&gt;TODAY(),"Sent-back date is in future",IF(ISNUMBER($J161),IF($J161&lt;$B161,"Check dates - fixed before sent","Fixed in "&amp;($J161-$B161)&amp;" d"),IF(AND($I161&lt;&gt;"",NOT(ISNUMBER($I161))),"Check Expected Fix Date",IF($I161="","UNCLAIMED "&amp;(TODAY()-$B161)&amp;" d",IF(TODAY()&gt;$I161,(TODAY()-$I161)&amp;" d LATE","Open "&amp;(TODAY()-$B161)&amp;" d"))))))))))</f>
        <v/>
      </c>
      <c r="O161" s="66">
        <f>'Combined Delivery Data'!B160</f>
        <v>0</v>
      </c>
      <c r="P161" s="66">
        <f t="shared" si="8"/>
        <v>0</v>
      </c>
      <c r="Q161" s="66">
        <f t="shared" si="9"/>
        <v>0</v>
      </c>
      <c r="R161" s="67" t="str">
        <f t="shared" si="10"/>
        <v/>
      </c>
      <c r="S161" s="66" t="str">
        <f t="shared" si="11"/>
        <v/>
      </c>
    </row>
    <row r="162" spans="1:19" x14ac:dyDescent="0.25">
      <c r="A162" s="62"/>
      <c r="B162" s="63"/>
      <c r="C162" s="62" t="s">
        <v>20</v>
      </c>
      <c r="D162" s="62"/>
      <c r="E162" s="62"/>
      <c r="F162" s="62"/>
      <c r="G162" s="62" t="s">
        <v>26</v>
      </c>
      <c r="H162" s="63"/>
      <c r="I162" s="63"/>
      <c r="J162" s="63"/>
      <c r="K162" s="62"/>
      <c r="L162" s="62"/>
      <c r="M162" s="64" t="str">
        <f ca="1">IF($A162="","",IF($G162="Did not pass re-test","Sent back again",IF($G162="Yes",IF(AND(ISNUMBER($J162),ISNUMBER($B162)),"Fixed in "&amp;($J162-$B162)&amp;" d","Accepted"),IF(SUMPRODUCT(--(TRIM('Combined Delivery Data'!$B$2:$B$500)=TRIM($A162)))=0,"Not on main tab - renamed?",IF(NOT(ISNUMBER($B162)),"Missing or invalid sent-back date",IF($B162&gt;TODAY(),"Sent-back date is in future",IF(ISNUMBER($J162),IF($J162&lt;$B162,"Check dates - fixed before sent","Fixed in "&amp;($J162-$B162)&amp;" d"),IF(AND($I162&lt;&gt;"",NOT(ISNUMBER($I162))),"Check Expected Fix Date",IF($I162="","UNCLAIMED "&amp;(TODAY()-$B162)&amp;" d",IF(TODAY()&gt;$I162,(TODAY()-$I162)&amp;" d LATE","Open "&amp;(TODAY()-$B162)&amp;" d"))))))))))</f>
        <v/>
      </c>
      <c r="O162" s="66">
        <f>'Combined Delivery Data'!B161</f>
        <v>0</v>
      </c>
      <c r="P162" s="66">
        <f t="shared" si="8"/>
        <v>0</v>
      </c>
      <c r="Q162" s="66">
        <f t="shared" si="9"/>
        <v>0</v>
      </c>
      <c r="R162" s="67" t="str">
        <f t="shared" si="10"/>
        <v/>
      </c>
      <c r="S162" s="66" t="str">
        <f t="shared" si="11"/>
        <v/>
      </c>
    </row>
    <row r="163" spans="1:19" x14ac:dyDescent="0.25">
      <c r="A163" s="62"/>
      <c r="B163" s="63"/>
      <c r="C163" s="62" t="s">
        <v>20</v>
      </c>
      <c r="D163" s="62"/>
      <c r="E163" s="62"/>
      <c r="F163" s="62"/>
      <c r="G163" s="62" t="s">
        <v>26</v>
      </c>
      <c r="H163" s="63"/>
      <c r="I163" s="63"/>
      <c r="J163" s="63"/>
      <c r="K163" s="62"/>
      <c r="L163" s="62"/>
      <c r="M163" s="64" t="str">
        <f ca="1">IF($A163="","",IF($G163="Did not pass re-test","Sent back again",IF($G163="Yes",IF(AND(ISNUMBER($J163),ISNUMBER($B163)),"Fixed in "&amp;($J163-$B163)&amp;" d","Accepted"),IF(SUMPRODUCT(--(TRIM('Combined Delivery Data'!$B$2:$B$500)=TRIM($A163)))=0,"Not on main tab - renamed?",IF(NOT(ISNUMBER($B163)),"Missing or invalid sent-back date",IF($B163&gt;TODAY(),"Sent-back date is in future",IF(ISNUMBER($J163),IF($J163&lt;$B163,"Check dates - fixed before sent","Fixed in "&amp;($J163-$B163)&amp;" d"),IF(AND($I163&lt;&gt;"",NOT(ISNUMBER($I163))),"Check Expected Fix Date",IF($I163="","UNCLAIMED "&amp;(TODAY()-$B163)&amp;" d",IF(TODAY()&gt;$I163,(TODAY()-$I163)&amp;" d LATE","Open "&amp;(TODAY()-$B163)&amp;" d"))))))))))</f>
        <v/>
      </c>
      <c r="O163" s="66">
        <f>'Combined Delivery Data'!B162</f>
        <v>0</v>
      </c>
      <c r="P163" s="66">
        <f t="shared" si="8"/>
        <v>0</v>
      </c>
      <c r="Q163" s="66">
        <f t="shared" si="9"/>
        <v>0</v>
      </c>
      <c r="R163" s="67" t="str">
        <f t="shared" si="10"/>
        <v/>
      </c>
      <c r="S163" s="66" t="str">
        <f t="shared" si="11"/>
        <v/>
      </c>
    </row>
    <row r="164" spans="1:19" x14ac:dyDescent="0.25">
      <c r="A164" s="62"/>
      <c r="B164" s="63"/>
      <c r="C164" s="62" t="s">
        <v>20</v>
      </c>
      <c r="D164" s="62"/>
      <c r="E164" s="62"/>
      <c r="F164" s="62"/>
      <c r="G164" s="62" t="s">
        <v>26</v>
      </c>
      <c r="H164" s="63"/>
      <c r="I164" s="63"/>
      <c r="J164" s="63"/>
      <c r="K164" s="62"/>
      <c r="L164" s="62"/>
      <c r="M164" s="64" t="str">
        <f ca="1">IF($A164="","",IF($G164="Did not pass re-test","Sent back again",IF($G164="Yes",IF(AND(ISNUMBER($J164),ISNUMBER($B164)),"Fixed in "&amp;($J164-$B164)&amp;" d","Accepted"),IF(SUMPRODUCT(--(TRIM('Combined Delivery Data'!$B$2:$B$500)=TRIM($A164)))=0,"Not on main tab - renamed?",IF(NOT(ISNUMBER($B164)),"Missing or invalid sent-back date",IF($B164&gt;TODAY(),"Sent-back date is in future",IF(ISNUMBER($J164),IF($J164&lt;$B164,"Check dates - fixed before sent","Fixed in "&amp;($J164-$B164)&amp;" d"),IF(AND($I164&lt;&gt;"",NOT(ISNUMBER($I164))),"Check Expected Fix Date",IF($I164="","UNCLAIMED "&amp;(TODAY()-$B164)&amp;" d",IF(TODAY()&gt;$I164,(TODAY()-$I164)&amp;" d LATE","Open "&amp;(TODAY()-$B164)&amp;" d"))))))))))</f>
        <v/>
      </c>
      <c r="O164" s="66">
        <f>'Combined Delivery Data'!B163</f>
        <v>0</v>
      </c>
      <c r="P164" s="66">
        <f t="shared" si="8"/>
        <v>0</v>
      </c>
      <c r="Q164" s="66">
        <f t="shared" si="9"/>
        <v>0</v>
      </c>
      <c r="R164" s="67" t="str">
        <f t="shared" si="10"/>
        <v/>
      </c>
      <c r="S164" s="66" t="str">
        <f t="shared" si="11"/>
        <v/>
      </c>
    </row>
    <row r="165" spans="1:19" x14ac:dyDescent="0.25">
      <c r="A165" s="62"/>
      <c r="B165" s="63"/>
      <c r="C165" s="62" t="s">
        <v>20</v>
      </c>
      <c r="D165" s="62"/>
      <c r="E165" s="62"/>
      <c r="F165" s="62"/>
      <c r="G165" s="62" t="s">
        <v>26</v>
      </c>
      <c r="H165" s="63"/>
      <c r="I165" s="63"/>
      <c r="J165" s="63"/>
      <c r="K165" s="62"/>
      <c r="L165" s="62"/>
      <c r="M165" s="64" t="str">
        <f ca="1">IF($A165="","",IF($G165="Did not pass re-test","Sent back again",IF($G165="Yes",IF(AND(ISNUMBER($J165),ISNUMBER($B165)),"Fixed in "&amp;($J165-$B165)&amp;" d","Accepted"),IF(SUMPRODUCT(--(TRIM('Combined Delivery Data'!$B$2:$B$500)=TRIM($A165)))=0,"Not on main tab - renamed?",IF(NOT(ISNUMBER($B165)),"Missing or invalid sent-back date",IF($B165&gt;TODAY(),"Sent-back date is in future",IF(ISNUMBER($J165),IF($J165&lt;$B165,"Check dates - fixed before sent","Fixed in "&amp;($J165-$B165)&amp;" d"),IF(AND($I165&lt;&gt;"",NOT(ISNUMBER($I165))),"Check Expected Fix Date",IF($I165="","UNCLAIMED "&amp;(TODAY()-$B165)&amp;" d",IF(TODAY()&gt;$I165,(TODAY()-$I165)&amp;" d LATE","Open "&amp;(TODAY()-$B165)&amp;" d"))))))))))</f>
        <v/>
      </c>
      <c r="O165" s="66">
        <f>'Combined Delivery Data'!B164</f>
        <v>0</v>
      </c>
      <c r="P165" s="66">
        <f t="shared" si="8"/>
        <v>0</v>
      </c>
      <c r="Q165" s="66">
        <f t="shared" si="9"/>
        <v>0</v>
      </c>
      <c r="R165" s="67" t="str">
        <f t="shared" si="10"/>
        <v/>
      </c>
      <c r="S165" s="66" t="str">
        <f t="shared" si="11"/>
        <v/>
      </c>
    </row>
    <row r="166" spans="1:19" x14ac:dyDescent="0.25">
      <c r="A166" s="62"/>
      <c r="B166" s="63"/>
      <c r="C166" s="62" t="s">
        <v>20</v>
      </c>
      <c r="D166" s="62"/>
      <c r="E166" s="62"/>
      <c r="F166" s="62"/>
      <c r="G166" s="62" t="s">
        <v>26</v>
      </c>
      <c r="H166" s="63"/>
      <c r="I166" s="63"/>
      <c r="J166" s="63"/>
      <c r="K166" s="62"/>
      <c r="L166" s="62"/>
      <c r="M166" s="64" t="str">
        <f ca="1">IF($A166="","",IF($G166="Did not pass re-test","Sent back again",IF($G166="Yes",IF(AND(ISNUMBER($J166),ISNUMBER($B166)),"Fixed in "&amp;($J166-$B166)&amp;" d","Accepted"),IF(SUMPRODUCT(--(TRIM('Combined Delivery Data'!$B$2:$B$500)=TRIM($A166)))=0,"Not on main tab - renamed?",IF(NOT(ISNUMBER($B166)),"Missing or invalid sent-back date",IF($B166&gt;TODAY(),"Sent-back date is in future",IF(ISNUMBER($J166),IF($J166&lt;$B166,"Check dates - fixed before sent","Fixed in "&amp;($J166-$B166)&amp;" d"),IF(AND($I166&lt;&gt;"",NOT(ISNUMBER($I166))),"Check Expected Fix Date",IF($I166="","UNCLAIMED "&amp;(TODAY()-$B166)&amp;" d",IF(TODAY()&gt;$I166,(TODAY()-$I166)&amp;" d LATE","Open "&amp;(TODAY()-$B166)&amp;" d"))))))))))</f>
        <v/>
      </c>
      <c r="O166" s="66">
        <f>'Combined Delivery Data'!B165</f>
        <v>0</v>
      </c>
      <c r="P166" s="66">
        <f t="shared" si="8"/>
        <v>0</v>
      </c>
      <c r="Q166" s="66">
        <f t="shared" si="9"/>
        <v>0</v>
      </c>
      <c r="R166" s="67" t="str">
        <f t="shared" si="10"/>
        <v/>
      </c>
      <c r="S166" s="66" t="str">
        <f t="shared" si="11"/>
        <v/>
      </c>
    </row>
    <row r="167" spans="1:19" x14ac:dyDescent="0.25">
      <c r="A167" s="62"/>
      <c r="B167" s="63"/>
      <c r="C167" s="62" t="s">
        <v>20</v>
      </c>
      <c r="D167" s="62"/>
      <c r="E167" s="62"/>
      <c r="F167" s="62"/>
      <c r="G167" s="62" t="s">
        <v>26</v>
      </c>
      <c r="H167" s="63"/>
      <c r="I167" s="63"/>
      <c r="J167" s="63"/>
      <c r="K167" s="62"/>
      <c r="L167" s="62"/>
      <c r="M167" s="64" t="str">
        <f ca="1">IF($A167="","",IF($G167="Did not pass re-test","Sent back again",IF($G167="Yes",IF(AND(ISNUMBER($J167),ISNUMBER($B167)),"Fixed in "&amp;($J167-$B167)&amp;" d","Accepted"),IF(SUMPRODUCT(--(TRIM('Combined Delivery Data'!$B$2:$B$500)=TRIM($A167)))=0,"Not on main tab - renamed?",IF(NOT(ISNUMBER($B167)),"Missing or invalid sent-back date",IF($B167&gt;TODAY(),"Sent-back date is in future",IF(ISNUMBER($J167),IF($J167&lt;$B167,"Check dates - fixed before sent","Fixed in "&amp;($J167-$B167)&amp;" d"),IF(AND($I167&lt;&gt;"",NOT(ISNUMBER($I167))),"Check Expected Fix Date",IF($I167="","UNCLAIMED "&amp;(TODAY()-$B167)&amp;" d",IF(TODAY()&gt;$I167,(TODAY()-$I167)&amp;" d LATE","Open "&amp;(TODAY()-$B167)&amp;" d"))))))))))</f>
        <v/>
      </c>
      <c r="O167" s="66">
        <f>'Combined Delivery Data'!B166</f>
        <v>0</v>
      </c>
      <c r="P167" s="66">
        <f t="shared" si="8"/>
        <v>0</v>
      </c>
      <c r="Q167" s="66">
        <f t="shared" si="9"/>
        <v>0</v>
      </c>
      <c r="R167" s="67" t="str">
        <f t="shared" si="10"/>
        <v/>
      </c>
      <c r="S167" s="66" t="str">
        <f t="shared" si="11"/>
        <v/>
      </c>
    </row>
    <row r="168" spans="1:19" x14ac:dyDescent="0.25">
      <c r="A168" s="62"/>
      <c r="B168" s="63"/>
      <c r="C168" s="62" t="s">
        <v>20</v>
      </c>
      <c r="D168" s="62"/>
      <c r="E168" s="62"/>
      <c r="F168" s="62"/>
      <c r="G168" s="62" t="s">
        <v>26</v>
      </c>
      <c r="H168" s="63"/>
      <c r="I168" s="63"/>
      <c r="J168" s="63"/>
      <c r="K168" s="62"/>
      <c r="L168" s="62"/>
      <c r="M168" s="64" t="str">
        <f ca="1">IF($A168="","",IF($G168="Did not pass re-test","Sent back again",IF($G168="Yes",IF(AND(ISNUMBER($J168),ISNUMBER($B168)),"Fixed in "&amp;($J168-$B168)&amp;" d","Accepted"),IF(SUMPRODUCT(--(TRIM('Combined Delivery Data'!$B$2:$B$500)=TRIM($A168)))=0,"Not on main tab - renamed?",IF(NOT(ISNUMBER($B168)),"Missing or invalid sent-back date",IF($B168&gt;TODAY(),"Sent-back date is in future",IF(ISNUMBER($J168),IF($J168&lt;$B168,"Check dates - fixed before sent","Fixed in "&amp;($J168-$B168)&amp;" d"),IF(AND($I168&lt;&gt;"",NOT(ISNUMBER($I168))),"Check Expected Fix Date",IF($I168="","UNCLAIMED "&amp;(TODAY()-$B168)&amp;" d",IF(TODAY()&gt;$I168,(TODAY()-$I168)&amp;" d LATE","Open "&amp;(TODAY()-$B168)&amp;" d"))))))))))</f>
        <v/>
      </c>
      <c r="O168" s="66">
        <f>'Combined Delivery Data'!B167</f>
        <v>0</v>
      </c>
      <c r="P168" s="66">
        <f t="shared" si="8"/>
        <v>0</v>
      </c>
      <c r="Q168" s="66">
        <f t="shared" si="9"/>
        <v>0</v>
      </c>
      <c r="R168" s="67" t="str">
        <f t="shared" si="10"/>
        <v/>
      </c>
      <c r="S168" s="66" t="str">
        <f t="shared" si="11"/>
        <v/>
      </c>
    </row>
    <row r="169" spans="1:19" x14ac:dyDescent="0.25">
      <c r="A169" s="62"/>
      <c r="B169" s="63"/>
      <c r="C169" s="62" t="s">
        <v>20</v>
      </c>
      <c r="D169" s="62"/>
      <c r="E169" s="62"/>
      <c r="F169" s="62"/>
      <c r="G169" s="62" t="s">
        <v>26</v>
      </c>
      <c r="H169" s="63"/>
      <c r="I169" s="63"/>
      <c r="J169" s="63"/>
      <c r="K169" s="62"/>
      <c r="L169" s="62"/>
      <c r="M169" s="64" t="str">
        <f ca="1">IF($A169="","",IF($G169="Did not pass re-test","Sent back again",IF($G169="Yes",IF(AND(ISNUMBER($J169),ISNUMBER($B169)),"Fixed in "&amp;($J169-$B169)&amp;" d","Accepted"),IF(SUMPRODUCT(--(TRIM('Combined Delivery Data'!$B$2:$B$500)=TRIM($A169)))=0,"Not on main tab - renamed?",IF(NOT(ISNUMBER($B169)),"Missing or invalid sent-back date",IF($B169&gt;TODAY(),"Sent-back date is in future",IF(ISNUMBER($J169),IF($J169&lt;$B169,"Check dates - fixed before sent","Fixed in "&amp;($J169-$B169)&amp;" d"),IF(AND($I169&lt;&gt;"",NOT(ISNUMBER($I169))),"Check Expected Fix Date",IF($I169="","UNCLAIMED "&amp;(TODAY()-$B169)&amp;" d",IF(TODAY()&gt;$I169,(TODAY()-$I169)&amp;" d LATE","Open "&amp;(TODAY()-$B169)&amp;" d"))))))))))</f>
        <v/>
      </c>
      <c r="O169" s="66">
        <f>'Combined Delivery Data'!B168</f>
        <v>0</v>
      </c>
      <c r="P169" s="66">
        <f t="shared" si="8"/>
        <v>0</v>
      </c>
      <c r="Q169" s="66">
        <f t="shared" si="9"/>
        <v>0</v>
      </c>
      <c r="R169" s="67" t="str">
        <f t="shared" si="10"/>
        <v/>
      </c>
      <c r="S169" s="66" t="str">
        <f t="shared" si="11"/>
        <v/>
      </c>
    </row>
    <row r="170" spans="1:19" x14ac:dyDescent="0.25">
      <c r="A170" s="62"/>
      <c r="B170" s="63"/>
      <c r="C170" s="62" t="s">
        <v>20</v>
      </c>
      <c r="D170" s="62"/>
      <c r="E170" s="62"/>
      <c r="F170" s="62"/>
      <c r="G170" s="62" t="s">
        <v>26</v>
      </c>
      <c r="H170" s="63"/>
      <c r="I170" s="63"/>
      <c r="J170" s="63"/>
      <c r="K170" s="62"/>
      <c r="L170" s="62"/>
      <c r="M170" s="64" t="str">
        <f ca="1">IF($A170="","",IF($G170="Did not pass re-test","Sent back again",IF($G170="Yes",IF(AND(ISNUMBER($J170),ISNUMBER($B170)),"Fixed in "&amp;($J170-$B170)&amp;" d","Accepted"),IF(SUMPRODUCT(--(TRIM('Combined Delivery Data'!$B$2:$B$500)=TRIM($A170)))=0,"Not on main tab - renamed?",IF(NOT(ISNUMBER($B170)),"Missing or invalid sent-back date",IF($B170&gt;TODAY(),"Sent-back date is in future",IF(ISNUMBER($J170),IF($J170&lt;$B170,"Check dates - fixed before sent","Fixed in "&amp;($J170-$B170)&amp;" d"),IF(AND($I170&lt;&gt;"",NOT(ISNUMBER($I170))),"Check Expected Fix Date",IF($I170="","UNCLAIMED "&amp;(TODAY()-$B170)&amp;" d",IF(TODAY()&gt;$I170,(TODAY()-$I170)&amp;" d LATE","Open "&amp;(TODAY()-$B170)&amp;" d"))))))))))</f>
        <v/>
      </c>
      <c r="O170" s="66">
        <f>'Combined Delivery Data'!B169</f>
        <v>0</v>
      </c>
      <c r="P170" s="66">
        <f t="shared" si="8"/>
        <v>0</v>
      </c>
      <c r="Q170" s="66">
        <f t="shared" si="9"/>
        <v>0</v>
      </c>
      <c r="R170" s="67" t="str">
        <f t="shared" si="10"/>
        <v/>
      </c>
      <c r="S170" s="66" t="str">
        <f t="shared" si="11"/>
        <v/>
      </c>
    </row>
    <row r="171" spans="1:19" x14ac:dyDescent="0.25">
      <c r="A171" s="62"/>
      <c r="B171" s="63"/>
      <c r="C171" s="62" t="s">
        <v>20</v>
      </c>
      <c r="D171" s="62"/>
      <c r="E171" s="62"/>
      <c r="F171" s="62"/>
      <c r="G171" s="62" t="s">
        <v>26</v>
      </c>
      <c r="H171" s="63"/>
      <c r="I171" s="63"/>
      <c r="J171" s="63"/>
      <c r="K171" s="62"/>
      <c r="L171" s="62"/>
      <c r="M171" s="64" t="str">
        <f ca="1">IF($A171="","",IF($G171="Did not pass re-test","Sent back again",IF($G171="Yes",IF(AND(ISNUMBER($J171),ISNUMBER($B171)),"Fixed in "&amp;($J171-$B171)&amp;" d","Accepted"),IF(SUMPRODUCT(--(TRIM('Combined Delivery Data'!$B$2:$B$500)=TRIM($A171)))=0,"Not on main tab - renamed?",IF(NOT(ISNUMBER($B171)),"Missing or invalid sent-back date",IF($B171&gt;TODAY(),"Sent-back date is in future",IF(ISNUMBER($J171),IF($J171&lt;$B171,"Check dates - fixed before sent","Fixed in "&amp;($J171-$B171)&amp;" d"),IF(AND($I171&lt;&gt;"",NOT(ISNUMBER($I171))),"Check Expected Fix Date",IF($I171="","UNCLAIMED "&amp;(TODAY()-$B171)&amp;" d",IF(TODAY()&gt;$I171,(TODAY()-$I171)&amp;" d LATE","Open "&amp;(TODAY()-$B171)&amp;" d"))))))))))</f>
        <v/>
      </c>
      <c r="O171" s="66">
        <f>'Combined Delivery Data'!B170</f>
        <v>0</v>
      </c>
      <c r="P171" s="66">
        <f t="shared" si="8"/>
        <v>0</v>
      </c>
      <c r="Q171" s="66">
        <f t="shared" si="9"/>
        <v>0</v>
      </c>
      <c r="R171" s="67" t="str">
        <f t="shared" si="10"/>
        <v/>
      </c>
      <c r="S171" s="66" t="str">
        <f t="shared" si="11"/>
        <v/>
      </c>
    </row>
    <row r="172" spans="1:19" x14ac:dyDescent="0.25">
      <c r="A172" s="62"/>
      <c r="B172" s="63"/>
      <c r="C172" s="62" t="s">
        <v>20</v>
      </c>
      <c r="D172" s="62"/>
      <c r="E172" s="62"/>
      <c r="F172" s="62"/>
      <c r="G172" s="62" t="s">
        <v>26</v>
      </c>
      <c r="H172" s="63"/>
      <c r="I172" s="63"/>
      <c r="J172" s="63"/>
      <c r="K172" s="62"/>
      <c r="L172" s="62"/>
      <c r="M172" s="64" t="str">
        <f ca="1">IF($A172="","",IF($G172="Did not pass re-test","Sent back again",IF($G172="Yes",IF(AND(ISNUMBER($J172),ISNUMBER($B172)),"Fixed in "&amp;($J172-$B172)&amp;" d","Accepted"),IF(SUMPRODUCT(--(TRIM('Combined Delivery Data'!$B$2:$B$500)=TRIM($A172)))=0,"Not on main tab - renamed?",IF(NOT(ISNUMBER($B172)),"Missing or invalid sent-back date",IF($B172&gt;TODAY(),"Sent-back date is in future",IF(ISNUMBER($J172),IF($J172&lt;$B172,"Check dates - fixed before sent","Fixed in "&amp;($J172-$B172)&amp;" d"),IF(AND($I172&lt;&gt;"",NOT(ISNUMBER($I172))),"Check Expected Fix Date",IF($I172="","UNCLAIMED "&amp;(TODAY()-$B172)&amp;" d",IF(TODAY()&gt;$I172,(TODAY()-$I172)&amp;" d LATE","Open "&amp;(TODAY()-$B172)&amp;" d"))))))))))</f>
        <v/>
      </c>
      <c r="O172" s="66">
        <f>'Combined Delivery Data'!B171</f>
        <v>0</v>
      </c>
      <c r="P172" s="66">
        <f t="shared" si="8"/>
        <v>0</v>
      </c>
      <c r="Q172" s="66">
        <f t="shared" si="9"/>
        <v>0</v>
      </c>
      <c r="R172" s="67" t="str">
        <f t="shared" si="10"/>
        <v/>
      </c>
      <c r="S172" s="66" t="str">
        <f t="shared" si="11"/>
        <v/>
      </c>
    </row>
    <row r="173" spans="1:19" x14ac:dyDescent="0.25">
      <c r="A173" s="62"/>
      <c r="B173" s="63"/>
      <c r="C173" s="62" t="s">
        <v>20</v>
      </c>
      <c r="D173" s="62"/>
      <c r="E173" s="62"/>
      <c r="F173" s="62"/>
      <c r="G173" s="62" t="s">
        <v>26</v>
      </c>
      <c r="H173" s="63"/>
      <c r="I173" s="63"/>
      <c r="J173" s="63"/>
      <c r="K173" s="62"/>
      <c r="L173" s="62"/>
      <c r="M173" s="64" t="str">
        <f ca="1">IF($A173="","",IF($G173="Did not pass re-test","Sent back again",IF($G173="Yes",IF(AND(ISNUMBER($J173),ISNUMBER($B173)),"Fixed in "&amp;($J173-$B173)&amp;" d","Accepted"),IF(SUMPRODUCT(--(TRIM('Combined Delivery Data'!$B$2:$B$500)=TRIM($A173)))=0,"Not on main tab - renamed?",IF(NOT(ISNUMBER($B173)),"Missing or invalid sent-back date",IF($B173&gt;TODAY(),"Sent-back date is in future",IF(ISNUMBER($J173),IF($J173&lt;$B173,"Check dates - fixed before sent","Fixed in "&amp;($J173-$B173)&amp;" d"),IF(AND($I173&lt;&gt;"",NOT(ISNUMBER($I173))),"Check Expected Fix Date",IF($I173="","UNCLAIMED "&amp;(TODAY()-$B173)&amp;" d",IF(TODAY()&gt;$I173,(TODAY()-$I173)&amp;" d LATE","Open "&amp;(TODAY()-$B173)&amp;" d"))))))))))</f>
        <v/>
      </c>
      <c r="O173" s="66">
        <f>'Combined Delivery Data'!B172</f>
        <v>0</v>
      </c>
      <c r="P173" s="66">
        <f t="shared" si="8"/>
        <v>0</v>
      </c>
      <c r="Q173" s="66">
        <f t="shared" si="9"/>
        <v>0</v>
      </c>
      <c r="R173" s="67" t="str">
        <f t="shared" si="10"/>
        <v/>
      </c>
      <c r="S173" s="66" t="str">
        <f t="shared" si="11"/>
        <v/>
      </c>
    </row>
    <row r="174" spans="1:19" x14ac:dyDescent="0.25">
      <c r="A174" s="62"/>
      <c r="B174" s="63"/>
      <c r="C174" s="62" t="s">
        <v>20</v>
      </c>
      <c r="D174" s="62"/>
      <c r="E174" s="62"/>
      <c r="F174" s="62"/>
      <c r="G174" s="62" t="s">
        <v>26</v>
      </c>
      <c r="H174" s="63"/>
      <c r="I174" s="63"/>
      <c r="J174" s="63"/>
      <c r="K174" s="62"/>
      <c r="L174" s="62"/>
      <c r="M174" s="64" t="str">
        <f ca="1">IF($A174="","",IF($G174="Did not pass re-test","Sent back again",IF($G174="Yes",IF(AND(ISNUMBER($J174),ISNUMBER($B174)),"Fixed in "&amp;($J174-$B174)&amp;" d","Accepted"),IF(SUMPRODUCT(--(TRIM('Combined Delivery Data'!$B$2:$B$500)=TRIM($A174)))=0,"Not on main tab - renamed?",IF(NOT(ISNUMBER($B174)),"Missing or invalid sent-back date",IF($B174&gt;TODAY(),"Sent-back date is in future",IF(ISNUMBER($J174),IF($J174&lt;$B174,"Check dates - fixed before sent","Fixed in "&amp;($J174-$B174)&amp;" d"),IF(AND($I174&lt;&gt;"",NOT(ISNUMBER($I174))),"Check Expected Fix Date",IF($I174="","UNCLAIMED "&amp;(TODAY()-$B174)&amp;" d",IF(TODAY()&gt;$I174,(TODAY()-$I174)&amp;" d LATE","Open "&amp;(TODAY()-$B174)&amp;" d"))))))))))</f>
        <v/>
      </c>
      <c r="O174" s="66">
        <f>'Combined Delivery Data'!B173</f>
        <v>0</v>
      </c>
      <c r="P174" s="66">
        <f t="shared" si="8"/>
        <v>0</v>
      </c>
      <c r="Q174" s="66">
        <f t="shared" si="9"/>
        <v>0</v>
      </c>
      <c r="R174" s="67" t="str">
        <f t="shared" si="10"/>
        <v/>
      </c>
      <c r="S174" s="66" t="str">
        <f t="shared" si="11"/>
        <v/>
      </c>
    </row>
    <row r="175" spans="1:19" x14ac:dyDescent="0.25">
      <c r="A175" s="62"/>
      <c r="B175" s="63"/>
      <c r="C175" s="62" t="s">
        <v>20</v>
      </c>
      <c r="D175" s="62"/>
      <c r="E175" s="62"/>
      <c r="F175" s="62"/>
      <c r="G175" s="62" t="s">
        <v>26</v>
      </c>
      <c r="H175" s="63"/>
      <c r="I175" s="63"/>
      <c r="J175" s="63"/>
      <c r="K175" s="62"/>
      <c r="L175" s="62"/>
      <c r="M175" s="64" t="str">
        <f ca="1">IF($A175="","",IF($G175="Did not pass re-test","Sent back again",IF($G175="Yes",IF(AND(ISNUMBER($J175),ISNUMBER($B175)),"Fixed in "&amp;($J175-$B175)&amp;" d","Accepted"),IF(SUMPRODUCT(--(TRIM('Combined Delivery Data'!$B$2:$B$500)=TRIM($A175)))=0,"Not on main tab - renamed?",IF(NOT(ISNUMBER($B175)),"Missing or invalid sent-back date",IF($B175&gt;TODAY(),"Sent-back date is in future",IF(ISNUMBER($J175),IF($J175&lt;$B175,"Check dates - fixed before sent","Fixed in "&amp;($J175-$B175)&amp;" d"),IF(AND($I175&lt;&gt;"",NOT(ISNUMBER($I175))),"Check Expected Fix Date",IF($I175="","UNCLAIMED "&amp;(TODAY()-$B175)&amp;" d",IF(TODAY()&gt;$I175,(TODAY()-$I175)&amp;" d LATE","Open "&amp;(TODAY()-$B175)&amp;" d"))))))))))</f>
        <v/>
      </c>
      <c r="O175" s="66">
        <f>'Combined Delivery Data'!B174</f>
        <v>0</v>
      </c>
      <c r="P175" s="66">
        <f t="shared" si="8"/>
        <v>0</v>
      </c>
      <c r="Q175" s="66">
        <f t="shared" si="9"/>
        <v>0</v>
      </c>
      <c r="R175" s="67" t="str">
        <f t="shared" si="10"/>
        <v/>
      </c>
      <c r="S175" s="66" t="str">
        <f t="shared" si="11"/>
        <v/>
      </c>
    </row>
    <row r="176" spans="1:19" x14ac:dyDescent="0.25">
      <c r="A176" s="62"/>
      <c r="B176" s="63"/>
      <c r="C176" s="62" t="s">
        <v>20</v>
      </c>
      <c r="D176" s="62"/>
      <c r="E176" s="62"/>
      <c r="F176" s="62"/>
      <c r="G176" s="62" t="s">
        <v>26</v>
      </c>
      <c r="H176" s="63"/>
      <c r="I176" s="63"/>
      <c r="J176" s="63"/>
      <c r="K176" s="62"/>
      <c r="L176" s="62"/>
      <c r="M176" s="64" t="str">
        <f ca="1">IF($A176="","",IF($G176="Did not pass re-test","Sent back again",IF($G176="Yes",IF(AND(ISNUMBER($J176),ISNUMBER($B176)),"Fixed in "&amp;($J176-$B176)&amp;" d","Accepted"),IF(SUMPRODUCT(--(TRIM('Combined Delivery Data'!$B$2:$B$500)=TRIM($A176)))=0,"Not on main tab - renamed?",IF(NOT(ISNUMBER($B176)),"Missing or invalid sent-back date",IF($B176&gt;TODAY(),"Sent-back date is in future",IF(ISNUMBER($J176),IF($J176&lt;$B176,"Check dates - fixed before sent","Fixed in "&amp;($J176-$B176)&amp;" d"),IF(AND($I176&lt;&gt;"",NOT(ISNUMBER($I176))),"Check Expected Fix Date",IF($I176="","UNCLAIMED "&amp;(TODAY()-$B176)&amp;" d",IF(TODAY()&gt;$I176,(TODAY()-$I176)&amp;" d LATE","Open "&amp;(TODAY()-$B176)&amp;" d"))))))))))</f>
        <v/>
      </c>
      <c r="O176" s="66">
        <f>'Combined Delivery Data'!B175</f>
        <v>0</v>
      </c>
      <c r="P176" s="66">
        <f t="shared" si="8"/>
        <v>0</v>
      </c>
      <c r="Q176" s="66">
        <f t="shared" si="9"/>
        <v>0</v>
      </c>
      <c r="R176" s="67" t="str">
        <f t="shared" si="10"/>
        <v/>
      </c>
      <c r="S176" s="66" t="str">
        <f t="shared" si="11"/>
        <v/>
      </c>
    </row>
    <row r="177" spans="1:19" x14ac:dyDescent="0.25">
      <c r="A177" s="62"/>
      <c r="B177" s="63"/>
      <c r="C177" s="62" t="s">
        <v>20</v>
      </c>
      <c r="D177" s="62"/>
      <c r="E177" s="62"/>
      <c r="F177" s="62"/>
      <c r="G177" s="62" t="s">
        <v>26</v>
      </c>
      <c r="H177" s="63"/>
      <c r="I177" s="63"/>
      <c r="J177" s="63"/>
      <c r="K177" s="62"/>
      <c r="L177" s="62"/>
      <c r="M177" s="64" t="str">
        <f ca="1">IF($A177="","",IF($G177="Did not pass re-test","Sent back again",IF($G177="Yes",IF(AND(ISNUMBER($J177),ISNUMBER($B177)),"Fixed in "&amp;($J177-$B177)&amp;" d","Accepted"),IF(SUMPRODUCT(--(TRIM('Combined Delivery Data'!$B$2:$B$500)=TRIM($A177)))=0,"Not on main tab - renamed?",IF(NOT(ISNUMBER($B177)),"Missing or invalid sent-back date",IF($B177&gt;TODAY(),"Sent-back date is in future",IF(ISNUMBER($J177),IF($J177&lt;$B177,"Check dates - fixed before sent","Fixed in "&amp;($J177-$B177)&amp;" d"),IF(AND($I177&lt;&gt;"",NOT(ISNUMBER($I177))),"Check Expected Fix Date",IF($I177="","UNCLAIMED "&amp;(TODAY()-$B177)&amp;" d",IF(TODAY()&gt;$I177,(TODAY()-$I177)&amp;" d LATE","Open "&amp;(TODAY()-$B177)&amp;" d"))))))))))</f>
        <v/>
      </c>
      <c r="O177" s="66">
        <f>'Combined Delivery Data'!B176</f>
        <v>0</v>
      </c>
      <c r="P177" s="66">
        <f t="shared" si="8"/>
        <v>0</v>
      </c>
      <c r="Q177" s="66">
        <f t="shared" si="9"/>
        <v>0</v>
      </c>
      <c r="R177" s="67" t="str">
        <f t="shared" si="10"/>
        <v/>
      </c>
      <c r="S177" s="66" t="str">
        <f t="shared" si="11"/>
        <v/>
      </c>
    </row>
    <row r="178" spans="1:19" x14ac:dyDescent="0.25">
      <c r="A178" s="62"/>
      <c r="B178" s="63"/>
      <c r="C178" s="62" t="s">
        <v>20</v>
      </c>
      <c r="D178" s="62"/>
      <c r="E178" s="62"/>
      <c r="F178" s="62"/>
      <c r="G178" s="62" t="s">
        <v>26</v>
      </c>
      <c r="H178" s="63"/>
      <c r="I178" s="63"/>
      <c r="J178" s="63"/>
      <c r="K178" s="62"/>
      <c r="L178" s="62"/>
      <c r="M178" s="64" t="str">
        <f ca="1">IF($A178="","",IF($G178="Did not pass re-test","Sent back again",IF($G178="Yes",IF(AND(ISNUMBER($J178),ISNUMBER($B178)),"Fixed in "&amp;($J178-$B178)&amp;" d","Accepted"),IF(SUMPRODUCT(--(TRIM('Combined Delivery Data'!$B$2:$B$500)=TRIM($A178)))=0,"Not on main tab - renamed?",IF(NOT(ISNUMBER($B178)),"Missing or invalid sent-back date",IF($B178&gt;TODAY(),"Sent-back date is in future",IF(ISNUMBER($J178),IF($J178&lt;$B178,"Check dates - fixed before sent","Fixed in "&amp;($J178-$B178)&amp;" d"),IF(AND($I178&lt;&gt;"",NOT(ISNUMBER($I178))),"Check Expected Fix Date",IF($I178="","UNCLAIMED "&amp;(TODAY()-$B178)&amp;" d",IF(TODAY()&gt;$I178,(TODAY()-$I178)&amp;" d LATE","Open "&amp;(TODAY()-$B178)&amp;" d"))))))))))</f>
        <v/>
      </c>
      <c r="O178" s="66">
        <f>'Combined Delivery Data'!B177</f>
        <v>0</v>
      </c>
      <c r="P178" s="66">
        <f t="shared" si="8"/>
        <v>0</v>
      </c>
      <c r="Q178" s="66">
        <f t="shared" si="9"/>
        <v>0</v>
      </c>
      <c r="R178" s="67" t="str">
        <f t="shared" si="10"/>
        <v/>
      </c>
      <c r="S178" s="66" t="str">
        <f t="shared" si="11"/>
        <v/>
      </c>
    </row>
    <row r="179" spans="1:19" x14ac:dyDescent="0.25">
      <c r="A179" s="62"/>
      <c r="B179" s="63"/>
      <c r="C179" s="62" t="s">
        <v>20</v>
      </c>
      <c r="D179" s="62"/>
      <c r="E179" s="62"/>
      <c r="F179" s="62"/>
      <c r="G179" s="62" t="s">
        <v>26</v>
      </c>
      <c r="H179" s="63"/>
      <c r="I179" s="63"/>
      <c r="J179" s="63"/>
      <c r="K179" s="62"/>
      <c r="L179" s="62"/>
      <c r="M179" s="64" t="str">
        <f ca="1">IF($A179="","",IF($G179="Did not pass re-test","Sent back again",IF($G179="Yes",IF(AND(ISNUMBER($J179),ISNUMBER($B179)),"Fixed in "&amp;($J179-$B179)&amp;" d","Accepted"),IF(SUMPRODUCT(--(TRIM('Combined Delivery Data'!$B$2:$B$500)=TRIM($A179)))=0,"Not on main tab - renamed?",IF(NOT(ISNUMBER($B179)),"Missing or invalid sent-back date",IF($B179&gt;TODAY(),"Sent-back date is in future",IF(ISNUMBER($J179),IF($J179&lt;$B179,"Check dates - fixed before sent","Fixed in "&amp;($J179-$B179)&amp;" d"),IF(AND($I179&lt;&gt;"",NOT(ISNUMBER($I179))),"Check Expected Fix Date",IF($I179="","UNCLAIMED "&amp;(TODAY()-$B179)&amp;" d",IF(TODAY()&gt;$I179,(TODAY()-$I179)&amp;" d LATE","Open "&amp;(TODAY()-$B179)&amp;" d"))))))))))</f>
        <v/>
      </c>
      <c r="O179" s="66">
        <f>'Combined Delivery Data'!B178</f>
        <v>0</v>
      </c>
      <c r="P179" s="66">
        <f t="shared" si="8"/>
        <v>0</v>
      </c>
      <c r="Q179" s="66">
        <f t="shared" si="9"/>
        <v>0</v>
      </c>
      <c r="R179" s="67" t="str">
        <f t="shared" si="10"/>
        <v/>
      </c>
      <c r="S179" s="66" t="str">
        <f t="shared" si="11"/>
        <v/>
      </c>
    </row>
    <row r="180" spans="1:19" x14ac:dyDescent="0.25">
      <c r="A180" s="62"/>
      <c r="B180" s="63"/>
      <c r="C180" s="62" t="s">
        <v>20</v>
      </c>
      <c r="D180" s="62"/>
      <c r="E180" s="62"/>
      <c r="F180" s="62"/>
      <c r="G180" s="62" t="s">
        <v>26</v>
      </c>
      <c r="H180" s="63"/>
      <c r="I180" s="63"/>
      <c r="J180" s="63"/>
      <c r="K180" s="62"/>
      <c r="L180" s="62"/>
      <c r="M180" s="64" t="str">
        <f ca="1">IF($A180="","",IF($G180="Did not pass re-test","Sent back again",IF($G180="Yes",IF(AND(ISNUMBER($J180),ISNUMBER($B180)),"Fixed in "&amp;($J180-$B180)&amp;" d","Accepted"),IF(SUMPRODUCT(--(TRIM('Combined Delivery Data'!$B$2:$B$500)=TRIM($A180)))=0,"Not on main tab - renamed?",IF(NOT(ISNUMBER($B180)),"Missing or invalid sent-back date",IF($B180&gt;TODAY(),"Sent-back date is in future",IF(ISNUMBER($J180),IF($J180&lt;$B180,"Check dates - fixed before sent","Fixed in "&amp;($J180-$B180)&amp;" d"),IF(AND($I180&lt;&gt;"",NOT(ISNUMBER($I180))),"Check Expected Fix Date",IF($I180="","UNCLAIMED "&amp;(TODAY()-$B180)&amp;" d",IF(TODAY()&gt;$I180,(TODAY()-$I180)&amp;" d LATE","Open "&amp;(TODAY()-$B180)&amp;" d"))))))))))</f>
        <v/>
      </c>
      <c r="O180" s="66">
        <f>'Combined Delivery Data'!B179</f>
        <v>0</v>
      </c>
      <c r="P180" s="66">
        <f t="shared" si="8"/>
        <v>0</v>
      </c>
      <c r="Q180" s="66">
        <f t="shared" si="9"/>
        <v>0</v>
      </c>
      <c r="R180" s="67" t="str">
        <f t="shared" si="10"/>
        <v/>
      </c>
      <c r="S180" s="66" t="str">
        <f t="shared" si="11"/>
        <v/>
      </c>
    </row>
    <row r="181" spans="1:19" x14ac:dyDescent="0.25">
      <c r="A181" s="62"/>
      <c r="B181" s="63"/>
      <c r="C181" s="62" t="s">
        <v>20</v>
      </c>
      <c r="D181" s="62"/>
      <c r="E181" s="62"/>
      <c r="F181" s="62"/>
      <c r="G181" s="62" t="s">
        <v>26</v>
      </c>
      <c r="H181" s="63"/>
      <c r="I181" s="63"/>
      <c r="J181" s="63"/>
      <c r="K181" s="62"/>
      <c r="L181" s="62"/>
      <c r="M181" s="64" t="str">
        <f ca="1">IF($A181="","",IF($G181="Did not pass re-test","Sent back again",IF($G181="Yes",IF(AND(ISNUMBER($J181),ISNUMBER($B181)),"Fixed in "&amp;($J181-$B181)&amp;" d","Accepted"),IF(SUMPRODUCT(--(TRIM('Combined Delivery Data'!$B$2:$B$500)=TRIM($A181)))=0,"Not on main tab - renamed?",IF(NOT(ISNUMBER($B181)),"Missing or invalid sent-back date",IF($B181&gt;TODAY(),"Sent-back date is in future",IF(ISNUMBER($J181),IF($J181&lt;$B181,"Check dates - fixed before sent","Fixed in "&amp;($J181-$B181)&amp;" d"),IF(AND($I181&lt;&gt;"",NOT(ISNUMBER($I181))),"Check Expected Fix Date",IF($I181="","UNCLAIMED "&amp;(TODAY()-$B181)&amp;" d",IF(TODAY()&gt;$I181,(TODAY()-$I181)&amp;" d LATE","Open "&amp;(TODAY()-$B181)&amp;" d"))))))))))</f>
        <v/>
      </c>
      <c r="O181" s="66">
        <f>'Combined Delivery Data'!B180</f>
        <v>0</v>
      </c>
      <c r="P181" s="66">
        <f t="shared" si="8"/>
        <v>0</v>
      </c>
      <c r="Q181" s="66">
        <f t="shared" si="9"/>
        <v>0</v>
      </c>
      <c r="R181" s="67" t="str">
        <f t="shared" si="10"/>
        <v/>
      </c>
      <c r="S181" s="66" t="str">
        <f t="shared" si="11"/>
        <v/>
      </c>
    </row>
    <row r="182" spans="1:19" x14ac:dyDescent="0.25">
      <c r="A182" s="62"/>
      <c r="B182" s="63"/>
      <c r="C182" s="62" t="s">
        <v>20</v>
      </c>
      <c r="D182" s="62"/>
      <c r="E182" s="62"/>
      <c r="F182" s="62"/>
      <c r="G182" s="62" t="s">
        <v>26</v>
      </c>
      <c r="H182" s="63"/>
      <c r="I182" s="63"/>
      <c r="J182" s="63"/>
      <c r="K182" s="62"/>
      <c r="L182" s="62"/>
      <c r="M182" s="64" t="str">
        <f ca="1">IF($A182="","",IF($G182="Did not pass re-test","Sent back again",IF($G182="Yes",IF(AND(ISNUMBER($J182),ISNUMBER($B182)),"Fixed in "&amp;($J182-$B182)&amp;" d","Accepted"),IF(SUMPRODUCT(--(TRIM('Combined Delivery Data'!$B$2:$B$500)=TRIM($A182)))=0,"Not on main tab - renamed?",IF(NOT(ISNUMBER($B182)),"Missing or invalid sent-back date",IF($B182&gt;TODAY(),"Sent-back date is in future",IF(ISNUMBER($J182),IF($J182&lt;$B182,"Check dates - fixed before sent","Fixed in "&amp;($J182-$B182)&amp;" d"),IF(AND($I182&lt;&gt;"",NOT(ISNUMBER($I182))),"Check Expected Fix Date",IF($I182="","UNCLAIMED "&amp;(TODAY()-$B182)&amp;" d",IF(TODAY()&gt;$I182,(TODAY()-$I182)&amp;" d LATE","Open "&amp;(TODAY()-$B182)&amp;" d"))))))))))</f>
        <v/>
      </c>
      <c r="O182" s="66">
        <f>'Combined Delivery Data'!B181</f>
        <v>0</v>
      </c>
      <c r="P182" s="66">
        <f t="shared" si="8"/>
        <v>0</v>
      </c>
      <c r="Q182" s="66">
        <f t="shared" si="9"/>
        <v>0</v>
      </c>
      <c r="R182" s="67" t="str">
        <f t="shared" si="10"/>
        <v/>
      </c>
      <c r="S182" s="66" t="str">
        <f t="shared" si="11"/>
        <v/>
      </c>
    </row>
    <row r="183" spans="1:19" x14ac:dyDescent="0.25">
      <c r="A183" s="62"/>
      <c r="B183" s="63"/>
      <c r="C183" s="62" t="s">
        <v>20</v>
      </c>
      <c r="D183" s="62"/>
      <c r="E183" s="62"/>
      <c r="F183" s="62"/>
      <c r="G183" s="62" t="s">
        <v>26</v>
      </c>
      <c r="H183" s="63"/>
      <c r="I183" s="63"/>
      <c r="J183" s="63"/>
      <c r="K183" s="62"/>
      <c r="L183" s="62"/>
      <c r="M183" s="64" t="str">
        <f ca="1">IF($A183="","",IF($G183="Did not pass re-test","Sent back again",IF($G183="Yes",IF(AND(ISNUMBER($J183),ISNUMBER($B183)),"Fixed in "&amp;($J183-$B183)&amp;" d","Accepted"),IF(SUMPRODUCT(--(TRIM('Combined Delivery Data'!$B$2:$B$500)=TRIM($A183)))=0,"Not on main tab - renamed?",IF(NOT(ISNUMBER($B183)),"Missing or invalid sent-back date",IF($B183&gt;TODAY(),"Sent-back date is in future",IF(ISNUMBER($J183),IF($J183&lt;$B183,"Check dates - fixed before sent","Fixed in "&amp;($J183-$B183)&amp;" d"),IF(AND($I183&lt;&gt;"",NOT(ISNUMBER($I183))),"Check Expected Fix Date",IF($I183="","UNCLAIMED "&amp;(TODAY()-$B183)&amp;" d",IF(TODAY()&gt;$I183,(TODAY()-$I183)&amp;" d LATE","Open "&amp;(TODAY()-$B183)&amp;" d"))))))))))</f>
        <v/>
      </c>
      <c r="O183" s="66">
        <f>'Combined Delivery Data'!B182</f>
        <v>0</v>
      </c>
      <c r="P183" s="66">
        <f t="shared" si="8"/>
        <v>0</v>
      </c>
      <c r="Q183" s="66">
        <f t="shared" si="9"/>
        <v>0</v>
      </c>
      <c r="R183" s="67" t="str">
        <f t="shared" si="10"/>
        <v/>
      </c>
      <c r="S183" s="66" t="str">
        <f t="shared" si="11"/>
        <v/>
      </c>
    </row>
    <row r="184" spans="1:19" x14ac:dyDescent="0.25">
      <c r="A184" s="62"/>
      <c r="B184" s="63"/>
      <c r="C184" s="62" t="s">
        <v>20</v>
      </c>
      <c r="D184" s="62"/>
      <c r="E184" s="62"/>
      <c r="F184" s="62"/>
      <c r="G184" s="62" t="s">
        <v>26</v>
      </c>
      <c r="H184" s="63"/>
      <c r="I184" s="63"/>
      <c r="J184" s="63"/>
      <c r="K184" s="62"/>
      <c r="L184" s="62"/>
      <c r="M184" s="64" t="str">
        <f ca="1">IF($A184="","",IF($G184="Did not pass re-test","Sent back again",IF($G184="Yes",IF(AND(ISNUMBER($J184),ISNUMBER($B184)),"Fixed in "&amp;($J184-$B184)&amp;" d","Accepted"),IF(SUMPRODUCT(--(TRIM('Combined Delivery Data'!$B$2:$B$500)=TRIM($A184)))=0,"Not on main tab - renamed?",IF(NOT(ISNUMBER($B184)),"Missing or invalid sent-back date",IF($B184&gt;TODAY(),"Sent-back date is in future",IF(ISNUMBER($J184),IF($J184&lt;$B184,"Check dates - fixed before sent","Fixed in "&amp;($J184-$B184)&amp;" d"),IF(AND($I184&lt;&gt;"",NOT(ISNUMBER($I184))),"Check Expected Fix Date",IF($I184="","UNCLAIMED "&amp;(TODAY()-$B184)&amp;" d",IF(TODAY()&gt;$I184,(TODAY()-$I184)&amp;" d LATE","Open "&amp;(TODAY()-$B184)&amp;" d"))))))))))</f>
        <v/>
      </c>
      <c r="O184" s="66">
        <f>'Combined Delivery Data'!B183</f>
        <v>0</v>
      </c>
      <c r="P184" s="66">
        <f t="shared" si="8"/>
        <v>0</v>
      </c>
      <c r="Q184" s="66">
        <f t="shared" si="9"/>
        <v>0</v>
      </c>
      <c r="R184" s="67" t="str">
        <f t="shared" si="10"/>
        <v/>
      </c>
      <c r="S184" s="66" t="str">
        <f t="shared" si="11"/>
        <v/>
      </c>
    </row>
    <row r="185" spans="1:19" x14ac:dyDescent="0.25">
      <c r="A185" s="62"/>
      <c r="B185" s="63"/>
      <c r="C185" s="62" t="s">
        <v>20</v>
      </c>
      <c r="D185" s="62"/>
      <c r="E185" s="62"/>
      <c r="F185" s="62"/>
      <c r="G185" s="62" t="s">
        <v>26</v>
      </c>
      <c r="H185" s="63"/>
      <c r="I185" s="63"/>
      <c r="J185" s="63"/>
      <c r="K185" s="62"/>
      <c r="L185" s="62"/>
      <c r="M185" s="64" t="str">
        <f ca="1">IF($A185="","",IF($G185="Did not pass re-test","Sent back again",IF($G185="Yes",IF(AND(ISNUMBER($J185),ISNUMBER($B185)),"Fixed in "&amp;($J185-$B185)&amp;" d","Accepted"),IF(SUMPRODUCT(--(TRIM('Combined Delivery Data'!$B$2:$B$500)=TRIM($A185)))=0,"Not on main tab - renamed?",IF(NOT(ISNUMBER($B185)),"Missing or invalid sent-back date",IF($B185&gt;TODAY(),"Sent-back date is in future",IF(ISNUMBER($J185),IF($J185&lt;$B185,"Check dates - fixed before sent","Fixed in "&amp;($J185-$B185)&amp;" d"),IF(AND($I185&lt;&gt;"",NOT(ISNUMBER($I185))),"Check Expected Fix Date",IF($I185="","UNCLAIMED "&amp;(TODAY()-$B185)&amp;" d",IF(TODAY()&gt;$I185,(TODAY()-$I185)&amp;" d LATE","Open "&amp;(TODAY()-$B185)&amp;" d"))))))))))</f>
        <v/>
      </c>
      <c r="O185" s="66">
        <f>'Combined Delivery Data'!B184</f>
        <v>0</v>
      </c>
      <c r="P185" s="66">
        <f t="shared" si="8"/>
        <v>0</v>
      </c>
      <c r="Q185" s="66">
        <f t="shared" si="9"/>
        <v>0</v>
      </c>
      <c r="R185" s="67" t="str">
        <f t="shared" si="10"/>
        <v/>
      </c>
      <c r="S185" s="66" t="str">
        <f t="shared" si="11"/>
        <v/>
      </c>
    </row>
    <row r="186" spans="1:19" x14ac:dyDescent="0.25">
      <c r="A186" s="62"/>
      <c r="B186" s="63"/>
      <c r="C186" s="62" t="s">
        <v>20</v>
      </c>
      <c r="D186" s="62"/>
      <c r="E186" s="62"/>
      <c r="F186" s="62"/>
      <c r="G186" s="62" t="s">
        <v>26</v>
      </c>
      <c r="H186" s="63"/>
      <c r="I186" s="63"/>
      <c r="J186" s="63"/>
      <c r="K186" s="62"/>
      <c r="L186" s="62"/>
      <c r="M186" s="64" t="str">
        <f ca="1">IF($A186="","",IF($G186="Did not pass re-test","Sent back again",IF($G186="Yes",IF(AND(ISNUMBER($J186),ISNUMBER($B186)),"Fixed in "&amp;($J186-$B186)&amp;" d","Accepted"),IF(SUMPRODUCT(--(TRIM('Combined Delivery Data'!$B$2:$B$500)=TRIM($A186)))=0,"Not on main tab - renamed?",IF(NOT(ISNUMBER($B186)),"Missing or invalid sent-back date",IF($B186&gt;TODAY(),"Sent-back date is in future",IF(ISNUMBER($J186),IF($J186&lt;$B186,"Check dates - fixed before sent","Fixed in "&amp;($J186-$B186)&amp;" d"),IF(AND($I186&lt;&gt;"",NOT(ISNUMBER($I186))),"Check Expected Fix Date",IF($I186="","UNCLAIMED "&amp;(TODAY()-$B186)&amp;" d",IF(TODAY()&gt;$I186,(TODAY()-$I186)&amp;" d LATE","Open "&amp;(TODAY()-$B186)&amp;" d"))))))))))</f>
        <v/>
      </c>
      <c r="O186" s="66">
        <f>'Combined Delivery Data'!B185</f>
        <v>0</v>
      </c>
      <c r="P186" s="66">
        <f t="shared" si="8"/>
        <v>0</v>
      </c>
      <c r="Q186" s="66">
        <f t="shared" si="9"/>
        <v>0</v>
      </c>
      <c r="R186" s="67" t="str">
        <f t="shared" si="10"/>
        <v/>
      </c>
      <c r="S186" s="66" t="str">
        <f t="shared" si="11"/>
        <v/>
      </c>
    </row>
    <row r="187" spans="1:19" x14ac:dyDescent="0.25">
      <c r="A187" s="62"/>
      <c r="B187" s="63"/>
      <c r="C187" s="62" t="s">
        <v>20</v>
      </c>
      <c r="D187" s="62"/>
      <c r="E187" s="62"/>
      <c r="F187" s="62"/>
      <c r="G187" s="62" t="s">
        <v>26</v>
      </c>
      <c r="H187" s="63"/>
      <c r="I187" s="63"/>
      <c r="J187" s="63"/>
      <c r="K187" s="62"/>
      <c r="L187" s="62"/>
      <c r="M187" s="64" t="str">
        <f ca="1">IF($A187="","",IF($G187="Did not pass re-test","Sent back again",IF($G187="Yes",IF(AND(ISNUMBER($J187),ISNUMBER($B187)),"Fixed in "&amp;($J187-$B187)&amp;" d","Accepted"),IF(SUMPRODUCT(--(TRIM('Combined Delivery Data'!$B$2:$B$500)=TRIM($A187)))=0,"Not on main tab - renamed?",IF(NOT(ISNUMBER($B187)),"Missing or invalid sent-back date",IF($B187&gt;TODAY(),"Sent-back date is in future",IF(ISNUMBER($J187),IF($J187&lt;$B187,"Check dates - fixed before sent","Fixed in "&amp;($J187-$B187)&amp;" d"),IF(AND($I187&lt;&gt;"",NOT(ISNUMBER($I187))),"Check Expected Fix Date",IF($I187="","UNCLAIMED "&amp;(TODAY()-$B187)&amp;" d",IF(TODAY()&gt;$I187,(TODAY()-$I187)&amp;" d LATE","Open "&amp;(TODAY()-$B187)&amp;" d"))))))))))</f>
        <v/>
      </c>
      <c r="O187" s="66">
        <f>'Combined Delivery Data'!B186</f>
        <v>0</v>
      </c>
      <c r="P187" s="66">
        <f t="shared" si="8"/>
        <v>0</v>
      </c>
      <c r="Q187" s="66">
        <f t="shared" si="9"/>
        <v>0</v>
      </c>
      <c r="R187" s="67" t="str">
        <f t="shared" si="10"/>
        <v/>
      </c>
      <c r="S187" s="66" t="str">
        <f t="shared" si="11"/>
        <v/>
      </c>
    </row>
    <row r="188" spans="1:19" x14ac:dyDescent="0.25">
      <c r="A188" s="62"/>
      <c r="B188" s="63"/>
      <c r="C188" s="62" t="s">
        <v>20</v>
      </c>
      <c r="D188" s="62"/>
      <c r="E188" s="62"/>
      <c r="F188" s="62"/>
      <c r="G188" s="62" t="s">
        <v>26</v>
      </c>
      <c r="H188" s="63"/>
      <c r="I188" s="63"/>
      <c r="J188" s="63"/>
      <c r="K188" s="62"/>
      <c r="L188" s="62"/>
      <c r="M188" s="64" t="str">
        <f ca="1">IF($A188="","",IF($G188="Did not pass re-test","Sent back again",IF($G188="Yes",IF(AND(ISNUMBER($J188),ISNUMBER($B188)),"Fixed in "&amp;($J188-$B188)&amp;" d","Accepted"),IF(SUMPRODUCT(--(TRIM('Combined Delivery Data'!$B$2:$B$500)=TRIM($A188)))=0,"Not on main tab - renamed?",IF(NOT(ISNUMBER($B188)),"Missing or invalid sent-back date",IF($B188&gt;TODAY(),"Sent-back date is in future",IF(ISNUMBER($J188),IF($J188&lt;$B188,"Check dates - fixed before sent","Fixed in "&amp;($J188-$B188)&amp;" d"),IF(AND($I188&lt;&gt;"",NOT(ISNUMBER($I188))),"Check Expected Fix Date",IF($I188="","UNCLAIMED "&amp;(TODAY()-$B188)&amp;" d",IF(TODAY()&gt;$I188,(TODAY()-$I188)&amp;" d LATE","Open "&amp;(TODAY()-$B188)&amp;" d"))))))))))</f>
        <v/>
      </c>
      <c r="O188" s="66">
        <f>'Combined Delivery Data'!B187</f>
        <v>0</v>
      </c>
      <c r="P188" s="66">
        <f t="shared" si="8"/>
        <v>0</v>
      </c>
      <c r="Q188" s="66">
        <f t="shared" si="9"/>
        <v>0</v>
      </c>
      <c r="R188" s="67" t="str">
        <f t="shared" si="10"/>
        <v/>
      </c>
      <c r="S188" s="66" t="str">
        <f t="shared" si="11"/>
        <v/>
      </c>
    </row>
    <row r="189" spans="1:19" x14ac:dyDescent="0.25">
      <c r="A189" s="62"/>
      <c r="B189" s="63"/>
      <c r="C189" s="62" t="s">
        <v>20</v>
      </c>
      <c r="D189" s="62"/>
      <c r="E189" s="62"/>
      <c r="F189" s="62"/>
      <c r="G189" s="62" t="s">
        <v>26</v>
      </c>
      <c r="H189" s="63"/>
      <c r="I189" s="63"/>
      <c r="J189" s="63"/>
      <c r="K189" s="62"/>
      <c r="L189" s="62"/>
      <c r="M189" s="64" t="str">
        <f ca="1">IF($A189="","",IF($G189="Did not pass re-test","Sent back again",IF($G189="Yes",IF(AND(ISNUMBER($J189),ISNUMBER($B189)),"Fixed in "&amp;($J189-$B189)&amp;" d","Accepted"),IF(SUMPRODUCT(--(TRIM('Combined Delivery Data'!$B$2:$B$500)=TRIM($A189)))=0,"Not on main tab - renamed?",IF(NOT(ISNUMBER($B189)),"Missing or invalid sent-back date",IF($B189&gt;TODAY(),"Sent-back date is in future",IF(ISNUMBER($J189),IF($J189&lt;$B189,"Check dates - fixed before sent","Fixed in "&amp;($J189-$B189)&amp;" d"),IF(AND($I189&lt;&gt;"",NOT(ISNUMBER($I189))),"Check Expected Fix Date",IF($I189="","UNCLAIMED "&amp;(TODAY()-$B189)&amp;" d",IF(TODAY()&gt;$I189,(TODAY()-$I189)&amp;" d LATE","Open "&amp;(TODAY()-$B189)&amp;" d"))))))))))</f>
        <v/>
      </c>
      <c r="O189" s="66">
        <f>'Combined Delivery Data'!B188</f>
        <v>0</v>
      </c>
      <c r="P189" s="66">
        <f t="shared" si="8"/>
        <v>0</v>
      </c>
      <c r="Q189" s="66">
        <f t="shared" si="9"/>
        <v>0</v>
      </c>
      <c r="R189" s="67" t="str">
        <f t="shared" si="10"/>
        <v/>
      </c>
      <c r="S189" s="66" t="str">
        <f t="shared" si="11"/>
        <v/>
      </c>
    </row>
    <row r="190" spans="1:19" x14ac:dyDescent="0.25">
      <c r="A190" s="62"/>
      <c r="B190" s="63"/>
      <c r="C190" s="62" t="s">
        <v>20</v>
      </c>
      <c r="D190" s="62"/>
      <c r="E190" s="62"/>
      <c r="F190" s="62"/>
      <c r="G190" s="62" t="s">
        <v>26</v>
      </c>
      <c r="H190" s="63"/>
      <c r="I190" s="63"/>
      <c r="J190" s="63"/>
      <c r="K190" s="62"/>
      <c r="L190" s="62"/>
      <c r="M190" s="64" t="str">
        <f ca="1">IF($A190="","",IF($G190="Did not pass re-test","Sent back again",IF($G190="Yes",IF(AND(ISNUMBER($J190),ISNUMBER($B190)),"Fixed in "&amp;($J190-$B190)&amp;" d","Accepted"),IF(SUMPRODUCT(--(TRIM('Combined Delivery Data'!$B$2:$B$500)=TRIM($A190)))=0,"Not on main tab - renamed?",IF(NOT(ISNUMBER($B190)),"Missing or invalid sent-back date",IF($B190&gt;TODAY(),"Sent-back date is in future",IF(ISNUMBER($J190),IF($J190&lt;$B190,"Check dates - fixed before sent","Fixed in "&amp;($J190-$B190)&amp;" d"),IF(AND($I190&lt;&gt;"",NOT(ISNUMBER($I190))),"Check Expected Fix Date",IF($I190="","UNCLAIMED "&amp;(TODAY()-$B190)&amp;" d",IF(TODAY()&gt;$I190,(TODAY()-$I190)&amp;" d LATE","Open "&amp;(TODAY()-$B190)&amp;" d"))))))))))</f>
        <v/>
      </c>
      <c r="O190" s="66">
        <f>'Combined Delivery Data'!B189</f>
        <v>0</v>
      </c>
      <c r="P190" s="66">
        <f t="shared" si="8"/>
        <v>0</v>
      </c>
      <c r="Q190" s="66">
        <f t="shared" si="9"/>
        <v>0</v>
      </c>
      <c r="R190" s="67" t="str">
        <f t="shared" si="10"/>
        <v/>
      </c>
      <c r="S190" s="66" t="str">
        <f t="shared" si="11"/>
        <v/>
      </c>
    </row>
    <row r="191" spans="1:19" x14ac:dyDescent="0.25">
      <c r="A191" s="62"/>
      <c r="B191" s="63"/>
      <c r="C191" s="62" t="s">
        <v>20</v>
      </c>
      <c r="D191" s="62"/>
      <c r="E191" s="62"/>
      <c r="F191" s="62"/>
      <c r="G191" s="62" t="s">
        <v>26</v>
      </c>
      <c r="H191" s="63"/>
      <c r="I191" s="63"/>
      <c r="J191" s="63"/>
      <c r="K191" s="62"/>
      <c r="L191" s="62"/>
      <c r="M191" s="64" t="str">
        <f ca="1">IF($A191="","",IF($G191="Did not pass re-test","Sent back again",IF($G191="Yes",IF(AND(ISNUMBER($J191),ISNUMBER($B191)),"Fixed in "&amp;($J191-$B191)&amp;" d","Accepted"),IF(SUMPRODUCT(--(TRIM('Combined Delivery Data'!$B$2:$B$500)=TRIM($A191)))=0,"Not on main tab - renamed?",IF(NOT(ISNUMBER($B191)),"Missing or invalid sent-back date",IF($B191&gt;TODAY(),"Sent-back date is in future",IF(ISNUMBER($J191),IF($J191&lt;$B191,"Check dates - fixed before sent","Fixed in "&amp;($J191-$B191)&amp;" d"),IF(AND($I191&lt;&gt;"",NOT(ISNUMBER($I191))),"Check Expected Fix Date",IF($I191="","UNCLAIMED "&amp;(TODAY()-$B191)&amp;" d",IF(TODAY()&gt;$I191,(TODAY()-$I191)&amp;" d LATE","Open "&amp;(TODAY()-$B191)&amp;" d"))))))))))</f>
        <v/>
      </c>
      <c r="O191" s="66">
        <f>'Combined Delivery Data'!B190</f>
        <v>0</v>
      </c>
      <c r="P191" s="66">
        <f t="shared" si="8"/>
        <v>0</v>
      </c>
      <c r="Q191" s="66">
        <f t="shared" si="9"/>
        <v>0</v>
      </c>
      <c r="R191" s="67" t="str">
        <f t="shared" si="10"/>
        <v/>
      </c>
      <c r="S191" s="66" t="str">
        <f t="shared" si="11"/>
        <v/>
      </c>
    </row>
    <row r="192" spans="1:19" x14ac:dyDescent="0.25">
      <c r="A192" s="62"/>
      <c r="B192" s="63"/>
      <c r="C192" s="62" t="s">
        <v>20</v>
      </c>
      <c r="D192" s="62"/>
      <c r="E192" s="62"/>
      <c r="F192" s="62"/>
      <c r="G192" s="62" t="s">
        <v>26</v>
      </c>
      <c r="H192" s="63"/>
      <c r="I192" s="63"/>
      <c r="J192" s="63"/>
      <c r="K192" s="62"/>
      <c r="L192" s="62"/>
      <c r="M192" s="64" t="str">
        <f ca="1">IF($A192="","",IF($G192="Did not pass re-test","Sent back again",IF($G192="Yes",IF(AND(ISNUMBER($J192),ISNUMBER($B192)),"Fixed in "&amp;($J192-$B192)&amp;" d","Accepted"),IF(SUMPRODUCT(--(TRIM('Combined Delivery Data'!$B$2:$B$500)=TRIM($A192)))=0,"Not on main tab - renamed?",IF(NOT(ISNUMBER($B192)),"Missing or invalid sent-back date",IF($B192&gt;TODAY(),"Sent-back date is in future",IF(ISNUMBER($J192),IF($J192&lt;$B192,"Check dates - fixed before sent","Fixed in "&amp;($J192-$B192)&amp;" d"),IF(AND($I192&lt;&gt;"",NOT(ISNUMBER($I192))),"Check Expected Fix Date",IF($I192="","UNCLAIMED "&amp;(TODAY()-$B192)&amp;" d",IF(TODAY()&gt;$I192,(TODAY()-$I192)&amp;" d LATE","Open "&amp;(TODAY()-$B192)&amp;" d"))))))))))</f>
        <v/>
      </c>
      <c r="O192" s="66">
        <f>'Combined Delivery Data'!B191</f>
        <v>0</v>
      </c>
      <c r="P192" s="66">
        <f t="shared" si="8"/>
        <v>0</v>
      </c>
      <c r="Q192" s="66">
        <f t="shared" si="9"/>
        <v>0</v>
      </c>
      <c r="R192" s="67" t="str">
        <f t="shared" si="10"/>
        <v/>
      </c>
      <c r="S192" s="66" t="str">
        <f t="shared" si="11"/>
        <v/>
      </c>
    </row>
    <row r="193" spans="1:19" x14ac:dyDescent="0.25">
      <c r="A193" s="62"/>
      <c r="B193" s="63"/>
      <c r="C193" s="62" t="s">
        <v>20</v>
      </c>
      <c r="D193" s="62"/>
      <c r="E193" s="62"/>
      <c r="F193" s="62"/>
      <c r="G193" s="62" t="s">
        <v>26</v>
      </c>
      <c r="H193" s="63"/>
      <c r="I193" s="63"/>
      <c r="J193" s="63"/>
      <c r="K193" s="62"/>
      <c r="L193" s="62"/>
      <c r="M193" s="64" t="str">
        <f ca="1">IF($A193="","",IF($G193="Did not pass re-test","Sent back again",IF($G193="Yes",IF(AND(ISNUMBER($J193),ISNUMBER($B193)),"Fixed in "&amp;($J193-$B193)&amp;" d","Accepted"),IF(SUMPRODUCT(--(TRIM('Combined Delivery Data'!$B$2:$B$500)=TRIM($A193)))=0,"Not on main tab - renamed?",IF(NOT(ISNUMBER($B193)),"Missing or invalid sent-back date",IF($B193&gt;TODAY(),"Sent-back date is in future",IF(ISNUMBER($J193),IF($J193&lt;$B193,"Check dates - fixed before sent","Fixed in "&amp;($J193-$B193)&amp;" d"),IF(AND($I193&lt;&gt;"",NOT(ISNUMBER($I193))),"Check Expected Fix Date",IF($I193="","UNCLAIMED "&amp;(TODAY()-$B193)&amp;" d",IF(TODAY()&gt;$I193,(TODAY()-$I193)&amp;" d LATE","Open "&amp;(TODAY()-$B193)&amp;" d"))))))))))</f>
        <v/>
      </c>
      <c r="O193" s="66">
        <f>'Combined Delivery Data'!B192</f>
        <v>0</v>
      </c>
      <c r="P193" s="66">
        <f t="shared" si="8"/>
        <v>0</v>
      </c>
      <c r="Q193" s="66">
        <f t="shared" si="9"/>
        <v>0</v>
      </c>
      <c r="R193" s="67" t="str">
        <f t="shared" si="10"/>
        <v/>
      </c>
      <c r="S193" s="66" t="str">
        <f t="shared" si="11"/>
        <v/>
      </c>
    </row>
    <row r="194" spans="1:19" x14ac:dyDescent="0.25">
      <c r="A194" s="62"/>
      <c r="B194" s="63"/>
      <c r="C194" s="62" t="s">
        <v>20</v>
      </c>
      <c r="D194" s="62"/>
      <c r="E194" s="62"/>
      <c r="F194" s="62"/>
      <c r="G194" s="62" t="s">
        <v>26</v>
      </c>
      <c r="H194" s="63"/>
      <c r="I194" s="63"/>
      <c r="J194" s="63"/>
      <c r="K194" s="62"/>
      <c r="L194" s="62"/>
      <c r="M194" s="64" t="str">
        <f ca="1">IF($A194="","",IF($G194="Did not pass re-test","Sent back again",IF($G194="Yes",IF(AND(ISNUMBER($J194),ISNUMBER($B194)),"Fixed in "&amp;($J194-$B194)&amp;" d","Accepted"),IF(SUMPRODUCT(--(TRIM('Combined Delivery Data'!$B$2:$B$500)=TRIM($A194)))=0,"Not on main tab - renamed?",IF(NOT(ISNUMBER($B194)),"Missing or invalid sent-back date",IF($B194&gt;TODAY(),"Sent-back date is in future",IF(ISNUMBER($J194),IF($J194&lt;$B194,"Check dates - fixed before sent","Fixed in "&amp;($J194-$B194)&amp;" d"),IF(AND($I194&lt;&gt;"",NOT(ISNUMBER($I194))),"Check Expected Fix Date",IF($I194="","UNCLAIMED "&amp;(TODAY()-$B194)&amp;" d",IF(TODAY()&gt;$I194,(TODAY()-$I194)&amp;" d LATE","Open "&amp;(TODAY()-$B194)&amp;" d"))))))))))</f>
        <v/>
      </c>
      <c r="O194" s="66">
        <f>'Combined Delivery Data'!B193</f>
        <v>0</v>
      </c>
      <c r="P194" s="66">
        <f t="shared" si="8"/>
        <v>0</v>
      </c>
      <c r="Q194" s="66">
        <f t="shared" si="9"/>
        <v>0</v>
      </c>
      <c r="R194" s="67" t="str">
        <f t="shared" si="10"/>
        <v/>
      </c>
      <c r="S194" s="66" t="str">
        <f t="shared" si="11"/>
        <v/>
      </c>
    </row>
    <row r="195" spans="1:19" x14ac:dyDescent="0.25">
      <c r="A195" s="62"/>
      <c r="B195" s="63"/>
      <c r="C195" s="62" t="s">
        <v>20</v>
      </c>
      <c r="D195" s="62"/>
      <c r="E195" s="62"/>
      <c r="F195" s="62"/>
      <c r="G195" s="62" t="s">
        <v>26</v>
      </c>
      <c r="H195" s="63"/>
      <c r="I195" s="63"/>
      <c r="J195" s="63"/>
      <c r="K195" s="62"/>
      <c r="L195" s="62"/>
      <c r="M195" s="64" t="str">
        <f ca="1">IF($A195="","",IF($G195="Did not pass re-test","Sent back again",IF($G195="Yes",IF(AND(ISNUMBER($J195),ISNUMBER($B195)),"Fixed in "&amp;($J195-$B195)&amp;" d","Accepted"),IF(SUMPRODUCT(--(TRIM('Combined Delivery Data'!$B$2:$B$500)=TRIM($A195)))=0,"Not on main tab - renamed?",IF(NOT(ISNUMBER($B195)),"Missing or invalid sent-back date",IF($B195&gt;TODAY(),"Sent-back date is in future",IF(ISNUMBER($J195),IF($J195&lt;$B195,"Check dates - fixed before sent","Fixed in "&amp;($J195-$B195)&amp;" d"),IF(AND($I195&lt;&gt;"",NOT(ISNUMBER($I195))),"Check Expected Fix Date",IF($I195="","UNCLAIMED "&amp;(TODAY()-$B195)&amp;" d",IF(TODAY()&gt;$I195,(TODAY()-$I195)&amp;" d LATE","Open "&amp;(TODAY()-$B195)&amp;" d"))))))))))</f>
        <v/>
      </c>
      <c r="O195" s="66">
        <f>'Combined Delivery Data'!B194</f>
        <v>0</v>
      </c>
      <c r="P195" s="66">
        <f t="shared" ref="P195:P258" si="12">IF($O195="","",SUMPRODUCT(--(TRIM($A$3:$A$500)=TRIM($O195))))</f>
        <v>0</v>
      </c>
      <c r="Q195" s="66">
        <f t="shared" ref="Q195:Q258" si="13">IF($O195="","",SUMPRODUCT((TRIM($A$3:$A$500)=TRIM($O195))*($G$3:$G$500&lt;&gt;"Yes")*($G$3:$G$500&lt;&gt;"Did not pass re-test")))</f>
        <v>0</v>
      </c>
      <c r="R195" s="67" t="str">
        <f t="shared" ref="R195:R258" si="14">IF($O195="","",IF(SUMPRODUCT(MAX((TRIM($A$3:$A$500)=TRIM($O195))*ROW($A$3:$A$500)))=0,"",INDEX($B:$B,SUMPRODUCT(MAX((TRIM($A$3:$A$500)=TRIM($O195))*ROW($A$3:$A$500))))))</f>
        <v/>
      </c>
      <c r="S195" s="66" t="str">
        <f t="shared" ref="S195:S258" si="15">IF($O195="","",IF(SUMPRODUCT(MAX((TRIM($A$3:$A$500)=TRIM($O195))*ROW($A$3:$A$500)))=0,"",INDEX($C:$C,SUMPRODUCT(MAX((TRIM($A$3:$A$500)=TRIM($O195))*ROW($A$3:$A$500))))&amp;" -&gt; "&amp;INDEX($D:$D,SUMPRODUCT(MAX((TRIM($A$3:$A$500)=TRIM($O195))*ROW($A$3:$A$500))))))</f>
        <v/>
      </c>
    </row>
    <row r="196" spans="1:19" x14ac:dyDescent="0.25">
      <c r="A196" s="62"/>
      <c r="B196" s="63"/>
      <c r="C196" s="62" t="s">
        <v>20</v>
      </c>
      <c r="D196" s="62"/>
      <c r="E196" s="62"/>
      <c r="F196" s="62"/>
      <c r="G196" s="62" t="s">
        <v>26</v>
      </c>
      <c r="H196" s="63"/>
      <c r="I196" s="63"/>
      <c r="J196" s="63"/>
      <c r="K196" s="62"/>
      <c r="L196" s="62"/>
      <c r="M196" s="64" t="str">
        <f ca="1">IF($A196="","",IF($G196="Did not pass re-test","Sent back again",IF($G196="Yes",IF(AND(ISNUMBER($J196),ISNUMBER($B196)),"Fixed in "&amp;($J196-$B196)&amp;" d","Accepted"),IF(SUMPRODUCT(--(TRIM('Combined Delivery Data'!$B$2:$B$500)=TRIM($A196)))=0,"Not on main tab - renamed?",IF(NOT(ISNUMBER($B196)),"Missing or invalid sent-back date",IF($B196&gt;TODAY(),"Sent-back date is in future",IF(ISNUMBER($J196),IF($J196&lt;$B196,"Check dates - fixed before sent","Fixed in "&amp;($J196-$B196)&amp;" d"),IF(AND($I196&lt;&gt;"",NOT(ISNUMBER($I196))),"Check Expected Fix Date",IF($I196="","UNCLAIMED "&amp;(TODAY()-$B196)&amp;" d",IF(TODAY()&gt;$I196,(TODAY()-$I196)&amp;" d LATE","Open "&amp;(TODAY()-$B196)&amp;" d"))))))))))</f>
        <v/>
      </c>
      <c r="O196" s="66">
        <f>'Combined Delivery Data'!B195</f>
        <v>0</v>
      </c>
      <c r="P196" s="66">
        <f t="shared" si="12"/>
        <v>0</v>
      </c>
      <c r="Q196" s="66">
        <f t="shared" si="13"/>
        <v>0</v>
      </c>
      <c r="R196" s="67" t="str">
        <f t="shared" si="14"/>
        <v/>
      </c>
      <c r="S196" s="66" t="str">
        <f t="shared" si="15"/>
        <v/>
      </c>
    </row>
    <row r="197" spans="1:19" x14ac:dyDescent="0.25">
      <c r="A197" s="62"/>
      <c r="B197" s="63"/>
      <c r="C197" s="62" t="s">
        <v>20</v>
      </c>
      <c r="D197" s="62"/>
      <c r="E197" s="62"/>
      <c r="F197" s="62"/>
      <c r="G197" s="62" t="s">
        <v>26</v>
      </c>
      <c r="H197" s="63"/>
      <c r="I197" s="63"/>
      <c r="J197" s="63"/>
      <c r="K197" s="62"/>
      <c r="L197" s="62"/>
      <c r="M197" s="64" t="str">
        <f ca="1">IF($A197="","",IF($G197="Did not pass re-test","Sent back again",IF($G197="Yes",IF(AND(ISNUMBER($J197),ISNUMBER($B197)),"Fixed in "&amp;($J197-$B197)&amp;" d","Accepted"),IF(SUMPRODUCT(--(TRIM('Combined Delivery Data'!$B$2:$B$500)=TRIM($A197)))=0,"Not on main tab - renamed?",IF(NOT(ISNUMBER($B197)),"Missing or invalid sent-back date",IF($B197&gt;TODAY(),"Sent-back date is in future",IF(ISNUMBER($J197),IF($J197&lt;$B197,"Check dates - fixed before sent","Fixed in "&amp;($J197-$B197)&amp;" d"),IF(AND($I197&lt;&gt;"",NOT(ISNUMBER($I197))),"Check Expected Fix Date",IF($I197="","UNCLAIMED "&amp;(TODAY()-$B197)&amp;" d",IF(TODAY()&gt;$I197,(TODAY()-$I197)&amp;" d LATE","Open "&amp;(TODAY()-$B197)&amp;" d"))))))))))</f>
        <v/>
      </c>
      <c r="O197" s="66">
        <f>'Combined Delivery Data'!B196</f>
        <v>0</v>
      </c>
      <c r="P197" s="66">
        <f t="shared" si="12"/>
        <v>0</v>
      </c>
      <c r="Q197" s="66">
        <f t="shared" si="13"/>
        <v>0</v>
      </c>
      <c r="R197" s="67" t="str">
        <f t="shared" si="14"/>
        <v/>
      </c>
      <c r="S197" s="66" t="str">
        <f t="shared" si="15"/>
        <v/>
      </c>
    </row>
    <row r="198" spans="1:19" x14ac:dyDescent="0.25">
      <c r="A198" s="62"/>
      <c r="B198" s="63"/>
      <c r="C198" s="62" t="s">
        <v>20</v>
      </c>
      <c r="D198" s="62"/>
      <c r="E198" s="62"/>
      <c r="F198" s="62"/>
      <c r="G198" s="62" t="s">
        <v>26</v>
      </c>
      <c r="H198" s="63"/>
      <c r="I198" s="63"/>
      <c r="J198" s="63"/>
      <c r="K198" s="62"/>
      <c r="L198" s="62"/>
      <c r="M198" s="64" t="str">
        <f ca="1">IF($A198="","",IF($G198="Did not pass re-test","Sent back again",IF($G198="Yes",IF(AND(ISNUMBER($J198),ISNUMBER($B198)),"Fixed in "&amp;($J198-$B198)&amp;" d","Accepted"),IF(SUMPRODUCT(--(TRIM('Combined Delivery Data'!$B$2:$B$500)=TRIM($A198)))=0,"Not on main tab - renamed?",IF(NOT(ISNUMBER($B198)),"Missing or invalid sent-back date",IF($B198&gt;TODAY(),"Sent-back date is in future",IF(ISNUMBER($J198),IF($J198&lt;$B198,"Check dates - fixed before sent","Fixed in "&amp;($J198-$B198)&amp;" d"),IF(AND($I198&lt;&gt;"",NOT(ISNUMBER($I198))),"Check Expected Fix Date",IF($I198="","UNCLAIMED "&amp;(TODAY()-$B198)&amp;" d",IF(TODAY()&gt;$I198,(TODAY()-$I198)&amp;" d LATE","Open "&amp;(TODAY()-$B198)&amp;" d"))))))))))</f>
        <v/>
      </c>
      <c r="O198" s="66">
        <f>'Combined Delivery Data'!B197</f>
        <v>0</v>
      </c>
      <c r="P198" s="66">
        <f t="shared" si="12"/>
        <v>0</v>
      </c>
      <c r="Q198" s="66">
        <f t="shared" si="13"/>
        <v>0</v>
      </c>
      <c r="R198" s="67" t="str">
        <f t="shared" si="14"/>
        <v/>
      </c>
      <c r="S198" s="66" t="str">
        <f t="shared" si="15"/>
        <v/>
      </c>
    </row>
    <row r="199" spans="1:19" x14ac:dyDescent="0.25">
      <c r="A199" s="62"/>
      <c r="B199" s="63"/>
      <c r="C199" s="62" t="s">
        <v>20</v>
      </c>
      <c r="D199" s="62"/>
      <c r="E199" s="62"/>
      <c r="F199" s="62"/>
      <c r="G199" s="62" t="s">
        <v>26</v>
      </c>
      <c r="H199" s="63"/>
      <c r="I199" s="63"/>
      <c r="J199" s="63"/>
      <c r="K199" s="62"/>
      <c r="L199" s="62"/>
      <c r="M199" s="64" t="str">
        <f ca="1">IF($A199="","",IF($G199="Did not pass re-test","Sent back again",IF($G199="Yes",IF(AND(ISNUMBER($J199),ISNUMBER($B199)),"Fixed in "&amp;($J199-$B199)&amp;" d","Accepted"),IF(SUMPRODUCT(--(TRIM('Combined Delivery Data'!$B$2:$B$500)=TRIM($A199)))=0,"Not on main tab - renamed?",IF(NOT(ISNUMBER($B199)),"Missing or invalid sent-back date",IF($B199&gt;TODAY(),"Sent-back date is in future",IF(ISNUMBER($J199),IF($J199&lt;$B199,"Check dates - fixed before sent","Fixed in "&amp;($J199-$B199)&amp;" d"),IF(AND($I199&lt;&gt;"",NOT(ISNUMBER($I199))),"Check Expected Fix Date",IF($I199="","UNCLAIMED "&amp;(TODAY()-$B199)&amp;" d",IF(TODAY()&gt;$I199,(TODAY()-$I199)&amp;" d LATE","Open "&amp;(TODAY()-$B199)&amp;" d"))))))))))</f>
        <v/>
      </c>
      <c r="O199" s="66">
        <f>'Combined Delivery Data'!B198</f>
        <v>0</v>
      </c>
      <c r="P199" s="66">
        <f t="shared" si="12"/>
        <v>0</v>
      </c>
      <c r="Q199" s="66">
        <f t="shared" si="13"/>
        <v>0</v>
      </c>
      <c r="R199" s="67" t="str">
        <f t="shared" si="14"/>
        <v/>
      </c>
      <c r="S199" s="66" t="str">
        <f t="shared" si="15"/>
        <v/>
      </c>
    </row>
    <row r="200" spans="1:19" x14ac:dyDescent="0.25">
      <c r="A200" s="62"/>
      <c r="B200" s="63"/>
      <c r="C200" s="62" t="s">
        <v>20</v>
      </c>
      <c r="D200" s="62"/>
      <c r="E200" s="62"/>
      <c r="F200" s="62"/>
      <c r="G200" s="62" t="s">
        <v>26</v>
      </c>
      <c r="H200" s="63"/>
      <c r="I200" s="63"/>
      <c r="J200" s="63"/>
      <c r="K200" s="62"/>
      <c r="L200" s="62"/>
      <c r="M200" s="64" t="str">
        <f ca="1">IF($A200="","",IF($G200="Did not pass re-test","Sent back again",IF($G200="Yes",IF(AND(ISNUMBER($J200),ISNUMBER($B200)),"Fixed in "&amp;($J200-$B200)&amp;" d","Accepted"),IF(SUMPRODUCT(--(TRIM('Combined Delivery Data'!$B$2:$B$500)=TRIM($A200)))=0,"Not on main tab - renamed?",IF(NOT(ISNUMBER($B200)),"Missing or invalid sent-back date",IF($B200&gt;TODAY(),"Sent-back date is in future",IF(ISNUMBER($J200),IF($J200&lt;$B200,"Check dates - fixed before sent","Fixed in "&amp;($J200-$B200)&amp;" d"),IF(AND($I200&lt;&gt;"",NOT(ISNUMBER($I200))),"Check Expected Fix Date",IF($I200="","UNCLAIMED "&amp;(TODAY()-$B200)&amp;" d",IF(TODAY()&gt;$I200,(TODAY()-$I200)&amp;" d LATE","Open "&amp;(TODAY()-$B200)&amp;" d"))))))))))</f>
        <v/>
      </c>
      <c r="O200" s="66">
        <f>'Combined Delivery Data'!B199</f>
        <v>0</v>
      </c>
      <c r="P200" s="66">
        <f t="shared" si="12"/>
        <v>0</v>
      </c>
      <c r="Q200" s="66">
        <f t="shared" si="13"/>
        <v>0</v>
      </c>
      <c r="R200" s="67" t="str">
        <f t="shared" si="14"/>
        <v/>
      </c>
      <c r="S200" s="66" t="str">
        <f t="shared" si="15"/>
        <v/>
      </c>
    </row>
    <row r="201" spans="1:19" x14ac:dyDescent="0.25">
      <c r="A201" s="62"/>
      <c r="B201" s="63"/>
      <c r="C201" s="62"/>
      <c r="D201" s="62"/>
      <c r="E201" s="62"/>
      <c r="F201" s="62"/>
      <c r="G201" s="62"/>
      <c r="H201" s="63"/>
      <c r="I201" s="63"/>
      <c r="J201" s="63"/>
      <c r="K201" s="62"/>
      <c r="L201" s="62"/>
      <c r="M201" s="64" t="str">
        <f ca="1">IF($A201="","",IF($G201="Did not pass re-test","Sent back again",IF($G201="Yes",IF(AND(ISNUMBER($J201),ISNUMBER($B201)),"Fixed in "&amp;($J201-$B201)&amp;" d","Accepted"),IF(SUMPRODUCT(--(TRIM('Combined Delivery Data'!$B$2:$B$500)=TRIM($A201)))=0,"Not on main tab - renamed?",IF(NOT(ISNUMBER($B201)),"Missing or invalid sent-back date",IF($B201&gt;TODAY(),"Sent-back date is in future",IF(ISNUMBER($J201),IF($J201&lt;$B201,"Check dates - fixed before sent","Fixed in "&amp;($J201-$B201)&amp;" d"),IF(AND($I201&lt;&gt;"",NOT(ISNUMBER($I201))),"Check Expected Fix Date",IF($I201="","UNCLAIMED "&amp;(TODAY()-$B201)&amp;" d",IF(TODAY()&gt;$I201,(TODAY()-$I201)&amp;" d LATE","Open "&amp;(TODAY()-$B201)&amp;" d"))))))))))</f>
        <v/>
      </c>
      <c r="O201" s="66">
        <f>'Combined Delivery Data'!B200</f>
        <v>0</v>
      </c>
      <c r="P201" s="66">
        <f t="shared" si="12"/>
        <v>0</v>
      </c>
      <c r="Q201" s="66">
        <f t="shared" si="13"/>
        <v>0</v>
      </c>
      <c r="R201" s="67" t="str">
        <f t="shared" si="14"/>
        <v/>
      </c>
      <c r="S201" s="66" t="str">
        <f t="shared" si="15"/>
        <v/>
      </c>
    </row>
    <row r="202" spans="1:19" x14ac:dyDescent="0.25">
      <c r="A202" s="62"/>
      <c r="B202" s="63"/>
      <c r="C202" s="62"/>
      <c r="D202" s="62"/>
      <c r="E202" s="62"/>
      <c r="F202" s="62"/>
      <c r="G202" s="62"/>
      <c r="H202" s="63"/>
      <c r="I202" s="63"/>
      <c r="J202" s="63"/>
      <c r="K202" s="62"/>
      <c r="L202" s="62"/>
      <c r="M202" s="64" t="str">
        <f ca="1">IF($A202="","",IF($G202="Did not pass re-test","Sent back again",IF($G202="Yes",IF(AND(ISNUMBER($J202),ISNUMBER($B202)),"Fixed in "&amp;($J202-$B202)&amp;" d","Accepted"),IF(SUMPRODUCT(--(TRIM('Combined Delivery Data'!$B$2:$B$500)=TRIM($A202)))=0,"Not on main tab - renamed?",IF(NOT(ISNUMBER($B202)),"Missing or invalid sent-back date",IF($B202&gt;TODAY(),"Sent-back date is in future",IF(ISNUMBER($J202),IF($J202&lt;$B202,"Check dates - fixed before sent","Fixed in "&amp;($J202-$B202)&amp;" d"),IF(AND($I202&lt;&gt;"",NOT(ISNUMBER($I202))),"Check Expected Fix Date",IF($I202="","UNCLAIMED "&amp;(TODAY()-$B202)&amp;" d",IF(TODAY()&gt;$I202,(TODAY()-$I202)&amp;" d LATE","Open "&amp;(TODAY()-$B202)&amp;" d"))))))))))</f>
        <v/>
      </c>
      <c r="O202" s="66">
        <f>'Combined Delivery Data'!B201</f>
        <v>0</v>
      </c>
      <c r="P202" s="66">
        <f t="shared" si="12"/>
        <v>0</v>
      </c>
      <c r="Q202" s="66">
        <f t="shared" si="13"/>
        <v>0</v>
      </c>
      <c r="R202" s="67" t="str">
        <f t="shared" si="14"/>
        <v/>
      </c>
      <c r="S202" s="66" t="str">
        <f t="shared" si="15"/>
        <v/>
      </c>
    </row>
    <row r="203" spans="1:19" x14ac:dyDescent="0.25">
      <c r="A203" s="62"/>
      <c r="B203" s="63"/>
      <c r="C203" s="62"/>
      <c r="D203" s="62"/>
      <c r="E203" s="62"/>
      <c r="F203" s="62"/>
      <c r="G203" s="62"/>
      <c r="H203" s="63"/>
      <c r="I203" s="63"/>
      <c r="J203" s="63"/>
      <c r="K203" s="62"/>
      <c r="L203" s="62"/>
      <c r="M203" s="64" t="str">
        <f ca="1">IF($A203="","",IF($G203="Did not pass re-test","Sent back again",IF($G203="Yes",IF(AND(ISNUMBER($J203),ISNUMBER($B203)),"Fixed in "&amp;($J203-$B203)&amp;" d","Accepted"),IF(SUMPRODUCT(--(TRIM('Combined Delivery Data'!$B$2:$B$500)=TRIM($A203)))=0,"Not on main tab - renamed?",IF(NOT(ISNUMBER($B203)),"Missing or invalid sent-back date",IF($B203&gt;TODAY(),"Sent-back date is in future",IF(ISNUMBER($J203),IF($J203&lt;$B203,"Check dates - fixed before sent","Fixed in "&amp;($J203-$B203)&amp;" d"),IF(AND($I203&lt;&gt;"",NOT(ISNUMBER($I203))),"Check Expected Fix Date",IF($I203="","UNCLAIMED "&amp;(TODAY()-$B203)&amp;" d",IF(TODAY()&gt;$I203,(TODAY()-$I203)&amp;" d LATE","Open "&amp;(TODAY()-$B203)&amp;" d"))))))))))</f>
        <v/>
      </c>
      <c r="O203" s="66">
        <f>'Combined Delivery Data'!B202</f>
        <v>0</v>
      </c>
      <c r="P203" s="66">
        <f t="shared" si="12"/>
        <v>0</v>
      </c>
      <c r="Q203" s="66">
        <f t="shared" si="13"/>
        <v>0</v>
      </c>
      <c r="R203" s="67" t="str">
        <f t="shared" si="14"/>
        <v/>
      </c>
      <c r="S203" s="66" t="str">
        <f t="shared" si="15"/>
        <v/>
      </c>
    </row>
    <row r="204" spans="1:19" x14ac:dyDescent="0.25">
      <c r="A204" s="62"/>
      <c r="B204" s="63"/>
      <c r="C204" s="62"/>
      <c r="D204" s="62"/>
      <c r="E204" s="62"/>
      <c r="F204" s="62"/>
      <c r="G204" s="62"/>
      <c r="H204" s="63"/>
      <c r="I204" s="63"/>
      <c r="J204" s="63"/>
      <c r="K204" s="62"/>
      <c r="L204" s="62"/>
      <c r="M204" s="64" t="str">
        <f ca="1">IF($A204="","",IF($G204="Did not pass re-test","Sent back again",IF($G204="Yes",IF(AND(ISNUMBER($J204),ISNUMBER($B204)),"Fixed in "&amp;($J204-$B204)&amp;" d","Accepted"),IF(SUMPRODUCT(--(TRIM('Combined Delivery Data'!$B$2:$B$500)=TRIM($A204)))=0,"Not on main tab - renamed?",IF(NOT(ISNUMBER($B204)),"Missing or invalid sent-back date",IF($B204&gt;TODAY(),"Sent-back date is in future",IF(ISNUMBER($J204),IF($J204&lt;$B204,"Check dates - fixed before sent","Fixed in "&amp;($J204-$B204)&amp;" d"),IF(AND($I204&lt;&gt;"",NOT(ISNUMBER($I204))),"Check Expected Fix Date",IF($I204="","UNCLAIMED "&amp;(TODAY()-$B204)&amp;" d",IF(TODAY()&gt;$I204,(TODAY()-$I204)&amp;" d LATE","Open "&amp;(TODAY()-$B204)&amp;" d"))))))))))</f>
        <v/>
      </c>
      <c r="O204" s="66">
        <f>'Combined Delivery Data'!B203</f>
        <v>0</v>
      </c>
      <c r="P204" s="66">
        <f t="shared" si="12"/>
        <v>0</v>
      </c>
      <c r="Q204" s="66">
        <f t="shared" si="13"/>
        <v>0</v>
      </c>
      <c r="R204" s="67" t="str">
        <f t="shared" si="14"/>
        <v/>
      </c>
      <c r="S204" s="66" t="str">
        <f t="shared" si="15"/>
        <v/>
      </c>
    </row>
    <row r="205" spans="1:19" x14ac:dyDescent="0.25">
      <c r="A205" s="62"/>
      <c r="B205" s="63"/>
      <c r="C205" s="62"/>
      <c r="D205" s="62"/>
      <c r="E205" s="62"/>
      <c r="F205" s="62"/>
      <c r="G205" s="62"/>
      <c r="H205" s="63"/>
      <c r="I205" s="63"/>
      <c r="J205" s="63"/>
      <c r="K205" s="62"/>
      <c r="L205" s="62"/>
      <c r="M205" s="64" t="str">
        <f ca="1">IF($A205="","",IF($G205="Did not pass re-test","Sent back again",IF($G205="Yes",IF(AND(ISNUMBER($J205),ISNUMBER($B205)),"Fixed in "&amp;($J205-$B205)&amp;" d","Accepted"),IF(SUMPRODUCT(--(TRIM('Combined Delivery Data'!$B$2:$B$500)=TRIM($A205)))=0,"Not on main tab - renamed?",IF(NOT(ISNUMBER($B205)),"Missing or invalid sent-back date",IF($B205&gt;TODAY(),"Sent-back date is in future",IF(ISNUMBER($J205),IF($J205&lt;$B205,"Check dates - fixed before sent","Fixed in "&amp;($J205-$B205)&amp;" d"),IF(AND($I205&lt;&gt;"",NOT(ISNUMBER($I205))),"Check Expected Fix Date",IF($I205="","UNCLAIMED "&amp;(TODAY()-$B205)&amp;" d",IF(TODAY()&gt;$I205,(TODAY()-$I205)&amp;" d LATE","Open "&amp;(TODAY()-$B205)&amp;" d"))))))))))</f>
        <v/>
      </c>
      <c r="O205" s="66">
        <f>'Combined Delivery Data'!B204</f>
        <v>0</v>
      </c>
      <c r="P205" s="66">
        <f t="shared" si="12"/>
        <v>0</v>
      </c>
      <c r="Q205" s="66">
        <f t="shared" si="13"/>
        <v>0</v>
      </c>
      <c r="R205" s="67" t="str">
        <f t="shared" si="14"/>
        <v/>
      </c>
      <c r="S205" s="66" t="str">
        <f t="shared" si="15"/>
        <v/>
      </c>
    </row>
    <row r="206" spans="1:19" x14ac:dyDescent="0.25">
      <c r="A206" s="62"/>
      <c r="B206" s="63"/>
      <c r="C206" s="62"/>
      <c r="D206" s="62"/>
      <c r="E206" s="62"/>
      <c r="F206" s="62"/>
      <c r="G206" s="62"/>
      <c r="H206" s="63"/>
      <c r="I206" s="63"/>
      <c r="J206" s="63"/>
      <c r="K206" s="62"/>
      <c r="L206" s="62"/>
      <c r="M206" s="64" t="str">
        <f ca="1">IF($A206="","",IF($G206="Did not pass re-test","Sent back again",IF($G206="Yes",IF(AND(ISNUMBER($J206),ISNUMBER($B206)),"Fixed in "&amp;($J206-$B206)&amp;" d","Accepted"),IF(SUMPRODUCT(--(TRIM('Combined Delivery Data'!$B$2:$B$500)=TRIM($A206)))=0,"Not on main tab - renamed?",IF(NOT(ISNUMBER($B206)),"Missing or invalid sent-back date",IF($B206&gt;TODAY(),"Sent-back date is in future",IF(ISNUMBER($J206),IF($J206&lt;$B206,"Check dates - fixed before sent","Fixed in "&amp;($J206-$B206)&amp;" d"),IF(AND($I206&lt;&gt;"",NOT(ISNUMBER($I206))),"Check Expected Fix Date",IF($I206="","UNCLAIMED "&amp;(TODAY()-$B206)&amp;" d",IF(TODAY()&gt;$I206,(TODAY()-$I206)&amp;" d LATE","Open "&amp;(TODAY()-$B206)&amp;" d"))))))))))</f>
        <v/>
      </c>
      <c r="O206" s="66">
        <f>'Combined Delivery Data'!B205</f>
        <v>0</v>
      </c>
      <c r="P206" s="66">
        <f t="shared" si="12"/>
        <v>0</v>
      </c>
      <c r="Q206" s="66">
        <f t="shared" si="13"/>
        <v>0</v>
      </c>
      <c r="R206" s="67" t="str">
        <f t="shared" si="14"/>
        <v/>
      </c>
      <c r="S206" s="66" t="str">
        <f t="shared" si="15"/>
        <v/>
      </c>
    </row>
    <row r="207" spans="1:19" x14ac:dyDescent="0.25">
      <c r="A207" s="62"/>
      <c r="B207" s="63"/>
      <c r="C207" s="62"/>
      <c r="D207" s="62"/>
      <c r="E207" s="62"/>
      <c r="F207" s="62"/>
      <c r="G207" s="62"/>
      <c r="H207" s="63"/>
      <c r="I207" s="63"/>
      <c r="J207" s="63"/>
      <c r="K207" s="62"/>
      <c r="L207" s="62"/>
      <c r="M207" s="64" t="str">
        <f ca="1">IF($A207="","",IF($G207="Did not pass re-test","Sent back again",IF($G207="Yes",IF(AND(ISNUMBER($J207),ISNUMBER($B207)),"Fixed in "&amp;($J207-$B207)&amp;" d","Accepted"),IF(SUMPRODUCT(--(TRIM('Combined Delivery Data'!$B$2:$B$500)=TRIM($A207)))=0,"Not on main tab - renamed?",IF(NOT(ISNUMBER($B207)),"Missing or invalid sent-back date",IF($B207&gt;TODAY(),"Sent-back date is in future",IF(ISNUMBER($J207),IF($J207&lt;$B207,"Check dates - fixed before sent","Fixed in "&amp;($J207-$B207)&amp;" d"),IF(AND($I207&lt;&gt;"",NOT(ISNUMBER($I207))),"Check Expected Fix Date",IF($I207="","UNCLAIMED "&amp;(TODAY()-$B207)&amp;" d",IF(TODAY()&gt;$I207,(TODAY()-$I207)&amp;" d LATE","Open "&amp;(TODAY()-$B207)&amp;" d"))))))))))</f>
        <v/>
      </c>
      <c r="O207" s="66">
        <f>'Combined Delivery Data'!B206</f>
        <v>0</v>
      </c>
      <c r="P207" s="66">
        <f t="shared" si="12"/>
        <v>0</v>
      </c>
      <c r="Q207" s="66">
        <f t="shared" si="13"/>
        <v>0</v>
      </c>
      <c r="R207" s="67" t="str">
        <f t="shared" si="14"/>
        <v/>
      </c>
      <c r="S207" s="66" t="str">
        <f t="shared" si="15"/>
        <v/>
      </c>
    </row>
    <row r="208" spans="1:19" x14ac:dyDescent="0.25">
      <c r="A208" s="62"/>
      <c r="B208" s="63"/>
      <c r="C208" s="62"/>
      <c r="D208" s="62"/>
      <c r="E208" s="62"/>
      <c r="F208" s="62"/>
      <c r="G208" s="62"/>
      <c r="H208" s="63"/>
      <c r="I208" s="63"/>
      <c r="J208" s="63"/>
      <c r="K208" s="62"/>
      <c r="L208" s="62"/>
      <c r="M208" s="64" t="str">
        <f ca="1">IF($A208="","",IF($G208="Did not pass re-test","Sent back again",IF($G208="Yes",IF(AND(ISNUMBER($J208),ISNUMBER($B208)),"Fixed in "&amp;($J208-$B208)&amp;" d","Accepted"),IF(SUMPRODUCT(--(TRIM('Combined Delivery Data'!$B$2:$B$500)=TRIM($A208)))=0,"Not on main tab - renamed?",IF(NOT(ISNUMBER($B208)),"Missing or invalid sent-back date",IF($B208&gt;TODAY(),"Sent-back date is in future",IF(ISNUMBER($J208),IF($J208&lt;$B208,"Check dates - fixed before sent","Fixed in "&amp;($J208-$B208)&amp;" d"),IF(AND($I208&lt;&gt;"",NOT(ISNUMBER($I208))),"Check Expected Fix Date",IF($I208="","UNCLAIMED "&amp;(TODAY()-$B208)&amp;" d",IF(TODAY()&gt;$I208,(TODAY()-$I208)&amp;" d LATE","Open "&amp;(TODAY()-$B208)&amp;" d"))))))))))</f>
        <v/>
      </c>
      <c r="O208" s="66">
        <f>'Combined Delivery Data'!B207</f>
        <v>0</v>
      </c>
      <c r="P208" s="66">
        <f t="shared" si="12"/>
        <v>0</v>
      </c>
      <c r="Q208" s="66">
        <f t="shared" si="13"/>
        <v>0</v>
      </c>
      <c r="R208" s="67" t="str">
        <f t="shared" si="14"/>
        <v/>
      </c>
      <c r="S208" s="66" t="str">
        <f t="shared" si="15"/>
        <v/>
      </c>
    </row>
    <row r="209" spans="1:19" x14ac:dyDescent="0.25">
      <c r="A209" s="62"/>
      <c r="B209" s="63"/>
      <c r="C209" s="62"/>
      <c r="D209" s="62"/>
      <c r="E209" s="62"/>
      <c r="F209" s="62"/>
      <c r="G209" s="62"/>
      <c r="H209" s="63"/>
      <c r="I209" s="63"/>
      <c r="J209" s="63"/>
      <c r="K209" s="62"/>
      <c r="L209" s="62"/>
      <c r="M209" s="64" t="str">
        <f ca="1">IF($A209="","",IF($G209="Did not pass re-test","Sent back again",IF($G209="Yes",IF(AND(ISNUMBER($J209),ISNUMBER($B209)),"Fixed in "&amp;($J209-$B209)&amp;" d","Accepted"),IF(SUMPRODUCT(--(TRIM('Combined Delivery Data'!$B$2:$B$500)=TRIM($A209)))=0,"Not on main tab - renamed?",IF(NOT(ISNUMBER($B209)),"Missing or invalid sent-back date",IF($B209&gt;TODAY(),"Sent-back date is in future",IF(ISNUMBER($J209),IF($J209&lt;$B209,"Check dates - fixed before sent","Fixed in "&amp;($J209-$B209)&amp;" d"),IF(AND($I209&lt;&gt;"",NOT(ISNUMBER($I209))),"Check Expected Fix Date",IF($I209="","UNCLAIMED "&amp;(TODAY()-$B209)&amp;" d",IF(TODAY()&gt;$I209,(TODAY()-$I209)&amp;" d LATE","Open "&amp;(TODAY()-$B209)&amp;" d"))))))))))</f>
        <v/>
      </c>
      <c r="O209" s="66">
        <f>'Combined Delivery Data'!B208</f>
        <v>0</v>
      </c>
      <c r="P209" s="66">
        <f t="shared" si="12"/>
        <v>0</v>
      </c>
      <c r="Q209" s="66">
        <f t="shared" si="13"/>
        <v>0</v>
      </c>
      <c r="R209" s="67" t="str">
        <f t="shared" si="14"/>
        <v/>
      </c>
      <c r="S209" s="66" t="str">
        <f t="shared" si="15"/>
        <v/>
      </c>
    </row>
    <row r="210" spans="1:19" x14ac:dyDescent="0.25">
      <c r="A210" s="62"/>
      <c r="B210" s="63"/>
      <c r="C210" s="62"/>
      <c r="D210" s="62"/>
      <c r="E210" s="62"/>
      <c r="F210" s="62"/>
      <c r="G210" s="62"/>
      <c r="H210" s="63"/>
      <c r="I210" s="63"/>
      <c r="J210" s="63"/>
      <c r="K210" s="62"/>
      <c r="L210" s="62"/>
      <c r="M210" s="64" t="str">
        <f ca="1">IF($A210="","",IF($G210="Did not pass re-test","Sent back again",IF($G210="Yes",IF(AND(ISNUMBER($J210),ISNUMBER($B210)),"Fixed in "&amp;($J210-$B210)&amp;" d","Accepted"),IF(SUMPRODUCT(--(TRIM('Combined Delivery Data'!$B$2:$B$500)=TRIM($A210)))=0,"Not on main tab - renamed?",IF(NOT(ISNUMBER($B210)),"Missing or invalid sent-back date",IF($B210&gt;TODAY(),"Sent-back date is in future",IF(ISNUMBER($J210),IF($J210&lt;$B210,"Check dates - fixed before sent","Fixed in "&amp;($J210-$B210)&amp;" d"),IF(AND($I210&lt;&gt;"",NOT(ISNUMBER($I210))),"Check Expected Fix Date",IF($I210="","UNCLAIMED "&amp;(TODAY()-$B210)&amp;" d",IF(TODAY()&gt;$I210,(TODAY()-$I210)&amp;" d LATE","Open "&amp;(TODAY()-$B210)&amp;" d"))))))))))</f>
        <v/>
      </c>
      <c r="O210" s="66">
        <f>'Combined Delivery Data'!B209</f>
        <v>0</v>
      </c>
      <c r="P210" s="66">
        <f t="shared" si="12"/>
        <v>0</v>
      </c>
      <c r="Q210" s="66">
        <f t="shared" si="13"/>
        <v>0</v>
      </c>
      <c r="R210" s="67" t="str">
        <f t="shared" si="14"/>
        <v/>
      </c>
      <c r="S210" s="66" t="str">
        <f t="shared" si="15"/>
        <v/>
      </c>
    </row>
    <row r="211" spans="1:19" x14ac:dyDescent="0.25">
      <c r="A211" s="62"/>
      <c r="B211" s="63"/>
      <c r="C211" s="62"/>
      <c r="D211" s="62"/>
      <c r="E211" s="62"/>
      <c r="F211" s="62"/>
      <c r="G211" s="62"/>
      <c r="H211" s="63"/>
      <c r="I211" s="63"/>
      <c r="J211" s="63"/>
      <c r="K211" s="62"/>
      <c r="L211" s="62"/>
      <c r="M211" s="64" t="str">
        <f ca="1">IF($A211="","",IF($G211="Did not pass re-test","Sent back again",IF($G211="Yes",IF(AND(ISNUMBER($J211),ISNUMBER($B211)),"Fixed in "&amp;($J211-$B211)&amp;" d","Accepted"),IF(SUMPRODUCT(--(TRIM('Combined Delivery Data'!$B$2:$B$500)=TRIM($A211)))=0,"Not on main tab - renamed?",IF(NOT(ISNUMBER($B211)),"Missing or invalid sent-back date",IF($B211&gt;TODAY(),"Sent-back date is in future",IF(ISNUMBER($J211),IF($J211&lt;$B211,"Check dates - fixed before sent","Fixed in "&amp;($J211-$B211)&amp;" d"),IF(AND($I211&lt;&gt;"",NOT(ISNUMBER($I211))),"Check Expected Fix Date",IF($I211="","UNCLAIMED "&amp;(TODAY()-$B211)&amp;" d",IF(TODAY()&gt;$I211,(TODAY()-$I211)&amp;" d LATE","Open "&amp;(TODAY()-$B211)&amp;" d"))))))))))</f>
        <v/>
      </c>
      <c r="O211" s="66">
        <f>'Combined Delivery Data'!B210</f>
        <v>0</v>
      </c>
      <c r="P211" s="66">
        <f t="shared" si="12"/>
        <v>0</v>
      </c>
      <c r="Q211" s="66">
        <f t="shared" si="13"/>
        <v>0</v>
      </c>
      <c r="R211" s="67" t="str">
        <f t="shared" si="14"/>
        <v/>
      </c>
      <c r="S211" s="66" t="str">
        <f t="shared" si="15"/>
        <v/>
      </c>
    </row>
    <row r="212" spans="1:19" x14ac:dyDescent="0.25">
      <c r="A212" s="62"/>
      <c r="B212" s="63"/>
      <c r="C212" s="62"/>
      <c r="D212" s="62"/>
      <c r="E212" s="62"/>
      <c r="F212" s="62"/>
      <c r="G212" s="62"/>
      <c r="H212" s="63"/>
      <c r="I212" s="63"/>
      <c r="J212" s="63"/>
      <c r="K212" s="62"/>
      <c r="L212" s="62"/>
      <c r="M212" s="64" t="str">
        <f ca="1">IF($A212="","",IF($G212="Did not pass re-test","Sent back again",IF($G212="Yes",IF(AND(ISNUMBER($J212),ISNUMBER($B212)),"Fixed in "&amp;($J212-$B212)&amp;" d","Accepted"),IF(SUMPRODUCT(--(TRIM('Combined Delivery Data'!$B$2:$B$500)=TRIM($A212)))=0,"Not on main tab - renamed?",IF(NOT(ISNUMBER($B212)),"Missing or invalid sent-back date",IF($B212&gt;TODAY(),"Sent-back date is in future",IF(ISNUMBER($J212),IF($J212&lt;$B212,"Check dates - fixed before sent","Fixed in "&amp;($J212-$B212)&amp;" d"),IF(AND($I212&lt;&gt;"",NOT(ISNUMBER($I212))),"Check Expected Fix Date",IF($I212="","UNCLAIMED "&amp;(TODAY()-$B212)&amp;" d",IF(TODAY()&gt;$I212,(TODAY()-$I212)&amp;" d LATE","Open "&amp;(TODAY()-$B212)&amp;" d"))))))))))</f>
        <v/>
      </c>
      <c r="O212" s="66">
        <f>'Combined Delivery Data'!B211</f>
        <v>0</v>
      </c>
      <c r="P212" s="66">
        <f t="shared" si="12"/>
        <v>0</v>
      </c>
      <c r="Q212" s="66">
        <f t="shared" si="13"/>
        <v>0</v>
      </c>
      <c r="R212" s="67" t="str">
        <f t="shared" si="14"/>
        <v/>
      </c>
      <c r="S212" s="66" t="str">
        <f t="shared" si="15"/>
        <v/>
      </c>
    </row>
    <row r="213" spans="1:19" x14ac:dyDescent="0.25">
      <c r="A213" s="62"/>
      <c r="B213" s="63"/>
      <c r="C213" s="62"/>
      <c r="D213" s="62"/>
      <c r="E213" s="62"/>
      <c r="F213" s="62"/>
      <c r="G213" s="62"/>
      <c r="H213" s="63"/>
      <c r="I213" s="63"/>
      <c r="J213" s="63"/>
      <c r="K213" s="62"/>
      <c r="L213" s="62"/>
      <c r="M213" s="64" t="str">
        <f ca="1">IF($A213="","",IF($G213="Did not pass re-test","Sent back again",IF($G213="Yes",IF(AND(ISNUMBER($J213),ISNUMBER($B213)),"Fixed in "&amp;($J213-$B213)&amp;" d","Accepted"),IF(SUMPRODUCT(--(TRIM('Combined Delivery Data'!$B$2:$B$500)=TRIM($A213)))=0,"Not on main tab - renamed?",IF(NOT(ISNUMBER($B213)),"Missing or invalid sent-back date",IF($B213&gt;TODAY(),"Sent-back date is in future",IF(ISNUMBER($J213),IF($J213&lt;$B213,"Check dates - fixed before sent","Fixed in "&amp;($J213-$B213)&amp;" d"),IF(AND($I213&lt;&gt;"",NOT(ISNUMBER($I213))),"Check Expected Fix Date",IF($I213="","UNCLAIMED "&amp;(TODAY()-$B213)&amp;" d",IF(TODAY()&gt;$I213,(TODAY()-$I213)&amp;" d LATE","Open "&amp;(TODAY()-$B213)&amp;" d"))))))))))</f>
        <v/>
      </c>
      <c r="O213" s="66">
        <f>'Combined Delivery Data'!B212</f>
        <v>0</v>
      </c>
      <c r="P213" s="66">
        <f t="shared" si="12"/>
        <v>0</v>
      </c>
      <c r="Q213" s="66">
        <f t="shared" si="13"/>
        <v>0</v>
      </c>
      <c r="R213" s="67" t="str">
        <f t="shared" si="14"/>
        <v/>
      </c>
      <c r="S213" s="66" t="str">
        <f t="shared" si="15"/>
        <v/>
      </c>
    </row>
    <row r="214" spans="1:19" x14ac:dyDescent="0.25">
      <c r="A214" s="62"/>
      <c r="B214" s="63"/>
      <c r="C214" s="62"/>
      <c r="D214" s="62"/>
      <c r="E214" s="62"/>
      <c r="F214" s="62"/>
      <c r="G214" s="62"/>
      <c r="H214" s="63"/>
      <c r="I214" s="63"/>
      <c r="J214" s="63"/>
      <c r="K214" s="62"/>
      <c r="L214" s="62"/>
      <c r="M214" s="64" t="str">
        <f ca="1">IF($A214="","",IF($G214="Did not pass re-test","Sent back again",IF($G214="Yes",IF(AND(ISNUMBER($J214),ISNUMBER($B214)),"Fixed in "&amp;($J214-$B214)&amp;" d","Accepted"),IF(SUMPRODUCT(--(TRIM('Combined Delivery Data'!$B$2:$B$500)=TRIM($A214)))=0,"Not on main tab - renamed?",IF(NOT(ISNUMBER($B214)),"Missing or invalid sent-back date",IF($B214&gt;TODAY(),"Sent-back date is in future",IF(ISNUMBER($J214),IF($J214&lt;$B214,"Check dates - fixed before sent","Fixed in "&amp;($J214-$B214)&amp;" d"),IF(AND($I214&lt;&gt;"",NOT(ISNUMBER($I214))),"Check Expected Fix Date",IF($I214="","UNCLAIMED "&amp;(TODAY()-$B214)&amp;" d",IF(TODAY()&gt;$I214,(TODAY()-$I214)&amp;" d LATE","Open "&amp;(TODAY()-$B214)&amp;" d"))))))))))</f>
        <v/>
      </c>
      <c r="O214" s="66">
        <f>'Combined Delivery Data'!B213</f>
        <v>0</v>
      </c>
      <c r="P214" s="66">
        <f t="shared" si="12"/>
        <v>0</v>
      </c>
      <c r="Q214" s="66">
        <f t="shared" si="13"/>
        <v>0</v>
      </c>
      <c r="R214" s="67" t="str">
        <f t="shared" si="14"/>
        <v/>
      </c>
      <c r="S214" s="66" t="str">
        <f t="shared" si="15"/>
        <v/>
      </c>
    </row>
    <row r="215" spans="1:19" x14ac:dyDescent="0.25">
      <c r="A215" s="62"/>
      <c r="B215" s="63"/>
      <c r="C215" s="62"/>
      <c r="D215" s="62"/>
      <c r="E215" s="62"/>
      <c r="F215" s="62"/>
      <c r="G215" s="62"/>
      <c r="H215" s="63"/>
      <c r="I215" s="63"/>
      <c r="J215" s="63"/>
      <c r="K215" s="62"/>
      <c r="L215" s="62"/>
      <c r="M215" s="64" t="str">
        <f ca="1">IF($A215="","",IF($G215="Did not pass re-test","Sent back again",IF($G215="Yes",IF(AND(ISNUMBER($J215),ISNUMBER($B215)),"Fixed in "&amp;($J215-$B215)&amp;" d","Accepted"),IF(SUMPRODUCT(--(TRIM('Combined Delivery Data'!$B$2:$B$500)=TRIM($A215)))=0,"Not on main tab - renamed?",IF(NOT(ISNUMBER($B215)),"Missing or invalid sent-back date",IF($B215&gt;TODAY(),"Sent-back date is in future",IF(ISNUMBER($J215),IF($J215&lt;$B215,"Check dates - fixed before sent","Fixed in "&amp;($J215-$B215)&amp;" d"),IF(AND($I215&lt;&gt;"",NOT(ISNUMBER($I215))),"Check Expected Fix Date",IF($I215="","UNCLAIMED "&amp;(TODAY()-$B215)&amp;" d",IF(TODAY()&gt;$I215,(TODAY()-$I215)&amp;" d LATE","Open "&amp;(TODAY()-$B215)&amp;" d"))))))))))</f>
        <v/>
      </c>
      <c r="O215" s="66">
        <f>'Combined Delivery Data'!B214</f>
        <v>0</v>
      </c>
      <c r="P215" s="66">
        <f t="shared" si="12"/>
        <v>0</v>
      </c>
      <c r="Q215" s="66">
        <f t="shared" si="13"/>
        <v>0</v>
      </c>
      <c r="R215" s="67" t="str">
        <f t="shared" si="14"/>
        <v/>
      </c>
      <c r="S215" s="66" t="str">
        <f t="shared" si="15"/>
        <v/>
      </c>
    </row>
    <row r="216" spans="1:19" x14ac:dyDescent="0.25">
      <c r="A216" s="62"/>
      <c r="B216" s="63"/>
      <c r="C216" s="62"/>
      <c r="D216" s="62"/>
      <c r="E216" s="62"/>
      <c r="F216" s="62"/>
      <c r="G216" s="62"/>
      <c r="H216" s="63"/>
      <c r="I216" s="63"/>
      <c r="J216" s="63"/>
      <c r="K216" s="62"/>
      <c r="L216" s="62"/>
      <c r="M216" s="64" t="str">
        <f ca="1">IF($A216="","",IF($G216="Did not pass re-test","Sent back again",IF($G216="Yes",IF(AND(ISNUMBER($J216),ISNUMBER($B216)),"Fixed in "&amp;($J216-$B216)&amp;" d","Accepted"),IF(SUMPRODUCT(--(TRIM('Combined Delivery Data'!$B$2:$B$500)=TRIM($A216)))=0,"Not on main tab - renamed?",IF(NOT(ISNUMBER($B216)),"Missing or invalid sent-back date",IF($B216&gt;TODAY(),"Sent-back date is in future",IF(ISNUMBER($J216),IF($J216&lt;$B216,"Check dates - fixed before sent","Fixed in "&amp;($J216-$B216)&amp;" d"),IF(AND($I216&lt;&gt;"",NOT(ISNUMBER($I216))),"Check Expected Fix Date",IF($I216="","UNCLAIMED "&amp;(TODAY()-$B216)&amp;" d",IF(TODAY()&gt;$I216,(TODAY()-$I216)&amp;" d LATE","Open "&amp;(TODAY()-$B216)&amp;" d"))))))))))</f>
        <v/>
      </c>
      <c r="O216" s="66">
        <f>'Combined Delivery Data'!B215</f>
        <v>0</v>
      </c>
      <c r="P216" s="66">
        <f t="shared" si="12"/>
        <v>0</v>
      </c>
      <c r="Q216" s="66">
        <f t="shared" si="13"/>
        <v>0</v>
      </c>
      <c r="R216" s="67" t="str">
        <f t="shared" si="14"/>
        <v/>
      </c>
      <c r="S216" s="66" t="str">
        <f t="shared" si="15"/>
        <v/>
      </c>
    </row>
    <row r="217" spans="1:19" x14ac:dyDescent="0.25">
      <c r="A217" s="62"/>
      <c r="B217" s="63"/>
      <c r="C217" s="62"/>
      <c r="D217" s="62"/>
      <c r="E217" s="62"/>
      <c r="F217" s="62"/>
      <c r="G217" s="62"/>
      <c r="H217" s="63"/>
      <c r="I217" s="63"/>
      <c r="J217" s="63"/>
      <c r="K217" s="62"/>
      <c r="L217" s="62"/>
      <c r="M217" s="64" t="str">
        <f ca="1">IF($A217="","",IF($G217="Did not pass re-test","Sent back again",IF($G217="Yes",IF(AND(ISNUMBER($J217),ISNUMBER($B217)),"Fixed in "&amp;($J217-$B217)&amp;" d","Accepted"),IF(SUMPRODUCT(--(TRIM('Combined Delivery Data'!$B$2:$B$500)=TRIM($A217)))=0,"Not on main tab - renamed?",IF(NOT(ISNUMBER($B217)),"Missing or invalid sent-back date",IF($B217&gt;TODAY(),"Sent-back date is in future",IF(ISNUMBER($J217),IF($J217&lt;$B217,"Check dates - fixed before sent","Fixed in "&amp;($J217-$B217)&amp;" d"),IF(AND($I217&lt;&gt;"",NOT(ISNUMBER($I217))),"Check Expected Fix Date",IF($I217="","UNCLAIMED "&amp;(TODAY()-$B217)&amp;" d",IF(TODAY()&gt;$I217,(TODAY()-$I217)&amp;" d LATE","Open "&amp;(TODAY()-$B217)&amp;" d"))))))))))</f>
        <v/>
      </c>
      <c r="O217" s="66">
        <f>'Combined Delivery Data'!B216</f>
        <v>0</v>
      </c>
      <c r="P217" s="66">
        <f t="shared" si="12"/>
        <v>0</v>
      </c>
      <c r="Q217" s="66">
        <f t="shared" si="13"/>
        <v>0</v>
      </c>
      <c r="R217" s="67" t="str">
        <f t="shared" si="14"/>
        <v/>
      </c>
      <c r="S217" s="66" t="str">
        <f t="shared" si="15"/>
        <v/>
      </c>
    </row>
    <row r="218" spans="1:19" x14ac:dyDescent="0.25">
      <c r="A218" s="62"/>
      <c r="B218" s="63"/>
      <c r="C218" s="62"/>
      <c r="D218" s="62"/>
      <c r="E218" s="62"/>
      <c r="F218" s="62"/>
      <c r="G218" s="62"/>
      <c r="H218" s="63"/>
      <c r="I218" s="63"/>
      <c r="J218" s="63"/>
      <c r="K218" s="62"/>
      <c r="L218" s="62"/>
      <c r="M218" s="64" t="str">
        <f ca="1">IF($A218="","",IF($G218="Did not pass re-test","Sent back again",IF($G218="Yes",IF(AND(ISNUMBER($J218),ISNUMBER($B218)),"Fixed in "&amp;($J218-$B218)&amp;" d","Accepted"),IF(SUMPRODUCT(--(TRIM('Combined Delivery Data'!$B$2:$B$500)=TRIM($A218)))=0,"Not on main tab - renamed?",IF(NOT(ISNUMBER($B218)),"Missing or invalid sent-back date",IF($B218&gt;TODAY(),"Sent-back date is in future",IF(ISNUMBER($J218),IF($J218&lt;$B218,"Check dates - fixed before sent","Fixed in "&amp;($J218-$B218)&amp;" d"),IF(AND($I218&lt;&gt;"",NOT(ISNUMBER($I218))),"Check Expected Fix Date",IF($I218="","UNCLAIMED "&amp;(TODAY()-$B218)&amp;" d",IF(TODAY()&gt;$I218,(TODAY()-$I218)&amp;" d LATE","Open "&amp;(TODAY()-$B218)&amp;" d"))))))))))</f>
        <v/>
      </c>
      <c r="O218" s="66">
        <f>'Combined Delivery Data'!B217</f>
        <v>0</v>
      </c>
      <c r="P218" s="66">
        <f t="shared" si="12"/>
        <v>0</v>
      </c>
      <c r="Q218" s="66">
        <f t="shared" si="13"/>
        <v>0</v>
      </c>
      <c r="R218" s="67" t="str">
        <f t="shared" si="14"/>
        <v/>
      </c>
      <c r="S218" s="66" t="str">
        <f t="shared" si="15"/>
        <v/>
      </c>
    </row>
    <row r="219" spans="1:19" x14ac:dyDescent="0.25">
      <c r="A219" s="62"/>
      <c r="B219" s="63"/>
      <c r="C219" s="62"/>
      <c r="D219" s="62"/>
      <c r="E219" s="62"/>
      <c r="F219" s="62"/>
      <c r="G219" s="62"/>
      <c r="H219" s="63"/>
      <c r="I219" s="63"/>
      <c r="J219" s="63"/>
      <c r="K219" s="62"/>
      <c r="L219" s="62"/>
      <c r="M219" s="64" t="str">
        <f ca="1">IF($A219="","",IF($G219="Did not pass re-test","Sent back again",IF($G219="Yes",IF(AND(ISNUMBER($J219),ISNUMBER($B219)),"Fixed in "&amp;($J219-$B219)&amp;" d","Accepted"),IF(SUMPRODUCT(--(TRIM('Combined Delivery Data'!$B$2:$B$500)=TRIM($A219)))=0,"Not on main tab - renamed?",IF(NOT(ISNUMBER($B219)),"Missing or invalid sent-back date",IF($B219&gt;TODAY(),"Sent-back date is in future",IF(ISNUMBER($J219),IF($J219&lt;$B219,"Check dates - fixed before sent","Fixed in "&amp;($J219-$B219)&amp;" d"),IF(AND($I219&lt;&gt;"",NOT(ISNUMBER($I219))),"Check Expected Fix Date",IF($I219="","UNCLAIMED "&amp;(TODAY()-$B219)&amp;" d",IF(TODAY()&gt;$I219,(TODAY()-$I219)&amp;" d LATE","Open "&amp;(TODAY()-$B219)&amp;" d"))))))))))</f>
        <v/>
      </c>
      <c r="O219" s="66">
        <f>'Combined Delivery Data'!B218</f>
        <v>0</v>
      </c>
      <c r="P219" s="66">
        <f t="shared" si="12"/>
        <v>0</v>
      </c>
      <c r="Q219" s="66">
        <f t="shared" si="13"/>
        <v>0</v>
      </c>
      <c r="R219" s="67" t="str">
        <f t="shared" si="14"/>
        <v/>
      </c>
      <c r="S219" s="66" t="str">
        <f t="shared" si="15"/>
        <v/>
      </c>
    </row>
    <row r="220" spans="1:19" x14ac:dyDescent="0.25">
      <c r="A220" s="62"/>
      <c r="B220" s="63"/>
      <c r="C220" s="62"/>
      <c r="D220" s="62"/>
      <c r="E220" s="62"/>
      <c r="F220" s="62"/>
      <c r="G220" s="62"/>
      <c r="H220" s="63"/>
      <c r="I220" s="63"/>
      <c r="J220" s="63"/>
      <c r="K220" s="62"/>
      <c r="L220" s="62"/>
      <c r="M220" s="64" t="str">
        <f ca="1">IF($A220="","",IF($G220="Did not pass re-test","Sent back again",IF($G220="Yes",IF(AND(ISNUMBER($J220),ISNUMBER($B220)),"Fixed in "&amp;($J220-$B220)&amp;" d","Accepted"),IF(SUMPRODUCT(--(TRIM('Combined Delivery Data'!$B$2:$B$500)=TRIM($A220)))=0,"Not on main tab - renamed?",IF(NOT(ISNUMBER($B220)),"Missing or invalid sent-back date",IF($B220&gt;TODAY(),"Sent-back date is in future",IF(ISNUMBER($J220),IF($J220&lt;$B220,"Check dates - fixed before sent","Fixed in "&amp;($J220-$B220)&amp;" d"),IF(AND($I220&lt;&gt;"",NOT(ISNUMBER($I220))),"Check Expected Fix Date",IF($I220="","UNCLAIMED "&amp;(TODAY()-$B220)&amp;" d",IF(TODAY()&gt;$I220,(TODAY()-$I220)&amp;" d LATE","Open "&amp;(TODAY()-$B220)&amp;" d"))))))))))</f>
        <v/>
      </c>
      <c r="O220" s="66">
        <f>'Combined Delivery Data'!B219</f>
        <v>0</v>
      </c>
      <c r="P220" s="66">
        <f t="shared" si="12"/>
        <v>0</v>
      </c>
      <c r="Q220" s="66">
        <f t="shared" si="13"/>
        <v>0</v>
      </c>
      <c r="R220" s="67" t="str">
        <f t="shared" si="14"/>
        <v/>
      </c>
      <c r="S220" s="66" t="str">
        <f t="shared" si="15"/>
        <v/>
      </c>
    </row>
    <row r="221" spans="1:19" x14ac:dyDescent="0.25">
      <c r="A221" s="62"/>
      <c r="B221" s="63"/>
      <c r="C221" s="62"/>
      <c r="D221" s="62"/>
      <c r="E221" s="62"/>
      <c r="F221" s="62"/>
      <c r="G221" s="62"/>
      <c r="H221" s="63"/>
      <c r="I221" s="63"/>
      <c r="J221" s="63"/>
      <c r="K221" s="62"/>
      <c r="L221" s="62"/>
      <c r="M221" s="64" t="str">
        <f ca="1">IF($A221="","",IF($G221="Did not pass re-test","Sent back again",IF($G221="Yes",IF(AND(ISNUMBER($J221),ISNUMBER($B221)),"Fixed in "&amp;($J221-$B221)&amp;" d","Accepted"),IF(SUMPRODUCT(--(TRIM('Combined Delivery Data'!$B$2:$B$500)=TRIM($A221)))=0,"Not on main tab - renamed?",IF(NOT(ISNUMBER($B221)),"Missing or invalid sent-back date",IF($B221&gt;TODAY(),"Sent-back date is in future",IF(ISNUMBER($J221),IF($J221&lt;$B221,"Check dates - fixed before sent","Fixed in "&amp;($J221-$B221)&amp;" d"),IF(AND($I221&lt;&gt;"",NOT(ISNUMBER($I221))),"Check Expected Fix Date",IF($I221="","UNCLAIMED "&amp;(TODAY()-$B221)&amp;" d",IF(TODAY()&gt;$I221,(TODAY()-$I221)&amp;" d LATE","Open "&amp;(TODAY()-$B221)&amp;" d"))))))))))</f>
        <v/>
      </c>
      <c r="O221" s="66">
        <f>'Combined Delivery Data'!B220</f>
        <v>0</v>
      </c>
      <c r="P221" s="66">
        <f t="shared" si="12"/>
        <v>0</v>
      </c>
      <c r="Q221" s="66">
        <f t="shared" si="13"/>
        <v>0</v>
      </c>
      <c r="R221" s="67" t="str">
        <f t="shared" si="14"/>
        <v/>
      </c>
      <c r="S221" s="66" t="str">
        <f t="shared" si="15"/>
        <v/>
      </c>
    </row>
    <row r="222" spans="1:19" x14ac:dyDescent="0.25">
      <c r="A222" s="62"/>
      <c r="B222" s="63"/>
      <c r="C222" s="62"/>
      <c r="D222" s="62"/>
      <c r="E222" s="62"/>
      <c r="F222" s="62"/>
      <c r="G222" s="62"/>
      <c r="H222" s="63"/>
      <c r="I222" s="63"/>
      <c r="J222" s="63"/>
      <c r="K222" s="62"/>
      <c r="L222" s="62"/>
      <c r="M222" s="64" t="str">
        <f ca="1">IF($A222="","",IF($G222="Did not pass re-test","Sent back again",IF($G222="Yes",IF(AND(ISNUMBER($J222),ISNUMBER($B222)),"Fixed in "&amp;($J222-$B222)&amp;" d","Accepted"),IF(SUMPRODUCT(--(TRIM('Combined Delivery Data'!$B$2:$B$500)=TRIM($A222)))=0,"Not on main tab - renamed?",IF(NOT(ISNUMBER($B222)),"Missing or invalid sent-back date",IF($B222&gt;TODAY(),"Sent-back date is in future",IF(ISNUMBER($J222),IF($J222&lt;$B222,"Check dates - fixed before sent","Fixed in "&amp;($J222-$B222)&amp;" d"),IF(AND($I222&lt;&gt;"",NOT(ISNUMBER($I222))),"Check Expected Fix Date",IF($I222="","UNCLAIMED "&amp;(TODAY()-$B222)&amp;" d",IF(TODAY()&gt;$I222,(TODAY()-$I222)&amp;" d LATE","Open "&amp;(TODAY()-$B222)&amp;" d"))))))))))</f>
        <v/>
      </c>
      <c r="O222" s="66">
        <f>'Combined Delivery Data'!B221</f>
        <v>0</v>
      </c>
      <c r="P222" s="66">
        <f t="shared" si="12"/>
        <v>0</v>
      </c>
      <c r="Q222" s="66">
        <f t="shared" si="13"/>
        <v>0</v>
      </c>
      <c r="R222" s="67" t="str">
        <f t="shared" si="14"/>
        <v/>
      </c>
      <c r="S222" s="66" t="str">
        <f t="shared" si="15"/>
        <v/>
      </c>
    </row>
    <row r="223" spans="1:19" x14ac:dyDescent="0.25">
      <c r="A223" s="62"/>
      <c r="B223" s="63"/>
      <c r="C223" s="62"/>
      <c r="D223" s="62"/>
      <c r="E223" s="62"/>
      <c r="F223" s="62"/>
      <c r="G223" s="62"/>
      <c r="H223" s="63"/>
      <c r="I223" s="63"/>
      <c r="J223" s="63"/>
      <c r="K223" s="62"/>
      <c r="L223" s="62"/>
      <c r="M223" s="64" t="str">
        <f ca="1">IF($A223="","",IF($G223="Did not pass re-test","Sent back again",IF($G223="Yes",IF(AND(ISNUMBER($J223),ISNUMBER($B223)),"Fixed in "&amp;($J223-$B223)&amp;" d","Accepted"),IF(SUMPRODUCT(--(TRIM('Combined Delivery Data'!$B$2:$B$500)=TRIM($A223)))=0,"Not on main tab - renamed?",IF(NOT(ISNUMBER($B223)),"Missing or invalid sent-back date",IF($B223&gt;TODAY(),"Sent-back date is in future",IF(ISNUMBER($J223),IF($J223&lt;$B223,"Check dates - fixed before sent","Fixed in "&amp;($J223-$B223)&amp;" d"),IF(AND($I223&lt;&gt;"",NOT(ISNUMBER($I223))),"Check Expected Fix Date",IF($I223="","UNCLAIMED "&amp;(TODAY()-$B223)&amp;" d",IF(TODAY()&gt;$I223,(TODAY()-$I223)&amp;" d LATE","Open "&amp;(TODAY()-$B223)&amp;" d"))))))))))</f>
        <v/>
      </c>
      <c r="O223" s="66">
        <f>'Combined Delivery Data'!B222</f>
        <v>0</v>
      </c>
      <c r="P223" s="66">
        <f t="shared" si="12"/>
        <v>0</v>
      </c>
      <c r="Q223" s="66">
        <f t="shared" si="13"/>
        <v>0</v>
      </c>
      <c r="R223" s="67" t="str">
        <f t="shared" si="14"/>
        <v/>
      </c>
      <c r="S223" s="66" t="str">
        <f t="shared" si="15"/>
        <v/>
      </c>
    </row>
    <row r="224" spans="1:19" x14ac:dyDescent="0.25">
      <c r="A224" s="62"/>
      <c r="B224" s="63"/>
      <c r="C224" s="62"/>
      <c r="D224" s="62"/>
      <c r="E224" s="62"/>
      <c r="F224" s="62"/>
      <c r="G224" s="62"/>
      <c r="H224" s="63"/>
      <c r="I224" s="63"/>
      <c r="J224" s="63"/>
      <c r="K224" s="62"/>
      <c r="L224" s="62"/>
      <c r="M224" s="64" t="str">
        <f ca="1">IF($A224="","",IF($G224="Did not pass re-test","Sent back again",IF($G224="Yes",IF(AND(ISNUMBER($J224),ISNUMBER($B224)),"Fixed in "&amp;($J224-$B224)&amp;" d","Accepted"),IF(SUMPRODUCT(--(TRIM('Combined Delivery Data'!$B$2:$B$500)=TRIM($A224)))=0,"Not on main tab - renamed?",IF(NOT(ISNUMBER($B224)),"Missing or invalid sent-back date",IF($B224&gt;TODAY(),"Sent-back date is in future",IF(ISNUMBER($J224),IF($J224&lt;$B224,"Check dates - fixed before sent","Fixed in "&amp;($J224-$B224)&amp;" d"),IF(AND($I224&lt;&gt;"",NOT(ISNUMBER($I224))),"Check Expected Fix Date",IF($I224="","UNCLAIMED "&amp;(TODAY()-$B224)&amp;" d",IF(TODAY()&gt;$I224,(TODAY()-$I224)&amp;" d LATE","Open "&amp;(TODAY()-$B224)&amp;" d"))))))))))</f>
        <v/>
      </c>
      <c r="O224" s="66">
        <f>'Combined Delivery Data'!B223</f>
        <v>0</v>
      </c>
      <c r="P224" s="66">
        <f t="shared" si="12"/>
        <v>0</v>
      </c>
      <c r="Q224" s="66">
        <f t="shared" si="13"/>
        <v>0</v>
      </c>
      <c r="R224" s="67" t="str">
        <f t="shared" si="14"/>
        <v/>
      </c>
      <c r="S224" s="66" t="str">
        <f t="shared" si="15"/>
        <v/>
      </c>
    </row>
    <row r="225" spans="1:19" x14ac:dyDescent="0.25">
      <c r="A225" s="62"/>
      <c r="B225" s="63"/>
      <c r="C225" s="62"/>
      <c r="D225" s="62"/>
      <c r="E225" s="62"/>
      <c r="F225" s="62"/>
      <c r="G225" s="62"/>
      <c r="H225" s="63"/>
      <c r="I225" s="63"/>
      <c r="J225" s="63"/>
      <c r="K225" s="62"/>
      <c r="L225" s="62"/>
      <c r="M225" s="64" t="str">
        <f ca="1">IF($A225="","",IF($G225="Did not pass re-test","Sent back again",IF($G225="Yes",IF(AND(ISNUMBER($J225),ISNUMBER($B225)),"Fixed in "&amp;($J225-$B225)&amp;" d","Accepted"),IF(SUMPRODUCT(--(TRIM('Combined Delivery Data'!$B$2:$B$500)=TRIM($A225)))=0,"Not on main tab - renamed?",IF(NOT(ISNUMBER($B225)),"Missing or invalid sent-back date",IF($B225&gt;TODAY(),"Sent-back date is in future",IF(ISNUMBER($J225),IF($J225&lt;$B225,"Check dates - fixed before sent","Fixed in "&amp;($J225-$B225)&amp;" d"),IF(AND($I225&lt;&gt;"",NOT(ISNUMBER($I225))),"Check Expected Fix Date",IF($I225="","UNCLAIMED "&amp;(TODAY()-$B225)&amp;" d",IF(TODAY()&gt;$I225,(TODAY()-$I225)&amp;" d LATE","Open "&amp;(TODAY()-$B225)&amp;" d"))))))))))</f>
        <v/>
      </c>
      <c r="O225" s="66">
        <f>'Combined Delivery Data'!B224</f>
        <v>0</v>
      </c>
      <c r="P225" s="66">
        <f t="shared" si="12"/>
        <v>0</v>
      </c>
      <c r="Q225" s="66">
        <f t="shared" si="13"/>
        <v>0</v>
      </c>
      <c r="R225" s="67" t="str">
        <f t="shared" si="14"/>
        <v/>
      </c>
      <c r="S225" s="66" t="str">
        <f t="shared" si="15"/>
        <v/>
      </c>
    </row>
    <row r="226" spans="1:19" x14ac:dyDescent="0.25">
      <c r="A226" s="62"/>
      <c r="B226" s="63"/>
      <c r="C226" s="62"/>
      <c r="D226" s="62"/>
      <c r="E226" s="62"/>
      <c r="F226" s="62"/>
      <c r="G226" s="62"/>
      <c r="H226" s="63"/>
      <c r="I226" s="63"/>
      <c r="J226" s="63"/>
      <c r="K226" s="62"/>
      <c r="L226" s="62"/>
      <c r="M226" s="64" t="str">
        <f ca="1">IF($A226="","",IF($G226="Did not pass re-test","Sent back again",IF($G226="Yes",IF(AND(ISNUMBER($J226),ISNUMBER($B226)),"Fixed in "&amp;($J226-$B226)&amp;" d","Accepted"),IF(SUMPRODUCT(--(TRIM('Combined Delivery Data'!$B$2:$B$500)=TRIM($A226)))=0,"Not on main tab - renamed?",IF(NOT(ISNUMBER($B226)),"Missing or invalid sent-back date",IF($B226&gt;TODAY(),"Sent-back date is in future",IF(ISNUMBER($J226),IF($J226&lt;$B226,"Check dates - fixed before sent","Fixed in "&amp;($J226-$B226)&amp;" d"),IF(AND($I226&lt;&gt;"",NOT(ISNUMBER($I226))),"Check Expected Fix Date",IF($I226="","UNCLAIMED "&amp;(TODAY()-$B226)&amp;" d",IF(TODAY()&gt;$I226,(TODAY()-$I226)&amp;" d LATE","Open "&amp;(TODAY()-$B226)&amp;" d"))))))))))</f>
        <v/>
      </c>
      <c r="O226" s="66">
        <f>'Combined Delivery Data'!B225</f>
        <v>0</v>
      </c>
      <c r="P226" s="66">
        <f t="shared" si="12"/>
        <v>0</v>
      </c>
      <c r="Q226" s="66">
        <f t="shared" si="13"/>
        <v>0</v>
      </c>
      <c r="R226" s="67" t="str">
        <f t="shared" si="14"/>
        <v/>
      </c>
      <c r="S226" s="66" t="str">
        <f t="shared" si="15"/>
        <v/>
      </c>
    </row>
    <row r="227" spans="1:19" x14ac:dyDescent="0.25">
      <c r="A227" s="62"/>
      <c r="B227" s="63"/>
      <c r="C227" s="62"/>
      <c r="D227" s="62"/>
      <c r="E227" s="62"/>
      <c r="F227" s="62"/>
      <c r="G227" s="62"/>
      <c r="H227" s="63"/>
      <c r="I227" s="63"/>
      <c r="J227" s="63"/>
      <c r="K227" s="62"/>
      <c r="L227" s="62"/>
      <c r="M227" s="64" t="str">
        <f ca="1">IF($A227="","",IF($G227="Did not pass re-test","Sent back again",IF($G227="Yes",IF(AND(ISNUMBER($J227),ISNUMBER($B227)),"Fixed in "&amp;($J227-$B227)&amp;" d","Accepted"),IF(SUMPRODUCT(--(TRIM('Combined Delivery Data'!$B$2:$B$500)=TRIM($A227)))=0,"Not on main tab - renamed?",IF(NOT(ISNUMBER($B227)),"Missing or invalid sent-back date",IF($B227&gt;TODAY(),"Sent-back date is in future",IF(ISNUMBER($J227),IF($J227&lt;$B227,"Check dates - fixed before sent","Fixed in "&amp;($J227-$B227)&amp;" d"),IF(AND($I227&lt;&gt;"",NOT(ISNUMBER($I227))),"Check Expected Fix Date",IF($I227="","UNCLAIMED "&amp;(TODAY()-$B227)&amp;" d",IF(TODAY()&gt;$I227,(TODAY()-$I227)&amp;" d LATE","Open "&amp;(TODAY()-$B227)&amp;" d"))))))))))</f>
        <v/>
      </c>
      <c r="O227" s="66">
        <f>'Combined Delivery Data'!B226</f>
        <v>0</v>
      </c>
      <c r="P227" s="66">
        <f t="shared" si="12"/>
        <v>0</v>
      </c>
      <c r="Q227" s="66">
        <f t="shared" si="13"/>
        <v>0</v>
      </c>
      <c r="R227" s="67" t="str">
        <f t="shared" si="14"/>
        <v/>
      </c>
      <c r="S227" s="66" t="str">
        <f t="shared" si="15"/>
        <v/>
      </c>
    </row>
    <row r="228" spans="1:19" x14ac:dyDescent="0.25">
      <c r="A228" s="62"/>
      <c r="B228" s="63"/>
      <c r="C228" s="62"/>
      <c r="D228" s="62"/>
      <c r="E228" s="62"/>
      <c r="F228" s="62"/>
      <c r="G228" s="62"/>
      <c r="H228" s="63"/>
      <c r="I228" s="63"/>
      <c r="J228" s="63"/>
      <c r="K228" s="62"/>
      <c r="L228" s="62"/>
      <c r="M228" s="64" t="str">
        <f ca="1">IF($A228="","",IF($G228="Did not pass re-test","Sent back again",IF($G228="Yes",IF(AND(ISNUMBER($J228),ISNUMBER($B228)),"Fixed in "&amp;($J228-$B228)&amp;" d","Accepted"),IF(SUMPRODUCT(--(TRIM('Combined Delivery Data'!$B$2:$B$500)=TRIM($A228)))=0,"Not on main tab - renamed?",IF(NOT(ISNUMBER($B228)),"Missing or invalid sent-back date",IF($B228&gt;TODAY(),"Sent-back date is in future",IF(ISNUMBER($J228),IF($J228&lt;$B228,"Check dates - fixed before sent","Fixed in "&amp;($J228-$B228)&amp;" d"),IF(AND($I228&lt;&gt;"",NOT(ISNUMBER($I228))),"Check Expected Fix Date",IF($I228="","UNCLAIMED "&amp;(TODAY()-$B228)&amp;" d",IF(TODAY()&gt;$I228,(TODAY()-$I228)&amp;" d LATE","Open "&amp;(TODAY()-$B228)&amp;" d"))))))))))</f>
        <v/>
      </c>
      <c r="O228" s="66">
        <f>'Combined Delivery Data'!B227</f>
        <v>0</v>
      </c>
      <c r="P228" s="66">
        <f t="shared" si="12"/>
        <v>0</v>
      </c>
      <c r="Q228" s="66">
        <f t="shared" si="13"/>
        <v>0</v>
      </c>
      <c r="R228" s="67" t="str">
        <f t="shared" si="14"/>
        <v/>
      </c>
      <c r="S228" s="66" t="str">
        <f t="shared" si="15"/>
        <v/>
      </c>
    </row>
    <row r="229" spans="1:19" x14ac:dyDescent="0.25">
      <c r="A229" s="62"/>
      <c r="B229" s="63"/>
      <c r="C229" s="62"/>
      <c r="D229" s="62"/>
      <c r="E229" s="62"/>
      <c r="F229" s="62"/>
      <c r="G229" s="62"/>
      <c r="H229" s="63"/>
      <c r="I229" s="63"/>
      <c r="J229" s="63"/>
      <c r="K229" s="62"/>
      <c r="L229" s="62"/>
      <c r="M229" s="64" t="str">
        <f ca="1">IF($A229="","",IF($G229="Did not pass re-test","Sent back again",IF($G229="Yes",IF(AND(ISNUMBER($J229),ISNUMBER($B229)),"Fixed in "&amp;($J229-$B229)&amp;" d","Accepted"),IF(SUMPRODUCT(--(TRIM('Combined Delivery Data'!$B$2:$B$500)=TRIM($A229)))=0,"Not on main tab - renamed?",IF(NOT(ISNUMBER($B229)),"Missing or invalid sent-back date",IF($B229&gt;TODAY(),"Sent-back date is in future",IF(ISNUMBER($J229),IF($J229&lt;$B229,"Check dates - fixed before sent","Fixed in "&amp;($J229-$B229)&amp;" d"),IF(AND($I229&lt;&gt;"",NOT(ISNUMBER($I229))),"Check Expected Fix Date",IF($I229="","UNCLAIMED "&amp;(TODAY()-$B229)&amp;" d",IF(TODAY()&gt;$I229,(TODAY()-$I229)&amp;" d LATE","Open "&amp;(TODAY()-$B229)&amp;" d"))))))))))</f>
        <v/>
      </c>
      <c r="O229" s="66">
        <f>'Combined Delivery Data'!B228</f>
        <v>0</v>
      </c>
      <c r="P229" s="66">
        <f t="shared" si="12"/>
        <v>0</v>
      </c>
      <c r="Q229" s="66">
        <f t="shared" si="13"/>
        <v>0</v>
      </c>
      <c r="R229" s="67" t="str">
        <f t="shared" si="14"/>
        <v/>
      </c>
      <c r="S229" s="66" t="str">
        <f t="shared" si="15"/>
        <v/>
      </c>
    </row>
    <row r="230" spans="1:19" x14ac:dyDescent="0.25">
      <c r="A230" s="62"/>
      <c r="B230" s="63"/>
      <c r="C230" s="62"/>
      <c r="D230" s="62"/>
      <c r="E230" s="62"/>
      <c r="F230" s="62"/>
      <c r="G230" s="62"/>
      <c r="H230" s="63"/>
      <c r="I230" s="63"/>
      <c r="J230" s="63"/>
      <c r="K230" s="62"/>
      <c r="L230" s="62"/>
      <c r="M230" s="64" t="str">
        <f ca="1">IF($A230="","",IF($G230="Did not pass re-test","Sent back again",IF($G230="Yes",IF(AND(ISNUMBER($J230),ISNUMBER($B230)),"Fixed in "&amp;($J230-$B230)&amp;" d","Accepted"),IF(SUMPRODUCT(--(TRIM('Combined Delivery Data'!$B$2:$B$500)=TRIM($A230)))=0,"Not on main tab - renamed?",IF(NOT(ISNUMBER($B230)),"Missing or invalid sent-back date",IF($B230&gt;TODAY(),"Sent-back date is in future",IF(ISNUMBER($J230),IF($J230&lt;$B230,"Check dates - fixed before sent","Fixed in "&amp;($J230-$B230)&amp;" d"),IF(AND($I230&lt;&gt;"",NOT(ISNUMBER($I230))),"Check Expected Fix Date",IF($I230="","UNCLAIMED "&amp;(TODAY()-$B230)&amp;" d",IF(TODAY()&gt;$I230,(TODAY()-$I230)&amp;" d LATE","Open "&amp;(TODAY()-$B230)&amp;" d"))))))))))</f>
        <v/>
      </c>
      <c r="O230" s="66">
        <f>'Combined Delivery Data'!B229</f>
        <v>0</v>
      </c>
      <c r="P230" s="66">
        <f t="shared" si="12"/>
        <v>0</v>
      </c>
      <c r="Q230" s="66">
        <f t="shared" si="13"/>
        <v>0</v>
      </c>
      <c r="R230" s="67" t="str">
        <f t="shared" si="14"/>
        <v/>
      </c>
      <c r="S230" s="66" t="str">
        <f t="shared" si="15"/>
        <v/>
      </c>
    </row>
    <row r="231" spans="1:19" x14ac:dyDescent="0.25">
      <c r="A231" s="62"/>
      <c r="B231" s="63"/>
      <c r="C231" s="62"/>
      <c r="D231" s="62"/>
      <c r="E231" s="62"/>
      <c r="F231" s="62"/>
      <c r="G231" s="62"/>
      <c r="H231" s="63"/>
      <c r="I231" s="63"/>
      <c r="J231" s="63"/>
      <c r="K231" s="62"/>
      <c r="L231" s="62"/>
      <c r="M231" s="64" t="str">
        <f ca="1">IF($A231="","",IF($G231="Did not pass re-test","Sent back again",IF($G231="Yes",IF(AND(ISNUMBER($J231),ISNUMBER($B231)),"Fixed in "&amp;($J231-$B231)&amp;" d","Accepted"),IF(SUMPRODUCT(--(TRIM('Combined Delivery Data'!$B$2:$B$500)=TRIM($A231)))=0,"Not on main tab - renamed?",IF(NOT(ISNUMBER($B231)),"Missing or invalid sent-back date",IF($B231&gt;TODAY(),"Sent-back date is in future",IF(ISNUMBER($J231),IF($J231&lt;$B231,"Check dates - fixed before sent","Fixed in "&amp;($J231-$B231)&amp;" d"),IF(AND($I231&lt;&gt;"",NOT(ISNUMBER($I231))),"Check Expected Fix Date",IF($I231="","UNCLAIMED "&amp;(TODAY()-$B231)&amp;" d",IF(TODAY()&gt;$I231,(TODAY()-$I231)&amp;" d LATE","Open "&amp;(TODAY()-$B231)&amp;" d"))))))))))</f>
        <v/>
      </c>
      <c r="O231" s="66">
        <f>'Combined Delivery Data'!B230</f>
        <v>0</v>
      </c>
      <c r="P231" s="66">
        <f t="shared" si="12"/>
        <v>0</v>
      </c>
      <c r="Q231" s="66">
        <f t="shared" si="13"/>
        <v>0</v>
      </c>
      <c r="R231" s="67" t="str">
        <f t="shared" si="14"/>
        <v/>
      </c>
      <c r="S231" s="66" t="str">
        <f t="shared" si="15"/>
        <v/>
      </c>
    </row>
    <row r="232" spans="1:19" x14ac:dyDescent="0.25">
      <c r="A232" s="62"/>
      <c r="B232" s="63"/>
      <c r="C232" s="62"/>
      <c r="D232" s="62"/>
      <c r="E232" s="62"/>
      <c r="F232" s="62"/>
      <c r="G232" s="62"/>
      <c r="H232" s="63"/>
      <c r="I232" s="63"/>
      <c r="J232" s="63"/>
      <c r="K232" s="62"/>
      <c r="L232" s="62"/>
      <c r="M232" s="64" t="str">
        <f ca="1">IF($A232="","",IF($G232="Did not pass re-test","Sent back again",IF($G232="Yes",IF(AND(ISNUMBER($J232),ISNUMBER($B232)),"Fixed in "&amp;($J232-$B232)&amp;" d","Accepted"),IF(SUMPRODUCT(--(TRIM('Combined Delivery Data'!$B$2:$B$500)=TRIM($A232)))=0,"Not on main tab - renamed?",IF(NOT(ISNUMBER($B232)),"Missing or invalid sent-back date",IF($B232&gt;TODAY(),"Sent-back date is in future",IF(ISNUMBER($J232),IF($J232&lt;$B232,"Check dates - fixed before sent","Fixed in "&amp;($J232-$B232)&amp;" d"),IF(AND($I232&lt;&gt;"",NOT(ISNUMBER($I232))),"Check Expected Fix Date",IF($I232="","UNCLAIMED "&amp;(TODAY()-$B232)&amp;" d",IF(TODAY()&gt;$I232,(TODAY()-$I232)&amp;" d LATE","Open "&amp;(TODAY()-$B232)&amp;" d"))))))))))</f>
        <v/>
      </c>
      <c r="O232" s="66">
        <f>'Combined Delivery Data'!B231</f>
        <v>0</v>
      </c>
      <c r="P232" s="66">
        <f t="shared" si="12"/>
        <v>0</v>
      </c>
      <c r="Q232" s="66">
        <f t="shared" si="13"/>
        <v>0</v>
      </c>
      <c r="R232" s="67" t="str">
        <f t="shared" si="14"/>
        <v/>
      </c>
      <c r="S232" s="66" t="str">
        <f t="shared" si="15"/>
        <v/>
      </c>
    </row>
    <row r="233" spans="1:19" x14ac:dyDescent="0.25">
      <c r="A233" s="62"/>
      <c r="B233" s="63"/>
      <c r="C233" s="62"/>
      <c r="D233" s="62"/>
      <c r="E233" s="62"/>
      <c r="F233" s="62"/>
      <c r="G233" s="62"/>
      <c r="H233" s="63"/>
      <c r="I233" s="63"/>
      <c r="J233" s="63"/>
      <c r="K233" s="62"/>
      <c r="L233" s="62"/>
      <c r="M233" s="64" t="str">
        <f ca="1">IF($A233="","",IF($G233="Did not pass re-test","Sent back again",IF($G233="Yes",IF(AND(ISNUMBER($J233),ISNUMBER($B233)),"Fixed in "&amp;($J233-$B233)&amp;" d","Accepted"),IF(SUMPRODUCT(--(TRIM('Combined Delivery Data'!$B$2:$B$500)=TRIM($A233)))=0,"Not on main tab - renamed?",IF(NOT(ISNUMBER($B233)),"Missing or invalid sent-back date",IF($B233&gt;TODAY(),"Sent-back date is in future",IF(ISNUMBER($J233),IF($J233&lt;$B233,"Check dates - fixed before sent","Fixed in "&amp;($J233-$B233)&amp;" d"),IF(AND($I233&lt;&gt;"",NOT(ISNUMBER($I233))),"Check Expected Fix Date",IF($I233="","UNCLAIMED "&amp;(TODAY()-$B233)&amp;" d",IF(TODAY()&gt;$I233,(TODAY()-$I233)&amp;" d LATE","Open "&amp;(TODAY()-$B233)&amp;" d"))))))))))</f>
        <v/>
      </c>
      <c r="O233" s="66">
        <f>'Combined Delivery Data'!B232</f>
        <v>0</v>
      </c>
      <c r="P233" s="66">
        <f t="shared" si="12"/>
        <v>0</v>
      </c>
      <c r="Q233" s="66">
        <f t="shared" si="13"/>
        <v>0</v>
      </c>
      <c r="R233" s="67" t="str">
        <f t="shared" si="14"/>
        <v/>
      </c>
      <c r="S233" s="66" t="str">
        <f t="shared" si="15"/>
        <v/>
      </c>
    </row>
    <row r="234" spans="1:19" x14ac:dyDescent="0.25">
      <c r="A234" s="62"/>
      <c r="B234" s="63"/>
      <c r="C234" s="62"/>
      <c r="D234" s="62"/>
      <c r="E234" s="62"/>
      <c r="F234" s="62"/>
      <c r="G234" s="62"/>
      <c r="H234" s="63"/>
      <c r="I234" s="63"/>
      <c r="J234" s="63"/>
      <c r="K234" s="62"/>
      <c r="L234" s="62"/>
      <c r="M234" s="64" t="str">
        <f ca="1">IF($A234="","",IF($G234="Did not pass re-test","Sent back again",IF($G234="Yes",IF(AND(ISNUMBER($J234),ISNUMBER($B234)),"Fixed in "&amp;($J234-$B234)&amp;" d","Accepted"),IF(SUMPRODUCT(--(TRIM('Combined Delivery Data'!$B$2:$B$500)=TRIM($A234)))=0,"Not on main tab - renamed?",IF(NOT(ISNUMBER($B234)),"Missing or invalid sent-back date",IF($B234&gt;TODAY(),"Sent-back date is in future",IF(ISNUMBER($J234),IF($J234&lt;$B234,"Check dates - fixed before sent","Fixed in "&amp;($J234-$B234)&amp;" d"),IF(AND($I234&lt;&gt;"",NOT(ISNUMBER($I234))),"Check Expected Fix Date",IF($I234="","UNCLAIMED "&amp;(TODAY()-$B234)&amp;" d",IF(TODAY()&gt;$I234,(TODAY()-$I234)&amp;" d LATE","Open "&amp;(TODAY()-$B234)&amp;" d"))))))))))</f>
        <v/>
      </c>
      <c r="O234" s="66">
        <f>'Combined Delivery Data'!B233</f>
        <v>0</v>
      </c>
      <c r="P234" s="66">
        <f t="shared" si="12"/>
        <v>0</v>
      </c>
      <c r="Q234" s="66">
        <f t="shared" si="13"/>
        <v>0</v>
      </c>
      <c r="R234" s="67" t="str">
        <f t="shared" si="14"/>
        <v/>
      </c>
      <c r="S234" s="66" t="str">
        <f t="shared" si="15"/>
        <v/>
      </c>
    </row>
    <row r="235" spans="1:19" x14ac:dyDescent="0.25">
      <c r="A235" s="62"/>
      <c r="B235" s="63"/>
      <c r="C235" s="62"/>
      <c r="D235" s="62"/>
      <c r="E235" s="62"/>
      <c r="F235" s="62"/>
      <c r="G235" s="62"/>
      <c r="H235" s="63"/>
      <c r="I235" s="63"/>
      <c r="J235" s="63"/>
      <c r="K235" s="62"/>
      <c r="L235" s="62"/>
      <c r="M235" s="64" t="str">
        <f ca="1">IF($A235="","",IF($G235="Did not pass re-test","Sent back again",IF($G235="Yes",IF(AND(ISNUMBER($J235),ISNUMBER($B235)),"Fixed in "&amp;($J235-$B235)&amp;" d","Accepted"),IF(SUMPRODUCT(--(TRIM('Combined Delivery Data'!$B$2:$B$500)=TRIM($A235)))=0,"Not on main tab - renamed?",IF(NOT(ISNUMBER($B235)),"Missing or invalid sent-back date",IF($B235&gt;TODAY(),"Sent-back date is in future",IF(ISNUMBER($J235),IF($J235&lt;$B235,"Check dates - fixed before sent","Fixed in "&amp;($J235-$B235)&amp;" d"),IF(AND($I235&lt;&gt;"",NOT(ISNUMBER($I235))),"Check Expected Fix Date",IF($I235="","UNCLAIMED "&amp;(TODAY()-$B235)&amp;" d",IF(TODAY()&gt;$I235,(TODAY()-$I235)&amp;" d LATE","Open "&amp;(TODAY()-$B235)&amp;" d"))))))))))</f>
        <v/>
      </c>
      <c r="O235" s="66">
        <f>'Combined Delivery Data'!B234</f>
        <v>0</v>
      </c>
      <c r="P235" s="66">
        <f t="shared" si="12"/>
        <v>0</v>
      </c>
      <c r="Q235" s="66">
        <f t="shared" si="13"/>
        <v>0</v>
      </c>
      <c r="R235" s="67" t="str">
        <f t="shared" si="14"/>
        <v/>
      </c>
      <c r="S235" s="66" t="str">
        <f t="shared" si="15"/>
        <v/>
      </c>
    </row>
    <row r="236" spans="1:19" x14ac:dyDescent="0.25">
      <c r="A236" s="62"/>
      <c r="B236" s="63"/>
      <c r="C236" s="62"/>
      <c r="D236" s="62"/>
      <c r="E236" s="62"/>
      <c r="F236" s="62"/>
      <c r="G236" s="62"/>
      <c r="H236" s="63"/>
      <c r="I236" s="63"/>
      <c r="J236" s="63"/>
      <c r="K236" s="62"/>
      <c r="L236" s="62"/>
      <c r="M236" s="64" t="str">
        <f ca="1">IF($A236="","",IF($G236="Did not pass re-test","Sent back again",IF($G236="Yes",IF(AND(ISNUMBER($J236),ISNUMBER($B236)),"Fixed in "&amp;($J236-$B236)&amp;" d","Accepted"),IF(SUMPRODUCT(--(TRIM('Combined Delivery Data'!$B$2:$B$500)=TRIM($A236)))=0,"Not on main tab - renamed?",IF(NOT(ISNUMBER($B236)),"Missing or invalid sent-back date",IF($B236&gt;TODAY(),"Sent-back date is in future",IF(ISNUMBER($J236),IF($J236&lt;$B236,"Check dates - fixed before sent","Fixed in "&amp;($J236-$B236)&amp;" d"),IF(AND($I236&lt;&gt;"",NOT(ISNUMBER($I236))),"Check Expected Fix Date",IF($I236="","UNCLAIMED "&amp;(TODAY()-$B236)&amp;" d",IF(TODAY()&gt;$I236,(TODAY()-$I236)&amp;" d LATE","Open "&amp;(TODAY()-$B236)&amp;" d"))))))))))</f>
        <v/>
      </c>
      <c r="O236" s="66">
        <f>'Combined Delivery Data'!B235</f>
        <v>0</v>
      </c>
      <c r="P236" s="66">
        <f t="shared" si="12"/>
        <v>0</v>
      </c>
      <c r="Q236" s="66">
        <f t="shared" si="13"/>
        <v>0</v>
      </c>
      <c r="R236" s="67" t="str">
        <f t="shared" si="14"/>
        <v/>
      </c>
      <c r="S236" s="66" t="str">
        <f t="shared" si="15"/>
        <v/>
      </c>
    </row>
    <row r="237" spans="1:19" x14ac:dyDescent="0.25">
      <c r="A237" s="62"/>
      <c r="B237" s="63"/>
      <c r="C237" s="62"/>
      <c r="D237" s="62"/>
      <c r="E237" s="62"/>
      <c r="F237" s="62"/>
      <c r="G237" s="62"/>
      <c r="H237" s="63"/>
      <c r="I237" s="63"/>
      <c r="J237" s="63"/>
      <c r="K237" s="62"/>
      <c r="L237" s="62"/>
      <c r="M237" s="64" t="str">
        <f ca="1">IF($A237="","",IF($G237="Did not pass re-test","Sent back again",IF($G237="Yes",IF(AND(ISNUMBER($J237),ISNUMBER($B237)),"Fixed in "&amp;($J237-$B237)&amp;" d","Accepted"),IF(SUMPRODUCT(--(TRIM('Combined Delivery Data'!$B$2:$B$500)=TRIM($A237)))=0,"Not on main tab - renamed?",IF(NOT(ISNUMBER($B237)),"Missing or invalid sent-back date",IF($B237&gt;TODAY(),"Sent-back date is in future",IF(ISNUMBER($J237),IF($J237&lt;$B237,"Check dates - fixed before sent","Fixed in "&amp;($J237-$B237)&amp;" d"),IF(AND($I237&lt;&gt;"",NOT(ISNUMBER($I237))),"Check Expected Fix Date",IF($I237="","UNCLAIMED "&amp;(TODAY()-$B237)&amp;" d",IF(TODAY()&gt;$I237,(TODAY()-$I237)&amp;" d LATE","Open "&amp;(TODAY()-$B237)&amp;" d"))))))))))</f>
        <v/>
      </c>
      <c r="O237" s="66">
        <f>'Combined Delivery Data'!B236</f>
        <v>0</v>
      </c>
      <c r="P237" s="66">
        <f t="shared" si="12"/>
        <v>0</v>
      </c>
      <c r="Q237" s="66">
        <f t="shared" si="13"/>
        <v>0</v>
      </c>
      <c r="R237" s="67" t="str">
        <f t="shared" si="14"/>
        <v/>
      </c>
      <c r="S237" s="66" t="str">
        <f t="shared" si="15"/>
        <v/>
      </c>
    </row>
    <row r="238" spans="1:19" x14ac:dyDescent="0.25">
      <c r="A238" s="62"/>
      <c r="B238" s="63"/>
      <c r="C238" s="62"/>
      <c r="D238" s="62"/>
      <c r="E238" s="62"/>
      <c r="F238" s="62"/>
      <c r="G238" s="62"/>
      <c r="H238" s="63"/>
      <c r="I238" s="63"/>
      <c r="J238" s="63"/>
      <c r="K238" s="62"/>
      <c r="L238" s="62"/>
      <c r="M238" s="64" t="str">
        <f ca="1">IF($A238="","",IF($G238="Did not pass re-test","Sent back again",IF($G238="Yes",IF(AND(ISNUMBER($J238),ISNUMBER($B238)),"Fixed in "&amp;($J238-$B238)&amp;" d","Accepted"),IF(SUMPRODUCT(--(TRIM('Combined Delivery Data'!$B$2:$B$500)=TRIM($A238)))=0,"Not on main tab - renamed?",IF(NOT(ISNUMBER($B238)),"Missing or invalid sent-back date",IF($B238&gt;TODAY(),"Sent-back date is in future",IF(ISNUMBER($J238),IF($J238&lt;$B238,"Check dates - fixed before sent","Fixed in "&amp;($J238-$B238)&amp;" d"),IF(AND($I238&lt;&gt;"",NOT(ISNUMBER($I238))),"Check Expected Fix Date",IF($I238="","UNCLAIMED "&amp;(TODAY()-$B238)&amp;" d",IF(TODAY()&gt;$I238,(TODAY()-$I238)&amp;" d LATE","Open "&amp;(TODAY()-$B238)&amp;" d"))))))))))</f>
        <v/>
      </c>
      <c r="O238" s="66">
        <f>'Combined Delivery Data'!B237</f>
        <v>0</v>
      </c>
      <c r="P238" s="66">
        <f t="shared" si="12"/>
        <v>0</v>
      </c>
      <c r="Q238" s="66">
        <f t="shared" si="13"/>
        <v>0</v>
      </c>
      <c r="R238" s="67" t="str">
        <f t="shared" si="14"/>
        <v/>
      </c>
      <c r="S238" s="66" t="str">
        <f t="shared" si="15"/>
        <v/>
      </c>
    </row>
    <row r="239" spans="1:19" x14ac:dyDescent="0.25">
      <c r="A239" s="62"/>
      <c r="B239" s="63"/>
      <c r="C239" s="62"/>
      <c r="D239" s="62"/>
      <c r="E239" s="62"/>
      <c r="F239" s="62"/>
      <c r="G239" s="62"/>
      <c r="H239" s="63"/>
      <c r="I239" s="63"/>
      <c r="J239" s="63"/>
      <c r="K239" s="62"/>
      <c r="L239" s="62"/>
      <c r="M239" s="64" t="str">
        <f ca="1">IF($A239="","",IF($G239="Did not pass re-test","Sent back again",IF($G239="Yes",IF(AND(ISNUMBER($J239),ISNUMBER($B239)),"Fixed in "&amp;($J239-$B239)&amp;" d","Accepted"),IF(SUMPRODUCT(--(TRIM('Combined Delivery Data'!$B$2:$B$500)=TRIM($A239)))=0,"Not on main tab - renamed?",IF(NOT(ISNUMBER($B239)),"Missing or invalid sent-back date",IF($B239&gt;TODAY(),"Sent-back date is in future",IF(ISNUMBER($J239),IF($J239&lt;$B239,"Check dates - fixed before sent","Fixed in "&amp;($J239-$B239)&amp;" d"),IF(AND($I239&lt;&gt;"",NOT(ISNUMBER($I239))),"Check Expected Fix Date",IF($I239="","UNCLAIMED "&amp;(TODAY()-$B239)&amp;" d",IF(TODAY()&gt;$I239,(TODAY()-$I239)&amp;" d LATE","Open "&amp;(TODAY()-$B239)&amp;" d"))))))))))</f>
        <v/>
      </c>
      <c r="O239" s="66">
        <f>'Combined Delivery Data'!B238</f>
        <v>0</v>
      </c>
      <c r="P239" s="66">
        <f t="shared" si="12"/>
        <v>0</v>
      </c>
      <c r="Q239" s="66">
        <f t="shared" si="13"/>
        <v>0</v>
      </c>
      <c r="R239" s="67" t="str">
        <f t="shared" si="14"/>
        <v/>
      </c>
      <c r="S239" s="66" t="str">
        <f t="shared" si="15"/>
        <v/>
      </c>
    </row>
    <row r="240" spans="1:19" x14ac:dyDescent="0.25">
      <c r="A240" s="62"/>
      <c r="B240" s="63"/>
      <c r="C240" s="62"/>
      <c r="D240" s="62"/>
      <c r="E240" s="62"/>
      <c r="F240" s="62"/>
      <c r="G240" s="62"/>
      <c r="H240" s="63"/>
      <c r="I240" s="63"/>
      <c r="J240" s="63"/>
      <c r="K240" s="62"/>
      <c r="L240" s="62"/>
      <c r="M240" s="64" t="str">
        <f ca="1">IF($A240="","",IF($G240="Did not pass re-test","Sent back again",IF($G240="Yes",IF(AND(ISNUMBER($J240),ISNUMBER($B240)),"Fixed in "&amp;($J240-$B240)&amp;" d","Accepted"),IF(SUMPRODUCT(--(TRIM('Combined Delivery Data'!$B$2:$B$500)=TRIM($A240)))=0,"Not on main tab - renamed?",IF(NOT(ISNUMBER($B240)),"Missing or invalid sent-back date",IF($B240&gt;TODAY(),"Sent-back date is in future",IF(ISNUMBER($J240),IF($J240&lt;$B240,"Check dates - fixed before sent","Fixed in "&amp;($J240-$B240)&amp;" d"),IF(AND($I240&lt;&gt;"",NOT(ISNUMBER($I240))),"Check Expected Fix Date",IF($I240="","UNCLAIMED "&amp;(TODAY()-$B240)&amp;" d",IF(TODAY()&gt;$I240,(TODAY()-$I240)&amp;" d LATE","Open "&amp;(TODAY()-$B240)&amp;" d"))))))))))</f>
        <v/>
      </c>
      <c r="O240" s="66">
        <f>'Combined Delivery Data'!B239</f>
        <v>0</v>
      </c>
      <c r="P240" s="66">
        <f t="shared" si="12"/>
        <v>0</v>
      </c>
      <c r="Q240" s="66">
        <f t="shared" si="13"/>
        <v>0</v>
      </c>
      <c r="R240" s="67" t="str">
        <f t="shared" si="14"/>
        <v/>
      </c>
      <c r="S240" s="66" t="str">
        <f t="shared" si="15"/>
        <v/>
      </c>
    </row>
    <row r="241" spans="1:19" x14ac:dyDescent="0.25">
      <c r="A241" s="62"/>
      <c r="B241" s="63"/>
      <c r="C241" s="62"/>
      <c r="D241" s="62"/>
      <c r="E241" s="62"/>
      <c r="F241" s="62"/>
      <c r="G241" s="62"/>
      <c r="H241" s="63"/>
      <c r="I241" s="63"/>
      <c r="J241" s="63"/>
      <c r="K241" s="62"/>
      <c r="L241" s="62"/>
      <c r="M241" s="64" t="str">
        <f ca="1">IF($A241="","",IF($G241="Did not pass re-test","Sent back again",IF($G241="Yes",IF(AND(ISNUMBER($J241),ISNUMBER($B241)),"Fixed in "&amp;($J241-$B241)&amp;" d","Accepted"),IF(SUMPRODUCT(--(TRIM('Combined Delivery Data'!$B$2:$B$500)=TRIM($A241)))=0,"Not on main tab - renamed?",IF(NOT(ISNUMBER($B241)),"Missing or invalid sent-back date",IF($B241&gt;TODAY(),"Sent-back date is in future",IF(ISNUMBER($J241),IF($J241&lt;$B241,"Check dates - fixed before sent","Fixed in "&amp;($J241-$B241)&amp;" d"),IF(AND($I241&lt;&gt;"",NOT(ISNUMBER($I241))),"Check Expected Fix Date",IF($I241="","UNCLAIMED "&amp;(TODAY()-$B241)&amp;" d",IF(TODAY()&gt;$I241,(TODAY()-$I241)&amp;" d LATE","Open "&amp;(TODAY()-$B241)&amp;" d"))))))))))</f>
        <v/>
      </c>
      <c r="O241" s="66">
        <f>'Combined Delivery Data'!B240</f>
        <v>0</v>
      </c>
      <c r="P241" s="66">
        <f t="shared" si="12"/>
        <v>0</v>
      </c>
      <c r="Q241" s="66">
        <f t="shared" si="13"/>
        <v>0</v>
      </c>
      <c r="R241" s="67" t="str">
        <f t="shared" si="14"/>
        <v/>
      </c>
      <c r="S241" s="66" t="str">
        <f t="shared" si="15"/>
        <v/>
      </c>
    </row>
    <row r="242" spans="1:19" x14ac:dyDescent="0.25">
      <c r="A242" s="62"/>
      <c r="B242" s="63"/>
      <c r="C242" s="62"/>
      <c r="D242" s="62"/>
      <c r="E242" s="62"/>
      <c r="F242" s="62"/>
      <c r="G242" s="62"/>
      <c r="H242" s="63"/>
      <c r="I242" s="63"/>
      <c r="J242" s="63"/>
      <c r="K242" s="62"/>
      <c r="L242" s="62"/>
      <c r="M242" s="64" t="str">
        <f ca="1">IF($A242="","",IF($G242="Did not pass re-test","Sent back again",IF($G242="Yes",IF(AND(ISNUMBER($J242),ISNUMBER($B242)),"Fixed in "&amp;($J242-$B242)&amp;" d","Accepted"),IF(SUMPRODUCT(--(TRIM('Combined Delivery Data'!$B$2:$B$500)=TRIM($A242)))=0,"Not on main tab - renamed?",IF(NOT(ISNUMBER($B242)),"Missing or invalid sent-back date",IF($B242&gt;TODAY(),"Sent-back date is in future",IF(ISNUMBER($J242),IF($J242&lt;$B242,"Check dates - fixed before sent","Fixed in "&amp;($J242-$B242)&amp;" d"),IF(AND($I242&lt;&gt;"",NOT(ISNUMBER($I242))),"Check Expected Fix Date",IF($I242="","UNCLAIMED "&amp;(TODAY()-$B242)&amp;" d",IF(TODAY()&gt;$I242,(TODAY()-$I242)&amp;" d LATE","Open "&amp;(TODAY()-$B242)&amp;" d"))))))))))</f>
        <v/>
      </c>
      <c r="O242" s="66">
        <f>'Combined Delivery Data'!B241</f>
        <v>0</v>
      </c>
      <c r="P242" s="66">
        <f t="shared" si="12"/>
        <v>0</v>
      </c>
      <c r="Q242" s="66">
        <f t="shared" si="13"/>
        <v>0</v>
      </c>
      <c r="R242" s="67" t="str">
        <f t="shared" si="14"/>
        <v/>
      </c>
      <c r="S242" s="66" t="str">
        <f t="shared" si="15"/>
        <v/>
      </c>
    </row>
    <row r="243" spans="1:19" x14ac:dyDescent="0.25">
      <c r="A243" s="62"/>
      <c r="B243" s="63"/>
      <c r="C243" s="62"/>
      <c r="D243" s="62"/>
      <c r="E243" s="62"/>
      <c r="F243" s="62"/>
      <c r="G243" s="62"/>
      <c r="H243" s="63"/>
      <c r="I243" s="63"/>
      <c r="J243" s="63"/>
      <c r="K243" s="62"/>
      <c r="L243" s="62"/>
      <c r="M243" s="64" t="str">
        <f ca="1">IF($A243="","",IF($G243="Did not pass re-test","Sent back again",IF($G243="Yes",IF(AND(ISNUMBER($J243),ISNUMBER($B243)),"Fixed in "&amp;($J243-$B243)&amp;" d","Accepted"),IF(SUMPRODUCT(--(TRIM('Combined Delivery Data'!$B$2:$B$500)=TRIM($A243)))=0,"Not on main tab - renamed?",IF(NOT(ISNUMBER($B243)),"Missing or invalid sent-back date",IF($B243&gt;TODAY(),"Sent-back date is in future",IF(ISNUMBER($J243),IF($J243&lt;$B243,"Check dates - fixed before sent","Fixed in "&amp;($J243-$B243)&amp;" d"),IF(AND($I243&lt;&gt;"",NOT(ISNUMBER($I243))),"Check Expected Fix Date",IF($I243="","UNCLAIMED "&amp;(TODAY()-$B243)&amp;" d",IF(TODAY()&gt;$I243,(TODAY()-$I243)&amp;" d LATE","Open "&amp;(TODAY()-$B243)&amp;" d"))))))))))</f>
        <v/>
      </c>
      <c r="O243" s="66">
        <f>'Combined Delivery Data'!B242</f>
        <v>0</v>
      </c>
      <c r="P243" s="66">
        <f t="shared" si="12"/>
        <v>0</v>
      </c>
      <c r="Q243" s="66">
        <f t="shared" si="13"/>
        <v>0</v>
      </c>
      <c r="R243" s="67" t="str">
        <f t="shared" si="14"/>
        <v/>
      </c>
      <c r="S243" s="66" t="str">
        <f t="shared" si="15"/>
        <v/>
      </c>
    </row>
    <row r="244" spans="1:19" x14ac:dyDescent="0.25">
      <c r="A244" s="62"/>
      <c r="B244" s="63"/>
      <c r="C244" s="62"/>
      <c r="D244" s="62"/>
      <c r="E244" s="62"/>
      <c r="F244" s="62"/>
      <c r="G244" s="62"/>
      <c r="H244" s="63"/>
      <c r="I244" s="63"/>
      <c r="J244" s="63"/>
      <c r="K244" s="62"/>
      <c r="L244" s="62"/>
      <c r="M244" s="64" t="str">
        <f ca="1">IF($A244="","",IF($G244="Did not pass re-test","Sent back again",IF($G244="Yes",IF(AND(ISNUMBER($J244),ISNUMBER($B244)),"Fixed in "&amp;($J244-$B244)&amp;" d","Accepted"),IF(SUMPRODUCT(--(TRIM('Combined Delivery Data'!$B$2:$B$500)=TRIM($A244)))=0,"Not on main tab - renamed?",IF(NOT(ISNUMBER($B244)),"Missing or invalid sent-back date",IF($B244&gt;TODAY(),"Sent-back date is in future",IF(ISNUMBER($J244),IF($J244&lt;$B244,"Check dates - fixed before sent","Fixed in "&amp;($J244-$B244)&amp;" d"),IF(AND($I244&lt;&gt;"",NOT(ISNUMBER($I244))),"Check Expected Fix Date",IF($I244="","UNCLAIMED "&amp;(TODAY()-$B244)&amp;" d",IF(TODAY()&gt;$I244,(TODAY()-$I244)&amp;" d LATE","Open "&amp;(TODAY()-$B244)&amp;" d"))))))))))</f>
        <v/>
      </c>
      <c r="O244" s="66">
        <f>'Combined Delivery Data'!B243</f>
        <v>0</v>
      </c>
      <c r="P244" s="66">
        <f t="shared" si="12"/>
        <v>0</v>
      </c>
      <c r="Q244" s="66">
        <f t="shared" si="13"/>
        <v>0</v>
      </c>
      <c r="R244" s="67" t="str">
        <f t="shared" si="14"/>
        <v/>
      </c>
      <c r="S244" s="66" t="str">
        <f t="shared" si="15"/>
        <v/>
      </c>
    </row>
    <row r="245" spans="1:19" x14ac:dyDescent="0.25">
      <c r="A245" s="62"/>
      <c r="B245" s="63"/>
      <c r="C245" s="62"/>
      <c r="D245" s="62"/>
      <c r="E245" s="62"/>
      <c r="F245" s="62"/>
      <c r="G245" s="62"/>
      <c r="H245" s="63"/>
      <c r="I245" s="63"/>
      <c r="J245" s="63"/>
      <c r="K245" s="62"/>
      <c r="L245" s="62"/>
      <c r="M245" s="64" t="str">
        <f ca="1">IF($A245="","",IF($G245="Did not pass re-test","Sent back again",IF($G245="Yes",IF(AND(ISNUMBER($J245),ISNUMBER($B245)),"Fixed in "&amp;($J245-$B245)&amp;" d","Accepted"),IF(SUMPRODUCT(--(TRIM('Combined Delivery Data'!$B$2:$B$500)=TRIM($A245)))=0,"Not on main tab - renamed?",IF(NOT(ISNUMBER($B245)),"Missing or invalid sent-back date",IF($B245&gt;TODAY(),"Sent-back date is in future",IF(ISNUMBER($J245),IF($J245&lt;$B245,"Check dates - fixed before sent","Fixed in "&amp;($J245-$B245)&amp;" d"),IF(AND($I245&lt;&gt;"",NOT(ISNUMBER($I245))),"Check Expected Fix Date",IF($I245="","UNCLAIMED "&amp;(TODAY()-$B245)&amp;" d",IF(TODAY()&gt;$I245,(TODAY()-$I245)&amp;" d LATE","Open "&amp;(TODAY()-$B245)&amp;" d"))))))))))</f>
        <v/>
      </c>
      <c r="O245" s="66">
        <f>'Combined Delivery Data'!B244</f>
        <v>0</v>
      </c>
      <c r="P245" s="66">
        <f t="shared" si="12"/>
        <v>0</v>
      </c>
      <c r="Q245" s="66">
        <f t="shared" si="13"/>
        <v>0</v>
      </c>
      <c r="R245" s="67" t="str">
        <f t="shared" si="14"/>
        <v/>
      </c>
      <c r="S245" s="66" t="str">
        <f t="shared" si="15"/>
        <v/>
      </c>
    </row>
    <row r="246" spans="1:19" x14ac:dyDescent="0.25">
      <c r="A246" s="62"/>
      <c r="B246" s="63"/>
      <c r="C246" s="62"/>
      <c r="D246" s="62"/>
      <c r="E246" s="62"/>
      <c r="F246" s="62"/>
      <c r="G246" s="62"/>
      <c r="H246" s="63"/>
      <c r="I246" s="63"/>
      <c r="J246" s="63"/>
      <c r="K246" s="62"/>
      <c r="L246" s="62"/>
      <c r="M246" s="64" t="str">
        <f ca="1">IF($A246="","",IF($G246="Did not pass re-test","Sent back again",IF($G246="Yes",IF(AND(ISNUMBER($J246),ISNUMBER($B246)),"Fixed in "&amp;($J246-$B246)&amp;" d","Accepted"),IF(SUMPRODUCT(--(TRIM('Combined Delivery Data'!$B$2:$B$500)=TRIM($A246)))=0,"Not on main tab - renamed?",IF(NOT(ISNUMBER($B246)),"Missing or invalid sent-back date",IF($B246&gt;TODAY(),"Sent-back date is in future",IF(ISNUMBER($J246),IF($J246&lt;$B246,"Check dates - fixed before sent","Fixed in "&amp;($J246-$B246)&amp;" d"),IF(AND($I246&lt;&gt;"",NOT(ISNUMBER($I246))),"Check Expected Fix Date",IF($I246="","UNCLAIMED "&amp;(TODAY()-$B246)&amp;" d",IF(TODAY()&gt;$I246,(TODAY()-$I246)&amp;" d LATE","Open "&amp;(TODAY()-$B246)&amp;" d"))))))))))</f>
        <v/>
      </c>
      <c r="O246" s="66">
        <f>'Combined Delivery Data'!B245</f>
        <v>0</v>
      </c>
      <c r="P246" s="66">
        <f t="shared" si="12"/>
        <v>0</v>
      </c>
      <c r="Q246" s="66">
        <f t="shared" si="13"/>
        <v>0</v>
      </c>
      <c r="R246" s="67" t="str">
        <f t="shared" si="14"/>
        <v/>
      </c>
      <c r="S246" s="66" t="str">
        <f t="shared" si="15"/>
        <v/>
      </c>
    </row>
    <row r="247" spans="1:19" x14ac:dyDescent="0.25">
      <c r="A247" s="62"/>
      <c r="B247" s="63"/>
      <c r="C247" s="62"/>
      <c r="D247" s="62"/>
      <c r="E247" s="62"/>
      <c r="F247" s="62"/>
      <c r="G247" s="62"/>
      <c r="H247" s="63"/>
      <c r="I247" s="63"/>
      <c r="J247" s="63"/>
      <c r="K247" s="62"/>
      <c r="L247" s="62"/>
      <c r="M247" s="64" t="str">
        <f ca="1">IF($A247="","",IF($G247="Did not pass re-test","Sent back again",IF($G247="Yes",IF(AND(ISNUMBER($J247),ISNUMBER($B247)),"Fixed in "&amp;($J247-$B247)&amp;" d","Accepted"),IF(SUMPRODUCT(--(TRIM('Combined Delivery Data'!$B$2:$B$500)=TRIM($A247)))=0,"Not on main tab - renamed?",IF(NOT(ISNUMBER($B247)),"Missing or invalid sent-back date",IF($B247&gt;TODAY(),"Sent-back date is in future",IF(ISNUMBER($J247),IF($J247&lt;$B247,"Check dates - fixed before sent","Fixed in "&amp;($J247-$B247)&amp;" d"),IF(AND($I247&lt;&gt;"",NOT(ISNUMBER($I247))),"Check Expected Fix Date",IF($I247="","UNCLAIMED "&amp;(TODAY()-$B247)&amp;" d",IF(TODAY()&gt;$I247,(TODAY()-$I247)&amp;" d LATE","Open "&amp;(TODAY()-$B247)&amp;" d"))))))))))</f>
        <v/>
      </c>
      <c r="O247" s="66">
        <f>'Combined Delivery Data'!B246</f>
        <v>0</v>
      </c>
      <c r="P247" s="66">
        <f t="shared" si="12"/>
        <v>0</v>
      </c>
      <c r="Q247" s="66">
        <f t="shared" si="13"/>
        <v>0</v>
      </c>
      <c r="R247" s="67" t="str">
        <f t="shared" si="14"/>
        <v/>
      </c>
      <c r="S247" s="66" t="str">
        <f t="shared" si="15"/>
        <v/>
      </c>
    </row>
    <row r="248" spans="1:19" x14ac:dyDescent="0.25">
      <c r="A248" s="62"/>
      <c r="B248" s="63"/>
      <c r="C248" s="62"/>
      <c r="D248" s="62"/>
      <c r="E248" s="62"/>
      <c r="F248" s="62"/>
      <c r="G248" s="62"/>
      <c r="H248" s="63"/>
      <c r="I248" s="63"/>
      <c r="J248" s="63"/>
      <c r="K248" s="62"/>
      <c r="L248" s="62"/>
      <c r="M248" s="64" t="str">
        <f ca="1">IF($A248="","",IF($G248="Did not pass re-test","Sent back again",IF($G248="Yes",IF(AND(ISNUMBER($J248),ISNUMBER($B248)),"Fixed in "&amp;($J248-$B248)&amp;" d","Accepted"),IF(SUMPRODUCT(--(TRIM('Combined Delivery Data'!$B$2:$B$500)=TRIM($A248)))=0,"Not on main tab - renamed?",IF(NOT(ISNUMBER($B248)),"Missing or invalid sent-back date",IF($B248&gt;TODAY(),"Sent-back date is in future",IF(ISNUMBER($J248),IF($J248&lt;$B248,"Check dates - fixed before sent","Fixed in "&amp;($J248-$B248)&amp;" d"),IF(AND($I248&lt;&gt;"",NOT(ISNUMBER($I248))),"Check Expected Fix Date",IF($I248="","UNCLAIMED "&amp;(TODAY()-$B248)&amp;" d",IF(TODAY()&gt;$I248,(TODAY()-$I248)&amp;" d LATE","Open "&amp;(TODAY()-$B248)&amp;" d"))))))))))</f>
        <v/>
      </c>
      <c r="O248" s="66">
        <f>'Combined Delivery Data'!B247</f>
        <v>0</v>
      </c>
      <c r="P248" s="66">
        <f t="shared" si="12"/>
        <v>0</v>
      </c>
      <c r="Q248" s="66">
        <f t="shared" si="13"/>
        <v>0</v>
      </c>
      <c r="R248" s="67" t="str">
        <f t="shared" si="14"/>
        <v/>
      </c>
      <c r="S248" s="66" t="str">
        <f t="shared" si="15"/>
        <v/>
      </c>
    </row>
    <row r="249" spans="1:19" x14ac:dyDescent="0.25">
      <c r="A249" s="62"/>
      <c r="B249" s="63"/>
      <c r="C249" s="62"/>
      <c r="D249" s="62"/>
      <c r="E249" s="62"/>
      <c r="F249" s="62"/>
      <c r="G249" s="62"/>
      <c r="H249" s="63"/>
      <c r="I249" s="63"/>
      <c r="J249" s="63"/>
      <c r="K249" s="62"/>
      <c r="L249" s="62"/>
      <c r="M249" s="64" t="str">
        <f ca="1">IF($A249="","",IF($G249="Did not pass re-test","Sent back again",IF($G249="Yes",IF(AND(ISNUMBER($J249),ISNUMBER($B249)),"Fixed in "&amp;($J249-$B249)&amp;" d","Accepted"),IF(SUMPRODUCT(--(TRIM('Combined Delivery Data'!$B$2:$B$500)=TRIM($A249)))=0,"Not on main tab - renamed?",IF(NOT(ISNUMBER($B249)),"Missing or invalid sent-back date",IF($B249&gt;TODAY(),"Sent-back date is in future",IF(ISNUMBER($J249),IF($J249&lt;$B249,"Check dates - fixed before sent","Fixed in "&amp;($J249-$B249)&amp;" d"),IF(AND($I249&lt;&gt;"",NOT(ISNUMBER($I249))),"Check Expected Fix Date",IF($I249="","UNCLAIMED "&amp;(TODAY()-$B249)&amp;" d",IF(TODAY()&gt;$I249,(TODAY()-$I249)&amp;" d LATE","Open "&amp;(TODAY()-$B249)&amp;" d"))))))))))</f>
        <v/>
      </c>
      <c r="O249" s="66">
        <f>'Combined Delivery Data'!B248</f>
        <v>0</v>
      </c>
      <c r="P249" s="66">
        <f t="shared" si="12"/>
        <v>0</v>
      </c>
      <c r="Q249" s="66">
        <f t="shared" si="13"/>
        <v>0</v>
      </c>
      <c r="R249" s="67" t="str">
        <f t="shared" si="14"/>
        <v/>
      </c>
      <c r="S249" s="66" t="str">
        <f t="shared" si="15"/>
        <v/>
      </c>
    </row>
    <row r="250" spans="1:19" x14ac:dyDescent="0.25">
      <c r="A250" s="62"/>
      <c r="B250" s="63"/>
      <c r="C250" s="62"/>
      <c r="D250" s="62"/>
      <c r="E250" s="62"/>
      <c r="F250" s="62"/>
      <c r="G250" s="62"/>
      <c r="H250" s="63"/>
      <c r="I250" s="63"/>
      <c r="J250" s="63"/>
      <c r="K250" s="62"/>
      <c r="L250" s="62"/>
      <c r="M250" s="64" t="str">
        <f ca="1">IF($A250="","",IF($G250="Did not pass re-test","Sent back again",IF($G250="Yes",IF(AND(ISNUMBER($J250),ISNUMBER($B250)),"Fixed in "&amp;($J250-$B250)&amp;" d","Accepted"),IF(SUMPRODUCT(--(TRIM('Combined Delivery Data'!$B$2:$B$500)=TRIM($A250)))=0,"Not on main tab - renamed?",IF(NOT(ISNUMBER($B250)),"Missing or invalid sent-back date",IF($B250&gt;TODAY(),"Sent-back date is in future",IF(ISNUMBER($J250),IF($J250&lt;$B250,"Check dates - fixed before sent","Fixed in "&amp;($J250-$B250)&amp;" d"),IF(AND($I250&lt;&gt;"",NOT(ISNUMBER($I250))),"Check Expected Fix Date",IF($I250="","UNCLAIMED "&amp;(TODAY()-$B250)&amp;" d",IF(TODAY()&gt;$I250,(TODAY()-$I250)&amp;" d LATE","Open "&amp;(TODAY()-$B250)&amp;" d"))))))))))</f>
        <v/>
      </c>
      <c r="O250" s="66">
        <f>'Combined Delivery Data'!B249</f>
        <v>0</v>
      </c>
      <c r="P250" s="66">
        <f t="shared" si="12"/>
        <v>0</v>
      </c>
      <c r="Q250" s="66">
        <f t="shared" si="13"/>
        <v>0</v>
      </c>
      <c r="R250" s="67" t="str">
        <f t="shared" si="14"/>
        <v/>
      </c>
      <c r="S250" s="66" t="str">
        <f t="shared" si="15"/>
        <v/>
      </c>
    </row>
    <row r="251" spans="1:19" x14ac:dyDescent="0.25">
      <c r="A251" s="62"/>
      <c r="B251" s="63"/>
      <c r="C251" s="62"/>
      <c r="D251" s="62"/>
      <c r="E251" s="62"/>
      <c r="F251" s="62"/>
      <c r="G251" s="62"/>
      <c r="H251" s="63"/>
      <c r="I251" s="63"/>
      <c r="J251" s="63"/>
      <c r="K251" s="62"/>
      <c r="L251" s="62"/>
      <c r="M251" s="64" t="str">
        <f ca="1">IF($A251="","",IF($G251="Did not pass re-test","Sent back again",IF($G251="Yes",IF(AND(ISNUMBER($J251),ISNUMBER($B251)),"Fixed in "&amp;($J251-$B251)&amp;" d","Accepted"),IF(SUMPRODUCT(--(TRIM('Combined Delivery Data'!$B$2:$B$500)=TRIM($A251)))=0,"Not on main tab - renamed?",IF(NOT(ISNUMBER($B251)),"Missing or invalid sent-back date",IF($B251&gt;TODAY(),"Sent-back date is in future",IF(ISNUMBER($J251),IF($J251&lt;$B251,"Check dates - fixed before sent","Fixed in "&amp;($J251-$B251)&amp;" d"),IF(AND($I251&lt;&gt;"",NOT(ISNUMBER($I251))),"Check Expected Fix Date",IF($I251="","UNCLAIMED "&amp;(TODAY()-$B251)&amp;" d",IF(TODAY()&gt;$I251,(TODAY()-$I251)&amp;" d LATE","Open "&amp;(TODAY()-$B251)&amp;" d"))))))))))</f>
        <v/>
      </c>
      <c r="O251" s="66">
        <f>'Combined Delivery Data'!B250</f>
        <v>0</v>
      </c>
      <c r="P251" s="66">
        <f t="shared" si="12"/>
        <v>0</v>
      </c>
      <c r="Q251" s="66">
        <f t="shared" si="13"/>
        <v>0</v>
      </c>
      <c r="R251" s="67" t="str">
        <f t="shared" si="14"/>
        <v/>
      </c>
      <c r="S251" s="66" t="str">
        <f t="shared" si="15"/>
        <v/>
      </c>
    </row>
    <row r="252" spans="1:19" x14ac:dyDescent="0.25">
      <c r="A252" s="62"/>
      <c r="B252" s="63"/>
      <c r="C252" s="62"/>
      <c r="D252" s="62"/>
      <c r="E252" s="62"/>
      <c r="F252" s="62"/>
      <c r="G252" s="62"/>
      <c r="H252" s="63"/>
      <c r="I252" s="63"/>
      <c r="J252" s="63"/>
      <c r="K252" s="62"/>
      <c r="L252" s="62"/>
      <c r="M252" s="64" t="str">
        <f ca="1">IF($A252="","",IF($G252="Did not pass re-test","Sent back again",IF($G252="Yes",IF(AND(ISNUMBER($J252),ISNUMBER($B252)),"Fixed in "&amp;($J252-$B252)&amp;" d","Accepted"),IF(SUMPRODUCT(--(TRIM('Combined Delivery Data'!$B$2:$B$500)=TRIM($A252)))=0,"Not on main tab - renamed?",IF(NOT(ISNUMBER($B252)),"Missing or invalid sent-back date",IF($B252&gt;TODAY(),"Sent-back date is in future",IF(ISNUMBER($J252),IF($J252&lt;$B252,"Check dates - fixed before sent","Fixed in "&amp;($J252-$B252)&amp;" d"),IF(AND($I252&lt;&gt;"",NOT(ISNUMBER($I252))),"Check Expected Fix Date",IF($I252="","UNCLAIMED "&amp;(TODAY()-$B252)&amp;" d",IF(TODAY()&gt;$I252,(TODAY()-$I252)&amp;" d LATE","Open "&amp;(TODAY()-$B252)&amp;" d"))))))))))</f>
        <v/>
      </c>
      <c r="O252" s="66">
        <f>'Combined Delivery Data'!B251</f>
        <v>0</v>
      </c>
      <c r="P252" s="66">
        <f t="shared" si="12"/>
        <v>0</v>
      </c>
      <c r="Q252" s="66">
        <f t="shared" si="13"/>
        <v>0</v>
      </c>
      <c r="R252" s="67" t="str">
        <f t="shared" si="14"/>
        <v/>
      </c>
      <c r="S252" s="66" t="str">
        <f t="shared" si="15"/>
        <v/>
      </c>
    </row>
    <row r="253" spans="1:19" x14ac:dyDescent="0.25">
      <c r="A253" s="62"/>
      <c r="B253" s="63"/>
      <c r="C253" s="62"/>
      <c r="D253" s="62"/>
      <c r="E253" s="62"/>
      <c r="F253" s="62"/>
      <c r="G253" s="62"/>
      <c r="H253" s="63"/>
      <c r="I253" s="63"/>
      <c r="J253" s="63"/>
      <c r="K253" s="62"/>
      <c r="L253" s="62"/>
      <c r="M253" s="64" t="str">
        <f ca="1">IF($A253="","",IF($G253="Did not pass re-test","Sent back again",IF($G253="Yes",IF(AND(ISNUMBER($J253),ISNUMBER($B253)),"Fixed in "&amp;($J253-$B253)&amp;" d","Accepted"),IF(SUMPRODUCT(--(TRIM('Combined Delivery Data'!$B$2:$B$500)=TRIM($A253)))=0,"Not on main tab - renamed?",IF(NOT(ISNUMBER($B253)),"Missing or invalid sent-back date",IF($B253&gt;TODAY(),"Sent-back date is in future",IF(ISNUMBER($J253),IF($J253&lt;$B253,"Check dates - fixed before sent","Fixed in "&amp;($J253-$B253)&amp;" d"),IF(AND($I253&lt;&gt;"",NOT(ISNUMBER($I253))),"Check Expected Fix Date",IF($I253="","UNCLAIMED "&amp;(TODAY()-$B253)&amp;" d",IF(TODAY()&gt;$I253,(TODAY()-$I253)&amp;" d LATE","Open "&amp;(TODAY()-$B253)&amp;" d"))))))))))</f>
        <v/>
      </c>
      <c r="O253" s="66">
        <f>'Combined Delivery Data'!B252</f>
        <v>0</v>
      </c>
      <c r="P253" s="66">
        <f t="shared" si="12"/>
        <v>0</v>
      </c>
      <c r="Q253" s="66">
        <f t="shared" si="13"/>
        <v>0</v>
      </c>
      <c r="R253" s="67" t="str">
        <f t="shared" si="14"/>
        <v/>
      </c>
      <c r="S253" s="66" t="str">
        <f t="shared" si="15"/>
        <v/>
      </c>
    </row>
    <row r="254" spans="1:19" x14ac:dyDescent="0.25">
      <c r="A254" s="62"/>
      <c r="B254" s="63"/>
      <c r="C254" s="62"/>
      <c r="D254" s="62"/>
      <c r="E254" s="62"/>
      <c r="F254" s="62"/>
      <c r="G254" s="62"/>
      <c r="H254" s="63"/>
      <c r="I254" s="63"/>
      <c r="J254" s="63"/>
      <c r="K254" s="62"/>
      <c r="L254" s="62"/>
      <c r="M254" s="64" t="str">
        <f ca="1">IF($A254="","",IF($G254="Did not pass re-test","Sent back again",IF($G254="Yes",IF(AND(ISNUMBER($J254),ISNUMBER($B254)),"Fixed in "&amp;($J254-$B254)&amp;" d","Accepted"),IF(SUMPRODUCT(--(TRIM('Combined Delivery Data'!$B$2:$B$500)=TRIM($A254)))=0,"Not on main tab - renamed?",IF(NOT(ISNUMBER($B254)),"Missing or invalid sent-back date",IF($B254&gt;TODAY(),"Sent-back date is in future",IF(ISNUMBER($J254),IF($J254&lt;$B254,"Check dates - fixed before sent","Fixed in "&amp;($J254-$B254)&amp;" d"),IF(AND($I254&lt;&gt;"",NOT(ISNUMBER($I254))),"Check Expected Fix Date",IF($I254="","UNCLAIMED "&amp;(TODAY()-$B254)&amp;" d",IF(TODAY()&gt;$I254,(TODAY()-$I254)&amp;" d LATE","Open "&amp;(TODAY()-$B254)&amp;" d"))))))))))</f>
        <v/>
      </c>
      <c r="O254" s="66">
        <f>'Combined Delivery Data'!B253</f>
        <v>0</v>
      </c>
      <c r="P254" s="66">
        <f t="shared" si="12"/>
        <v>0</v>
      </c>
      <c r="Q254" s="66">
        <f t="shared" si="13"/>
        <v>0</v>
      </c>
      <c r="R254" s="67" t="str">
        <f t="shared" si="14"/>
        <v/>
      </c>
      <c r="S254" s="66" t="str">
        <f t="shared" si="15"/>
        <v/>
      </c>
    </row>
    <row r="255" spans="1:19" x14ac:dyDescent="0.25">
      <c r="A255" s="62"/>
      <c r="B255" s="63"/>
      <c r="C255" s="62"/>
      <c r="D255" s="62"/>
      <c r="E255" s="62"/>
      <c r="F255" s="62"/>
      <c r="G255" s="62"/>
      <c r="H255" s="63"/>
      <c r="I255" s="63"/>
      <c r="J255" s="63"/>
      <c r="K255" s="62"/>
      <c r="L255" s="62"/>
      <c r="M255" s="64" t="str">
        <f ca="1">IF($A255="","",IF($G255="Did not pass re-test","Sent back again",IF($G255="Yes",IF(AND(ISNUMBER($J255),ISNUMBER($B255)),"Fixed in "&amp;($J255-$B255)&amp;" d","Accepted"),IF(SUMPRODUCT(--(TRIM('Combined Delivery Data'!$B$2:$B$500)=TRIM($A255)))=0,"Not on main tab - renamed?",IF(NOT(ISNUMBER($B255)),"Missing or invalid sent-back date",IF($B255&gt;TODAY(),"Sent-back date is in future",IF(ISNUMBER($J255),IF($J255&lt;$B255,"Check dates - fixed before sent","Fixed in "&amp;($J255-$B255)&amp;" d"),IF(AND($I255&lt;&gt;"",NOT(ISNUMBER($I255))),"Check Expected Fix Date",IF($I255="","UNCLAIMED "&amp;(TODAY()-$B255)&amp;" d",IF(TODAY()&gt;$I255,(TODAY()-$I255)&amp;" d LATE","Open "&amp;(TODAY()-$B255)&amp;" d"))))))))))</f>
        <v/>
      </c>
      <c r="O255" s="66">
        <f>'Combined Delivery Data'!B254</f>
        <v>0</v>
      </c>
      <c r="P255" s="66">
        <f t="shared" si="12"/>
        <v>0</v>
      </c>
      <c r="Q255" s="66">
        <f t="shared" si="13"/>
        <v>0</v>
      </c>
      <c r="R255" s="67" t="str">
        <f t="shared" si="14"/>
        <v/>
      </c>
      <c r="S255" s="66" t="str">
        <f t="shared" si="15"/>
        <v/>
      </c>
    </row>
    <row r="256" spans="1:19" x14ac:dyDescent="0.25">
      <c r="A256" s="62"/>
      <c r="B256" s="63"/>
      <c r="C256" s="62"/>
      <c r="D256" s="62"/>
      <c r="E256" s="62"/>
      <c r="F256" s="62"/>
      <c r="G256" s="62"/>
      <c r="H256" s="63"/>
      <c r="I256" s="63"/>
      <c r="J256" s="63"/>
      <c r="K256" s="62"/>
      <c r="L256" s="62"/>
      <c r="M256" s="64" t="str">
        <f ca="1">IF($A256="","",IF($G256="Did not pass re-test","Sent back again",IF($G256="Yes",IF(AND(ISNUMBER($J256),ISNUMBER($B256)),"Fixed in "&amp;($J256-$B256)&amp;" d","Accepted"),IF(SUMPRODUCT(--(TRIM('Combined Delivery Data'!$B$2:$B$500)=TRIM($A256)))=0,"Not on main tab - renamed?",IF(NOT(ISNUMBER($B256)),"Missing or invalid sent-back date",IF($B256&gt;TODAY(),"Sent-back date is in future",IF(ISNUMBER($J256),IF($J256&lt;$B256,"Check dates - fixed before sent","Fixed in "&amp;($J256-$B256)&amp;" d"),IF(AND($I256&lt;&gt;"",NOT(ISNUMBER($I256))),"Check Expected Fix Date",IF($I256="","UNCLAIMED "&amp;(TODAY()-$B256)&amp;" d",IF(TODAY()&gt;$I256,(TODAY()-$I256)&amp;" d LATE","Open "&amp;(TODAY()-$B256)&amp;" d"))))))))))</f>
        <v/>
      </c>
      <c r="O256" s="66">
        <f>'Combined Delivery Data'!B255</f>
        <v>0</v>
      </c>
      <c r="P256" s="66">
        <f t="shared" si="12"/>
        <v>0</v>
      </c>
      <c r="Q256" s="66">
        <f t="shared" si="13"/>
        <v>0</v>
      </c>
      <c r="R256" s="67" t="str">
        <f t="shared" si="14"/>
        <v/>
      </c>
      <c r="S256" s="66" t="str">
        <f t="shared" si="15"/>
        <v/>
      </c>
    </row>
    <row r="257" spans="1:19" x14ac:dyDescent="0.25">
      <c r="A257" s="62"/>
      <c r="B257" s="63"/>
      <c r="C257" s="62"/>
      <c r="D257" s="62"/>
      <c r="E257" s="62"/>
      <c r="F257" s="62"/>
      <c r="G257" s="62"/>
      <c r="H257" s="63"/>
      <c r="I257" s="63"/>
      <c r="J257" s="63"/>
      <c r="K257" s="62"/>
      <c r="L257" s="62"/>
      <c r="M257" s="64" t="str">
        <f ca="1">IF($A257="","",IF($G257="Did not pass re-test","Sent back again",IF($G257="Yes",IF(AND(ISNUMBER($J257),ISNUMBER($B257)),"Fixed in "&amp;($J257-$B257)&amp;" d","Accepted"),IF(SUMPRODUCT(--(TRIM('Combined Delivery Data'!$B$2:$B$500)=TRIM($A257)))=0,"Not on main tab - renamed?",IF(NOT(ISNUMBER($B257)),"Missing or invalid sent-back date",IF($B257&gt;TODAY(),"Sent-back date is in future",IF(ISNUMBER($J257),IF($J257&lt;$B257,"Check dates - fixed before sent","Fixed in "&amp;($J257-$B257)&amp;" d"),IF(AND($I257&lt;&gt;"",NOT(ISNUMBER($I257))),"Check Expected Fix Date",IF($I257="","UNCLAIMED "&amp;(TODAY()-$B257)&amp;" d",IF(TODAY()&gt;$I257,(TODAY()-$I257)&amp;" d LATE","Open "&amp;(TODAY()-$B257)&amp;" d"))))))))))</f>
        <v/>
      </c>
      <c r="O257" s="66">
        <f>'Combined Delivery Data'!B256</f>
        <v>0</v>
      </c>
      <c r="P257" s="66">
        <f t="shared" si="12"/>
        <v>0</v>
      </c>
      <c r="Q257" s="66">
        <f t="shared" si="13"/>
        <v>0</v>
      </c>
      <c r="R257" s="67" t="str">
        <f t="shared" si="14"/>
        <v/>
      </c>
      <c r="S257" s="66" t="str">
        <f t="shared" si="15"/>
        <v/>
      </c>
    </row>
    <row r="258" spans="1:19" x14ac:dyDescent="0.25">
      <c r="A258" s="62"/>
      <c r="B258" s="63"/>
      <c r="C258" s="62"/>
      <c r="D258" s="62"/>
      <c r="E258" s="62"/>
      <c r="F258" s="62"/>
      <c r="G258" s="62"/>
      <c r="H258" s="63"/>
      <c r="I258" s="63"/>
      <c r="J258" s="63"/>
      <c r="K258" s="62"/>
      <c r="L258" s="62"/>
      <c r="M258" s="64" t="str">
        <f ca="1">IF($A258="","",IF($G258="Did not pass re-test","Sent back again",IF($G258="Yes",IF(AND(ISNUMBER($J258),ISNUMBER($B258)),"Fixed in "&amp;($J258-$B258)&amp;" d","Accepted"),IF(SUMPRODUCT(--(TRIM('Combined Delivery Data'!$B$2:$B$500)=TRIM($A258)))=0,"Not on main tab - renamed?",IF(NOT(ISNUMBER($B258)),"Missing or invalid sent-back date",IF($B258&gt;TODAY(),"Sent-back date is in future",IF(ISNUMBER($J258),IF($J258&lt;$B258,"Check dates - fixed before sent","Fixed in "&amp;($J258-$B258)&amp;" d"),IF(AND($I258&lt;&gt;"",NOT(ISNUMBER($I258))),"Check Expected Fix Date",IF($I258="","UNCLAIMED "&amp;(TODAY()-$B258)&amp;" d",IF(TODAY()&gt;$I258,(TODAY()-$I258)&amp;" d LATE","Open "&amp;(TODAY()-$B258)&amp;" d"))))))))))</f>
        <v/>
      </c>
      <c r="O258" s="66">
        <f>'Combined Delivery Data'!B257</f>
        <v>0</v>
      </c>
      <c r="P258" s="66">
        <f t="shared" si="12"/>
        <v>0</v>
      </c>
      <c r="Q258" s="66">
        <f t="shared" si="13"/>
        <v>0</v>
      </c>
      <c r="R258" s="67" t="str">
        <f t="shared" si="14"/>
        <v/>
      </c>
      <c r="S258" s="66" t="str">
        <f t="shared" si="15"/>
        <v/>
      </c>
    </row>
    <row r="259" spans="1:19" x14ac:dyDescent="0.25">
      <c r="A259" s="62"/>
      <c r="B259" s="63"/>
      <c r="C259" s="62"/>
      <c r="D259" s="62"/>
      <c r="E259" s="62"/>
      <c r="F259" s="62"/>
      <c r="G259" s="62"/>
      <c r="H259" s="63"/>
      <c r="I259" s="63"/>
      <c r="J259" s="63"/>
      <c r="K259" s="62"/>
      <c r="L259" s="62"/>
      <c r="M259" s="64" t="str">
        <f ca="1">IF($A259="","",IF($G259="Did not pass re-test","Sent back again",IF($G259="Yes",IF(AND(ISNUMBER($J259),ISNUMBER($B259)),"Fixed in "&amp;($J259-$B259)&amp;" d","Accepted"),IF(SUMPRODUCT(--(TRIM('Combined Delivery Data'!$B$2:$B$500)=TRIM($A259)))=0,"Not on main tab - renamed?",IF(NOT(ISNUMBER($B259)),"Missing or invalid sent-back date",IF($B259&gt;TODAY(),"Sent-back date is in future",IF(ISNUMBER($J259),IF($J259&lt;$B259,"Check dates - fixed before sent","Fixed in "&amp;($J259-$B259)&amp;" d"),IF(AND($I259&lt;&gt;"",NOT(ISNUMBER($I259))),"Check Expected Fix Date",IF($I259="","UNCLAIMED "&amp;(TODAY()-$B259)&amp;" d",IF(TODAY()&gt;$I259,(TODAY()-$I259)&amp;" d LATE","Open "&amp;(TODAY()-$B259)&amp;" d"))))))))))</f>
        <v/>
      </c>
      <c r="O259" s="66">
        <f>'Combined Delivery Data'!B258</f>
        <v>0</v>
      </c>
      <c r="P259" s="66">
        <f t="shared" ref="P259:P322" si="16">IF($O259="","",SUMPRODUCT(--(TRIM($A$3:$A$500)=TRIM($O259))))</f>
        <v>0</v>
      </c>
      <c r="Q259" s="66">
        <f t="shared" ref="Q259:Q322" si="17">IF($O259="","",SUMPRODUCT((TRIM($A$3:$A$500)=TRIM($O259))*($G$3:$G$500&lt;&gt;"Yes")*($G$3:$G$500&lt;&gt;"Did not pass re-test")))</f>
        <v>0</v>
      </c>
      <c r="R259" s="67" t="str">
        <f t="shared" ref="R259:R322" si="18">IF($O259="","",IF(SUMPRODUCT(MAX((TRIM($A$3:$A$500)=TRIM($O259))*ROW($A$3:$A$500)))=0,"",INDEX($B:$B,SUMPRODUCT(MAX((TRIM($A$3:$A$500)=TRIM($O259))*ROW($A$3:$A$500))))))</f>
        <v/>
      </c>
      <c r="S259" s="66" t="str">
        <f t="shared" ref="S259:S322" si="19">IF($O259="","",IF(SUMPRODUCT(MAX((TRIM($A$3:$A$500)=TRIM($O259))*ROW($A$3:$A$500)))=0,"",INDEX($C:$C,SUMPRODUCT(MAX((TRIM($A$3:$A$500)=TRIM($O259))*ROW($A$3:$A$500))))&amp;" -&gt; "&amp;INDEX($D:$D,SUMPRODUCT(MAX((TRIM($A$3:$A$500)=TRIM($O259))*ROW($A$3:$A$500))))))</f>
        <v/>
      </c>
    </row>
    <row r="260" spans="1:19" x14ac:dyDescent="0.25">
      <c r="A260" s="62"/>
      <c r="B260" s="63"/>
      <c r="C260" s="62"/>
      <c r="D260" s="62"/>
      <c r="E260" s="62"/>
      <c r="F260" s="62"/>
      <c r="G260" s="62"/>
      <c r="H260" s="63"/>
      <c r="I260" s="63"/>
      <c r="J260" s="63"/>
      <c r="K260" s="62"/>
      <c r="L260" s="62"/>
      <c r="M260" s="64" t="str">
        <f ca="1">IF($A260="","",IF($G260="Did not pass re-test","Sent back again",IF($G260="Yes",IF(AND(ISNUMBER($J260),ISNUMBER($B260)),"Fixed in "&amp;($J260-$B260)&amp;" d","Accepted"),IF(SUMPRODUCT(--(TRIM('Combined Delivery Data'!$B$2:$B$500)=TRIM($A260)))=0,"Not on main tab - renamed?",IF(NOT(ISNUMBER($B260)),"Missing or invalid sent-back date",IF($B260&gt;TODAY(),"Sent-back date is in future",IF(ISNUMBER($J260),IF($J260&lt;$B260,"Check dates - fixed before sent","Fixed in "&amp;($J260-$B260)&amp;" d"),IF(AND($I260&lt;&gt;"",NOT(ISNUMBER($I260))),"Check Expected Fix Date",IF($I260="","UNCLAIMED "&amp;(TODAY()-$B260)&amp;" d",IF(TODAY()&gt;$I260,(TODAY()-$I260)&amp;" d LATE","Open "&amp;(TODAY()-$B260)&amp;" d"))))))))))</f>
        <v/>
      </c>
      <c r="O260" s="66">
        <f>'Combined Delivery Data'!B259</f>
        <v>0</v>
      </c>
      <c r="P260" s="66">
        <f t="shared" si="16"/>
        <v>0</v>
      </c>
      <c r="Q260" s="66">
        <f t="shared" si="17"/>
        <v>0</v>
      </c>
      <c r="R260" s="67" t="str">
        <f t="shared" si="18"/>
        <v/>
      </c>
      <c r="S260" s="66" t="str">
        <f t="shared" si="19"/>
        <v/>
      </c>
    </row>
    <row r="261" spans="1:19" x14ac:dyDescent="0.25">
      <c r="A261" s="62"/>
      <c r="B261" s="63"/>
      <c r="C261" s="62"/>
      <c r="D261" s="62"/>
      <c r="E261" s="62"/>
      <c r="F261" s="62"/>
      <c r="G261" s="62"/>
      <c r="H261" s="63"/>
      <c r="I261" s="63"/>
      <c r="J261" s="63"/>
      <c r="K261" s="62"/>
      <c r="L261" s="62"/>
      <c r="M261" s="64" t="str">
        <f ca="1">IF($A261="","",IF($G261="Did not pass re-test","Sent back again",IF($G261="Yes",IF(AND(ISNUMBER($J261),ISNUMBER($B261)),"Fixed in "&amp;($J261-$B261)&amp;" d","Accepted"),IF(SUMPRODUCT(--(TRIM('Combined Delivery Data'!$B$2:$B$500)=TRIM($A261)))=0,"Not on main tab - renamed?",IF(NOT(ISNUMBER($B261)),"Missing or invalid sent-back date",IF($B261&gt;TODAY(),"Sent-back date is in future",IF(ISNUMBER($J261),IF($J261&lt;$B261,"Check dates - fixed before sent","Fixed in "&amp;($J261-$B261)&amp;" d"),IF(AND($I261&lt;&gt;"",NOT(ISNUMBER($I261))),"Check Expected Fix Date",IF($I261="","UNCLAIMED "&amp;(TODAY()-$B261)&amp;" d",IF(TODAY()&gt;$I261,(TODAY()-$I261)&amp;" d LATE","Open "&amp;(TODAY()-$B261)&amp;" d"))))))))))</f>
        <v/>
      </c>
      <c r="O261" s="66">
        <f>'Combined Delivery Data'!B260</f>
        <v>0</v>
      </c>
      <c r="P261" s="66">
        <f t="shared" si="16"/>
        <v>0</v>
      </c>
      <c r="Q261" s="66">
        <f t="shared" si="17"/>
        <v>0</v>
      </c>
      <c r="R261" s="67" t="str">
        <f t="shared" si="18"/>
        <v/>
      </c>
      <c r="S261" s="66" t="str">
        <f t="shared" si="19"/>
        <v/>
      </c>
    </row>
    <row r="262" spans="1:19" x14ac:dyDescent="0.25">
      <c r="A262" s="62"/>
      <c r="B262" s="63"/>
      <c r="C262" s="62"/>
      <c r="D262" s="62"/>
      <c r="E262" s="62"/>
      <c r="F262" s="62"/>
      <c r="G262" s="62"/>
      <c r="H262" s="63"/>
      <c r="I262" s="63"/>
      <c r="J262" s="63"/>
      <c r="K262" s="62"/>
      <c r="L262" s="62"/>
      <c r="M262" s="64" t="str">
        <f ca="1">IF($A262="","",IF($G262="Did not pass re-test","Sent back again",IF($G262="Yes",IF(AND(ISNUMBER($J262),ISNUMBER($B262)),"Fixed in "&amp;($J262-$B262)&amp;" d","Accepted"),IF(SUMPRODUCT(--(TRIM('Combined Delivery Data'!$B$2:$B$500)=TRIM($A262)))=0,"Not on main tab - renamed?",IF(NOT(ISNUMBER($B262)),"Missing or invalid sent-back date",IF($B262&gt;TODAY(),"Sent-back date is in future",IF(ISNUMBER($J262),IF($J262&lt;$B262,"Check dates - fixed before sent","Fixed in "&amp;($J262-$B262)&amp;" d"),IF(AND($I262&lt;&gt;"",NOT(ISNUMBER($I262))),"Check Expected Fix Date",IF($I262="","UNCLAIMED "&amp;(TODAY()-$B262)&amp;" d",IF(TODAY()&gt;$I262,(TODAY()-$I262)&amp;" d LATE","Open "&amp;(TODAY()-$B262)&amp;" d"))))))))))</f>
        <v/>
      </c>
      <c r="O262" s="66">
        <f>'Combined Delivery Data'!B261</f>
        <v>0</v>
      </c>
      <c r="P262" s="66">
        <f t="shared" si="16"/>
        <v>0</v>
      </c>
      <c r="Q262" s="66">
        <f t="shared" si="17"/>
        <v>0</v>
      </c>
      <c r="R262" s="67" t="str">
        <f t="shared" si="18"/>
        <v/>
      </c>
      <c r="S262" s="66" t="str">
        <f t="shared" si="19"/>
        <v/>
      </c>
    </row>
    <row r="263" spans="1:19" x14ac:dyDescent="0.25">
      <c r="A263" s="62"/>
      <c r="B263" s="63"/>
      <c r="C263" s="62"/>
      <c r="D263" s="62"/>
      <c r="E263" s="62"/>
      <c r="F263" s="62"/>
      <c r="G263" s="62"/>
      <c r="H263" s="63"/>
      <c r="I263" s="63"/>
      <c r="J263" s="63"/>
      <c r="K263" s="62"/>
      <c r="L263" s="62"/>
      <c r="M263" s="64" t="str">
        <f ca="1">IF($A263="","",IF($G263="Did not pass re-test","Sent back again",IF($G263="Yes",IF(AND(ISNUMBER($J263),ISNUMBER($B263)),"Fixed in "&amp;($J263-$B263)&amp;" d","Accepted"),IF(SUMPRODUCT(--(TRIM('Combined Delivery Data'!$B$2:$B$500)=TRIM($A263)))=0,"Not on main tab - renamed?",IF(NOT(ISNUMBER($B263)),"Missing or invalid sent-back date",IF($B263&gt;TODAY(),"Sent-back date is in future",IF(ISNUMBER($J263),IF($J263&lt;$B263,"Check dates - fixed before sent","Fixed in "&amp;($J263-$B263)&amp;" d"),IF(AND($I263&lt;&gt;"",NOT(ISNUMBER($I263))),"Check Expected Fix Date",IF($I263="","UNCLAIMED "&amp;(TODAY()-$B263)&amp;" d",IF(TODAY()&gt;$I263,(TODAY()-$I263)&amp;" d LATE","Open "&amp;(TODAY()-$B263)&amp;" d"))))))))))</f>
        <v/>
      </c>
      <c r="O263" s="66">
        <f>'Combined Delivery Data'!B262</f>
        <v>0</v>
      </c>
      <c r="P263" s="66">
        <f t="shared" si="16"/>
        <v>0</v>
      </c>
      <c r="Q263" s="66">
        <f t="shared" si="17"/>
        <v>0</v>
      </c>
      <c r="R263" s="67" t="str">
        <f t="shared" si="18"/>
        <v/>
      </c>
      <c r="S263" s="66" t="str">
        <f t="shared" si="19"/>
        <v/>
      </c>
    </row>
    <row r="264" spans="1:19" x14ac:dyDescent="0.25">
      <c r="A264" s="62"/>
      <c r="B264" s="63"/>
      <c r="C264" s="62"/>
      <c r="D264" s="62"/>
      <c r="E264" s="62"/>
      <c r="F264" s="62"/>
      <c r="G264" s="62"/>
      <c r="H264" s="63"/>
      <c r="I264" s="63"/>
      <c r="J264" s="63"/>
      <c r="K264" s="62"/>
      <c r="L264" s="62"/>
      <c r="M264" s="64" t="str">
        <f ca="1">IF($A264="","",IF($G264="Did not pass re-test","Sent back again",IF($G264="Yes",IF(AND(ISNUMBER($J264),ISNUMBER($B264)),"Fixed in "&amp;($J264-$B264)&amp;" d","Accepted"),IF(SUMPRODUCT(--(TRIM('Combined Delivery Data'!$B$2:$B$500)=TRIM($A264)))=0,"Not on main tab - renamed?",IF(NOT(ISNUMBER($B264)),"Missing or invalid sent-back date",IF($B264&gt;TODAY(),"Sent-back date is in future",IF(ISNUMBER($J264),IF($J264&lt;$B264,"Check dates - fixed before sent","Fixed in "&amp;($J264-$B264)&amp;" d"),IF(AND($I264&lt;&gt;"",NOT(ISNUMBER($I264))),"Check Expected Fix Date",IF($I264="","UNCLAIMED "&amp;(TODAY()-$B264)&amp;" d",IF(TODAY()&gt;$I264,(TODAY()-$I264)&amp;" d LATE","Open "&amp;(TODAY()-$B264)&amp;" d"))))))))))</f>
        <v/>
      </c>
      <c r="O264" s="66">
        <f>'Combined Delivery Data'!B263</f>
        <v>0</v>
      </c>
      <c r="P264" s="66">
        <f t="shared" si="16"/>
        <v>0</v>
      </c>
      <c r="Q264" s="66">
        <f t="shared" si="17"/>
        <v>0</v>
      </c>
      <c r="R264" s="67" t="str">
        <f t="shared" si="18"/>
        <v/>
      </c>
      <c r="S264" s="66" t="str">
        <f t="shared" si="19"/>
        <v/>
      </c>
    </row>
    <row r="265" spans="1:19" x14ac:dyDescent="0.25">
      <c r="A265" s="62"/>
      <c r="B265" s="63"/>
      <c r="C265" s="62"/>
      <c r="D265" s="62"/>
      <c r="E265" s="62"/>
      <c r="F265" s="62"/>
      <c r="G265" s="62"/>
      <c r="H265" s="63"/>
      <c r="I265" s="63"/>
      <c r="J265" s="63"/>
      <c r="K265" s="62"/>
      <c r="L265" s="62"/>
      <c r="M265" s="64" t="str">
        <f ca="1">IF($A265="","",IF($G265="Did not pass re-test","Sent back again",IF($G265="Yes",IF(AND(ISNUMBER($J265),ISNUMBER($B265)),"Fixed in "&amp;($J265-$B265)&amp;" d","Accepted"),IF(SUMPRODUCT(--(TRIM('Combined Delivery Data'!$B$2:$B$500)=TRIM($A265)))=0,"Not on main tab - renamed?",IF(NOT(ISNUMBER($B265)),"Missing or invalid sent-back date",IF($B265&gt;TODAY(),"Sent-back date is in future",IF(ISNUMBER($J265),IF($J265&lt;$B265,"Check dates - fixed before sent","Fixed in "&amp;($J265-$B265)&amp;" d"),IF(AND($I265&lt;&gt;"",NOT(ISNUMBER($I265))),"Check Expected Fix Date",IF($I265="","UNCLAIMED "&amp;(TODAY()-$B265)&amp;" d",IF(TODAY()&gt;$I265,(TODAY()-$I265)&amp;" d LATE","Open "&amp;(TODAY()-$B265)&amp;" d"))))))))))</f>
        <v/>
      </c>
      <c r="O265" s="66">
        <f>'Combined Delivery Data'!B264</f>
        <v>0</v>
      </c>
      <c r="P265" s="66">
        <f t="shared" si="16"/>
        <v>0</v>
      </c>
      <c r="Q265" s="66">
        <f t="shared" si="17"/>
        <v>0</v>
      </c>
      <c r="R265" s="67" t="str">
        <f t="shared" si="18"/>
        <v/>
      </c>
      <c r="S265" s="66" t="str">
        <f t="shared" si="19"/>
        <v/>
      </c>
    </row>
    <row r="266" spans="1:19" x14ac:dyDescent="0.25">
      <c r="A266" s="62"/>
      <c r="B266" s="63"/>
      <c r="C266" s="62"/>
      <c r="D266" s="62"/>
      <c r="E266" s="62"/>
      <c r="F266" s="62"/>
      <c r="G266" s="62"/>
      <c r="H266" s="63"/>
      <c r="I266" s="63"/>
      <c r="J266" s="63"/>
      <c r="K266" s="62"/>
      <c r="L266" s="62"/>
      <c r="M266" s="64" t="str">
        <f ca="1">IF($A266="","",IF($G266="Did not pass re-test","Sent back again",IF($G266="Yes",IF(AND(ISNUMBER($J266),ISNUMBER($B266)),"Fixed in "&amp;($J266-$B266)&amp;" d","Accepted"),IF(SUMPRODUCT(--(TRIM('Combined Delivery Data'!$B$2:$B$500)=TRIM($A266)))=0,"Not on main tab - renamed?",IF(NOT(ISNUMBER($B266)),"Missing or invalid sent-back date",IF($B266&gt;TODAY(),"Sent-back date is in future",IF(ISNUMBER($J266),IF($J266&lt;$B266,"Check dates - fixed before sent","Fixed in "&amp;($J266-$B266)&amp;" d"),IF(AND($I266&lt;&gt;"",NOT(ISNUMBER($I266))),"Check Expected Fix Date",IF($I266="","UNCLAIMED "&amp;(TODAY()-$B266)&amp;" d",IF(TODAY()&gt;$I266,(TODAY()-$I266)&amp;" d LATE","Open "&amp;(TODAY()-$B266)&amp;" d"))))))))))</f>
        <v/>
      </c>
      <c r="O266" s="66">
        <f>'Combined Delivery Data'!B265</f>
        <v>0</v>
      </c>
      <c r="P266" s="66">
        <f t="shared" si="16"/>
        <v>0</v>
      </c>
      <c r="Q266" s="66">
        <f t="shared" si="17"/>
        <v>0</v>
      </c>
      <c r="R266" s="67" t="str">
        <f t="shared" si="18"/>
        <v/>
      </c>
      <c r="S266" s="66" t="str">
        <f t="shared" si="19"/>
        <v/>
      </c>
    </row>
    <row r="267" spans="1:19" x14ac:dyDescent="0.25">
      <c r="A267" s="62"/>
      <c r="B267" s="63"/>
      <c r="C267" s="62"/>
      <c r="D267" s="62"/>
      <c r="E267" s="62"/>
      <c r="F267" s="62"/>
      <c r="G267" s="62"/>
      <c r="H267" s="63"/>
      <c r="I267" s="63"/>
      <c r="J267" s="63"/>
      <c r="K267" s="62"/>
      <c r="L267" s="62"/>
      <c r="M267" s="64" t="str">
        <f ca="1">IF($A267="","",IF($G267="Did not pass re-test","Sent back again",IF($G267="Yes",IF(AND(ISNUMBER($J267),ISNUMBER($B267)),"Fixed in "&amp;($J267-$B267)&amp;" d","Accepted"),IF(SUMPRODUCT(--(TRIM('Combined Delivery Data'!$B$2:$B$500)=TRIM($A267)))=0,"Not on main tab - renamed?",IF(NOT(ISNUMBER($B267)),"Missing or invalid sent-back date",IF($B267&gt;TODAY(),"Sent-back date is in future",IF(ISNUMBER($J267),IF($J267&lt;$B267,"Check dates - fixed before sent","Fixed in "&amp;($J267-$B267)&amp;" d"),IF(AND($I267&lt;&gt;"",NOT(ISNUMBER($I267))),"Check Expected Fix Date",IF($I267="","UNCLAIMED "&amp;(TODAY()-$B267)&amp;" d",IF(TODAY()&gt;$I267,(TODAY()-$I267)&amp;" d LATE","Open "&amp;(TODAY()-$B267)&amp;" d"))))))))))</f>
        <v/>
      </c>
      <c r="O267" s="66">
        <f>'Combined Delivery Data'!B266</f>
        <v>0</v>
      </c>
      <c r="P267" s="66">
        <f t="shared" si="16"/>
        <v>0</v>
      </c>
      <c r="Q267" s="66">
        <f t="shared" si="17"/>
        <v>0</v>
      </c>
      <c r="R267" s="67" t="str">
        <f t="shared" si="18"/>
        <v/>
      </c>
      <c r="S267" s="66" t="str">
        <f t="shared" si="19"/>
        <v/>
      </c>
    </row>
    <row r="268" spans="1:19" x14ac:dyDescent="0.25">
      <c r="A268" s="62"/>
      <c r="B268" s="63"/>
      <c r="C268" s="62"/>
      <c r="D268" s="62"/>
      <c r="E268" s="62"/>
      <c r="F268" s="62"/>
      <c r="G268" s="62"/>
      <c r="H268" s="63"/>
      <c r="I268" s="63"/>
      <c r="J268" s="63"/>
      <c r="K268" s="62"/>
      <c r="L268" s="62"/>
      <c r="M268" s="64" t="str">
        <f ca="1">IF($A268="","",IF($G268="Did not pass re-test","Sent back again",IF($G268="Yes",IF(AND(ISNUMBER($J268),ISNUMBER($B268)),"Fixed in "&amp;($J268-$B268)&amp;" d","Accepted"),IF(SUMPRODUCT(--(TRIM('Combined Delivery Data'!$B$2:$B$500)=TRIM($A268)))=0,"Not on main tab - renamed?",IF(NOT(ISNUMBER($B268)),"Missing or invalid sent-back date",IF($B268&gt;TODAY(),"Sent-back date is in future",IF(ISNUMBER($J268),IF($J268&lt;$B268,"Check dates - fixed before sent","Fixed in "&amp;($J268-$B268)&amp;" d"),IF(AND($I268&lt;&gt;"",NOT(ISNUMBER($I268))),"Check Expected Fix Date",IF($I268="","UNCLAIMED "&amp;(TODAY()-$B268)&amp;" d",IF(TODAY()&gt;$I268,(TODAY()-$I268)&amp;" d LATE","Open "&amp;(TODAY()-$B268)&amp;" d"))))))))))</f>
        <v/>
      </c>
      <c r="O268" s="66">
        <f>'Combined Delivery Data'!B267</f>
        <v>0</v>
      </c>
      <c r="P268" s="66">
        <f t="shared" si="16"/>
        <v>0</v>
      </c>
      <c r="Q268" s="66">
        <f t="shared" si="17"/>
        <v>0</v>
      </c>
      <c r="R268" s="67" t="str">
        <f t="shared" si="18"/>
        <v/>
      </c>
      <c r="S268" s="66" t="str">
        <f t="shared" si="19"/>
        <v/>
      </c>
    </row>
    <row r="269" spans="1:19" x14ac:dyDescent="0.25">
      <c r="A269" s="62"/>
      <c r="B269" s="63"/>
      <c r="C269" s="62"/>
      <c r="D269" s="62"/>
      <c r="E269" s="62"/>
      <c r="F269" s="62"/>
      <c r="G269" s="62"/>
      <c r="H269" s="63"/>
      <c r="I269" s="63"/>
      <c r="J269" s="63"/>
      <c r="K269" s="62"/>
      <c r="L269" s="62"/>
      <c r="M269" s="64" t="str">
        <f ca="1">IF($A269="","",IF($G269="Did not pass re-test","Sent back again",IF($G269="Yes",IF(AND(ISNUMBER($J269),ISNUMBER($B269)),"Fixed in "&amp;($J269-$B269)&amp;" d","Accepted"),IF(SUMPRODUCT(--(TRIM('Combined Delivery Data'!$B$2:$B$500)=TRIM($A269)))=0,"Not on main tab - renamed?",IF(NOT(ISNUMBER($B269)),"Missing or invalid sent-back date",IF($B269&gt;TODAY(),"Sent-back date is in future",IF(ISNUMBER($J269),IF($J269&lt;$B269,"Check dates - fixed before sent","Fixed in "&amp;($J269-$B269)&amp;" d"),IF(AND($I269&lt;&gt;"",NOT(ISNUMBER($I269))),"Check Expected Fix Date",IF($I269="","UNCLAIMED "&amp;(TODAY()-$B269)&amp;" d",IF(TODAY()&gt;$I269,(TODAY()-$I269)&amp;" d LATE","Open "&amp;(TODAY()-$B269)&amp;" d"))))))))))</f>
        <v/>
      </c>
      <c r="O269" s="66">
        <f>'Combined Delivery Data'!B268</f>
        <v>0</v>
      </c>
      <c r="P269" s="66">
        <f t="shared" si="16"/>
        <v>0</v>
      </c>
      <c r="Q269" s="66">
        <f t="shared" si="17"/>
        <v>0</v>
      </c>
      <c r="R269" s="67" t="str">
        <f t="shared" si="18"/>
        <v/>
      </c>
      <c r="S269" s="66" t="str">
        <f t="shared" si="19"/>
        <v/>
      </c>
    </row>
    <row r="270" spans="1:19" x14ac:dyDescent="0.25">
      <c r="A270" s="62"/>
      <c r="B270" s="63"/>
      <c r="C270" s="62"/>
      <c r="D270" s="62"/>
      <c r="E270" s="62"/>
      <c r="F270" s="62"/>
      <c r="G270" s="62"/>
      <c r="H270" s="63"/>
      <c r="I270" s="63"/>
      <c r="J270" s="63"/>
      <c r="K270" s="62"/>
      <c r="L270" s="62"/>
      <c r="M270" s="64" t="str">
        <f ca="1">IF($A270="","",IF($G270="Did not pass re-test","Sent back again",IF($G270="Yes",IF(AND(ISNUMBER($J270),ISNUMBER($B270)),"Fixed in "&amp;($J270-$B270)&amp;" d","Accepted"),IF(SUMPRODUCT(--(TRIM('Combined Delivery Data'!$B$2:$B$500)=TRIM($A270)))=0,"Not on main tab - renamed?",IF(NOT(ISNUMBER($B270)),"Missing or invalid sent-back date",IF($B270&gt;TODAY(),"Sent-back date is in future",IF(ISNUMBER($J270),IF($J270&lt;$B270,"Check dates - fixed before sent","Fixed in "&amp;($J270-$B270)&amp;" d"),IF(AND($I270&lt;&gt;"",NOT(ISNUMBER($I270))),"Check Expected Fix Date",IF($I270="","UNCLAIMED "&amp;(TODAY()-$B270)&amp;" d",IF(TODAY()&gt;$I270,(TODAY()-$I270)&amp;" d LATE","Open "&amp;(TODAY()-$B270)&amp;" d"))))))))))</f>
        <v/>
      </c>
      <c r="O270" s="66">
        <f>'Combined Delivery Data'!B269</f>
        <v>0</v>
      </c>
      <c r="P270" s="66">
        <f t="shared" si="16"/>
        <v>0</v>
      </c>
      <c r="Q270" s="66">
        <f t="shared" si="17"/>
        <v>0</v>
      </c>
      <c r="R270" s="67" t="str">
        <f t="shared" si="18"/>
        <v/>
      </c>
      <c r="S270" s="66" t="str">
        <f t="shared" si="19"/>
        <v/>
      </c>
    </row>
    <row r="271" spans="1:19" x14ac:dyDescent="0.25">
      <c r="A271" s="62"/>
      <c r="B271" s="63"/>
      <c r="C271" s="62"/>
      <c r="D271" s="62"/>
      <c r="E271" s="62"/>
      <c r="F271" s="62"/>
      <c r="G271" s="62"/>
      <c r="H271" s="63"/>
      <c r="I271" s="63"/>
      <c r="J271" s="63"/>
      <c r="K271" s="62"/>
      <c r="L271" s="62"/>
      <c r="M271" s="64" t="str">
        <f ca="1">IF($A271="","",IF($G271="Did not pass re-test","Sent back again",IF($G271="Yes",IF(AND(ISNUMBER($J271),ISNUMBER($B271)),"Fixed in "&amp;($J271-$B271)&amp;" d","Accepted"),IF(SUMPRODUCT(--(TRIM('Combined Delivery Data'!$B$2:$B$500)=TRIM($A271)))=0,"Not on main tab - renamed?",IF(NOT(ISNUMBER($B271)),"Missing or invalid sent-back date",IF($B271&gt;TODAY(),"Sent-back date is in future",IF(ISNUMBER($J271),IF($J271&lt;$B271,"Check dates - fixed before sent","Fixed in "&amp;($J271-$B271)&amp;" d"),IF(AND($I271&lt;&gt;"",NOT(ISNUMBER($I271))),"Check Expected Fix Date",IF($I271="","UNCLAIMED "&amp;(TODAY()-$B271)&amp;" d",IF(TODAY()&gt;$I271,(TODAY()-$I271)&amp;" d LATE","Open "&amp;(TODAY()-$B271)&amp;" d"))))))))))</f>
        <v/>
      </c>
      <c r="O271" s="66">
        <f>'Combined Delivery Data'!B270</f>
        <v>0</v>
      </c>
      <c r="P271" s="66">
        <f t="shared" si="16"/>
        <v>0</v>
      </c>
      <c r="Q271" s="66">
        <f t="shared" si="17"/>
        <v>0</v>
      </c>
      <c r="R271" s="67" t="str">
        <f t="shared" si="18"/>
        <v/>
      </c>
      <c r="S271" s="66" t="str">
        <f t="shared" si="19"/>
        <v/>
      </c>
    </row>
    <row r="272" spans="1:19" x14ac:dyDescent="0.25">
      <c r="A272" s="62"/>
      <c r="B272" s="63"/>
      <c r="C272" s="62"/>
      <c r="D272" s="62"/>
      <c r="E272" s="62"/>
      <c r="F272" s="62"/>
      <c r="G272" s="62"/>
      <c r="H272" s="63"/>
      <c r="I272" s="63"/>
      <c r="J272" s="63"/>
      <c r="K272" s="62"/>
      <c r="L272" s="62"/>
      <c r="M272" s="64" t="str">
        <f ca="1">IF($A272="","",IF($G272="Did not pass re-test","Sent back again",IF($G272="Yes",IF(AND(ISNUMBER($J272),ISNUMBER($B272)),"Fixed in "&amp;($J272-$B272)&amp;" d","Accepted"),IF(SUMPRODUCT(--(TRIM('Combined Delivery Data'!$B$2:$B$500)=TRIM($A272)))=0,"Not on main tab - renamed?",IF(NOT(ISNUMBER($B272)),"Missing or invalid sent-back date",IF($B272&gt;TODAY(),"Sent-back date is in future",IF(ISNUMBER($J272),IF($J272&lt;$B272,"Check dates - fixed before sent","Fixed in "&amp;($J272-$B272)&amp;" d"),IF(AND($I272&lt;&gt;"",NOT(ISNUMBER($I272))),"Check Expected Fix Date",IF($I272="","UNCLAIMED "&amp;(TODAY()-$B272)&amp;" d",IF(TODAY()&gt;$I272,(TODAY()-$I272)&amp;" d LATE","Open "&amp;(TODAY()-$B272)&amp;" d"))))))))))</f>
        <v/>
      </c>
      <c r="O272" s="66">
        <f>'Combined Delivery Data'!B271</f>
        <v>0</v>
      </c>
      <c r="P272" s="66">
        <f t="shared" si="16"/>
        <v>0</v>
      </c>
      <c r="Q272" s="66">
        <f t="shared" si="17"/>
        <v>0</v>
      </c>
      <c r="R272" s="67" t="str">
        <f t="shared" si="18"/>
        <v/>
      </c>
      <c r="S272" s="66" t="str">
        <f t="shared" si="19"/>
        <v/>
      </c>
    </row>
    <row r="273" spans="1:19" x14ac:dyDescent="0.25">
      <c r="A273" s="62"/>
      <c r="B273" s="63"/>
      <c r="C273" s="62"/>
      <c r="D273" s="62"/>
      <c r="E273" s="62"/>
      <c r="F273" s="62"/>
      <c r="G273" s="62"/>
      <c r="H273" s="63"/>
      <c r="I273" s="63"/>
      <c r="J273" s="63"/>
      <c r="K273" s="62"/>
      <c r="L273" s="62"/>
      <c r="M273" s="64" t="str">
        <f ca="1">IF($A273="","",IF($G273="Did not pass re-test","Sent back again",IF($G273="Yes",IF(AND(ISNUMBER($J273),ISNUMBER($B273)),"Fixed in "&amp;($J273-$B273)&amp;" d","Accepted"),IF(SUMPRODUCT(--(TRIM('Combined Delivery Data'!$B$2:$B$500)=TRIM($A273)))=0,"Not on main tab - renamed?",IF(NOT(ISNUMBER($B273)),"Missing or invalid sent-back date",IF($B273&gt;TODAY(),"Sent-back date is in future",IF(ISNUMBER($J273),IF($J273&lt;$B273,"Check dates - fixed before sent","Fixed in "&amp;($J273-$B273)&amp;" d"),IF(AND($I273&lt;&gt;"",NOT(ISNUMBER($I273))),"Check Expected Fix Date",IF($I273="","UNCLAIMED "&amp;(TODAY()-$B273)&amp;" d",IF(TODAY()&gt;$I273,(TODAY()-$I273)&amp;" d LATE","Open "&amp;(TODAY()-$B273)&amp;" d"))))))))))</f>
        <v/>
      </c>
      <c r="O273" s="66">
        <f>'Combined Delivery Data'!B272</f>
        <v>0</v>
      </c>
      <c r="P273" s="66">
        <f t="shared" si="16"/>
        <v>0</v>
      </c>
      <c r="Q273" s="66">
        <f t="shared" si="17"/>
        <v>0</v>
      </c>
      <c r="R273" s="67" t="str">
        <f t="shared" si="18"/>
        <v/>
      </c>
      <c r="S273" s="66" t="str">
        <f t="shared" si="19"/>
        <v/>
      </c>
    </row>
    <row r="274" spans="1:19" x14ac:dyDescent="0.25">
      <c r="A274" s="62"/>
      <c r="B274" s="63"/>
      <c r="C274" s="62"/>
      <c r="D274" s="62"/>
      <c r="E274" s="62"/>
      <c r="F274" s="62"/>
      <c r="G274" s="62"/>
      <c r="H274" s="63"/>
      <c r="I274" s="63"/>
      <c r="J274" s="63"/>
      <c r="K274" s="62"/>
      <c r="L274" s="62"/>
      <c r="M274" s="64" t="str">
        <f ca="1">IF($A274="","",IF($G274="Did not pass re-test","Sent back again",IF($G274="Yes",IF(AND(ISNUMBER($J274),ISNUMBER($B274)),"Fixed in "&amp;($J274-$B274)&amp;" d","Accepted"),IF(SUMPRODUCT(--(TRIM('Combined Delivery Data'!$B$2:$B$500)=TRIM($A274)))=0,"Not on main tab - renamed?",IF(NOT(ISNUMBER($B274)),"Missing or invalid sent-back date",IF($B274&gt;TODAY(),"Sent-back date is in future",IF(ISNUMBER($J274),IF($J274&lt;$B274,"Check dates - fixed before sent","Fixed in "&amp;($J274-$B274)&amp;" d"),IF(AND($I274&lt;&gt;"",NOT(ISNUMBER($I274))),"Check Expected Fix Date",IF($I274="","UNCLAIMED "&amp;(TODAY()-$B274)&amp;" d",IF(TODAY()&gt;$I274,(TODAY()-$I274)&amp;" d LATE","Open "&amp;(TODAY()-$B274)&amp;" d"))))))))))</f>
        <v/>
      </c>
      <c r="O274" s="66">
        <f>'Combined Delivery Data'!B273</f>
        <v>0</v>
      </c>
      <c r="P274" s="66">
        <f t="shared" si="16"/>
        <v>0</v>
      </c>
      <c r="Q274" s="66">
        <f t="shared" si="17"/>
        <v>0</v>
      </c>
      <c r="R274" s="67" t="str">
        <f t="shared" si="18"/>
        <v/>
      </c>
      <c r="S274" s="66" t="str">
        <f t="shared" si="19"/>
        <v/>
      </c>
    </row>
    <row r="275" spans="1:19" x14ac:dyDescent="0.25">
      <c r="A275" s="62"/>
      <c r="B275" s="63"/>
      <c r="C275" s="62"/>
      <c r="D275" s="62"/>
      <c r="E275" s="62"/>
      <c r="F275" s="62"/>
      <c r="G275" s="62"/>
      <c r="H275" s="63"/>
      <c r="I275" s="63"/>
      <c r="J275" s="63"/>
      <c r="K275" s="62"/>
      <c r="L275" s="62"/>
      <c r="M275" s="64" t="str">
        <f ca="1">IF($A275="","",IF($G275="Did not pass re-test","Sent back again",IF($G275="Yes",IF(AND(ISNUMBER($J275),ISNUMBER($B275)),"Fixed in "&amp;($J275-$B275)&amp;" d","Accepted"),IF(SUMPRODUCT(--(TRIM('Combined Delivery Data'!$B$2:$B$500)=TRIM($A275)))=0,"Not on main tab - renamed?",IF(NOT(ISNUMBER($B275)),"Missing or invalid sent-back date",IF($B275&gt;TODAY(),"Sent-back date is in future",IF(ISNUMBER($J275),IF($J275&lt;$B275,"Check dates - fixed before sent","Fixed in "&amp;($J275-$B275)&amp;" d"),IF(AND($I275&lt;&gt;"",NOT(ISNUMBER($I275))),"Check Expected Fix Date",IF($I275="","UNCLAIMED "&amp;(TODAY()-$B275)&amp;" d",IF(TODAY()&gt;$I275,(TODAY()-$I275)&amp;" d LATE","Open "&amp;(TODAY()-$B275)&amp;" d"))))))))))</f>
        <v/>
      </c>
      <c r="O275" s="66">
        <f>'Combined Delivery Data'!B274</f>
        <v>0</v>
      </c>
      <c r="P275" s="66">
        <f t="shared" si="16"/>
        <v>0</v>
      </c>
      <c r="Q275" s="66">
        <f t="shared" si="17"/>
        <v>0</v>
      </c>
      <c r="R275" s="67" t="str">
        <f t="shared" si="18"/>
        <v/>
      </c>
      <c r="S275" s="66" t="str">
        <f t="shared" si="19"/>
        <v/>
      </c>
    </row>
    <row r="276" spans="1:19" x14ac:dyDescent="0.25">
      <c r="A276" s="62"/>
      <c r="B276" s="63"/>
      <c r="C276" s="62"/>
      <c r="D276" s="62"/>
      <c r="E276" s="62"/>
      <c r="F276" s="62"/>
      <c r="G276" s="62"/>
      <c r="H276" s="63"/>
      <c r="I276" s="63"/>
      <c r="J276" s="63"/>
      <c r="K276" s="62"/>
      <c r="L276" s="62"/>
      <c r="M276" s="64" t="str">
        <f ca="1">IF($A276="","",IF($G276="Did not pass re-test","Sent back again",IF($G276="Yes",IF(AND(ISNUMBER($J276),ISNUMBER($B276)),"Fixed in "&amp;($J276-$B276)&amp;" d","Accepted"),IF(SUMPRODUCT(--(TRIM('Combined Delivery Data'!$B$2:$B$500)=TRIM($A276)))=0,"Not on main tab - renamed?",IF(NOT(ISNUMBER($B276)),"Missing or invalid sent-back date",IF($B276&gt;TODAY(),"Sent-back date is in future",IF(ISNUMBER($J276),IF($J276&lt;$B276,"Check dates - fixed before sent","Fixed in "&amp;($J276-$B276)&amp;" d"),IF(AND($I276&lt;&gt;"",NOT(ISNUMBER($I276))),"Check Expected Fix Date",IF($I276="","UNCLAIMED "&amp;(TODAY()-$B276)&amp;" d",IF(TODAY()&gt;$I276,(TODAY()-$I276)&amp;" d LATE","Open "&amp;(TODAY()-$B276)&amp;" d"))))))))))</f>
        <v/>
      </c>
      <c r="O276" s="66">
        <f>'Combined Delivery Data'!B275</f>
        <v>0</v>
      </c>
      <c r="P276" s="66">
        <f t="shared" si="16"/>
        <v>0</v>
      </c>
      <c r="Q276" s="66">
        <f t="shared" si="17"/>
        <v>0</v>
      </c>
      <c r="R276" s="67" t="str">
        <f t="shared" si="18"/>
        <v/>
      </c>
      <c r="S276" s="66" t="str">
        <f t="shared" si="19"/>
        <v/>
      </c>
    </row>
    <row r="277" spans="1:19" x14ac:dyDescent="0.25">
      <c r="A277" s="62"/>
      <c r="B277" s="63"/>
      <c r="C277" s="62"/>
      <c r="D277" s="62"/>
      <c r="E277" s="62"/>
      <c r="F277" s="62"/>
      <c r="G277" s="62"/>
      <c r="H277" s="63"/>
      <c r="I277" s="63"/>
      <c r="J277" s="63"/>
      <c r="K277" s="62"/>
      <c r="L277" s="62"/>
      <c r="M277" s="64" t="str">
        <f ca="1">IF($A277="","",IF($G277="Did not pass re-test","Sent back again",IF($G277="Yes",IF(AND(ISNUMBER($J277),ISNUMBER($B277)),"Fixed in "&amp;($J277-$B277)&amp;" d","Accepted"),IF(SUMPRODUCT(--(TRIM('Combined Delivery Data'!$B$2:$B$500)=TRIM($A277)))=0,"Not on main tab - renamed?",IF(NOT(ISNUMBER($B277)),"Missing or invalid sent-back date",IF($B277&gt;TODAY(),"Sent-back date is in future",IF(ISNUMBER($J277),IF($J277&lt;$B277,"Check dates - fixed before sent","Fixed in "&amp;($J277-$B277)&amp;" d"),IF(AND($I277&lt;&gt;"",NOT(ISNUMBER($I277))),"Check Expected Fix Date",IF($I277="","UNCLAIMED "&amp;(TODAY()-$B277)&amp;" d",IF(TODAY()&gt;$I277,(TODAY()-$I277)&amp;" d LATE","Open "&amp;(TODAY()-$B277)&amp;" d"))))))))))</f>
        <v/>
      </c>
      <c r="O277" s="66">
        <f>'Combined Delivery Data'!B276</f>
        <v>0</v>
      </c>
      <c r="P277" s="66">
        <f t="shared" si="16"/>
        <v>0</v>
      </c>
      <c r="Q277" s="66">
        <f t="shared" si="17"/>
        <v>0</v>
      </c>
      <c r="R277" s="67" t="str">
        <f t="shared" si="18"/>
        <v/>
      </c>
      <c r="S277" s="66" t="str">
        <f t="shared" si="19"/>
        <v/>
      </c>
    </row>
    <row r="278" spans="1:19" x14ac:dyDescent="0.25">
      <c r="A278" s="62"/>
      <c r="B278" s="63"/>
      <c r="C278" s="62"/>
      <c r="D278" s="62"/>
      <c r="E278" s="62"/>
      <c r="F278" s="62"/>
      <c r="G278" s="62"/>
      <c r="H278" s="63"/>
      <c r="I278" s="63"/>
      <c r="J278" s="63"/>
      <c r="K278" s="62"/>
      <c r="L278" s="62"/>
      <c r="M278" s="64" t="str">
        <f ca="1">IF($A278="","",IF($G278="Did not pass re-test","Sent back again",IF($G278="Yes",IF(AND(ISNUMBER($J278),ISNUMBER($B278)),"Fixed in "&amp;($J278-$B278)&amp;" d","Accepted"),IF(SUMPRODUCT(--(TRIM('Combined Delivery Data'!$B$2:$B$500)=TRIM($A278)))=0,"Not on main tab - renamed?",IF(NOT(ISNUMBER($B278)),"Missing or invalid sent-back date",IF($B278&gt;TODAY(),"Sent-back date is in future",IF(ISNUMBER($J278),IF($J278&lt;$B278,"Check dates - fixed before sent","Fixed in "&amp;($J278-$B278)&amp;" d"),IF(AND($I278&lt;&gt;"",NOT(ISNUMBER($I278))),"Check Expected Fix Date",IF($I278="","UNCLAIMED "&amp;(TODAY()-$B278)&amp;" d",IF(TODAY()&gt;$I278,(TODAY()-$I278)&amp;" d LATE","Open "&amp;(TODAY()-$B278)&amp;" d"))))))))))</f>
        <v/>
      </c>
      <c r="O278" s="66">
        <f>'Combined Delivery Data'!B277</f>
        <v>0</v>
      </c>
      <c r="P278" s="66">
        <f t="shared" si="16"/>
        <v>0</v>
      </c>
      <c r="Q278" s="66">
        <f t="shared" si="17"/>
        <v>0</v>
      </c>
      <c r="R278" s="67" t="str">
        <f t="shared" si="18"/>
        <v/>
      </c>
      <c r="S278" s="66" t="str">
        <f t="shared" si="19"/>
        <v/>
      </c>
    </row>
    <row r="279" spans="1:19" x14ac:dyDescent="0.25">
      <c r="A279" s="62"/>
      <c r="B279" s="63"/>
      <c r="C279" s="62"/>
      <c r="D279" s="62"/>
      <c r="E279" s="62"/>
      <c r="F279" s="62"/>
      <c r="G279" s="62"/>
      <c r="H279" s="63"/>
      <c r="I279" s="63"/>
      <c r="J279" s="63"/>
      <c r="K279" s="62"/>
      <c r="L279" s="62"/>
      <c r="M279" s="64" t="str">
        <f ca="1">IF($A279="","",IF($G279="Did not pass re-test","Sent back again",IF($G279="Yes",IF(AND(ISNUMBER($J279),ISNUMBER($B279)),"Fixed in "&amp;($J279-$B279)&amp;" d","Accepted"),IF(SUMPRODUCT(--(TRIM('Combined Delivery Data'!$B$2:$B$500)=TRIM($A279)))=0,"Not on main tab - renamed?",IF(NOT(ISNUMBER($B279)),"Missing or invalid sent-back date",IF($B279&gt;TODAY(),"Sent-back date is in future",IF(ISNUMBER($J279),IF($J279&lt;$B279,"Check dates - fixed before sent","Fixed in "&amp;($J279-$B279)&amp;" d"),IF(AND($I279&lt;&gt;"",NOT(ISNUMBER($I279))),"Check Expected Fix Date",IF($I279="","UNCLAIMED "&amp;(TODAY()-$B279)&amp;" d",IF(TODAY()&gt;$I279,(TODAY()-$I279)&amp;" d LATE","Open "&amp;(TODAY()-$B279)&amp;" d"))))))))))</f>
        <v/>
      </c>
      <c r="O279" s="66">
        <f>'Combined Delivery Data'!B278</f>
        <v>0</v>
      </c>
      <c r="P279" s="66">
        <f t="shared" si="16"/>
        <v>0</v>
      </c>
      <c r="Q279" s="66">
        <f t="shared" si="17"/>
        <v>0</v>
      </c>
      <c r="R279" s="67" t="str">
        <f t="shared" si="18"/>
        <v/>
      </c>
      <c r="S279" s="66" t="str">
        <f t="shared" si="19"/>
        <v/>
      </c>
    </row>
    <row r="280" spans="1:19" x14ac:dyDescent="0.25">
      <c r="A280" s="62"/>
      <c r="B280" s="63"/>
      <c r="C280" s="62"/>
      <c r="D280" s="62"/>
      <c r="E280" s="62"/>
      <c r="F280" s="62"/>
      <c r="G280" s="62"/>
      <c r="H280" s="63"/>
      <c r="I280" s="63"/>
      <c r="J280" s="63"/>
      <c r="K280" s="62"/>
      <c r="L280" s="62"/>
      <c r="M280" s="64" t="str">
        <f ca="1">IF($A280="","",IF($G280="Did not pass re-test","Sent back again",IF($G280="Yes",IF(AND(ISNUMBER($J280),ISNUMBER($B280)),"Fixed in "&amp;($J280-$B280)&amp;" d","Accepted"),IF(SUMPRODUCT(--(TRIM('Combined Delivery Data'!$B$2:$B$500)=TRIM($A280)))=0,"Not on main tab - renamed?",IF(NOT(ISNUMBER($B280)),"Missing or invalid sent-back date",IF($B280&gt;TODAY(),"Sent-back date is in future",IF(ISNUMBER($J280),IF($J280&lt;$B280,"Check dates - fixed before sent","Fixed in "&amp;($J280-$B280)&amp;" d"),IF(AND($I280&lt;&gt;"",NOT(ISNUMBER($I280))),"Check Expected Fix Date",IF($I280="","UNCLAIMED "&amp;(TODAY()-$B280)&amp;" d",IF(TODAY()&gt;$I280,(TODAY()-$I280)&amp;" d LATE","Open "&amp;(TODAY()-$B280)&amp;" d"))))))))))</f>
        <v/>
      </c>
      <c r="O280" s="66">
        <f>'Combined Delivery Data'!B279</f>
        <v>0</v>
      </c>
      <c r="P280" s="66">
        <f t="shared" si="16"/>
        <v>0</v>
      </c>
      <c r="Q280" s="66">
        <f t="shared" si="17"/>
        <v>0</v>
      </c>
      <c r="R280" s="67" t="str">
        <f t="shared" si="18"/>
        <v/>
      </c>
      <c r="S280" s="66" t="str">
        <f t="shared" si="19"/>
        <v/>
      </c>
    </row>
    <row r="281" spans="1:19" x14ac:dyDescent="0.25">
      <c r="A281" s="62"/>
      <c r="B281" s="63"/>
      <c r="C281" s="62"/>
      <c r="D281" s="62"/>
      <c r="E281" s="62"/>
      <c r="F281" s="62"/>
      <c r="G281" s="62"/>
      <c r="H281" s="63"/>
      <c r="I281" s="63"/>
      <c r="J281" s="63"/>
      <c r="K281" s="62"/>
      <c r="L281" s="62"/>
      <c r="M281" s="64" t="str">
        <f ca="1">IF($A281="","",IF($G281="Did not pass re-test","Sent back again",IF($G281="Yes",IF(AND(ISNUMBER($J281),ISNUMBER($B281)),"Fixed in "&amp;($J281-$B281)&amp;" d","Accepted"),IF(SUMPRODUCT(--(TRIM('Combined Delivery Data'!$B$2:$B$500)=TRIM($A281)))=0,"Not on main tab - renamed?",IF(NOT(ISNUMBER($B281)),"Missing or invalid sent-back date",IF($B281&gt;TODAY(),"Sent-back date is in future",IF(ISNUMBER($J281),IF($J281&lt;$B281,"Check dates - fixed before sent","Fixed in "&amp;($J281-$B281)&amp;" d"),IF(AND($I281&lt;&gt;"",NOT(ISNUMBER($I281))),"Check Expected Fix Date",IF($I281="","UNCLAIMED "&amp;(TODAY()-$B281)&amp;" d",IF(TODAY()&gt;$I281,(TODAY()-$I281)&amp;" d LATE","Open "&amp;(TODAY()-$B281)&amp;" d"))))))))))</f>
        <v/>
      </c>
      <c r="O281" s="66">
        <f>'Combined Delivery Data'!B280</f>
        <v>0</v>
      </c>
      <c r="P281" s="66">
        <f t="shared" si="16"/>
        <v>0</v>
      </c>
      <c r="Q281" s="66">
        <f t="shared" si="17"/>
        <v>0</v>
      </c>
      <c r="R281" s="67" t="str">
        <f t="shared" si="18"/>
        <v/>
      </c>
      <c r="S281" s="66" t="str">
        <f t="shared" si="19"/>
        <v/>
      </c>
    </row>
    <row r="282" spans="1:19" x14ac:dyDescent="0.25">
      <c r="A282" s="62"/>
      <c r="B282" s="63"/>
      <c r="C282" s="62"/>
      <c r="D282" s="62"/>
      <c r="E282" s="62"/>
      <c r="F282" s="62"/>
      <c r="G282" s="62"/>
      <c r="H282" s="63"/>
      <c r="I282" s="63"/>
      <c r="J282" s="63"/>
      <c r="K282" s="62"/>
      <c r="L282" s="62"/>
      <c r="M282" s="64" t="str">
        <f ca="1">IF($A282="","",IF($G282="Did not pass re-test","Sent back again",IF($G282="Yes",IF(AND(ISNUMBER($J282),ISNUMBER($B282)),"Fixed in "&amp;($J282-$B282)&amp;" d","Accepted"),IF(SUMPRODUCT(--(TRIM('Combined Delivery Data'!$B$2:$B$500)=TRIM($A282)))=0,"Not on main tab - renamed?",IF(NOT(ISNUMBER($B282)),"Missing or invalid sent-back date",IF($B282&gt;TODAY(),"Sent-back date is in future",IF(ISNUMBER($J282),IF($J282&lt;$B282,"Check dates - fixed before sent","Fixed in "&amp;($J282-$B282)&amp;" d"),IF(AND($I282&lt;&gt;"",NOT(ISNUMBER($I282))),"Check Expected Fix Date",IF($I282="","UNCLAIMED "&amp;(TODAY()-$B282)&amp;" d",IF(TODAY()&gt;$I282,(TODAY()-$I282)&amp;" d LATE","Open "&amp;(TODAY()-$B282)&amp;" d"))))))))))</f>
        <v/>
      </c>
      <c r="O282" s="66">
        <f>'Combined Delivery Data'!B281</f>
        <v>0</v>
      </c>
      <c r="P282" s="66">
        <f t="shared" si="16"/>
        <v>0</v>
      </c>
      <c r="Q282" s="66">
        <f t="shared" si="17"/>
        <v>0</v>
      </c>
      <c r="R282" s="67" t="str">
        <f t="shared" si="18"/>
        <v/>
      </c>
      <c r="S282" s="66" t="str">
        <f t="shared" si="19"/>
        <v/>
      </c>
    </row>
    <row r="283" spans="1:19" x14ac:dyDescent="0.25">
      <c r="A283" s="62"/>
      <c r="B283" s="63"/>
      <c r="C283" s="62"/>
      <c r="D283" s="62"/>
      <c r="E283" s="62"/>
      <c r="F283" s="62"/>
      <c r="G283" s="62"/>
      <c r="H283" s="63"/>
      <c r="I283" s="63"/>
      <c r="J283" s="63"/>
      <c r="K283" s="62"/>
      <c r="L283" s="62"/>
      <c r="M283" s="64" t="str">
        <f ca="1">IF($A283="","",IF($G283="Did not pass re-test","Sent back again",IF($G283="Yes",IF(AND(ISNUMBER($J283),ISNUMBER($B283)),"Fixed in "&amp;($J283-$B283)&amp;" d","Accepted"),IF(SUMPRODUCT(--(TRIM('Combined Delivery Data'!$B$2:$B$500)=TRIM($A283)))=0,"Not on main tab - renamed?",IF(NOT(ISNUMBER($B283)),"Missing or invalid sent-back date",IF($B283&gt;TODAY(),"Sent-back date is in future",IF(ISNUMBER($J283),IF($J283&lt;$B283,"Check dates - fixed before sent","Fixed in "&amp;($J283-$B283)&amp;" d"),IF(AND($I283&lt;&gt;"",NOT(ISNUMBER($I283))),"Check Expected Fix Date",IF($I283="","UNCLAIMED "&amp;(TODAY()-$B283)&amp;" d",IF(TODAY()&gt;$I283,(TODAY()-$I283)&amp;" d LATE","Open "&amp;(TODAY()-$B283)&amp;" d"))))))))))</f>
        <v/>
      </c>
      <c r="O283" s="66">
        <f>'Combined Delivery Data'!B282</f>
        <v>0</v>
      </c>
      <c r="P283" s="66">
        <f t="shared" si="16"/>
        <v>0</v>
      </c>
      <c r="Q283" s="66">
        <f t="shared" si="17"/>
        <v>0</v>
      </c>
      <c r="R283" s="67" t="str">
        <f t="shared" si="18"/>
        <v/>
      </c>
      <c r="S283" s="66" t="str">
        <f t="shared" si="19"/>
        <v/>
      </c>
    </row>
    <row r="284" spans="1:19" x14ac:dyDescent="0.25">
      <c r="A284" s="62"/>
      <c r="B284" s="63"/>
      <c r="C284" s="62"/>
      <c r="D284" s="62"/>
      <c r="E284" s="62"/>
      <c r="F284" s="62"/>
      <c r="G284" s="62"/>
      <c r="H284" s="63"/>
      <c r="I284" s="63"/>
      <c r="J284" s="63"/>
      <c r="K284" s="62"/>
      <c r="L284" s="62"/>
      <c r="M284" s="64" t="str">
        <f ca="1">IF($A284="","",IF($G284="Did not pass re-test","Sent back again",IF($G284="Yes",IF(AND(ISNUMBER($J284),ISNUMBER($B284)),"Fixed in "&amp;($J284-$B284)&amp;" d","Accepted"),IF(SUMPRODUCT(--(TRIM('Combined Delivery Data'!$B$2:$B$500)=TRIM($A284)))=0,"Not on main tab - renamed?",IF(NOT(ISNUMBER($B284)),"Missing or invalid sent-back date",IF($B284&gt;TODAY(),"Sent-back date is in future",IF(ISNUMBER($J284),IF($J284&lt;$B284,"Check dates - fixed before sent","Fixed in "&amp;($J284-$B284)&amp;" d"),IF(AND($I284&lt;&gt;"",NOT(ISNUMBER($I284))),"Check Expected Fix Date",IF($I284="","UNCLAIMED "&amp;(TODAY()-$B284)&amp;" d",IF(TODAY()&gt;$I284,(TODAY()-$I284)&amp;" d LATE","Open "&amp;(TODAY()-$B284)&amp;" d"))))))))))</f>
        <v/>
      </c>
      <c r="O284" s="66">
        <f>'Combined Delivery Data'!B283</f>
        <v>0</v>
      </c>
      <c r="P284" s="66">
        <f t="shared" si="16"/>
        <v>0</v>
      </c>
      <c r="Q284" s="66">
        <f t="shared" si="17"/>
        <v>0</v>
      </c>
      <c r="R284" s="67" t="str">
        <f t="shared" si="18"/>
        <v/>
      </c>
      <c r="S284" s="66" t="str">
        <f t="shared" si="19"/>
        <v/>
      </c>
    </row>
    <row r="285" spans="1:19" x14ac:dyDescent="0.25">
      <c r="A285" s="62"/>
      <c r="B285" s="63"/>
      <c r="C285" s="62"/>
      <c r="D285" s="62"/>
      <c r="E285" s="62"/>
      <c r="F285" s="62"/>
      <c r="G285" s="62"/>
      <c r="H285" s="63"/>
      <c r="I285" s="63"/>
      <c r="J285" s="63"/>
      <c r="K285" s="62"/>
      <c r="L285" s="62"/>
      <c r="M285" s="64" t="str">
        <f ca="1">IF($A285="","",IF($G285="Did not pass re-test","Sent back again",IF($G285="Yes",IF(AND(ISNUMBER($J285),ISNUMBER($B285)),"Fixed in "&amp;($J285-$B285)&amp;" d","Accepted"),IF(SUMPRODUCT(--(TRIM('Combined Delivery Data'!$B$2:$B$500)=TRIM($A285)))=0,"Not on main tab - renamed?",IF(NOT(ISNUMBER($B285)),"Missing or invalid sent-back date",IF($B285&gt;TODAY(),"Sent-back date is in future",IF(ISNUMBER($J285),IF($J285&lt;$B285,"Check dates - fixed before sent","Fixed in "&amp;($J285-$B285)&amp;" d"),IF(AND($I285&lt;&gt;"",NOT(ISNUMBER($I285))),"Check Expected Fix Date",IF($I285="","UNCLAIMED "&amp;(TODAY()-$B285)&amp;" d",IF(TODAY()&gt;$I285,(TODAY()-$I285)&amp;" d LATE","Open "&amp;(TODAY()-$B285)&amp;" d"))))))))))</f>
        <v/>
      </c>
      <c r="O285" s="66">
        <f>'Combined Delivery Data'!B284</f>
        <v>0</v>
      </c>
      <c r="P285" s="66">
        <f t="shared" si="16"/>
        <v>0</v>
      </c>
      <c r="Q285" s="66">
        <f t="shared" si="17"/>
        <v>0</v>
      </c>
      <c r="R285" s="67" t="str">
        <f t="shared" si="18"/>
        <v/>
      </c>
      <c r="S285" s="66" t="str">
        <f t="shared" si="19"/>
        <v/>
      </c>
    </row>
    <row r="286" spans="1:19" x14ac:dyDescent="0.25">
      <c r="A286" s="62"/>
      <c r="B286" s="63"/>
      <c r="C286" s="62"/>
      <c r="D286" s="62"/>
      <c r="E286" s="62"/>
      <c r="F286" s="62"/>
      <c r="G286" s="62"/>
      <c r="H286" s="63"/>
      <c r="I286" s="63"/>
      <c r="J286" s="63"/>
      <c r="K286" s="62"/>
      <c r="L286" s="62"/>
      <c r="M286" s="64" t="str">
        <f ca="1">IF($A286="","",IF($G286="Did not pass re-test","Sent back again",IF($G286="Yes",IF(AND(ISNUMBER($J286),ISNUMBER($B286)),"Fixed in "&amp;($J286-$B286)&amp;" d","Accepted"),IF(SUMPRODUCT(--(TRIM('Combined Delivery Data'!$B$2:$B$500)=TRIM($A286)))=0,"Not on main tab - renamed?",IF(NOT(ISNUMBER($B286)),"Missing or invalid sent-back date",IF($B286&gt;TODAY(),"Sent-back date is in future",IF(ISNUMBER($J286),IF($J286&lt;$B286,"Check dates - fixed before sent","Fixed in "&amp;($J286-$B286)&amp;" d"),IF(AND($I286&lt;&gt;"",NOT(ISNUMBER($I286))),"Check Expected Fix Date",IF($I286="","UNCLAIMED "&amp;(TODAY()-$B286)&amp;" d",IF(TODAY()&gt;$I286,(TODAY()-$I286)&amp;" d LATE","Open "&amp;(TODAY()-$B286)&amp;" d"))))))))))</f>
        <v/>
      </c>
      <c r="O286" s="66">
        <f>'Combined Delivery Data'!B285</f>
        <v>0</v>
      </c>
      <c r="P286" s="66">
        <f t="shared" si="16"/>
        <v>0</v>
      </c>
      <c r="Q286" s="66">
        <f t="shared" si="17"/>
        <v>0</v>
      </c>
      <c r="R286" s="67" t="str">
        <f t="shared" si="18"/>
        <v/>
      </c>
      <c r="S286" s="66" t="str">
        <f t="shared" si="19"/>
        <v/>
      </c>
    </row>
    <row r="287" spans="1:19" x14ac:dyDescent="0.25">
      <c r="A287" s="62"/>
      <c r="B287" s="63"/>
      <c r="C287" s="62"/>
      <c r="D287" s="62"/>
      <c r="E287" s="62"/>
      <c r="F287" s="62"/>
      <c r="G287" s="62"/>
      <c r="H287" s="63"/>
      <c r="I287" s="63"/>
      <c r="J287" s="63"/>
      <c r="K287" s="62"/>
      <c r="L287" s="62"/>
      <c r="M287" s="64" t="str">
        <f ca="1">IF($A287="","",IF($G287="Did not pass re-test","Sent back again",IF($G287="Yes",IF(AND(ISNUMBER($J287),ISNUMBER($B287)),"Fixed in "&amp;($J287-$B287)&amp;" d","Accepted"),IF(SUMPRODUCT(--(TRIM('Combined Delivery Data'!$B$2:$B$500)=TRIM($A287)))=0,"Not on main tab - renamed?",IF(NOT(ISNUMBER($B287)),"Missing or invalid sent-back date",IF($B287&gt;TODAY(),"Sent-back date is in future",IF(ISNUMBER($J287),IF($J287&lt;$B287,"Check dates - fixed before sent","Fixed in "&amp;($J287-$B287)&amp;" d"),IF(AND($I287&lt;&gt;"",NOT(ISNUMBER($I287))),"Check Expected Fix Date",IF($I287="","UNCLAIMED "&amp;(TODAY()-$B287)&amp;" d",IF(TODAY()&gt;$I287,(TODAY()-$I287)&amp;" d LATE","Open "&amp;(TODAY()-$B287)&amp;" d"))))))))))</f>
        <v/>
      </c>
      <c r="O287" s="66">
        <f>'Combined Delivery Data'!B286</f>
        <v>0</v>
      </c>
      <c r="P287" s="66">
        <f t="shared" si="16"/>
        <v>0</v>
      </c>
      <c r="Q287" s="66">
        <f t="shared" si="17"/>
        <v>0</v>
      </c>
      <c r="R287" s="67" t="str">
        <f t="shared" si="18"/>
        <v/>
      </c>
      <c r="S287" s="66" t="str">
        <f t="shared" si="19"/>
        <v/>
      </c>
    </row>
    <row r="288" spans="1:19" x14ac:dyDescent="0.25">
      <c r="A288" s="62"/>
      <c r="B288" s="63"/>
      <c r="C288" s="62"/>
      <c r="D288" s="62"/>
      <c r="E288" s="62"/>
      <c r="F288" s="62"/>
      <c r="G288" s="62"/>
      <c r="H288" s="63"/>
      <c r="I288" s="63"/>
      <c r="J288" s="63"/>
      <c r="K288" s="62"/>
      <c r="L288" s="62"/>
      <c r="M288" s="64" t="str">
        <f ca="1">IF($A288="","",IF($G288="Did not pass re-test","Sent back again",IF($G288="Yes",IF(AND(ISNUMBER($J288),ISNUMBER($B288)),"Fixed in "&amp;($J288-$B288)&amp;" d","Accepted"),IF(SUMPRODUCT(--(TRIM('Combined Delivery Data'!$B$2:$B$500)=TRIM($A288)))=0,"Not on main tab - renamed?",IF(NOT(ISNUMBER($B288)),"Missing or invalid sent-back date",IF($B288&gt;TODAY(),"Sent-back date is in future",IF(ISNUMBER($J288),IF($J288&lt;$B288,"Check dates - fixed before sent","Fixed in "&amp;($J288-$B288)&amp;" d"),IF(AND($I288&lt;&gt;"",NOT(ISNUMBER($I288))),"Check Expected Fix Date",IF($I288="","UNCLAIMED "&amp;(TODAY()-$B288)&amp;" d",IF(TODAY()&gt;$I288,(TODAY()-$I288)&amp;" d LATE","Open "&amp;(TODAY()-$B288)&amp;" d"))))))))))</f>
        <v/>
      </c>
      <c r="O288" s="66">
        <f>'Combined Delivery Data'!B287</f>
        <v>0</v>
      </c>
      <c r="P288" s="66">
        <f t="shared" si="16"/>
        <v>0</v>
      </c>
      <c r="Q288" s="66">
        <f t="shared" si="17"/>
        <v>0</v>
      </c>
      <c r="R288" s="67" t="str">
        <f t="shared" si="18"/>
        <v/>
      </c>
      <c r="S288" s="66" t="str">
        <f t="shared" si="19"/>
        <v/>
      </c>
    </row>
    <row r="289" spans="1:19" x14ac:dyDescent="0.25">
      <c r="A289" s="62"/>
      <c r="B289" s="63"/>
      <c r="C289" s="62"/>
      <c r="D289" s="62"/>
      <c r="E289" s="62"/>
      <c r="F289" s="62"/>
      <c r="G289" s="62"/>
      <c r="H289" s="63"/>
      <c r="I289" s="63"/>
      <c r="J289" s="63"/>
      <c r="K289" s="62"/>
      <c r="L289" s="62"/>
      <c r="M289" s="64" t="str">
        <f ca="1">IF($A289="","",IF($G289="Did not pass re-test","Sent back again",IF($G289="Yes",IF(AND(ISNUMBER($J289),ISNUMBER($B289)),"Fixed in "&amp;($J289-$B289)&amp;" d","Accepted"),IF(SUMPRODUCT(--(TRIM('Combined Delivery Data'!$B$2:$B$500)=TRIM($A289)))=0,"Not on main tab - renamed?",IF(NOT(ISNUMBER($B289)),"Missing or invalid sent-back date",IF($B289&gt;TODAY(),"Sent-back date is in future",IF(ISNUMBER($J289),IF($J289&lt;$B289,"Check dates - fixed before sent","Fixed in "&amp;($J289-$B289)&amp;" d"),IF(AND($I289&lt;&gt;"",NOT(ISNUMBER($I289))),"Check Expected Fix Date",IF($I289="","UNCLAIMED "&amp;(TODAY()-$B289)&amp;" d",IF(TODAY()&gt;$I289,(TODAY()-$I289)&amp;" d LATE","Open "&amp;(TODAY()-$B289)&amp;" d"))))))))))</f>
        <v/>
      </c>
      <c r="O289" s="66">
        <f>'Combined Delivery Data'!B288</f>
        <v>0</v>
      </c>
      <c r="P289" s="66">
        <f t="shared" si="16"/>
        <v>0</v>
      </c>
      <c r="Q289" s="66">
        <f t="shared" si="17"/>
        <v>0</v>
      </c>
      <c r="R289" s="67" t="str">
        <f t="shared" si="18"/>
        <v/>
      </c>
      <c r="S289" s="66" t="str">
        <f t="shared" si="19"/>
        <v/>
      </c>
    </row>
    <row r="290" spans="1:19" x14ac:dyDescent="0.25">
      <c r="A290" s="62"/>
      <c r="B290" s="63"/>
      <c r="C290" s="62"/>
      <c r="D290" s="62"/>
      <c r="E290" s="62"/>
      <c r="F290" s="62"/>
      <c r="G290" s="62"/>
      <c r="H290" s="63"/>
      <c r="I290" s="63"/>
      <c r="J290" s="63"/>
      <c r="K290" s="62"/>
      <c r="L290" s="62"/>
      <c r="M290" s="64" t="str">
        <f ca="1">IF($A290="","",IF($G290="Did not pass re-test","Sent back again",IF($G290="Yes",IF(AND(ISNUMBER($J290),ISNUMBER($B290)),"Fixed in "&amp;($J290-$B290)&amp;" d","Accepted"),IF(SUMPRODUCT(--(TRIM('Combined Delivery Data'!$B$2:$B$500)=TRIM($A290)))=0,"Not on main tab - renamed?",IF(NOT(ISNUMBER($B290)),"Missing or invalid sent-back date",IF($B290&gt;TODAY(),"Sent-back date is in future",IF(ISNUMBER($J290),IF($J290&lt;$B290,"Check dates - fixed before sent","Fixed in "&amp;($J290-$B290)&amp;" d"),IF(AND($I290&lt;&gt;"",NOT(ISNUMBER($I290))),"Check Expected Fix Date",IF($I290="","UNCLAIMED "&amp;(TODAY()-$B290)&amp;" d",IF(TODAY()&gt;$I290,(TODAY()-$I290)&amp;" d LATE","Open "&amp;(TODAY()-$B290)&amp;" d"))))))))))</f>
        <v/>
      </c>
      <c r="O290" s="66">
        <f>'Combined Delivery Data'!B289</f>
        <v>0</v>
      </c>
      <c r="P290" s="66">
        <f t="shared" si="16"/>
        <v>0</v>
      </c>
      <c r="Q290" s="66">
        <f t="shared" si="17"/>
        <v>0</v>
      </c>
      <c r="R290" s="67" t="str">
        <f t="shared" si="18"/>
        <v/>
      </c>
      <c r="S290" s="66" t="str">
        <f t="shared" si="19"/>
        <v/>
      </c>
    </row>
    <row r="291" spans="1:19" x14ac:dyDescent="0.25">
      <c r="A291" s="62"/>
      <c r="B291" s="63"/>
      <c r="C291" s="62"/>
      <c r="D291" s="62"/>
      <c r="E291" s="62"/>
      <c r="F291" s="62"/>
      <c r="G291" s="62"/>
      <c r="H291" s="63"/>
      <c r="I291" s="63"/>
      <c r="J291" s="63"/>
      <c r="K291" s="62"/>
      <c r="L291" s="62"/>
      <c r="M291" s="64" t="str">
        <f ca="1">IF($A291="","",IF($G291="Did not pass re-test","Sent back again",IF($G291="Yes",IF(AND(ISNUMBER($J291),ISNUMBER($B291)),"Fixed in "&amp;($J291-$B291)&amp;" d","Accepted"),IF(SUMPRODUCT(--(TRIM('Combined Delivery Data'!$B$2:$B$500)=TRIM($A291)))=0,"Not on main tab - renamed?",IF(NOT(ISNUMBER($B291)),"Missing or invalid sent-back date",IF($B291&gt;TODAY(),"Sent-back date is in future",IF(ISNUMBER($J291),IF($J291&lt;$B291,"Check dates - fixed before sent","Fixed in "&amp;($J291-$B291)&amp;" d"),IF(AND($I291&lt;&gt;"",NOT(ISNUMBER($I291))),"Check Expected Fix Date",IF($I291="","UNCLAIMED "&amp;(TODAY()-$B291)&amp;" d",IF(TODAY()&gt;$I291,(TODAY()-$I291)&amp;" d LATE","Open "&amp;(TODAY()-$B291)&amp;" d"))))))))))</f>
        <v/>
      </c>
      <c r="O291" s="66">
        <f>'Combined Delivery Data'!B290</f>
        <v>0</v>
      </c>
      <c r="P291" s="66">
        <f t="shared" si="16"/>
        <v>0</v>
      </c>
      <c r="Q291" s="66">
        <f t="shared" si="17"/>
        <v>0</v>
      </c>
      <c r="R291" s="67" t="str">
        <f t="shared" si="18"/>
        <v/>
      </c>
      <c r="S291" s="66" t="str">
        <f t="shared" si="19"/>
        <v/>
      </c>
    </row>
    <row r="292" spans="1:19" x14ac:dyDescent="0.25">
      <c r="A292" s="62"/>
      <c r="B292" s="63"/>
      <c r="C292" s="62"/>
      <c r="D292" s="62"/>
      <c r="E292" s="62"/>
      <c r="F292" s="62"/>
      <c r="G292" s="62"/>
      <c r="H292" s="63"/>
      <c r="I292" s="63"/>
      <c r="J292" s="63"/>
      <c r="K292" s="62"/>
      <c r="L292" s="62"/>
      <c r="M292" s="64" t="str">
        <f ca="1">IF($A292="","",IF($G292="Did not pass re-test","Sent back again",IF($G292="Yes",IF(AND(ISNUMBER($J292),ISNUMBER($B292)),"Fixed in "&amp;($J292-$B292)&amp;" d","Accepted"),IF(SUMPRODUCT(--(TRIM('Combined Delivery Data'!$B$2:$B$500)=TRIM($A292)))=0,"Not on main tab - renamed?",IF(NOT(ISNUMBER($B292)),"Missing or invalid sent-back date",IF($B292&gt;TODAY(),"Sent-back date is in future",IF(ISNUMBER($J292),IF($J292&lt;$B292,"Check dates - fixed before sent","Fixed in "&amp;($J292-$B292)&amp;" d"),IF(AND($I292&lt;&gt;"",NOT(ISNUMBER($I292))),"Check Expected Fix Date",IF($I292="","UNCLAIMED "&amp;(TODAY()-$B292)&amp;" d",IF(TODAY()&gt;$I292,(TODAY()-$I292)&amp;" d LATE","Open "&amp;(TODAY()-$B292)&amp;" d"))))))))))</f>
        <v/>
      </c>
      <c r="O292" s="66">
        <f>'Combined Delivery Data'!B291</f>
        <v>0</v>
      </c>
      <c r="P292" s="66">
        <f t="shared" si="16"/>
        <v>0</v>
      </c>
      <c r="Q292" s="66">
        <f t="shared" si="17"/>
        <v>0</v>
      </c>
      <c r="R292" s="67" t="str">
        <f t="shared" si="18"/>
        <v/>
      </c>
      <c r="S292" s="66" t="str">
        <f t="shared" si="19"/>
        <v/>
      </c>
    </row>
    <row r="293" spans="1:19" x14ac:dyDescent="0.25">
      <c r="A293" s="62"/>
      <c r="B293" s="63"/>
      <c r="C293" s="62"/>
      <c r="D293" s="62"/>
      <c r="E293" s="62"/>
      <c r="F293" s="62"/>
      <c r="G293" s="62"/>
      <c r="H293" s="63"/>
      <c r="I293" s="63"/>
      <c r="J293" s="63"/>
      <c r="K293" s="62"/>
      <c r="L293" s="62"/>
      <c r="M293" s="64" t="str">
        <f ca="1">IF($A293="","",IF($G293="Did not pass re-test","Sent back again",IF($G293="Yes",IF(AND(ISNUMBER($J293),ISNUMBER($B293)),"Fixed in "&amp;($J293-$B293)&amp;" d","Accepted"),IF(SUMPRODUCT(--(TRIM('Combined Delivery Data'!$B$2:$B$500)=TRIM($A293)))=0,"Not on main tab - renamed?",IF(NOT(ISNUMBER($B293)),"Missing or invalid sent-back date",IF($B293&gt;TODAY(),"Sent-back date is in future",IF(ISNUMBER($J293),IF($J293&lt;$B293,"Check dates - fixed before sent","Fixed in "&amp;($J293-$B293)&amp;" d"),IF(AND($I293&lt;&gt;"",NOT(ISNUMBER($I293))),"Check Expected Fix Date",IF($I293="","UNCLAIMED "&amp;(TODAY()-$B293)&amp;" d",IF(TODAY()&gt;$I293,(TODAY()-$I293)&amp;" d LATE","Open "&amp;(TODAY()-$B293)&amp;" d"))))))))))</f>
        <v/>
      </c>
      <c r="O293" s="66">
        <f>'Combined Delivery Data'!B292</f>
        <v>0</v>
      </c>
      <c r="P293" s="66">
        <f t="shared" si="16"/>
        <v>0</v>
      </c>
      <c r="Q293" s="66">
        <f t="shared" si="17"/>
        <v>0</v>
      </c>
      <c r="R293" s="67" t="str">
        <f t="shared" si="18"/>
        <v/>
      </c>
      <c r="S293" s="66" t="str">
        <f t="shared" si="19"/>
        <v/>
      </c>
    </row>
    <row r="294" spans="1:19" x14ac:dyDescent="0.25">
      <c r="A294" s="62"/>
      <c r="B294" s="63"/>
      <c r="C294" s="62"/>
      <c r="D294" s="62"/>
      <c r="E294" s="62"/>
      <c r="F294" s="62"/>
      <c r="G294" s="62"/>
      <c r="H294" s="63"/>
      <c r="I294" s="63"/>
      <c r="J294" s="63"/>
      <c r="K294" s="62"/>
      <c r="L294" s="62"/>
      <c r="M294" s="64" t="str">
        <f ca="1">IF($A294="","",IF($G294="Did not pass re-test","Sent back again",IF($G294="Yes",IF(AND(ISNUMBER($J294),ISNUMBER($B294)),"Fixed in "&amp;($J294-$B294)&amp;" d","Accepted"),IF(SUMPRODUCT(--(TRIM('Combined Delivery Data'!$B$2:$B$500)=TRIM($A294)))=0,"Not on main tab - renamed?",IF(NOT(ISNUMBER($B294)),"Missing or invalid sent-back date",IF($B294&gt;TODAY(),"Sent-back date is in future",IF(ISNUMBER($J294),IF($J294&lt;$B294,"Check dates - fixed before sent","Fixed in "&amp;($J294-$B294)&amp;" d"),IF(AND($I294&lt;&gt;"",NOT(ISNUMBER($I294))),"Check Expected Fix Date",IF($I294="","UNCLAIMED "&amp;(TODAY()-$B294)&amp;" d",IF(TODAY()&gt;$I294,(TODAY()-$I294)&amp;" d LATE","Open "&amp;(TODAY()-$B294)&amp;" d"))))))))))</f>
        <v/>
      </c>
      <c r="O294" s="66">
        <f>'Combined Delivery Data'!B293</f>
        <v>0</v>
      </c>
      <c r="P294" s="66">
        <f t="shared" si="16"/>
        <v>0</v>
      </c>
      <c r="Q294" s="66">
        <f t="shared" si="17"/>
        <v>0</v>
      </c>
      <c r="R294" s="67" t="str">
        <f t="shared" si="18"/>
        <v/>
      </c>
      <c r="S294" s="66" t="str">
        <f t="shared" si="19"/>
        <v/>
      </c>
    </row>
    <row r="295" spans="1:19" x14ac:dyDescent="0.25">
      <c r="A295" s="62"/>
      <c r="B295" s="63"/>
      <c r="C295" s="62"/>
      <c r="D295" s="62"/>
      <c r="E295" s="62"/>
      <c r="F295" s="62"/>
      <c r="G295" s="62"/>
      <c r="H295" s="63"/>
      <c r="I295" s="63"/>
      <c r="J295" s="63"/>
      <c r="K295" s="62"/>
      <c r="L295" s="62"/>
      <c r="M295" s="64" t="str">
        <f ca="1">IF($A295="","",IF($G295="Did not pass re-test","Sent back again",IF($G295="Yes",IF(AND(ISNUMBER($J295),ISNUMBER($B295)),"Fixed in "&amp;($J295-$B295)&amp;" d","Accepted"),IF(SUMPRODUCT(--(TRIM('Combined Delivery Data'!$B$2:$B$500)=TRIM($A295)))=0,"Not on main tab - renamed?",IF(NOT(ISNUMBER($B295)),"Missing or invalid sent-back date",IF($B295&gt;TODAY(),"Sent-back date is in future",IF(ISNUMBER($J295),IF($J295&lt;$B295,"Check dates - fixed before sent","Fixed in "&amp;($J295-$B295)&amp;" d"),IF(AND($I295&lt;&gt;"",NOT(ISNUMBER($I295))),"Check Expected Fix Date",IF($I295="","UNCLAIMED "&amp;(TODAY()-$B295)&amp;" d",IF(TODAY()&gt;$I295,(TODAY()-$I295)&amp;" d LATE","Open "&amp;(TODAY()-$B295)&amp;" d"))))))))))</f>
        <v/>
      </c>
      <c r="O295" s="66">
        <f>'Combined Delivery Data'!B294</f>
        <v>0</v>
      </c>
      <c r="P295" s="66">
        <f t="shared" si="16"/>
        <v>0</v>
      </c>
      <c r="Q295" s="66">
        <f t="shared" si="17"/>
        <v>0</v>
      </c>
      <c r="R295" s="67" t="str">
        <f t="shared" si="18"/>
        <v/>
      </c>
      <c r="S295" s="66" t="str">
        <f t="shared" si="19"/>
        <v/>
      </c>
    </row>
    <row r="296" spans="1:19" x14ac:dyDescent="0.25">
      <c r="A296" s="62"/>
      <c r="B296" s="63"/>
      <c r="C296" s="62"/>
      <c r="D296" s="62"/>
      <c r="E296" s="62"/>
      <c r="F296" s="62"/>
      <c r="G296" s="62"/>
      <c r="H296" s="63"/>
      <c r="I296" s="63"/>
      <c r="J296" s="63"/>
      <c r="K296" s="62"/>
      <c r="L296" s="62"/>
      <c r="M296" s="64" t="str">
        <f ca="1">IF($A296="","",IF($G296="Did not pass re-test","Sent back again",IF($G296="Yes",IF(AND(ISNUMBER($J296),ISNUMBER($B296)),"Fixed in "&amp;($J296-$B296)&amp;" d","Accepted"),IF(SUMPRODUCT(--(TRIM('Combined Delivery Data'!$B$2:$B$500)=TRIM($A296)))=0,"Not on main tab - renamed?",IF(NOT(ISNUMBER($B296)),"Missing or invalid sent-back date",IF($B296&gt;TODAY(),"Sent-back date is in future",IF(ISNUMBER($J296),IF($J296&lt;$B296,"Check dates - fixed before sent","Fixed in "&amp;($J296-$B296)&amp;" d"),IF(AND($I296&lt;&gt;"",NOT(ISNUMBER($I296))),"Check Expected Fix Date",IF($I296="","UNCLAIMED "&amp;(TODAY()-$B296)&amp;" d",IF(TODAY()&gt;$I296,(TODAY()-$I296)&amp;" d LATE","Open "&amp;(TODAY()-$B296)&amp;" d"))))))))))</f>
        <v/>
      </c>
      <c r="O296" s="66">
        <f>'Combined Delivery Data'!B295</f>
        <v>0</v>
      </c>
      <c r="P296" s="66">
        <f t="shared" si="16"/>
        <v>0</v>
      </c>
      <c r="Q296" s="66">
        <f t="shared" si="17"/>
        <v>0</v>
      </c>
      <c r="R296" s="67" t="str">
        <f t="shared" si="18"/>
        <v/>
      </c>
      <c r="S296" s="66" t="str">
        <f t="shared" si="19"/>
        <v/>
      </c>
    </row>
    <row r="297" spans="1:19" x14ac:dyDescent="0.25">
      <c r="A297" s="62"/>
      <c r="B297" s="63"/>
      <c r="C297" s="62"/>
      <c r="D297" s="62"/>
      <c r="E297" s="62"/>
      <c r="F297" s="62"/>
      <c r="G297" s="62"/>
      <c r="H297" s="63"/>
      <c r="I297" s="63"/>
      <c r="J297" s="63"/>
      <c r="K297" s="62"/>
      <c r="L297" s="62"/>
      <c r="M297" s="64" t="str">
        <f ca="1">IF($A297="","",IF($G297="Did not pass re-test","Sent back again",IF($G297="Yes",IF(AND(ISNUMBER($J297),ISNUMBER($B297)),"Fixed in "&amp;($J297-$B297)&amp;" d","Accepted"),IF(SUMPRODUCT(--(TRIM('Combined Delivery Data'!$B$2:$B$500)=TRIM($A297)))=0,"Not on main tab - renamed?",IF(NOT(ISNUMBER($B297)),"Missing or invalid sent-back date",IF($B297&gt;TODAY(),"Sent-back date is in future",IF(ISNUMBER($J297),IF($J297&lt;$B297,"Check dates - fixed before sent","Fixed in "&amp;($J297-$B297)&amp;" d"),IF(AND($I297&lt;&gt;"",NOT(ISNUMBER($I297))),"Check Expected Fix Date",IF($I297="","UNCLAIMED "&amp;(TODAY()-$B297)&amp;" d",IF(TODAY()&gt;$I297,(TODAY()-$I297)&amp;" d LATE","Open "&amp;(TODAY()-$B297)&amp;" d"))))))))))</f>
        <v/>
      </c>
      <c r="O297" s="66">
        <f>'Combined Delivery Data'!B296</f>
        <v>0</v>
      </c>
      <c r="P297" s="66">
        <f t="shared" si="16"/>
        <v>0</v>
      </c>
      <c r="Q297" s="66">
        <f t="shared" si="17"/>
        <v>0</v>
      </c>
      <c r="R297" s="67" t="str">
        <f t="shared" si="18"/>
        <v/>
      </c>
      <c r="S297" s="66" t="str">
        <f t="shared" si="19"/>
        <v/>
      </c>
    </row>
    <row r="298" spans="1:19" x14ac:dyDescent="0.25">
      <c r="A298" s="62"/>
      <c r="B298" s="63"/>
      <c r="C298" s="62"/>
      <c r="D298" s="62"/>
      <c r="E298" s="62"/>
      <c r="F298" s="62"/>
      <c r="G298" s="62"/>
      <c r="H298" s="63"/>
      <c r="I298" s="63"/>
      <c r="J298" s="63"/>
      <c r="K298" s="62"/>
      <c r="L298" s="62"/>
      <c r="M298" s="64" t="str">
        <f ca="1">IF($A298="","",IF($G298="Did not pass re-test","Sent back again",IF($G298="Yes",IF(AND(ISNUMBER($J298),ISNUMBER($B298)),"Fixed in "&amp;($J298-$B298)&amp;" d","Accepted"),IF(SUMPRODUCT(--(TRIM('Combined Delivery Data'!$B$2:$B$500)=TRIM($A298)))=0,"Not on main tab - renamed?",IF(NOT(ISNUMBER($B298)),"Missing or invalid sent-back date",IF($B298&gt;TODAY(),"Sent-back date is in future",IF(ISNUMBER($J298),IF($J298&lt;$B298,"Check dates - fixed before sent","Fixed in "&amp;($J298-$B298)&amp;" d"),IF(AND($I298&lt;&gt;"",NOT(ISNUMBER($I298))),"Check Expected Fix Date",IF($I298="","UNCLAIMED "&amp;(TODAY()-$B298)&amp;" d",IF(TODAY()&gt;$I298,(TODAY()-$I298)&amp;" d LATE","Open "&amp;(TODAY()-$B298)&amp;" d"))))))))))</f>
        <v/>
      </c>
      <c r="O298" s="66">
        <f>'Combined Delivery Data'!B297</f>
        <v>0</v>
      </c>
      <c r="P298" s="66">
        <f t="shared" si="16"/>
        <v>0</v>
      </c>
      <c r="Q298" s="66">
        <f t="shared" si="17"/>
        <v>0</v>
      </c>
      <c r="R298" s="67" t="str">
        <f t="shared" si="18"/>
        <v/>
      </c>
      <c r="S298" s="66" t="str">
        <f t="shared" si="19"/>
        <v/>
      </c>
    </row>
    <row r="299" spans="1:19" x14ac:dyDescent="0.25">
      <c r="A299" s="62"/>
      <c r="B299" s="63"/>
      <c r="C299" s="62"/>
      <c r="D299" s="62"/>
      <c r="E299" s="62"/>
      <c r="F299" s="62"/>
      <c r="G299" s="62"/>
      <c r="H299" s="63"/>
      <c r="I299" s="63"/>
      <c r="J299" s="63"/>
      <c r="K299" s="62"/>
      <c r="L299" s="62"/>
      <c r="M299" s="64" t="str">
        <f ca="1">IF($A299="","",IF($G299="Did not pass re-test","Sent back again",IF($G299="Yes",IF(AND(ISNUMBER($J299),ISNUMBER($B299)),"Fixed in "&amp;($J299-$B299)&amp;" d","Accepted"),IF(SUMPRODUCT(--(TRIM('Combined Delivery Data'!$B$2:$B$500)=TRIM($A299)))=0,"Not on main tab - renamed?",IF(NOT(ISNUMBER($B299)),"Missing or invalid sent-back date",IF($B299&gt;TODAY(),"Sent-back date is in future",IF(ISNUMBER($J299),IF($J299&lt;$B299,"Check dates - fixed before sent","Fixed in "&amp;($J299-$B299)&amp;" d"),IF(AND($I299&lt;&gt;"",NOT(ISNUMBER($I299))),"Check Expected Fix Date",IF($I299="","UNCLAIMED "&amp;(TODAY()-$B299)&amp;" d",IF(TODAY()&gt;$I299,(TODAY()-$I299)&amp;" d LATE","Open "&amp;(TODAY()-$B299)&amp;" d"))))))))))</f>
        <v/>
      </c>
      <c r="O299" s="66">
        <f>'Combined Delivery Data'!B298</f>
        <v>0</v>
      </c>
      <c r="P299" s="66">
        <f t="shared" si="16"/>
        <v>0</v>
      </c>
      <c r="Q299" s="66">
        <f t="shared" si="17"/>
        <v>0</v>
      </c>
      <c r="R299" s="67" t="str">
        <f t="shared" si="18"/>
        <v/>
      </c>
      <c r="S299" s="66" t="str">
        <f t="shared" si="19"/>
        <v/>
      </c>
    </row>
    <row r="300" spans="1:19" x14ac:dyDescent="0.25">
      <c r="A300" s="62"/>
      <c r="B300" s="63"/>
      <c r="C300" s="62"/>
      <c r="D300" s="62"/>
      <c r="E300" s="62"/>
      <c r="F300" s="62"/>
      <c r="G300" s="62"/>
      <c r="H300" s="63"/>
      <c r="I300" s="63"/>
      <c r="J300" s="63"/>
      <c r="K300" s="62"/>
      <c r="L300" s="62"/>
      <c r="M300" s="64" t="str">
        <f ca="1">IF($A300="","",IF($G300="Did not pass re-test","Sent back again",IF($G300="Yes",IF(AND(ISNUMBER($J300),ISNUMBER($B300)),"Fixed in "&amp;($J300-$B300)&amp;" d","Accepted"),IF(SUMPRODUCT(--(TRIM('Combined Delivery Data'!$B$2:$B$500)=TRIM($A300)))=0,"Not on main tab - renamed?",IF(NOT(ISNUMBER($B300)),"Missing or invalid sent-back date",IF($B300&gt;TODAY(),"Sent-back date is in future",IF(ISNUMBER($J300),IF($J300&lt;$B300,"Check dates - fixed before sent","Fixed in "&amp;($J300-$B300)&amp;" d"),IF(AND($I300&lt;&gt;"",NOT(ISNUMBER($I300))),"Check Expected Fix Date",IF($I300="","UNCLAIMED "&amp;(TODAY()-$B300)&amp;" d",IF(TODAY()&gt;$I300,(TODAY()-$I300)&amp;" d LATE","Open "&amp;(TODAY()-$B300)&amp;" d"))))))))))</f>
        <v/>
      </c>
      <c r="O300" s="66">
        <f>'Combined Delivery Data'!B299</f>
        <v>0</v>
      </c>
      <c r="P300" s="66">
        <f t="shared" si="16"/>
        <v>0</v>
      </c>
      <c r="Q300" s="66">
        <f t="shared" si="17"/>
        <v>0</v>
      </c>
      <c r="R300" s="67" t="str">
        <f t="shared" si="18"/>
        <v/>
      </c>
      <c r="S300" s="66" t="str">
        <f t="shared" si="19"/>
        <v/>
      </c>
    </row>
    <row r="301" spans="1:19" x14ac:dyDescent="0.25">
      <c r="A301" s="62"/>
      <c r="B301" s="63"/>
      <c r="C301" s="62"/>
      <c r="D301" s="62"/>
      <c r="E301" s="62"/>
      <c r="F301" s="62"/>
      <c r="G301" s="62"/>
      <c r="H301" s="63"/>
      <c r="I301" s="63"/>
      <c r="J301" s="63"/>
      <c r="K301" s="62"/>
      <c r="L301" s="62"/>
      <c r="M301" s="64" t="str">
        <f ca="1">IF($A301="","",IF($G301="Did not pass re-test","Sent back again",IF($G301="Yes",IF(AND(ISNUMBER($J301),ISNUMBER($B301)),"Fixed in "&amp;($J301-$B301)&amp;" d","Accepted"),IF(SUMPRODUCT(--(TRIM('Combined Delivery Data'!$B$2:$B$500)=TRIM($A301)))=0,"Not on main tab - renamed?",IF(NOT(ISNUMBER($B301)),"Missing or invalid sent-back date",IF($B301&gt;TODAY(),"Sent-back date is in future",IF(ISNUMBER($J301),IF($J301&lt;$B301,"Check dates - fixed before sent","Fixed in "&amp;($J301-$B301)&amp;" d"),IF(AND($I301&lt;&gt;"",NOT(ISNUMBER($I301))),"Check Expected Fix Date",IF($I301="","UNCLAIMED "&amp;(TODAY()-$B301)&amp;" d",IF(TODAY()&gt;$I301,(TODAY()-$I301)&amp;" d LATE","Open "&amp;(TODAY()-$B301)&amp;" d"))))))))))</f>
        <v/>
      </c>
      <c r="O301" s="66">
        <f>'Combined Delivery Data'!B300</f>
        <v>0</v>
      </c>
      <c r="P301" s="66">
        <f t="shared" si="16"/>
        <v>0</v>
      </c>
      <c r="Q301" s="66">
        <f t="shared" si="17"/>
        <v>0</v>
      </c>
      <c r="R301" s="67" t="str">
        <f t="shared" si="18"/>
        <v/>
      </c>
      <c r="S301" s="66" t="str">
        <f t="shared" si="19"/>
        <v/>
      </c>
    </row>
    <row r="302" spans="1:19" x14ac:dyDescent="0.25">
      <c r="A302" s="62"/>
      <c r="B302" s="63"/>
      <c r="C302" s="62"/>
      <c r="D302" s="62"/>
      <c r="E302" s="62"/>
      <c r="F302" s="62"/>
      <c r="G302" s="62"/>
      <c r="H302" s="63"/>
      <c r="I302" s="63"/>
      <c r="J302" s="63"/>
      <c r="K302" s="62"/>
      <c r="L302" s="62"/>
      <c r="M302" s="64" t="str">
        <f ca="1">IF($A302="","",IF($G302="Did not pass re-test","Sent back again",IF($G302="Yes",IF(AND(ISNUMBER($J302),ISNUMBER($B302)),"Fixed in "&amp;($J302-$B302)&amp;" d","Accepted"),IF(SUMPRODUCT(--(TRIM('Combined Delivery Data'!$B$2:$B$500)=TRIM($A302)))=0,"Not on main tab - renamed?",IF(NOT(ISNUMBER($B302)),"Missing or invalid sent-back date",IF($B302&gt;TODAY(),"Sent-back date is in future",IF(ISNUMBER($J302),IF($J302&lt;$B302,"Check dates - fixed before sent","Fixed in "&amp;($J302-$B302)&amp;" d"),IF(AND($I302&lt;&gt;"",NOT(ISNUMBER($I302))),"Check Expected Fix Date",IF($I302="","UNCLAIMED "&amp;(TODAY()-$B302)&amp;" d",IF(TODAY()&gt;$I302,(TODAY()-$I302)&amp;" d LATE","Open "&amp;(TODAY()-$B302)&amp;" d"))))))))))</f>
        <v/>
      </c>
      <c r="O302" s="66">
        <f>'Combined Delivery Data'!B301</f>
        <v>0</v>
      </c>
      <c r="P302" s="66">
        <f t="shared" si="16"/>
        <v>0</v>
      </c>
      <c r="Q302" s="66">
        <f t="shared" si="17"/>
        <v>0</v>
      </c>
      <c r="R302" s="67" t="str">
        <f t="shared" si="18"/>
        <v/>
      </c>
      <c r="S302" s="66" t="str">
        <f t="shared" si="19"/>
        <v/>
      </c>
    </row>
    <row r="303" spans="1:19" x14ac:dyDescent="0.25">
      <c r="A303" s="62"/>
      <c r="B303" s="63"/>
      <c r="C303" s="62"/>
      <c r="D303" s="62"/>
      <c r="E303" s="62"/>
      <c r="F303" s="62"/>
      <c r="G303" s="62"/>
      <c r="H303" s="63"/>
      <c r="I303" s="63"/>
      <c r="J303" s="63"/>
      <c r="K303" s="62"/>
      <c r="L303" s="62"/>
      <c r="M303" s="64" t="str">
        <f ca="1">IF($A303="","",IF($G303="Did not pass re-test","Sent back again",IF($G303="Yes",IF(AND(ISNUMBER($J303),ISNUMBER($B303)),"Fixed in "&amp;($J303-$B303)&amp;" d","Accepted"),IF(SUMPRODUCT(--(TRIM('Combined Delivery Data'!$B$2:$B$500)=TRIM($A303)))=0,"Not on main tab - renamed?",IF(NOT(ISNUMBER($B303)),"Missing or invalid sent-back date",IF($B303&gt;TODAY(),"Sent-back date is in future",IF(ISNUMBER($J303),IF($J303&lt;$B303,"Check dates - fixed before sent","Fixed in "&amp;($J303-$B303)&amp;" d"),IF(AND($I303&lt;&gt;"",NOT(ISNUMBER($I303))),"Check Expected Fix Date",IF($I303="","UNCLAIMED "&amp;(TODAY()-$B303)&amp;" d",IF(TODAY()&gt;$I303,(TODAY()-$I303)&amp;" d LATE","Open "&amp;(TODAY()-$B303)&amp;" d"))))))))))</f>
        <v/>
      </c>
      <c r="O303" s="66">
        <f>'Combined Delivery Data'!B302</f>
        <v>0</v>
      </c>
      <c r="P303" s="66">
        <f t="shared" si="16"/>
        <v>0</v>
      </c>
      <c r="Q303" s="66">
        <f t="shared" si="17"/>
        <v>0</v>
      </c>
      <c r="R303" s="67" t="str">
        <f t="shared" si="18"/>
        <v/>
      </c>
      <c r="S303" s="66" t="str">
        <f t="shared" si="19"/>
        <v/>
      </c>
    </row>
    <row r="304" spans="1:19" x14ac:dyDescent="0.25">
      <c r="A304" s="62"/>
      <c r="B304" s="63"/>
      <c r="C304" s="62"/>
      <c r="D304" s="62"/>
      <c r="E304" s="62"/>
      <c r="F304" s="62"/>
      <c r="G304" s="62"/>
      <c r="H304" s="63"/>
      <c r="I304" s="63"/>
      <c r="J304" s="63"/>
      <c r="K304" s="62"/>
      <c r="L304" s="62"/>
      <c r="M304" s="64" t="str">
        <f ca="1">IF($A304="","",IF($G304="Did not pass re-test","Sent back again",IF($G304="Yes",IF(AND(ISNUMBER($J304),ISNUMBER($B304)),"Fixed in "&amp;($J304-$B304)&amp;" d","Accepted"),IF(SUMPRODUCT(--(TRIM('Combined Delivery Data'!$B$2:$B$500)=TRIM($A304)))=0,"Not on main tab - renamed?",IF(NOT(ISNUMBER($B304)),"Missing or invalid sent-back date",IF($B304&gt;TODAY(),"Sent-back date is in future",IF(ISNUMBER($J304),IF($J304&lt;$B304,"Check dates - fixed before sent","Fixed in "&amp;($J304-$B304)&amp;" d"),IF(AND($I304&lt;&gt;"",NOT(ISNUMBER($I304))),"Check Expected Fix Date",IF($I304="","UNCLAIMED "&amp;(TODAY()-$B304)&amp;" d",IF(TODAY()&gt;$I304,(TODAY()-$I304)&amp;" d LATE","Open "&amp;(TODAY()-$B304)&amp;" d"))))))))))</f>
        <v/>
      </c>
      <c r="O304" s="66">
        <f>'Combined Delivery Data'!B303</f>
        <v>0</v>
      </c>
      <c r="P304" s="66">
        <f t="shared" si="16"/>
        <v>0</v>
      </c>
      <c r="Q304" s="66">
        <f t="shared" si="17"/>
        <v>0</v>
      </c>
      <c r="R304" s="67" t="str">
        <f t="shared" si="18"/>
        <v/>
      </c>
      <c r="S304" s="66" t="str">
        <f t="shared" si="19"/>
        <v/>
      </c>
    </row>
    <row r="305" spans="1:19" x14ac:dyDescent="0.25">
      <c r="A305" s="62"/>
      <c r="B305" s="63"/>
      <c r="C305" s="62"/>
      <c r="D305" s="62"/>
      <c r="E305" s="62"/>
      <c r="F305" s="62"/>
      <c r="G305" s="62"/>
      <c r="H305" s="63"/>
      <c r="I305" s="63"/>
      <c r="J305" s="63"/>
      <c r="K305" s="62"/>
      <c r="L305" s="62"/>
      <c r="M305" s="64" t="str">
        <f ca="1">IF($A305="","",IF($G305="Did not pass re-test","Sent back again",IF($G305="Yes",IF(AND(ISNUMBER($J305),ISNUMBER($B305)),"Fixed in "&amp;($J305-$B305)&amp;" d","Accepted"),IF(SUMPRODUCT(--(TRIM('Combined Delivery Data'!$B$2:$B$500)=TRIM($A305)))=0,"Not on main tab - renamed?",IF(NOT(ISNUMBER($B305)),"Missing or invalid sent-back date",IF($B305&gt;TODAY(),"Sent-back date is in future",IF(ISNUMBER($J305),IF($J305&lt;$B305,"Check dates - fixed before sent","Fixed in "&amp;($J305-$B305)&amp;" d"),IF(AND($I305&lt;&gt;"",NOT(ISNUMBER($I305))),"Check Expected Fix Date",IF($I305="","UNCLAIMED "&amp;(TODAY()-$B305)&amp;" d",IF(TODAY()&gt;$I305,(TODAY()-$I305)&amp;" d LATE","Open "&amp;(TODAY()-$B305)&amp;" d"))))))))))</f>
        <v/>
      </c>
      <c r="O305" s="66">
        <f>'Combined Delivery Data'!B304</f>
        <v>0</v>
      </c>
      <c r="P305" s="66">
        <f t="shared" si="16"/>
        <v>0</v>
      </c>
      <c r="Q305" s="66">
        <f t="shared" si="17"/>
        <v>0</v>
      </c>
      <c r="R305" s="67" t="str">
        <f t="shared" si="18"/>
        <v/>
      </c>
      <c r="S305" s="66" t="str">
        <f t="shared" si="19"/>
        <v/>
      </c>
    </row>
    <row r="306" spans="1:19" x14ac:dyDescent="0.25">
      <c r="A306" s="62"/>
      <c r="B306" s="63"/>
      <c r="C306" s="62"/>
      <c r="D306" s="62"/>
      <c r="E306" s="62"/>
      <c r="F306" s="62"/>
      <c r="G306" s="62"/>
      <c r="H306" s="63"/>
      <c r="I306" s="63"/>
      <c r="J306" s="63"/>
      <c r="K306" s="62"/>
      <c r="L306" s="62"/>
      <c r="M306" s="64" t="str">
        <f ca="1">IF($A306="","",IF($G306="Did not pass re-test","Sent back again",IF($G306="Yes",IF(AND(ISNUMBER($J306),ISNUMBER($B306)),"Fixed in "&amp;($J306-$B306)&amp;" d","Accepted"),IF(SUMPRODUCT(--(TRIM('Combined Delivery Data'!$B$2:$B$500)=TRIM($A306)))=0,"Not on main tab - renamed?",IF(NOT(ISNUMBER($B306)),"Missing or invalid sent-back date",IF($B306&gt;TODAY(),"Sent-back date is in future",IF(ISNUMBER($J306),IF($J306&lt;$B306,"Check dates - fixed before sent","Fixed in "&amp;($J306-$B306)&amp;" d"),IF(AND($I306&lt;&gt;"",NOT(ISNUMBER($I306))),"Check Expected Fix Date",IF($I306="","UNCLAIMED "&amp;(TODAY()-$B306)&amp;" d",IF(TODAY()&gt;$I306,(TODAY()-$I306)&amp;" d LATE","Open "&amp;(TODAY()-$B306)&amp;" d"))))))))))</f>
        <v/>
      </c>
      <c r="O306" s="66">
        <f>'Combined Delivery Data'!B305</f>
        <v>0</v>
      </c>
      <c r="P306" s="66">
        <f t="shared" si="16"/>
        <v>0</v>
      </c>
      <c r="Q306" s="66">
        <f t="shared" si="17"/>
        <v>0</v>
      </c>
      <c r="R306" s="67" t="str">
        <f t="shared" si="18"/>
        <v/>
      </c>
      <c r="S306" s="66" t="str">
        <f t="shared" si="19"/>
        <v/>
      </c>
    </row>
    <row r="307" spans="1:19" x14ac:dyDescent="0.25">
      <c r="A307" s="62"/>
      <c r="B307" s="63"/>
      <c r="C307" s="62"/>
      <c r="D307" s="62"/>
      <c r="E307" s="62"/>
      <c r="F307" s="62"/>
      <c r="G307" s="62"/>
      <c r="H307" s="63"/>
      <c r="I307" s="63"/>
      <c r="J307" s="63"/>
      <c r="K307" s="62"/>
      <c r="L307" s="62"/>
      <c r="M307" s="64" t="str">
        <f ca="1">IF($A307="","",IF($G307="Did not pass re-test","Sent back again",IF($G307="Yes",IF(AND(ISNUMBER($J307),ISNUMBER($B307)),"Fixed in "&amp;($J307-$B307)&amp;" d","Accepted"),IF(SUMPRODUCT(--(TRIM('Combined Delivery Data'!$B$2:$B$500)=TRIM($A307)))=0,"Not on main tab - renamed?",IF(NOT(ISNUMBER($B307)),"Missing or invalid sent-back date",IF($B307&gt;TODAY(),"Sent-back date is in future",IF(ISNUMBER($J307),IF($J307&lt;$B307,"Check dates - fixed before sent","Fixed in "&amp;($J307-$B307)&amp;" d"),IF(AND($I307&lt;&gt;"",NOT(ISNUMBER($I307))),"Check Expected Fix Date",IF($I307="","UNCLAIMED "&amp;(TODAY()-$B307)&amp;" d",IF(TODAY()&gt;$I307,(TODAY()-$I307)&amp;" d LATE","Open "&amp;(TODAY()-$B307)&amp;" d"))))))))))</f>
        <v/>
      </c>
      <c r="O307" s="66">
        <f>'Combined Delivery Data'!B306</f>
        <v>0</v>
      </c>
      <c r="P307" s="66">
        <f t="shared" si="16"/>
        <v>0</v>
      </c>
      <c r="Q307" s="66">
        <f t="shared" si="17"/>
        <v>0</v>
      </c>
      <c r="R307" s="67" t="str">
        <f t="shared" si="18"/>
        <v/>
      </c>
      <c r="S307" s="66" t="str">
        <f t="shared" si="19"/>
        <v/>
      </c>
    </row>
    <row r="308" spans="1:19" x14ac:dyDescent="0.25">
      <c r="A308" s="62"/>
      <c r="B308" s="63"/>
      <c r="C308" s="62"/>
      <c r="D308" s="62"/>
      <c r="E308" s="62"/>
      <c r="F308" s="62"/>
      <c r="G308" s="62"/>
      <c r="H308" s="63"/>
      <c r="I308" s="63"/>
      <c r="J308" s="63"/>
      <c r="K308" s="62"/>
      <c r="L308" s="62"/>
      <c r="M308" s="64" t="str">
        <f ca="1">IF($A308="","",IF($G308="Did not pass re-test","Sent back again",IF($G308="Yes",IF(AND(ISNUMBER($J308),ISNUMBER($B308)),"Fixed in "&amp;($J308-$B308)&amp;" d","Accepted"),IF(SUMPRODUCT(--(TRIM('Combined Delivery Data'!$B$2:$B$500)=TRIM($A308)))=0,"Not on main tab - renamed?",IF(NOT(ISNUMBER($B308)),"Missing or invalid sent-back date",IF($B308&gt;TODAY(),"Sent-back date is in future",IF(ISNUMBER($J308),IF($J308&lt;$B308,"Check dates - fixed before sent","Fixed in "&amp;($J308-$B308)&amp;" d"),IF(AND($I308&lt;&gt;"",NOT(ISNUMBER($I308))),"Check Expected Fix Date",IF($I308="","UNCLAIMED "&amp;(TODAY()-$B308)&amp;" d",IF(TODAY()&gt;$I308,(TODAY()-$I308)&amp;" d LATE","Open "&amp;(TODAY()-$B308)&amp;" d"))))))))))</f>
        <v/>
      </c>
      <c r="O308" s="66">
        <f>'Combined Delivery Data'!B307</f>
        <v>0</v>
      </c>
      <c r="P308" s="66">
        <f t="shared" si="16"/>
        <v>0</v>
      </c>
      <c r="Q308" s="66">
        <f t="shared" si="17"/>
        <v>0</v>
      </c>
      <c r="R308" s="67" t="str">
        <f t="shared" si="18"/>
        <v/>
      </c>
      <c r="S308" s="66" t="str">
        <f t="shared" si="19"/>
        <v/>
      </c>
    </row>
    <row r="309" spans="1:19" x14ac:dyDescent="0.25">
      <c r="A309" s="62"/>
      <c r="B309" s="63"/>
      <c r="C309" s="62"/>
      <c r="D309" s="62"/>
      <c r="E309" s="62"/>
      <c r="F309" s="62"/>
      <c r="G309" s="62"/>
      <c r="H309" s="63"/>
      <c r="I309" s="63"/>
      <c r="J309" s="63"/>
      <c r="K309" s="62"/>
      <c r="L309" s="62"/>
      <c r="M309" s="64" t="str">
        <f ca="1">IF($A309="","",IF($G309="Did not pass re-test","Sent back again",IF($G309="Yes",IF(AND(ISNUMBER($J309),ISNUMBER($B309)),"Fixed in "&amp;($J309-$B309)&amp;" d","Accepted"),IF(SUMPRODUCT(--(TRIM('Combined Delivery Data'!$B$2:$B$500)=TRIM($A309)))=0,"Not on main tab - renamed?",IF(NOT(ISNUMBER($B309)),"Missing or invalid sent-back date",IF($B309&gt;TODAY(),"Sent-back date is in future",IF(ISNUMBER($J309),IF($J309&lt;$B309,"Check dates - fixed before sent","Fixed in "&amp;($J309-$B309)&amp;" d"),IF(AND($I309&lt;&gt;"",NOT(ISNUMBER($I309))),"Check Expected Fix Date",IF($I309="","UNCLAIMED "&amp;(TODAY()-$B309)&amp;" d",IF(TODAY()&gt;$I309,(TODAY()-$I309)&amp;" d LATE","Open "&amp;(TODAY()-$B309)&amp;" d"))))))))))</f>
        <v/>
      </c>
      <c r="O309" s="66">
        <f>'Combined Delivery Data'!B308</f>
        <v>0</v>
      </c>
      <c r="P309" s="66">
        <f t="shared" si="16"/>
        <v>0</v>
      </c>
      <c r="Q309" s="66">
        <f t="shared" si="17"/>
        <v>0</v>
      </c>
      <c r="R309" s="67" t="str">
        <f t="shared" si="18"/>
        <v/>
      </c>
      <c r="S309" s="66" t="str">
        <f t="shared" si="19"/>
        <v/>
      </c>
    </row>
    <row r="310" spans="1:19" x14ac:dyDescent="0.25">
      <c r="A310" s="62"/>
      <c r="B310" s="63"/>
      <c r="C310" s="62"/>
      <c r="D310" s="62"/>
      <c r="E310" s="62"/>
      <c r="F310" s="62"/>
      <c r="G310" s="62"/>
      <c r="H310" s="63"/>
      <c r="I310" s="63"/>
      <c r="J310" s="63"/>
      <c r="K310" s="62"/>
      <c r="L310" s="62"/>
      <c r="M310" s="64" t="str">
        <f ca="1">IF($A310="","",IF($G310="Did not pass re-test","Sent back again",IF($G310="Yes",IF(AND(ISNUMBER($J310),ISNUMBER($B310)),"Fixed in "&amp;($J310-$B310)&amp;" d","Accepted"),IF(SUMPRODUCT(--(TRIM('Combined Delivery Data'!$B$2:$B$500)=TRIM($A310)))=0,"Not on main tab - renamed?",IF(NOT(ISNUMBER($B310)),"Missing or invalid sent-back date",IF($B310&gt;TODAY(),"Sent-back date is in future",IF(ISNUMBER($J310),IF($J310&lt;$B310,"Check dates - fixed before sent","Fixed in "&amp;($J310-$B310)&amp;" d"),IF(AND($I310&lt;&gt;"",NOT(ISNUMBER($I310))),"Check Expected Fix Date",IF($I310="","UNCLAIMED "&amp;(TODAY()-$B310)&amp;" d",IF(TODAY()&gt;$I310,(TODAY()-$I310)&amp;" d LATE","Open "&amp;(TODAY()-$B310)&amp;" d"))))))))))</f>
        <v/>
      </c>
      <c r="O310" s="66">
        <f>'Combined Delivery Data'!B309</f>
        <v>0</v>
      </c>
      <c r="P310" s="66">
        <f t="shared" si="16"/>
        <v>0</v>
      </c>
      <c r="Q310" s="66">
        <f t="shared" si="17"/>
        <v>0</v>
      </c>
      <c r="R310" s="67" t="str">
        <f t="shared" si="18"/>
        <v/>
      </c>
      <c r="S310" s="66" t="str">
        <f t="shared" si="19"/>
        <v/>
      </c>
    </row>
    <row r="311" spans="1:19" x14ac:dyDescent="0.25">
      <c r="A311" s="62"/>
      <c r="B311" s="63"/>
      <c r="C311" s="62"/>
      <c r="D311" s="62"/>
      <c r="E311" s="62"/>
      <c r="F311" s="62"/>
      <c r="G311" s="62"/>
      <c r="H311" s="63"/>
      <c r="I311" s="63"/>
      <c r="J311" s="63"/>
      <c r="K311" s="62"/>
      <c r="L311" s="62"/>
      <c r="M311" s="64" t="str">
        <f ca="1">IF($A311="","",IF($G311="Did not pass re-test","Sent back again",IF($G311="Yes",IF(AND(ISNUMBER($J311),ISNUMBER($B311)),"Fixed in "&amp;($J311-$B311)&amp;" d","Accepted"),IF(SUMPRODUCT(--(TRIM('Combined Delivery Data'!$B$2:$B$500)=TRIM($A311)))=0,"Not on main tab - renamed?",IF(NOT(ISNUMBER($B311)),"Missing or invalid sent-back date",IF($B311&gt;TODAY(),"Sent-back date is in future",IF(ISNUMBER($J311),IF($J311&lt;$B311,"Check dates - fixed before sent","Fixed in "&amp;($J311-$B311)&amp;" d"),IF(AND($I311&lt;&gt;"",NOT(ISNUMBER($I311))),"Check Expected Fix Date",IF($I311="","UNCLAIMED "&amp;(TODAY()-$B311)&amp;" d",IF(TODAY()&gt;$I311,(TODAY()-$I311)&amp;" d LATE","Open "&amp;(TODAY()-$B311)&amp;" d"))))))))))</f>
        <v/>
      </c>
      <c r="O311" s="66">
        <f>'Combined Delivery Data'!B310</f>
        <v>0</v>
      </c>
      <c r="P311" s="66">
        <f t="shared" si="16"/>
        <v>0</v>
      </c>
      <c r="Q311" s="66">
        <f t="shared" si="17"/>
        <v>0</v>
      </c>
      <c r="R311" s="67" t="str">
        <f t="shared" si="18"/>
        <v/>
      </c>
      <c r="S311" s="66" t="str">
        <f t="shared" si="19"/>
        <v/>
      </c>
    </row>
    <row r="312" spans="1:19" x14ac:dyDescent="0.25">
      <c r="A312" s="62"/>
      <c r="B312" s="63"/>
      <c r="C312" s="62"/>
      <c r="D312" s="62"/>
      <c r="E312" s="62"/>
      <c r="F312" s="62"/>
      <c r="G312" s="62"/>
      <c r="H312" s="63"/>
      <c r="I312" s="63"/>
      <c r="J312" s="63"/>
      <c r="K312" s="62"/>
      <c r="L312" s="62"/>
      <c r="M312" s="64" t="str">
        <f ca="1">IF($A312="","",IF($G312="Did not pass re-test","Sent back again",IF($G312="Yes",IF(AND(ISNUMBER($J312),ISNUMBER($B312)),"Fixed in "&amp;($J312-$B312)&amp;" d","Accepted"),IF(SUMPRODUCT(--(TRIM('Combined Delivery Data'!$B$2:$B$500)=TRIM($A312)))=0,"Not on main tab - renamed?",IF(NOT(ISNUMBER($B312)),"Missing or invalid sent-back date",IF($B312&gt;TODAY(),"Sent-back date is in future",IF(ISNUMBER($J312),IF($J312&lt;$B312,"Check dates - fixed before sent","Fixed in "&amp;($J312-$B312)&amp;" d"),IF(AND($I312&lt;&gt;"",NOT(ISNUMBER($I312))),"Check Expected Fix Date",IF($I312="","UNCLAIMED "&amp;(TODAY()-$B312)&amp;" d",IF(TODAY()&gt;$I312,(TODAY()-$I312)&amp;" d LATE","Open "&amp;(TODAY()-$B312)&amp;" d"))))))))))</f>
        <v/>
      </c>
      <c r="O312" s="66">
        <f>'Combined Delivery Data'!B311</f>
        <v>0</v>
      </c>
      <c r="P312" s="66">
        <f t="shared" si="16"/>
        <v>0</v>
      </c>
      <c r="Q312" s="66">
        <f t="shared" si="17"/>
        <v>0</v>
      </c>
      <c r="R312" s="67" t="str">
        <f t="shared" si="18"/>
        <v/>
      </c>
      <c r="S312" s="66" t="str">
        <f t="shared" si="19"/>
        <v/>
      </c>
    </row>
    <row r="313" spans="1:19" x14ac:dyDescent="0.25">
      <c r="A313" s="62"/>
      <c r="B313" s="63"/>
      <c r="C313" s="62"/>
      <c r="D313" s="62"/>
      <c r="E313" s="62"/>
      <c r="F313" s="62"/>
      <c r="G313" s="62"/>
      <c r="H313" s="63"/>
      <c r="I313" s="63"/>
      <c r="J313" s="63"/>
      <c r="K313" s="62"/>
      <c r="L313" s="62"/>
      <c r="M313" s="64" t="str">
        <f ca="1">IF($A313="","",IF($G313="Did not pass re-test","Sent back again",IF($G313="Yes",IF(AND(ISNUMBER($J313),ISNUMBER($B313)),"Fixed in "&amp;($J313-$B313)&amp;" d","Accepted"),IF(SUMPRODUCT(--(TRIM('Combined Delivery Data'!$B$2:$B$500)=TRIM($A313)))=0,"Not on main tab - renamed?",IF(NOT(ISNUMBER($B313)),"Missing or invalid sent-back date",IF($B313&gt;TODAY(),"Sent-back date is in future",IF(ISNUMBER($J313),IF($J313&lt;$B313,"Check dates - fixed before sent","Fixed in "&amp;($J313-$B313)&amp;" d"),IF(AND($I313&lt;&gt;"",NOT(ISNUMBER($I313))),"Check Expected Fix Date",IF($I313="","UNCLAIMED "&amp;(TODAY()-$B313)&amp;" d",IF(TODAY()&gt;$I313,(TODAY()-$I313)&amp;" d LATE","Open "&amp;(TODAY()-$B313)&amp;" d"))))))))))</f>
        <v/>
      </c>
      <c r="O313" s="66">
        <f>'Combined Delivery Data'!B312</f>
        <v>0</v>
      </c>
      <c r="P313" s="66">
        <f t="shared" si="16"/>
        <v>0</v>
      </c>
      <c r="Q313" s="66">
        <f t="shared" si="17"/>
        <v>0</v>
      </c>
      <c r="R313" s="67" t="str">
        <f t="shared" si="18"/>
        <v/>
      </c>
      <c r="S313" s="66" t="str">
        <f t="shared" si="19"/>
        <v/>
      </c>
    </row>
    <row r="314" spans="1:19" x14ac:dyDescent="0.25">
      <c r="A314" s="62"/>
      <c r="B314" s="63"/>
      <c r="C314" s="62"/>
      <c r="D314" s="62"/>
      <c r="E314" s="62"/>
      <c r="F314" s="62"/>
      <c r="G314" s="62"/>
      <c r="H314" s="63"/>
      <c r="I314" s="63"/>
      <c r="J314" s="63"/>
      <c r="K314" s="62"/>
      <c r="L314" s="62"/>
      <c r="M314" s="64" t="str">
        <f ca="1">IF($A314="","",IF($G314="Did not pass re-test","Sent back again",IF($G314="Yes",IF(AND(ISNUMBER($J314),ISNUMBER($B314)),"Fixed in "&amp;($J314-$B314)&amp;" d","Accepted"),IF(SUMPRODUCT(--(TRIM('Combined Delivery Data'!$B$2:$B$500)=TRIM($A314)))=0,"Not on main tab - renamed?",IF(NOT(ISNUMBER($B314)),"Missing or invalid sent-back date",IF($B314&gt;TODAY(),"Sent-back date is in future",IF(ISNUMBER($J314),IF($J314&lt;$B314,"Check dates - fixed before sent","Fixed in "&amp;($J314-$B314)&amp;" d"),IF(AND($I314&lt;&gt;"",NOT(ISNUMBER($I314))),"Check Expected Fix Date",IF($I314="","UNCLAIMED "&amp;(TODAY()-$B314)&amp;" d",IF(TODAY()&gt;$I314,(TODAY()-$I314)&amp;" d LATE","Open "&amp;(TODAY()-$B314)&amp;" d"))))))))))</f>
        <v/>
      </c>
      <c r="O314" s="66">
        <f>'Combined Delivery Data'!B313</f>
        <v>0</v>
      </c>
      <c r="P314" s="66">
        <f t="shared" si="16"/>
        <v>0</v>
      </c>
      <c r="Q314" s="66">
        <f t="shared" si="17"/>
        <v>0</v>
      </c>
      <c r="R314" s="67" t="str">
        <f t="shared" si="18"/>
        <v/>
      </c>
      <c r="S314" s="66" t="str">
        <f t="shared" si="19"/>
        <v/>
      </c>
    </row>
    <row r="315" spans="1:19" x14ac:dyDescent="0.25">
      <c r="A315" s="62"/>
      <c r="B315" s="63"/>
      <c r="C315" s="62"/>
      <c r="D315" s="62"/>
      <c r="E315" s="62"/>
      <c r="F315" s="62"/>
      <c r="G315" s="62"/>
      <c r="H315" s="63"/>
      <c r="I315" s="63"/>
      <c r="J315" s="63"/>
      <c r="K315" s="62"/>
      <c r="L315" s="62"/>
      <c r="M315" s="64" t="str">
        <f ca="1">IF($A315="","",IF($G315="Did not pass re-test","Sent back again",IF($G315="Yes",IF(AND(ISNUMBER($J315),ISNUMBER($B315)),"Fixed in "&amp;($J315-$B315)&amp;" d","Accepted"),IF(SUMPRODUCT(--(TRIM('Combined Delivery Data'!$B$2:$B$500)=TRIM($A315)))=0,"Not on main tab - renamed?",IF(NOT(ISNUMBER($B315)),"Missing or invalid sent-back date",IF($B315&gt;TODAY(),"Sent-back date is in future",IF(ISNUMBER($J315),IF($J315&lt;$B315,"Check dates - fixed before sent","Fixed in "&amp;($J315-$B315)&amp;" d"),IF(AND($I315&lt;&gt;"",NOT(ISNUMBER($I315))),"Check Expected Fix Date",IF($I315="","UNCLAIMED "&amp;(TODAY()-$B315)&amp;" d",IF(TODAY()&gt;$I315,(TODAY()-$I315)&amp;" d LATE","Open "&amp;(TODAY()-$B315)&amp;" d"))))))))))</f>
        <v/>
      </c>
      <c r="O315" s="66">
        <f>'Combined Delivery Data'!B314</f>
        <v>0</v>
      </c>
      <c r="P315" s="66">
        <f t="shared" si="16"/>
        <v>0</v>
      </c>
      <c r="Q315" s="66">
        <f t="shared" si="17"/>
        <v>0</v>
      </c>
      <c r="R315" s="67" t="str">
        <f t="shared" si="18"/>
        <v/>
      </c>
      <c r="S315" s="66" t="str">
        <f t="shared" si="19"/>
        <v/>
      </c>
    </row>
    <row r="316" spans="1:19" x14ac:dyDescent="0.25">
      <c r="A316" s="62"/>
      <c r="B316" s="63"/>
      <c r="C316" s="62"/>
      <c r="D316" s="62"/>
      <c r="E316" s="62"/>
      <c r="F316" s="62"/>
      <c r="G316" s="62"/>
      <c r="H316" s="63"/>
      <c r="I316" s="63"/>
      <c r="J316" s="63"/>
      <c r="K316" s="62"/>
      <c r="L316" s="62"/>
      <c r="M316" s="64" t="str">
        <f ca="1">IF($A316="","",IF($G316="Did not pass re-test","Sent back again",IF($G316="Yes",IF(AND(ISNUMBER($J316),ISNUMBER($B316)),"Fixed in "&amp;($J316-$B316)&amp;" d","Accepted"),IF(SUMPRODUCT(--(TRIM('Combined Delivery Data'!$B$2:$B$500)=TRIM($A316)))=0,"Not on main tab - renamed?",IF(NOT(ISNUMBER($B316)),"Missing or invalid sent-back date",IF($B316&gt;TODAY(),"Sent-back date is in future",IF(ISNUMBER($J316),IF($J316&lt;$B316,"Check dates - fixed before sent","Fixed in "&amp;($J316-$B316)&amp;" d"),IF(AND($I316&lt;&gt;"",NOT(ISNUMBER($I316))),"Check Expected Fix Date",IF($I316="","UNCLAIMED "&amp;(TODAY()-$B316)&amp;" d",IF(TODAY()&gt;$I316,(TODAY()-$I316)&amp;" d LATE","Open "&amp;(TODAY()-$B316)&amp;" d"))))))))))</f>
        <v/>
      </c>
      <c r="O316" s="66">
        <f>'Combined Delivery Data'!B315</f>
        <v>0</v>
      </c>
      <c r="P316" s="66">
        <f t="shared" si="16"/>
        <v>0</v>
      </c>
      <c r="Q316" s="66">
        <f t="shared" si="17"/>
        <v>0</v>
      </c>
      <c r="R316" s="67" t="str">
        <f t="shared" si="18"/>
        <v/>
      </c>
      <c r="S316" s="66" t="str">
        <f t="shared" si="19"/>
        <v/>
      </c>
    </row>
    <row r="317" spans="1:19" x14ac:dyDescent="0.25">
      <c r="A317" s="62"/>
      <c r="B317" s="63"/>
      <c r="C317" s="62"/>
      <c r="D317" s="62"/>
      <c r="E317" s="62"/>
      <c r="F317" s="62"/>
      <c r="G317" s="62"/>
      <c r="H317" s="63"/>
      <c r="I317" s="63"/>
      <c r="J317" s="63"/>
      <c r="K317" s="62"/>
      <c r="L317" s="62"/>
      <c r="M317" s="64" t="str">
        <f ca="1">IF($A317="","",IF($G317="Did not pass re-test","Sent back again",IF($G317="Yes",IF(AND(ISNUMBER($J317),ISNUMBER($B317)),"Fixed in "&amp;($J317-$B317)&amp;" d","Accepted"),IF(SUMPRODUCT(--(TRIM('Combined Delivery Data'!$B$2:$B$500)=TRIM($A317)))=0,"Not on main tab - renamed?",IF(NOT(ISNUMBER($B317)),"Missing or invalid sent-back date",IF($B317&gt;TODAY(),"Sent-back date is in future",IF(ISNUMBER($J317),IF($J317&lt;$B317,"Check dates - fixed before sent","Fixed in "&amp;($J317-$B317)&amp;" d"),IF(AND($I317&lt;&gt;"",NOT(ISNUMBER($I317))),"Check Expected Fix Date",IF($I317="","UNCLAIMED "&amp;(TODAY()-$B317)&amp;" d",IF(TODAY()&gt;$I317,(TODAY()-$I317)&amp;" d LATE","Open "&amp;(TODAY()-$B317)&amp;" d"))))))))))</f>
        <v/>
      </c>
      <c r="O317" s="66">
        <f>'Combined Delivery Data'!B316</f>
        <v>0</v>
      </c>
      <c r="P317" s="66">
        <f t="shared" si="16"/>
        <v>0</v>
      </c>
      <c r="Q317" s="66">
        <f t="shared" si="17"/>
        <v>0</v>
      </c>
      <c r="R317" s="67" t="str">
        <f t="shared" si="18"/>
        <v/>
      </c>
      <c r="S317" s="66" t="str">
        <f t="shared" si="19"/>
        <v/>
      </c>
    </row>
    <row r="318" spans="1:19" x14ac:dyDescent="0.25">
      <c r="A318" s="62"/>
      <c r="B318" s="63"/>
      <c r="C318" s="62"/>
      <c r="D318" s="62"/>
      <c r="E318" s="62"/>
      <c r="F318" s="62"/>
      <c r="G318" s="62"/>
      <c r="H318" s="63"/>
      <c r="I318" s="63"/>
      <c r="J318" s="63"/>
      <c r="K318" s="62"/>
      <c r="L318" s="62"/>
      <c r="M318" s="64" t="str">
        <f ca="1">IF($A318="","",IF($G318="Did not pass re-test","Sent back again",IF($G318="Yes",IF(AND(ISNUMBER($J318),ISNUMBER($B318)),"Fixed in "&amp;($J318-$B318)&amp;" d","Accepted"),IF(SUMPRODUCT(--(TRIM('Combined Delivery Data'!$B$2:$B$500)=TRIM($A318)))=0,"Not on main tab - renamed?",IF(NOT(ISNUMBER($B318)),"Missing or invalid sent-back date",IF($B318&gt;TODAY(),"Sent-back date is in future",IF(ISNUMBER($J318),IF($J318&lt;$B318,"Check dates - fixed before sent","Fixed in "&amp;($J318-$B318)&amp;" d"),IF(AND($I318&lt;&gt;"",NOT(ISNUMBER($I318))),"Check Expected Fix Date",IF($I318="","UNCLAIMED "&amp;(TODAY()-$B318)&amp;" d",IF(TODAY()&gt;$I318,(TODAY()-$I318)&amp;" d LATE","Open "&amp;(TODAY()-$B318)&amp;" d"))))))))))</f>
        <v/>
      </c>
      <c r="O318" s="66">
        <f>'Combined Delivery Data'!B317</f>
        <v>0</v>
      </c>
      <c r="P318" s="66">
        <f t="shared" si="16"/>
        <v>0</v>
      </c>
      <c r="Q318" s="66">
        <f t="shared" si="17"/>
        <v>0</v>
      </c>
      <c r="R318" s="67" t="str">
        <f t="shared" si="18"/>
        <v/>
      </c>
      <c r="S318" s="66" t="str">
        <f t="shared" si="19"/>
        <v/>
      </c>
    </row>
    <row r="319" spans="1:19" x14ac:dyDescent="0.25">
      <c r="A319" s="62"/>
      <c r="B319" s="63"/>
      <c r="C319" s="62"/>
      <c r="D319" s="62"/>
      <c r="E319" s="62"/>
      <c r="F319" s="62"/>
      <c r="G319" s="62"/>
      <c r="H319" s="63"/>
      <c r="I319" s="63"/>
      <c r="J319" s="63"/>
      <c r="K319" s="62"/>
      <c r="L319" s="62"/>
      <c r="M319" s="64" t="str">
        <f ca="1">IF($A319="","",IF($G319="Did not pass re-test","Sent back again",IF($G319="Yes",IF(AND(ISNUMBER($J319),ISNUMBER($B319)),"Fixed in "&amp;($J319-$B319)&amp;" d","Accepted"),IF(SUMPRODUCT(--(TRIM('Combined Delivery Data'!$B$2:$B$500)=TRIM($A319)))=0,"Not on main tab - renamed?",IF(NOT(ISNUMBER($B319)),"Missing or invalid sent-back date",IF($B319&gt;TODAY(),"Sent-back date is in future",IF(ISNUMBER($J319),IF($J319&lt;$B319,"Check dates - fixed before sent","Fixed in "&amp;($J319-$B319)&amp;" d"),IF(AND($I319&lt;&gt;"",NOT(ISNUMBER($I319))),"Check Expected Fix Date",IF($I319="","UNCLAIMED "&amp;(TODAY()-$B319)&amp;" d",IF(TODAY()&gt;$I319,(TODAY()-$I319)&amp;" d LATE","Open "&amp;(TODAY()-$B319)&amp;" d"))))))))))</f>
        <v/>
      </c>
      <c r="O319" s="66">
        <f>'Combined Delivery Data'!B318</f>
        <v>0</v>
      </c>
      <c r="P319" s="66">
        <f t="shared" si="16"/>
        <v>0</v>
      </c>
      <c r="Q319" s="66">
        <f t="shared" si="17"/>
        <v>0</v>
      </c>
      <c r="R319" s="67" t="str">
        <f t="shared" si="18"/>
        <v/>
      </c>
      <c r="S319" s="66" t="str">
        <f t="shared" si="19"/>
        <v/>
      </c>
    </row>
    <row r="320" spans="1:19" x14ac:dyDescent="0.25">
      <c r="A320" s="62"/>
      <c r="B320" s="63"/>
      <c r="C320" s="62"/>
      <c r="D320" s="62"/>
      <c r="E320" s="62"/>
      <c r="F320" s="62"/>
      <c r="G320" s="62"/>
      <c r="H320" s="63"/>
      <c r="I320" s="63"/>
      <c r="J320" s="63"/>
      <c r="K320" s="62"/>
      <c r="L320" s="62"/>
      <c r="M320" s="64" t="str">
        <f ca="1">IF($A320="","",IF($G320="Did not pass re-test","Sent back again",IF($G320="Yes",IF(AND(ISNUMBER($J320),ISNUMBER($B320)),"Fixed in "&amp;($J320-$B320)&amp;" d","Accepted"),IF(SUMPRODUCT(--(TRIM('Combined Delivery Data'!$B$2:$B$500)=TRIM($A320)))=0,"Not on main tab - renamed?",IF(NOT(ISNUMBER($B320)),"Missing or invalid sent-back date",IF($B320&gt;TODAY(),"Sent-back date is in future",IF(ISNUMBER($J320),IF($J320&lt;$B320,"Check dates - fixed before sent","Fixed in "&amp;($J320-$B320)&amp;" d"),IF(AND($I320&lt;&gt;"",NOT(ISNUMBER($I320))),"Check Expected Fix Date",IF($I320="","UNCLAIMED "&amp;(TODAY()-$B320)&amp;" d",IF(TODAY()&gt;$I320,(TODAY()-$I320)&amp;" d LATE","Open "&amp;(TODAY()-$B320)&amp;" d"))))))))))</f>
        <v/>
      </c>
      <c r="O320" s="66">
        <f>'Combined Delivery Data'!B319</f>
        <v>0</v>
      </c>
      <c r="P320" s="66">
        <f t="shared" si="16"/>
        <v>0</v>
      </c>
      <c r="Q320" s="66">
        <f t="shared" si="17"/>
        <v>0</v>
      </c>
      <c r="R320" s="67" t="str">
        <f t="shared" si="18"/>
        <v/>
      </c>
      <c r="S320" s="66" t="str">
        <f t="shared" si="19"/>
        <v/>
      </c>
    </row>
    <row r="321" spans="1:19" x14ac:dyDescent="0.25">
      <c r="A321" s="62"/>
      <c r="B321" s="63"/>
      <c r="C321" s="62"/>
      <c r="D321" s="62"/>
      <c r="E321" s="62"/>
      <c r="F321" s="62"/>
      <c r="G321" s="62"/>
      <c r="H321" s="63"/>
      <c r="I321" s="63"/>
      <c r="J321" s="63"/>
      <c r="K321" s="62"/>
      <c r="L321" s="62"/>
      <c r="M321" s="64" t="str">
        <f ca="1">IF($A321="","",IF($G321="Did not pass re-test","Sent back again",IF($G321="Yes",IF(AND(ISNUMBER($J321),ISNUMBER($B321)),"Fixed in "&amp;($J321-$B321)&amp;" d","Accepted"),IF(SUMPRODUCT(--(TRIM('Combined Delivery Data'!$B$2:$B$500)=TRIM($A321)))=0,"Not on main tab - renamed?",IF(NOT(ISNUMBER($B321)),"Missing or invalid sent-back date",IF($B321&gt;TODAY(),"Sent-back date is in future",IF(ISNUMBER($J321),IF($J321&lt;$B321,"Check dates - fixed before sent","Fixed in "&amp;($J321-$B321)&amp;" d"),IF(AND($I321&lt;&gt;"",NOT(ISNUMBER($I321))),"Check Expected Fix Date",IF($I321="","UNCLAIMED "&amp;(TODAY()-$B321)&amp;" d",IF(TODAY()&gt;$I321,(TODAY()-$I321)&amp;" d LATE","Open "&amp;(TODAY()-$B321)&amp;" d"))))))))))</f>
        <v/>
      </c>
      <c r="O321" s="66">
        <f>'Combined Delivery Data'!B320</f>
        <v>0</v>
      </c>
      <c r="P321" s="66">
        <f t="shared" si="16"/>
        <v>0</v>
      </c>
      <c r="Q321" s="66">
        <f t="shared" si="17"/>
        <v>0</v>
      </c>
      <c r="R321" s="67" t="str">
        <f t="shared" si="18"/>
        <v/>
      </c>
      <c r="S321" s="66" t="str">
        <f t="shared" si="19"/>
        <v/>
      </c>
    </row>
    <row r="322" spans="1:19" x14ac:dyDescent="0.25">
      <c r="A322" s="62"/>
      <c r="B322" s="63"/>
      <c r="C322" s="62"/>
      <c r="D322" s="62"/>
      <c r="E322" s="62"/>
      <c r="F322" s="62"/>
      <c r="G322" s="62"/>
      <c r="H322" s="63"/>
      <c r="I322" s="63"/>
      <c r="J322" s="63"/>
      <c r="K322" s="62"/>
      <c r="L322" s="62"/>
      <c r="M322" s="64" t="str">
        <f ca="1">IF($A322="","",IF($G322="Did not pass re-test","Sent back again",IF($G322="Yes",IF(AND(ISNUMBER($J322),ISNUMBER($B322)),"Fixed in "&amp;($J322-$B322)&amp;" d","Accepted"),IF(SUMPRODUCT(--(TRIM('Combined Delivery Data'!$B$2:$B$500)=TRIM($A322)))=0,"Not on main tab - renamed?",IF(NOT(ISNUMBER($B322)),"Missing or invalid sent-back date",IF($B322&gt;TODAY(),"Sent-back date is in future",IF(ISNUMBER($J322),IF($J322&lt;$B322,"Check dates - fixed before sent","Fixed in "&amp;($J322-$B322)&amp;" d"),IF(AND($I322&lt;&gt;"",NOT(ISNUMBER($I322))),"Check Expected Fix Date",IF($I322="","UNCLAIMED "&amp;(TODAY()-$B322)&amp;" d",IF(TODAY()&gt;$I322,(TODAY()-$I322)&amp;" d LATE","Open "&amp;(TODAY()-$B322)&amp;" d"))))))))))</f>
        <v/>
      </c>
      <c r="O322" s="66">
        <f>'Combined Delivery Data'!B321</f>
        <v>0</v>
      </c>
      <c r="P322" s="66">
        <f t="shared" si="16"/>
        <v>0</v>
      </c>
      <c r="Q322" s="66">
        <f t="shared" si="17"/>
        <v>0</v>
      </c>
      <c r="R322" s="67" t="str">
        <f t="shared" si="18"/>
        <v/>
      </c>
      <c r="S322" s="66" t="str">
        <f t="shared" si="19"/>
        <v/>
      </c>
    </row>
    <row r="323" spans="1:19" x14ac:dyDescent="0.25">
      <c r="A323" s="62"/>
      <c r="B323" s="63"/>
      <c r="C323" s="62"/>
      <c r="D323" s="62"/>
      <c r="E323" s="62"/>
      <c r="F323" s="62"/>
      <c r="G323" s="62"/>
      <c r="H323" s="63"/>
      <c r="I323" s="63"/>
      <c r="J323" s="63"/>
      <c r="K323" s="62"/>
      <c r="L323" s="62"/>
      <c r="M323" s="64" t="str">
        <f ca="1">IF($A323="","",IF($G323="Did not pass re-test","Sent back again",IF($G323="Yes",IF(AND(ISNUMBER($J323),ISNUMBER($B323)),"Fixed in "&amp;($J323-$B323)&amp;" d","Accepted"),IF(SUMPRODUCT(--(TRIM('Combined Delivery Data'!$B$2:$B$500)=TRIM($A323)))=0,"Not on main tab - renamed?",IF(NOT(ISNUMBER($B323)),"Missing or invalid sent-back date",IF($B323&gt;TODAY(),"Sent-back date is in future",IF(ISNUMBER($J323),IF($J323&lt;$B323,"Check dates - fixed before sent","Fixed in "&amp;($J323-$B323)&amp;" d"),IF(AND($I323&lt;&gt;"",NOT(ISNUMBER($I323))),"Check Expected Fix Date",IF($I323="","UNCLAIMED "&amp;(TODAY()-$B323)&amp;" d",IF(TODAY()&gt;$I323,(TODAY()-$I323)&amp;" d LATE","Open "&amp;(TODAY()-$B323)&amp;" d"))))))))))</f>
        <v/>
      </c>
      <c r="O323" s="66">
        <f>'Combined Delivery Data'!B322</f>
        <v>0</v>
      </c>
      <c r="P323" s="66">
        <f t="shared" ref="P323:P386" si="20">IF($O323="","",SUMPRODUCT(--(TRIM($A$3:$A$500)=TRIM($O323))))</f>
        <v>0</v>
      </c>
      <c r="Q323" s="66">
        <f t="shared" ref="Q323:Q386" si="21">IF($O323="","",SUMPRODUCT((TRIM($A$3:$A$500)=TRIM($O323))*($G$3:$G$500&lt;&gt;"Yes")*($G$3:$G$500&lt;&gt;"Did not pass re-test")))</f>
        <v>0</v>
      </c>
      <c r="R323" s="67" t="str">
        <f t="shared" ref="R323:R386" si="22">IF($O323="","",IF(SUMPRODUCT(MAX((TRIM($A$3:$A$500)=TRIM($O323))*ROW($A$3:$A$500)))=0,"",INDEX($B:$B,SUMPRODUCT(MAX((TRIM($A$3:$A$500)=TRIM($O323))*ROW($A$3:$A$500))))))</f>
        <v/>
      </c>
      <c r="S323" s="66" t="str">
        <f t="shared" ref="S323:S386" si="23">IF($O323="","",IF(SUMPRODUCT(MAX((TRIM($A$3:$A$500)=TRIM($O323))*ROW($A$3:$A$500)))=0,"",INDEX($C:$C,SUMPRODUCT(MAX((TRIM($A$3:$A$500)=TRIM($O323))*ROW($A$3:$A$500))))&amp;" -&gt; "&amp;INDEX($D:$D,SUMPRODUCT(MAX((TRIM($A$3:$A$500)=TRIM($O323))*ROW($A$3:$A$500))))))</f>
        <v/>
      </c>
    </row>
    <row r="324" spans="1:19" x14ac:dyDescent="0.25">
      <c r="A324" s="62"/>
      <c r="B324" s="63"/>
      <c r="C324" s="62"/>
      <c r="D324" s="62"/>
      <c r="E324" s="62"/>
      <c r="F324" s="62"/>
      <c r="G324" s="62"/>
      <c r="H324" s="63"/>
      <c r="I324" s="63"/>
      <c r="J324" s="63"/>
      <c r="K324" s="62"/>
      <c r="L324" s="62"/>
      <c r="M324" s="64" t="str">
        <f ca="1">IF($A324="","",IF($G324="Did not pass re-test","Sent back again",IF($G324="Yes",IF(AND(ISNUMBER($J324),ISNUMBER($B324)),"Fixed in "&amp;($J324-$B324)&amp;" d","Accepted"),IF(SUMPRODUCT(--(TRIM('Combined Delivery Data'!$B$2:$B$500)=TRIM($A324)))=0,"Not on main tab - renamed?",IF(NOT(ISNUMBER($B324)),"Missing or invalid sent-back date",IF($B324&gt;TODAY(),"Sent-back date is in future",IF(ISNUMBER($J324),IF($J324&lt;$B324,"Check dates - fixed before sent","Fixed in "&amp;($J324-$B324)&amp;" d"),IF(AND($I324&lt;&gt;"",NOT(ISNUMBER($I324))),"Check Expected Fix Date",IF($I324="","UNCLAIMED "&amp;(TODAY()-$B324)&amp;" d",IF(TODAY()&gt;$I324,(TODAY()-$I324)&amp;" d LATE","Open "&amp;(TODAY()-$B324)&amp;" d"))))))))))</f>
        <v/>
      </c>
      <c r="O324" s="66">
        <f>'Combined Delivery Data'!B323</f>
        <v>0</v>
      </c>
      <c r="P324" s="66">
        <f t="shared" si="20"/>
        <v>0</v>
      </c>
      <c r="Q324" s="66">
        <f t="shared" si="21"/>
        <v>0</v>
      </c>
      <c r="R324" s="67" t="str">
        <f t="shared" si="22"/>
        <v/>
      </c>
      <c r="S324" s="66" t="str">
        <f t="shared" si="23"/>
        <v/>
      </c>
    </row>
    <row r="325" spans="1:19" x14ac:dyDescent="0.25">
      <c r="A325" s="62"/>
      <c r="B325" s="63"/>
      <c r="C325" s="62"/>
      <c r="D325" s="62"/>
      <c r="E325" s="62"/>
      <c r="F325" s="62"/>
      <c r="G325" s="62"/>
      <c r="H325" s="63"/>
      <c r="I325" s="63"/>
      <c r="J325" s="63"/>
      <c r="K325" s="62"/>
      <c r="L325" s="62"/>
      <c r="M325" s="64" t="str">
        <f ca="1">IF($A325="","",IF($G325="Did not pass re-test","Sent back again",IF($G325="Yes",IF(AND(ISNUMBER($J325),ISNUMBER($B325)),"Fixed in "&amp;($J325-$B325)&amp;" d","Accepted"),IF(SUMPRODUCT(--(TRIM('Combined Delivery Data'!$B$2:$B$500)=TRIM($A325)))=0,"Not on main tab - renamed?",IF(NOT(ISNUMBER($B325)),"Missing or invalid sent-back date",IF($B325&gt;TODAY(),"Sent-back date is in future",IF(ISNUMBER($J325),IF($J325&lt;$B325,"Check dates - fixed before sent","Fixed in "&amp;($J325-$B325)&amp;" d"),IF(AND($I325&lt;&gt;"",NOT(ISNUMBER($I325))),"Check Expected Fix Date",IF($I325="","UNCLAIMED "&amp;(TODAY()-$B325)&amp;" d",IF(TODAY()&gt;$I325,(TODAY()-$I325)&amp;" d LATE","Open "&amp;(TODAY()-$B325)&amp;" d"))))))))))</f>
        <v/>
      </c>
      <c r="O325" s="66">
        <f>'Combined Delivery Data'!B324</f>
        <v>0</v>
      </c>
      <c r="P325" s="66">
        <f t="shared" si="20"/>
        <v>0</v>
      </c>
      <c r="Q325" s="66">
        <f t="shared" si="21"/>
        <v>0</v>
      </c>
      <c r="R325" s="67" t="str">
        <f t="shared" si="22"/>
        <v/>
      </c>
      <c r="S325" s="66" t="str">
        <f t="shared" si="23"/>
        <v/>
      </c>
    </row>
    <row r="326" spans="1:19" x14ac:dyDescent="0.25">
      <c r="A326" s="62"/>
      <c r="B326" s="63"/>
      <c r="C326" s="62"/>
      <c r="D326" s="62"/>
      <c r="E326" s="62"/>
      <c r="F326" s="62"/>
      <c r="G326" s="62"/>
      <c r="H326" s="63"/>
      <c r="I326" s="63"/>
      <c r="J326" s="63"/>
      <c r="K326" s="62"/>
      <c r="L326" s="62"/>
      <c r="M326" s="64" t="str">
        <f ca="1">IF($A326="","",IF($G326="Did not pass re-test","Sent back again",IF($G326="Yes",IF(AND(ISNUMBER($J326),ISNUMBER($B326)),"Fixed in "&amp;($J326-$B326)&amp;" d","Accepted"),IF(SUMPRODUCT(--(TRIM('Combined Delivery Data'!$B$2:$B$500)=TRIM($A326)))=0,"Not on main tab - renamed?",IF(NOT(ISNUMBER($B326)),"Missing or invalid sent-back date",IF($B326&gt;TODAY(),"Sent-back date is in future",IF(ISNUMBER($J326),IF($J326&lt;$B326,"Check dates - fixed before sent","Fixed in "&amp;($J326-$B326)&amp;" d"),IF(AND($I326&lt;&gt;"",NOT(ISNUMBER($I326))),"Check Expected Fix Date",IF($I326="","UNCLAIMED "&amp;(TODAY()-$B326)&amp;" d",IF(TODAY()&gt;$I326,(TODAY()-$I326)&amp;" d LATE","Open "&amp;(TODAY()-$B326)&amp;" d"))))))))))</f>
        <v/>
      </c>
      <c r="O326" s="66">
        <f>'Combined Delivery Data'!B325</f>
        <v>0</v>
      </c>
      <c r="P326" s="66">
        <f t="shared" si="20"/>
        <v>0</v>
      </c>
      <c r="Q326" s="66">
        <f t="shared" si="21"/>
        <v>0</v>
      </c>
      <c r="R326" s="67" t="str">
        <f t="shared" si="22"/>
        <v/>
      </c>
      <c r="S326" s="66" t="str">
        <f t="shared" si="23"/>
        <v/>
      </c>
    </row>
    <row r="327" spans="1:19" x14ac:dyDescent="0.25">
      <c r="A327" s="62"/>
      <c r="B327" s="63"/>
      <c r="C327" s="62"/>
      <c r="D327" s="62"/>
      <c r="E327" s="62"/>
      <c r="F327" s="62"/>
      <c r="G327" s="62"/>
      <c r="H327" s="63"/>
      <c r="I327" s="63"/>
      <c r="J327" s="63"/>
      <c r="K327" s="62"/>
      <c r="L327" s="62"/>
      <c r="M327" s="64" t="str">
        <f ca="1">IF($A327="","",IF($G327="Did not pass re-test","Sent back again",IF($G327="Yes",IF(AND(ISNUMBER($J327),ISNUMBER($B327)),"Fixed in "&amp;($J327-$B327)&amp;" d","Accepted"),IF(SUMPRODUCT(--(TRIM('Combined Delivery Data'!$B$2:$B$500)=TRIM($A327)))=0,"Not on main tab - renamed?",IF(NOT(ISNUMBER($B327)),"Missing or invalid sent-back date",IF($B327&gt;TODAY(),"Sent-back date is in future",IF(ISNUMBER($J327),IF($J327&lt;$B327,"Check dates - fixed before sent","Fixed in "&amp;($J327-$B327)&amp;" d"),IF(AND($I327&lt;&gt;"",NOT(ISNUMBER($I327))),"Check Expected Fix Date",IF($I327="","UNCLAIMED "&amp;(TODAY()-$B327)&amp;" d",IF(TODAY()&gt;$I327,(TODAY()-$I327)&amp;" d LATE","Open "&amp;(TODAY()-$B327)&amp;" d"))))))))))</f>
        <v/>
      </c>
      <c r="O327" s="66">
        <f>'Combined Delivery Data'!B326</f>
        <v>0</v>
      </c>
      <c r="P327" s="66">
        <f t="shared" si="20"/>
        <v>0</v>
      </c>
      <c r="Q327" s="66">
        <f t="shared" si="21"/>
        <v>0</v>
      </c>
      <c r="R327" s="67" t="str">
        <f t="shared" si="22"/>
        <v/>
      </c>
      <c r="S327" s="66" t="str">
        <f t="shared" si="23"/>
        <v/>
      </c>
    </row>
    <row r="328" spans="1:19" x14ac:dyDescent="0.25">
      <c r="A328" s="62"/>
      <c r="B328" s="63"/>
      <c r="C328" s="62"/>
      <c r="D328" s="62"/>
      <c r="E328" s="62"/>
      <c r="F328" s="62"/>
      <c r="G328" s="62"/>
      <c r="H328" s="63"/>
      <c r="I328" s="63"/>
      <c r="J328" s="63"/>
      <c r="K328" s="62"/>
      <c r="L328" s="62"/>
      <c r="M328" s="64" t="str">
        <f ca="1">IF($A328="","",IF($G328="Did not pass re-test","Sent back again",IF($G328="Yes",IF(AND(ISNUMBER($J328),ISNUMBER($B328)),"Fixed in "&amp;($J328-$B328)&amp;" d","Accepted"),IF(SUMPRODUCT(--(TRIM('Combined Delivery Data'!$B$2:$B$500)=TRIM($A328)))=0,"Not on main tab - renamed?",IF(NOT(ISNUMBER($B328)),"Missing or invalid sent-back date",IF($B328&gt;TODAY(),"Sent-back date is in future",IF(ISNUMBER($J328),IF($J328&lt;$B328,"Check dates - fixed before sent","Fixed in "&amp;($J328-$B328)&amp;" d"),IF(AND($I328&lt;&gt;"",NOT(ISNUMBER($I328))),"Check Expected Fix Date",IF($I328="","UNCLAIMED "&amp;(TODAY()-$B328)&amp;" d",IF(TODAY()&gt;$I328,(TODAY()-$I328)&amp;" d LATE","Open "&amp;(TODAY()-$B328)&amp;" d"))))))))))</f>
        <v/>
      </c>
      <c r="O328" s="66">
        <f>'Combined Delivery Data'!B327</f>
        <v>0</v>
      </c>
      <c r="P328" s="66">
        <f t="shared" si="20"/>
        <v>0</v>
      </c>
      <c r="Q328" s="66">
        <f t="shared" si="21"/>
        <v>0</v>
      </c>
      <c r="R328" s="67" t="str">
        <f t="shared" si="22"/>
        <v/>
      </c>
      <c r="S328" s="66" t="str">
        <f t="shared" si="23"/>
        <v/>
      </c>
    </row>
    <row r="329" spans="1:19" x14ac:dyDescent="0.25">
      <c r="A329" s="62"/>
      <c r="B329" s="63"/>
      <c r="C329" s="62"/>
      <c r="D329" s="62"/>
      <c r="E329" s="62"/>
      <c r="F329" s="62"/>
      <c r="G329" s="62"/>
      <c r="H329" s="63"/>
      <c r="I329" s="63"/>
      <c r="J329" s="63"/>
      <c r="K329" s="62"/>
      <c r="L329" s="62"/>
      <c r="M329" s="64" t="str">
        <f ca="1">IF($A329="","",IF($G329="Did not pass re-test","Sent back again",IF($G329="Yes",IF(AND(ISNUMBER($J329),ISNUMBER($B329)),"Fixed in "&amp;($J329-$B329)&amp;" d","Accepted"),IF(SUMPRODUCT(--(TRIM('Combined Delivery Data'!$B$2:$B$500)=TRIM($A329)))=0,"Not on main tab - renamed?",IF(NOT(ISNUMBER($B329)),"Missing or invalid sent-back date",IF($B329&gt;TODAY(),"Sent-back date is in future",IF(ISNUMBER($J329),IF($J329&lt;$B329,"Check dates - fixed before sent","Fixed in "&amp;($J329-$B329)&amp;" d"),IF(AND($I329&lt;&gt;"",NOT(ISNUMBER($I329))),"Check Expected Fix Date",IF($I329="","UNCLAIMED "&amp;(TODAY()-$B329)&amp;" d",IF(TODAY()&gt;$I329,(TODAY()-$I329)&amp;" d LATE","Open "&amp;(TODAY()-$B329)&amp;" d"))))))))))</f>
        <v/>
      </c>
      <c r="O329" s="66">
        <f>'Combined Delivery Data'!B328</f>
        <v>0</v>
      </c>
      <c r="P329" s="66">
        <f t="shared" si="20"/>
        <v>0</v>
      </c>
      <c r="Q329" s="66">
        <f t="shared" si="21"/>
        <v>0</v>
      </c>
      <c r="R329" s="67" t="str">
        <f t="shared" si="22"/>
        <v/>
      </c>
      <c r="S329" s="66" t="str">
        <f t="shared" si="23"/>
        <v/>
      </c>
    </row>
    <row r="330" spans="1:19" x14ac:dyDescent="0.25">
      <c r="A330" s="62"/>
      <c r="B330" s="63"/>
      <c r="C330" s="62"/>
      <c r="D330" s="62"/>
      <c r="E330" s="62"/>
      <c r="F330" s="62"/>
      <c r="G330" s="62"/>
      <c r="H330" s="63"/>
      <c r="I330" s="63"/>
      <c r="J330" s="63"/>
      <c r="K330" s="62"/>
      <c r="L330" s="62"/>
      <c r="M330" s="64" t="str">
        <f ca="1">IF($A330="","",IF($G330="Did not pass re-test","Sent back again",IF($G330="Yes",IF(AND(ISNUMBER($J330),ISNUMBER($B330)),"Fixed in "&amp;($J330-$B330)&amp;" d","Accepted"),IF(SUMPRODUCT(--(TRIM('Combined Delivery Data'!$B$2:$B$500)=TRIM($A330)))=0,"Not on main tab - renamed?",IF(NOT(ISNUMBER($B330)),"Missing or invalid sent-back date",IF($B330&gt;TODAY(),"Sent-back date is in future",IF(ISNUMBER($J330),IF($J330&lt;$B330,"Check dates - fixed before sent","Fixed in "&amp;($J330-$B330)&amp;" d"),IF(AND($I330&lt;&gt;"",NOT(ISNUMBER($I330))),"Check Expected Fix Date",IF($I330="","UNCLAIMED "&amp;(TODAY()-$B330)&amp;" d",IF(TODAY()&gt;$I330,(TODAY()-$I330)&amp;" d LATE","Open "&amp;(TODAY()-$B330)&amp;" d"))))))))))</f>
        <v/>
      </c>
      <c r="O330" s="66">
        <f>'Combined Delivery Data'!B329</f>
        <v>0</v>
      </c>
      <c r="P330" s="66">
        <f t="shared" si="20"/>
        <v>0</v>
      </c>
      <c r="Q330" s="66">
        <f t="shared" si="21"/>
        <v>0</v>
      </c>
      <c r="R330" s="67" t="str">
        <f t="shared" si="22"/>
        <v/>
      </c>
      <c r="S330" s="66" t="str">
        <f t="shared" si="23"/>
        <v/>
      </c>
    </row>
    <row r="331" spans="1:19" x14ac:dyDescent="0.25">
      <c r="A331" s="62"/>
      <c r="B331" s="63"/>
      <c r="C331" s="62"/>
      <c r="D331" s="62"/>
      <c r="E331" s="62"/>
      <c r="F331" s="62"/>
      <c r="G331" s="62"/>
      <c r="H331" s="63"/>
      <c r="I331" s="63"/>
      <c r="J331" s="63"/>
      <c r="K331" s="62"/>
      <c r="L331" s="62"/>
      <c r="M331" s="64" t="str">
        <f ca="1">IF($A331="","",IF($G331="Did not pass re-test","Sent back again",IF($G331="Yes",IF(AND(ISNUMBER($J331),ISNUMBER($B331)),"Fixed in "&amp;($J331-$B331)&amp;" d","Accepted"),IF(SUMPRODUCT(--(TRIM('Combined Delivery Data'!$B$2:$B$500)=TRIM($A331)))=0,"Not on main tab - renamed?",IF(NOT(ISNUMBER($B331)),"Missing or invalid sent-back date",IF($B331&gt;TODAY(),"Sent-back date is in future",IF(ISNUMBER($J331),IF($J331&lt;$B331,"Check dates - fixed before sent","Fixed in "&amp;($J331-$B331)&amp;" d"),IF(AND($I331&lt;&gt;"",NOT(ISNUMBER($I331))),"Check Expected Fix Date",IF($I331="","UNCLAIMED "&amp;(TODAY()-$B331)&amp;" d",IF(TODAY()&gt;$I331,(TODAY()-$I331)&amp;" d LATE","Open "&amp;(TODAY()-$B331)&amp;" d"))))))))))</f>
        <v/>
      </c>
      <c r="O331" s="66">
        <f>'Combined Delivery Data'!B330</f>
        <v>0</v>
      </c>
      <c r="P331" s="66">
        <f t="shared" si="20"/>
        <v>0</v>
      </c>
      <c r="Q331" s="66">
        <f t="shared" si="21"/>
        <v>0</v>
      </c>
      <c r="R331" s="67" t="str">
        <f t="shared" si="22"/>
        <v/>
      </c>
      <c r="S331" s="66" t="str">
        <f t="shared" si="23"/>
        <v/>
      </c>
    </row>
    <row r="332" spans="1:19" x14ac:dyDescent="0.25">
      <c r="A332" s="62"/>
      <c r="B332" s="63"/>
      <c r="C332" s="62"/>
      <c r="D332" s="62"/>
      <c r="E332" s="62"/>
      <c r="F332" s="62"/>
      <c r="G332" s="62"/>
      <c r="H332" s="63"/>
      <c r="I332" s="63"/>
      <c r="J332" s="63"/>
      <c r="K332" s="62"/>
      <c r="L332" s="62"/>
      <c r="M332" s="64" t="str">
        <f ca="1">IF($A332="","",IF($G332="Did not pass re-test","Sent back again",IF($G332="Yes",IF(AND(ISNUMBER($J332),ISNUMBER($B332)),"Fixed in "&amp;($J332-$B332)&amp;" d","Accepted"),IF(SUMPRODUCT(--(TRIM('Combined Delivery Data'!$B$2:$B$500)=TRIM($A332)))=0,"Not on main tab - renamed?",IF(NOT(ISNUMBER($B332)),"Missing or invalid sent-back date",IF($B332&gt;TODAY(),"Sent-back date is in future",IF(ISNUMBER($J332),IF($J332&lt;$B332,"Check dates - fixed before sent","Fixed in "&amp;($J332-$B332)&amp;" d"),IF(AND($I332&lt;&gt;"",NOT(ISNUMBER($I332))),"Check Expected Fix Date",IF($I332="","UNCLAIMED "&amp;(TODAY()-$B332)&amp;" d",IF(TODAY()&gt;$I332,(TODAY()-$I332)&amp;" d LATE","Open "&amp;(TODAY()-$B332)&amp;" d"))))))))))</f>
        <v/>
      </c>
      <c r="O332" s="66">
        <f>'Combined Delivery Data'!B331</f>
        <v>0</v>
      </c>
      <c r="P332" s="66">
        <f t="shared" si="20"/>
        <v>0</v>
      </c>
      <c r="Q332" s="66">
        <f t="shared" si="21"/>
        <v>0</v>
      </c>
      <c r="R332" s="67" t="str">
        <f t="shared" si="22"/>
        <v/>
      </c>
      <c r="S332" s="66" t="str">
        <f t="shared" si="23"/>
        <v/>
      </c>
    </row>
    <row r="333" spans="1:19" x14ac:dyDescent="0.25">
      <c r="A333" s="62"/>
      <c r="B333" s="63"/>
      <c r="C333" s="62"/>
      <c r="D333" s="62"/>
      <c r="E333" s="62"/>
      <c r="F333" s="62"/>
      <c r="G333" s="62"/>
      <c r="H333" s="63"/>
      <c r="I333" s="63"/>
      <c r="J333" s="63"/>
      <c r="K333" s="62"/>
      <c r="L333" s="62"/>
      <c r="M333" s="64" t="str">
        <f ca="1">IF($A333="","",IF($G333="Did not pass re-test","Sent back again",IF($G333="Yes",IF(AND(ISNUMBER($J333),ISNUMBER($B333)),"Fixed in "&amp;($J333-$B333)&amp;" d","Accepted"),IF(SUMPRODUCT(--(TRIM('Combined Delivery Data'!$B$2:$B$500)=TRIM($A333)))=0,"Not on main tab - renamed?",IF(NOT(ISNUMBER($B333)),"Missing or invalid sent-back date",IF($B333&gt;TODAY(),"Sent-back date is in future",IF(ISNUMBER($J333),IF($J333&lt;$B333,"Check dates - fixed before sent","Fixed in "&amp;($J333-$B333)&amp;" d"),IF(AND($I333&lt;&gt;"",NOT(ISNUMBER($I333))),"Check Expected Fix Date",IF($I333="","UNCLAIMED "&amp;(TODAY()-$B333)&amp;" d",IF(TODAY()&gt;$I333,(TODAY()-$I333)&amp;" d LATE","Open "&amp;(TODAY()-$B333)&amp;" d"))))))))))</f>
        <v/>
      </c>
      <c r="O333" s="66">
        <f>'Combined Delivery Data'!B332</f>
        <v>0</v>
      </c>
      <c r="P333" s="66">
        <f t="shared" si="20"/>
        <v>0</v>
      </c>
      <c r="Q333" s="66">
        <f t="shared" si="21"/>
        <v>0</v>
      </c>
      <c r="R333" s="67" t="str">
        <f t="shared" si="22"/>
        <v/>
      </c>
      <c r="S333" s="66" t="str">
        <f t="shared" si="23"/>
        <v/>
      </c>
    </row>
    <row r="334" spans="1:19" x14ac:dyDescent="0.25">
      <c r="A334" s="62"/>
      <c r="B334" s="63"/>
      <c r="C334" s="62"/>
      <c r="D334" s="62"/>
      <c r="E334" s="62"/>
      <c r="F334" s="62"/>
      <c r="G334" s="62"/>
      <c r="H334" s="63"/>
      <c r="I334" s="63"/>
      <c r="J334" s="63"/>
      <c r="K334" s="62"/>
      <c r="L334" s="62"/>
      <c r="M334" s="64" t="str">
        <f ca="1">IF($A334="","",IF($G334="Did not pass re-test","Sent back again",IF($G334="Yes",IF(AND(ISNUMBER($J334),ISNUMBER($B334)),"Fixed in "&amp;($J334-$B334)&amp;" d","Accepted"),IF(SUMPRODUCT(--(TRIM('Combined Delivery Data'!$B$2:$B$500)=TRIM($A334)))=0,"Not on main tab - renamed?",IF(NOT(ISNUMBER($B334)),"Missing or invalid sent-back date",IF($B334&gt;TODAY(),"Sent-back date is in future",IF(ISNUMBER($J334),IF($J334&lt;$B334,"Check dates - fixed before sent","Fixed in "&amp;($J334-$B334)&amp;" d"),IF(AND($I334&lt;&gt;"",NOT(ISNUMBER($I334))),"Check Expected Fix Date",IF($I334="","UNCLAIMED "&amp;(TODAY()-$B334)&amp;" d",IF(TODAY()&gt;$I334,(TODAY()-$I334)&amp;" d LATE","Open "&amp;(TODAY()-$B334)&amp;" d"))))))))))</f>
        <v/>
      </c>
      <c r="O334" s="66">
        <f>'Combined Delivery Data'!B333</f>
        <v>0</v>
      </c>
      <c r="P334" s="66">
        <f t="shared" si="20"/>
        <v>0</v>
      </c>
      <c r="Q334" s="66">
        <f t="shared" si="21"/>
        <v>0</v>
      </c>
      <c r="R334" s="67" t="str">
        <f t="shared" si="22"/>
        <v/>
      </c>
      <c r="S334" s="66" t="str">
        <f t="shared" si="23"/>
        <v/>
      </c>
    </row>
    <row r="335" spans="1:19" x14ac:dyDescent="0.25">
      <c r="A335" s="62"/>
      <c r="B335" s="63"/>
      <c r="C335" s="62"/>
      <c r="D335" s="62"/>
      <c r="E335" s="62"/>
      <c r="F335" s="62"/>
      <c r="G335" s="62"/>
      <c r="H335" s="63"/>
      <c r="I335" s="63"/>
      <c r="J335" s="63"/>
      <c r="K335" s="62"/>
      <c r="L335" s="62"/>
      <c r="M335" s="64" t="str">
        <f ca="1">IF($A335="","",IF($G335="Did not pass re-test","Sent back again",IF($G335="Yes",IF(AND(ISNUMBER($J335),ISNUMBER($B335)),"Fixed in "&amp;($J335-$B335)&amp;" d","Accepted"),IF(SUMPRODUCT(--(TRIM('Combined Delivery Data'!$B$2:$B$500)=TRIM($A335)))=0,"Not on main tab - renamed?",IF(NOT(ISNUMBER($B335)),"Missing or invalid sent-back date",IF($B335&gt;TODAY(),"Sent-back date is in future",IF(ISNUMBER($J335),IF($J335&lt;$B335,"Check dates - fixed before sent","Fixed in "&amp;($J335-$B335)&amp;" d"),IF(AND($I335&lt;&gt;"",NOT(ISNUMBER($I335))),"Check Expected Fix Date",IF($I335="","UNCLAIMED "&amp;(TODAY()-$B335)&amp;" d",IF(TODAY()&gt;$I335,(TODAY()-$I335)&amp;" d LATE","Open "&amp;(TODAY()-$B335)&amp;" d"))))))))))</f>
        <v/>
      </c>
      <c r="O335" s="66">
        <f>'Combined Delivery Data'!B334</f>
        <v>0</v>
      </c>
      <c r="P335" s="66">
        <f t="shared" si="20"/>
        <v>0</v>
      </c>
      <c r="Q335" s="66">
        <f t="shared" si="21"/>
        <v>0</v>
      </c>
      <c r="R335" s="67" t="str">
        <f t="shared" si="22"/>
        <v/>
      </c>
      <c r="S335" s="66" t="str">
        <f t="shared" si="23"/>
        <v/>
      </c>
    </row>
    <row r="336" spans="1:19" x14ac:dyDescent="0.25">
      <c r="A336" s="62"/>
      <c r="B336" s="63"/>
      <c r="C336" s="62"/>
      <c r="D336" s="62"/>
      <c r="E336" s="62"/>
      <c r="F336" s="62"/>
      <c r="G336" s="62"/>
      <c r="H336" s="63"/>
      <c r="I336" s="63"/>
      <c r="J336" s="63"/>
      <c r="K336" s="62"/>
      <c r="L336" s="62"/>
      <c r="M336" s="64" t="str">
        <f ca="1">IF($A336="","",IF($G336="Did not pass re-test","Sent back again",IF($G336="Yes",IF(AND(ISNUMBER($J336),ISNUMBER($B336)),"Fixed in "&amp;($J336-$B336)&amp;" d","Accepted"),IF(SUMPRODUCT(--(TRIM('Combined Delivery Data'!$B$2:$B$500)=TRIM($A336)))=0,"Not on main tab - renamed?",IF(NOT(ISNUMBER($B336)),"Missing or invalid sent-back date",IF($B336&gt;TODAY(),"Sent-back date is in future",IF(ISNUMBER($J336),IF($J336&lt;$B336,"Check dates - fixed before sent","Fixed in "&amp;($J336-$B336)&amp;" d"),IF(AND($I336&lt;&gt;"",NOT(ISNUMBER($I336))),"Check Expected Fix Date",IF($I336="","UNCLAIMED "&amp;(TODAY()-$B336)&amp;" d",IF(TODAY()&gt;$I336,(TODAY()-$I336)&amp;" d LATE","Open "&amp;(TODAY()-$B336)&amp;" d"))))))))))</f>
        <v/>
      </c>
      <c r="O336" s="66">
        <f>'Combined Delivery Data'!B335</f>
        <v>0</v>
      </c>
      <c r="P336" s="66">
        <f t="shared" si="20"/>
        <v>0</v>
      </c>
      <c r="Q336" s="66">
        <f t="shared" si="21"/>
        <v>0</v>
      </c>
      <c r="R336" s="67" t="str">
        <f t="shared" si="22"/>
        <v/>
      </c>
      <c r="S336" s="66" t="str">
        <f t="shared" si="23"/>
        <v/>
      </c>
    </row>
    <row r="337" spans="1:19" x14ac:dyDescent="0.25">
      <c r="A337" s="62"/>
      <c r="B337" s="63"/>
      <c r="C337" s="62"/>
      <c r="D337" s="62"/>
      <c r="E337" s="62"/>
      <c r="F337" s="62"/>
      <c r="G337" s="62"/>
      <c r="H337" s="63"/>
      <c r="I337" s="63"/>
      <c r="J337" s="63"/>
      <c r="K337" s="62"/>
      <c r="L337" s="62"/>
      <c r="M337" s="64" t="str">
        <f ca="1">IF($A337="","",IF($G337="Did not pass re-test","Sent back again",IF($G337="Yes",IF(AND(ISNUMBER($J337),ISNUMBER($B337)),"Fixed in "&amp;($J337-$B337)&amp;" d","Accepted"),IF(SUMPRODUCT(--(TRIM('Combined Delivery Data'!$B$2:$B$500)=TRIM($A337)))=0,"Not on main tab - renamed?",IF(NOT(ISNUMBER($B337)),"Missing or invalid sent-back date",IF($B337&gt;TODAY(),"Sent-back date is in future",IF(ISNUMBER($J337),IF($J337&lt;$B337,"Check dates - fixed before sent","Fixed in "&amp;($J337-$B337)&amp;" d"),IF(AND($I337&lt;&gt;"",NOT(ISNUMBER($I337))),"Check Expected Fix Date",IF($I337="","UNCLAIMED "&amp;(TODAY()-$B337)&amp;" d",IF(TODAY()&gt;$I337,(TODAY()-$I337)&amp;" d LATE","Open "&amp;(TODAY()-$B337)&amp;" d"))))))))))</f>
        <v/>
      </c>
      <c r="O337" s="66">
        <f>'Combined Delivery Data'!B336</f>
        <v>0</v>
      </c>
      <c r="P337" s="66">
        <f t="shared" si="20"/>
        <v>0</v>
      </c>
      <c r="Q337" s="66">
        <f t="shared" si="21"/>
        <v>0</v>
      </c>
      <c r="R337" s="67" t="str">
        <f t="shared" si="22"/>
        <v/>
      </c>
      <c r="S337" s="66" t="str">
        <f t="shared" si="23"/>
        <v/>
      </c>
    </row>
    <row r="338" spans="1:19" x14ac:dyDescent="0.25">
      <c r="A338" s="62"/>
      <c r="B338" s="63"/>
      <c r="C338" s="62"/>
      <c r="D338" s="62"/>
      <c r="E338" s="62"/>
      <c r="F338" s="62"/>
      <c r="G338" s="62"/>
      <c r="H338" s="63"/>
      <c r="I338" s="63"/>
      <c r="J338" s="63"/>
      <c r="K338" s="62"/>
      <c r="L338" s="62"/>
      <c r="M338" s="64" t="str">
        <f ca="1">IF($A338="","",IF($G338="Did not pass re-test","Sent back again",IF($G338="Yes",IF(AND(ISNUMBER($J338),ISNUMBER($B338)),"Fixed in "&amp;($J338-$B338)&amp;" d","Accepted"),IF(SUMPRODUCT(--(TRIM('Combined Delivery Data'!$B$2:$B$500)=TRIM($A338)))=0,"Not on main tab - renamed?",IF(NOT(ISNUMBER($B338)),"Missing or invalid sent-back date",IF($B338&gt;TODAY(),"Sent-back date is in future",IF(ISNUMBER($J338),IF($J338&lt;$B338,"Check dates - fixed before sent","Fixed in "&amp;($J338-$B338)&amp;" d"),IF(AND($I338&lt;&gt;"",NOT(ISNUMBER($I338))),"Check Expected Fix Date",IF($I338="","UNCLAIMED "&amp;(TODAY()-$B338)&amp;" d",IF(TODAY()&gt;$I338,(TODAY()-$I338)&amp;" d LATE","Open "&amp;(TODAY()-$B338)&amp;" d"))))))))))</f>
        <v/>
      </c>
      <c r="O338" s="66">
        <f>'Combined Delivery Data'!B337</f>
        <v>0</v>
      </c>
      <c r="P338" s="66">
        <f t="shared" si="20"/>
        <v>0</v>
      </c>
      <c r="Q338" s="66">
        <f t="shared" si="21"/>
        <v>0</v>
      </c>
      <c r="R338" s="67" t="str">
        <f t="shared" si="22"/>
        <v/>
      </c>
      <c r="S338" s="66" t="str">
        <f t="shared" si="23"/>
        <v/>
      </c>
    </row>
    <row r="339" spans="1:19" x14ac:dyDescent="0.25">
      <c r="A339" s="62"/>
      <c r="B339" s="63"/>
      <c r="C339" s="62"/>
      <c r="D339" s="62"/>
      <c r="E339" s="62"/>
      <c r="F339" s="62"/>
      <c r="G339" s="62"/>
      <c r="H339" s="63"/>
      <c r="I339" s="63"/>
      <c r="J339" s="63"/>
      <c r="K339" s="62"/>
      <c r="L339" s="62"/>
      <c r="M339" s="64" t="str">
        <f ca="1">IF($A339="","",IF($G339="Did not pass re-test","Sent back again",IF($G339="Yes",IF(AND(ISNUMBER($J339),ISNUMBER($B339)),"Fixed in "&amp;($J339-$B339)&amp;" d","Accepted"),IF(SUMPRODUCT(--(TRIM('Combined Delivery Data'!$B$2:$B$500)=TRIM($A339)))=0,"Not on main tab - renamed?",IF(NOT(ISNUMBER($B339)),"Missing or invalid sent-back date",IF($B339&gt;TODAY(),"Sent-back date is in future",IF(ISNUMBER($J339),IF($J339&lt;$B339,"Check dates - fixed before sent","Fixed in "&amp;($J339-$B339)&amp;" d"),IF(AND($I339&lt;&gt;"",NOT(ISNUMBER($I339))),"Check Expected Fix Date",IF($I339="","UNCLAIMED "&amp;(TODAY()-$B339)&amp;" d",IF(TODAY()&gt;$I339,(TODAY()-$I339)&amp;" d LATE","Open "&amp;(TODAY()-$B339)&amp;" d"))))))))))</f>
        <v/>
      </c>
      <c r="O339" s="66">
        <f>'Combined Delivery Data'!B338</f>
        <v>0</v>
      </c>
      <c r="P339" s="66">
        <f t="shared" si="20"/>
        <v>0</v>
      </c>
      <c r="Q339" s="66">
        <f t="shared" si="21"/>
        <v>0</v>
      </c>
      <c r="R339" s="67" t="str">
        <f t="shared" si="22"/>
        <v/>
      </c>
      <c r="S339" s="66" t="str">
        <f t="shared" si="23"/>
        <v/>
      </c>
    </row>
    <row r="340" spans="1:19" x14ac:dyDescent="0.25">
      <c r="A340" s="62"/>
      <c r="B340" s="63"/>
      <c r="C340" s="62"/>
      <c r="D340" s="62"/>
      <c r="E340" s="62"/>
      <c r="F340" s="62"/>
      <c r="G340" s="62"/>
      <c r="H340" s="63"/>
      <c r="I340" s="63"/>
      <c r="J340" s="63"/>
      <c r="K340" s="62"/>
      <c r="L340" s="62"/>
      <c r="M340" s="64" t="str">
        <f ca="1">IF($A340="","",IF($G340="Did not pass re-test","Sent back again",IF($G340="Yes",IF(AND(ISNUMBER($J340),ISNUMBER($B340)),"Fixed in "&amp;($J340-$B340)&amp;" d","Accepted"),IF(SUMPRODUCT(--(TRIM('Combined Delivery Data'!$B$2:$B$500)=TRIM($A340)))=0,"Not on main tab - renamed?",IF(NOT(ISNUMBER($B340)),"Missing or invalid sent-back date",IF($B340&gt;TODAY(),"Sent-back date is in future",IF(ISNUMBER($J340),IF($J340&lt;$B340,"Check dates - fixed before sent","Fixed in "&amp;($J340-$B340)&amp;" d"),IF(AND($I340&lt;&gt;"",NOT(ISNUMBER($I340))),"Check Expected Fix Date",IF($I340="","UNCLAIMED "&amp;(TODAY()-$B340)&amp;" d",IF(TODAY()&gt;$I340,(TODAY()-$I340)&amp;" d LATE","Open "&amp;(TODAY()-$B340)&amp;" d"))))))))))</f>
        <v/>
      </c>
      <c r="O340" s="66">
        <f>'Combined Delivery Data'!B339</f>
        <v>0</v>
      </c>
      <c r="P340" s="66">
        <f t="shared" si="20"/>
        <v>0</v>
      </c>
      <c r="Q340" s="66">
        <f t="shared" si="21"/>
        <v>0</v>
      </c>
      <c r="R340" s="67" t="str">
        <f t="shared" si="22"/>
        <v/>
      </c>
      <c r="S340" s="66" t="str">
        <f t="shared" si="23"/>
        <v/>
      </c>
    </row>
    <row r="341" spans="1:19" x14ac:dyDescent="0.25">
      <c r="A341" s="62"/>
      <c r="B341" s="63"/>
      <c r="C341" s="62"/>
      <c r="D341" s="62"/>
      <c r="E341" s="62"/>
      <c r="F341" s="62"/>
      <c r="G341" s="62"/>
      <c r="H341" s="63"/>
      <c r="I341" s="63"/>
      <c r="J341" s="63"/>
      <c r="K341" s="62"/>
      <c r="L341" s="62"/>
      <c r="M341" s="64" t="str">
        <f ca="1">IF($A341="","",IF($G341="Did not pass re-test","Sent back again",IF($G341="Yes",IF(AND(ISNUMBER($J341),ISNUMBER($B341)),"Fixed in "&amp;($J341-$B341)&amp;" d","Accepted"),IF(SUMPRODUCT(--(TRIM('Combined Delivery Data'!$B$2:$B$500)=TRIM($A341)))=0,"Not on main tab - renamed?",IF(NOT(ISNUMBER($B341)),"Missing or invalid sent-back date",IF($B341&gt;TODAY(),"Sent-back date is in future",IF(ISNUMBER($J341),IF($J341&lt;$B341,"Check dates - fixed before sent","Fixed in "&amp;($J341-$B341)&amp;" d"),IF(AND($I341&lt;&gt;"",NOT(ISNUMBER($I341))),"Check Expected Fix Date",IF($I341="","UNCLAIMED "&amp;(TODAY()-$B341)&amp;" d",IF(TODAY()&gt;$I341,(TODAY()-$I341)&amp;" d LATE","Open "&amp;(TODAY()-$B341)&amp;" d"))))))))))</f>
        <v/>
      </c>
      <c r="O341" s="66">
        <f>'Combined Delivery Data'!B340</f>
        <v>0</v>
      </c>
      <c r="P341" s="66">
        <f t="shared" si="20"/>
        <v>0</v>
      </c>
      <c r="Q341" s="66">
        <f t="shared" si="21"/>
        <v>0</v>
      </c>
      <c r="R341" s="67" t="str">
        <f t="shared" si="22"/>
        <v/>
      </c>
      <c r="S341" s="66" t="str">
        <f t="shared" si="23"/>
        <v/>
      </c>
    </row>
    <row r="342" spans="1:19" x14ac:dyDescent="0.25">
      <c r="A342" s="62"/>
      <c r="B342" s="63"/>
      <c r="C342" s="62"/>
      <c r="D342" s="62"/>
      <c r="E342" s="62"/>
      <c r="F342" s="62"/>
      <c r="G342" s="62"/>
      <c r="H342" s="63"/>
      <c r="I342" s="63"/>
      <c r="J342" s="63"/>
      <c r="K342" s="62"/>
      <c r="L342" s="62"/>
      <c r="M342" s="64" t="str">
        <f ca="1">IF($A342="","",IF($G342="Did not pass re-test","Sent back again",IF($G342="Yes",IF(AND(ISNUMBER($J342),ISNUMBER($B342)),"Fixed in "&amp;($J342-$B342)&amp;" d","Accepted"),IF(SUMPRODUCT(--(TRIM('Combined Delivery Data'!$B$2:$B$500)=TRIM($A342)))=0,"Not on main tab - renamed?",IF(NOT(ISNUMBER($B342)),"Missing or invalid sent-back date",IF($B342&gt;TODAY(),"Sent-back date is in future",IF(ISNUMBER($J342),IF($J342&lt;$B342,"Check dates - fixed before sent","Fixed in "&amp;($J342-$B342)&amp;" d"),IF(AND($I342&lt;&gt;"",NOT(ISNUMBER($I342))),"Check Expected Fix Date",IF($I342="","UNCLAIMED "&amp;(TODAY()-$B342)&amp;" d",IF(TODAY()&gt;$I342,(TODAY()-$I342)&amp;" d LATE","Open "&amp;(TODAY()-$B342)&amp;" d"))))))))))</f>
        <v/>
      </c>
      <c r="O342" s="66">
        <f>'Combined Delivery Data'!B341</f>
        <v>0</v>
      </c>
      <c r="P342" s="66">
        <f t="shared" si="20"/>
        <v>0</v>
      </c>
      <c r="Q342" s="66">
        <f t="shared" si="21"/>
        <v>0</v>
      </c>
      <c r="R342" s="67" t="str">
        <f t="shared" si="22"/>
        <v/>
      </c>
      <c r="S342" s="66" t="str">
        <f t="shared" si="23"/>
        <v/>
      </c>
    </row>
    <row r="343" spans="1:19" x14ac:dyDescent="0.25">
      <c r="A343" s="62"/>
      <c r="B343" s="63"/>
      <c r="C343" s="62"/>
      <c r="D343" s="62"/>
      <c r="E343" s="62"/>
      <c r="F343" s="62"/>
      <c r="G343" s="62"/>
      <c r="H343" s="63"/>
      <c r="I343" s="63"/>
      <c r="J343" s="63"/>
      <c r="K343" s="62"/>
      <c r="L343" s="62"/>
      <c r="M343" s="64" t="str">
        <f ca="1">IF($A343="","",IF($G343="Did not pass re-test","Sent back again",IF($G343="Yes",IF(AND(ISNUMBER($J343),ISNUMBER($B343)),"Fixed in "&amp;($J343-$B343)&amp;" d","Accepted"),IF(SUMPRODUCT(--(TRIM('Combined Delivery Data'!$B$2:$B$500)=TRIM($A343)))=0,"Not on main tab - renamed?",IF(NOT(ISNUMBER($B343)),"Missing or invalid sent-back date",IF($B343&gt;TODAY(),"Sent-back date is in future",IF(ISNUMBER($J343),IF($J343&lt;$B343,"Check dates - fixed before sent","Fixed in "&amp;($J343-$B343)&amp;" d"),IF(AND($I343&lt;&gt;"",NOT(ISNUMBER($I343))),"Check Expected Fix Date",IF($I343="","UNCLAIMED "&amp;(TODAY()-$B343)&amp;" d",IF(TODAY()&gt;$I343,(TODAY()-$I343)&amp;" d LATE","Open "&amp;(TODAY()-$B343)&amp;" d"))))))))))</f>
        <v/>
      </c>
      <c r="O343" s="66">
        <f>'Combined Delivery Data'!B342</f>
        <v>0</v>
      </c>
      <c r="P343" s="66">
        <f t="shared" si="20"/>
        <v>0</v>
      </c>
      <c r="Q343" s="66">
        <f t="shared" si="21"/>
        <v>0</v>
      </c>
      <c r="R343" s="67" t="str">
        <f t="shared" si="22"/>
        <v/>
      </c>
      <c r="S343" s="66" t="str">
        <f t="shared" si="23"/>
        <v/>
      </c>
    </row>
    <row r="344" spans="1:19" x14ac:dyDescent="0.25">
      <c r="A344" s="62"/>
      <c r="B344" s="63"/>
      <c r="C344" s="62"/>
      <c r="D344" s="62"/>
      <c r="E344" s="62"/>
      <c r="F344" s="62"/>
      <c r="G344" s="62"/>
      <c r="H344" s="63"/>
      <c r="I344" s="63"/>
      <c r="J344" s="63"/>
      <c r="K344" s="62"/>
      <c r="L344" s="62"/>
      <c r="M344" s="64" t="str">
        <f ca="1">IF($A344="","",IF($G344="Did not pass re-test","Sent back again",IF($G344="Yes",IF(AND(ISNUMBER($J344),ISNUMBER($B344)),"Fixed in "&amp;($J344-$B344)&amp;" d","Accepted"),IF(SUMPRODUCT(--(TRIM('Combined Delivery Data'!$B$2:$B$500)=TRIM($A344)))=0,"Not on main tab - renamed?",IF(NOT(ISNUMBER($B344)),"Missing or invalid sent-back date",IF($B344&gt;TODAY(),"Sent-back date is in future",IF(ISNUMBER($J344),IF($J344&lt;$B344,"Check dates - fixed before sent","Fixed in "&amp;($J344-$B344)&amp;" d"),IF(AND($I344&lt;&gt;"",NOT(ISNUMBER($I344))),"Check Expected Fix Date",IF($I344="","UNCLAIMED "&amp;(TODAY()-$B344)&amp;" d",IF(TODAY()&gt;$I344,(TODAY()-$I344)&amp;" d LATE","Open "&amp;(TODAY()-$B344)&amp;" d"))))))))))</f>
        <v/>
      </c>
      <c r="O344" s="66">
        <f>'Combined Delivery Data'!B343</f>
        <v>0</v>
      </c>
      <c r="P344" s="66">
        <f t="shared" si="20"/>
        <v>0</v>
      </c>
      <c r="Q344" s="66">
        <f t="shared" si="21"/>
        <v>0</v>
      </c>
      <c r="R344" s="67" t="str">
        <f t="shared" si="22"/>
        <v/>
      </c>
      <c r="S344" s="66" t="str">
        <f t="shared" si="23"/>
        <v/>
      </c>
    </row>
    <row r="345" spans="1:19" x14ac:dyDescent="0.25">
      <c r="A345" s="62"/>
      <c r="B345" s="63"/>
      <c r="C345" s="62"/>
      <c r="D345" s="62"/>
      <c r="E345" s="62"/>
      <c r="F345" s="62"/>
      <c r="G345" s="62"/>
      <c r="H345" s="63"/>
      <c r="I345" s="63"/>
      <c r="J345" s="63"/>
      <c r="K345" s="62"/>
      <c r="L345" s="62"/>
      <c r="M345" s="64" t="str">
        <f ca="1">IF($A345="","",IF($G345="Did not pass re-test","Sent back again",IF($G345="Yes",IF(AND(ISNUMBER($J345),ISNUMBER($B345)),"Fixed in "&amp;($J345-$B345)&amp;" d","Accepted"),IF(SUMPRODUCT(--(TRIM('Combined Delivery Data'!$B$2:$B$500)=TRIM($A345)))=0,"Not on main tab - renamed?",IF(NOT(ISNUMBER($B345)),"Missing or invalid sent-back date",IF($B345&gt;TODAY(),"Sent-back date is in future",IF(ISNUMBER($J345),IF($J345&lt;$B345,"Check dates - fixed before sent","Fixed in "&amp;($J345-$B345)&amp;" d"),IF(AND($I345&lt;&gt;"",NOT(ISNUMBER($I345))),"Check Expected Fix Date",IF($I345="","UNCLAIMED "&amp;(TODAY()-$B345)&amp;" d",IF(TODAY()&gt;$I345,(TODAY()-$I345)&amp;" d LATE","Open "&amp;(TODAY()-$B345)&amp;" d"))))))))))</f>
        <v/>
      </c>
      <c r="O345" s="66">
        <f>'Combined Delivery Data'!B344</f>
        <v>0</v>
      </c>
      <c r="P345" s="66">
        <f t="shared" si="20"/>
        <v>0</v>
      </c>
      <c r="Q345" s="66">
        <f t="shared" si="21"/>
        <v>0</v>
      </c>
      <c r="R345" s="67" t="str">
        <f t="shared" si="22"/>
        <v/>
      </c>
      <c r="S345" s="66" t="str">
        <f t="shared" si="23"/>
        <v/>
      </c>
    </row>
    <row r="346" spans="1:19" x14ac:dyDescent="0.25">
      <c r="A346" s="62"/>
      <c r="B346" s="63"/>
      <c r="C346" s="62"/>
      <c r="D346" s="62"/>
      <c r="E346" s="62"/>
      <c r="F346" s="62"/>
      <c r="G346" s="62"/>
      <c r="H346" s="63"/>
      <c r="I346" s="63"/>
      <c r="J346" s="63"/>
      <c r="K346" s="62"/>
      <c r="L346" s="62"/>
      <c r="M346" s="64" t="str">
        <f ca="1">IF($A346="","",IF($G346="Did not pass re-test","Sent back again",IF($G346="Yes",IF(AND(ISNUMBER($J346),ISNUMBER($B346)),"Fixed in "&amp;($J346-$B346)&amp;" d","Accepted"),IF(SUMPRODUCT(--(TRIM('Combined Delivery Data'!$B$2:$B$500)=TRIM($A346)))=0,"Not on main tab - renamed?",IF(NOT(ISNUMBER($B346)),"Missing or invalid sent-back date",IF($B346&gt;TODAY(),"Sent-back date is in future",IF(ISNUMBER($J346),IF($J346&lt;$B346,"Check dates - fixed before sent","Fixed in "&amp;($J346-$B346)&amp;" d"),IF(AND($I346&lt;&gt;"",NOT(ISNUMBER($I346))),"Check Expected Fix Date",IF($I346="","UNCLAIMED "&amp;(TODAY()-$B346)&amp;" d",IF(TODAY()&gt;$I346,(TODAY()-$I346)&amp;" d LATE","Open "&amp;(TODAY()-$B346)&amp;" d"))))))))))</f>
        <v/>
      </c>
      <c r="O346" s="66">
        <f>'Combined Delivery Data'!B345</f>
        <v>0</v>
      </c>
      <c r="P346" s="66">
        <f t="shared" si="20"/>
        <v>0</v>
      </c>
      <c r="Q346" s="66">
        <f t="shared" si="21"/>
        <v>0</v>
      </c>
      <c r="R346" s="67" t="str">
        <f t="shared" si="22"/>
        <v/>
      </c>
      <c r="S346" s="66" t="str">
        <f t="shared" si="23"/>
        <v/>
      </c>
    </row>
    <row r="347" spans="1:19" x14ac:dyDescent="0.25">
      <c r="A347" s="62"/>
      <c r="B347" s="63"/>
      <c r="C347" s="62"/>
      <c r="D347" s="62"/>
      <c r="E347" s="62"/>
      <c r="F347" s="62"/>
      <c r="G347" s="62"/>
      <c r="H347" s="63"/>
      <c r="I347" s="63"/>
      <c r="J347" s="63"/>
      <c r="K347" s="62"/>
      <c r="L347" s="62"/>
      <c r="M347" s="64" t="str">
        <f ca="1">IF($A347="","",IF($G347="Did not pass re-test","Sent back again",IF($G347="Yes",IF(AND(ISNUMBER($J347),ISNUMBER($B347)),"Fixed in "&amp;($J347-$B347)&amp;" d","Accepted"),IF(SUMPRODUCT(--(TRIM('Combined Delivery Data'!$B$2:$B$500)=TRIM($A347)))=0,"Not on main tab - renamed?",IF(NOT(ISNUMBER($B347)),"Missing or invalid sent-back date",IF($B347&gt;TODAY(),"Sent-back date is in future",IF(ISNUMBER($J347),IF($J347&lt;$B347,"Check dates - fixed before sent","Fixed in "&amp;($J347-$B347)&amp;" d"),IF(AND($I347&lt;&gt;"",NOT(ISNUMBER($I347))),"Check Expected Fix Date",IF($I347="","UNCLAIMED "&amp;(TODAY()-$B347)&amp;" d",IF(TODAY()&gt;$I347,(TODAY()-$I347)&amp;" d LATE","Open "&amp;(TODAY()-$B347)&amp;" d"))))))))))</f>
        <v/>
      </c>
      <c r="O347" s="66">
        <f>'Combined Delivery Data'!B346</f>
        <v>0</v>
      </c>
      <c r="P347" s="66">
        <f t="shared" si="20"/>
        <v>0</v>
      </c>
      <c r="Q347" s="66">
        <f t="shared" si="21"/>
        <v>0</v>
      </c>
      <c r="R347" s="67" t="str">
        <f t="shared" si="22"/>
        <v/>
      </c>
      <c r="S347" s="66" t="str">
        <f t="shared" si="23"/>
        <v/>
      </c>
    </row>
    <row r="348" spans="1:19" x14ac:dyDescent="0.25">
      <c r="A348" s="62"/>
      <c r="B348" s="63"/>
      <c r="C348" s="62"/>
      <c r="D348" s="62"/>
      <c r="E348" s="62"/>
      <c r="F348" s="62"/>
      <c r="G348" s="62"/>
      <c r="H348" s="63"/>
      <c r="I348" s="63"/>
      <c r="J348" s="63"/>
      <c r="K348" s="62"/>
      <c r="L348" s="62"/>
      <c r="M348" s="64" t="str">
        <f ca="1">IF($A348="","",IF($G348="Did not pass re-test","Sent back again",IF($G348="Yes",IF(AND(ISNUMBER($J348),ISNUMBER($B348)),"Fixed in "&amp;($J348-$B348)&amp;" d","Accepted"),IF(SUMPRODUCT(--(TRIM('Combined Delivery Data'!$B$2:$B$500)=TRIM($A348)))=0,"Not on main tab - renamed?",IF(NOT(ISNUMBER($B348)),"Missing or invalid sent-back date",IF($B348&gt;TODAY(),"Sent-back date is in future",IF(ISNUMBER($J348),IF($J348&lt;$B348,"Check dates - fixed before sent","Fixed in "&amp;($J348-$B348)&amp;" d"),IF(AND($I348&lt;&gt;"",NOT(ISNUMBER($I348))),"Check Expected Fix Date",IF($I348="","UNCLAIMED "&amp;(TODAY()-$B348)&amp;" d",IF(TODAY()&gt;$I348,(TODAY()-$I348)&amp;" d LATE","Open "&amp;(TODAY()-$B348)&amp;" d"))))))))))</f>
        <v/>
      </c>
      <c r="O348" s="66">
        <f>'Combined Delivery Data'!B347</f>
        <v>0</v>
      </c>
      <c r="P348" s="66">
        <f t="shared" si="20"/>
        <v>0</v>
      </c>
      <c r="Q348" s="66">
        <f t="shared" si="21"/>
        <v>0</v>
      </c>
      <c r="R348" s="67" t="str">
        <f t="shared" si="22"/>
        <v/>
      </c>
      <c r="S348" s="66" t="str">
        <f t="shared" si="23"/>
        <v/>
      </c>
    </row>
    <row r="349" spans="1:19" x14ac:dyDescent="0.25">
      <c r="A349" s="62"/>
      <c r="B349" s="63"/>
      <c r="C349" s="62"/>
      <c r="D349" s="62"/>
      <c r="E349" s="62"/>
      <c r="F349" s="62"/>
      <c r="G349" s="62"/>
      <c r="H349" s="63"/>
      <c r="I349" s="63"/>
      <c r="J349" s="63"/>
      <c r="K349" s="62"/>
      <c r="L349" s="62"/>
      <c r="M349" s="64" t="str">
        <f ca="1">IF($A349="","",IF($G349="Did not pass re-test","Sent back again",IF($G349="Yes",IF(AND(ISNUMBER($J349),ISNUMBER($B349)),"Fixed in "&amp;($J349-$B349)&amp;" d","Accepted"),IF(SUMPRODUCT(--(TRIM('Combined Delivery Data'!$B$2:$B$500)=TRIM($A349)))=0,"Not on main tab - renamed?",IF(NOT(ISNUMBER($B349)),"Missing or invalid sent-back date",IF($B349&gt;TODAY(),"Sent-back date is in future",IF(ISNUMBER($J349),IF($J349&lt;$B349,"Check dates - fixed before sent","Fixed in "&amp;($J349-$B349)&amp;" d"),IF(AND($I349&lt;&gt;"",NOT(ISNUMBER($I349))),"Check Expected Fix Date",IF($I349="","UNCLAIMED "&amp;(TODAY()-$B349)&amp;" d",IF(TODAY()&gt;$I349,(TODAY()-$I349)&amp;" d LATE","Open "&amp;(TODAY()-$B349)&amp;" d"))))))))))</f>
        <v/>
      </c>
      <c r="O349" s="66">
        <f>'Combined Delivery Data'!B348</f>
        <v>0</v>
      </c>
      <c r="P349" s="66">
        <f t="shared" si="20"/>
        <v>0</v>
      </c>
      <c r="Q349" s="66">
        <f t="shared" si="21"/>
        <v>0</v>
      </c>
      <c r="R349" s="67" t="str">
        <f t="shared" si="22"/>
        <v/>
      </c>
      <c r="S349" s="66" t="str">
        <f t="shared" si="23"/>
        <v/>
      </c>
    </row>
    <row r="350" spans="1:19" x14ac:dyDescent="0.25">
      <c r="A350" s="62"/>
      <c r="B350" s="63"/>
      <c r="C350" s="62"/>
      <c r="D350" s="62"/>
      <c r="E350" s="62"/>
      <c r="F350" s="62"/>
      <c r="G350" s="62"/>
      <c r="H350" s="63"/>
      <c r="I350" s="63"/>
      <c r="J350" s="63"/>
      <c r="K350" s="62"/>
      <c r="L350" s="62"/>
      <c r="M350" s="64" t="str">
        <f ca="1">IF($A350="","",IF($G350="Did not pass re-test","Sent back again",IF($G350="Yes",IF(AND(ISNUMBER($J350),ISNUMBER($B350)),"Fixed in "&amp;($J350-$B350)&amp;" d","Accepted"),IF(SUMPRODUCT(--(TRIM('Combined Delivery Data'!$B$2:$B$500)=TRIM($A350)))=0,"Not on main tab - renamed?",IF(NOT(ISNUMBER($B350)),"Missing or invalid sent-back date",IF($B350&gt;TODAY(),"Sent-back date is in future",IF(ISNUMBER($J350),IF($J350&lt;$B350,"Check dates - fixed before sent","Fixed in "&amp;($J350-$B350)&amp;" d"),IF(AND($I350&lt;&gt;"",NOT(ISNUMBER($I350))),"Check Expected Fix Date",IF($I350="","UNCLAIMED "&amp;(TODAY()-$B350)&amp;" d",IF(TODAY()&gt;$I350,(TODAY()-$I350)&amp;" d LATE","Open "&amp;(TODAY()-$B350)&amp;" d"))))))))))</f>
        <v/>
      </c>
      <c r="O350" s="66">
        <f>'Combined Delivery Data'!B349</f>
        <v>0</v>
      </c>
      <c r="P350" s="66">
        <f t="shared" si="20"/>
        <v>0</v>
      </c>
      <c r="Q350" s="66">
        <f t="shared" si="21"/>
        <v>0</v>
      </c>
      <c r="R350" s="67" t="str">
        <f t="shared" si="22"/>
        <v/>
      </c>
      <c r="S350" s="66" t="str">
        <f t="shared" si="23"/>
        <v/>
      </c>
    </row>
    <row r="351" spans="1:19" x14ac:dyDescent="0.25">
      <c r="A351" s="62"/>
      <c r="B351" s="63"/>
      <c r="C351" s="62"/>
      <c r="D351" s="62"/>
      <c r="E351" s="62"/>
      <c r="F351" s="62"/>
      <c r="G351" s="62"/>
      <c r="H351" s="63"/>
      <c r="I351" s="63"/>
      <c r="J351" s="63"/>
      <c r="K351" s="62"/>
      <c r="L351" s="62"/>
      <c r="M351" s="64" t="str">
        <f ca="1">IF($A351="","",IF($G351="Did not pass re-test","Sent back again",IF($G351="Yes",IF(AND(ISNUMBER($J351),ISNUMBER($B351)),"Fixed in "&amp;($J351-$B351)&amp;" d","Accepted"),IF(SUMPRODUCT(--(TRIM('Combined Delivery Data'!$B$2:$B$500)=TRIM($A351)))=0,"Not on main tab - renamed?",IF(NOT(ISNUMBER($B351)),"Missing or invalid sent-back date",IF($B351&gt;TODAY(),"Sent-back date is in future",IF(ISNUMBER($J351),IF($J351&lt;$B351,"Check dates - fixed before sent","Fixed in "&amp;($J351-$B351)&amp;" d"),IF(AND($I351&lt;&gt;"",NOT(ISNUMBER($I351))),"Check Expected Fix Date",IF($I351="","UNCLAIMED "&amp;(TODAY()-$B351)&amp;" d",IF(TODAY()&gt;$I351,(TODAY()-$I351)&amp;" d LATE","Open "&amp;(TODAY()-$B351)&amp;" d"))))))))))</f>
        <v/>
      </c>
      <c r="O351" s="66">
        <f>'Combined Delivery Data'!B350</f>
        <v>0</v>
      </c>
      <c r="P351" s="66">
        <f t="shared" si="20"/>
        <v>0</v>
      </c>
      <c r="Q351" s="66">
        <f t="shared" si="21"/>
        <v>0</v>
      </c>
      <c r="R351" s="67" t="str">
        <f t="shared" si="22"/>
        <v/>
      </c>
      <c r="S351" s="66" t="str">
        <f t="shared" si="23"/>
        <v/>
      </c>
    </row>
    <row r="352" spans="1:19" x14ac:dyDescent="0.25">
      <c r="A352" s="62"/>
      <c r="B352" s="63"/>
      <c r="C352" s="62"/>
      <c r="D352" s="62"/>
      <c r="E352" s="62"/>
      <c r="F352" s="62"/>
      <c r="G352" s="62"/>
      <c r="H352" s="63"/>
      <c r="I352" s="63"/>
      <c r="J352" s="63"/>
      <c r="K352" s="62"/>
      <c r="L352" s="62"/>
      <c r="M352" s="64" t="str">
        <f ca="1">IF($A352="","",IF($G352="Did not pass re-test","Sent back again",IF($G352="Yes",IF(AND(ISNUMBER($J352),ISNUMBER($B352)),"Fixed in "&amp;($J352-$B352)&amp;" d","Accepted"),IF(SUMPRODUCT(--(TRIM('Combined Delivery Data'!$B$2:$B$500)=TRIM($A352)))=0,"Not on main tab - renamed?",IF(NOT(ISNUMBER($B352)),"Missing or invalid sent-back date",IF($B352&gt;TODAY(),"Sent-back date is in future",IF(ISNUMBER($J352),IF($J352&lt;$B352,"Check dates - fixed before sent","Fixed in "&amp;($J352-$B352)&amp;" d"),IF(AND($I352&lt;&gt;"",NOT(ISNUMBER($I352))),"Check Expected Fix Date",IF($I352="","UNCLAIMED "&amp;(TODAY()-$B352)&amp;" d",IF(TODAY()&gt;$I352,(TODAY()-$I352)&amp;" d LATE","Open "&amp;(TODAY()-$B352)&amp;" d"))))))))))</f>
        <v/>
      </c>
      <c r="O352" s="66">
        <f>'Combined Delivery Data'!B351</f>
        <v>0</v>
      </c>
      <c r="P352" s="66">
        <f t="shared" si="20"/>
        <v>0</v>
      </c>
      <c r="Q352" s="66">
        <f t="shared" si="21"/>
        <v>0</v>
      </c>
      <c r="R352" s="67" t="str">
        <f t="shared" si="22"/>
        <v/>
      </c>
      <c r="S352" s="66" t="str">
        <f t="shared" si="23"/>
        <v/>
      </c>
    </row>
    <row r="353" spans="1:19" x14ac:dyDescent="0.25">
      <c r="A353" s="62"/>
      <c r="B353" s="63"/>
      <c r="C353" s="62"/>
      <c r="D353" s="62"/>
      <c r="E353" s="62"/>
      <c r="F353" s="62"/>
      <c r="G353" s="62"/>
      <c r="H353" s="63"/>
      <c r="I353" s="63"/>
      <c r="J353" s="63"/>
      <c r="K353" s="62"/>
      <c r="L353" s="62"/>
      <c r="M353" s="64" t="str">
        <f ca="1">IF($A353="","",IF($G353="Did not pass re-test","Sent back again",IF($G353="Yes",IF(AND(ISNUMBER($J353),ISNUMBER($B353)),"Fixed in "&amp;($J353-$B353)&amp;" d","Accepted"),IF(SUMPRODUCT(--(TRIM('Combined Delivery Data'!$B$2:$B$500)=TRIM($A353)))=0,"Not on main tab - renamed?",IF(NOT(ISNUMBER($B353)),"Missing or invalid sent-back date",IF($B353&gt;TODAY(),"Sent-back date is in future",IF(ISNUMBER($J353),IF($J353&lt;$B353,"Check dates - fixed before sent","Fixed in "&amp;($J353-$B353)&amp;" d"),IF(AND($I353&lt;&gt;"",NOT(ISNUMBER($I353))),"Check Expected Fix Date",IF($I353="","UNCLAIMED "&amp;(TODAY()-$B353)&amp;" d",IF(TODAY()&gt;$I353,(TODAY()-$I353)&amp;" d LATE","Open "&amp;(TODAY()-$B353)&amp;" d"))))))))))</f>
        <v/>
      </c>
      <c r="O353" s="66">
        <f>'Combined Delivery Data'!B352</f>
        <v>0</v>
      </c>
      <c r="P353" s="66">
        <f t="shared" si="20"/>
        <v>0</v>
      </c>
      <c r="Q353" s="66">
        <f t="shared" si="21"/>
        <v>0</v>
      </c>
      <c r="R353" s="67" t="str">
        <f t="shared" si="22"/>
        <v/>
      </c>
      <c r="S353" s="66" t="str">
        <f t="shared" si="23"/>
        <v/>
      </c>
    </row>
    <row r="354" spans="1:19" x14ac:dyDescent="0.25">
      <c r="A354" s="62"/>
      <c r="B354" s="63"/>
      <c r="C354" s="62"/>
      <c r="D354" s="62"/>
      <c r="E354" s="62"/>
      <c r="F354" s="62"/>
      <c r="G354" s="62"/>
      <c r="H354" s="63"/>
      <c r="I354" s="63"/>
      <c r="J354" s="63"/>
      <c r="K354" s="62"/>
      <c r="L354" s="62"/>
      <c r="M354" s="64" t="str">
        <f ca="1">IF($A354="","",IF($G354="Did not pass re-test","Sent back again",IF($G354="Yes",IF(AND(ISNUMBER($J354),ISNUMBER($B354)),"Fixed in "&amp;($J354-$B354)&amp;" d","Accepted"),IF(SUMPRODUCT(--(TRIM('Combined Delivery Data'!$B$2:$B$500)=TRIM($A354)))=0,"Not on main tab - renamed?",IF(NOT(ISNUMBER($B354)),"Missing or invalid sent-back date",IF($B354&gt;TODAY(),"Sent-back date is in future",IF(ISNUMBER($J354),IF($J354&lt;$B354,"Check dates - fixed before sent","Fixed in "&amp;($J354-$B354)&amp;" d"),IF(AND($I354&lt;&gt;"",NOT(ISNUMBER($I354))),"Check Expected Fix Date",IF($I354="","UNCLAIMED "&amp;(TODAY()-$B354)&amp;" d",IF(TODAY()&gt;$I354,(TODAY()-$I354)&amp;" d LATE","Open "&amp;(TODAY()-$B354)&amp;" d"))))))))))</f>
        <v/>
      </c>
      <c r="O354" s="66">
        <f>'Combined Delivery Data'!B353</f>
        <v>0</v>
      </c>
      <c r="P354" s="66">
        <f t="shared" si="20"/>
        <v>0</v>
      </c>
      <c r="Q354" s="66">
        <f t="shared" si="21"/>
        <v>0</v>
      </c>
      <c r="R354" s="67" t="str">
        <f t="shared" si="22"/>
        <v/>
      </c>
      <c r="S354" s="66" t="str">
        <f t="shared" si="23"/>
        <v/>
      </c>
    </row>
    <row r="355" spans="1:19" x14ac:dyDescent="0.25">
      <c r="A355" s="62"/>
      <c r="B355" s="63"/>
      <c r="C355" s="62"/>
      <c r="D355" s="62"/>
      <c r="E355" s="62"/>
      <c r="F355" s="62"/>
      <c r="G355" s="62"/>
      <c r="H355" s="63"/>
      <c r="I355" s="63"/>
      <c r="J355" s="63"/>
      <c r="K355" s="62"/>
      <c r="L355" s="62"/>
      <c r="M355" s="64" t="str">
        <f ca="1">IF($A355="","",IF($G355="Did not pass re-test","Sent back again",IF($G355="Yes",IF(AND(ISNUMBER($J355),ISNUMBER($B355)),"Fixed in "&amp;($J355-$B355)&amp;" d","Accepted"),IF(SUMPRODUCT(--(TRIM('Combined Delivery Data'!$B$2:$B$500)=TRIM($A355)))=0,"Not on main tab - renamed?",IF(NOT(ISNUMBER($B355)),"Missing or invalid sent-back date",IF($B355&gt;TODAY(),"Sent-back date is in future",IF(ISNUMBER($J355),IF($J355&lt;$B355,"Check dates - fixed before sent","Fixed in "&amp;($J355-$B355)&amp;" d"),IF(AND($I355&lt;&gt;"",NOT(ISNUMBER($I355))),"Check Expected Fix Date",IF($I355="","UNCLAIMED "&amp;(TODAY()-$B355)&amp;" d",IF(TODAY()&gt;$I355,(TODAY()-$I355)&amp;" d LATE","Open "&amp;(TODAY()-$B355)&amp;" d"))))))))))</f>
        <v/>
      </c>
      <c r="O355" s="66">
        <f>'Combined Delivery Data'!B354</f>
        <v>0</v>
      </c>
      <c r="P355" s="66">
        <f t="shared" si="20"/>
        <v>0</v>
      </c>
      <c r="Q355" s="66">
        <f t="shared" si="21"/>
        <v>0</v>
      </c>
      <c r="R355" s="67" t="str">
        <f t="shared" si="22"/>
        <v/>
      </c>
      <c r="S355" s="66" t="str">
        <f t="shared" si="23"/>
        <v/>
      </c>
    </row>
    <row r="356" spans="1:19" x14ac:dyDescent="0.25">
      <c r="A356" s="62"/>
      <c r="B356" s="63"/>
      <c r="C356" s="62"/>
      <c r="D356" s="62"/>
      <c r="E356" s="62"/>
      <c r="F356" s="62"/>
      <c r="G356" s="62"/>
      <c r="H356" s="63"/>
      <c r="I356" s="63"/>
      <c r="J356" s="63"/>
      <c r="K356" s="62"/>
      <c r="L356" s="62"/>
      <c r="M356" s="64" t="str">
        <f ca="1">IF($A356="","",IF($G356="Did not pass re-test","Sent back again",IF($G356="Yes",IF(AND(ISNUMBER($J356),ISNUMBER($B356)),"Fixed in "&amp;($J356-$B356)&amp;" d","Accepted"),IF(SUMPRODUCT(--(TRIM('Combined Delivery Data'!$B$2:$B$500)=TRIM($A356)))=0,"Not on main tab - renamed?",IF(NOT(ISNUMBER($B356)),"Missing or invalid sent-back date",IF($B356&gt;TODAY(),"Sent-back date is in future",IF(ISNUMBER($J356),IF($J356&lt;$B356,"Check dates - fixed before sent","Fixed in "&amp;($J356-$B356)&amp;" d"),IF(AND($I356&lt;&gt;"",NOT(ISNUMBER($I356))),"Check Expected Fix Date",IF($I356="","UNCLAIMED "&amp;(TODAY()-$B356)&amp;" d",IF(TODAY()&gt;$I356,(TODAY()-$I356)&amp;" d LATE","Open "&amp;(TODAY()-$B356)&amp;" d"))))))))))</f>
        <v/>
      </c>
      <c r="O356" s="66">
        <f>'Combined Delivery Data'!B355</f>
        <v>0</v>
      </c>
      <c r="P356" s="66">
        <f t="shared" si="20"/>
        <v>0</v>
      </c>
      <c r="Q356" s="66">
        <f t="shared" si="21"/>
        <v>0</v>
      </c>
      <c r="R356" s="67" t="str">
        <f t="shared" si="22"/>
        <v/>
      </c>
      <c r="S356" s="66" t="str">
        <f t="shared" si="23"/>
        <v/>
      </c>
    </row>
    <row r="357" spans="1:19" x14ac:dyDescent="0.25">
      <c r="A357" s="62"/>
      <c r="B357" s="63"/>
      <c r="C357" s="62"/>
      <c r="D357" s="62"/>
      <c r="E357" s="62"/>
      <c r="F357" s="62"/>
      <c r="G357" s="62"/>
      <c r="H357" s="63"/>
      <c r="I357" s="63"/>
      <c r="J357" s="63"/>
      <c r="K357" s="62"/>
      <c r="L357" s="62"/>
      <c r="M357" s="64" t="str">
        <f ca="1">IF($A357="","",IF($G357="Did not pass re-test","Sent back again",IF($G357="Yes",IF(AND(ISNUMBER($J357),ISNUMBER($B357)),"Fixed in "&amp;($J357-$B357)&amp;" d","Accepted"),IF(SUMPRODUCT(--(TRIM('Combined Delivery Data'!$B$2:$B$500)=TRIM($A357)))=0,"Not on main tab - renamed?",IF(NOT(ISNUMBER($B357)),"Missing or invalid sent-back date",IF($B357&gt;TODAY(),"Sent-back date is in future",IF(ISNUMBER($J357),IF($J357&lt;$B357,"Check dates - fixed before sent","Fixed in "&amp;($J357-$B357)&amp;" d"),IF(AND($I357&lt;&gt;"",NOT(ISNUMBER($I357))),"Check Expected Fix Date",IF($I357="","UNCLAIMED "&amp;(TODAY()-$B357)&amp;" d",IF(TODAY()&gt;$I357,(TODAY()-$I357)&amp;" d LATE","Open "&amp;(TODAY()-$B357)&amp;" d"))))))))))</f>
        <v/>
      </c>
      <c r="O357" s="66">
        <f>'Combined Delivery Data'!B356</f>
        <v>0</v>
      </c>
      <c r="P357" s="66">
        <f t="shared" si="20"/>
        <v>0</v>
      </c>
      <c r="Q357" s="66">
        <f t="shared" si="21"/>
        <v>0</v>
      </c>
      <c r="R357" s="67" t="str">
        <f t="shared" si="22"/>
        <v/>
      </c>
      <c r="S357" s="66" t="str">
        <f t="shared" si="23"/>
        <v/>
      </c>
    </row>
    <row r="358" spans="1:19" x14ac:dyDescent="0.25">
      <c r="A358" s="62"/>
      <c r="B358" s="63"/>
      <c r="C358" s="62"/>
      <c r="D358" s="62"/>
      <c r="E358" s="62"/>
      <c r="F358" s="62"/>
      <c r="G358" s="62"/>
      <c r="H358" s="63"/>
      <c r="I358" s="63"/>
      <c r="J358" s="63"/>
      <c r="K358" s="62"/>
      <c r="L358" s="62"/>
      <c r="M358" s="64" t="str">
        <f ca="1">IF($A358="","",IF($G358="Did not pass re-test","Sent back again",IF($G358="Yes",IF(AND(ISNUMBER($J358),ISNUMBER($B358)),"Fixed in "&amp;($J358-$B358)&amp;" d","Accepted"),IF(SUMPRODUCT(--(TRIM('Combined Delivery Data'!$B$2:$B$500)=TRIM($A358)))=0,"Not on main tab - renamed?",IF(NOT(ISNUMBER($B358)),"Missing or invalid sent-back date",IF($B358&gt;TODAY(),"Sent-back date is in future",IF(ISNUMBER($J358),IF($J358&lt;$B358,"Check dates - fixed before sent","Fixed in "&amp;($J358-$B358)&amp;" d"),IF(AND($I358&lt;&gt;"",NOT(ISNUMBER($I358))),"Check Expected Fix Date",IF($I358="","UNCLAIMED "&amp;(TODAY()-$B358)&amp;" d",IF(TODAY()&gt;$I358,(TODAY()-$I358)&amp;" d LATE","Open "&amp;(TODAY()-$B358)&amp;" d"))))))))))</f>
        <v/>
      </c>
      <c r="O358" s="66">
        <f>'Combined Delivery Data'!B357</f>
        <v>0</v>
      </c>
      <c r="P358" s="66">
        <f t="shared" si="20"/>
        <v>0</v>
      </c>
      <c r="Q358" s="66">
        <f t="shared" si="21"/>
        <v>0</v>
      </c>
      <c r="R358" s="67" t="str">
        <f t="shared" si="22"/>
        <v/>
      </c>
      <c r="S358" s="66" t="str">
        <f t="shared" si="23"/>
        <v/>
      </c>
    </row>
    <row r="359" spans="1:19" x14ac:dyDescent="0.25">
      <c r="A359" s="62"/>
      <c r="B359" s="63"/>
      <c r="C359" s="62"/>
      <c r="D359" s="62"/>
      <c r="E359" s="62"/>
      <c r="F359" s="62"/>
      <c r="G359" s="62"/>
      <c r="H359" s="63"/>
      <c r="I359" s="63"/>
      <c r="J359" s="63"/>
      <c r="K359" s="62"/>
      <c r="L359" s="62"/>
      <c r="M359" s="64" t="str">
        <f ca="1">IF($A359="","",IF($G359="Did not pass re-test","Sent back again",IF($G359="Yes",IF(AND(ISNUMBER($J359),ISNUMBER($B359)),"Fixed in "&amp;($J359-$B359)&amp;" d","Accepted"),IF(SUMPRODUCT(--(TRIM('Combined Delivery Data'!$B$2:$B$500)=TRIM($A359)))=0,"Not on main tab - renamed?",IF(NOT(ISNUMBER($B359)),"Missing or invalid sent-back date",IF($B359&gt;TODAY(),"Sent-back date is in future",IF(ISNUMBER($J359),IF($J359&lt;$B359,"Check dates - fixed before sent","Fixed in "&amp;($J359-$B359)&amp;" d"),IF(AND($I359&lt;&gt;"",NOT(ISNUMBER($I359))),"Check Expected Fix Date",IF($I359="","UNCLAIMED "&amp;(TODAY()-$B359)&amp;" d",IF(TODAY()&gt;$I359,(TODAY()-$I359)&amp;" d LATE","Open "&amp;(TODAY()-$B359)&amp;" d"))))))))))</f>
        <v/>
      </c>
      <c r="O359" s="66">
        <f>'Combined Delivery Data'!B358</f>
        <v>0</v>
      </c>
      <c r="P359" s="66">
        <f t="shared" si="20"/>
        <v>0</v>
      </c>
      <c r="Q359" s="66">
        <f t="shared" si="21"/>
        <v>0</v>
      </c>
      <c r="R359" s="67" t="str">
        <f t="shared" si="22"/>
        <v/>
      </c>
      <c r="S359" s="66" t="str">
        <f t="shared" si="23"/>
        <v/>
      </c>
    </row>
    <row r="360" spans="1:19" x14ac:dyDescent="0.25">
      <c r="A360" s="62"/>
      <c r="B360" s="63"/>
      <c r="C360" s="62"/>
      <c r="D360" s="62"/>
      <c r="E360" s="62"/>
      <c r="F360" s="62"/>
      <c r="G360" s="62"/>
      <c r="H360" s="63"/>
      <c r="I360" s="63"/>
      <c r="J360" s="63"/>
      <c r="K360" s="62"/>
      <c r="L360" s="62"/>
      <c r="M360" s="64" t="str">
        <f ca="1">IF($A360="","",IF($G360="Did not pass re-test","Sent back again",IF($G360="Yes",IF(AND(ISNUMBER($J360),ISNUMBER($B360)),"Fixed in "&amp;($J360-$B360)&amp;" d","Accepted"),IF(SUMPRODUCT(--(TRIM('Combined Delivery Data'!$B$2:$B$500)=TRIM($A360)))=0,"Not on main tab - renamed?",IF(NOT(ISNUMBER($B360)),"Missing or invalid sent-back date",IF($B360&gt;TODAY(),"Sent-back date is in future",IF(ISNUMBER($J360),IF($J360&lt;$B360,"Check dates - fixed before sent","Fixed in "&amp;($J360-$B360)&amp;" d"),IF(AND($I360&lt;&gt;"",NOT(ISNUMBER($I360))),"Check Expected Fix Date",IF($I360="","UNCLAIMED "&amp;(TODAY()-$B360)&amp;" d",IF(TODAY()&gt;$I360,(TODAY()-$I360)&amp;" d LATE","Open "&amp;(TODAY()-$B360)&amp;" d"))))))))))</f>
        <v/>
      </c>
      <c r="O360" s="66">
        <f>'Combined Delivery Data'!B359</f>
        <v>0</v>
      </c>
      <c r="P360" s="66">
        <f t="shared" si="20"/>
        <v>0</v>
      </c>
      <c r="Q360" s="66">
        <f t="shared" si="21"/>
        <v>0</v>
      </c>
      <c r="R360" s="67" t="str">
        <f t="shared" si="22"/>
        <v/>
      </c>
      <c r="S360" s="66" t="str">
        <f t="shared" si="23"/>
        <v/>
      </c>
    </row>
    <row r="361" spans="1:19" x14ac:dyDescent="0.25">
      <c r="A361" s="62"/>
      <c r="B361" s="63"/>
      <c r="C361" s="62"/>
      <c r="D361" s="62"/>
      <c r="E361" s="62"/>
      <c r="F361" s="62"/>
      <c r="G361" s="62"/>
      <c r="H361" s="63"/>
      <c r="I361" s="63"/>
      <c r="J361" s="63"/>
      <c r="K361" s="62"/>
      <c r="L361" s="62"/>
      <c r="M361" s="64" t="str">
        <f ca="1">IF($A361="","",IF($G361="Did not pass re-test","Sent back again",IF($G361="Yes",IF(AND(ISNUMBER($J361),ISNUMBER($B361)),"Fixed in "&amp;($J361-$B361)&amp;" d","Accepted"),IF(SUMPRODUCT(--(TRIM('Combined Delivery Data'!$B$2:$B$500)=TRIM($A361)))=0,"Not on main tab - renamed?",IF(NOT(ISNUMBER($B361)),"Missing or invalid sent-back date",IF($B361&gt;TODAY(),"Sent-back date is in future",IF(ISNUMBER($J361),IF($J361&lt;$B361,"Check dates - fixed before sent","Fixed in "&amp;($J361-$B361)&amp;" d"),IF(AND($I361&lt;&gt;"",NOT(ISNUMBER($I361))),"Check Expected Fix Date",IF($I361="","UNCLAIMED "&amp;(TODAY()-$B361)&amp;" d",IF(TODAY()&gt;$I361,(TODAY()-$I361)&amp;" d LATE","Open "&amp;(TODAY()-$B361)&amp;" d"))))))))))</f>
        <v/>
      </c>
      <c r="O361" s="66">
        <f>'Combined Delivery Data'!B360</f>
        <v>0</v>
      </c>
      <c r="P361" s="66">
        <f t="shared" si="20"/>
        <v>0</v>
      </c>
      <c r="Q361" s="66">
        <f t="shared" si="21"/>
        <v>0</v>
      </c>
      <c r="R361" s="67" t="str">
        <f t="shared" si="22"/>
        <v/>
      </c>
      <c r="S361" s="66" t="str">
        <f t="shared" si="23"/>
        <v/>
      </c>
    </row>
    <row r="362" spans="1:19" x14ac:dyDescent="0.25">
      <c r="A362" s="62"/>
      <c r="B362" s="63"/>
      <c r="C362" s="62"/>
      <c r="D362" s="62"/>
      <c r="E362" s="62"/>
      <c r="F362" s="62"/>
      <c r="G362" s="62"/>
      <c r="H362" s="63"/>
      <c r="I362" s="63"/>
      <c r="J362" s="63"/>
      <c r="K362" s="62"/>
      <c r="L362" s="62"/>
      <c r="M362" s="64" t="str">
        <f ca="1">IF($A362="","",IF($G362="Did not pass re-test","Sent back again",IF($G362="Yes",IF(AND(ISNUMBER($J362),ISNUMBER($B362)),"Fixed in "&amp;($J362-$B362)&amp;" d","Accepted"),IF(SUMPRODUCT(--(TRIM('Combined Delivery Data'!$B$2:$B$500)=TRIM($A362)))=0,"Not on main tab - renamed?",IF(NOT(ISNUMBER($B362)),"Missing or invalid sent-back date",IF($B362&gt;TODAY(),"Sent-back date is in future",IF(ISNUMBER($J362),IF($J362&lt;$B362,"Check dates - fixed before sent","Fixed in "&amp;($J362-$B362)&amp;" d"),IF(AND($I362&lt;&gt;"",NOT(ISNUMBER($I362))),"Check Expected Fix Date",IF($I362="","UNCLAIMED "&amp;(TODAY()-$B362)&amp;" d",IF(TODAY()&gt;$I362,(TODAY()-$I362)&amp;" d LATE","Open "&amp;(TODAY()-$B362)&amp;" d"))))))))))</f>
        <v/>
      </c>
      <c r="O362" s="66">
        <f>'Combined Delivery Data'!B361</f>
        <v>0</v>
      </c>
      <c r="P362" s="66">
        <f t="shared" si="20"/>
        <v>0</v>
      </c>
      <c r="Q362" s="66">
        <f t="shared" si="21"/>
        <v>0</v>
      </c>
      <c r="R362" s="67" t="str">
        <f t="shared" si="22"/>
        <v/>
      </c>
      <c r="S362" s="66" t="str">
        <f t="shared" si="23"/>
        <v/>
      </c>
    </row>
    <row r="363" spans="1:19" x14ac:dyDescent="0.25">
      <c r="A363" s="62"/>
      <c r="B363" s="63"/>
      <c r="C363" s="62"/>
      <c r="D363" s="62"/>
      <c r="E363" s="62"/>
      <c r="F363" s="62"/>
      <c r="G363" s="62"/>
      <c r="H363" s="63"/>
      <c r="I363" s="63"/>
      <c r="J363" s="63"/>
      <c r="K363" s="62"/>
      <c r="L363" s="62"/>
      <c r="M363" s="64" t="str">
        <f ca="1">IF($A363="","",IF($G363="Did not pass re-test","Sent back again",IF($G363="Yes",IF(AND(ISNUMBER($J363),ISNUMBER($B363)),"Fixed in "&amp;($J363-$B363)&amp;" d","Accepted"),IF(SUMPRODUCT(--(TRIM('Combined Delivery Data'!$B$2:$B$500)=TRIM($A363)))=0,"Not on main tab - renamed?",IF(NOT(ISNUMBER($B363)),"Missing or invalid sent-back date",IF($B363&gt;TODAY(),"Sent-back date is in future",IF(ISNUMBER($J363),IF($J363&lt;$B363,"Check dates - fixed before sent","Fixed in "&amp;($J363-$B363)&amp;" d"),IF(AND($I363&lt;&gt;"",NOT(ISNUMBER($I363))),"Check Expected Fix Date",IF($I363="","UNCLAIMED "&amp;(TODAY()-$B363)&amp;" d",IF(TODAY()&gt;$I363,(TODAY()-$I363)&amp;" d LATE","Open "&amp;(TODAY()-$B363)&amp;" d"))))))))))</f>
        <v/>
      </c>
      <c r="O363" s="66">
        <f>'Combined Delivery Data'!B362</f>
        <v>0</v>
      </c>
      <c r="P363" s="66">
        <f t="shared" si="20"/>
        <v>0</v>
      </c>
      <c r="Q363" s="66">
        <f t="shared" si="21"/>
        <v>0</v>
      </c>
      <c r="R363" s="67" t="str">
        <f t="shared" si="22"/>
        <v/>
      </c>
      <c r="S363" s="66" t="str">
        <f t="shared" si="23"/>
        <v/>
      </c>
    </row>
    <row r="364" spans="1:19" x14ac:dyDescent="0.25">
      <c r="A364" s="62"/>
      <c r="B364" s="63"/>
      <c r="C364" s="62"/>
      <c r="D364" s="62"/>
      <c r="E364" s="62"/>
      <c r="F364" s="62"/>
      <c r="G364" s="62"/>
      <c r="H364" s="63"/>
      <c r="I364" s="63"/>
      <c r="J364" s="63"/>
      <c r="K364" s="62"/>
      <c r="L364" s="62"/>
      <c r="M364" s="64" t="str">
        <f ca="1">IF($A364="","",IF($G364="Did not pass re-test","Sent back again",IF($G364="Yes",IF(AND(ISNUMBER($J364),ISNUMBER($B364)),"Fixed in "&amp;($J364-$B364)&amp;" d","Accepted"),IF(SUMPRODUCT(--(TRIM('Combined Delivery Data'!$B$2:$B$500)=TRIM($A364)))=0,"Not on main tab - renamed?",IF(NOT(ISNUMBER($B364)),"Missing or invalid sent-back date",IF($B364&gt;TODAY(),"Sent-back date is in future",IF(ISNUMBER($J364),IF($J364&lt;$B364,"Check dates - fixed before sent","Fixed in "&amp;($J364-$B364)&amp;" d"),IF(AND($I364&lt;&gt;"",NOT(ISNUMBER($I364))),"Check Expected Fix Date",IF($I364="","UNCLAIMED "&amp;(TODAY()-$B364)&amp;" d",IF(TODAY()&gt;$I364,(TODAY()-$I364)&amp;" d LATE","Open "&amp;(TODAY()-$B364)&amp;" d"))))))))))</f>
        <v/>
      </c>
      <c r="O364" s="66">
        <f>'Combined Delivery Data'!B363</f>
        <v>0</v>
      </c>
      <c r="P364" s="66">
        <f t="shared" si="20"/>
        <v>0</v>
      </c>
      <c r="Q364" s="66">
        <f t="shared" si="21"/>
        <v>0</v>
      </c>
      <c r="R364" s="67" t="str">
        <f t="shared" si="22"/>
        <v/>
      </c>
      <c r="S364" s="66" t="str">
        <f t="shared" si="23"/>
        <v/>
      </c>
    </row>
    <row r="365" spans="1:19" x14ac:dyDescent="0.25">
      <c r="A365" s="62"/>
      <c r="B365" s="63"/>
      <c r="C365" s="62"/>
      <c r="D365" s="62"/>
      <c r="E365" s="62"/>
      <c r="F365" s="62"/>
      <c r="G365" s="62"/>
      <c r="H365" s="63"/>
      <c r="I365" s="63"/>
      <c r="J365" s="63"/>
      <c r="K365" s="62"/>
      <c r="L365" s="62"/>
      <c r="M365" s="64" t="str">
        <f ca="1">IF($A365="","",IF($G365="Did not pass re-test","Sent back again",IF($G365="Yes",IF(AND(ISNUMBER($J365),ISNUMBER($B365)),"Fixed in "&amp;($J365-$B365)&amp;" d","Accepted"),IF(SUMPRODUCT(--(TRIM('Combined Delivery Data'!$B$2:$B$500)=TRIM($A365)))=0,"Not on main tab - renamed?",IF(NOT(ISNUMBER($B365)),"Missing or invalid sent-back date",IF($B365&gt;TODAY(),"Sent-back date is in future",IF(ISNUMBER($J365),IF($J365&lt;$B365,"Check dates - fixed before sent","Fixed in "&amp;($J365-$B365)&amp;" d"),IF(AND($I365&lt;&gt;"",NOT(ISNUMBER($I365))),"Check Expected Fix Date",IF($I365="","UNCLAIMED "&amp;(TODAY()-$B365)&amp;" d",IF(TODAY()&gt;$I365,(TODAY()-$I365)&amp;" d LATE","Open "&amp;(TODAY()-$B365)&amp;" d"))))))))))</f>
        <v/>
      </c>
      <c r="O365" s="66">
        <f>'Combined Delivery Data'!B364</f>
        <v>0</v>
      </c>
      <c r="P365" s="66">
        <f t="shared" si="20"/>
        <v>0</v>
      </c>
      <c r="Q365" s="66">
        <f t="shared" si="21"/>
        <v>0</v>
      </c>
      <c r="R365" s="67" t="str">
        <f t="shared" si="22"/>
        <v/>
      </c>
      <c r="S365" s="66" t="str">
        <f t="shared" si="23"/>
        <v/>
      </c>
    </row>
    <row r="366" spans="1:19" x14ac:dyDescent="0.25">
      <c r="A366" s="62"/>
      <c r="B366" s="63"/>
      <c r="C366" s="62"/>
      <c r="D366" s="62"/>
      <c r="E366" s="62"/>
      <c r="F366" s="62"/>
      <c r="G366" s="62"/>
      <c r="H366" s="63"/>
      <c r="I366" s="63"/>
      <c r="J366" s="63"/>
      <c r="K366" s="62"/>
      <c r="L366" s="62"/>
      <c r="M366" s="64" t="str">
        <f ca="1">IF($A366="","",IF($G366="Did not pass re-test","Sent back again",IF($G366="Yes",IF(AND(ISNUMBER($J366),ISNUMBER($B366)),"Fixed in "&amp;($J366-$B366)&amp;" d","Accepted"),IF(SUMPRODUCT(--(TRIM('Combined Delivery Data'!$B$2:$B$500)=TRIM($A366)))=0,"Not on main tab - renamed?",IF(NOT(ISNUMBER($B366)),"Missing or invalid sent-back date",IF($B366&gt;TODAY(),"Sent-back date is in future",IF(ISNUMBER($J366),IF($J366&lt;$B366,"Check dates - fixed before sent","Fixed in "&amp;($J366-$B366)&amp;" d"),IF(AND($I366&lt;&gt;"",NOT(ISNUMBER($I366))),"Check Expected Fix Date",IF($I366="","UNCLAIMED "&amp;(TODAY()-$B366)&amp;" d",IF(TODAY()&gt;$I366,(TODAY()-$I366)&amp;" d LATE","Open "&amp;(TODAY()-$B366)&amp;" d"))))))))))</f>
        <v/>
      </c>
      <c r="O366" s="66">
        <f>'Combined Delivery Data'!B365</f>
        <v>0</v>
      </c>
      <c r="P366" s="66">
        <f t="shared" si="20"/>
        <v>0</v>
      </c>
      <c r="Q366" s="66">
        <f t="shared" si="21"/>
        <v>0</v>
      </c>
      <c r="R366" s="67" t="str">
        <f t="shared" si="22"/>
        <v/>
      </c>
      <c r="S366" s="66" t="str">
        <f t="shared" si="23"/>
        <v/>
      </c>
    </row>
    <row r="367" spans="1:19" x14ac:dyDescent="0.25">
      <c r="A367" s="62"/>
      <c r="B367" s="63"/>
      <c r="C367" s="62"/>
      <c r="D367" s="62"/>
      <c r="E367" s="62"/>
      <c r="F367" s="62"/>
      <c r="G367" s="62"/>
      <c r="H367" s="63"/>
      <c r="I367" s="63"/>
      <c r="J367" s="63"/>
      <c r="K367" s="62"/>
      <c r="L367" s="62"/>
      <c r="M367" s="64" t="str">
        <f ca="1">IF($A367="","",IF($G367="Did not pass re-test","Sent back again",IF($G367="Yes",IF(AND(ISNUMBER($J367),ISNUMBER($B367)),"Fixed in "&amp;($J367-$B367)&amp;" d","Accepted"),IF(SUMPRODUCT(--(TRIM('Combined Delivery Data'!$B$2:$B$500)=TRIM($A367)))=0,"Not on main tab - renamed?",IF(NOT(ISNUMBER($B367)),"Missing or invalid sent-back date",IF($B367&gt;TODAY(),"Sent-back date is in future",IF(ISNUMBER($J367),IF($J367&lt;$B367,"Check dates - fixed before sent","Fixed in "&amp;($J367-$B367)&amp;" d"),IF(AND($I367&lt;&gt;"",NOT(ISNUMBER($I367))),"Check Expected Fix Date",IF($I367="","UNCLAIMED "&amp;(TODAY()-$B367)&amp;" d",IF(TODAY()&gt;$I367,(TODAY()-$I367)&amp;" d LATE","Open "&amp;(TODAY()-$B367)&amp;" d"))))))))))</f>
        <v/>
      </c>
      <c r="O367" s="66">
        <f>'Combined Delivery Data'!B366</f>
        <v>0</v>
      </c>
      <c r="P367" s="66">
        <f t="shared" si="20"/>
        <v>0</v>
      </c>
      <c r="Q367" s="66">
        <f t="shared" si="21"/>
        <v>0</v>
      </c>
      <c r="R367" s="67" t="str">
        <f t="shared" si="22"/>
        <v/>
      </c>
      <c r="S367" s="66" t="str">
        <f t="shared" si="23"/>
        <v/>
      </c>
    </row>
    <row r="368" spans="1:19" x14ac:dyDescent="0.25">
      <c r="A368" s="62"/>
      <c r="B368" s="63"/>
      <c r="C368" s="62"/>
      <c r="D368" s="62"/>
      <c r="E368" s="62"/>
      <c r="F368" s="62"/>
      <c r="G368" s="62"/>
      <c r="H368" s="63"/>
      <c r="I368" s="63"/>
      <c r="J368" s="63"/>
      <c r="K368" s="62"/>
      <c r="L368" s="62"/>
      <c r="M368" s="64" t="str">
        <f ca="1">IF($A368="","",IF($G368="Did not pass re-test","Sent back again",IF($G368="Yes",IF(AND(ISNUMBER($J368),ISNUMBER($B368)),"Fixed in "&amp;($J368-$B368)&amp;" d","Accepted"),IF(SUMPRODUCT(--(TRIM('Combined Delivery Data'!$B$2:$B$500)=TRIM($A368)))=0,"Not on main tab - renamed?",IF(NOT(ISNUMBER($B368)),"Missing or invalid sent-back date",IF($B368&gt;TODAY(),"Sent-back date is in future",IF(ISNUMBER($J368),IF($J368&lt;$B368,"Check dates - fixed before sent","Fixed in "&amp;($J368-$B368)&amp;" d"),IF(AND($I368&lt;&gt;"",NOT(ISNUMBER($I368))),"Check Expected Fix Date",IF($I368="","UNCLAIMED "&amp;(TODAY()-$B368)&amp;" d",IF(TODAY()&gt;$I368,(TODAY()-$I368)&amp;" d LATE","Open "&amp;(TODAY()-$B368)&amp;" d"))))))))))</f>
        <v/>
      </c>
      <c r="O368" s="66">
        <f>'Combined Delivery Data'!B367</f>
        <v>0</v>
      </c>
      <c r="P368" s="66">
        <f t="shared" si="20"/>
        <v>0</v>
      </c>
      <c r="Q368" s="66">
        <f t="shared" si="21"/>
        <v>0</v>
      </c>
      <c r="R368" s="67" t="str">
        <f t="shared" si="22"/>
        <v/>
      </c>
      <c r="S368" s="66" t="str">
        <f t="shared" si="23"/>
        <v/>
      </c>
    </row>
    <row r="369" spans="1:19" x14ac:dyDescent="0.25">
      <c r="A369" s="62"/>
      <c r="B369" s="63"/>
      <c r="C369" s="62"/>
      <c r="D369" s="62"/>
      <c r="E369" s="62"/>
      <c r="F369" s="62"/>
      <c r="G369" s="62"/>
      <c r="H369" s="63"/>
      <c r="I369" s="63"/>
      <c r="J369" s="63"/>
      <c r="K369" s="62"/>
      <c r="L369" s="62"/>
      <c r="M369" s="64" t="str">
        <f ca="1">IF($A369="","",IF($G369="Did not pass re-test","Sent back again",IF($G369="Yes",IF(AND(ISNUMBER($J369),ISNUMBER($B369)),"Fixed in "&amp;($J369-$B369)&amp;" d","Accepted"),IF(SUMPRODUCT(--(TRIM('Combined Delivery Data'!$B$2:$B$500)=TRIM($A369)))=0,"Not on main tab - renamed?",IF(NOT(ISNUMBER($B369)),"Missing or invalid sent-back date",IF($B369&gt;TODAY(),"Sent-back date is in future",IF(ISNUMBER($J369),IF($J369&lt;$B369,"Check dates - fixed before sent","Fixed in "&amp;($J369-$B369)&amp;" d"),IF(AND($I369&lt;&gt;"",NOT(ISNUMBER($I369))),"Check Expected Fix Date",IF($I369="","UNCLAIMED "&amp;(TODAY()-$B369)&amp;" d",IF(TODAY()&gt;$I369,(TODAY()-$I369)&amp;" d LATE","Open "&amp;(TODAY()-$B369)&amp;" d"))))))))))</f>
        <v/>
      </c>
      <c r="O369" s="66">
        <f>'Combined Delivery Data'!B368</f>
        <v>0</v>
      </c>
      <c r="P369" s="66">
        <f t="shared" si="20"/>
        <v>0</v>
      </c>
      <c r="Q369" s="66">
        <f t="shared" si="21"/>
        <v>0</v>
      </c>
      <c r="R369" s="67" t="str">
        <f t="shared" si="22"/>
        <v/>
      </c>
      <c r="S369" s="66" t="str">
        <f t="shared" si="23"/>
        <v/>
      </c>
    </row>
    <row r="370" spans="1:19" x14ac:dyDescent="0.25">
      <c r="A370" s="62"/>
      <c r="B370" s="63"/>
      <c r="C370" s="62"/>
      <c r="D370" s="62"/>
      <c r="E370" s="62"/>
      <c r="F370" s="62"/>
      <c r="G370" s="62"/>
      <c r="H370" s="63"/>
      <c r="I370" s="63"/>
      <c r="J370" s="63"/>
      <c r="K370" s="62"/>
      <c r="L370" s="62"/>
      <c r="M370" s="64" t="str">
        <f ca="1">IF($A370="","",IF($G370="Did not pass re-test","Sent back again",IF($G370="Yes",IF(AND(ISNUMBER($J370),ISNUMBER($B370)),"Fixed in "&amp;($J370-$B370)&amp;" d","Accepted"),IF(SUMPRODUCT(--(TRIM('Combined Delivery Data'!$B$2:$B$500)=TRIM($A370)))=0,"Not on main tab - renamed?",IF(NOT(ISNUMBER($B370)),"Missing or invalid sent-back date",IF($B370&gt;TODAY(),"Sent-back date is in future",IF(ISNUMBER($J370),IF($J370&lt;$B370,"Check dates - fixed before sent","Fixed in "&amp;($J370-$B370)&amp;" d"),IF(AND($I370&lt;&gt;"",NOT(ISNUMBER($I370))),"Check Expected Fix Date",IF($I370="","UNCLAIMED "&amp;(TODAY()-$B370)&amp;" d",IF(TODAY()&gt;$I370,(TODAY()-$I370)&amp;" d LATE","Open "&amp;(TODAY()-$B370)&amp;" d"))))))))))</f>
        <v/>
      </c>
      <c r="O370" s="66">
        <f>'Combined Delivery Data'!B369</f>
        <v>0</v>
      </c>
      <c r="P370" s="66">
        <f t="shared" si="20"/>
        <v>0</v>
      </c>
      <c r="Q370" s="66">
        <f t="shared" si="21"/>
        <v>0</v>
      </c>
      <c r="R370" s="67" t="str">
        <f t="shared" si="22"/>
        <v/>
      </c>
      <c r="S370" s="66" t="str">
        <f t="shared" si="23"/>
        <v/>
      </c>
    </row>
    <row r="371" spans="1:19" x14ac:dyDescent="0.25">
      <c r="A371" s="62"/>
      <c r="B371" s="63"/>
      <c r="C371" s="62"/>
      <c r="D371" s="62"/>
      <c r="E371" s="62"/>
      <c r="F371" s="62"/>
      <c r="G371" s="62"/>
      <c r="H371" s="63"/>
      <c r="I371" s="63"/>
      <c r="J371" s="63"/>
      <c r="K371" s="62"/>
      <c r="L371" s="62"/>
      <c r="M371" s="64" t="str">
        <f ca="1">IF($A371="","",IF($G371="Did not pass re-test","Sent back again",IF($G371="Yes",IF(AND(ISNUMBER($J371),ISNUMBER($B371)),"Fixed in "&amp;($J371-$B371)&amp;" d","Accepted"),IF(SUMPRODUCT(--(TRIM('Combined Delivery Data'!$B$2:$B$500)=TRIM($A371)))=0,"Not on main tab - renamed?",IF(NOT(ISNUMBER($B371)),"Missing or invalid sent-back date",IF($B371&gt;TODAY(),"Sent-back date is in future",IF(ISNUMBER($J371),IF($J371&lt;$B371,"Check dates - fixed before sent","Fixed in "&amp;($J371-$B371)&amp;" d"),IF(AND($I371&lt;&gt;"",NOT(ISNUMBER($I371))),"Check Expected Fix Date",IF($I371="","UNCLAIMED "&amp;(TODAY()-$B371)&amp;" d",IF(TODAY()&gt;$I371,(TODAY()-$I371)&amp;" d LATE","Open "&amp;(TODAY()-$B371)&amp;" d"))))))))))</f>
        <v/>
      </c>
      <c r="O371" s="66">
        <f>'Combined Delivery Data'!B370</f>
        <v>0</v>
      </c>
      <c r="P371" s="66">
        <f t="shared" si="20"/>
        <v>0</v>
      </c>
      <c r="Q371" s="66">
        <f t="shared" si="21"/>
        <v>0</v>
      </c>
      <c r="R371" s="67" t="str">
        <f t="shared" si="22"/>
        <v/>
      </c>
      <c r="S371" s="66" t="str">
        <f t="shared" si="23"/>
        <v/>
      </c>
    </row>
    <row r="372" spans="1:19" x14ac:dyDescent="0.25">
      <c r="A372" s="62"/>
      <c r="B372" s="63"/>
      <c r="C372" s="62"/>
      <c r="D372" s="62"/>
      <c r="E372" s="62"/>
      <c r="F372" s="62"/>
      <c r="G372" s="62"/>
      <c r="H372" s="63"/>
      <c r="I372" s="63"/>
      <c r="J372" s="63"/>
      <c r="K372" s="62"/>
      <c r="L372" s="62"/>
      <c r="M372" s="64" t="str">
        <f ca="1">IF($A372="","",IF($G372="Did not pass re-test","Sent back again",IF($G372="Yes",IF(AND(ISNUMBER($J372),ISNUMBER($B372)),"Fixed in "&amp;($J372-$B372)&amp;" d","Accepted"),IF(SUMPRODUCT(--(TRIM('Combined Delivery Data'!$B$2:$B$500)=TRIM($A372)))=0,"Not on main tab - renamed?",IF(NOT(ISNUMBER($B372)),"Missing or invalid sent-back date",IF($B372&gt;TODAY(),"Sent-back date is in future",IF(ISNUMBER($J372),IF($J372&lt;$B372,"Check dates - fixed before sent","Fixed in "&amp;($J372-$B372)&amp;" d"),IF(AND($I372&lt;&gt;"",NOT(ISNUMBER($I372))),"Check Expected Fix Date",IF($I372="","UNCLAIMED "&amp;(TODAY()-$B372)&amp;" d",IF(TODAY()&gt;$I372,(TODAY()-$I372)&amp;" d LATE","Open "&amp;(TODAY()-$B372)&amp;" d"))))))))))</f>
        <v/>
      </c>
      <c r="O372" s="66">
        <f>'Combined Delivery Data'!B371</f>
        <v>0</v>
      </c>
      <c r="P372" s="66">
        <f t="shared" si="20"/>
        <v>0</v>
      </c>
      <c r="Q372" s="66">
        <f t="shared" si="21"/>
        <v>0</v>
      </c>
      <c r="R372" s="67" t="str">
        <f t="shared" si="22"/>
        <v/>
      </c>
      <c r="S372" s="66" t="str">
        <f t="shared" si="23"/>
        <v/>
      </c>
    </row>
    <row r="373" spans="1:19" x14ac:dyDescent="0.25">
      <c r="A373" s="62"/>
      <c r="B373" s="63"/>
      <c r="C373" s="62"/>
      <c r="D373" s="62"/>
      <c r="E373" s="62"/>
      <c r="F373" s="62"/>
      <c r="G373" s="62"/>
      <c r="H373" s="63"/>
      <c r="I373" s="63"/>
      <c r="J373" s="63"/>
      <c r="K373" s="62"/>
      <c r="L373" s="62"/>
      <c r="M373" s="64" t="str">
        <f ca="1">IF($A373="","",IF($G373="Did not pass re-test","Sent back again",IF($G373="Yes",IF(AND(ISNUMBER($J373),ISNUMBER($B373)),"Fixed in "&amp;($J373-$B373)&amp;" d","Accepted"),IF(SUMPRODUCT(--(TRIM('Combined Delivery Data'!$B$2:$B$500)=TRIM($A373)))=0,"Not on main tab - renamed?",IF(NOT(ISNUMBER($B373)),"Missing or invalid sent-back date",IF($B373&gt;TODAY(),"Sent-back date is in future",IF(ISNUMBER($J373),IF($J373&lt;$B373,"Check dates - fixed before sent","Fixed in "&amp;($J373-$B373)&amp;" d"),IF(AND($I373&lt;&gt;"",NOT(ISNUMBER($I373))),"Check Expected Fix Date",IF($I373="","UNCLAIMED "&amp;(TODAY()-$B373)&amp;" d",IF(TODAY()&gt;$I373,(TODAY()-$I373)&amp;" d LATE","Open "&amp;(TODAY()-$B373)&amp;" d"))))))))))</f>
        <v/>
      </c>
      <c r="O373" s="66">
        <f>'Combined Delivery Data'!B372</f>
        <v>0</v>
      </c>
      <c r="P373" s="66">
        <f t="shared" si="20"/>
        <v>0</v>
      </c>
      <c r="Q373" s="66">
        <f t="shared" si="21"/>
        <v>0</v>
      </c>
      <c r="R373" s="67" t="str">
        <f t="shared" si="22"/>
        <v/>
      </c>
      <c r="S373" s="66" t="str">
        <f t="shared" si="23"/>
        <v/>
      </c>
    </row>
    <row r="374" spans="1:19" x14ac:dyDescent="0.25">
      <c r="A374" s="62"/>
      <c r="B374" s="63"/>
      <c r="C374" s="62"/>
      <c r="D374" s="62"/>
      <c r="E374" s="62"/>
      <c r="F374" s="62"/>
      <c r="G374" s="62"/>
      <c r="H374" s="63"/>
      <c r="I374" s="63"/>
      <c r="J374" s="63"/>
      <c r="K374" s="62"/>
      <c r="L374" s="62"/>
      <c r="M374" s="64" t="str">
        <f ca="1">IF($A374="","",IF($G374="Did not pass re-test","Sent back again",IF($G374="Yes",IF(AND(ISNUMBER($J374),ISNUMBER($B374)),"Fixed in "&amp;($J374-$B374)&amp;" d","Accepted"),IF(SUMPRODUCT(--(TRIM('Combined Delivery Data'!$B$2:$B$500)=TRIM($A374)))=0,"Not on main tab - renamed?",IF(NOT(ISNUMBER($B374)),"Missing or invalid sent-back date",IF($B374&gt;TODAY(),"Sent-back date is in future",IF(ISNUMBER($J374),IF($J374&lt;$B374,"Check dates - fixed before sent","Fixed in "&amp;($J374-$B374)&amp;" d"),IF(AND($I374&lt;&gt;"",NOT(ISNUMBER($I374))),"Check Expected Fix Date",IF($I374="","UNCLAIMED "&amp;(TODAY()-$B374)&amp;" d",IF(TODAY()&gt;$I374,(TODAY()-$I374)&amp;" d LATE","Open "&amp;(TODAY()-$B374)&amp;" d"))))))))))</f>
        <v/>
      </c>
      <c r="O374" s="66">
        <f>'Combined Delivery Data'!B373</f>
        <v>0</v>
      </c>
      <c r="P374" s="66">
        <f t="shared" si="20"/>
        <v>0</v>
      </c>
      <c r="Q374" s="66">
        <f t="shared" si="21"/>
        <v>0</v>
      </c>
      <c r="R374" s="67" t="str">
        <f t="shared" si="22"/>
        <v/>
      </c>
      <c r="S374" s="66" t="str">
        <f t="shared" si="23"/>
        <v/>
      </c>
    </row>
    <row r="375" spans="1:19" x14ac:dyDescent="0.25">
      <c r="A375" s="62"/>
      <c r="B375" s="63"/>
      <c r="C375" s="62"/>
      <c r="D375" s="62"/>
      <c r="E375" s="62"/>
      <c r="F375" s="62"/>
      <c r="G375" s="62"/>
      <c r="H375" s="63"/>
      <c r="I375" s="63"/>
      <c r="J375" s="63"/>
      <c r="K375" s="62"/>
      <c r="L375" s="62"/>
      <c r="M375" s="64" t="str">
        <f ca="1">IF($A375="","",IF($G375="Did not pass re-test","Sent back again",IF($G375="Yes",IF(AND(ISNUMBER($J375),ISNUMBER($B375)),"Fixed in "&amp;($J375-$B375)&amp;" d","Accepted"),IF(SUMPRODUCT(--(TRIM('Combined Delivery Data'!$B$2:$B$500)=TRIM($A375)))=0,"Not on main tab - renamed?",IF(NOT(ISNUMBER($B375)),"Missing or invalid sent-back date",IF($B375&gt;TODAY(),"Sent-back date is in future",IF(ISNUMBER($J375),IF($J375&lt;$B375,"Check dates - fixed before sent","Fixed in "&amp;($J375-$B375)&amp;" d"),IF(AND($I375&lt;&gt;"",NOT(ISNUMBER($I375))),"Check Expected Fix Date",IF($I375="","UNCLAIMED "&amp;(TODAY()-$B375)&amp;" d",IF(TODAY()&gt;$I375,(TODAY()-$I375)&amp;" d LATE","Open "&amp;(TODAY()-$B375)&amp;" d"))))))))))</f>
        <v/>
      </c>
      <c r="O375" s="66">
        <f>'Combined Delivery Data'!B374</f>
        <v>0</v>
      </c>
      <c r="P375" s="66">
        <f t="shared" si="20"/>
        <v>0</v>
      </c>
      <c r="Q375" s="66">
        <f t="shared" si="21"/>
        <v>0</v>
      </c>
      <c r="R375" s="67" t="str">
        <f t="shared" si="22"/>
        <v/>
      </c>
      <c r="S375" s="66" t="str">
        <f t="shared" si="23"/>
        <v/>
      </c>
    </row>
    <row r="376" spans="1:19" x14ac:dyDescent="0.25">
      <c r="A376" s="62"/>
      <c r="B376" s="63"/>
      <c r="C376" s="62"/>
      <c r="D376" s="62"/>
      <c r="E376" s="62"/>
      <c r="F376" s="62"/>
      <c r="G376" s="62"/>
      <c r="H376" s="63"/>
      <c r="I376" s="63"/>
      <c r="J376" s="63"/>
      <c r="K376" s="62"/>
      <c r="L376" s="62"/>
      <c r="M376" s="64" t="str">
        <f ca="1">IF($A376="","",IF($G376="Did not pass re-test","Sent back again",IF($G376="Yes",IF(AND(ISNUMBER($J376),ISNUMBER($B376)),"Fixed in "&amp;($J376-$B376)&amp;" d","Accepted"),IF(SUMPRODUCT(--(TRIM('Combined Delivery Data'!$B$2:$B$500)=TRIM($A376)))=0,"Not on main tab - renamed?",IF(NOT(ISNUMBER($B376)),"Missing or invalid sent-back date",IF($B376&gt;TODAY(),"Sent-back date is in future",IF(ISNUMBER($J376),IF($J376&lt;$B376,"Check dates - fixed before sent","Fixed in "&amp;($J376-$B376)&amp;" d"),IF(AND($I376&lt;&gt;"",NOT(ISNUMBER($I376))),"Check Expected Fix Date",IF($I376="","UNCLAIMED "&amp;(TODAY()-$B376)&amp;" d",IF(TODAY()&gt;$I376,(TODAY()-$I376)&amp;" d LATE","Open "&amp;(TODAY()-$B376)&amp;" d"))))))))))</f>
        <v/>
      </c>
      <c r="O376" s="66">
        <f>'Combined Delivery Data'!B375</f>
        <v>0</v>
      </c>
      <c r="P376" s="66">
        <f t="shared" si="20"/>
        <v>0</v>
      </c>
      <c r="Q376" s="66">
        <f t="shared" si="21"/>
        <v>0</v>
      </c>
      <c r="R376" s="67" t="str">
        <f t="shared" si="22"/>
        <v/>
      </c>
      <c r="S376" s="66" t="str">
        <f t="shared" si="23"/>
        <v/>
      </c>
    </row>
    <row r="377" spans="1:19" x14ac:dyDescent="0.25">
      <c r="A377" s="62"/>
      <c r="B377" s="63"/>
      <c r="C377" s="62"/>
      <c r="D377" s="62"/>
      <c r="E377" s="62"/>
      <c r="F377" s="62"/>
      <c r="G377" s="62"/>
      <c r="H377" s="63"/>
      <c r="I377" s="63"/>
      <c r="J377" s="63"/>
      <c r="K377" s="62"/>
      <c r="L377" s="62"/>
      <c r="M377" s="64" t="str">
        <f ca="1">IF($A377="","",IF($G377="Did not pass re-test","Sent back again",IF($G377="Yes",IF(AND(ISNUMBER($J377),ISNUMBER($B377)),"Fixed in "&amp;($J377-$B377)&amp;" d","Accepted"),IF(SUMPRODUCT(--(TRIM('Combined Delivery Data'!$B$2:$B$500)=TRIM($A377)))=0,"Not on main tab - renamed?",IF(NOT(ISNUMBER($B377)),"Missing or invalid sent-back date",IF($B377&gt;TODAY(),"Sent-back date is in future",IF(ISNUMBER($J377),IF($J377&lt;$B377,"Check dates - fixed before sent","Fixed in "&amp;($J377-$B377)&amp;" d"),IF(AND($I377&lt;&gt;"",NOT(ISNUMBER($I377))),"Check Expected Fix Date",IF($I377="","UNCLAIMED "&amp;(TODAY()-$B377)&amp;" d",IF(TODAY()&gt;$I377,(TODAY()-$I377)&amp;" d LATE","Open "&amp;(TODAY()-$B377)&amp;" d"))))))))))</f>
        <v/>
      </c>
      <c r="O377" s="66">
        <f>'Combined Delivery Data'!B376</f>
        <v>0</v>
      </c>
      <c r="P377" s="66">
        <f t="shared" si="20"/>
        <v>0</v>
      </c>
      <c r="Q377" s="66">
        <f t="shared" si="21"/>
        <v>0</v>
      </c>
      <c r="R377" s="67" t="str">
        <f t="shared" si="22"/>
        <v/>
      </c>
      <c r="S377" s="66" t="str">
        <f t="shared" si="23"/>
        <v/>
      </c>
    </row>
    <row r="378" spans="1:19" x14ac:dyDescent="0.25">
      <c r="A378" s="62"/>
      <c r="B378" s="63"/>
      <c r="C378" s="62"/>
      <c r="D378" s="62"/>
      <c r="E378" s="62"/>
      <c r="F378" s="62"/>
      <c r="G378" s="62"/>
      <c r="H378" s="63"/>
      <c r="I378" s="63"/>
      <c r="J378" s="63"/>
      <c r="K378" s="62"/>
      <c r="L378" s="62"/>
      <c r="M378" s="64" t="str">
        <f ca="1">IF($A378="","",IF($G378="Did not pass re-test","Sent back again",IF($G378="Yes",IF(AND(ISNUMBER($J378),ISNUMBER($B378)),"Fixed in "&amp;($J378-$B378)&amp;" d","Accepted"),IF(SUMPRODUCT(--(TRIM('Combined Delivery Data'!$B$2:$B$500)=TRIM($A378)))=0,"Not on main tab - renamed?",IF(NOT(ISNUMBER($B378)),"Missing or invalid sent-back date",IF($B378&gt;TODAY(),"Sent-back date is in future",IF(ISNUMBER($J378),IF($J378&lt;$B378,"Check dates - fixed before sent","Fixed in "&amp;($J378-$B378)&amp;" d"),IF(AND($I378&lt;&gt;"",NOT(ISNUMBER($I378))),"Check Expected Fix Date",IF($I378="","UNCLAIMED "&amp;(TODAY()-$B378)&amp;" d",IF(TODAY()&gt;$I378,(TODAY()-$I378)&amp;" d LATE","Open "&amp;(TODAY()-$B378)&amp;" d"))))))))))</f>
        <v/>
      </c>
      <c r="O378" s="66">
        <f>'Combined Delivery Data'!B377</f>
        <v>0</v>
      </c>
      <c r="P378" s="66">
        <f t="shared" si="20"/>
        <v>0</v>
      </c>
      <c r="Q378" s="66">
        <f t="shared" si="21"/>
        <v>0</v>
      </c>
      <c r="R378" s="67" t="str">
        <f t="shared" si="22"/>
        <v/>
      </c>
      <c r="S378" s="66" t="str">
        <f t="shared" si="23"/>
        <v/>
      </c>
    </row>
    <row r="379" spans="1:19" x14ac:dyDescent="0.25">
      <c r="A379" s="62"/>
      <c r="B379" s="63"/>
      <c r="C379" s="62"/>
      <c r="D379" s="62"/>
      <c r="E379" s="62"/>
      <c r="F379" s="62"/>
      <c r="G379" s="62"/>
      <c r="H379" s="63"/>
      <c r="I379" s="63"/>
      <c r="J379" s="63"/>
      <c r="K379" s="62"/>
      <c r="L379" s="62"/>
      <c r="M379" s="64" t="str">
        <f ca="1">IF($A379="","",IF($G379="Did not pass re-test","Sent back again",IF($G379="Yes",IF(AND(ISNUMBER($J379),ISNUMBER($B379)),"Fixed in "&amp;($J379-$B379)&amp;" d","Accepted"),IF(SUMPRODUCT(--(TRIM('Combined Delivery Data'!$B$2:$B$500)=TRIM($A379)))=0,"Not on main tab - renamed?",IF(NOT(ISNUMBER($B379)),"Missing or invalid sent-back date",IF($B379&gt;TODAY(),"Sent-back date is in future",IF(ISNUMBER($J379),IF($J379&lt;$B379,"Check dates - fixed before sent","Fixed in "&amp;($J379-$B379)&amp;" d"),IF(AND($I379&lt;&gt;"",NOT(ISNUMBER($I379))),"Check Expected Fix Date",IF($I379="","UNCLAIMED "&amp;(TODAY()-$B379)&amp;" d",IF(TODAY()&gt;$I379,(TODAY()-$I379)&amp;" d LATE","Open "&amp;(TODAY()-$B379)&amp;" d"))))))))))</f>
        <v/>
      </c>
      <c r="O379" s="66">
        <f>'Combined Delivery Data'!B378</f>
        <v>0</v>
      </c>
      <c r="P379" s="66">
        <f t="shared" si="20"/>
        <v>0</v>
      </c>
      <c r="Q379" s="66">
        <f t="shared" si="21"/>
        <v>0</v>
      </c>
      <c r="R379" s="67" t="str">
        <f t="shared" si="22"/>
        <v/>
      </c>
      <c r="S379" s="66" t="str">
        <f t="shared" si="23"/>
        <v/>
      </c>
    </row>
    <row r="380" spans="1:19" x14ac:dyDescent="0.25">
      <c r="A380" s="62"/>
      <c r="B380" s="63"/>
      <c r="C380" s="62"/>
      <c r="D380" s="62"/>
      <c r="E380" s="62"/>
      <c r="F380" s="62"/>
      <c r="G380" s="62"/>
      <c r="H380" s="63"/>
      <c r="I380" s="63"/>
      <c r="J380" s="63"/>
      <c r="K380" s="62"/>
      <c r="L380" s="62"/>
      <c r="M380" s="64" t="str">
        <f ca="1">IF($A380="","",IF($G380="Did not pass re-test","Sent back again",IF($G380="Yes",IF(AND(ISNUMBER($J380),ISNUMBER($B380)),"Fixed in "&amp;($J380-$B380)&amp;" d","Accepted"),IF(SUMPRODUCT(--(TRIM('Combined Delivery Data'!$B$2:$B$500)=TRIM($A380)))=0,"Not on main tab - renamed?",IF(NOT(ISNUMBER($B380)),"Missing or invalid sent-back date",IF($B380&gt;TODAY(),"Sent-back date is in future",IF(ISNUMBER($J380),IF($J380&lt;$B380,"Check dates - fixed before sent","Fixed in "&amp;($J380-$B380)&amp;" d"),IF(AND($I380&lt;&gt;"",NOT(ISNUMBER($I380))),"Check Expected Fix Date",IF($I380="","UNCLAIMED "&amp;(TODAY()-$B380)&amp;" d",IF(TODAY()&gt;$I380,(TODAY()-$I380)&amp;" d LATE","Open "&amp;(TODAY()-$B380)&amp;" d"))))))))))</f>
        <v/>
      </c>
      <c r="O380" s="66">
        <f>'Combined Delivery Data'!B379</f>
        <v>0</v>
      </c>
      <c r="P380" s="66">
        <f t="shared" si="20"/>
        <v>0</v>
      </c>
      <c r="Q380" s="66">
        <f t="shared" si="21"/>
        <v>0</v>
      </c>
      <c r="R380" s="67" t="str">
        <f t="shared" si="22"/>
        <v/>
      </c>
      <c r="S380" s="66" t="str">
        <f t="shared" si="23"/>
        <v/>
      </c>
    </row>
    <row r="381" spans="1:19" x14ac:dyDescent="0.25">
      <c r="A381" s="62"/>
      <c r="B381" s="63"/>
      <c r="C381" s="62"/>
      <c r="D381" s="62"/>
      <c r="E381" s="62"/>
      <c r="F381" s="62"/>
      <c r="G381" s="62"/>
      <c r="H381" s="63"/>
      <c r="I381" s="63"/>
      <c r="J381" s="63"/>
      <c r="K381" s="62"/>
      <c r="L381" s="62"/>
      <c r="M381" s="64" t="str">
        <f ca="1">IF($A381="","",IF($G381="Did not pass re-test","Sent back again",IF($G381="Yes",IF(AND(ISNUMBER($J381),ISNUMBER($B381)),"Fixed in "&amp;($J381-$B381)&amp;" d","Accepted"),IF(SUMPRODUCT(--(TRIM('Combined Delivery Data'!$B$2:$B$500)=TRIM($A381)))=0,"Not on main tab - renamed?",IF(NOT(ISNUMBER($B381)),"Missing or invalid sent-back date",IF($B381&gt;TODAY(),"Sent-back date is in future",IF(ISNUMBER($J381),IF($J381&lt;$B381,"Check dates - fixed before sent","Fixed in "&amp;($J381-$B381)&amp;" d"),IF(AND($I381&lt;&gt;"",NOT(ISNUMBER($I381))),"Check Expected Fix Date",IF($I381="","UNCLAIMED "&amp;(TODAY()-$B381)&amp;" d",IF(TODAY()&gt;$I381,(TODAY()-$I381)&amp;" d LATE","Open "&amp;(TODAY()-$B381)&amp;" d"))))))))))</f>
        <v/>
      </c>
      <c r="O381" s="66">
        <f>'Combined Delivery Data'!B380</f>
        <v>0</v>
      </c>
      <c r="P381" s="66">
        <f t="shared" si="20"/>
        <v>0</v>
      </c>
      <c r="Q381" s="66">
        <f t="shared" si="21"/>
        <v>0</v>
      </c>
      <c r="R381" s="67" t="str">
        <f t="shared" si="22"/>
        <v/>
      </c>
      <c r="S381" s="66" t="str">
        <f t="shared" si="23"/>
        <v/>
      </c>
    </row>
    <row r="382" spans="1:19" x14ac:dyDescent="0.25">
      <c r="A382" s="62"/>
      <c r="B382" s="63"/>
      <c r="C382" s="62"/>
      <c r="D382" s="62"/>
      <c r="E382" s="62"/>
      <c r="F382" s="62"/>
      <c r="G382" s="62"/>
      <c r="H382" s="63"/>
      <c r="I382" s="63"/>
      <c r="J382" s="63"/>
      <c r="K382" s="62"/>
      <c r="L382" s="62"/>
      <c r="M382" s="64" t="str">
        <f ca="1">IF($A382="","",IF($G382="Did not pass re-test","Sent back again",IF($G382="Yes",IF(AND(ISNUMBER($J382),ISNUMBER($B382)),"Fixed in "&amp;($J382-$B382)&amp;" d","Accepted"),IF(SUMPRODUCT(--(TRIM('Combined Delivery Data'!$B$2:$B$500)=TRIM($A382)))=0,"Not on main tab - renamed?",IF(NOT(ISNUMBER($B382)),"Missing or invalid sent-back date",IF($B382&gt;TODAY(),"Sent-back date is in future",IF(ISNUMBER($J382),IF($J382&lt;$B382,"Check dates - fixed before sent","Fixed in "&amp;($J382-$B382)&amp;" d"),IF(AND($I382&lt;&gt;"",NOT(ISNUMBER($I382))),"Check Expected Fix Date",IF($I382="","UNCLAIMED "&amp;(TODAY()-$B382)&amp;" d",IF(TODAY()&gt;$I382,(TODAY()-$I382)&amp;" d LATE","Open "&amp;(TODAY()-$B382)&amp;" d"))))))))))</f>
        <v/>
      </c>
      <c r="O382" s="66">
        <f>'Combined Delivery Data'!B381</f>
        <v>0</v>
      </c>
      <c r="P382" s="66">
        <f t="shared" si="20"/>
        <v>0</v>
      </c>
      <c r="Q382" s="66">
        <f t="shared" si="21"/>
        <v>0</v>
      </c>
      <c r="R382" s="67" t="str">
        <f t="shared" si="22"/>
        <v/>
      </c>
      <c r="S382" s="66" t="str">
        <f t="shared" si="23"/>
        <v/>
      </c>
    </row>
    <row r="383" spans="1:19" x14ac:dyDescent="0.25">
      <c r="A383" s="62"/>
      <c r="B383" s="63"/>
      <c r="C383" s="62"/>
      <c r="D383" s="62"/>
      <c r="E383" s="62"/>
      <c r="F383" s="62"/>
      <c r="G383" s="62"/>
      <c r="H383" s="63"/>
      <c r="I383" s="63"/>
      <c r="J383" s="63"/>
      <c r="K383" s="62"/>
      <c r="L383" s="62"/>
      <c r="M383" s="64" t="str">
        <f ca="1">IF($A383="","",IF($G383="Did not pass re-test","Sent back again",IF($G383="Yes",IF(AND(ISNUMBER($J383),ISNUMBER($B383)),"Fixed in "&amp;($J383-$B383)&amp;" d","Accepted"),IF(SUMPRODUCT(--(TRIM('Combined Delivery Data'!$B$2:$B$500)=TRIM($A383)))=0,"Not on main tab - renamed?",IF(NOT(ISNUMBER($B383)),"Missing or invalid sent-back date",IF($B383&gt;TODAY(),"Sent-back date is in future",IF(ISNUMBER($J383),IF($J383&lt;$B383,"Check dates - fixed before sent","Fixed in "&amp;($J383-$B383)&amp;" d"),IF(AND($I383&lt;&gt;"",NOT(ISNUMBER($I383))),"Check Expected Fix Date",IF($I383="","UNCLAIMED "&amp;(TODAY()-$B383)&amp;" d",IF(TODAY()&gt;$I383,(TODAY()-$I383)&amp;" d LATE","Open "&amp;(TODAY()-$B383)&amp;" d"))))))))))</f>
        <v/>
      </c>
      <c r="O383" s="66">
        <f>'Combined Delivery Data'!B382</f>
        <v>0</v>
      </c>
      <c r="P383" s="66">
        <f t="shared" si="20"/>
        <v>0</v>
      </c>
      <c r="Q383" s="66">
        <f t="shared" si="21"/>
        <v>0</v>
      </c>
      <c r="R383" s="67" t="str">
        <f t="shared" si="22"/>
        <v/>
      </c>
      <c r="S383" s="66" t="str">
        <f t="shared" si="23"/>
        <v/>
      </c>
    </row>
    <row r="384" spans="1:19" x14ac:dyDescent="0.25">
      <c r="A384" s="62"/>
      <c r="B384" s="63"/>
      <c r="C384" s="62"/>
      <c r="D384" s="62"/>
      <c r="E384" s="62"/>
      <c r="F384" s="62"/>
      <c r="G384" s="62"/>
      <c r="H384" s="63"/>
      <c r="I384" s="63"/>
      <c r="J384" s="63"/>
      <c r="K384" s="62"/>
      <c r="L384" s="62"/>
      <c r="M384" s="64" t="str">
        <f ca="1">IF($A384="","",IF($G384="Did not pass re-test","Sent back again",IF($G384="Yes",IF(AND(ISNUMBER($J384),ISNUMBER($B384)),"Fixed in "&amp;($J384-$B384)&amp;" d","Accepted"),IF(SUMPRODUCT(--(TRIM('Combined Delivery Data'!$B$2:$B$500)=TRIM($A384)))=0,"Not on main tab - renamed?",IF(NOT(ISNUMBER($B384)),"Missing or invalid sent-back date",IF($B384&gt;TODAY(),"Sent-back date is in future",IF(ISNUMBER($J384),IF($J384&lt;$B384,"Check dates - fixed before sent","Fixed in "&amp;($J384-$B384)&amp;" d"),IF(AND($I384&lt;&gt;"",NOT(ISNUMBER($I384))),"Check Expected Fix Date",IF($I384="","UNCLAIMED "&amp;(TODAY()-$B384)&amp;" d",IF(TODAY()&gt;$I384,(TODAY()-$I384)&amp;" d LATE","Open "&amp;(TODAY()-$B384)&amp;" d"))))))))))</f>
        <v/>
      </c>
      <c r="O384" s="66">
        <f>'Combined Delivery Data'!B383</f>
        <v>0</v>
      </c>
      <c r="P384" s="66">
        <f t="shared" si="20"/>
        <v>0</v>
      </c>
      <c r="Q384" s="66">
        <f t="shared" si="21"/>
        <v>0</v>
      </c>
      <c r="R384" s="67" t="str">
        <f t="shared" si="22"/>
        <v/>
      </c>
      <c r="S384" s="66" t="str">
        <f t="shared" si="23"/>
        <v/>
      </c>
    </row>
    <row r="385" spans="1:19" x14ac:dyDescent="0.25">
      <c r="A385" s="62"/>
      <c r="B385" s="63"/>
      <c r="C385" s="62"/>
      <c r="D385" s="62"/>
      <c r="E385" s="62"/>
      <c r="F385" s="62"/>
      <c r="G385" s="62"/>
      <c r="H385" s="63"/>
      <c r="I385" s="63"/>
      <c r="J385" s="63"/>
      <c r="K385" s="62"/>
      <c r="L385" s="62"/>
      <c r="M385" s="64" t="str">
        <f ca="1">IF($A385="","",IF($G385="Did not pass re-test","Sent back again",IF($G385="Yes",IF(AND(ISNUMBER($J385),ISNUMBER($B385)),"Fixed in "&amp;($J385-$B385)&amp;" d","Accepted"),IF(SUMPRODUCT(--(TRIM('Combined Delivery Data'!$B$2:$B$500)=TRIM($A385)))=0,"Not on main tab - renamed?",IF(NOT(ISNUMBER($B385)),"Missing or invalid sent-back date",IF($B385&gt;TODAY(),"Sent-back date is in future",IF(ISNUMBER($J385),IF($J385&lt;$B385,"Check dates - fixed before sent","Fixed in "&amp;($J385-$B385)&amp;" d"),IF(AND($I385&lt;&gt;"",NOT(ISNUMBER($I385))),"Check Expected Fix Date",IF($I385="","UNCLAIMED "&amp;(TODAY()-$B385)&amp;" d",IF(TODAY()&gt;$I385,(TODAY()-$I385)&amp;" d LATE","Open "&amp;(TODAY()-$B385)&amp;" d"))))))))))</f>
        <v/>
      </c>
      <c r="O385" s="66">
        <f>'Combined Delivery Data'!B384</f>
        <v>0</v>
      </c>
      <c r="P385" s="66">
        <f t="shared" si="20"/>
        <v>0</v>
      </c>
      <c r="Q385" s="66">
        <f t="shared" si="21"/>
        <v>0</v>
      </c>
      <c r="R385" s="67" t="str">
        <f t="shared" si="22"/>
        <v/>
      </c>
      <c r="S385" s="66" t="str">
        <f t="shared" si="23"/>
        <v/>
      </c>
    </row>
    <row r="386" spans="1:19" x14ac:dyDescent="0.25">
      <c r="A386" s="62"/>
      <c r="B386" s="63"/>
      <c r="C386" s="62"/>
      <c r="D386" s="62"/>
      <c r="E386" s="62"/>
      <c r="F386" s="62"/>
      <c r="G386" s="62"/>
      <c r="H386" s="63"/>
      <c r="I386" s="63"/>
      <c r="J386" s="63"/>
      <c r="K386" s="62"/>
      <c r="L386" s="62"/>
      <c r="M386" s="64" t="str">
        <f ca="1">IF($A386="","",IF($G386="Did not pass re-test","Sent back again",IF($G386="Yes",IF(AND(ISNUMBER($J386),ISNUMBER($B386)),"Fixed in "&amp;($J386-$B386)&amp;" d","Accepted"),IF(SUMPRODUCT(--(TRIM('Combined Delivery Data'!$B$2:$B$500)=TRIM($A386)))=0,"Not on main tab - renamed?",IF(NOT(ISNUMBER($B386)),"Missing or invalid sent-back date",IF($B386&gt;TODAY(),"Sent-back date is in future",IF(ISNUMBER($J386),IF($J386&lt;$B386,"Check dates - fixed before sent","Fixed in "&amp;($J386-$B386)&amp;" d"),IF(AND($I386&lt;&gt;"",NOT(ISNUMBER($I386))),"Check Expected Fix Date",IF($I386="","UNCLAIMED "&amp;(TODAY()-$B386)&amp;" d",IF(TODAY()&gt;$I386,(TODAY()-$I386)&amp;" d LATE","Open "&amp;(TODAY()-$B386)&amp;" d"))))))))))</f>
        <v/>
      </c>
      <c r="O386" s="66">
        <f>'Combined Delivery Data'!B385</f>
        <v>0</v>
      </c>
      <c r="P386" s="66">
        <f t="shared" si="20"/>
        <v>0</v>
      </c>
      <c r="Q386" s="66">
        <f t="shared" si="21"/>
        <v>0</v>
      </c>
      <c r="R386" s="67" t="str">
        <f t="shared" si="22"/>
        <v/>
      </c>
      <c r="S386" s="66" t="str">
        <f t="shared" si="23"/>
        <v/>
      </c>
    </row>
    <row r="387" spans="1:19" x14ac:dyDescent="0.25">
      <c r="A387" s="62"/>
      <c r="B387" s="63"/>
      <c r="C387" s="62"/>
      <c r="D387" s="62"/>
      <c r="E387" s="62"/>
      <c r="F387" s="62"/>
      <c r="G387" s="62"/>
      <c r="H387" s="63"/>
      <c r="I387" s="63"/>
      <c r="J387" s="63"/>
      <c r="K387" s="62"/>
      <c r="L387" s="62"/>
      <c r="M387" s="64" t="str">
        <f ca="1">IF($A387="","",IF($G387="Did not pass re-test","Sent back again",IF($G387="Yes",IF(AND(ISNUMBER($J387),ISNUMBER($B387)),"Fixed in "&amp;($J387-$B387)&amp;" d","Accepted"),IF(SUMPRODUCT(--(TRIM('Combined Delivery Data'!$B$2:$B$500)=TRIM($A387)))=0,"Not on main tab - renamed?",IF(NOT(ISNUMBER($B387)),"Missing or invalid sent-back date",IF($B387&gt;TODAY(),"Sent-back date is in future",IF(ISNUMBER($J387),IF($J387&lt;$B387,"Check dates - fixed before sent","Fixed in "&amp;($J387-$B387)&amp;" d"),IF(AND($I387&lt;&gt;"",NOT(ISNUMBER($I387))),"Check Expected Fix Date",IF($I387="","UNCLAIMED "&amp;(TODAY()-$B387)&amp;" d",IF(TODAY()&gt;$I387,(TODAY()-$I387)&amp;" d LATE","Open "&amp;(TODAY()-$B387)&amp;" d"))))))))))</f>
        <v/>
      </c>
      <c r="O387" s="66">
        <f>'Combined Delivery Data'!B386</f>
        <v>0</v>
      </c>
      <c r="P387" s="66">
        <f t="shared" ref="P387:P450" si="24">IF($O387="","",SUMPRODUCT(--(TRIM($A$3:$A$500)=TRIM($O387))))</f>
        <v>0</v>
      </c>
      <c r="Q387" s="66">
        <f t="shared" ref="Q387:Q450" si="25">IF($O387="","",SUMPRODUCT((TRIM($A$3:$A$500)=TRIM($O387))*($G$3:$G$500&lt;&gt;"Yes")*($G$3:$G$500&lt;&gt;"Did not pass re-test")))</f>
        <v>0</v>
      </c>
      <c r="R387" s="67" t="str">
        <f t="shared" ref="R387:R450" si="26">IF($O387="","",IF(SUMPRODUCT(MAX((TRIM($A$3:$A$500)=TRIM($O387))*ROW($A$3:$A$500)))=0,"",INDEX($B:$B,SUMPRODUCT(MAX((TRIM($A$3:$A$500)=TRIM($O387))*ROW($A$3:$A$500))))))</f>
        <v/>
      </c>
      <c r="S387" s="66" t="str">
        <f t="shared" ref="S387:S450" si="27">IF($O387="","",IF(SUMPRODUCT(MAX((TRIM($A$3:$A$500)=TRIM($O387))*ROW($A$3:$A$500)))=0,"",INDEX($C:$C,SUMPRODUCT(MAX((TRIM($A$3:$A$500)=TRIM($O387))*ROW($A$3:$A$500))))&amp;" -&gt; "&amp;INDEX($D:$D,SUMPRODUCT(MAX((TRIM($A$3:$A$500)=TRIM($O387))*ROW($A$3:$A$500))))))</f>
        <v/>
      </c>
    </row>
    <row r="388" spans="1:19" x14ac:dyDescent="0.25">
      <c r="A388" s="62"/>
      <c r="B388" s="63"/>
      <c r="C388" s="62"/>
      <c r="D388" s="62"/>
      <c r="E388" s="62"/>
      <c r="F388" s="62"/>
      <c r="G388" s="62"/>
      <c r="H388" s="63"/>
      <c r="I388" s="63"/>
      <c r="J388" s="63"/>
      <c r="K388" s="62"/>
      <c r="L388" s="62"/>
      <c r="M388" s="64" t="str">
        <f ca="1">IF($A388="","",IF($G388="Did not pass re-test","Sent back again",IF($G388="Yes",IF(AND(ISNUMBER($J388),ISNUMBER($B388)),"Fixed in "&amp;($J388-$B388)&amp;" d","Accepted"),IF(SUMPRODUCT(--(TRIM('Combined Delivery Data'!$B$2:$B$500)=TRIM($A388)))=0,"Not on main tab - renamed?",IF(NOT(ISNUMBER($B388)),"Missing or invalid sent-back date",IF($B388&gt;TODAY(),"Sent-back date is in future",IF(ISNUMBER($J388),IF($J388&lt;$B388,"Check dates - fixed before sent","Fixed in "&amp;($J388-$B388)&amp;" d"),IF(AND($I388&lt;&gt;"",NOT(ISNUMBER($I388))),"Check Expected Fix Date",IF($I388="","UNCLAIMED "&amp;(TODAY()-$B388)&amp;" d",IF(TODAY()&gt;$I388,(TODAY()-$I388)&amp;" d LATE","Open "&amp;(TODAY()-$B388)&amp;" d"))))))))))</f>
        <v/>
      </c>
      <c r="O388" s="66">
        <f>'Combined Delivery Data'!B387</f>
        <v>0</v>
      </c>
      <c r="P388" s="66">
        <f t="shared" si="24"/>
        <v>0</v>
      </c>
      <c r="Q388" s="66">
        <f t="shared" si="25"/>
        <v>0</v>
      </c>
      <c r="R388" s="67" t="str">
        <f t="shared" si="26"/>
        <v/>
      </c>
      <c r="S388" s="66" t="str">
        <f t="shared" si="27"/>
        <v/>
      </c>
    </row>
    <row r="389" spans="1:19" x14ac:dyDescent="0.25">
      <c r="A389" s="62"/>
      <c r="B389" s="63"/>
      <c r="C389" s="62"/>
      <c r="D389" s="62"/>
      <c r="E389" s="62"/>
      <c r="F389" s="62"/>
      <c r="G389" s="62"/>
      <c r="H389" s="63"/>
      <c r="I389" s="63"/>
      <c r="J389" s="63"/>
      <c r="K389" s="62"/>
      <c r="L389" s="62"/>
      <c r="M389" s="64" t="str">
        <f ca="1">IF($A389="","",IF($G389="Did not pass re-test","Sent back again",IF($G389="Yes",IF(AND(ISNUMBER($J389),ISNUMBER($B389)),"Fixed in "&amp;($J389-$B389)&amp;" d","Accepted"),IF(SUMPRODUCT(--(TRIM('Combined Delivery Data'!$B$2:$B$500)=TRIM($A389)))=0,"Not on main tab - renamed?",IF(NOT(ISNUMBER($B389)),"Missing or invalid sent-back date",IF($B389&gt;TODAY(),"Sent-back date is in future",IF(ISNUMBER($J389),IF($J389&lt;$B389,"Check dates - fixed before sent","Fixed in "&amp;($J389-$B389)&amp;" d"),IF(AND($I389&lt;&gt;"",NOT(ISNUMBER($I389))),"Check Expected Fix Date",IF($I389="","UNCLAIMED "&amp;(TODAY()-$B389)&amp;" d",IF(TODAY()&gt;$I389,(TODAY()-$I389)&amp;" d LATE","Open "&amp;(TODAY()-$B389)&amp;" d"))))))))))</f>
        <v/>
      </c>
      <c r="O389" s="66">
        <f>'Combined Delivery Data'!B388</f>
        <v>0</v>
      </c>
      <c r="P389" s="66">
        <f t="shared" si="24"/>
        <v>0</v>
      </c>
      <c r="Q389" s="66">
        <f t="shared" si="25"/>
        <v>0</v>
      </c>
      <c r="R389" s="67" t="str">
        <f t="shared" si="26"/>
        <v/>
      </c>
      <c r="S389" s="66" t="str">
        <f t="shared" si="27"/>
        <v/>
      </c>
    </row>
    <row r="390" spans="1:19" x14ac:dyDescent="0.25">
      <c r="A390" s="62"/>
      <c r="B390" s="63"/>
      <c r="C390" s="62"/>
      <c r="D390" s="62"/>
      <c r="E390" s="62"/>
      <c r="F390" s="62"/>
      <c r="G390" s="62"/>
      <c r="H390" s="63"/>
      <c r="I390" s="63"/>
      <c r="J390" s="63"/>
      <c r="K390" s="62"/>
      <c r="L390" s="62"/>
      <c r="M390" s="64" t="str">
        <f ca="1">IF($A390="","",IF($G390="Did not pass re-test","Sent back again",IF($G390="Yes",IF(AND(ISNUMBER($J390),ISNUMBER($B390)),"Fixed in "&amp;($J390-$B390)&amp;" d","Accepted"),IF(SUMPRODUCT(--(TRIM('Combined Delivery Data'!$B$2:$B$500)=TRIM($A390)))=0,"Not on main tab - renamed?",IF(NOT(ISNUMBER($B390)),"Missing or invalid sent-back date",IF($B390&gt;TODAY(),"Sent-back date is in future",IF(ISNUMBER($J390),IF($J390&lt;$B390,"Check dates - fixed before sent","Fixed in "&amp;($J390-$B390)&amp;" d"),IF(AND($I390&lt;&gt;"",NOT(ISNUMBER($I390))),"Check Expected Fix Date",IF($I390="","UNCLAIMED "&amp;(TODAY()-$B390)&amp;" d",IF(TODAY()&gt;$I390,(TODAY()-$I390)&amp;" d LATE","Open "&amp;(TODAY()-$B390)&amp;" d"))))))))))</f>
        <v/>
      </c>
      <c r="O390" s="66">
        <f>'Combined Delivery Data'!B389</f>
        <v>0</v>
      </c>
      <c r="P390" s="66">
        <f t="shared" si="24"/>
        <v>0</v>
      </c>
      <c r="Q390" s="66">
        <f t="shared" si="25"/>
        <v>0</v>
      </c>
      <c r="R390" s="67" t="str">
        <f t="shared" si="26"/>
        <v/>
      </c>
      <c r="S390" s="66" t="str">
        <f t="shared" si="27"/>
        <v/>
      </c>
    </row>
    <row r="391" spans="1:19" x14ac:dyDescent="0.25">
      <c r="A391" s="62"/>
      <c r="B391" s="63"/>
      <c r="C391" s="62"/>
      <c r="D391" s="62"/>
      <c r="E391" s="62"/>
      <c r="F391" s="62"/>
      <c r="G391" s="62"/>
      <c r="H391" s="63"/>
      <c r="I391" s="63"/>
      <c r="J391" s="63"/>
      <c r="K391" s="62"/>
      <c r="L391" s="62"/>
      <c r="M391" s="64" t="str">
        <f ca="1">IF($A391="","",IF($G391="Did not pass re-test","Sent back again",IF($G391="Yes",IF(AND(ISNUMBER($J391),ISNUMBER($B391)),"Fixed in "&amp;($J391-$B391)&amp;" d","Accepted"),IF(SUMPRODUCT(--(TRIM('Combined Delivery Data'!$B$2:$B$500)=TRIM($A391)))=0,"Not on main tab - renamed?",IF(NOT(ISNUMBER($B391)),"Missing or invalid sent-back date",IF($B391&gt;TODAY(),"Sent-back date is in future",IF(ISNUMBER($J391),IF($J391&lt;$B391,"Check dates - fixed before sent","Fixed in "&amp;($J391-$B391)&amp;" d"),IF(AND($I391&lt;&gt;"",NOT(ISNUMBER($I391))),"Check Expected Fix Date",IF($I391="","UNCLAIMED "&amp;(TODAY()-$B391)&amp;" d",IF(TODAY()&gt;$I391,(TODAY()-$I391)&amp;" d LATE","Open "&amp;(TODAY()-$B391)&amp;" d"))))))))))</f>
        <v/>
      </c>
      <c r="O391" s="66">
        <f>'Combined Delivery Data'!B390</f>
        <v>0</v>
      </c>
      <c r="P391" s="66">
        <f t="shared" si="24"/>
        <v>0</v>
      </c>
      <c r="Q391" s="66">
        <f t="shared" si="25"/>
        <v>0</v>
      </c>
      <c r="R391" s="67" t="str">
        <f t="shared" si="26"/>
        <v/>
      </c>
      <c r="S391" s="66" t="str">
        <f t="shared" si="27"/>
        <v/>
      </c>
    </row>
    <row r="392" spans="1:19" x14ac:dyDescent="0.25">
      <c r="A392" s="62"/>
      <c r="B392" s="63"/>
      <c r="C392" s="62"/>
      <c r="D392" s="62"/>
      <c r="E392" s="62"/>
      <c r="F392" s="62"/>
      <c r="G392" s="62"/>
      <c r="H392" s="63"/>
      <c r="I392" s="63"/>
      <c r="J392" s="63"/>
      <c r="K392" s="62"/>
      <c r="L392" s="62"/>
      <c r="M392" s="64" t="str">
        <f ca="1">IF($A392="","",IF($G392="Did not pass re-test","Sent back again",IF($G392="Yes",IF(AND(ISNUMBER($J392),ISNUMBER($B392)),"Fixed in "&amp;($J392-$B392)&amp;" d","Accepted"),IF(SUMPRODUCT(--(TRIM('Combined Delivery Data'!$B$2:$B$500)=TRIM($A392)))=0,"Not on main tab - renamed?",IF(NOT(ISNUMBER($B392)),"Missing or invalid sent-back date",IF($B392&gt;TODAY(),"Sent-back date is in future",IF(ISNUMBER($J392),IF($J392&lt;$B392,"Check dates - fixed before sent","Fixed in "&amp;($J392-$B392)&amp;" d"),IF(AND($I392&lt;&gt;"",NOT(ISNUMBER($I392))),"Check Expected Fix Date",IF($I392="","UNCLAIMED "&amp;(TODAY()-$B392)&amp;" d",IF(TODAY()&gt;$I392,(TODAY()-$I392)&amp;" d LATE","Open "&amp;(TODAY()-$B392)&amp;" d"))))))))))</f>
        <v/>
      </c>
      <c r="O392" s="66">
        <f>'Combined Delivery Data'!B391</f>
        <v>0</v>
      </c>
      <c r="P392" s="66">
        <f t="shared" si="24"/>
        <v>0</v>
      </c>
      <c r="Q392" s="66">
        <f t="shared" si="25"/>
        <v>0</v>
      </c>
      <c r="R392" s="67" t="str">
        <f t="shared" si="26"/>
        <v/>
      </c>
      <c r="S392" s="66" t="str">
        <f t="shared" si="27"/>
        <v/>
      </c>
    </row>
    <row r="393" spans="1:19" x14ac:dyDescent="0.25">
      <c r="A393" s="62"/>
      <c r="B393" s="63"/>
      <c r="C393" s="62"/>
      <c r="D393" s="62"/>
      <c r="E393" s="62"/>
      <c r="F393" s="62"/>
      <c r="G393" s="62"/>
      <c r="H393" s="63"/>
      <c r="I393" s="63"/>
      <c r="J393" s="63"/>
      <c r="K393" s="62"/>
      <c r="L393" s="62"/>
      <c r="M393" s="64" t="str">
        <f ca="1">IF($A393="","",IF($G393="Did not pass re-test","Sent back again",IF($G393="Yes",IF(AND(ISNUMBER($J393),ISNUMBER($B393)),"Fixed in "&amp;($J393-$B393)&amp;" d","Accepted"),IF(SUMPRODUCT(--(TRIM('Combined Delivery Data'!$B$2:$B$500)=TRIM($A393)))=0,"Not on main tab - renamed?",IF(NOT(ISNUMBER($B393)),"Missing or invalid sent-back date",IF($B393&gt;TODAY(),"Sent-back date is in future",IF(ISNUMBER($J393),IF($J393&lt;$B393,"Check dates - fixed before sent","Fixed in "&amp;($J393-$B393)&amp;" d"),IF(AND($I393&lt;&gt;"",NOT(ISNUMBER($I393))),"Check Expected Fix Date",IF($I393="","UNCLAIMED "&amp;(TODAY()-$B393)&amp;" d",IF(TODAY()&gt;$I393,(TODAY()-$I393)&amp;" d LATE","Open "&amp;(TODAY()-$B393)&amp;" d"))))))))))</f>
        <v/>
      </c>
      <c r="O393" s="66">
        <f>'Combined Delivery Data'!B392</f>
        <v>0</v>
      </c>
      <c r="P393" s="66">
        <f t="shared" si="24"/>
        <v>0</v>
      </c>
      <c r="Q393" s="66">
        <f t="shared" si="25"/>
        <v>0</v>
      </c>
      <c r="R393" s="67" t="str">
        <f t="shared" si="26"/>
        <v/>
      </c>
      <c r="S393" s="66" t="str">
        <f t="shared" si="27"/>
        <v/>
      </c>
    </row>
    <row r="394" spans="1:19" x14ac:dyDescent="0.25">
      <c r="A394" s="62"/>
      <c r="B394" s="63"/>
      <c r="C394" s="62"/>
      <c r="D394" s="62"/>
      <c r="E394" s="62"/>
      <c r="F394" s="62"/>
      <c r="G394" s="62"/>
      <c r="H394" s="63"/>
      <c r="I394" s="63"/>
      <c r="J394" s="63"/>
      <c r="K394" s="62"/>
      <c r="L394" s="62"/>
      <c r="M394" s="64" t="str">
        <f ca="1">IF($A394="","",IF($G394="Did not pass re-test","Sent back again",IF($G394="Yes",IF(AND(ISNUMBER($J394),ISNUMBER($B394)),"Fixed in "&amp;($J394-$B394)&amp;" d","Accepted"),IF(SUMPRODUCT(--(TRIM('Combined Delivery Data'!$B$2:$B$500)=TRIM($A394)))=0,"Not on main tab - renamed?",IF(NOT(ISNUMBER($B394)),"Missing or invalid sent-back date",IF($B394&gt;TODAY(),"Sent-back date is in future",IF(ISNUMBER($J394),IF($J394&lt;$B394,"Check dates - fixed before sent","Fixed in "&amp;($J394-$B394)&amp;" d"),IF(AND($I394&lt;&gt;"",NOT(ISNUMBER($I394))),"Check Expected Fix Date",IF($I394="","UNCLAIMED "&amp;(TODAY()-$B394)&amp;" d",IF(TODAY()&gt;$I394,(TODAY()-$I394)&amp;" d LATE","Open "&amp;(TODAY()-$B394)&amp;" d"))))))))))</f>
        <v/>
      </c>
      <c r="O394" s="66">
        <f>'Combined Delivery Data'!B393</f>
        <v>0</v>
      </c>
      <c r="P394" s="66">
        <f t="shared" si="24"/>
        <v>0</v>
      </c>
      <c r="Q394" s="66">
        <f t="shared" si="25"/>
        <v>0</v>
      </c>
      <c r="R394" s="67" t="str">
        <f t="shared" si="26"/>
        <v/>
      </c>
      <c r="S394" s="66" t="str">
        <f t="shared" si="27"/>
        <v/>
      </c>
    </row>
    <row r="395" spans="1:19" x14ac:dyDescent="0.25">
      <c r="A395" s="62"/>
      <c r="B395" s="63"/>
      <c r="C395" s="62"/>
      <c r="D395" s="62"/>
      <c r="E395" s="62"/>
      <c r="F395" s="62"/>
      <c r="G395" s="62"/>
      <c r="H395" s="63"/>
      <c r="I395" s="63"/>
      <c r="J395" s="63"/>
      <c r="K395" s="62"/>
      <c r="L395" s="62"/>
      <c r="M395" s="64" t="str">
        <f ca="1">IF($A395="","",IF($G395="Did not pass re-test","Sent back again",IF($G395="Yes",IF(AND(ISNUMBER($J395),ISNUMBER($B395)),"Fixed in "&amp;($J395-$B395)&amp;" d","Accepted"),IF(SUMPRODUCT(--(TRIM('Combined Delivery Data'!$B$2:$B$500)=TRIM($A395)))=0,"Not on main tab - renamed?",IF(NOT(ISNUMBER($B395)),"Missing or invalid sent-back date",IF($B395&gt;TODAY(),"Sent-back date is in future",IF(ISNUMBER($J395),IF($J395&lt;$B395,"Check dates - fixed before sent","Fixed in "&amp;($J395-$B395)&amp;" d"),IF(AND($I395&lt;&gt;"",NOT(ISNUMBER($I395))),"Check Expected Fix Date",IF($I395="","UNCLAIMED "&amp;(TODAY()-$B395)&amp;" d",IF(TODAY()&gt;$I395,(TODAY()-$I395)&amp;" d LATE","Open "&amp;(TODAY()-$B395)&amp;" d"))))))))))</f>
        <v/>
      </c>
      <c r="O395" s="66">
        <f>'Combined Delivery Data'!B394</f>
        <v>0</v>
      </c>
      <c r="P395" s="66">
        <f t="shared" si="24"/>
        <v>0</v>
      </c>
      <c r="Q395" s="66">
        <f t="shared" si="25"/>
        <v>0</v>
      </c>
      <c r="R395" s="67" t="str">
        <f t="shared" si="26"/>
        <v/>
      </c>
      <c r="S395" s="66" t="str">
        <f t="shared" si="27"/>
        <v/>
      </c>
    </row>
    <row r="396" spans="1:19" x14ac:dyDescent="0.25">
      <c r="A396" s="62"/>
      <c r="B396" s="63"/>
      <c r="C396" s="62"/>
      <c r="D396" s="62"/>
      <c r="E396" s="62"/>
      <c r="F396" s="62"/>
      <c r="G396" s="62"/>
      <c r="H396" s="63"/>
      <c r="I396" s="63"/>
      <c r="J396" s="63"/>
      <c r="K396" s="62"/>
      <c r="L396" s="62"/>
      <c r="M396" s="64" t="str">
        <f ca="1">IF($A396="","",IF($G396="Did not pass re-test","Sent back again",IF($G396="Yes",IF(AND(ISNUMBER($J396),ISNUMBER($B396)),"Fixed in "&amp;($J396-$B396)&amp;" d","Accepted"),IF(SUMPRODUCT(--(TRIM('Combined Delivery Data'!$B$2:$B$500)=TRIM($A396)))=0,"Not on main tab - renamed?",IF(NOT(ISNUMBER($B396)),"Missing or invalid sent-back date",IF($B396&gt;TODAY(),"Sent-back date is in future",IF(ISNUMBER($J396),IF($J396&lt;$B396,"Check dates - fixed before sent","Fixed in "&amp;($J396-$B396)&amp;" d"),IF(AND($I396&lt;&gt;"",NOT(ISNUMBER($I396))),"Check Expected Fix Date",IF($I396="","UNCLAIMED "&amp;(TODAY()-$B396)&amp;" d",IF(TODAY()&gt;$I396,(TODAY()-$I396)&amp;" d LATE","Open "&amp;(TODAY()-$B396)&amp;" d"))))))))))</f>
        <v/>
      </c>
      <c r="O396" s="66">
        <f>'Combined Delivery Data'!B395</f>
        <v>0</v>
      </c>
      <c r="P396" s="66">
        <f t="shared" si="24"/>
        <v>0</v>
      </c>
      <c r="Q396" s="66">
        <f t="shared" si="25"/>
        <v>0</v>
      </c>
      <c r="R396" s="67" t="str">
        <f t="shared" si="26"/>
        <v/>
      </c>
      <c r="S396" s="66" t="str">
        <f t="shared" si="27"/>
        <v/>
      </c>
    </row>
    <row r="397" spans="1:19" x14ac:dyDescent="0.25">
      <c r="A397" s="62"/>
      <c r="B397" s="63"/>
      <c r="C397" s="62"/>
      <c r="D397" s="62"/>
      <c r="E397" s="62"/>
      <c r="F397" s="62"/>
      <c r="G397" s="62"/>
      <c r="H397" s="63"/>
      <c r="I397" s="63"/>
      <c r="J397" s="63"/>
      <c r="K397" s="62"/>
      <c r="L397" s="62"/>
      <c r="M397" s="64" t="str">
        <f ca="1">IF($A397="","",IF($G397="Did not pass re-test","Sent back again",IF($G397="Yes",IF(AND(ISNUMBER($J397),ISNUMBER($B397)),"Fixed in "&amp;($J397-$B397)&amp;" d","Accepted"),IF(SUMPRODUCT(--(TRIM('Combined Delivery Data'!$B$2:$B$500)=TRIM($A397)))=0,"Not on main tab - renamed?",IF(NOT(ISNUMBER($B397)),"Missing or invalid sent-back date",IF($B397&gt;TODAY(),"Sent-back date is in future",IF(ISNUMBER($J397),IF($J397&lt;$B397,"Check dates - fixed before sent","Fixed in "&amp;($J397-$B397)&amp;" d"),IF(AND($I397&lt;&gt;"",NOT(ISNUMBER($I397))),"Check Expected Fix Date",IF($I397="","UNCLAIMED "&amp;(TODAY()-$B397)&amp;" d",IF(TODAY()&gt;$I397,(TODAY()-$I397)&amp;" d LATE","Open "&amp;(TODAY()-$B397)&amp;" d"))))))))))</f>
        <v/>
      </c>
      <c r="O397" s="66">
        <f>'Combined Delivery Data'!B396</f>
        <v>0</v>
      </c>
      <c r="P397" s="66">
        <f t="shared" si="24"/>
        <v>0</v>
      </c>
      <c r="Q397" s="66">
        <f t="shared" si="25"/>
        <v>0</v>
      </c>
      <c r="R397" s="67" t="str">
        <f t="shared" si="26"/>
        <v/>
      </c>
      <c r="S397" s="66" t="str">
        <f t="shared" si="27"/>
        <v/>
      </c>
    </row>
    <row r="398" spans="1:19" x14ac:dyDescent="0.25">
      <c r="A398" s="62"/>
      <c r="B398" s="63"/>
      <c r="C398" s="62"/>
      <c r="D398" s="62"/>
      <c r="E398" s="62"/>
      <c r="F398" s="62"/>
      <c r="G398" s="62"/>
      <c r="H398" s="63"/>
      <c r="I398" s="63"/>
      <c r="J398" s="63"/>
      <c r="K398" s="62"/>
      <c r="L398" s="62"/>
      <c r="M398" s="64" t="str">
        <f ca="1">IF($A398="","",IF($G398="Did not pass re-test","Sent back again",IF($G398="Yes",IF(AND(ISNUMBER($J398),ISNUMBER($B398)),"Fixed in "&amp;($J398-$B398)&amp;" d","Accepted"),IF(SUMPRODUCT(--(TRIM('Combined Delivery Data'!$B$2:$B$500)=TRIM($A398)))=0,"Not on main tab - renamed?",IF(NOT(ISNUMBER($B398)),"Missing or invalid sent-back date",IF($B398&gt;TODAY(),"Sent-back date is in future",IF(ISNUMBER($J398),IF($J398&lt;$B398,"Check dates - fixed before sent","Fixed in "&amp;($J398-$B398)&amp;" d"),IF(AND($I398&lt;&gt;"",NOT(ISNUMBER($I398))),"Check Expected Fix Date",IF($I398="","UNCLAIMED "&amp;(TODAY()-$B398)&amp;" d",IF(TODAY()&gt;$I398,(TODAY()-$I398)&amp;" d LATE","Open "&amp;(TODAY()-$B398)&amp;" d"))))))))))</f>
        <v/>
      </c>
      <c r="O398" s="66">
        <f>'Combined Delivery Data'!B397</f>
        <v>0</v>
      </c>
      <c r="P398" s="66">
        <f t="shared" si="24"/>
        <v>0</v>
      </c>
      <c r="Q398" s="66">
        <f t="shared" si="25"/>
        <v>0</v>
      </c>
      <c r="R398" s="67" t="str">
        <f t="shared" si="26"/>
        <v/>
      </c>
      <c r="S398" s="66" t="str">
        <f t="shared" si="27"/>
        <v/>
      </c>
    </row>
    <row r="399" spans="1:19" x14ac:dyDescent="0.25">
      <c r="A399" s="62"/>
      <c r="B399" s="63"/>
      <c r="C399" s="62"/>
      <c r="D399" s="62"/>
      <c r="E399" s="62"/>
      <c r="F399" s="62"/>
      <c r="G399" s="62"/>
      <c r="H399" s="63"/>
      <c r="I399" s="63"/>
      <c r="J399" s="63"/>
      <c r="K399" s="62"/>
      <c r="L399" s="62"/>
      <c r="M399" s="64" t="str">
        <f ca="1">IF($A399="","",IF($G399="Did not pass re-test","Sent back again",IF($G399="Yes",IF(AND(ISNUMBER($J399),ISNUMBER($B399)),"Fixed in "&amp;($J399-$B399)&amp;" d","Accepted"),IF(SUMPRODUCT(--(TRIM('Combined Delivery Data'!$B$2:$B$500)=TRIM($A399)))=0,"Not on main tab - renamed?",IF(NOT(ISNUMBER($B399)),"Missing or invalid sent-back date",IF($B399&gt;TODAY(),"Sent-back date is in future",IF(ISNUMBER($J399),IF($J399&lt;$B399,"Check dates - fixed before sent","Fixed in "&amp;($J399-$B399)&amp;" d"),IF(AND($I399&lt;&gt;"",NOT(ISNUMBER($I399))),"Check Expected Fix Date",IF($I399="","UNCLAIMED "&amp;(TODAY()-$B399)&amp;" d",IF(TODAY()&gt;$I399,(TODAY()-$I399)&amp;" d LATE","Open "&amp;(TODAY()-$B399)&amp;" d"))))))))))</f>
        <v/>
      </c>
      <c r="O399" s="66">
        <f>'Combined Delivery Data'!B398</f>
        <v>0</v>
      </c>
      <c r="P399" s="66">
        <f t="shared" si="24"/>
        <v>0</v>
      </c>
      <c r="Q399" s="66">
        <f t="shared" si="25"/>
        <v>0</v>
      </c>
      <c r="R399" s="67" t="str">
        <f t="shared" si="26"/>
        <v/>
      </c>
      <c r="S399" s="66" t="str">
        <f t="shared" si="27"/>
        <v/>
      </c>
    </row>
    <row r="400" spans="1:19" x14ac:dyDescent="0.25">
      <c r="A400" s="62"/>
      <c r="B400" s="63"/>
      <c r="C400" s="62"/>
      <c r="D400" s="62"/>
      <c r="E400" s="62"/>
      <c r="F400" s="62"/>
      <c r="G400" s="62"/>
      <c r="H400" s="63"/>
      <c r="I400" s="63"/>
      <c r="J400" s="63"/>
      <c r="K400" s="62"/>
      <c r="L400" s="62"/>
      <c r="M400" s="64" t="str">
        <f ca="1">IF($A400="","",IF($G400="Did not pass re-test","Sent back again",IF($G400="Yes",IF(AND(ISNUMBER($J400),ISNUMBER($B400)),"Fixed in "&amp;($J400-$B400)&amp;" d","Accepted"),IF(SUMPRODUCT(--(TRIM('Combined Delivery Data'!$B$2:$B$500)=TRIM($A400)))=0,"Not on main tab - renamed?",IF(NOT(ISNUMBER($B400)),"Missing or invalid sent-back date",IF($B400&gt;TODAY(),"Sent-back date is in future",IF(ISNUMBER($J400),IF($J400&lt;$B400,"Check dates - fixed before sent","Fixed in "&amp;($J400-$B400)&amp;" d"),IF(AND($I400&lt;&gt;"",NOT(ISNUMBER($I400))),"Check Expected Fix Date",IF($I400="","UNCLAIMED "&amp;(TODAY()-$B400)&amp;" d",IF(TODAY()&gt;$I400,(TODAY()-$I400)&amp;" d LATE","Open "&amp;(TODAY()-$B400)&amp;" d"))))))))))</f>
        <v/>
      </c>
      <c r="O400" s="66">
        <f>'Combined Delivery Data'!B399</f>
        <v>0</v>
      </c>
      <c r="P400" s="66">
        <f t="shared" si="24"/>
        <v>0</v>
      </c>
      <c r="Q400" s="66">
        <f t="shared" si="25"/>
        <v>0</v>
      </c>
      <c r="R400" s="67" t="str">
        <f t="shared" si="26"/>
        <v/>
      </c>
      <c r="S400" s="66" t="str">
        <f t="shared" si="27"/>
        <v/>
      </c>
    </row>
    <row r="401" spans="1:19" x14ac:dyDescent="0.25">
      <c r="A401" s="62"/>
      <c r="B401" s="63"/>
      <c r="C401" s="62"/>
      <c r="D401" s="62"/>
      <c r="E401" s="62"/>
      <c r="F401" s="62"/>
      <c r="G401" s="62"/>
      <c r="H401" s="63"/>
      <c r="I401" s="63"/>
      <c r="J401" s="63"/>
      <c r="K401" s="62"/>
      <c r="L401" s="62"/>
      <c r="M401" s="64" t="str">
        <f ca="1">IF($A401="","",IF($G401="Did not pass re-test","Sent back again",IF($G401="Yes",IF(AND(ISNUMBER($J401),ISNUMBER($B401)),"Fixed in "&amp;($J401-$B401)&amp;" d","Accepted"),IF(SUMPRODUCT(--(TRIM('Combined Delivery Data'!$B$2:$B$500)=TRIM($A401)))=0,"Not on main tab - renamed?",IF(NOT(ISNUMBER($B401)),"Missing or invalid sent-back date",IF($B401&gt;TODAY(),"Sent-back date is in future",IF(ISNUMBER($J401),IF($J401&lt;$B401,"Check dates - fixed before sent","Fixed in "&amp;($J401-$B401)&amp;" d"),IF(AND($I401&lt;&gt;"",NOT(ISNUMBER($I401))),"Check Expected Fix Date",IF($I401="","UNCLAIMED "&amp;(TODAY()-$B401)&amp;" d",IF(TODAY()&gt;$I401,(TODAY()-$I401)&amp;" d LATE","Open "&amp;(TODAY()-$B401)&amp;" d"))))))))))</f>
        <v/>
      </c>
      <c r="O401" s="66">
        <f>'Combined Delivery Data'!B400</f>
        <v>0</v>
      </c>
      <c r="P401" s="66">
        <f t="shared" si="24"/>
        <v>0</v>
      </c>
      <c r="Q401" s="66">
        <f t="shared" si="25"/>
        <v>0</v>
      </c>
      <c r="R401" s="67" t="str">
        <f t="shared" si="26"/>
        <v/>
      </c>
      <c r="S401" s="66" t="str">
        <f t="shared" si="27"/>
        <v/>
      </c>
    </row>
    <row r="402" spans="1:19" x14ac:dyDescent="0.25">
      <c r="A402" s="62"/>
      <c r="B402" s="63"/>
      <c r="C402" s="62"/>
      <c r="D402" s="62"/>
      <c r="E402" s="62"/>
      <c r="F402" s="62"/>
      <c r="G402" s="62"/>
      <c r="H402" s="63"/>
      <c r="I402" s="63"/>
      <c r="J402" s="63"/>
      <c r="K402" s="62"/>
      <c r="L402" s="62"/>
      <c r="M402" s="64" t="str">
        <f ca="1">IF($A402="","",IF($G402="Did not pass re-test","Sent back again",IF($G402="Yes",IF(AND(ISNUMBER($J402),ISNUMBER($B402)),"Fixed in "&amp;($J402-$B402)&amp;" d","Accepted"),IF(SUMPRODUCT(--(TRIM('Combined Delivery Data'!$B$2:$B$500)=TRIM($A402)))=0,"Not on main tab - renamed?",IF(NOT(ISNUMBER($B402)),"Missing or invalid sent-back date",IF($B402&gt;TODAY(),"Sent-back date is in future",IF(ISNUMBER($J402),IF($J402&lt;$B402,"Check dates - fixed before sent","Fixed in "&amp;($J402-$B402)&amp;" d"),IF(AND($I402&lt;&gt;"",NOT(ISNUMBER($I402))),"Check Expected Fix Date",IF($I402="","UNCLAIMED "&amp;(TODAY()-$B402)&amp;" d",IF(TODAY()&gt;$I402,(TODAY()-$I402)&amp;" d LATE","Open "&amp;(TODAY()-$B402)&amp;" d"))))))))))</f>
        <v/>
      </c>
      <c r="O402" s="66">
        <f>'Combined Delivery Data'!B401</f>
        <v>0</v>
      </c>
      <c r="P402" s="66">
        <f t="shared" si="24"/>
        <v>0</v>
      </c>
      <c r="Q402" s="66">
        <f t="shared" si="25"/>
        <v>0</v>
      </c>
      <c r="R402" s="67" t="str">
        <f t="shared" si="26"/>
        <v/>
      </c>
      <c r="S402" s="66" t="str">
        <f t="shared" si="27"/>
        <v/>
      </c>
    </row>
    <row r="403" spans="1:19" x14ac:dyDescent="0.25">
      <c r="A403" s="62"/>
      <c r="B403" s="63"/>
      <c r="C403" s="62"/>
      <c r="D403" s="62"/>
      <c r="E403" s="62"/>
      <c r="F403" s="62"/>
      <c r="G403" s="62"/>
      <c r="H403" s="63"/>
      <c r="I403" s="63"/>
      <c r="J403" s="63"/>
      <c r="K403" s="62"/>
      <c r="L403" s="62"/>
      <c r="M403" s="64" t="str">
        <f ca="1">IF($A403="","",IF($G403="Did not pass re-test","Sent back again",IF($G403="Yes",IF(AND(ISNUMBER($J403),ISNUMBER($B403)),"Fixed in "&amp;($J403-$B403)&amp;" d","Accepted"),IF(SUMPRODUCT(--(TRIM('Combined Delivery Data'!$B$2:$B$500)=TRIM($A403)))=0,"Not on main tab - renamed?",IF(NOT(ISNUMBER($B403)),"Missing or invalid sent-back date",IF($B403&gt;TODAY(),"Sent-back date is in future",IF(ISNUMBER($J403),IF($J403&lt;$B403,"Check dates - fixed before sent","Fixed in "&amp;($J403-$B403)&amp;" d"),IF(AND($I403&lt;&gt;"",NOT(ISNUMBER($I403))),"Check Expected Fix Date",IF($I403="","UNCLAIMED "&amp;(TODAY()-$B403)&amp;" d",IF(TODAY()&gt;$I403,(TODAY()-$I403)&amp;" d LATE","Open "&amp;(TODAY()-$B403)&amp;" d"))))))))))</f>
        <v/>
      </c>
      <c r="O403" s="66">
        <f>'Combined Delivery Data'!B402</f>
        <v>0</v>
      </c>
      <c r="P403" s="66">
        <f t="shared" si="24"/>
        <v>0</v>
      </c>
      <c r="Q403" s="66">
        <f t="shared" si="25"/>
        <v>0</v>
      </c>
      <c r="R403" s="67" t="str">
        <f t="shared" si="26"/>
        <v/>
      </c>
      <c r="S403" s="66" t="str">
        <f t="shared" si="27"/>
        <v/>
      </c>
    </row>
    <row r="404" spans="1:19" x14ac:dyDescent="0.25">
      <c r="A404" s="62"/>
      <c r="B404" s="63"/>
      <c r="C404" s="62"/>
      <c r="D404" s="62"/>
      <c r="E404" s="62"/>
      <c r="F404" s="62"/>
      <c r="G404" s="62"/>
      <c r="H404" s="63"/>
      <c r="I404" s="63"/>
      <c r="J404" s="63"/>
      <c r="K404" s="62"/>
      <c r="L404" s="62"/>
      <c r="M404" s="64" t="str">
        <f ca="1">IF($A404="","",IF($G404="Did not pass re-test","Sent back again",IF($G404="Yes",IF(AND(ISNUMBER($J404),ISNUMBER($B404)),"Fixed in "&amp;($J404-$B404)&amp;" d","Accepted"),IF(SUMPRODUCT(--(TRIM('Combined Delivery Data'!$B$2:$B$500)=TRIM($A404)))=0,"Not on main tab - renamed?",IF(NOT(ISNUMBER($B404)),"Missing or invalid sent-back date",IF($B404&gt;TODAY(),"Sent-back date is in future",IF(ISNUMBER($J404),IF($J404&lt;$B404,"Check dates - fixed before sent","Fixed in "&amp;($J404-$B404)&amp;" d"),IF(AND($I404&lt;&gt;"",NOT(ISNUMBER($I404))),"Check Expected Fix Date",IF($I404="","UNCLAIMED "&amp;(TODAY()-$B404)&amp;" d",IF(TODAY()&gt;$I404,(TODAY()-$I404)&amp;" d LATE","Open "&amp;(TODAY()-$B404)&amp;" d"))))))))))</f>
        <v/>
      </c>
      <c r="O404" s="66">
        <f>'Combined Delivery Data'!B403</f>
        <v>0</v>
      </c>
      <c r="P404" s="66">
        <f t="shared" si="24"/>
        <v>0</v>
      </c>
      <c r="Q404" s="66">
        <f t="shared" si="25"/>
        <v>0</v>
      </c>
      <c r="R404" s="67" t="str">
        <f t="shared" si="26"/>
        <v/>
      </c>
      <c r="S404" s="66" t="str">
        <f t="shared" si="27"/>
        <v/>
      </c>
    </row>
    <row r="405" spans="1:19" x14ac:dyDescent="0.25">
      <c r="A405" s="62"/>
      <c r="B405" s="63"/>
      <c r="C405" s="62"/>
      <c r="D405" s="62"/>
      <c r="E405" s="62"/>
      <c r="F405" s="62"/>
      <c r="G405" s="62"/>
      <c r="H405" s="63"/>
      <c r="I405" s="63"/>
      <c r="J405" s="63"/>
      <c r="K405" s="62"/>
      <c r="L405" s="62"/>
      <c r="M405" s="64" t="str">
        <f ca="1">IF($A405="","",IF($G405="Did not pass re-test","Sent back again",IF($G405="Yes",IF(AND(ISNUMBER($J405),ISNUMBER($B405)),"Fixed in "&amp;($J405-$B405)&amp;" d","Accepted"),IF(SUMPRODUCT(--(TRIM('Combined Delivery Data'!$B$2:$B$500)=TRIM($A405)))=0,"Not on main tab - renamed?",IF(NOT(ISNUMBER($B405)),"Missing or invalid sent-back date",IF($B405&gt;TODAY(),"Sent-back date is in future",IF(ISNUMBER($J405),IF($J405&lt;$B405,"Check dates - fixed before sent","Fixed in "&amp;($J405-$B405)&amp;" d"),IF(AND($I405&lt;&gt;"",NOT(ISNUMBER($I405))),"Check Expected Fix Date",IF($I405="","UNCLAIMED "&amp;(TODAY()-$B405)&amp;" d",IF(TODAY()&gt;$I405,(TODAY()-$I405)&amp;" d LATE","Open "&amp;(TODAY()-$B405)&amp;" d"))))))))))</f>
        <v/>
      </c>
      <c r="O405" s="66">
        <f>'Combined Delivery Data'!B404</f>
        <v>0</v>
      </c>
      <c r="P405" s="66">
        <f t="shared" si="24"/>
        <v>0</v>
      </c>
      <c r="Q405" s="66">
        <f t="shared" si="25"/>
        <v>0</v>
      </c>
      <c r="R405" s="67" t="str">
        <f t="shared" si="26"/>
        <v/>
      </c>
      <c r="S405" s="66" t="str">
        <f t="shared" si="27"/>
        <v/>
      </c>
    </row>
    <row r="406" spans="1:19" x14ac:dyDescent="0.25">
      <c r="A406" s="62"/>
      <c r="B406" s="63"/>
      <c r="C406" s="62"/>
      <c r="D406" s="62"/>
      <c r="E406" s="62"/>
      <c r="F406" s="62"/>
      <c r="G406" s="62"/>
      <c r="H406" s="63"/>
      <c r="I406" s="63"/>
      <c r="J406" s="63"/>
      <c r="K406" s="62"/>
      <c r="L406" s="62"/>
      <c r="M406" s="64" t="str">
        <f ca="1">IF($A406="","",IF($G406="Did not pass re-test","Sent back again",IF($G406="Yes",IF(AND(ISNUMBER($J406),ISNUMBER($B406)),"Fixed in "&amp;($J406-$B406)&amp;" d","Accepted"),IF(SUMPRODUCT(--(TRIM('Combined Delivery Data'!$B$2:$B$500)=TRIM($A406)))=0,"Not on main tab - renamed?",IF(NOT(ISNUMBER($B406)),"Missing or invalid sent-back date",IF($B406&gt;TODAY(),"Sent-back date is in future",IF(ISNUMBER($J406),IF($J406&lt;$B406,"Check dates - fixed before sent","Fixed in "&amp;($J406-$B406)&amp;" d"),IF(AND($I406&lt;&gt;"",NOT(ISNUMBER($I406))),"Check Expected Fix Date",IF($I406="","UNCLAIMED "&amp;(TODAY()-$B406)&amp;" d",IF(TODAY()&gt;$I406,(TODAY()-$I406)&amp;" d LATE","Open "&amp;(TODAY()-$B406)&amp;" d"))))))))))</f>
        <v/>
      </c>
      <c r="O406" s="66">
        <f>'Combined Delivery Data'!B405</f>
        <v>0</v>
      </c>
      <c r="P406" s="66">
        <f t="shared" si="24"/>
        <v>0</v>
      </c>
      <c r="Q406" s="66">
        <f t="shared" si="25"/>
        <v>0</v>
      </c>
      <c r="R406" s="67" t="str">
        <f t="shared" si="26"/>
        <v/>
      </c>
      <c r="S406" s="66" t="str">
        <f t="shared" si="27"/>
        <v/>
      </c>
    </row>
    <row r="407" spans="1:19" x14ac:dyDescent="0.25">
      <c r="A407" s="62"/>
      <c r="B407" s="63"/>
      <c r="C407" s="62"/>
      <c r="D407" s="62"/>
      <c r="E407" s="62"/>
      <c r="F407" s="62"/>
      <c r="G407" s="62"/>
      <c r="H407" s="63"/>
      <c r="I407" s="63"/>
      <c r="J407" s="63"/>
      <c r="K407" s="62"/>
      <c r="L407" s="62"/>
      <c r="M407" s="64" t="str">
        <f ca="1">IF($A407="","",IF($G407="Did not pass re-test","Sent back again",IF($G407="Yes",IF(AND(ISNUMBER($J407),ISNUMBER($B407)),"Fixed in "&amp;($J407-$B407)&amp;" d","Accepted"),IF(SUMPRODUCT(--(TRIM('Combined Delivery Data'!$B$2:$B$500)=TRIM($A407)))=0,"Not on main tab - renamed?",IF(NOT(ISNUMBER($B407)),"Missing or invalid sent-back date",IF($B407&gt;TODAY(),"Sent-back date is in future",IF(ISNUMBER($J407),IF($J407&lt;$B407,"Check dates - fixed before sent","Fixed in "&amp;($J407-$B407)&amp;" d"),IF(AND($I407&lt;&gt;"",NOT(ISNUMBER($I407))),"Check Expected Fix Date",IF($I407="","UNCLAIMED "&amp;(TODAY()-$B407)&amp;" d",IF(TODAY()&gt;$I407,(TODAY()-$I407)&amp;" d LATE","Open "&amp;(TODAY()-$B407)&amp;" d"))))))))))</f>
        <v/>
      </c>
      <c r="O407" s="66">
        <f>'Combined Delivery Data'!B406</f>
        <v>0</v>
      </c>
      <c r="P407" s="66">
        <f t="shared" si="24"/>
        <v>0</v>
      </c>
      <c r="Q407" s="66">
        <f t="shared" si="25"/>
        <v>0</v>
      </c>
      <c r="R407" s="67" t="str">
        <f t="shared" si="26"/>
        <v/>
      </c>
      <c r="S407" s="66" t="str">
        <f t="shared" si="27"/>
        <v/>
      </c>
    </row>
    <row r="408" spans="1:19" x14ac:dyDescent="0.25">
      <c r="A408" s="62"/>
      <c r="B408" s="63"/>
      <c r="C408" s="62"/>
      <c r="D408" s="62"/>
      <c r="E408" s="62"/>
      <c r="F408" s="62"/>
      <c r="G408" s="62"/>
      <c r="H408" s="63"/>
      <c r="I408" s="63"/>
      <c r="J408" s="63"/>
      <c r="K408" s="62"/>
      <c r="L408" s="62"/>
      <c r="M408" s="64" t="str">
        <f ca="1">IF($A408="","",IF($G408="Did not pass re-test","Sent back again",IF($G408="Yes",IF(AND(ISNUMBER($J408),ISNUMBER($B408)),"Fixed in "&amp;($J408-$B408)&amp;" d","Accepted"),IF(SUMPRODUCT(--(TRIM('Combined Delivery Data'!$B$2:$B$500)=TRIM($A408)))=0,"Not on main tab - renamed?",IF(NOT(ISNUMBER($B408)),"Missing or invalid sent-back date",IF($B408&gt;TODAY(),"Sent-back date is in future",IF(ISNUMBER($J408),IF($J408&lt;$B408,"Check dates - fixed before sent","Fixed in "&amp;($J408-$B408)&amp;" d"),IF(AND($I408&lt;&gt;"",NOT(ISNUMBER($I408))),"Check Expected Fix Date",IF($I408="","UNCLAIMED "&amp;(TODAY()-$B408)&amp;" d",IF(TODAY()&gt;$I408,(TODAY()-$I408)&amp;" d LATE","Open "&amp;(TODAY()-$B408)&amp;" d"))))))))))</f>
        <v/>
      </c>
      <c r="O408" s="66">
        <f>'Combined Delivery Data'!B407</f>
        <v>0</v>
      </c>
      <c r="P408" s="66">
        <f t="shared" si="24"/>
        <v>0</v>
      </c>
      <c r="Q408" s="66">
        <f t="shared" si="25"/>
        <v>0</v>
      </c>
      <c r="R408" s="67" t="str">
        <f t="shared" si="26"/>
        <v/>
      </c>
      <c r="S408" s="66" t="str">
        <f t="shared" si="27"/>
        <v/>
      </c>
    </row>
    <row r="409" spans="1:19" x14ac:dyDescent="0.25">
      <c r="A409" s="62"/>
      <c r="B409" s="63"/>
      <c r="C409" s="62"/>
      <c r="D409" s="62"/>
      <c r="E409" s="62"/>
      <c r="F409" s="62"/>
      <c r="G409" s="62"/>
      <c r="H409" s="63"/>
      <c r="I409" s="63"/>
      <c r="J409" s="63"/>
      <c r="K409" s="62"/>
      <c r="L409" s="62"/>
      <c r="M409" s="64" t="str">
        <f ca="1">IF($A409="","",IF($G409="Did not pass re-test","Sent back again",IF($G409="Yes",IF(AND(ISNUMBER($J409),ISNUMBER($B409)),"Fixed in "&amp;($J409-$B409)&amp;" d","Accepted"),IF(SUMPRODUCT(--(TRIM('Combined Delivery Data'!$B$2:$B$500)=TRIM($A409)))=0,"Not on main tab - renamed?",IF(NOT(ISNUMBER($B409)),"Missing or invalid sent-back date",IF($B409&gt;TODAY(),"Sent-back date is in future",IF(ISNUMBER($J409),IF($J409&lt;$B409,"Check dates - fixed before sent","Fixed in "&amp;($J409-$B409)&amp;" d"),IF(AND($I409&lt;&gt;"",NOT(ISNUMBER($I409))),"Check Expected Fix Date",IF($I409="","UNCLAIMED "&amp;(TODAY()-$B409)&amp;" d",IF(TODAY()&gt;$I409,(TODAY()-$I409)&amp;" d LATE","Open "&amp;(TODAY()-$B409)&amp;" d"))))))))))</f>
        <v/>
      </c>
      <c r="O409" s="66">
        <f>'Combined Delivery Data'!B408</f>
        <v>0</v>
      </c>
      <c r="P409" s="66">
        <f t="shared" si="24"/>
        <v>0</v>
      </c>
      <c r="Q409" s="66">
        <f t="shared" si="25"/>
        <v>0</v>
      </c>
      <c r="R409" s="67" t="str">
        <f t="shared" si="26"/>
        <v/>
      </c>
      <c r="S409" s="66" t="str">
        <f t="shared" si="27"/>
        <v/>
      </c>
    </row>
    <row r="410" spans="1:19" x14ac:dyDescent="0.25">
      <c r="A410" s="62"/>
      <c r="B410" s="63"/>
      <c r="C410" s="62"/>
      <c r="D410" s="62"/>
      <c r="E410" s="62"/>
      <c r="F410" s="62"/>
      <c r="G410" s="62"/>
      <c r="H410" s="63"/>
      <c r="I410" s="63"/>
      <c r="J410" s="63"/>
      <c r="K410" s="62"/>
      <c r="L410" s="62"/>
      <c r="M410" s="64" t="str">
        <f ca="1">IF($A410="","",IF($G410="Did not pass re-test","Sent back again",IF($G410="Yes",IF(AND(ISNUMBER($J410),ISNUMBER($B410)),"Fixed in "&amp;($J410-$B410)&amp;" d","Accepted"),IF(SUMPRODUCT(--(TRIM('Combined Delivery Data'!$B$2:$B$500)=TRIM($A410)))=0,"Not on main tab - renamed?",IF(NOT(ISNUMBER($B410)),"Missing or invalid sent-back date",IF($B410&gt;TODAY(),"Sent-back date is in future",IF(ISNUMBER($J410),IF($J410&lt;$B410,"Check dates - fixed before sent","Fixed in "&amp;($J410-$B410)&amp;" d"),IF(AND($I410&lt;&gt;"",NOT(ISNUMBER($I410))),"Check Expected Fix Date",IF($I410="","UNCLAIMED "&amp;(TODAY()-$B410)&amp;" d",IF(TODAY()&gt;$I410,(TODAY()-$I410)&amp;" d LATE","Open "&amp;(TODAY()-$B410)&amp;" d"))))))))))</f>
        <v/>
      </c>
      <c r="O410" s="66">
        <f>'Combined Delivery Data'!B409</f>
        <v>0</v>
      </c>
      <c r="P410" s="66">
        <f t="shared" si="24"/>
        <v>0</v>
      </c>
      <c r="Q410" s="66">
        <f t="shared" si="25"/>
        <v>0</v>
      </c>
      <c r="R410" s="67" t="str">
        <f t="shared" si="26"/>
        <v/>
      </c>
      <c r="S410" s="66" t="str">
        <f t="shared" si="27"/>
        <v/>
      </c>
    </row>
    <row r="411" spans="1:19" x14ac:dyDescent="0.25">
      <c r="A411" s="62"/>
      <c r="B411" s="63"/>
      <c r="C411" s="62"/>
      <c r="D411" s="62"/>
      <c r="E411" s="62"/>
      <c r="F411" s="62"/>
      <c r="G411" s="62"/>
      <c r="H411" s="63"/>
      <c r="I411" s="63"/>
      <c r="J411" s="63"/>
      <c r="K411" s="62"/>
      <c r="L411" s="62"/>
      <c r="M411" s="64" t="str">
        <f ca="1">IF($A411="","",IF($G411="Did not pass re-test","Sent back again",IF($G411="Yes",IF(AND(ISNUMBER($J411),ISNUMBER($B411)),"Fixed in "&amp;($J411-$B411)&amp;" d","Accepted"),IF(SUMPRODUCT(--(TRIM('Combined Delivery Data'!$B$2:$B$500)=TRIM($A411)))=0,"Not on main tab - renamed?",IF(NOT(ISNUMBER($B411)),"Missing or invalid sent-back date",IF($B411&gt;TODAY(),"Sent-back date is in future",IF(ISNUMBER($J411),IF($J411&lt;$B411,"Check dates - fixed before sent","Fixed in "&amp;($J411-$B411)&amp;" d"),IF(AND($I411&lt;&gt;"",NOT(ISNUMBER($I411))),"Check Expected Fix Date",IF($I411="","UNCLAIMED "&amp;(TODAY()-$B411)&amp;" d",IF(TODAY()&gt;$I411,(TODAY()-$I411)&amp;" d LATE","Open "&amp;(TODAY()-$B411)&amp;" d"))))))))))</f>
        <v/>
      </c>
      <c r="O411" s="66">
        <f>'Combined Delivery Data'!B410</f>
        <v>0</v>
      </c>
      <c r="P411" s="66">
        <f t="shared" si="24"/>
        <v>0</v>
      </c>
      <c r="Q411" s="66">
        <f t="shared" si="25"/>
        <v>0</v>
      </c>
      <c r="R411" s="67" t="str">
        <f t="shared" si="26"/>
        <v/>
      </c>
      <c r="S411" s="66" t="str">
        <f t="shared" si="27"/>
        <v/>
      </c>
    </row>
    <row r="412" spans="1:19" x14ac:dyDescent="0.25">
      <c r="A412" s="62"/>
      <c r="B412" s="63"/>
      <c r="C412" s="62"/>
      <c r="D412" s="62"/>
      <c r="E412" s="62"/>
      <c r="F412" s="62"/>
      <c r="G412" s="62"/>
      <c r="H412" s="63"/>
      <c r="I412" s="63"/>
      <c r="J412" s="63"/>
      <c r="K412" s="62"/>
      <c r="L412" s="62"/>
      <c r="M412" s="64" t="str">
        <f ca="1">IF($A412="","",IF($G412="Did not pass re-test","Sent back again",IF($G412="Yes",IF(AND(ISNUMBER($J412),ISNUMBER($B412)),"Fixed in "&amp;($J412-$B412)&amp;" d","Accepted"),IF(SUMPRODUCT(--(TRIM('Combined Delivery Data'!$B$2:$B$500)=TRIM($A412)))=0,"Not on main tab - renamed?",IF(NOT(ISNUMBER($B412)),"Missing or invalid sent-back date",IF($B412&gt;TODAY(),"Sent-back date is in future",IF(ISNUMBER($J412),IF($J412&lt;$B412,"Check dates - fixed before sent","Fixed in "&amp;($J412-$B412)&amp;" d"),IF(AND($I412&lt;&gt;"",NOT(ISNUMBER($I412))),"Check Expected Fix Date",IF($I412="","UNCLAIMED "&amp;(TODAY()-$B412)&amp;" d",IF(TODAY()&gt;$I412,(TODAY()-$I412)&amp;" d LATE","Open "&amp;(TODAY()-$B412)&amp;" d"))))))))))</f>
        <v/>
      </c>
      <c r="O412" s="66">
        <f>'Combined Delivery Data'!B411</f>
        <v>0</v>
      </c>
      <c r="P412" s="66">
        <f t="shared" si="24"/>
        <v>0</v>
      </c>
      <c r="Q412" s="66">
        <f t="shared" si="25"/>
        <v>0</v>
      </c>
      <c r="R412" s="67" t="str">
        <f t="shared" si="26"/>
        <v/>
      </c>
      <c r="S412" s="66" t="str">
        <f t="shared" si="27"/>
        <v/>
      </c>
    </row>
    <row r="413" spans="1:19" x14ac:dyDescent="0.25">
      <c r="A413" s="62"/>
      <c r="B413" s="63"/>
      <c r="C413" s="62"/>
      <c r="D413" s="62"/>
      <c r="E413" s="62"/>
      <c r="F413" s="62"/>
      <c r="G413" s="62"/>
      <c r="H413" s="63"/>
      <c r="I413" s="63"/>
      <c r="J413" s="63"/>
      <c r="K413" s="62"/>
      <c r="L413" s="62"/>
      <c r="M413" s="64" t="str">
        <f ca="1">IF($A413="","",IF($G413="Did not pass re-test","Sent back again",IF($G413="Yes",IF(AND(ISNUMBER($J413),ISNUMBER($B413)),"Fixed in "&amp;($J413-$B413)&amp;" d","Accepted"),IF(SUMPRODUCT(--(TRIM('Combined Delivery Data'!$B$2:$B$500)=TRIM($A413)))=0,"Not on main tab - renamed?",IF(NOT(ISNUMBER($B413)),"Missing or invalid sent-back date",IF($B413&gt;TODAY(),"Sent-back date is in future",IF(ISNUMBER($J413),IF($J413&lt;$B413,"Check dates - fixed before sent","Fixed in "&amp;($J413-$B413)&amp;" d"),IF(AND($I413&lt;&gt;"",NOT(ISNUMBER($I413))),"Check Expected Fix Date",IF($I413="","UNCLAIMED "&amp;(TODAY()-$B413)&amp;" d",IF(TODAY()&gt;$I413,(TODAY()-$I413)&amp;" d LATE","Open "&amp;(TODAY()-$B413)&amp;" d"))))))))))</f>
        <v/>
      </c>
      <c r="O413" s="66">
        <f>'Combined Delivery Data'!B412</f>
        <v>0</v>
      </c>
      <c r="P413" s="66">
        <f t="shared" si="24"/>
        <v>0</v>
      </c>
      <c r="Q413" s="66">
        <f t="shared" si="25"/>
        <v>0</v>
      </c>
      <c r="R413" s="67" t="str">
        <f t="shared" si="26"/>
        <v/>
      </c>
      <c r="S413" s="66" t="str">
        <f t="shared" si="27"/>
        <v/>
      </c>
    </row>
    <row r="414" spans="1:19" x14ac:dyDescent="0.25">
      <c r="A414" s="62"/>
      <c r="B414" s="63"/>
      <c r="C414" s="62"/>
      <c r="D414" s="62"/>
      <c r="E414" s="62"/>
      <c r="F414" s="62"/>
      <c r="G414" s="62"/>
      <c r="H414" s="63"/>
      <c r="I414" s="63"/>
      <c r="J414" s="63"/>
      <c r="K414" s="62"/>
      <c r="L414" s="62"/>
      <c r="M414" s="64" t="str">
        <f ca="1">IF($A414="","",IF($G414="Did not pass re-test","Sent back again",IF($G414="Yes",IF(AND(ISNUMBER($J414),ISNUMBER($B414)),"Fixed in "&amp;($J414-$B414)&amp;" d","Accepted"),IF(SUMPRODUCT(--(TRIM('Combined Delivery Data'!$B$2:$B$500)=TRIM($A414)))=0,"Not on main tab - renamed?",IF(NOT(ISNUMBER($B414)),"Missing or invalid sent-back date",IF($B414&gt;TODAY(),"Sent-back date is in future",IF(ISNUMBER($J414),IF($J414&lt;$B414,"Check dates - fixed before sent","Fixed in "&amp;($J414-$B414)&amp;" d"),IF(AND($I414&lt;&gt;"",NOT(ISNUMBER($I414))),"Check Expected Fix Date",IF($I414="","UNCLAIMED "&amp;(TODAY()-$B414)&amp;" d",IF(TODAY()&gt;$I414,(TODAY()-$I414)&amp;" d LATE","Open "&amp;(TODAY()-$B414)&amp;" d"))))))))))</f>
        <v/>
      </c>
      <c r="O414" s="66">
        <f>'Combined Delivery Data'!B413</f>
        <v>0</v>
      </c>
      <c r="P414" s="66">
        <f t="shared" si="24"/>
        <v>0</v>
      </c>
      <c r="Q414" s="66">
        <f t="shared" si="25"/>
        <v>0</v>
      </c>
      <c r="R414" s="67" t="str">
        <f t="shared" si="26"/>
        <v/>
      </c>
      <c r="S414" s="66" t="str">
        <f t="shared" si="27"/>
        <v/>
      </c>
    </row>
    <row r="415" spans="1:19" x14ac:dyDescent="0.25">
      <c r="A415" s="62"/>
      <c r="B415" s="63"/>
      <c r="C415" s="62"/>
      <c r="D415" s="62"/>
      <c r="E415" s="62"/>
      <c r="F415" s="62"/>
      <c r="G415" s="62"/>
      <c r="H415" s="63"/>
      <c r="I415" s="63"/>
      <c r="J415" s="63"/>
      <c r="K415" s="62"/>
      <c r="L415" s="62"/>
      <c r="M415" s="64" t="str">
        <f ca="1">IF($A415="","",IF($G415="Did not pass re-test","Sent back again",IF($G415="Yes",IF(AND(ISNUMBER($J415),ISNUMBER($B415)),"Fixed in "&amp;($J415-$B415)&amp;" d","Accepted"),IF(SUMPRODUCT(--(TRIM('Combined Delivery Data'!$B$2:$B$500)=TRIM($A415)))=0,"Not on main tab - renamed?",IF(NOT(ISNUMBER($B415)),"Missing or invalid sent-back date",IF($B415&gt;TODAY(),"Sent-back date is in future",IF(ISNUMBER($J415),IF($J415&lt;$B415,"Check dates - fixed before sent","Fixed in "&amp;($J415-$B415)&amp;" d"),IF(AND($I415&lt;&gt;"",NOT(ISNUMBER($I415))),"Check Expected Fix Date",IF($I415="","UNCLAIMED "&amp;(TODAY()-$B415)&amp;" d",IF(TODAY()&gt;$I415,(TODAY()-$I415)&amp;" d LATE","Open "&amp;(TODAY()-$B415)&amp;" d"))))))))))</f>
        <v/>
      </c>
      <c r="O415" s="66">
        <f>'Combined Delivery Data'!B414</f>
        <v>0</v>
      </c>
      <c r="P415" s="66">
        <f t="shared" si="24"/>
        <v>0</v>
      </c>
      <c r="Q415" s="66">
        <f t="shared" si="25"/>
        <v>0</v>
      </c>
      <c r="R415" s="67" t="str">
        <f t="shared" si="26"/>
        <v/>
      </c>
      <c r="S415" s="66" t="str">
        <f t="shared" si="27"/>
        <v/>
      </c>
    </row>
    <row r="416" spans="1:19" x14ac:dyDescent="0.25">
      <c r="A416" s="62"/>
      <c r="B416" s="63"/>
      <c r="C416" s="62"/>
      <c r="D416" s="62"/>
      <c r="E416" s="62"/>
      <c r="F416" s="62"/>
      <c r="G416" s="62"/>
      <c r="H416" s="63"/>
      <c r="I416" s="63"/>
      <c r="J416" s="63"/>
      <c r="K416" s="62"/>
      <c r="L416" s="62"/>
      <c r="M416" s="64" t="str">
        <f ca="1">IF($A416="","",IF($G416="Did not pass re-test","Sent back again",IF($G416="Yes",IF(AND(ISNUMBER($J416),ISNUMBER($B416)),"Fixed in "&amp;($J416-$B416)&amp;" d","Accepted"),IF(SUMPRODUCT(--(TRIM('Combined Delivery Data'!$B$2:$B$500)=TRIM($A416)))=0,"Not on main tab - renamed?",IF(NOT(ISNUMBER($B416)),"Missing or invalid sent-back date",IF($B416&gt;TODAY(),"Sent-back date is in future",IF(ISNUMBER($J416),IF($J416&lt;$B416,"Check dates - fixed before sent","Fixed in "&amp;($J416-$B416)&amp;" d"),IF(AND($I416&lt;&gt;"",NOT(ISNUMBER($I416))),"Check Expected Fix Date",IF($I416="","UNCLAIMED "&amp;(TODAY()-$B416)&amp;" d",IF(TODAY()&gt;$I416,(TODAY()-$I416)&amp;" d LATE","Open "&amp;(TODAY()-$B416)&amp;" d"))))))))))</f>
        <v/>
      </c>
      <c r="O416" s="66">
        <f>'Combined Delivery Data'!B415</f>
        <v>0</v>
      </c>
      <c r="P416" s="66">
        <f t="shared" si="24"/>
        <v>0</v>
      </c>
      <c r="Q416" s="66">
        <f t="shared" si="25"/>
        <v>0</v>
      </c>
      <c r="R416" s="67" t="str">
        <f t="shared" si="26"/>
        <v/>
      </c>
      <c r="S416" s="66" t="str">
        <f t="shared" si="27"/>
        <v/>
      </c>
    </row>
    <row r="417" spans="1:19" x14ac:dyDescent="0.25">
      <c r="A417" s="62"/>
      <c r="B417" s="63"/>
      <c r="C417" s="62"/>
      <c r="D417" s="62"/>
      <c r="E417" s="62"/>
      <c r="F417" s="62"/>
      <c r="G417" s="62"/>
      <c r="H417" s="63"/>
      <c r="I417" s="63"/>
      <c r="J417" s="63"/>
      <c r="K417" s="62"/>
      <c r="L417" s="62"/>
      <c r="M417" s="64" t="str">
        <f ca="1">IF($A417="","",IF($G417="Did not pass re-test","Sent back again",IF($G417="Yes",IF(AND(ISNUMBER($J417),ISNUMBER($B417)),"Fixed in "&amp;($J417-$B417)&amp;" d","Accepted"),IF(SUMPRODUCT(--(TRIM('Combined Delivery Data'!$B$2:$B$500)=TRIM($A417)))=0,"Not on main tab - renamed?",IF(NOT(ISNUMBER($B417)),"Missing or invalid sent-back date",IF($B417&gt;TODAY(),"Sent-back date is in future",IF(ISNUMBER($J417),IF($J417&lt;$B417,"Check dates - fixed before sent","Fixed in "&amp;($J417-$B417)&amp;" d"),IF(AND($I417&lt;&gt;"",NOT(ISNUMBER($I417))),"Check Expected Fix Date",IF($I417="","UNCLAIMED "&amp;(TODAY()-$B417)&amp;" d",IF(TODAY()&gt;$I417,(TODAY()-$I417)&amp;" d LATE","Open "&amp;(TODAY()-$B417)&amp;" d"))))))))))</f>
        <v/>
      </c>
      <c r="O417" s="66">
        <f>'Combined Delivery Data'!B416</f>
        <v>0</v>
      </c>
      <c r="P417" s="66">
        <f t="shared" si="24"/>
        <v>0</v>
      </c>
      <c r="Q417" s="66">
        <f t="shared" si="25"/>
        <v>0</v>
      </c>
      <c r="R417" s="67" t="str">
        <f t="shared" si="26"/>
        <v/>
      </c>
      <c r="S417" s="66" t="str">
        <f t="shared" si="27"/>
        <v/>
      </c>
    </row>
    <row r="418" spans="1:19" x14ac:dyDescent="0.25">
      <c r="A418" s="62"/>
      <c r="B418" s="63"/>
      <c r="C418" s="62"/>
      <c r="D418" s="62"/>
      <c r="E418" s="62"/>
      <c r="F418" s="62"/>
      <c r="G418" s="62"/>
      <c r="H418" s="63"/>
      <c r="I418" s="63"/>
      <c r="J418" s="63"/>
      <c r="K418" s="62"/>
      <c r="L418" s="62"/>
      <c r="M418" s="64" t="str">
        <f ca="1">IF($A418="","",IF($G418="Did not pass re-test","Sent back again",IF($G418="Yes",IF(AND(ISNUMBER($J418),ISNUMBER($B418)),"Fixed in "&amp;($J418-$B418)&amp;" d","Accepted"),IF(SUMPRODUCT(--(TRIM('Combined Delivery Data'!$B$2:$B$500)=TRIM($A418)))=0,"Not on main tab - renamed?",IF(NOT(ISNUMBER($B418)),"Missing or invalid sent-back date",IF($B418&gt;TODAY(),"Sent-back date is in future",IF(ISNUMBER($J418),IF($J418&lt;$B418,"Check dates - fixed before sent","Fixed in "&amp;($J418-$B418)&amp;" d"),IF(AND($I418&lt;&gt;"",NOT(ISNUMBER($I418))),"Check Expected Fix Date",IF($I418="","UNCLAIMED "&amp;(TODAY()-$B418)&amp;" d",IF(TODAY()&gt;$I418,(TODAY()-$I418)&amp;" d LATE","Open "&amp;(TODAY()-$B418)&amp;" d"))))))))))</f>
        <v/>
      </c>
      <c r="O418" s="66">
        <f>'Combined Delivery Data'!B417</f>
        <v>0</v>
      </c>
      <c r="P418" s="66">
        <f t="shared" si="24"/>
        <v>0</v>
      </c>
      <c r="Q418" s="66">
        <f t="shared" si="25"/>
        <v>0</v>
      </c>
      <c r="R418" s="67" t="str">
        <f t="shared" si="26"/>
        <v/>
      </c>
      <c r="S418" s="66" t="str">
        <f t="shared" si="27"/>
        <v/>
      </c>
    </row>
    <row r="419" spans="1:19" x14ac:dyDescent="0.25">
      <c r="A419" s="62"/>
      <c r="B419" s="63"/>
      <c r="C419" s="62"/>
      <c r="D419" s="62"/>
      <c r="E419" s="62"/>
      <c r="F419" s="62"/>
      <c r="G419" s="62"/>
      <c r="H419" s="63"/>
      <c r="I419" s="63"/>
      <c r="J419" s="63"/>
      <c r="K419" s="62"/>
      <c r="L419" s="62"/>
      <c r="M419" s="64" t="str">
        <f ca="1">IF($A419="","",IF($G419="Did not pass re-test","Sent back again",IF($G419="Yes",IF(AND(ISNUMBER($J419),ISNUMBER($B419)),"Fixed in "&amp;($J419-$B419)&amp;" d","Accepted"),IF(SUMPRODUCT(--(TRIM('Combined Delivery Data'!$B$2:$B$500)=TRIM($A419)))=0,"Not on main tab - renamed?",IF(NOT(ISNUMBER($B419)),"Missing or invalid sent-back date",IF($B419&gt;TODAY(),"Sent-back date is in future",IF(ISNUMBER($J419),IF($J419&lt;$B419,"Check dates - fixed before sent","Fixed in "&amp;($J419-$B419)&amp;" d"),IF(AND($I419&lt;&gt;"",NOT(ISNUMBER($I419))),"Check Expected Fix Date",IF($I419="","UNCLAIMED "&amp;(TODAY()-$B419)&amp;" d",IF(TODAY()&gt;$I419,(TODAY()-$I419)&amp;" d LATE","Open "&amp;(TODAY()-$B419)&amp;" d"))))))))))</f>
        <v/>
      </c>
      <c r="O419" s="66">
        <f>'Combined Delivery Data'!B418</f>
        <v>0</v>
      </c>
      <c r="P419" s="66">
        <f t="shared" si="24"/>
        <v>0</v>
      </c>
      <c r="Q419" s="66">
        <f t="shared" si="25"/>
        <v>0</v>
      </c>
      <c r="R419" s="67" t="str">
        <f t="shared" si="26"/>
        <v/>
      </c>
      <c r="S419" s="66" t="str">
        <f t="shared" si="27"/>
        <v/>
      </c>
    </row>
    <row r="420" spans="1:19" x14ac:dyDescent="0.25">
      <c r="A420" s="62"/>
      <c r="B420" s="63"/>
      <c r="C420" s="62"/>
      <c r="D420" s="62"/>
      <c r="E420" s="62"/>
      <c r="F420" s="62"/>
      <c r="G420" s="62"/>
      <c r="H420" s="63"/>
      <c r="I420" s="63"/>
      <c r="J420" s="63"/>
      <c r="K420" s="62"/>
      <c r="L420" s="62"/>
      <c r="M420" s="64" t="str">
        <f ca="1">IF($A420="","",IF($G420="Did not pass re-test","Sent back again",IF($G420="Yes",IF(AND(ISNUMBER($J420),ISNUMBER($B420)),"Fixed in "&amp;($J420-$B420)&amp;" d","Accepted"),IF(SUMPRODUCT(--(TRIM('Combined Delivery Data'!$B$2:$B$500)=TRIM($A420)))=0,"Not on main tab - renamed?",IF(NOT(ISNUMBER($B420)),"Missing or invalid sent-back date",IF($B420&gt;TODAY(),"Sent-back date is in future",IF(ISNUMBER($J420),IF($J420&lt;$B420,"Check dates - fixed before sent","Fixed in "&amp;($J420-$B420)&amp;" d"),IF(AND($I420&lt;&gt;"",NOT(ISNUMBER($I420))),"Check Expected Fix Date",IF($I420="","UNCLAIMED "&amp;(TODAY()-$B420)&amp;" d",IF(TODAY()&gt;$I420,(TODAY()-$I420)&amp;" d LATE","Open "&amp;(TODAY()-$B420)&amp;" d"))))))))))</f>
        <v/>
      </c>
      <c r="O420" s="66">
        <f>'Combined Delivery Data'!B419</f>
        <v>0</v>
      </c>
      <c r="P420" s="66">
        <f t="shared" si="24"/>
        <v>0</v>
      </c>
      <c r="Q420" s="66">
        <f t="shared" si="25"/>
        <v>0</v>
      </c>
      <c r="R420" s="67" t="str">
        <f t="shared" si="26"/>
        <v/>
      </c>
      <c r="S420" s="66" t="str">
        <f t="shared" si="27"/>
        <v/>
      </c>
    </row>
    <row r="421" spans="1:19" x14ac:dyDescent="0.25">
      <c r="A421" s="62"/>
      <c r="B421" s="63"/>
      <c r="C421" s="62"/>
      <c r="D421" s="62"/>
      <c r="E421" s="62"/>
      <c r="F421" s="62"/>
      <c r="G421" s="62"/>
      <c r="H421" s="63"/>
      <c r="I421" s="63"/>
      <c r="J421" s="63"/>
      <c r="K421" s="62"/>
      <c r="L421" s="62"/>
      <c r="M421" s="64" t="str">
        <f ca="1">IF($A421="","",IF($G421="Did not pass re-test","Sent back again",IF($G421="Yes",IF(AND(ISNUMBER($J421),ISNUMBER($B421)),"Fixed in "&amp;($J421-$B421)&amp;" d","Accepted"),IF(SUMPRODUCT(--(TRIM('Combined Delivery Data'!$B$2:$B$500)=TRIM($A421)))=0,"Not on main tab - renamed?",IF(NOT(ISNUMBER($B421)),"Missing or invalid sent-back date",IF($B421&gt;TODAY(),"Sent-back date is in future",IF(ISNUMBER($J421),IF($J421&lt;$B421,"Check dates - fixed before sent","Fixed in "&amp;($J421-$B421)&amp;" d"),IF(AND($I421&lt;&gt;"",NOT(ISNUMBER($I421))),"Check Expected Fix Date",IF($I421="","UNCLAIMED "&amp;(TODAY()-$B421)&amp;" d",IF(TODAY()&gt;$I421,(TODAY()-$I421)&amp;" d LATE","Open "&amp;(TODAY()-$B421)&amp;" d"))))))))))</f>
        <v/>
      </c>
      <c r="O421" s="66">
        <f>'Combined Delivery Data'!B420</f>
        <v>0</v>
      </c>
      <c r="P421" s="66">
        <f t="shared" si="24"/>
        <v>0</v>
      </c>
      <c r="Q421" s="66">
        <f t="shared" si="25"/>
        <v>0</v>
      </c>
      <c r="R421" s="67" t="str">
        <f t="shared" si="26"/>
        <v/>
      </c>
      <c r="S421" s="66" t="str">
        <f t="shared" si="27"/>
        <v/>
      </c>
    </row>
    <row r="422" spans="1:19" x14ac:dyDescent="0.25">
      <c r="A422" s="62"/>
      <c r="B422" s="63"/>
      <c r="C422" s="62"/>
      <c r="D422" s="62"/>
      <c r="E422" s="62"/>
      <c r="F422" s="62"/>
      <c r="G422" s="62"/>
      <c r="H422" s="63"/>
      <c r="I422" s="63"/>
      <c r="J422" s="63"/>
      <c r="K422" s="62"/>
      <c r="L422" s="62"/>
      <c r="M422" s="64" t="str">
        <f ca="1">IF($A422="","",IF($G422="Did not pass re-test","Sent back again",IF($G422="Yes",IF(AND(ISNUMBER($J422),ISNUMBER($B422)),"Fixed in "&amp;($J422-$B422)&amp;" d","Accepted"),IF(SUMPRODUCT(--(TRIM('Combined Delivery Data'!$B$2:$B$500)=TRIM($A422)))=0,"Not on main tab - renamed?",IF(NOT(ISNUMBER($B422)),"Missing or invalid sent-back date",IF($B422&gt;TODAY(),"Sent-back date is in future",IF(ISNUMBER($J422),IF($J422&lt;$B422,"Check dates - fixed before sent","Fixed in "&amp;($J422-$B422)&amp;" d"),IF(AND($I422&lt;&gt;"",NOT(ISNUMBER($I422))),"Check Expected Fix Date",IF($I422="","UNCLAIMED "&amp;(TODAY()-$B422)&amp;" d",IF(TODAY()&gt;$I422,(TODAY()-$I422)&amp;" d LATE","Open "&amp;(TODAY()-$B422)&amp;" d"))))))))))</f>
        <v/>
      </c>
      <c r="O422" s="66">
        <f>'Combined Delivery Data'!B421</f>
        <v>0</v>
      </c>
      <c r="P422" s="66">
        <f t="shared" si="24"/>
        <v>0</v>
      </c>
      <c r="Q422" s="66">
        <f t="shared" si="25"/>
        <v>0</v>
      </c>
      <c r="R422" s="67" t="str">
        <f t="shared" si="26"/>
        <v/>
      </c>
      <c r="S422" s="66" t="str">
        <f t="shared" si="27"/>
        <v/>
      </c>
    </row>
    <row r="423" spans="1:19" x14ac:dyDescent="0.25">
      <c r="A423" s="62"/>
      <c r="B423" s="63"/>
      <c r="C423" s="62"/>
      <c r="D423" s="62"/>
      <c r="E423" s="62"/>
      <c r="F423" s="62"/>
      <c r="G423" s="62"/>
      <c r="H423" s="63"/>
      <c r="I423" s="63"/>
      <c r="J423" s="63"/>
      <c r="K423" s="62"/>
      <c r="L423" s="62"/>
      <c r="M423" s="64" t="str">
        <f ca="1">IF($A423="","",IF($G423="Did not pass re-test","Sent back again",IF($G423="Yes",IF(AND(ISNUMBER($J423),ISNUMBER($B423)),"Fixed in "&amp;($J423-$B423)&amp;" d","Accepted"),IF(SUMPRODUCT(--(TRIM('Combined Delivery Data'!$B$2:$B$500)=TRIM($A423)))=0,"Not on main tab - renamed?",IF(NOT(ISNUMBER($B423)),"Missing or invalid sent-back date",IF($B423&gt;TODAY(),"Sent-back date is in future",IF(ISNUMBER($J423),IF($J423&lt;$B423,"Check dates - fixed before sent","Fixed in "&amp;($J423-$B423)&amp;" d"),IF(AND($I423&lt;&gt;"",NOT(ISNUMBER($I423))),"Check Expected Fix Date",IF($I423="","UNCLAIMED "&amp;(TODAY()-$B423)&amp;" d",IF(TODAY()&gt;$I423,(TODAY()-$I423)&amp;" d LATE","Open "&amp;(TODAY()-$B423)&amp;" d"))))))))))</f>
        <v/>
      </c>
      <c r="O423" s="66">
        <f>'Combined Delivery Data'!B422</f>
        <v>0</v>
      </c>
      <c r="P423" s="66">
        <f t="shared" si="24"/>
        <v>0</v>
      </c>
      <c r="Q423" s="66">
        <f t="shared" si="25"/>
        <v>0</v>
      </c>
      <c r="R423" s="67" t="str">
        <f t="shared" si="26"/>
        <v/>
      </c>
      <c r="S423" s="66" t="str">
        <f t="shared" si="27"/>
        <v/>
      </c>
    </row>
    <row r="424" spans="1:19" x14ac:dyDescent="0.25">
      <c r="A424" s="62"/>
      <c r="B424" s="63"/>
      <c r="C424" s="62"/>
      <c r="D424" s="62"/>
      <c r="E424" s="62"/>
      <c r="F424" s="62"/>
      <c r="G424" s="62"/>
      <c r="H424" s="63"/>
      <c r="I424" s="63"/>
      <c r="J424" s="63"/>
      <c r="K424" s="62"/>
      <c r="L424" s="62"/>
      <c r="M424" s="64" t="str">
        <f ca="1">IF($A424="","",IF($G424="Did not pass re-test","Sent back again",IF($G424="Yes",IF(AND(ISNUMBER($J424),ISNUMBER($B424)),"Fixed in "&amp;($J424-$B424)&amp;" d","Accepted"),IF(SUMPRODUCT(--(TRIM('Combined Delivery Data'!$B$2:$B$500)=TRIM($A424)))=0,"Not on main tab - renamed?",IF(NOT(ISNUMBER($B424)),"Missing or invalid sent-back date",IF($B424&gt;TODAY(),"Sent-back date is in future",IF(ISNUMBER($J424),IF($J424&lt;$B424,"Check dates - fixed before sent","Fixed in "&amp;($J424-$B424)&amp;" d"),IF(AND($I424&lt;&gt;"",NOT(ISNUMBER($I424))),"Check Expected Fix Date",IF($I424="","UNCLAIMED "&amp;(TODAY()-$B424)&amp;" d",IF(TODAY()&gt;$I424,(TODAY()-$I424)&amp;" d LATE","Open "&amp;(TODAY()-$B424)&amp;" d"))))))))))</f>
        <v/>
      </c>
      <c r="O424" s="66">
        <f>'Combined Delivery Data'!B423</f>
        <v>0</v>
      </c>
      <c r="P424" s="66">
        <f t="shared" si="24"/>
        <v>0</v>
      </c>
      <c r="Q424" s="66">
        <f t="shared" si="25"/>
        <v>0</v>
      </c>
      <c r="R424" s="67" t="str">
        <f t="shared" si="26"/>
        <v/>
      </c>
      <c r="S424" s="66" t="str">
        <f t="shared" si="27"/>
        <v/>
      </c>
    </row>
    <row r="425" spans="1:19" x14ac:dyDescent="0.25">
      <c r="A425" s="62"/>
      <c r="B425" s="63"/>
      <c r="C425" s="62"/>
      <c r="D425" s="62"/>
      <c r="E425" s="62"/>
      <c r="F425" s="62"/>
      <c r="G425" s="62"/>
      <c r="H425" s="63"/>
      <c r="I425" s="63"/>
      <c r="J425" s="63"/>
      <c r="K425" s="62"/>
      <c r="L425" s="62"/>
      <c r="M425" s="64" t="str">
        <f ca="1">IF($A425="","",IF($G425="Did not pass re-test","Sent back again",IF($G425="Yes",IF(AND(ISNUMBER($J425),ISNUMBER($B425)),"Fixed in "&amp;($J425-$B425)&amp;" d","Accepted"),IF(SUMPRODUCT(--(TRIM('Combined Delivery Data'!$B$2:$B$500)=TRIM($A425)))=0,"Not on main tab - renamed?",IF(NOT(ISNUMBER($B425)),"Missing or invalid sent-back date",IF($B425&gt;TODAY(),"Sent-back date is in future",IF(ISNUMBER($J425),IF($J425&lt;$B425,"Check dates - fixed before sent","Fixed in "&amp;($J425-$B425)&amp;" d"),IF(AND($I425&lt;&gt;"",NOT(ISNUMBER($I425))),"Check Expected Fix Date",IF($I425="","UNCLAIMED "&amp;(TODAY()-$B425)&amp;" d",IF(TODAY()&gt;$I425,(TODAY()-$I425)&amp;" d LATE","Open "&amp;(TODAY()-$B425)&amp;" d"))))))))))</f>
        <v/>
      </c>
      <c r="O425" s="66">
        <f>'Combined Delivery Data'!B424</f>
        <v>0</v>
      </c>
      <c r="P425" s="66">
        <f t="shared" si="24"/>
        <v>0</v>
      </c>
      <c r="Q425" s="66">
        <f t="shared" si="25"/>
        <v>0</v>
      </c>
      <c r="R425" s="67" t="str">
        <f t="shared" si="26"/>
        <v/>
      </c>
      <c r="S425" s="66" t="str">
        <f t="shared" si="27"/>
        <v/>
      </c>
    </row>
    <row r="426" spans="1:19" x14ac:dyDescent="0.25">
      <c r="A426" s="62"/>
      <c r="B426" s="63"/>
      <c r="C426" s="62"/>
      <c r="D426" s="62"/>
      <c r="E426" s="62"/>
      <c r="F426" s="62"/>
      <c r="G426" s="62"/>
      <c r="H426" s="63"/>
      <c r="I426" s="63"/>
      <c r="J426" s="63"/>
      <c r="K426" s="62"/>
      <c r="L426" s="62"/>
      <c r="M426" s="64" t="str">
        <f ca="1">IF($A426="","",IF($G426="Did not pass re-test","Sent back again",IF($G426="Yes",IF(AND(ISNUMBER($J426),ISNUMBER($B426)),"Fixed in "&amp;($J426-$B426)&amp;" d","Accepted"),IF(SUMPRODUCT(--(TRIM('Combined Delivery Data'!$B$2:$B$500)=TRIM($A426)))=0,"Not on main tab - renamed?",IF(NOT(ISNUMBER($B426)),"Missing or invalid sent-back date",IF($B426&gt;TODAY(),"Sent-back date is in future",IF(ISNUMBER($J426),IF($J426&lt;$B426,"Check dates - fixed before sent","Fixed in "&amp;($J426-$B426)&amp;" d"),IF(AND($I426&lt;&gt;"",NOT(ISNUMBER($I426))),"Check Expected Fix Date",IF($I426="","UNCLAIMED "&amp;(TODAY()-$B426)&amp;" d",IF(TODAY()&gt;$I426,(TODAY()-$I426)&amp;" d LATE","Open "&amp;(TODAY()-$B426)&amp;" d"))))))))))</f>
        <v/>
      </c>
      <c r="O426" s="66">
        <f>'Combined Delivery Data'!B425</f>
        <v>0</v>
      </c>
      <c r="P426" s="66">
        <f t="shared" si="24"/>
        <v>0</v>
      </c>
      <c r="Q426" s="66">
        <f t="shared" si="25"/>
        <v>0</v>
      </c>
      <c r="R426" s="67" t="str">
        <f t="shared" si="26"/>
        <v/>
      </c>
      <c r="S426" s="66" t="str">
        <f t="shared" si="27"/>
        <v/>
      </c>
    </row>
    <row r="427" spans="1:19" x14ac:dyDescent="0.25">
      <c r="A427" s="62"/>
      <c r="B427" s="63"/>
      <c r="C427" s="62"/>
      <c r="D427" s="62"/>
      <c r="E427" s="62"/>
      <c r="F427" s="62"/>
      <c r="G427" s="62"/>
      <c r="H427" s="63"/>
      <c r="I427" s="63"/>
      <c r="J427" s="63"/>
      <c r="K427" s="62"/>
      <c r="L427" s="62"/>
      <c r="M427" s="64" t="str">
        <f ca="1">IF($A427="","",IF($G427="Did not pass re-test","Sent back again",IF($G427="Yes",IF(AND(ISNUMBER($J427),ISNUMBER($B427)),"Fixed in "&amp;($J427-$B427)&amp;" d","Accepted"),IF(SUMPRODUCT(--(TRIM('Combined Delivery Data'!$B$2:$B$500)=TRIM($A427)))=0,"Not on main tab - renamed?",IF(NOT(ISNUMBER($B427)),"Missing or invalid sent-back date",IF($B427&gt;TODAY(),"Sent-back date is in future",IF(ISNUMBER($J427),IF($J427&lt;$B427,"Check dates - fixed before sent","Fixed in "&amp;($J427-$B427)&amp;" d"),IF(AND($I427&lt;&gt;"",NOT(ISNUMBER($I427))),"Check Expected Fix Date",IF($I427="","UNCLAIMED "&amp;(TODAY()-$B427)&amp;" d",IF(TODAY()&gt;$I427,(TODAY()-$I427)&amp;" d LATE","Open "&amp;(TODAY()-$B427)&amp;" d"))))))))))</f>
        <v/>
      </c>
      <c r="O427" s="66">
        <f>'Combined Delivery Data'!B426</f>
        <v>0</v>
      </c>
      <c r="P427" s="66">
        <f t="shared" si="24"/>
        <v>0</v>
      </c>
      <c r="Q427" s="66">
        <f t="shared" si="25"/>
        <v>0</v>
      </c>
      <c r="R427" s="67" t="str">
        <f t="shared" si="26"/>
        <v/>
      </c>
      <c r="S427" s="66" t="str">
        <f t="shared" si="27"/>
        <v/>
      </c>
    </row>
    <row r="428" spans="1:19" x14ac:dyDescent="0.25">
      <c r="A428" s="62"/>
      <c r="B428" s="63"/>
      <c r="C428" s="62"/>
      <c r="D428" s="62"/>
      <c r="E428" s="62"/>
      <c r="F428" s="62"/>
      <c r="G428" s="62"/>
      <c r="H428" s="63"/>
      <c r="I428" s="63"/>
      <c r="J428" s="63"/>
      <c r="K428" s="62"/>
      <c r="L428" s="62"/>
      <c r="M428" s="64" t="str">
        <f ca="1">IF($A428="","",IF($G428="Did not pass re-test","Sent back again",IF($G428="Yes",IF(AND(ISNUMBER($J428),ISNUMBER($B428)),"Fixed in "&amp;($J428-$B428)&amp;" d","Accepted"),IF(SUMPRODUCT(--(TRIM('Combined Delivery Data'!$B$2:$B$500)=TRIM($A428)))=0,"Not on main tab - renamed?",IF(NOT(ISNUMBER($B428)),"Missing or invalid sent-back date",IF($B428&gt;TODAY(),"Sent-back date is in future",IF(ISNUMBER($J428),IF($J428&lt;$B428,"Check dates - fixed before sent","Fixed in "&amp;($J428-$B428)&amp;" d"),IF(AND($I428&lt;&gt;"",NOT(ISNUMBER($I428))),"Check Expected Fix Date",IF($I428="","UNCLAIMED "&amp;(TODAY()-$B428)&amp;" d",IF(TODAY()&gt;$I428,(TODAY()-$I428)&amp;" d LATE","Open "&amp;(TODAY()-$B428)&amp;" d"))))))))))</f>
        <v/>
      </c>
      <c r="O428" s="66">
        <f>'Combined Delivery Data'!B427</f>
        <v>0</v>
      </c>
      <c r="P428" s="66">
        <f t="shared" si="24"/>
        <v>0</v>
      </c>
      <c r="Q428" s="66">
        <f t="shared" si="25"/>
        <v>0</v>
      </c>
      <c r="R428" s="67" t="str">
        <f t="shared" si="26"/>
        <v/>
      </c>
      <c r="S428" s="66" t="str">
        <f t="shared" si="27"/>
        <v/>
      </c>
    </row>
    <row r="429" spans="1:19" x14ac:dyDescent="0.25">
      <c r="A429" s="62"/>
      <c r="B429" s="63"/>
      <c r="C429" s="62"/>
      <c r="D429" s="62"/>
      <c r="E429" s="62"/>
      <c r="F429" s="62"/>
      <c r="G429" s="62"/>
      <c r="H429" s="63"/>
      <c r="I429" s="63"/>
      <c r="J429" s="63"/>
      <c r="K429" s="62"/>
      <c r="L429" s="62"/>
      <c r="M429" s="64" t="str">
        <f ca="1">IF($A429="","",IF($G429="Did not pass re-test","Sent back again",IF($G429="Yes",IF(AND(ISNUMBER($J429),ISNUMBER($B429)),"Fixed in "&amp;($J429-$B429)&amp;" d","Accepted"),IF(SUMPRODUCT(--(TRIM('Combined Delivery Data'!$B$2:$B$500)=TRIM($A429)))=0,"Not on main tab - renamed?",IF(NOT(ISNUMBER($B429)),"Missing or invalid sent-back date",IF($B429&gt;TODAY(),"Sent-back date is in future",IF(ISNUMBER($J429),IF($J429&lt;$B429,"Check dates - fixed before sent","Fixed in "&amp;($J429-$B429)&amp;" d"),IF(AND($I429&lt;&gt;"",NOT(ISNUMBER($I429))),"Check Expected Fix Date",IF($I429="","UNCLAIMED "&amp;(TODAY()-$B429)&amp;" d",IF(TODAY()&gt;$I429,(TODAY()-$I429)&amp;" d LATE","Open "&amp;(TODAY()-$B429)&amp;" d"))))))))))</f>
        <v/>
      </c>
      <c r="O429" s="66">
        <f>'Combined Delivery Data'!B428</f>
        <v>0</v>
      </c>
      <c r="P429" s="66">
        <f t="shared" si="24"/>
        <v>0</v>
      </c>
      <c r="Q429" s="66">
        <f t="shared" si="25"/>
        <v>0</v>
      </c>
      <c r="R429" s="67" t="str">
        <f t="shared" si="26"/>
        <v/>
      </c>
      <c r="S429" s="66" t="str">
        <f t="shared" si="27"/>
        <v/>
      </c>
    </row>
    <row r="430" spans="1:19" x14ac:dyDescent="0.25">
      <c r="A430" s="62"/>
      <c r="B430" s="63"/>
      <c r="C430" s="62"/>
      <c r="D430" s="62"/>
      <c r="E430" s="62"/>
      <c r="F430" s="62"/>
      <c r="G430" s="62"/>
      <c r="H430" s="63"/>
      <c r="I430" s="63"/>
      <c r="J430" s="63"/>
      <c r="K430" s="62"/>
      <c r="L430" s="62"/>
      <c r="M430" s="64" t="str">
        <f ca="1">IF($A430="","",IF($G430="Did not pass re-test","Sent back again",IF($G430="Yes",IF(AND(ISNUMBER($J430),ISNUMBER($B430)),"Fixed in "&amp;($J430-$B430)&amp;" d","Accepted"),IF(SUMPRODUCT(--(TRIM('Combined Delivery Data'!$B$2:$B$500)=TRIM($A430)))=0,"Not on main tab - renamed?",IF(NOT(ISNUMBER($B430)),"Missing or invalid sent-back date",IF($B430&gt;TODAY(),"Sent-back date is in future",IF(ISNUMBER($J430),IF($J430&lt;$B430,"Check dates - fixed before sent","Fixed in "&amp;($J430-$B430)&amp;" d"),IF(AND($I430&lt;&gt;"",NOT(ISNUMBER($I430))),"Check Expected Fix Date",IF($I430="","UNCLAIMED "&amp;(TODAY()-$B430)&amp;" d",IF(TODAY()&gt;$I430,(TODAY()-$I430)&amp;" d LATE","Open "&amp;(TODAY()-$B430)&amp;" d"))))))))))</f>
        <v/>
      </c>
      <c r="O430" s="66">
        <f>'Combined Delivery Data'!B429</f>
        <v>0</v>
      </c>
      <c r="P430" s="66">
        <f t="shared" si="24"/>
        <v>0</v>
      </c>
      <c r="Q430" s="66">
        <f t="shared" si="25"/>
        <v>0</v>
      </c>
      <c r="R430" s="67" t="str">
        <f t="shared" si="26"/>
        <v/>
      </c>
      <c r="S430" s="66" t="str">
        <f t="shared" si="27"/>
        <v/>
      </c>
    </row>
    <row r="431" spans="1:19" x14ac:dyDescent="0.25">
      <c r="A431" s="62"/>
      <c r="B431" s="63"/>
      <c r="C431" s="62"/>
      <c r="D431" s="62"/>
      <c r="E431" s="62"/>
      <c r="F431" s="62"/>
      <c r="G431" s="62"/>
      <c r="H431" s="63"/>
      <c r="I431" s="63"/>
      <c r="J431" s="63"/>
      <c r="K431" s="62"/>
      <c r="L431" s="62"/>
      <c r="M431" s="64" t="str">
        <f ca="1">IF($A431="","",IF($G431="Did not pass re-test","Sent back again",IF($G431="Yes",IF(AND(ISNUMBER($J431),ISNUMBER($B431)),"Fixed in "&amp;($J431-$B431)&amp;" d","Accepted"),IF(SUMPRODUCT(--(TRIM('Combined Delivery Data'!$B$2:$B$500)=TRIM($A431)))=0,"Not on main tab - renamed?",IF(NOT(ISNUMBER($B431)),"Missing or invalid sent-back date",IF($B431&gt;TODAY(),"Sent-back date is in future",IF(ISNUMBER($J431),IF($J431&lt;$B431,"Check dates - fixed before sent","Fixed in "&amp;($J431-$B431)&amp;" d"),IF(AND($I431&lt;&gt;"",NOT(ISNUMBER($I431))),"Check Expected Fix Date",IF($I431="","UNCLAIMED "&amp;(TODAY()-$B431)&amp;" d",IF(TODAY()&gt;$I431,(TODAY()-$I431)&amp;" d LATE","Open "&amp;(TODAY()-$B431)&amp;" d"))))))))))</f>
        <v/>
      </c>
      <c r="O431" s="66">
        <f>'Combined Delivery Data'!B430</f>
        <v>0</v>
      </c>
      <c r="P431" s="66">
        <f t="shared" si="24"/>
        <v>0</v>
      </c>
      <c r="Q431" s="66">
        <f t="shared" si="25"/>
        <v>0</v>
      </c>
      <c r="R431" s="67" t="str">
        <f t="shared" si="26"/>
        <v/>
      </c>
      <c r="S431" s="66" t="str">
        <f t="shared" si="27"/>
        <v/>
      </c>
    </row>
    <row r="432" spans="1:19" x14ac:dyDescent="0.25">
      <c r="A432" s="62"/>
      <c r="B432" s="63"/>
      <c r="C432" s="62"/>
      <c r="D432" s="62"/>
      <c r="E432" s="62"/>
      <c r="F432" s="62"/>
      <c r="G432" s="62"/>
      <c r="H432" s="63"/>
      <c r="I432" s="63"/>
      <c r="J432" s="63"/>
      <c r="K432" s="62"/>
      <c r="L432" s="62"/>
      <c r="M432" s="64" t="str">
        <f ca="1">IF($A432="","",IF($G432="Did not pass re-test","Sent back again",IF($G432="Yes",IF(AND(ISNUMBER($J432),ISNUMBER($B432)),"Fixed in "&amp;($J432-$B432)&amp;" d","Accepted"),IF(SUMPRODUCT(--(TRIM('Combined Delivery Data'!$B$2:$B$500)=TRIM($A432)))=0,"Not on main tab - renamed?",IF(NOT(ISNUMBER($B432)),"Missing or invalid sent-back date",IF($B432&gt;TODAY(),"Sent-back date is in future",IF(ISNUMBER($J432),IF($J432&lt;$B432,"Check dates - fixed before sent","Fixed in "&amp;($J432-$B432)&amp;" d"),IF(AND($I432&lt;&gt;"",NOT(ISNUMBER($I432))),"Check Expected Fix Date",IF($I432="","UNCLAIMED "&amp;(TODAY()-$B432)&amp;" d",IF(TODAY()&gt;$I432,(TODAY()-$I432)&amp;" d LATE","Open "&amp;(TODAY()-$B432)&amp;" d"))))))))))</f>
        <v/>
      </c>
      <c r="O432" s="66">
        <f>'Combined Delivery Data'!B431</f>
        <v>0</v>
      </c>
      <c r="P432" s="66">
        <f t="shared" si="24"/>
        <v>0</v>
      </c>
      <c r="Q432" s="66">
        <f t="shared" si="25"/>
        <v>0</v>
      </c>
      <c r="R432" s="67" t="str">
        <f t="shared" si="26"/>
        <v/>
      </c>
      <c r="S432" s="66" t="str">
        <f t="shared" si="27"/>
        <v/>
      </c>
    </row>
    <row r="433" spans="1:19" x14ac:dyDescent="0.25">
      <c r="A433" s="62"/>
      <c r="B433" s="63"/>
      <c r="C433" s="62"/>
      <c r="D433" s="62"/>
      <c r="E433" s="62"/>
      <c r="F433" s="62"/>
      <c r="G433" s="62"/>
      <c r="H433" s="63"/>
      <c r="I433" s="63"/>
      <c r="J433" s="63"/>
      <c r="K433" s="62"/>
      <c r="L433" s="62"/>
      <c r="M433" s="64" t="str">
        <f ca="1">IF($A433="","",IF($G433="Did not pass re-test","Sent back again",IF($G433="Yes",IF(AND(ISNUMBER($J433),ISNUMBER($B433)),"Fixed in "&amp;($J433-$B433)&amp;" d","Accepted"),IF(SUMPRODUCT(--(TRIM('Combined Delivery Data'!$B$2:$B$500)=TRIM($A433)))=0,"Not on main tab - renamed?",IF(NOT(ISNUMBER($B433)),"Missing or invalid sent-back date",IF($B433&gt;TODAY(),"Sent-back date is in future",IF(ISNUMBER($J433),IF($J433&lt;$B433,"Check dates - fixed before sent","Fixed in "&amp;($J433-$B433)&amp;" d"),IF(AND($I433&lt;&gt;"",NOT(ISNUMBER($I433))),"Check Expected Fix Date",IF($I433="","UNCLAIMED "&amp;(TODAY()-$B433)&amp;" d",IF(TODAY()&gt;$I433,(TODAY()-$I433)&amp;" d LATE","Open "&amp;(TODAY()-$B433)&amp;" d"))))))))))</f>
        <v/>
      </c>
      <c r="O433" s="66">
        <f>'Combined Delivery Data'!B432</f>
        <v>0</v>
      </c>
      <c r="P433" s="66">
        <f t="shared" si="24"/>
        <v>0</v>
      </c>
      <c r="Q433" s="66">
        <f t="shared" si="25"/>
        <v>0</v>
      </c>
      <c r="R433" s="67" t="str">
        <f t="shared" si="26"/>
        <v/>
      </c>
      <c r="S433" s="66" t="str">
        <f t="shared" si="27"/>
        <v/>
      </c>
    </row>
    <row r="434" spans="1:19" x14ac:dyDescent="0.25">
      <c r="A434" s="62"/>
      <c r="B434" s="63"/>
      <c r="C434" s="62"/>
      <c r="D434" s="62"/>
      <c r="E434" s="62"/>
      <c r="F434" s="62"/>
      <c r="G434" s="62"/>
      <c r="H434" s="63"/>
      <c r="I434" s="63"/>
      <c r="J434" s="63"/>
      <c r="K434" s="62"/>
      <c r="L434" s="62"/>
      <c r="M434" s="64" t="str">
        <f ca="1">IF($A434="","",IF($G434="Did not pass re-test","Sent back again",IF($G434="Yes",IF(AND(ISNUMBER($J434),ISNUMBER($B434)),"Fixed in "&amp;($J434-$B434)&amp;" d","Accepted"),IF(SUMPRODUCT(--(TRIM('Combined Delivery Data'!$B$2:$B$500)=TRIM($A434)))=0,"Not on main tab - renamed?",IF(NOT(ISNUMBER($B434)),"Missing or invalid sent-back date",IF($B434&gt;TODAY(),"Sent-back date is in future",IF(ISNUMBER($J434),IF($J434&lt;$B434,"Check dates - fixed before sent","Fixed in "&amp;($J434-$B434)&amp;" d"),IF(AND($I434&lt;&gt;"",NOT(ISNUMBER($I434))),"Check Expected Fix Date",IF($I434="","UNCLAIMED "&amp;(TODAY()-$B434)&amp;" d",IF(TODAY()&gt;$I434,(TODAY()-$I434)&amp;" d LATE","Open "&amp;(TODAY()-$B434)&amp;" d"))))))))))</f>
        <v/>
      </c>
      <c r="O434" s="66">
        <f>'Combined Delivery Data'!B433</f>
        <v>0</v>
      </c>
      <c r="P434" s="66">
        <f t="shared" si="24"/>
        <v>0</v>
      </c>
      <c r="Q434" s="66">
        <f t="shared" si="25"/>
        <v>0</v>
      </c>
      <c r="R434" s="67" t="str">
        <f t="shared" si="26"/>
        <v/>
      </c>
      <c r="S434" s="66" t="str">
        <f t="shared" si="27"/>
        <v/>
      </c>
    </row>
    <row r="435" spans="1:19" x14ac:dyDescent="0.25">
      <c r="A435" s="62"/>
      <c r="B435" s="63"/>
      <c r="C435" s="62"/>
      <c r="D435" s="62"/>
      <c r="E435" s="62"/>
      <c r="F435" s="62"/>
      <c r="G435" s="62"/>
      <c r="H435" s="63"/>
      <c r="I435" s="63"/>
      <c r="J435" s="63"/>
      <c r="K435" s="62"/>
      <c r="L435" s="62"/>
      <c r="M435" s="64" t="str">
        <f ca="1">IF($A435="","",IF($G435="Did not pass re-test","Sent back again",IF($G435="Yes",IF(AND(ISNUMBER($J435),ISNUMBER($B435)),"Fixed in "&amp;($J435-$B435)&amp;" d","Accepted"),IF(SUMPRODUCT(--(TRIM('Combined Delivery Data'!$B$2:$B$500)=TRIM($A435)))=0,"Not on main tab - renamed?",IF(NOT(ISNUMBER($B435)),"Missing or invalid sent-back date",IF($B435&gt;TODAY(),"Sent-back date is in future",IF(ISNUMBER($J435),IF($J435&lt;$B435,"Check dates - fixed before sent","Fixed in "&amp;($J435-$B435)&amp;" d"),IF(AND($I435&lt;&gt;"",NOT(ISNUMBER($I435))),"Check Expected Fix Date",IF($I435="","UNCLAIMED "&amp;(TODAY()-$B435)&amp;" d",IF(TODAY()&gt;$I435,(TODAY()-$I435)&amp;" d LATE","Open "&amp;(TODAY()-$B435)&amp;" d"))))))))))</f>
        <v/>
      </c>
      <c r="O435" s="66">
        <f>'Combined Delivery Data'!B434</f>
        <v>0</v>
      </c>
      <c r="P435" s="66">
        <f t="shared" si="24"/>
        <v>0</v>
      </c>
      <c r="Q435" s="66">
        <f t="shared" si="25"/>
        <v>0</v>
      </c>
      <c r="R435" s="67" t="str">
        <f t="shared" si="26"/>
        <v/>
      </c>
      <c r="S435" s="66" t="str">
        <f t="shared" si="27"/>
        <v/>
      </c>
    </row>
    <row r="436" spans="1:19" x14ac:dyDescent="0.25">
      <c r="A436" s="62"/>
      <c r="B436" s="63"/>
      <c r="C436" s="62"/>
      <c r="D436" s="62"/>
      <c r="E436" s="62"/>
      <c r="F436" s="62"/>
      <c r="G436" s="62"/>
      <c r="H436" s="63"/>
      <c r="I436" s="63"/>
      <c r="J436" s="63"/>
      <c r="K436" s="62"/>
      <c r="L436" s="62"/>
      <c r="M436" s="64" t="str">
        <f ca="1">IF($A436="","",IF($G436="Did not pass re-test","Sent back again",IF($G436="Yes",IF(AND(ISNUMBER($J436),ISNUMBER($B436)),"Fixed in "&amp;($J436-$B436)&amp;" d","Accepted"),IF(SUMPRODUCT(--(TRIM('Combined Delivery Data'!$B$2:$B$500)=TRIM($A436)))=0,"Not on main tab - renamed?",IF(NOT(ISNUMBER($B436)),"Missing or invalid sent-back date",IF($B436&gt;TODAY(),"Sent-back date is in future",IF(ISNUMBER($J436),IF($J436&lt;$B436,"Check dates - fixed before sent","Fixed in "&amp;($J436-$B436)&amp;" d"),IF(AND($I436&lt;&gt;"",NOT(ISNUMBER($I436))),"Check Expected Fix Date",IF($I436="","UNCLAIMED "&amp;(TODAY()-$B436)&amp;" d",IF(TODAY()&gt;$I436,(TODAY()-$I436)&amp;" d LATE","Open "&amp;(TODAY()-$B436)&amp;" d"))))))))))</f>
        <v/>
      </c>
      <c r="O436" s="66">
        <f>'Combined Delivery Data'!B435</f>
        <v>0</v>
      </c>
      <c r="P436" s="66">
        <f t="shared" si="24"/>
        <v>0</v>
      </c>
      <c r="Q436" s="66">
        <f t="shared" si="25"/>
        <v>0</v>
      </c>
      <c r="R436" s="67" t="str">
        <f t="shared" si="26"/>
        <v/>
      </c>
      <c r="S436" s="66" t="str">
        <f t="shared" si="27"/>
        <v/>
      </c>
    </row>
    <row r="437" spans="1:19" x14ac:dyDescent="0.25">
      <c r="A437" s="62"/>
      <c r="B437" s="63"/>
      <c r="C437" s="62"/>
      <c r="D437" s="62"/>
      <c r="E437" s="62"/>
      <c r="F437" s="62"/>
      <c r="G437" s="62"/>
      <c r="H437" s="63"/>
      <c r="I437" s="63"/>
      <c r="J437" s="63"/>
      <c r="K437" s="62"/>
      <c r="L437" s="62"/>
      <c r="M437" s="64" t="str">
        <f ca="1">IF($A437="","",IF($G437="Did not pass re-test","Sent back again",IF($G437="Yes",IF(AND(ISNUMBER($J437),ISNUMBER($B437)),"Fixed in "&amp;($J437-$B437)&amp;" d","Accepted"),IF(SUMPRODUCT(--(TRIM('Combined Delivery Data'!$B$2:$B$500)=TRIM($A437)))=0,"Not on main tab - renamed?",IF(NOT(ISNUMBER($B437)),"Missing or invalid sent-back date",IF($B437&gt;TODAY(),"Sent-back date is in future",IF(ISNUMBER($J437),IF($J437&lt;$B437,"Check dates - fixed before sent","Fixed in "&amp;($J437-$B437)&amp;" d"),IF(AND($I437&lt;&gt;"",NOT(ISNUMBER($I437))),"Check Expected Fix Date",IF($I437="","UNCLAIMED "&amp;(TODAY()-$B437)&amp;" d",IF(TODAY()&gt;$I437,(TODAY()-$I437)&amp;" d LATE","Open "&amp;(TODAY()-$B437)&amp;" d"))))))))))</f>
        <v/>
      </c>
      <c r="O437" s="66">
        <f>'Combined Delivery Data'!B436</f>
        <v>0</v>
      </c>
      <c r="P437" s="66">
        <f t="shared" si="24"/>
        <v>0</v>
      </c>
      <c r="Q437" s="66">
        <f t="shared" si="25"/>
        <v>0</v>
      </c>
      <c r="R437" s="67" t="str">
        <f t="shared" si="26"/>
        <v/>
      </c>
      <c r="S437" s="66" t="str">
        <f t="shared" si="27"/>
        <v/>
      </c>
    </row>
    <row r="438" spans="1:19" x14ac:dyDescent="0.25">
      <c r="A438" s="62"/>
      <c r="B438" s="63"/>
      <c r="C438" s="62"/>
      <c r="D438" s="62"/>
      <c r="E438" s="62"/>
      <c r="F438" s="62"/>
      <c r="G438" s="62"/>
      <c r="H438" s="63"/>
      <c r="I438" s="63"/>
      <c r="J438" s="63"/>
      <c r="K438" s="62"/>
      <c r="L438" s="62"/>
      <c r="M438" s="64" t="str">
        <f ca="1">IF($A438="","",IF($G438="Did not pass re-test","Sent back again",IF($G438="Yes",IF(AND(ISNUMBER($J438),ISNUMBER($B438)),"Fixed in "&amp;($J438-$B438)&amp;" d","Accepted"),IF(SUMPRODUCT(--(TRIM('Combined Delivery Data'!$B$2:$B$500)=TRIM($A438)))=0,"Not on main tab - renamed?",IF(NOT(ISNUMBER($B438)),"Missing or invalid sent-back date",IF($B438&gt;TODAY(),"Sent-back date is in future",IF(ISNUMBER($J438),IF($J438&lt;$B438,"Check dates - fixed before sent","Fixed in "&amp;($J438-$B438)&amp;" d"),IF(AND($I438&lt;&gt;"",NOT(ISNUMBER($I438))),"Check Expected Fix Date",IF($I438="","UNCLAIMED "&amp;(TODAY()-$B438)&amp;" d",IF(TODAY()&gt;$I438,(TODAY()-$I438)&amp;" d LATE","Open "&amp;(TODAY()-$B438)&amp;" d"))))))))))</f>
        <v/>
      </c>
      <c r="O438" s="66">
        <f>'Combined Delivery Data'!B437</f>
        <v>0</v>
      </c>
      <c r="P438" s="66">
        <f t="shared" si="24"/>
        <v>0</v>
      </c>
      <c r="Q438" s="66">
        <f t="shared" si="25"/>
        <v>0</v>
      </c>
      <c r="R438" s="67" t="str">
        <f t="shared" si="26"/>
        <v/>
      </c>
      <c r="S438" s="66" t="str">
        <f t="shared" si="27"/>
        <v/>
      </c>
    </row>
    <row r="439" spans="1:19" x14ac:dyDescent="0.25">
      <c r="A439" s="62"/>
      <c r="B439" s="63"/>
      <c r="C439" s="62"/>
      <c r="D439" s="62"/>
      <c r="E439" s="62"/>
      <c r="F439" s="62"/>
      <c r="G439" s="62"/>
      <c r="H439" s="63"/>
      <c r="I439" s="63"/>
      <c r="J439" s="63"/>
      <c r="K439" s="62"/>
      <c r="L439" s="62"/>
      <c r="M439" s="64" t="str">
        <f ca="1">IF($A439="","",IF($G439="Did not pass re-test","Sent back again",IF($G439="Yes",IF(AND(ISNUMBER($J439),ISNUMBER($B439)),"Fixed in "&amp;($J439-$B439)&amp;" d","Accepted"),IF(SUMPRODUCT(--(TRIM('Combined Delivery Data'!$B$2:$B$500)=TRIM($A439)))=0,"Not on main tab - renamed?",IF(NOT(ISNUMBER($B439)),"Missing or invalid sent-back date",IF($B439&gt;TODAY(),"Sent-back date is in future",IF(ISNUMBER($J439),IF($J439&lt;$B439,"Check dates - fixed before sent","Fixed in "&amp;($J439-$B439)&amp;" d"),IF(AND($I439&lt;&gt;"",NOT(ISNUMBER($I439))),"Check Expected Fix Date",IF($I439="","UNCLAIMED "&amp;(TODAY()-$B439)&amp;" d",IF(TODAY()&gt;$I439,(TODAY()-$I439)&amp;" d LATE","Open "&amp;(TODAY()-$B439)&amp;" d"))))))))))</f>
        <v/>
      </c>
      <c r="O439" s="66">
        <f>'Combined Delivery Data'!B438</f>
        <v>0</v>
      </c>
      <c r="P439" s="66">
        <f t="shared" si="24"/>
        <v>0</v>
      </c>
      <c r="Q439" s="66">
        <f t="shared" si="25"/>
        <v>0</v>
      </c>
      <c r="R439" s="67" t="str">
        <f t="shared" si="26"/>
        <v/>
      </c>
      <c r="S439" s="66" t="str">
        <f t="shared" si="27"/>
        <v/>
      </c>
    </row>
    <row r="440" spans="1:19" x14ac:dyDescent="0.25">
      <c r="A440" s="62"/>
      <c r="B440" s="63"/>
      <c r="C440" s="62"/>
      <c r="D440" s="62"/>
      <c r="E440" s="62"/>
      <c r="F440" s="62"/>
      <c r="G440" s="62"/>
      <c r="H440" s="63"/>
      <c r="I440" s="63"/>
      <c r="J440" s="63"/>
      <c r="K440" s="62"/>
      <c r="L440" s="62"/>
      <c r="M440" s="64" t="str">
        <f ca="1">IF($A440="","",IF($G440="Did not pass re-test","Sent back again",IF($G440="Yes",IF(AND(ISNUMBER($J440),ISNUMBER($B440)),"Fixed in "&amp;($J440-$B440)&amp;" d","Accepted"),IF(SUMPRODUCT(--(TRIM('Combined Delivery Data'!$B$2:$B$500)=TRIM($A440)))=0,"Not on main tab - renamed?",IF(NOT(ISNUMBER($B440)),"Missing or invalid sent-back date",IF($B440&gt;TODAY(),"Sent-back date is in future",IF(ISNUMBER($J440),IF($J440&lt;$B440,"Check dates - fixed before sent","Fixed in "&amp;($J440-$B440)&amp;" d"),IF(AND($I440&lt;&gt;"",NOT(ISNUMBER($I440))),"Check Expected Fix Date",IF($I440="","UNCLAIMED "&amp;(TODAY()-$B440)&amp;" d",IF(TODAY()&gt;$I440,(TODAY()-$I440)&amp;" d LATE","Open "&amp;(TODAY()-$B440)&amp;" d"))))))))))</f>
        <v/>
      </c>
      <c r="O440" s="66">
        <f>'Combined Delivery Data'!B439</f>
        <v>0</v>
      </c>
      <c r="P440" s="66">
        <f t="shared" si="24"/>
        <v>0</v>
      </c>
      <c r="Q440" s="66">
        <f t="shared" si="25"/>
        <v>0</v>
      </c>
      <c r="R440" s="67" t="str">
        <f t="shared" si="26"/>
        <v/>
      </c>
      <c r="S440" s="66" t="str">
        <f t="shared" si="27"/>
        <v/>
      </c>
    </row>
    <row r="441" spans="1:19" x14ac:dyDescent="0.25">
      <c r="A441" s="62"/>
      <c r="B441" s="63"/>
      <c r="C441" s="62"/>
      <c r="D441" s="62"/>
      <c r="E441" s="62"/>
      <c r="F441" s="62"/>
      <c r="G441" s="62"/>
      <c r="H441" s="63"/>
      <c r="I441" s="63"/>
      <c r="J441" s="63"/>
      <c r="K441" s="62"/>
      <c r="L441" s="62"/>
      <c r="M441" s="64" t="str">
        <f ca="1">IF($A441="","",IF($G441="Did not pass re-test","Sent back again",IF($G441="Yes",IF(AND(ISNUMBER($J441),ISNUMBER($B441)),"Fixed in "&amp;($J441-$B441)&amp;" d","Accepted"),IF(SUMPRODUCT(--(TRIM('Combined Delivery Data'!$B$2:$B$500)=TRIM($A441)))=0,"Not on main tab - renamed?",IF(NOT(ISNUMBER($B441)),"Missing or invalid sent-back date",IF($B441&gt;TODAY(),"Sent-back date is in future",IF(ISNUMBER($J441),IF($J441&lt;$B441,"Check dates - fixed before sent","Fixed in "&amp;($J441-$B441)&amp;" d"),IF(AND($I441&lt;&gt;"",NOT(ISNUMBER($I441))),"Check Expected Fix Date",IF($I441="","UNCLAIMED "&amp;(TODAY()-$B441)&amp;" d",IF(TODAY()&gt;$I441,(TODAY()-$I441)&amp;" d LATE","Open "&amp;(TODAY()-$B441)&amp;" d"))))))))))</f>
        <v/>
      </c>
      <c r="O441" s="66">
        <f>'Combined Delivery Data'!B440</f>
        <v>0</v>
      </c>
      <c r="P441" s="66">
        <f t="shared" si="24"/>
        <v>0</v>
      </c>
      <c r="Q441" s="66">
        <f t="shared" si="25"/>
        <v>0</v>
      </c>
      <c r="R441" s="67" t="str">
        <f t="shared" si="26"/>
        <v/>
      </c>
      <c r="S441" s="66" t="str">
        <f t="shared" si="27"/>
        <v/>
      </c>
    </row>
    <row r="442" spans="1:19" x14ac:dyDescent="0.25">
      <c r="A442" s="62"/>
      <c r="B442" s="63"/>
      <c r="C442" s="62"/>
      <c r="D442" s="62"/>
      <c r="E442" s="62"/>
      <c r="F442" s="62"/>
      <c r="G442" s="62"/>
      <c r="H442" s="63"/>
      <c r="I442" s="63"/>
      <c r="J442" s="63"/>
      <c r="K442" s="62"/>
      <c r="L442" s="62"/>
      <c r="M442" s="64" t="str">
        <f ca="1">IF($A442="","",IF($G442="Did not pass re-test","Sent back again",IF($G442="Yes",IF(AND(ISNUMBER($J442),ISNUMBER($B442)),"Fixed in "&amp;($J442-$B442)&amp;" d","Accepted"),IF(SUMPRODUCT(--(TRIM('Combined Delivery Data'!$B$2:$B$500)=TRIM($A442)))=0,"Not on main tab - renamed?",IF(NOT(ISNUMBER($B442)),"Missing or invalid sent-back date",IF($B442&gt;TODAY(),"Sent-back date is in future",IF(ISNUMBER($J442),IF($J442&lt;$B442,"Check dates - fixed before sent","Fixed in "&amp;($J442-$B442)&amp;" d"),IF(AND($I442&lt;&gt;"",NOT(ISNUMBER($I442))),"Check Expected Fix Date",IF($I442="","UNCLAIMED "&amp;(TODAY()-$B442)&amp;" d",IF(TODAY()&gt;$I442,(TODAY()-$I442)&amp;" d LATE","Open "&amp;(TODAY()-$B442)&amp;" d"))))))))))</f>
        <v/>
      </c>
      <c r="O442" s="66">
        <f>'Combined Delivery Data'!B441</f>
        <v>0</v>
      </c>
      <c r="P442" s="66">
        <f t="shared" si="24"/>
        <v>0</v>
      </c>
      <c r="Q442" s="66">
        <f t="shared" si="25"/>
        <v>0</v>
      </c>
      <c r="R442" s="67" t="str">
        <f t="shared" si="26"/>
        <v/>
      </c>
      <c r="S442" s="66" t="str">
        <f t="shared" si="27"/>
        <v/>
      </c>
    </row>
    <row r="443" spans="1:19" x14ac:dyDescent="0.25">
      <c r="A443" s="62"/>
      <c r="B443" s="63"/>
      <c r="C443" s="62"/>
      <c r="D443" s="62"/>
      <c r="E443" s="62"/>
      <c r="F443" s="62"/>
      <c r="G443" s="62"/>
      <c r="H443" s="63"/>
      <c r="I443" s="63"/>
      <c r="J443" s="63"/>
      <c r="K443" s="62"/>
      <c r="L443" s="62"/>
      <c r="M443" s="64" t="str">
        <f ca="1">IF($A443="","",IF($G443="Did not pass re-test","Sent back again",IF($G443="Yes",IF(AND(ISNUMBER($J443),ISNUMBER($B443)),"Fixed in "&amp;($J443-$B443)&amp;" d","Accepted"),IF(SUMPRODUCT(--(TRIM('Combined Delivery Data'!$B$2:$B$500)=TRIM($A443)))=0,"Not on main tab - renamed?",IF(NOT(ISNUMBER($B443)),"Missing or invalid sent-back date",IF($B443&gt;TODAY(),"Sent-back date is in future",IF(ISNUMBER($J443),IF($J443&lt;$B443,"Check dates - fixed before sent","Fixed in "&amp;($J443-$B443)&amp;" d"),IF(AND($I443&lt;&gt;"",NOT(ISNUMBER($I443))),"Check Expected Fix Date",IF($I443="","UNCLAIMED "&amp;(TODAY()-$B443)&amp;" d",IF(TODAY()&gt;$I443,(TODAY()-$I443)&amp;" d LATE","Open "&amp;(TODAY()-$B443)&amp;" d"))))))))))</f>
        <v/>
      </c>
      <c r="O443" s="66">
        <f>'Combined Delivery Data'!B442</f>
        <v>0</v>
      </c>
      <c r="P443" s="66">
        <f t="shared" si="24"/>
        <v>0</v>
      </c>
      <c r="Q443" s="66">
        <f t="shared" si="25"/>
        <v>0</v>
      </c>
      <c r="R443" s="67" t="str">
        <f t="shared" si="26"/>
        <v/>
      </c>
      <c r="S443" s="66" t="str">
        <f t="shared" si="27"/>
        <v/>
      </c>
    </row>
    <row r="444" spans="1:19" x14ac:dyDescent="0.25">
      <c r="A444" s="62"/>
      <c r="B444" s="63"/>
      <c r="C444" s="62"/>
      <c r="D444" s="62"/>
      <c r="E444" s="62"/>
      <c r="F444" s="62"/>
      <c r="G444" s="62"/>
      <c r="H444" s="63"/>
      <c r="I444" s="63"/>
      <c r="J444" s="63"/>
      <c r="K444" s="62"/>
      <c r="L444" s="62"/>
      <c r="M444" s="64" t="str">
        <f ca="1">IF($A444="","",IF($G444="Did not pass re-test","Sent back again",IF($G444="Yes",IF(AND(ISNUMBER($J444),ISNUMBER($B444)),"Fixed in "&amp;($J444-$B444)&amp;" d","Accepted"),IF(SUMPRODUCT(--(TRIM('Combined Delivery Data'!$B$2:$B$500)=TRIM($A444)))=0,"Not on main tab - renamed?",IF(NOT(ISNUMBER($B444)),"Missing or invalid sent-back date",IF($B444&gt;TODAY(),"Sent-back date is in future",IF(ISNUMBER($J444),IF($J444&lt;$B444,"Check dates - fixed before sent","Fixed in "&amp;($J444-$B444)&amp;" d"),IF(AND($I444&lt;&gt;"",NOT(ISNUMBER($I444))),"Check Expected Fix Date",IF($I444="","UNCLAIMED "&amp;(TODAY()-$B444)&amp;" d",IF(TODAY()&gt;$I444,(TODAY()-$I444)&amp;" d LATE","Open "&amp;(TODAY()-$B444)&amp;" d"))))))))))</f>
        <v/>
      </c>
      <c r="O444" s="66">
        <f>'Combined Delivery Data'!B443</f>
        <v>0</v>
      </c>
      <c r="P444" s="66">
        <f t="shared" si="24"/>
        <v>0</v>
      </c>
      <c r="Q444" s="66">
        <f t="shared" si="25"/>
        <v>0</v>
      </c>
      <c r="R444" s="67" t="str">
        <f t="shared" si="26"/>
        <v/>
      </c>
      <c r="S444" s="66" t="str">
        <f t="shared" si="27"/>
        <v/>
      </c>
    </row>
    <row r="445" spans="1:19" x14ac:dyDescent="0.25">
      <c r="A445" s="62"/>
      <c r="B445" s="63"/>
      <c r="C445" s="62"/>
      <c r="D445" s="62"/>
      <c r="E445" s="62"/>
      <c r="F445" s="62"/>
      <c r="G445" s="62"/>
      <c r="H445" s="63"/>
      <c r="I445" s="63"/>
      <c r="J445" s="63"/>
      <c r="K445" s="62"/>
      <c r="L445" s="62"/>
      <c r="M445" s="64" t="str">
        <f ca="1">IF($A445="","",IF($G445="Did not pass re-test","Sent back again",IF($G445="Yes",IF(AND(ISNUMBER($J445),ISNUMBER($B445)),"Fixed in "&amp;($J445-$B445)&amp;" d","Accepted"),IF(SUMPRODUCT(--(TRIM('Combined Delivery Data'!$B$2:$B$500)=TRIM($A445)))=0,"Not on main tab - renamed?",IF(NOT(ISNUMBER($B445)),"Missing or invalid sent-back date",IF($B445&gt;TODAY(),"Sent-back date is in future",IF(ISNUMBER($J445),IF($J445&lt;$B445,"Check dates - fixed before sent","Fixed in "&amp;($J445-$B445)&amp;" d"),IF(AND($I445&lt;&gt;"",NOT(ISNUMBER($I445))),"Check Expected Fix Date",IF($I445="","UNCLAIMED "&amp;(TODAY()-$B445)&amp;" d",IF(TODAY()&gt;$I445,(TODAY()-$I445)&amp;" d LATE","Open "&amp;(TODAY()-$B445)&amp;" d"))))))))))</f>
        <v/>
      </c>
      <c r="O445" s="66">
        <f>'Combined Delivery Data'!B444</f>
        <v>0</v>
      </c>
      <c r="P445" s="66">
        <f t="shared" si="24"/>
        <v>0</v>
      </c>
      <c r="Q445" s="66">
        <f t="shared" si="25"/>
        <v>0</v>
      </c>
      <c r="R445" s="67" t="str">
        <f t="shared" si="26"/>
        <v/>
      </c>
      <c r="S445" s="66" t="str">
        <f t="shared" si="27"/>
        <v/>
      </c>
    </row>
    <row r="446" spans="1:19" x14ac:dyDescent="0.25">
      <c r="A446" s="62"/>
      <c r="B446" s="63"/>
      <c r="C446" s="62"/>
      <c r="D446" s="62"/>
      <c r="E446" s="62"/>
      <c r="F446" s="62"/>
      <c r="G446" s="62"/>
      <c r="H446" s="63"/>
      <c r="I446" s="63"/>
      <c r="J446" s="63"/>
      <c r="K446" s="62"/>
      <c r="L446" s="62"/>
      <c r="M446" s="64" t="str">
        <f ca="1">IF($A446="","",IF($G446="Did not pass re-test","Sent back again",IF($G446="Yes",IF(AND(ISNUMBER($J446),ISNUMBER($B446)),"Fixed in "&amp;($J446-$B446)&amp;" d","Accepted"),IF(SUMPRODUCT(--(TRIM('Combined Delivery Data'!$B$2:$B$500)=TRIM($A446)))=0,"Not on main tab - renamed?",IF(NOT(ISNUMBER($B446)),"Missing or invalid sent-back date",IF($B446&gt;TODAY(),"Sent-back date is in future",IF(ISNUMBER($J446),IF($J446&lt;$B446,"Check dates - fixed before sent","Fixed in "&amp;($J446-$B446)&amp;" d"),IF(AND($I446&lt;&gt;"",NOT(ISNUMBER($I446))),"Check Expected Fix Date",IF($I446="","UNCLAIMED "&amp;(TODAY()-$B446)&amp;" d",IF(TODAY()&gt;$I446,(TODAY()-$I446)&amp;" d LATE","Open "&amp;(TODAY()-$B446)&amp;" d"))))))))))</f>
        <v/>
      </c>
      <c r="O446" s="66">
        <f>'Combined Delivery Data'!B445</f>
        <v>0</v>
      </c>
      <c r="P446" s="66">
        <f t="shared" si="24"/>
        <v>0</v>
      </c>
      <c r="Q446" s="66">
        <f t="shared" si="25"/>
        <v>0</v>
      </c>
      <c r="R446" s="67" t="str">
        <f t="shared" si="26"/>
        <v/>
      </c>
      <c r="S446" s="66" t="str">
        <f t="shared" si="27"/>
        <v/>
      </c>
    </row>
    <row r="447" spans="1:19" x14ac:dyDescent="0.25">
      <c r="A447" s="62"/>
      <c r="B447" s="63"/>
      <c r="C447" s="62"/>
      <c r="D447" s="62"/>
      <c r="E447" s="62"/>
      <c r="F447" s="62"/>
      <c r="G447" s="62"/>
      <c r="H447" s="63"/>
      <c r="I447" s="63"/>
      <c r="J447" s="63"/>
      <c r="K447" s="62"/>
      <c r="L447" s="62"/>
      <c r="M447" s="64" t="str">
        <f ca="1">IF($A447="","",IF($G447="Did not pass re-test","Sent back again",IF($G447="Yes",IF(AND(ISNUMBER($J447),ISNUMBER($B447)),"Fixed in "&amp;($J447-$B447)&amp;" d","Accepted"),IF(SUMPRODUCT(--(TRIM('Combined Delivery Data'!$B$2:$B$500)=TRIM($A447)))=0,"Not on main tab - renamed?",IF(NOT(ISNUMBER($B447)),"Missing or invalid sent-back date",IF($B447&gt;TODAY(),"Sent-back date is in future",IF(ISNUMBER($J447),IF($J447&lt;$B447,"Check dates - fixed before sent","Fixed in "&amp;($J447-$B447)&amp;" d"),IF(AND($I447&lt;&gt;"",NOT(ISNUMBER($I447))),"Check Expected Fix Date",IF($I447="","UNCLAIMED "&amp;(TODAY()-$B447)&amp;" d",IF(TODAY()&gt;$I447,(TODAY()-$I447)&amp;" d LATE","Open "&amp;(TODAY()-$B447)&amp;" d"))))))))))</f>
        <v/>
      </c>
      <c r="O447" s="66">
        <f>'Combined Delivery Data'!B446</f>
        <v>0</v>
      </c>
      <c r="P447" s="66">
        <f t="shared" si="24"/>
        <v>0</v>
      </c>
      <c r="Q447" s="66">
        <f t="shared" si="25"/>
        <v>0</v>
      </c>
      <c r="R447" s="67" t="str">
        <f t="shared" si="26"/>
        <v/>
      </c>
      <c r="S447" s="66" t="str">
        <f t="shared" si="27"/>
        <v/>
      </c>
    </row>
    <row r="448" spans="1:19" x14ac:dyDescent="0.25">
      <c r="A448" s="62"/>
      <c r="B448" s="63"/>
      <c r="C448" s="62"/>
      <c r="D448" s="62"/>
      <c r="E448" s="62"/>
      <c r="F448" s="62"/>
      <c r="G448" s="62"/>
      <c r="H448" s="63"/>
      <c r="I448" s="63"/>
      <c r="J448" s="63"/>
      <c r="K448" s="62"/>
      <c r="L448" s="62"/>
      <c r="M448" s="64" t="str">
        <f ca="1">IF($A448="","",IF($G448="Did not pass re-test","Sent back again",IF($G448="Yes",IF(AND(ISNUMBER($J448),ISNUMBER($B448)),"Fixed in "&amp;($J448-$B448)&amp;" d","Accepted"),IF(SUMPRODUCT(--(TRIM('Combined Delivery Data'!$B$2:$B$500)=TRIM($A448)))=0,"Not on main tab - renamed?",IF(NOT(ISNUMBER($B448)),"Missing or invalid sent-back date",IF($B448&gt;TODAY(),"Sent-back date is in future",IF(ISNUMBER($J448),IF($J448&lt;$B448,"Check dates - fixed before sent","Fixed in "&amp;($J448-$B448)&amp;" d"),IF(AND($I448&lt;&gt;"",NOT(ISNUMBER($I448))),"Check Expected Fix Date",IF($I448="","UNCLAIMED "&amp;(TODAY()-$B448)&amp;" d",IF(TODAY()&gt;$I448,(TODAY()-$I448)&amp;" d LATE","Open "&amp;(TODAY()-$B448)&amp;" d"))))))))))</f>
        <v/>
      </c>
      <c r="O448" s="66">
        <f>'Combined Delivery Data'!B447</f>
        <v>0</v>
      </c>
      <c r="P448" s="66">
        <f t="shared" si="24"/>
        <v>0</v>
      </c>
      <c r="Q448" s="66">
        <f t="shared" si="25"/>
        <v>0</v>
      </c>
      <c r="R448" s="67" t="str">
        <f t="shared" si="26"/>
        <v/>
      </c>
      <c r="S448" s="66" t="str">
        <f t="shared" si="27"/>
        <v/>
      </c>
    </row>
    <row r="449" spans="1:19" x14ac:dyDescent="0.25">
      <c r="A449" s="62"/>
      <c r="B449" s="63"/>
      <c r="C449" s="62"/>
      <c r="D449" s="62"/>
      <c r="E449" s="62"/>
      <c r="F449" s="62"/>
      <c r="G449" s="62"/>
      <c r="H449" s="63"/>
      <c r="I449" s="63"/>
      <c r="J449" s="63"/>
      <c r="K449" s="62"/>
      <c r="L449" s="62"/>
      <c r="M449" s="64" t="str">
        <f ca="1">IF($A449="","",IF($G449="Did not pass re-test","Sent back again",IF($G449="Yes",IF(AND(ISNUMBER($J449),ISNUMBER($B449)),"Fixed in "&amp;($J449-$B449)&amp;" d","Accepted"),IF(SUMPRODUCT(--(TRIM('Combined Delivery Data'!$B$2:$B$500)=TRIM($A449)))=0,"Not on main tab - renamed?",IF(NOT(ISNUMBER($B449)),"Missing or invalid sent-back date",IF($B449&gt;TODAY(),"Sent-back date is in future",IF(ISNUMBER($J449),IF($J449&lt;$B449,"Check dates - fixed before sent","Fixed in "&amp;($J449-$B449)&amp;" d"),IF(AND($I449&lt;&gt;"",NOT(ISNUMBER($I449))),"Check Expected Fix Date",IF($I449="","UNCLAIMED "&amp;(TODAY()-$B449)&amp;" d",IF(TODAY()&gt;$I449,(TODAY()-$I449)&amp;" d LATE","Open "&amp;(TODAY()-$B449)&amp;" d"))))))))))</f>
        <v/>
      </c>
      <c r="O449" s="66">
        <f>'Combined Delivery Data'!B448</f>
        <v>0</v>
      </c>
      <c r="P449" s="66">
        <f t="shared" si="24"/>
        <v>0</v>
      </c>
      <c r="Q449" s="66">
        <f t="shared" si="25"/>
        <v>0</v>
      </c>
      <c r="R449" s="67" t="str">
        <f t="shared" si="26"/>
        <v/>
      </c>
      <c r="S449" s="66" t="str">
        <f t="shared" si="27"/>
        <v/>
      </c>
    </row>
    <row r="450" spans="1:19" x14ac:dyDescent="0.25">
      <c r="A450" s="62"/>
      <c r="B450" s="63"/>
      <c r="C450" s="62"/>
      <c r="D450" s="62"/>
      <c r="E450" s="62"/>
      <c r="F450" s="62"/>
      <c r="G450" s="62"/>
      <c r="H450" s="63"/>
      <c r="I450" s="63"/>
      <c r="J450" s="63"/>
      <c r="K450" s="62"/>
      <c r="L450" s="62"/>
      <c r="M450" s="64" t="str">
        <f ca="1">IF($A450="","",IF($G450="Did not pass re-test","Sent back again",IF($G450="Yes",IF(AND(ISNUMBER($J450),ISNUMBER($B450)),"Fixed in "&amp;($J450-$B450)&amp;" d","Accepted"),IF(SUMPRODUCT(--(TRIM('Combined Delivery Data'!$B$2:$B$500)=TRIM($A450)))=0,"Not on main tab - renamed?",IF(NOT(ISNUMBER($B450)),"Missing or invalid sent-back date",IF($B450&gt;TODAY(),"Sent-back date is in future",IF(ISNUMBER($J450),IF($J450&lt;$B450,"Check dates - fixed before sent","Fixed in "&amp;($J450-$B450)&amp;" d"),IF(AND($I450&lt;&gt;"",NOT(ISNUMBER($I450))),"Check Expected Fix Date",IF($I450="","UNCLAIMED "&amp;(TODAY()-$B450)&amp;" d",IF(TODAY()&gt;$I450,(TODAY()-$I450)&amp;" d LATE","Open "&amp;(TODAY()-$B450)&amp;" d"))))))))))</f>
        <v/>
      </c>
      <c r="O450" s="66">
        <f>'Combined Delivery Data'!B449</f>
        <v>0</v>
      </c>
      <c r="P450" s="66">
        <f t="shared" si="24"/>
        <v>0</v>
      </c>
      <c r="Q450" s="66">
        <f t="shared" si="25"/>
        <v>0</v>
      </c>
      <c r="R450" s="67" t="str">
        <f t="shared" si="26"/>
        <v/>
      </c>
      <c r="S450" s="66" t="str">
        <f t="shared" si="27"/>
        <v/>
      </c>
    </row>
    <row r="451" spans="1:19" x14ac:dyDescent="0.25">
      <c r="A451" s="62"/>
      <c r="B451" s="63"/>
      <c r="C451" s="62"/>
      <c r="D451" s="62"/>
      <c r="E451" s="62"/>
      <c r="F451" s="62"/>
      <c r="G451" s="62"/>
      <c r="H451" s="63"/>
      <c r="I451" s="63"/>
      <c r="J451" s="63"/>
      <c r="K451" s="62"/>
      <c r="L451" s="62"/>
      <c r="M451" s="64" t="str">
        <f ca="1">IF($A451="","",IF($G451="Did not pass re-test","Sent back again",IF($G451="Yes",IF(AND(ISNUMBER($J451),ISNUMBER($B451)),"Fixed in "&amp;($J451-$B451)&amp;" d","Accepted"),IF(SUMPRODUCT(--(TRIM('Combined Delivery Data'!$B$2:$B$500)=TRIM($A451)))=0,"Not on main tab - renamed?",IF(NOT(ISNUMBER($B451)),"Missing or invalid sent-back date",IF($B451&gt;TODAY(),"Sent-back date is in future",IF(ISNUMBER($J451),IF($J451&lt;$B451,"Check dates - fixed before sent","Fixed in "&amp;($J451-$B451)&amp;" d"),IF(AND($I451&lt;&gt;"",NOT(ISNUMBER($I451))),"Check Expected Fix Date",IF($I451="","UNCLAIMED "&amp;(TODAY()-$B451)&amp;" d",IF(TODAY()&gt;$I451,(TODAY()-$I451)&amp;" d LATE","Open "&amp;(TODAY()-$B451)&amp;" d"))))))))))</f>
        <v/>
      </c>
      <c r="O451" s="66">
        <f>'Combined Delivery Data'!B450</f>
        <v>0</v>
      </c>
      <c r="P451" s="66">
        <f t="shared" ref="P451:P500" si="28">IF($O451="","",SUMPRODUCT(--(TRIM($A$3:$A$500)=TRIM($O451))))</f>
        <v>0</v>
      </c>
      <c r="Q451" s="66">
        <f t="shared" ref="Q451:Q500" si="29">IF($O451="","",SUMPRODUCT((TRIM($A$3:$A$500)=TRIM($O451))*($G$3:$G$500&lt;&gt;"Yes")*($G$3:$G$500&lt;&gt;"Did not pass re-test")))</f>
        <v>0</v>
      </c>
      <c r="R451" s="67" t="str">
        <f t="shared" ref="R451:R500" si="30">IF($O451="","",IF(SUMPRODUCT(MAX((TRIM($A$3:$A$500)=TRIM($O451))*ROW($A$3:$A$500)))=0,"",INDEX($B:$B,SUMPRODUCT(MAX((TRIM($A$3:$A$500)=TRIM($O451))*ROW($A$3:$A$500))))))</f>
        <v/>
      </c>
      <c r="S451" s="66" t="str">
        <f t="shared" ref="S451:S500" si="31">IF($O451="","",IF(SUMPRODUCT(MAX((TRIM($A$3:$A$500)=TRIM($O451))*ROW($A$3:$A$500)))=0,"",INDEX($C:$C,SUMPRODUCT(MAX((TRIM($A$3:$A$500)=TRIM($O451))*ROW($A$3:$A$500))))&amp;" -&gt; "&amp;INDEX($D:$D,SUMPRODUCT(MAX((TRIM($A$3:$A$500)=TRIM($O451))*ROW($A$3:$A$500))))))</f>
        <v/>
      </c>
    </row>
    <row r="452" spans="1:19" x14ac:dyDescent="0.25">
      <c r="A452" s="62"/>
      <c r="B452" s="63"/>
      <c r="C452" s="62"/>
      <c r="D452" s="62"/>
      <c r="E452" s="62"/>
      <c r="F452" s="62"/>
      <c r="G452" s="62"/>
      <c r="H452" s="63"/>
      <c r="I452" s="63"/>
      <c r="J452" s="63"/>
      <c r="K452" s="62"/>
      <c r="L452" s="62"/>
      <c r="M452" s="64" t="str">
        <f ca="1">IF($A452="","",IF($G452="Did not pass re-test","Sent back again",IF($G452="Yes",IF(AND(ISNUMBER($J452),ISNUMBER($B452)),"Fixed in "&amp;($J452-$B452)&amp;" d","Accepted"),IF(SUMPRODUCT(--(TRIM('Combined Delivery Data'!$B$2:$B$500)=TRIM($A452)))=0,"Not on main tab - renamed?",IF(NOT(ISNUMBER($B452)),"Missing or invalid sent-back date",IF($B452&gt;TODAY(),"Sent-back date is in future",IF(ISNUMBER($J452),IF($J452&lt;$B452,"Check dates - fixed before sent","Fixed in "&amp;($J452-$B452)&amp;" d"),IF(AND($I452&lt;&gt;"",NOT(ISNUMBER($I452))),"Check Expected Fix Date",IF($I452="","UNCLAIMED "&amp;(TODAY()-$B452)&amp;" d",IF(TODAY()&gt;$I452,(TODAY()-$I452)&amp;" d LATE","Open "&amp;(TODAY()-$B452)&amp;" d"))))))))))</f>
        <v/>
      </c>
      <c r="O452" s="66">
        <f>'Combined Delivery Data'!B451</f>
        <v>0</v>
      </c>
      <c r="P452" s="66">
        <f t="shared" si="28"/>
        <v>0</v>
      </c>
      <c r="Q452" s="66">
        <f t="shared" si="29"/>
        <v>0</v>
      </c>
      <c r="R452" s="67" t="str">
        <f t="shared" si="30"/>
        <v/>
      </c>
      <c r="S452" s="66" t="str">
        <f t="shared" si="31"/>
        <v/>
      </c>
    </row>
    <row r="453" spans="1:19" x14ac:dyDescent="0.25">
      <c r="A453" s="62"/>
      <c r="B453" s="63"/>
      <c r="C453" s="62"/>
      <c r="D453" s="62"/>
      <c r="E453" s="62"/>
      <c r="F453" s="62"/>
      <c r="G453" s="62"/>
      <c r="H453" s="63"/>
      <c r="I453" s="63"/>
      <c r="J453" s="63"/>
      <c r="K453" s="62"/>
      <c r="L453" s="62"/>
      <c r="M453" s="64" t="str">
        <f ca="1">IF($A453="","",IF($G453="Did not pass re-test","Sent back again",IF($G453="Yes",IF(AND(ISNUMBER($J453),ISNUMBER($B453)),"Fixed in "&amp;($J453-$B453)&amp;" d","Accepted"),IF(SUMPRODUCT(--(TRIM('Combined Delivery Data'!$B$2:$B$500)=TRIM($A453)))=0,"Not on main tab - renamed?",IF(NOT(ISNUMBER($B453)),"Missing or invalid sent-back date",IF($B453&gt;TODAY(),"Sent-back date is in future",IF(ISNUMBER($J453),IF($J453&lt;$B453,"Check dates - fixed before sent","Fixed in "&amp;($J453-$B453)&amp;" d"),IF(AND($I453&lt;&gt;"",NOT(ISNUMBER($I453))),"Check Expected Fix Date",IF($I453="","UNCLAIMED "&amp;(TODAY()-$B453)&amp;" d",IF(TODAY()&gt;$I453,(TODAY()-$I453)&amp;" d LATE","Open "&amp;(TODAY()-$B453)&amp;" d"))))))))))</f>
        <v/>
      </c>
      <c r="O453" s="66">
        <f>'Combined Delivery Data'!B452</f>
        <v>0</v>
      </c>
      <c r="P453" s="66">
        <f t="shared" si="28"/>
        <v>0</v>
      </c>
      <c r="Q453" s="66">
        <f t="shared" si="29"/>
        <v>0</v>
      </c>
      <c r="R453" s="67" t="str">
        <f t="shared" si="30"/>
        <v/>
      </c>
      <c r="S453" s="66" t="str">
        <f t="shared" si="31"/>
        <v/>
      </c>
    </row>
    <row r="454" spans="1:19" x14ac:dyDescent="0.25">
      <c r="A454" s="62"/>
      <c r="B454" s="63"/>
      <c r="C454" s="62"/>
      <c r="D454" s="62"/>
      <c r="E454" s="62"/>
      <c r="F454" s="62"/>
      <c r="G454" s="62"/>
      <c r="H454" s="63"/>
      <c r="I454" s="63"/>
      <c r="J454" s="63"/>
      <c r="K454" s="62"/>
      <c r="L454" s="62"/>
      <c r="M454" s="64" t="str">
        <f ca="1">IF($A454="","",IF($G454="Did not pass re-test","Sent back again",IF($G454="Yes",IF(AND(ISNUMBER($J454),ISNUMBER($B454)),"Fixed in "&amp;($J454-$B454)&amp;" d","Accepted"),IF(SUMPRODUCT(--(TRIM('Combined Delivery Data'!$B$2:$B$500)=TRIM($A454)))=0,"Not on main tab - renamed?",IF(NOT(ISNUMBER($B454)),"Missing or invalid sent-back date",IF($B454&gt;TODAY(),"Sent-back date is in future",IF(ISNUMBER($J454),IF($J454&lt;$B454,"Check dates - fixed before sent","Fixed in "&amp;($J454-$B454)&amp;" d"),IF(AND($I454&lt;&gt;"",NOT(ISNUMBER($I454))),"Check Expected Fix Date",IF($I454="","UNCLAIMED "&amp;(TODAY()-$B454)&amp;" d",IF(TODAY()&gt;$I454,(TODAY()-$I454)&amp;" d LATE","Open "&amp;(TODAY()-$B454)&amp;" d"))))))))))</f>
        <v/>
      </c>
      <c r="O454" s="66">
        <f>'Combined Delivery Data'!B453</f>
        <v>0</v>
      </c>
      <c r="P454" s="66">
        <f t="shared" si="28"/>
        <v>0</v>
      </c>
      <c r="Q454" s="66">
        <f t="shared" si="29"/>
        <v>0</v>
      </c>
      <c r="R454" s="67" t="str">
        <f t="shared" si="30"/>
        <v/>
      </c>
      <c r="S454" s="66" t="str">
        <f t="shared" si="31"/>
        <v/>
      </c>
    </row>
    <row r="455" spans="1:19" x14ac:dyDescent="0.25">
      <c r="A455" s="62"/>
      <c r="B455" s="63"/>
      <c r="C455" s="62"/>
      <c r="D455" s="62"/>
      <c r="E455" s="62"/>
      <c r="F455" s="62"/>
      <c r="G455" s="62"/>
      <c r="H455" s="63"/>
      <c r="I455" s="63"/>
      <c r="J455" s="63"/>
      <c r="K455" s="62"/>
      <c r="L455" s="62"/>
      <c r="M455" s="64" t="str">
        <f ca="1">IF($A455="","",IF($G455="Did not pass re-test","Sent back again",IF($G455="Yes",IF(AND(ISNUMBER($J455),ISNUMBER($B455)),"Fixed in "&amp;($J455-$B455)&amp;" d","Accepted"),IF(SUMPRODUCT(--(TRIM('Combined Delivery Data'!$B$2:$B$500)=TRIM($A455)))=0,"Not on main tab - renamed?",IF(NOT(ISNUMBER($B455)),"Missing or invalid sent-back date",IF($B455&gt;TODAY(),"Sent-back date is in future",IF(ISNUMBER($J455),IF($J455&lt;$B455,"Check dates - fixed before sent","Fixed in "&amp;($J455-$B455)&amp;" d"),IF(AND($I455&lt;&gt;"",NOT(ISNUMBER($I455))),"Check Expected Fix Date",IF($I455="","UNCLAIMED "&amp;(TODAY()-$B455)&amp;" d",IF(TODAY()&gt;$I455,(TODAY()-$I455)&amp;" d LATE","Open "&amp;(TODAY()-$B455)&amp;" d"))))))))))</f>
        <v/>
      </c>
      <c r="O455" s="66">
        <f>'Combined Delivery Data'!B454</f>
        <v>0</v>
      </c>
      <c r="P455" s="66">
        <f t="shared" si="28"/>
        <v>0</v>
      </c>
      <c r="Q455" s="66">
        <f t="shared" si="29"/>
        <v>0</v>
      </c>
      <c r="R455" s="67" t="str">
        <f t="shared" si="30"/>
        <v/>
      </c>
      <c r="S455" s="66" t="str">
        <f t="shared" si="31"/>
        <v/>
      </c>
    </row>
    <row r="456" spans="1:19" x14ac:dyDescent="0.25">
      <c r="A456" s="62"/>
      <c r="B456" s="63"/>
      <c r="C456" s="62"/>
      <c r="D456" s="62"/>
      <c r="E456" s="62"/>
      <c r="F456" s="62"/>
      <c r="G456" s="62"/>
      <c r="H456" s="63"/>
      <c r="I456" s="63"/>
      <c r="J456" s="63"/>
      <c r="K456" s="62"/>
      <c r="L456" s="62"/>
      <c r="M456" s="64" t="str">
        <f ca="1">IF($A456="","",IF($G456="Did not pass re-test","Sent back again",IF($G456="Yes",IF(AND(ISNUMBER($J456),ISNUMBER($B456)),"Fixed in "&amp;($J456-$B456)&amp;" d","Accepted"),IF(SUMPRODUCT(--(TRIM('Combined Delivery Data'!$B$2:$B$500)=TRIM($A456)))=0,"Not on main tab - renamed?",IF(NOT(ISNUMBER($B456)),"Missing or invalid sent-back date",IF($B456&gt;TODAY(),"Sent-back date is in future",IF(ISNUMBER($J456),IF($J456&lt;$B456,"Check dates - fixed before sent","Fixed in "&amp;($J456-$B456)&amp;" d"),IF(AND($I456&lt;&gt;"",NOT(ISNUMBER($I456))),"Check Expected Fix Date",IF($I456="","UNCLAIMED "&amp;(TODAY()-$B456)&amp;" d",IF(TODAY()&gt;$I456,(TODAY()-$I456)&amp;" d LATE","Open "&amp;(TODAY()-$B456)&amp;" d"))))))))))</f>
        <v/>
      </c>
      <c r="O456" s="66">
        <f>'Combined Delivery Data'!B455</f>
        <v>0</v>
      </c>
      <c r="P456" s="66">
        <f t="shared" si="28"/>
        <v>0</v>
      </c>
      <c r="Q456" s="66">
        <f t="shared" si="29"/>
        <v>0</v>
      </c>
      <c r="R456" s="67" t="str">
        <f t="shared" si="30"/>
        <v/>
      </c>
      <c r="S456" s="66" t="str">
        <f t="shared" si="31"/>
        <v/>
      </c>
    </row>
    <row r="457" spans="1:19" x14ac:dyDescent="0.25">
      <c r="A457" s="62"/>
      <c r="B457" s="63"/>
      <c r="C457" s="62"/>
      <c r="D457" s="62"/>
      <c r="E457" s="62"/>
      <c r="F457" s="62"/>
      <c r="G457" s="62"/>
      <c r="H457" s="63"/>
      <c r="I457" s="63"/>
      <c r="J457" s="63"/>
      <c r="K457" s="62"/>
      <c r="L457" s="62"/>
      <c r="M457" s="64" t="str">
        <f ca="1">IF($A457="","",IF($G457="Did not pass re-test","Sent back again",IF($G457="Yes",IF(AND(ISNUMBER($J457),ISNUMBER($B457)),"Fixed in "&amp;($J457-$B457)&amp;" d","Accepted"),IF(SUMPRODUCT(--(TRIM('Combined Delivery Data'!$B$2:$B$500)=TRIM($A457)))=0,"Not on main tab - renamed?",IF(NOT(ISNUMBER($B457)),"Missing or invalid sent-back date",IF($B457&gt;TODAY(),"Sent-back date is in future",IF(ISNUMBER($J457),IF($J457&lt;$B457,"Check dates - fixed before sent","Fixed in "&amp;($J457-$B457)&amp;" d"),IF(AND($I457&lt;&gt;"",NOT(ISNUMBER($I457))),"Check Expected Fix Date",IF($I457="","UNCLAIMED "&amp;(TODAY()-$B457)&amp;" d",IF(TODAY()&gt;$I457,(TODAY()-$I457)&amp;" d LATE","Open "&amp;(TODAY()-$B457)&amp;" d"))))))))))</f>
        <v/>
      </c>
      <c r="O457" s="66">
        <f>'Combined Delivery Data'!B456</f>
        <v>0</v>
      </c>
      <c r="P457" s="66">
        <f t="shared" si="28"/>
        <v>0</v>
      </c>
      <c r="Q457" s="66">
        <f t="shared" si="29"/>
        <v>0</v>
      </c>
      <c r="R457" s="67" t="str">
        <f t="shared" si="30"/>
        <v/>
      </c>
      <c r="S457" s="66" t="str">
        <f t="shared" si="31"/>
        <v/>
      </c>
    </row>
    <row r="458" spans="1:19" x14ac:dyDescent="0.25">
      <c r="A458" s="62"/>
      <c r="B458" s="63"/>
      <c r="C458" s="62"/>
      <c r="D458" s="62"/>
      <c r="E458" s="62"/>
      <c r="F458" s="62"/>
      <c r="G458" s="62"/>
      <c r="H458" s="63"/>
      <c r="I458" s="63"/>
      <c r="J458" s="63"/>
      <c r="K458" s="62"/>
      <c r="L458" s="62"/>
      <c r="M458" s="64" t="str">
        <f ca="1">IF($A458="","",IF($G458="Did not pass re-test","Sent back again",IF($G458="Yes",IF(AND(ISNUMBER($J458),ISNUMBER($B458)),"Fixed in "&amp;($J458-$B458)&amp;" d","Accepted"),IF(SUMPRODUCT(--(TRIM('Combined Delivery Data'!$B$2:$B$500)=TRIM($A458)))=0,"Not on main tab - renamed?",IF(NOT(ISNUMBER($B458)),"Missing or invalid sent-back date",IF($B458&gt;TODAY(),"Sent-back date is in future",IF(ISNUMBER($J458),IF($J458&lt;$B458,"Check dates - fixed before sent","Fixed in "&amp;($J458-$B458)&amp;" d"),IF(AND($I458&lt;&gt;"",NOT(ISNUMBER($I458))),"Check Expected Fix Date",IF($I458="","UNCLAIMED "&amp;(TODAY()-$B458)&amp;" d",IF(TODAY()&gt;$I458,(TODAY()-$I458)&amp;" d LATE","Open "&amp;(TODAY()-$B458)&amp;" d"))))))))))</f>
        <v/>
      </c>
      <c r="O458" s="66">
        <f>'Combined Delivery Data'!B457</f>
        <v>0</v>
      </c>
      <c r="P458" s="66">
        <f t="shared" si="28"/>
        <v>0</v>
      </c>
      <c r="Q458" s="66">
        <f t="shared" si="29"/>
        <v>0</v>
      </c>
      <c r="R458" s="67" t="str">
        <f t="shared" si="30"/>
        <v/>
      </c>
      <c r="S458" s="66" t="str">
        <f t="shared" si="31"/>
        <v/>
      </c>
    </row>
    <row r="459" spans="1:19" x14ac:dyDescent="0.25">
      <c r="A459" s="62"/>
      <c r="B459" s="63"/>
      <c r="C459" s="62"/>
      <c r="D459" s="62"/>
      <c r="E459" s="62"/>
      <c r="F459" s="62"/>
      <c r="G459" s="62"/>
      <c r="H459" s="63"/>
      <c r="I459" s="63"/>
      <c r="J459" s="63"/>
      <c r="K459" s="62"/>
      <c r="L459" s="62"/>
      <c r="M459" s="64" t="str">
        <f ca="1">IF($A459="","",IF($G459="Did not pass re-test","Sent back again",IF($G459="Yes",IF(AND(ISNUMBER($J459),ISNUMBER($B459)),"Fixed in "&amp;($J459-$B459)&amp;" d","Accepted"),IF(SUMPRODUCT(--(TRIM('Combined Delivery Data'!$B$2:$B$500)=TRIM($A459)))=0,"Not on main tab - renamed?",IF(NOT(ISNUMBER($B459)),"Missing or invalid sent-back date",IF($B459&gt;TODAY(),"Sent-back date is in future",IF(ISNUMBER($J459),IF($J459&lt;$B459,"Check dates - fixed before sent","Fixed in "&amp;($J459-$B459)&amp;" d"),IF(AND($I459&lt;&gt;"",NOT(ISNUMBER($I459))),"Check Expected Fix Date",IF($I459="","UNCLAIMED "&amp;(TODAY()-$B459)&amp;" d",IF(TODAY()&gt;$I459,(TODAY()-$I459)&amp;" d LATE","Open "&amp;(TODAY()-$B459)&amp;" d"))))))))))</f>
        <v/>
      </c>
      <c r="O459" s="66">
        <f>'Combined Delivery Data'!B458</f>
        <v>0</v>
      </c>
      <c r="P459" s="66">
        <f t="shared" si="28"/>
        <v>0</v>
      </c>
      <c r="Q459" s="66">
        <f t="shared" si="29"/>
        <v>0</v>
      </c>
      <c r="R459" s="67" t="str">
        <f t="shared" si="30"/>
        <v/>
      </c>
      <c r="S459" s="66" t="str">
        <f t="shared" si="31"/>
        <v/>
      </c>
    </row>
    <row r="460" spans="1:19" x14ac:dyDescent="0.25">
      <c r="A460" s="62"/>
      <c r="B460" s="63"/>
      <c r="C460" s="62"/>
      <c r="D460" s="62"/>
      <c r="E460" s="62"/>
      <c r="F460" s="62"/>
      <c r="G460" s="62"/>
      <c r="H460" s="63"/>
      <c r="I460" s="63"/>
      <c r="J460" s="63"/>
      <c r="K460" s="62"/>
      <c r="L460" s="62"/>
      <c r="M460" s="64" t="str">
        <f ca="1">IF($A460="","",IF($G460="Did not pass re-test","Sent back again",IF($G460="Yes",IF(AND(ISNUMBER($J460),ISNUMBER($B460)),"Fixed in "&amp;($J460-$B460)&amp;" d","Accepted"),IF(SUMPRODUCT(--(TRIM('Combined Delivery Data'!$B$2:$B$500)=TRIM($A460)))=0,"Not on main tab - renamed?",IF(NOT(ISNUMBER($B460)),"Missing or invalid sent-back date",IF($B460&gt;TODAY(),"Sent-back date is in future",IF(ISNUMBER($J460),IF($J460&lt;$B460,"Check dates - fixed before sent","Fixed in "&amp;($J460-$B460)&amp;" d"),IF(AND($I460&lt;&gt;"",NOT(ISNUMBER($I460))),"Check Expected Fix Date",IF($I460="","UNCLAIMED "&amp;(TODAY()-$B460)&amp;" d",IF(TODAY()&gt;$I460,(TODAY()-$I460)&amp;" d LATE","Open "&amp;(TODAY()-$B460)&amp;" d"))))))))))</f>
        <v/>
      </c>
      <c r="O460" s="66">
        <f>'Combined Delivery Data'!B459</f>
        <v>0</v>
      </c>
      <c r="P460" s="66">
        <f t="shared" si="28"/>
        <v>0</v>
      </c>
      <c r="Q460" s="66">
        <f t="shared" si="29"/>
        <v>0</v>
      </c>
      <c r="R460" s="67" t="str">
        <f t="shared" si="30"/>
        <v/>
      </c>
      <c r="S460" s="66" t="str">
        <f t="shared" si="31"/>
        <v/>
      </c>
    </row>
    <row r="461" spans="1:19" x14ac:dyDescent="0.25">
      <c r="A461" s="62"/>
      <c r="B461" s="63"/>
      <c r="C461" s="62"/>
      <c r="D461" s="62"/>
      <c r="E461" s="62"/>
      <c r="F461" s="62"/>
      <c r="G461" s="62"/>
      <c r="H461" s="63"/>
      <c r="I461" s="63"/>
      <c r="J461" s="63"/>
      <c r="K461" s="62"/>
      <c r="L461" s="62"/>
      <c r="M461" s="64" t="str">
        <f ca="1">IF($A461="","",IF($G461="Did not pass re-test","Sent back again",IF($G461="Yes",IF(AND(ISNUMBER($J461),ISNUMBER($B461)),"Fixed in "&amp;($J461-$B461)&amp;" d","Accepted"),IF(SUMPRODUCT(--(TRIM('Combined Delivery Data'!$B$2:$B$500)=TRIM($A461)))=0,"Not on main tab - renamed?",IF(NOT(ISNUMBER($B461)),"Missing or invalid sent-back date",IF($B461&gt;TODAY(),"Sent-back date is in future",IF(ISNUMBER($J461),IF($J461&lt;$B461,"Check dates - fixed before sent","Fixed in "&amp;($J461-$B461)&amp;" d"),IF(AND($I461&lt;&gt;"",NOT(ISNUMBER($I461))),"Check Expected Fix Date",IF($I461="","UNCLAIMED "&amp;(TODAY()-$B461)&amp;" d",IF(TODAY()&gt;$I461,(TODAY()-$I461)&amp;" d LATE","Open "&amp;(TODAY()-$B461)&amp;" d"))))))))))</f>
        <v/>
      </c>
      <c r="O461" s="66">
        <f>'Combined Delivery Data'!B460</f>
        <v>0</v>
      </c>
      <c r="P461" s="66">
        <f t="shared" si="28"/>
        <v>0</v>
      </c>
      <c r="Q461" s="66">
        <f t="shared" si="29"/>
        <v>0</v>
      </c>
      <c r="R461" s="67" t="str">
        <f t="shared" si="30"/>
        <v/>
      </c>
      <c r="S461" s="66" t="str">
        <f t="shared" si="31"/>
        <v/>
      </c>
    </row>
    <row r="462" spans="1:19" x14ac:dyDescent="0.25">
      <c r="A462" s="62"/>
      <c r="B462" s="63"/>
      <c r="C462" s="62"/>
      <c r="D462" s="62"/>
      <c r="E462" s="62"/>
      <c r="F462" s="62"/>
      <c r="G462" s="62"/>
      <c r="H462" s="63"/>
      <c r="I462" s="63"/>
      <c r="J462" s="63"/>
      <c r="K462" s="62"/>
      <c r="L462" s="62"/>
      <c r="M462" s="64" t="str">
        <f ca="1">IF($A462="","",IF($G462="Did not pass re-test","Sent back again",IF($G462="Yes",IF(AND(ISNUMBER($J462),ISNUMBER($B462)),"Fixed in "&amp;($J462-$B462)&amp;" d","Accepted"),IF(SUMPRODUCT(--(TRIM('Combined Delivery Data'!$B$2:$B$500)=TRIM($A462)))=0,"Not on main tab - renamed?",IF(NOT(ISNUMBER($B462)),"Missing or invalid sent-back date",IF($B462&gt;TODAY(),"Sent-back date is in future",IF(ISNUMBER($J462),IF($J462&lt;$B462,"Check dates - fixed before sent","Fixed in "&amp;($J462-$B462)&amp;" d"),IF(AND($I462&lt;&gt;"",NOT(ISNUMBER($I462))),"Check Expected Fix Date",IF($I462="","UNCLAIMED "&amp;(TODAY()-$B462)&amp;" d",IF(TODAY()&gt;$I462,(TODAY()-$I462)&amp;" d LATE","Open "&amp;(TODAY()-$B462)&amp;" d"))))))))))</f>
        <v/>
      </c>
      <c r="O462" s="66">
        <f>'Combined Delivery Data'!B461</f>
        <v>0</v>
      </c>
      <c r="P462" s="66">
        <f t="shared" si="28"/>
        <v>0</v>
      </c>
      <c r="Q462" s="66">
        <f t="shared" si="29"/>
        <v>0</v>
      </c>
      <c r="R462" s="67" t="str">
        <f t="shared" si="30"/>
        <v/>
      </c>
      <c r="S462" s="66" t="str">
        <f t="shared" si="31"/>
        <v/>
      </c>
    </row>
    <row r="463" spans="1:19" x14ac:dyDescent="0.25">
      <c r="A463" s="62"/>
      <c r="B463" s="63"/>
      <c r="C463" s="62"/>
      <c r="D463" s="62"/>
      <c r="E463" s="62"/>
      <c r="F463" s="62"/>
      <c r="G463" s="62"/>
      <c r="H463" s="63"/>
      <c r="I463" s="63"/>
      <c r="J463" s="63"/>
      <c r="K463" s="62"/>
      <c r="L463" s="62"/>
      <c r="M463" s="64" t="str">
        <f ca="1">IF($A463="","",IF($G463="Did not pass re-test","Sent back again",IF($G463="Yes",IF(AND(ISNUMBER($J463),ISNUMBER($B463)),"Fixed in "&amp;($J463-$B463)&amp;" d","Accepted"),IF(SUMPRODUCT(--(TRIM('Combined Delivery Data'!$B$2:$B$500)=TRIM($A463)))=0,"Not on main tab - renamed?",IF(NOT(ISNUMBER($B463)),"Missing or invalid sent-back date",IF($B463&gt;TODAY(),"Sent-back date is in future",IF(ISNUMBER($J463),IF($J463&lt;$B463,"Check dates - fixed before sent","Fixed in "&amp;($J463-$B463)&amp;" d"),IF(AND($I463&lt;&gt;"",NOT(ISNUMBER($I463))),"Check Expected Fix Date",IF($I463="","UNCLAIMED "&amp;(TODAY()-$B463)&amp;" d",IF(TODAY()&gt;$I463,(TODAY()-$I463)&amp;" d LATE","Open "&amp;(TODAY()-$B463)&amp;" d"))))))))))</f>
        <v/>
      </c>
      <c r="O463" s="66">
        <f>'Combined Delivery Data'!B462</f>
        <v>0</v>
      </c>
      <c r="P463" s="66">
        <f t="shared" si="28"/>
        <v>0</v>
      </c>
      <c r="Q463" s="66">
        <f t="shared" si="29"/>
        <v>0</v>
      </c>
      <c r="R463" s="67" t="str">
        <f t="shared" si="30"/>
        <v/>
      </c>
      <c r="S463" s="66" t="str">
        <f t="shared" si="31"/>
        <v/>
      </c>
    </row>
    <row r="464" spans="1:19" x14ac:dyDescent="0.25">
      <c r="A464" s="62"/>
      <c r="B464" s="63"/>
      <c r="C464" s="62"/>
      <c r="D464" s="62"/>
      <c r="E464" s="62"/>
      <c r="F464" s="62"/>
      <c r="G464" s="62"/>
      <c r="H464" s="63"/>
      <c r="I464" s="63"/>
      <c r="J464" s="63"/>
      <c r="K464" s="62"/>
      <c r="L464" s="62"/>
      <c r="M464" s="64" t="str">
        <f ca="1">IF($A464="","",IF($G464="Did not pass re-test","Sent back again",IF($G464="Yes",IF(AND(ISNUMBER($J464),ISNUMBER($B464)),"Fixed in "&amp;($J464-$B464)&amp;" d","Accepted"),IF(SUMPRODUCT(--(TRIM('Combined Delivery Data'!$B$2:$B$500)=TRIM($A464)))=0,"Not on main tab - renamed?",IF(NOT(ISNUMBER($B464)),"Missing or invalid sent-back date",IF($B464&gt;TODAY(),"Sent-back date is in future",IF(ISNUMBER($J464),IF($J464&lt;$B464,"Check dates - fixed before sent","Fixed in "&amp;($J464-$B464)&amp;" d"),IF(AND($I464&lt;&gt;"",NOT(ISNUMBER($I464))),"Check Expected Fix Date",IF($I464="","UNCLAIMED "&amp;(TODAY()-$B464)&amp;" d",IF(TODAY()&gt;$I464,(TODAY()-$I464)&amp;" d LATE","Open "&amp;(TODAY()-$B464)&amp;" d"))))))))))</f>
        <v/>
      </c>
      <c r="O464" s="66">
        <f>'Combined Delivery Data'!B463</f>
        <v>0</v>
      </c>
      <c r="P464" s="66">
        <f t="shared" si="28"/>
        <v>0</v>
      </c>
      <c r="Q464" s="66">
        <f t="shared" si="29"/>
        <v>0</v>
      </c>
      <c r="R464" s="67" t="str">
        <f t="shared" si="30"/>
        <v/>
      </c>
      <c r="S464" s="66" t="str">
        <f t="shared" si="31"/>
        <v/>
      </c>
    </row>
    <row r="465" spans="1:19" x14ac:dyDescent="0.25">
      <c r="A465" s="62"/>
      <c r="B465" s="63"/>
      <c r="C465" s="62"/>
      <c r="D465" s="62"/>
      <c r="E465" s="62"/>
      <c r="F465" s="62"/>
      <c r="G465" s="62"/>
      <c r="H465" s="63"/>
      <c r="I465" s="63"/>
      <c r="J465" s="63"/>
      <c r="K465" s="62"/>
      <c r="L465" s="62"/>
      <c r="M465" s="64" t="str">
        <f ca="1">IF($A465="","",IF($G465="Did not pass re-test","Sent back again",IF($G465="Yes",IF(AND(ISNUMBER($J465),ISNUMBER($B465)),"Fixed in "&amp;($J465-$B465)&amp;" d","Accepted"),IF(SUMPRODUCT(--(TRIM('Combined Delivery Data'!$B$2:$B$500)=TRIM($A465)))=0,"Not on main tab - renamed?",IF(NOT(ISNUMBER($B465)),"Missing or invalid sent-back date",IF($B465&gt;TODAY(),"Sent-back date is in future",IF(ISNUMBER($J465),IF($J465&lt;$B465,"Check dates - fixed before sent","Fixed in "&amp;($J465-$B465)&amp;" d"),IF(AND($I465&lt;&gt;"",NOT(ISNUMBER($I465))),"Check Expected Fix Date",IF($I465="","UNCLAIMED "&amp;(TODAY()-$B465)&amp;" d",IF(TODAY()&gt;$I465,(TODAY()-$I465)&amp;" d LATE","Open "&amp;(TODAY()-$B465)&amp;" d"))))))))))</f>
        <v/>
      </c>
      <c r="O465" s="66">
        <f>'Combined Delivery Data'!B464</f>
        <v>0</v>
      </c>
      <c r="P465" s="66">
        <f t="shared" si="28"/>
        <v>0</v>
      </c>
      <c r="Q465" s="66">
        <f t="shared" si="29"/>
        <v>0</v>
      </c>
      <c r="R465" s="67" t="str">
        <f t="shared" si="30"/>
        <v/>
      </c>
      <c r="S465" s="66" t="str">
        <f t="shared" si="31"/>
        <v/>
      </c>
    </row>
    <row r="466" spans="1:19" x14ac:dyDescent="0.25">
      <c r="A466" s="62"/>
      <c r="B466" s="63"/>
      <c r="C466" s="62"/>
      <c r="D466" s="62"/>
      <c r="E466" s="62"/>
      <c r="F466" s="62"/>
      <c r="G466" s="62"/>
      <c r="H466" s="63"/>
      <c r="I466" s="63"/>
      <c r="J466" s="63"/>
      <c r="K466" s="62"/>
      <c r="L466" s="62"/>
      <c r="M466" s="64" t="str">
        <f ca="1">IF($A466="","",IF($G466="Did not pass re-test","Sent back again",IF($G466="Yes",IF(AND(ISNUMBER($J466),ISNUMBER($B466)),"Fixed in "&amp;($J466-$B466)&amp;" d","Accepted"),IF(SUMPRODUCT(--(TRIM('Combined Delivery Data'!$B$2:$B$500)=TRIM($A466)))=0,"Not on main tab - renamed?",IF(NOT(ISNUMBER($B466)),"Missing or invalid sent-back date",IF($B466&gt;TODAY(),"Sent-back date is in future",IF(ISNUMBER($J466),IF($J466&lt;$B466,"Check dates - fixed before sent","Fixed in "&amp;($J466-$B466)&amp;" d"),IF(AND($I466&lt;&gt;"",NOT(ISNUMBER($I466))),"Check Expected Fix Date",IF($I466="","UNCLAIMED "&amp;(TODAY()-$B466)&amp;" d",IF(TODAY()&gt;$I466,(TODAY()-$I466)&amp;" d LATE","Open "&amp;(TODAY()-$B466)&amp;" d"))))))))))</f>
        <v/>
      </c>
      <c r="O466" s="66">
        <f>'Combined Delivery Data'!B465</f>
        <v>0</v>
      </c>
      <c r="P466" s="66">
        <f t="shared" si="28"/>
        <v>0</v>
      </c>
      <c r="Q466" s="66">
        <f t="shared" si="29"/>
        <v>0</v>
      </c>
      <c r="R466" s="67" t="str">
        <f t="shared" si="30"/>
        <v/>
      </c>
      <c r="S466" s="66" t="str">
        <f t="shared" si="31"/>
        <v/>
      </c>
    </row>
    <row r="467" spans="1:19" x14ac:dyDescent="0.25">
      <c r="A467" s="62"/>
      <c r="B467" s="63"/>
      <c r="C467" s="62"/>
      <c r="D467" s="62"/>
      <c r="E467" s="62"/>
      <c r="F467" s="62"/>
      <c r="G467" s="62"/>
      <c r="H467" s="63"/>
      <c r="I467" s="63"/>
      <c r="J467" s="63"/>
      <c r="K467" s="62"/>
      <c r="L467" s="62"/>
      <c r="M467" s="64" t="str">
        <f ca="1">IF($A467="","",IF($G467="Did not pass re-test","Sent back again",IF($G467="Yes",IF(AND(ISNUMBER($J467),ISNUMBER($B467)),"Fixed in "&amp;($J467-$B467)&amp;" d","Accepted"),IF(SUMPRODUCT(--(TRIM('Combined Delivery Data'!$B$2:$B$500)=TRIM($A467)))=0,"Not on main tab - renamed?",IF(NOT(ISNUMBER($B467)),"Missing or invalid sent-back date",IF($B467&gt;TODAY(),"Sent-back date is in future",IF(ISNUMBER($J467),IF($J467&lt;$B467,"Check dates - fixed before sent","Fixed in "&amp;($J467-$B467)&amp;" d"),IF(AND($I467&lt;&gt;"",NOT(ISNUMBER($I467))),"Check Expected Fix Date",IF($I467="","UNCLAIMED "&amp;(TODAY()-$B467)&amp;" d",IF(TODAY()&gt;$I467,(TODAY()-$I467)&amp;" d LATE","Open "&amp;(TODAY()-$B467)&amp;" d"))))))))))</f>
        <v/>
      </c>
      <c r="O467" s="66">
        <f>'Combined Delivery Data'!B466</f>
        <v>0</v>
      </c>
      <c r="P467" s="66">
        <f t="shared" si="28"/>
        <v>0</v>
      </c>
      <c r="Q467" s="66">
        <f t="shared" si="29"/>
        <v>0</v>
      </c>
      <c r="R467" s="67" t="str">
        <f t="shared" si="30"/>
        <v/>
      </c>
      <c r="S467" s="66" t="str">
        <f t="shared" si="31"/>
        <v/>
      </c>
    </row>
    <row r="468" spans="1:19" x14ac:dyDescent="0.25">
      <c r="A468" s="62"/>
      <c r="B468" s="63"/>
      <c r="C468" s="62"/>
      <c r="D468" s="62"/>
      <c r="E468" s="62"/>
      <c r="F468" s="62"/>
      <c r="G468" s="62"/>
      <c r="H468" s="63"/>
      <c r="I468" s="63"/>
      <c r="J468" s="63"/>
      <c r="K468" s="62"/>
      <c r="L468" s="62"/>
      <c r="M468" s="64" t="str">
        <f ca="1">IF($A468="","",IF($G468="Did not pass re-test","Sent back again",IF($G468="Yes",IF(AND(ISNUMBER($J468),ISNUMBER($B468)),"Fixed in "&amp;($J468-$B468)&amp;" d","Accepted"),IF(SUMPRODUCT(--(TRIM('Combined Delivery Data'!$B$2:$B$500)=TRIM($A468)))=0,"Not on main tab - renamed?",IF(NOT(ISNUMBER($B468)),"Missing or invalid sent-back date",IF($B468&gt;TODAY(),"Sent-back date is in future",IF(ISNUMBER($J468),IF($J468&lt;$B468,"Check dates - fixed before sent","Fixed in "&amp;($J468-$B468)&amp;" d"),IF(AND($I468&lt;&gt;"",NOT(ISNUMBER($I468))),"Check Expected Fix Date",IF($I468="","UNCLAIMED "&amp;(TODAY()-$B468)&amp;" d",IF(TODAY()&gt;$I468,(TODAY()-$I468)&amp;" d LATE","Open "&amp;(TODAY()-$B468)&amp;" d"))))))))))</f>
        <v/>
      </c>
      <c r="O468" s="66">
        <f>'Combined Delivery Data'!B467</f>
        <v>0</v>
      </c>
      <c r="P468" s="66">
        <f t="shared" si="28"/>
        <v>0</v>
      </c>
      <c r="Q468" s="66">
        <f t="shared" si="29"/>
        <v>0</v>
      </c>
      <c r="R468" s="67" t="str">
        <f t="shared" si="30"/>
        <v/>
      </c>
      <c r="S468" s="66" t="str">
        <f t="shared" si="31"/>
        <v/>
      </c>
    </row>
    <row r="469" spans="1:19" x14ac:dyDescent="0.25">
      <c r="A469" s="62"/>
      <c r="B469" s="63"/>
      <c r="C469" s="62"/>
      <c r="D469" s="62"/>
      <c r="E469" s="62"/>
      <c r="F469" s="62"/>
      <c r="G469" s="62"/>
      <c r="H469" s="63"/>
      <c r="I469" s="63"/>
      <c r="J469" s="63"/>
      <c r="K469" s="62"/>
      <c r="L469" s="62"/>
      <c r="M469" s="64" t="str">
        <f ca="1">IF($A469="","",IF($G469="Did not pass re-test","Sent back again",IF($G469="Yes",IF(AND(ISNUMBER($J469),ISNUMBER($B469)),"Fixed in "&amp;($J469-$B469)&amp;" d","Accepted"),IF(SUMPRODUCT(--(TRIM('Combined Delivery Data'!$B$2:$B$500)=TRIM($A469)))=0,"Not on main tab - renamed?",IF(NOT(ISNUMBER($B469)),"Missing or invalid sent-back date",IF($B469&gt;TODAY(),"Sent-back date is in future",IF(ISNUMBER($J469),IF($J469&lt;$B469,"Check dates - fixed before sent","Fixed in "&amp;($J469-$B469)&amp;" d"),IF(AND($I469&lt;&gt;"",NOT(ISNUMBER($I469))),"Check Expected Fix Date",IF($I469="","UNCLAIMED "&amp;(TODAY()-$B469)&amp;" d",IF(TODAY()&gt;$I469,(TODAY()-$I469)&amp;" d LATE","Open "&amp;(TODAY()-$B469)&amp;" d"))))))))))</f>
        <v/>
      </c>
      <c r="O469" s="66">
        <f>'Combined Delivery Data'!B468</f>
        <v>0</v>
      </c>
      <c r="P469" s="66">
        <f t="shared" si="28"/>
        <v>0</v>
      </c>
      <c r="Q469" s="66">
        <f t="shared" si="29"/>
        <v>0</v>
      </c>
      <c r="R469" s="67" t="str">
        <f t="shared" si="30"/>
        <v/>
      </c>
      <c r="S469" s="66" t="str">
        <f t="shared" si="31"/>
        <v/>
      </c>
    </row>
    <row r="470" spans="1:19" x14ac:dyDescent="0.25">
      <c r="A470" s="62"/>
      <c r="B470" s="63"/>
      <c r="C470" s="62"/>
      <c r="D470" s="62"/>
      <c r="E470" s="62"/>
      <c r="F470" s="62"/>
      <c r="G470" s="62"/>
      <c r="H470" s="63"/>
      <c r="I470" s="63"/>
      <c r="J470" s="63"/>
      <c r="K470" s="62"/>
      <c r="L470" s="62"/>
      <c r="M470" s="64" t="str">
        <f ca="1">IF($A470="","",IF($G470="Did not pass re-test","Sent back again",IF($G470="Yes",IF(AND(ISNUMBER($J470),ISNUMBER($B470)),"Fixed in "&amp;($J470-$B470)&amp;" d","Accepted"),IF(SUMPRODUCT(--(TRIM('Combined Delivery Data'!$B$2:$B$500)=TRIM($A470)))=0,"Not on main tab - renamed?",IF(NOT(ISNUMBER($B470)),"Missing or invalid sent-back date",IF($B470&gt;TODAY(),"Sent-back date is in future",IF(ISNUMBER($J470),IF($J470&lt;$B470,"Check dates - fixed before sent","Fixed in "&amp;($J470-$B470)&amp;" d"),IF(AND($I470&lt;&gt;"",NOT(ISNUMBER($I470))),"Check Expected Fix Date",IF($I470="","UNCLAIMED "&amp;(TODAY()-$B470)&amp;" d",IF(TODAY()&gt;$I470,(TODAY()-$I470)&amp;" d LATE","Open "&amp;(TODAY()-$B470)&amp;" d"))))))))))</f>
        <v/>
      </c>
      <c r="O470" s="66">
        <f>'Combined Delivery Data'!B469</f>
        <v>0</v>
      </c>
      <c r="P470" s="66">
        <f t="shared" si="28"/>
        <v>0</v>
      </c>
      <c r="Q470" s="66">
        <f t="shared" si="29"/>
        <v>0</v>
      </c>
      <c r="R470" s="67" t="str">
        <f t="shared" si="30"/>
        <v/>
      </c>
      <c r="S470" s="66" t="str">
        <f t="shared" si="31"/>
        <v/>
      </c>
    </row>
    <row r="471" spans="1:19" x14ac:dyDescent="0.25">
      <c r="A471" s="62"/>
      <c r="B471" s="63"/>
      <c r="C471" s="62"/>
      <c r="D471" s="62"/>
      <c r="E471" s="62"/>
      <c r="F471" s="62"/>
      <c r="G471" s="62"/>
      <c r="H471" s="63"/>
      <c r="I471" s="63"/>
      <c r="J471" s="63"/>
      <c r="K471" s="62"/>
      <c r="L471" s="62"/>
      <c r="M471" s="64" t="str">
        <f ca="1">IF($A471="","",IF($G471="Did not pass re-test","Sent back again",IF($G471="Yes",IF(AND(ISNUMBER($J471),ISNUMBER($B471)),"Fixed in "&amp;($J471-$B471)&amp;" d","Accepted"),IF(SUMPRODUCT(--(TRIM('Combined Delivery Data'!$B$2:$B$500)=TRIM($A471)))=0,"Not on main tab - renamed?",IF(NOT(ISNUMBER($B471)),"Missing or invalid sent-back date",IF($B471&gt;TODAY(),"Sent-back date is in future",IF(ISNUMBER($J471),IF($J471&lt;$B471,"Check dates - fixed before sent","Fixed in "&amp;($J471-$B471)&amp;" d"),IF(AND($I471&lt;&gt;"",NOT(ISNUMBER($I471))),"Check Expected Fix Date",IF($I471="","UNCLAIMED "&amp;(TODAY()-$B471)&amp;" d",IF(TODAY()&gt;$I471,(TODAY()-$I471)&amp;" d LATE","Open "&amp;(TODAY()-$B471)&amp;" d"))))))))))</f>
        <v/>
      </c>
      <c r="O471" s="66">
        <f>'Combined Delivery Data'!B470</f>
        <v>0</v>
      </c>
      <c r="P471" s="66">
        <f t="shared" si="28"/>
        <v>0</v>
      </c>
      <c r="Q471" s="66">
        <f t="shared" si="29"/>
        <v>0</v>
      </c>
      <c r="R471" s="67" t="str">
        <f t="shared" si="30"/>
        <v/>
      </c>
      <c r="S471" s="66" t="str">
        <f t="shared" si="31"/>
        <v/>
      </c>
    </row>
    <row r="472" spans="1:19" x14ac:dyDescent="0.25">
      <c r="A472" s="62"/>
      <c r="B472" s="63"/>
      <c r="C472" s="62"/>
      <c r="D472" s="62"/>
      <c r="E472" s="62"/>
      <c r="F472" s="62"/>
      <c r="G472" s="62"/>
      <c r="H472" s="63"/>
      <c r="I472" s="63"/>
      <c r="J472" s="63"/>
      <c r="K472" s="62"/>
      <c r="L472" s="62"/>
      <c r="M472" s="64" t="str">
        <f ca="1">IF($A472="","",IF($G472="Did not pass re-test","Sent back again",IF($G472="Yes",IF(AND(ISNUMBER($J472),ISNUMBER($B472)),"Fixed in "&amp;($J472-$B472)&amp;" d","Accepted"),IF(SUMPRODUCT(--(TRIM('Combined Delivery Data'!$B$2:$B$500)=TRIM($A472)))=0,"Not on main tab - renamed?",IF(NOT(ISNUMBER($B472)),"Missing or invalid sent-back date",IF($B472&gt;TODAY(),"Sent-back date is in future",IF(ISNUMBER($J472),IF($J472&lt;$B472,"Check dates - fixed before sent","Fixed in "&amp;($J472-$B472)&amp;" d"),IF(AND($I472&lt;&gt;"",NOT(ISNUMBER($I472))),"Check Expected Fix Date",IF($I472="","UNCLAIMED "&amp;(TODAY()-$B472)&amp;" d",IF(TODAY()&gt;$I472,(TODAY()-$I472)&amp;" d LATE","Open "&amp;(TODAY()-$B472)&amp;" d"))))))))))</f>
        <v/>
      </c>
      <c r="O472" s="66">
        <f>'Combined Delivery Data'!B471</f>
        <v>0</v>
      </c>
      <c r="P472" s="66">
        <f t="shared" si="28"/>
        <v>0</v>
      </c>
      <c r="Q472" s="66">
        <f t="shared" si="29"/>
        <v>0</v>
      </c>
      <c r="R472" s="67" t="str">
        <f t="shared" si="30"/>
        <v/>
      </c>
      <c r="S472" s="66" t="str">
        <f t="shared" si="31"/>
        <v/>
      </c>
    </row>
    <row r="473" spans="1:19" x14ac:dyDescent="0.25">
      <c r="A473" s="62"/>
      <c r="B473" s="63"/>
      <c r="C473" s="62"/>
      <c r="D473" s="62"/>
      <c r="E473" s="62"/>
      <c r="F473" s="62"/>
      <c r="G473" s="62"/>
      <c r="H473" s="63"/>
      <c r="I473" s="63"/>
      <c r="J473" s="63"/>
      <c r="K473" s="62"/>
      <c r="L473" s="62"/>
      <c r="M473" s="64" t="str">
        <f ca="1">IF($A473="","",IF($G473="Did not pass re-test","Sent back again",IF($G473="Yes",IF(AND(ISNUMBER($J473),ISNUMBER($B473)),"Fixed in "&amp;($J473-$B473)&amp;" d","Accepted"),IF(SUMPRODUCT(--(TRIM('Combined Delivery Data'!$B$2:$B$500)=TRIM($A473)))=0,"Not on main tab - renamed?",IF(NOT(ISNUMBER($B473)),"Missing or invalid sent-back date",IF($B473&gt;TODAY(),"Sent-back date is in future",IF(ISNUMBER($J473),IF($J473&lt;$B473,"Check dates - fixed before sent","Fixed in "&amp;($J473-$B473)&amp;" d"),IF(AND($I473&lt;&gt;"",NOT(ISNUMBER($I473))),"Check Expected Fix Date",IF($I473="","UNCLAIMED "&amp;(TODAY()-$B473)&amp;" d",IF(TODAY()&gt;$I473,(TODAY()-$I473)&amp;" d LATE","Open "&amp;(TODAY()-$B473)&amp;" d"))))))))))</f>
        <v/>
      </c>
      <c r="O473" s="66">
        <f>'Combined Delivery Data'!B472</f>
        <v>0</v>
      </c>
      <c r="P473" s="66">
        <f t="shared" si="28"/>
        <v>0</v>
      </c>
      <c r="Q473" s="66">
        <f t="shared" si="29"/>
        <v>0</v>
      </c>
      <c r="R473" s="67" t="str">
        <f t="shared" si="30"/>
        <v/>
      </c>
      <c r="S473" s="66" t="str">
        <f t="shared" si="31"/>
        <v/>
      </c>
    </row>
    <row r="474" spans="1:19" x14ac:dyDescent="0.25">
      <c r="A474" s="62"/>
      <c r="B474" s="63"/>
      <c r="C474" s="62"/>
      <c r="D474" s="62"/>
      <c r="E474" s="62"/>
      <c r="F474" s="62"/>
      <c r="G474" s="62"/>
      <c r="H474" s="63"/>
      <c r="I474" s="63"/>
      <c r="J474" s="63"/>
      <c r="K474" s="62"/>
      <c r="L474" s="62"/>
      <c r="M474" s="64" t="str">
        <f ca="1">IF($A474="","",IF($G474="Did not pass re-test","Sent back again",IF($G474="Yes",IF(AND(ISNUMBER($J474),ISNUMBER($B474)),"Fixed in "&amp;($J474-$B474)&amp;" d","Accepted"),IF(SUMPRODUCT(--(TRIM('Combined Delivery Data'!$B$2:$B$500)=TRIM($A474)))=0,"Not on main tab - renamed?",IF(NOT(ISNUMBER($B474)),"Missing or invalid sent-back date",IF($B474&gt;TODAY(),"Sent-back date is in future",IF(ISNUMBER($J474),IF($J474&lt;$B474,"Check dates - fixed before sent","Fixed in "&amp;($J474-$B474)&amp;" d"),IF(AND($I474&lt;&gt;"",NOT(ISNUMBER($I474))),"Check Expected Fix Date",IF($I474="","UNCLAIMED "&amp;(TODAY()-$B474)&amp;" d",IF(TODAY()&gt;$I474,(TODAY()-$I474)&amp;" d LATE","Open "&amp;(TODAY()-$B474)&amp;" d"))))))))))</f>
        <v/>
      </c>
      <c r="O474" s="66">
        <f>'Combined Delivery Data'!B473</f>
        <v>0</v>
      </c>
      <c r="P474" s="66">
        <f t="shared" si="28"/>
        <v>0</v>
      </c>
      <c r="Q474" s="66">
        <f t="shared" si="29"/>
        <v>0</v>
      </c>
      <c r="R474" s="67" t="str">
        <f t="shared" si="30"/>
        <v/>
      </c>
      <c r="S474" s="66" t="str">
        <f t="shared" si="31"/>
        <v/>
      </c>
    </row>
    <row r="475" spans="1:19" x14ac:dyDescent="0.25">
      <c r="A475" s="62"/>
      <c r="B475" s="63"/>
      <c r="C475" s="62"/>
      <c r="D475" s="62"/>
      <c r="E475" s="62"/>
      <c r="F475" s="62"/>
      <c r="G475" s="62"/>
      <c r="H475" s="63"/>
      <c r="I475" s="63"/>
      <c r="J475" s="63"/>
      <c r="K475" s="62"/>
      <c r="L475" s="62"/>
      <c r="M475" s="64" t="str">
        <f ca="1">IF($A475="","",IF($G475="Did not pass re-test","Sent back again",IF($G475="Yes",IF(AND(ISNUMBER($J475),ISNUMBER($B475)),"Fixed in "&amp;($J475-$B475)&amp;" d","Accepted"),IF(SUMPRODUCT(--(TRIM('Combined Delivery Data'!$B$2:$B$500)=TRIM($A475)))=0,"Not on main tab - renamed?",IF(NOT(ISNUMBER($B475)),"Missing or invalid sent-back date",IF($B475&gt;TODAY(),"Sent-back date is in future",IF(ISNUMBER($J475),IF($J475&lt;$B475,"Check dates - fixed before sent","Fixed in "&amp;($J475-$B475)&amp;" d"),IF(AND($I475&lt;&gt;"",NOT(ISNUMBER($I475))),"Check Expected Fix Date",IF($I475="","UNCLAIMED "&amp;(TODAY()-$B475)&amp;" d",IF(TODAY()&gt;$I475,(TODAY()-$I475)&amp;" d LATE","Open "&amp;(TODAY()-$B475)&amp;" d"))))))))))</f>
        <v/>
      </c>
      <c r="O475" s="66">
        <f>'Combined Delivery Data'!B474</f>
        <v>0</v>
      </c>
      <c r="P475" s="66">
        <f t="shared" si="28"/>
        <v>0</v>
      </c>
      <c r="Q475" s="66">
        <f t="shared" si="29"/>
        <v>0</v>
      </c>
      <c r="R475" s="67" t="str">
        <f t="shared" si="30"/>
        <v/>
      </c>
      <c r="S475" s="66" t="str">
        <f t="shared" si="31"/>
        <v/>
      </c>
    </row>
    <row r="476" spans="1:19" x14ac:dyDescent="0.25">
      <c r="A476" s="62"/>
      <c r="B476" s="63"/>
      <c r="C476" s="62"/>
      <c r="D476" s="62"/>
      <c r="E476" s="62"/>
      <c r="F476" s="62"/>
      <c r="G476" s="62"/>
      <c r="H476" s="63"/>
      <c r="I476" s="63"/>
      <c r="J476" s="63"/>
      <c r="K476" s="62"/>
      <c r="L476" s="62"/>
      <c r="M476" s="64" t="str">
        <f ca="1">IF($A476="","",IF($G476="Did not pass re-test","Sent back again",IF($G476="Yes",IF(AND(ISNUMBER($J476),ISNUMBER($B476)),"Fixed in "&amp;($J476-$B476)&amp;" d","Accepted"),IF(SUMPRODUCT(--(TRIM('Combined Delivery Data'!$B$2:$B$500)=TRIM($A476)))=0,"Not on main tab - renamed?",IF(NOT(ISNUMBER($B476)),"Missing or invalid sent-back date",IF($B476&gt;TODAY(),"Sent-back date is in future",IF(ISNUMBER($J476),IF($J476&lt;$B476,"Check dates - fixed before sent","Fixed in "&amp;($J476-$B476)&amp;" d"),IF(AND($I476&lt;&gt;"",NOT(ISNUMBER($I476))),"Check Expected Fix Date",IF($I476="","UNCLAIMED "&amp;(TODAY()-$B476)&amp;" d",IF(TODAY()&gt;$I476,(TODAY()-$I476)&amp;" d LATE","Open "&amp;(TODAY()-$B476)&amp;" d"))))))))))</f>
        <v/>
      </c>
      <c r="O476" s="66">
        <f>'Combined Delivery Data'!B475</f>
        <v>0</v>
      </c>
      <c r="P476" s="66">
        <f t="shared" si="28"/>
        <v>0</v>
      </c>
      <c r="Q476" s="66">
        <f t="shared" si="29"/>
        <v>0</v>
      </c>
      <c r="R476" s="67" t="str">
        <f t="shared" si="30"/>
        <v/>
      </c>
      <c r="S476" s="66" t="str">
        <f t="shared" si="31"/>
        <v/>
      </c>
    </row>
    <row r="477" spans="1:19" x14ac:dyDescent="0.25">
      <c r="A477" s="62"/>
      <c r="B477" s="63"/>
      <c r="C477" s="62"/>
      <c r="D477" s="62"/>
      <c r="E477" s="62"/>
      <c r="F477" s="62"/>
      <c r="G477" s="62"/>
      <c r="H477" s="63"/>
      <c r="I477" s="63"/>
      <c r="J477" s="63"/>
      <c r="K477" s="62"/>
      <c r="L477" s="62"/>
      <c r="M477" s="64" t="str">
        <f ca="1">IF($A477="","",IF($G477="Did not pass re-test","Sent back again",IF($G477="Yes",IF(AND(ISNUMBER($J477),ISNUMBER($B477)),"Fixed in "&amp;($J477-$B477)&amp;" d","Accepted"),IF(SUMPRODUCT(--(TRIM('Combined Delivery Data'!$B$2:$B$500)=TRIM($A477)))=0,"Not on main tab - renamed?",IF(NOT(ISNUMBER($B477)),"Missing or invalid sent-back date",IF($B477&gt;TODAY(),"Sent-back date is in future",IF(ISNUMBER($J477),IF($J477&lt;$B477,"Check dates - fixed before sent","Fixed in "&amp;($J477-$B477)&amp;" d"),IF(AND($I477&lt;&gt;"",NOT(ISNUMBER($I477))),"Check Expected Fix Date",IF($I477="","UNCLAIMED "&amp;(TODAY()-$B477)&amp;" d",IF(TODAY()&gt;$I477,(TODAY()-$I477)&amp;" d LATE","Open "&amp;(TODAY()-$B477)&amp;" d"))))))))))</f>
        <v/>
      </c>
      <c r="O477" s="66">
        <f>'Combined Delivery Data'!B476</f>
        <v>0</v>
      </c>
      <c r="P477" s="66">
        <f t="shared" si="28"/>
        <v>0</v>
      </c>
      <c r="Q477" s="66">
        <f t="shared" si="29"/>
        <v>0</v>
      </c>
      <c r="R477" s="67" t="str">
        <f t="shared" si="30"/>
        <v/>
      </c>
      <c r="S477" s="66" t="str">
        <f t="shared" si="31"/>
        <v/>
      </c>
    </row>
    <row r="478" spans="1:19" x14ac:dyDescent="0.25">
      <c r="A478" s="62"/>
      <c r="B478" s="63"/>
      <c r="C478" s="62"/>
      <c r="D478" s="62"/>
      <c r="E478" s="62"/>
      <c r="F478" s="62"/>
      <c r="G478" s="62"/>
      <c r="H478" s="63"/>
      <c r="I478" s="63"/>
      <c r="J478" s="63"/>
      <c r="K478" s="62"/>
      <c r="L478" s="62"/>
      <c r="M478" s="64" t="str">
        <f ca="1">IF($A478="","",IF($G478="Did not pass re-test","Sent back again",IF($G478="Yes",IF(AND(ISNUMBER($J478),ISNUMBER($B478)),"Fixed in "&amp;($J478-$B478)&amp;" d","Accepted"),IF(SUMPRODUCT(--(TRIM('Combined Delivery Data'!$B$2:$B$500)=TRIM($A478)))=0,"Not on main tab - renamed?",IF(NOT(ISNUMBER($B478)),"Missing or invalid sent-back date",IF($B478&gt;TODAY(),"Sent-back date is in future",IF(ISNUMBER($J478),IF($J478&lt;$B478,"Check dates - fixed before sent","Fixed in "&amp;($J478-$B478)&amp;" d"),IF(AND($I478&lt;&gt;"",NOT(ISNUMBER($I478))),"Check Expected Fix Date",IF($I478="","UNCLAIMED "&amp;(TODAY()-$B478)&amp;" d",IF(TODAY()&gt;$I478,(TODAY()-$I478)&amp;" d LATE","Open "&amp;(TODAY()-$B478)&amp;" d"))))))))))</f>
        <v/>
      </c>
      <c r="O478" s="66">
        <f>'Combined Delivery Data'!B477</f>
        <v>0</v>
      </c>
      <c r="P478" s="66">
        <f t="shared" si="28"/>
        <v>0</v>
      </c>
      <c r="Q478" s="66">
        <f t="shared" si="29"/>
        <v>0</v>
      </c>
      <c r="R478" s="67" t="str">
        <f t="shared" si="30"/>
        <v/>
      </c>
      <c r="S478" s="66" t="str">
        <f t="shared" si="31"/>
        <v/>
      </c>
    </row>
    <row r="479" spans="1:19" x14ac:dyDescent="0.25">
      <c r="A479" s="62"/>
      <c r="B479" s="63"/>
      <c r="C479" s="62"/>
      <c r="D479" s="62"/>
      <c r="E479" s="62"/>
      <c r="F479" s="62"/>
      <c r="G479" s="62"/>
      <c r="H479" s="63"/>
      <c r="I479" s="63"/>
      <c r="J479" s="63"/>
      <c r="K479" s="62"/>
      <c r="L479" s="62"/>
      <c r="M479" s="64" t="str">
        <f ca="1">IF($A479="","",IF($G479="Did not pass re-test","Sent back again",IF($G479="Yes",IF(AND(ISNUMBER($J479),ISNUMBER($B479)),"Fixed in "&amp;($J479-$B479)&amp;" d","Accepted"),IF(SUMPRODUCT(--(TRIM('Combined Delivery Data'!$B$2:$B$500)=TRIM($A479)))=0,"Not on main tab - renamed?",IF(NOT(ISNUMBER($B479)),"Missing or invalid sent-back date",IF($B479&gt;TODAY(),"Sent-back date is in future",IF(ISNUMBER($J479),IF($J479&lt;$B479,"Check dates - fixed before sent","Fixed in "&amp;($J479-$B479)&amp;" d"),IF(AND($I479&lt;&gt;"",NOT(ISNUMBER($I479))),"Check Expected Fix Date",IF($I479="","UNCLAIMED "&amp;(TODAY()-$B479)&amp;" d",IF(TODAY()&gt;$I479,(TODAY()-$I479)&amp;" d LATE","Open "&amp;(TODAY()-$B479)&amp;" d"))))))))))</f>
        <v/>
      </c>
      <c r="O479" s="66">
        <f>'Combined Delivery Data'!B478</f>
        <v>0</v>
      </c>
      <c r="P479" s="66">
        <f t="shared" si="28"/>
        <v>0</v>
      </c>
      <c r="Q479" s="66">
        <f t="shared" si="29"/>
        <v>0</v>
      </c>
      <c r="R479" s="67" t="str">
        <f t="shared" si="30"/>
        <v/>
      </c>
      <c r="S479" s="66" t="str">
        <f t="shared" si="31"/>
        <v/>
      </c>
    </row>
    <row r="480" spans="1:19" x14ac:dyDescent="0.25">
      <c r="A480" s="62"/>
      <c r="B480" s="63"/>
      <c r="C480" s="62"/>
      <c r="D480" s="62"/>
      <c r="E480" s="62"/>
      <c r="F480" s="62"/>
      <c r="G480" s="62"/>
      <c r="H480" s="63"/>
      <c r="I480" s="63"/>
      <c r="J480" s="63"/>
      <c r="K480" s="62"/>
      <c r="L480" s="62"/>
      <c r="M480" s="64" t="str">
        <f ca="1">IF($A480="","",IF($G480="Did not pass re-test","Sent back again",IF($G480="Yes",IF(AND(ISNUMBER($J480),ISNUMBER($B480)),"Fixed in "&amp;($J480-$B480)&amp;" d","Accepted"),IF(SUMPRODUCT(--(TRIM('Combined Delivery Data'!$B$2:$B$500)=TRIM($A480)))=0,"Not on main tab - renamed?",IF(NOT(ISNUMBER($B480)),"Missing or invalid sent-back date",IF($B480&gt;TODAY(),"Sent-back date is in future",IF(ISNUMBER($J480),IF($J480&lt;$B480,"Check dates - fixed before sent","Fixed in "&amp;($J480-$B480)&amp;" d"),IF(AND($I480&lt;&gt;"",NOT(ISNUMBER($I480))),"Check Expected Fix Date",IF($I480="","UNCLAIMED "&amp;(TODAY()-$B480)&amp;" d",IF(TODAY()&gt;$I480,(TODAY()-$I480)&amp;" d LATE","Open "&amp;(TODAY()-$B480)&amp;" d"))))))))))</f>
        <v/>
      </c>
      <c r="O480" s="66">
        <f>'Combined Delivery Data'!B479</f>
        <v>0</v>
      </c>
      <c r="P480" s="66">
        <f t="shared" si="28"/>
        <v>0</v>
      </c>
      <c r="Q480" s="66">
        <f t="shared" si="29"/>
        <v>0</v>
      </c>
      <c r="R480" s="67" t="str">
        <f t="shared" si="30"/>
        <v/>
      </c>
      <c r="S480" s="66" t="str">
        <f t="shared" si="31"/>
        <v/>
      </c>
    </row>
    <row r="481" spans="1:19" x14ac:dyDescent="0.25">
      <c r="A481" s="62"/>
      <c r="B481" s="63"/>
      <c r="C481" s="62"/>
      <c r="D481" s="62"/>
      <c r="E481" s="62"/>
      <c r="F481" s="62"/>
      <c r="G481" s="62"/>
      <c r="H481" s="63"/>
      <c r="I481" s="63"/>
      <c r="J481" s="63"/>
      <c r="K481" s="62"/>
      <c r="L481" s="62"/>
      <c r="M481" s="64" t="str">
        <f ca="1">IF($A481="","",IF($G481="Did not pass re-test","Sent back again",IF($G481="Yes",IF(AND(ISNUMBER($J481),ISNUMBER($B481)),"Fixed in "&amp;($J481-$B481)&amp;" d","Accepted"),IF(SUMPRODUCT(--(TRIM('Combined Delivery Data'!$B$2:$B$500)=TRIM($A481)))=0,"Not on main tab - renamed?",IF(NOT(ISNUMBER($B481)),"Missing or invalid sent-back date",IF($B481&gt;TODAY(),"Sent-back date is in future",IF(ISNUMBER($J481),IF($J481&lt;$B481,"Check dates - fixed before sent","Fixed in "&amp;($J481-$B481)&amp;" d"),IF(AND($I481&lt;&gt;"",NOT(ISNUMBER($I481))),"Check Expected Fix Date",IF($I481="","UNCLAIMED "&amp;(TODAY()-$B481)&amp;" d",IF(TODAY()&gt;$I481,(TODAY()-$I481)&amp;" d LATE","Open "&amp;(TODAY()-$B481)&amp;" d"))))))))))</f>
        <v/>
      </c>
      <c r="O481" s="66">
        <f>'Combined Delivery Data'!B480</f>
        <v>0</v>
      </c>
      <c r="P481" s="66">
        <f t="shared" si="28"/>
        <v>0</v>
      </c>
      <c r="Q481" s="66">
        <f t="shared" si="29"/>
        <v>0</v>
      </c>
      <c r="R481" s="67" t="str">
        <f t="shared" si="30"/>
        <v/>
      </c>
      <c r="S481" s="66" t="str">
        <f t="shared" si="31"/>
        <v/>
      </c>
    </row>
    <row r="482" spans="1:19" x14ac:dyDescent="0.25">
      <c r="A482" s="62"/>
      <c r="B482" s="63"/>
      <c r="C482" s="62"/>
      <c r="D482" s="62"/>
      <c r="E482" s="62"/>
      <c r="F482" s="62"/>
      <c r="G482" s="62"/>
      <c r="H482" s="63"/>
      <c r="I482" s="63"/>
      <c r="J482" s="63"/>
      <c r="K482" s="62"/>
      <c r="L482" s="62"/>
      <c r="M482" s="64" t="str">
        <f ca="1">IF($A482="","",IF($G482="Did not pass re-test","Sent back again",IF($G482="Yes",IF(AND(ISNUMBER($J482),ISNUMBER($B482)),"Fixed in "&amp;($J482-$B482)&amp;" d","Accepted"),IF(SUMPRODUCT(--(TRIM('Combined Delivery Data'!$B$2:$B$500)=TRIM($A482)))=0,"Not on main tab - renamed?",IF(NOT(ISNUMBER($B482)),"Missing or invalid sent-back date",IF($B482&gt;TODAY(),"Sent-back date is in future",IF(ISNUMBER($J482),IF($J482&lt;$B482,"Check dates - fixed before sent","Fixed in "&amp;($J482-$B482)&amp;" d"),IF(AND($I482&lt;&gt;"",NOT(ISNUMBER($I482))),"Check Expected Fix Date",IF($I482="","UNCLAIMED "&amp;(TODAY()-$B482)&amp;" d",IF(TODAY()&gt;$I482,(TODAY()-$I482)&amp;" d LATE","Open "&amp;(TODAY()-$B482)&amp;" d"))))))))))</f>
        <v/>
      </c>
      <c r="O482" s="66">
        <f>'Combined Delivery Data'!B481</f>
        <v>0</v>
      </c>
      <c r="P482" s="66">
        <f t="shared" si="28"/>
        <v>0</v>
      </c>
      <c r="Q482" s="66">
        <f t="shared" si="29"/>
        <v>0</v>
      </c>
      <c r="R482" s="67" t="str">
        <f t="shared" si="30"/>
        <v/>
      </c>
      <c r="S482" s="66" t="str">
        <f t="shared" si="31"/>
        <v/>
      </c>
    </row>
    <row r="483" spans="1:19" x14ac:dyDescent="0.25">
      <c r="A483" s="62"/>
      <c r="B483" s="63"/>
      <c r="C483" s="62"/>
      <c r="D483" s="62"/>
      <c r="E483" s="62"/>
      <c r="F483" s="62"/>
      <c r="G483" s="62"/>
      <c r="H483" s="63"/>
      <c r="I483" s="63"/>
      <c r="J483" s="63"/>
      <c r="K483" s="62"/>
      <c r="L483" s="62"/>
      <c r="M483" s="64" t="str">
        <f ca="1">IF($A483="","",IF($G483="Did not pass re-test","Sent back again",IF($G483="Yes",IF(AND(ISNUMBER($J483),ISNUMBER($B483)),"Fixed in "&amp;($J483-$B483)&amp;" d","Accepted"),IF(SUMPRODUCT(--(TRIM('Combined Delivery Data'!$B$2:$B$500)=TRIM($A483)))=0,"Not on main tab - renamed?",IF(NOT(ISNUMBER($B483)),"Missing or invalid sent-back date",IF($B483&gt;TODAY(),"Sent-back date is in future",IF(ISNUMBER($J483),IF($J483&lt;$B483,"Check dates - fixed before sent","Fixed in "&amp;($J483-$B483)&amp;" d"),IF(AND($I483&lt;&gt;"",NOT(ISNUMBER($I483))),"Check Expected Fix Date",IF($I483="","UNCLAIMED "&amp;(TODAY()-$B483)&amp;" d",IF(TODAY()&gt;$I483,(TODAY()-$I483)&amp;" d LATE","Open "&amp;(TODAY()-$B483)&amp;" d"))))))))))</f>
        <v/>
      </c>
      <c r="O483" s="66">
        <f>'Combined Delivery Data'!B482</f>
        <v>0</v>
      </c>
      <c r="P483" s="66">
        <f t="shared" si="28"/>
        <v>0</v>
      </c>
      <c r="Q483" s="66">
        <f t="shared" si="29"/>
        <v>0</v>
      </c>
      <c r="R483" s="67" t="str">
        <f t="shared" si="30"/>
        <v/>
      </c>
      <c r="S483" s="66" t="str">
        <f t="shared" si="31"/>
        <v/>
      </c>
    </row>
    <row r="484" spans="1:19" x14ac:dyDescent="0.25">
      <c r="A484" s="62"/>
      <c r="B484" s="63"/>
      <c r="C484" s="62"/>
      <c r="D484" s="62"/>
      <c r="E484" s="62"/>
      <c r="F484" s="62"/>
      <c r="G484" s="62"/>
      <c r="H484" s="63"/>
      <c r="I484" s="63"/>
      <c r="J484" s="63"/>
      <c r="K484" s="62"/>
      <c r="L484" s="62"/>
      <c r="M484" s="64" t="str">
        <f ca="1">IF($A484="","",IF($G484="Did not pass re-test","Sent back again",IF($G484="Yes",IF(AND(ISNUMBER($J484),ISNUMBER($B484)),"Fixed in "&amp;($J484-$B484)&amp;" d","Accepted"),IF(SUMPRODUCT(--(TRIM('Combined Delivery Data'!$B$2:$B$500)=TRIM($A484)))=0,"Not on main tab - renamed?",IF(NOT(ISNUMBER($B484)),"Missing or invalid sent-back date",IF($B484&gt;TODAY(),"Sent-back date is in future",IF(ISNUMBER($J484),IF($J484&lt;$B484,"Check dates - fixed before sent","Fixed in "&amp;($J484-$B484)&amp;" d"),IF(AND($I484&lt;&gt;"",NOT(ISNUMBER($I484))),"Check Expected Fix Date",IF($I484="","UNCLAIMED "&amp;(TODAY()-$B484)&amp;" d",IF(TODAY()&gt;$I484,(TODAY()-$I484)&amp;" d LATE","Open "&amp;(TODAY()-$B484)&amp;" d"))))))))))</f>
        <v/>
      </c>
      <c r="O484" s="66">
        <f>'Combined Delivery Data'!B483</f>
        <v>0</v>
      </c>
      <c r="P484" s="66">
        <f t="shared" si="28"/>
        <v>0</v>
      </c>
      <c r="Q484" s="66">
        <f t="shared" si="29"/>
        <v>0</v>
      </c>
      <c r="R484" s="67" t="str">
        <f t="shared" si="30"/>
        <v/>
      </c>
      <c r="S484" s="66" t="str">
        <f t="shared" si="31"/>
        <v/>
      </c>
    </row>
    <row r="485" spans="1:19" x14ac:dyDescent="0.25">
      <c r="A485" s="62"/>
      <c r="B485" s="63"/>
      <c r="C485" s="62"/>
      <c r="D485" s="62"/>
      <c r="E485" s="62"/>
      <c r="F485" s="62"/>
      <c r="G485" s="62"/>
      <c r="H485" s="63"/>
      <c r="I485" s="63"/>
      <c r="J485" s="63"/>
      <c r="K485" s="62"/>
      <c r="L485" s="62"/>
      <c r="M485" s="64" t="str">
        <f ca="1">IF($A485="","",IF($G485="Did not pass re-test","Sent back again",IF($G485="Yes",IF(AND(ISNUMBER($J485),ISNUMBER($B485)),"Fixed in "&amp;($J485-$B485)&amp;" d","Accepted"),IF(SUMPRODUCT(--(TRIM('Combined Delivery Data'!$B$2:$B$500)=TRIM($A485)))=0,"Not on main tab - renamed?",IF(NOT(ISNUMBER($B485)),"Missing or invalid sent-back date",IF($B485&gt;TODAY(),"Sent-back date is in future",IF(ISNUMBER($J485),IF($J485&lt;$B485,"Check dates - fixed before sent","Fixed in "&amp;($J485-$B485)&amp;" d"),IF(AND($I485&lt;&gt;"",NOT(ISNUMBER($I485))),"Check Expected Fix Date",IF($I485="","UNCLAIMED "&amp;(TODAY()-$B485)&amp;" d",IF(TODAY()&gt;$I485,(TODAY()-$I485)&amp;" d LATE","Open "&amp;(TODAY()-$B485)&amp;" d"))))))))))</f>
        <v/>
      </c>
      <c r="O485" s="66">
        <f>'Combined Delivery Data'!B484</f>
        <v>0</v>
      </c>
      <c r="P485" s="66">
        <f t="shared" si="28"/>
        <v>0</v>
      </c>
      <c r="Q485" s="66">
        <f t="shared" si="29"/>
        <v>0</v>
      </c>
      <c r="R485" s="67" t="str">
        <f t="shared" si="30"/>
        <v/>
      </c>
      <c r="S485" s="66" t="str">
        <f t="shared" si="31"/>
        <v/>
      </c>
    </row>
    <row r="486" spans="1:19" x14ac:dyDescent="0.25">
      <c r="A486" s="62"/>
      <c r="B486" s="63"/>
      <c r="C486" s="62"/>
      <c r="D486" s="62"/>
      <c r="E486" s="62"/>
      <c r="F486" s="62"/>
      <c r="G486" s="62"/>
      <c r="H486" s="63"/>
      <c r="I486" s="63"/>
      <c r="J486" s="63"/>
      <c r="K486" s="62"/>
      <c r="L486" s="62"/>
      <c r="M486" s="64" t="str">
        <f ca="1">IF($A486="","",IF($G486="Did not pass re-test","Sent back again",IF($G486="Yes",IF(AND(ISNUMBER($J486),ISNUMBER($B486)),"Fixed in "&amp;($J486-$B486)&amp;" d","Accepted"),IF(SUMPRODUCT(--(TRIM('Combined Delivery Data'!$B$2:$B$500)=TRIM($A486)))=0,"Not on main tab - renamed?",IF(NOT(ISNUMBER($B486)),"Missing or invalid sent-back date",IF($B486&gt;TODAY(),"Sent-back date is in future",IF(ISNUMBER($J486),IF($J486&lt;$B486,"Check dates - fixed before sent","Fixed in "&amp;($J486-$B486)&amp;" d"),IF(AND($I486&lt;&gt;"",NOT(ISNUMBER($I486))),"Check Expected Fix Date",IF($I486="","UNCLAIMED "&amp;(TODAY()-$B486)&amp;" d",IF(TODAY()&gt;$I486,(TODAY()-$I486)&amp;" d LATE","Open "&amp;(TODAY()-$B486)&amp;" d"))))))))))</f>
        <v/>
      </c>
      <c r="O486" s="66">
        <f>'Combined Delivery Data'!B485</f>
        <v>0</v>
      </c>
      <c r="P486" s="66">
        <f t="shared" si="28"/>
        <v>0</v>
      </c>
      <c r="Q486" s="66">
        <f t="shared" si="29"/>
        <v>0</v>
      </c>
      <c r="R486" s="67" t="str">
        <f t="shared" si="30"/>
        <v/>
      </c>
      <c r="S486" s="66" t="str">
        <f t="shared" si="31"/>
        <v/>
      </c>
    </row>
    <row r="487" spans="1:19" x14ac:dyDescent="0.25">
      <c r="A487" s="62"/>
      <c r="B487" s="63"/>
      <c r="C487" s="62"/>
      <c r="D487" s="62"/>
      <c r="E487" s="62"/>
      <c r="F487" s="62"/>
      <c r="G487" s="62"/>
      <c r="H487" s="63"/>
      <c r="I487" s="63"/>
      <c r="J487" s="63"/>
      <c r="K487" s="62"/>
      <c r="L487" s="62"/>
      <c r="M487" s="64" t="str">
        <f ca="1">IF($A487="","",IF($G487="Did not pass re-test","Sent back again",IF($G487="Yes",IF(AND(ISNUMBER($J487),ISNUMBER($B487)),"Fixed in "&amp;($J487-$B487)&amp;" d","Accepted"),IF(SUMPRODUCT(--(TRIM('Combined Delivery Data'!$B$2:$B$500)=TRIM($A487)))=0,"Not on main tab - renamed?",IF(NOT(ISNUMBER($B487)),"Missing or invalid sent-back date",IF($B487&gt;TODAY(),"Sent-back date is in future",IF(ISNUMBER($J487),IF($J487&lt;$B487,"Check dates - fixed before sent","Fixed in "&amp;($J487-$B487)&amp;" d"),IF(AND($I487&lt;&gt;"",NOT(ISNUMBER($I487))),"Check Expected Fix Date",IF($I487="","UNCLAIMED "&amp;(TODAY()-$B487)&amp;" d",IF(TODAY()&gt;$I487,(TODAY()-$I487)&amp;" d LATE","Open "&amp;(TODAY()-$B487)&amp;" d"))))))))))</f>
        <v/>
      </c>
      <c r="O487" s="66">
        <f>'Combined Delivery Data'!B486</f>
        <v>0</v>
      </c>
      <c r="P487" s="66">
        <f t="shared" si="28"/>
        <v>0</v>
      </c>
      <c r="Q487" s="66">
        <f t="shared" si="29"/>
        <v>0</v>
      </c>
      <c r="R487" s="67" t="str">
        <f t="shared" si="30"/>
        <v/>
      </c>
      <c r="S487" s="66" t="str">
        <f t="shared" si="31"/>
        <v/>
      </c>
    </row>
    <row r="488" spans="1:19" x14ac:dyDescent="0.25">
      <c r="A488" s="62"/>
      <c r="B488" s="63"/>
      <c r="C488" s="62"/>
      <c r="D488" s="62"/>
      <c r="E488" s="62"/>
      <c r="F488" s="62"/>
      <c r="G488" s="62"/>
      <c r="H488" s="63"/>
      <c r="I488" s="63"/>
      <c r="J488" s="63"/>
      <c r="K488" s="62"/>
      <c r="L488" s="62"/>
      <c r="M488" s="64" t="str">
        <f ca="1">IF($A488="","",IF($G488="Did not pass re-test","Sent back again",IF($G488="Yes",IF(AND(ISNUMBER($J488),ISNUMBER($B488)),"Fixed in "&amp;($J488-$B488)&amp;" d","Accepted"),IF(SUMPRODUCT(--(TRIM('Combined Delivery Data'!$B$2:$B$500)=TRIM($A488)))=0,"Not on main tab - renamed?",IF(NOT(ISNUMBER($B488)),"Missing or invalid sent-back date",IF($B488&gt;TODAY(),"Sent-back date is in future",IF(ISNUMBER($J488),IF($J488&lt;$B488,"Check dates - fixed before sent","Fixed in "&amp;($J488-$B488)&amp;" d"),IF(AND($I488&lt;&gt;"",NOT(ISNUMBER($I488))),"Check Expected Fix Date",IF($I488="","UNCLAIMED "&amp;(TODAY()-$B488)&amp;" d",IF(TODAY()&gt;$I488,(TODAY()-$I488)&amp;" d LATE","Open "&amp;(TODAY()-$B488)&amp;" d"))))))))))</f>
        <v/>
      </c>
      <c r="O488" s="66">
        <f>'Combined Delivery Data'!B487</f>
        <v>0</v>
      </c>
      <c r="P488" s="66">
        <f t="shared" si="28"/>
        <v>0</v>
      </c>
      <c r="Q488" s="66">
        <f t="shared" si="29"/>
        <v>0</v>
      </c>
      <c r="R488" s="67" t="str">
        <f t="shared" si="30"/>
        <v/>
      </c>
      <c r="S488" s="66" t="str">
        <f t="shared" si="31"/>
        <v/>
      </c>
    </row>
    <row r="489" spans="1:19" x14ac:dyDescent="0.25">
      <c r="A489" s="62"/>
      <c r="B489" s="63"/>
      <c r="C489" s="62"/>
      <c r="D489" s="62"/>
      <c r="E489" s="62"/>
      <c r="F489" s="62"/>
      <c r="G489" s="62"/>
      <c r="H489" s="63"/>
      <c r="I489" s="63"/>
      <c r="J489" s="63"/>
      <c r="K489" s="62"/>
      <c r="L489" s="62"/>
      <c r="M489" s="64" t="str">
        <f ca="1">IF($A489="","",IF($G489="Did not pass re-test","Sent back again",IF($G489="Yes",IF(AND(ISNUMBER($J489),ISNUMBER($B489)),"Fixed in "&amp;($J489-$B489)&amp;" d","Accepted"),IF(SUMPRODUCT(--(TRIM('Combined Delivery Data'!$B$2:$B$500)=TRIM($A489)))=0,"Not on main tab - renamed?",IF(NOT(ISNUMBER($B489)),"Missing or invalid sent-back date",IF($B489&gt;TODAY(),"Sent-back date is in future",IF(ISNUMBER($J489),IF($J489&lt;$B489,"Check dates - fixed before sent","Fixed in "&amp;($J489-$B489)&amp;" d"),IF(AND($I489&lt;&gt;"",NOT(ISNUMBER($I489))),"Check Expected Fix Date",IF($I489="","UNCLAIMED "&amp;(TODAY()-$B489)&amp;" d",IF(TODAY()&gt;$I489,(TODAY()-$I489)&amp;" d LATE","Open "&amp;(TODAY()-$B489)&amp;" d"))))))))))</f>
        <v/>
      </c>
      <c r="O489" s="66">
        <f>'Combined Delivery Data'!B488</f>
        <v>0</v>
      </c>
      <c r="P489" s="66">
        <f t="shared" si="28"/>
        <v>0</v>
      </c>
      <c r="Q489" s="66">
        <f t="shared" si="29"/>
        <v>0</v>
      </c>
      <c r="R489" s="67" t="str">
        <f t="shared" si="30"/>
        <v/>
      </c>
      <c r="S489" s="66" t="str">
        <f t="shared" si="31"/>
        <v/>
      </c>
    </row>
    <row r="490" spans="1:19" x14ac:dyDescent="0.25">
      <c r="A490" s="62"/>
      <c r="B490" s="63"/>
      <c r="C490" s="62"/>
      <c r="D490" s="62"/>
      <c r="E490" s="62"/>
      <c r="F490" s="62"/>
      <c r="G490" s="62"/>
      <c r="H490" s="63"/>
      <c r="I490" s="63"/>
      <c r="J490" s="63"/>
      <c r="K490" s="62"/>
      <c r="L490" s="62"/>
      <c r="M490" s="64" t="str">
        <f ca="1">IF($A490="","",IF($G490="Did not pass re-test","Sent back again",IF($G490="Yes",IF(AND(ISNUMBER($J490),ISNUMBER($B490)),"Fixed in "&amp;($J490-$B490)&amp;" d","Accepted"),IF(SUMPRODUCT(--(TRIM('Combined Delivery Data'!$B$2:$B$500)=TRIM($A490)))=0,"Not on main tab - renamed?",IF(NOT(ISNUMBER($B490)),"Missing or invalid sent-back date",IF($B490&gt;TODAY(),"Sent-back date is in future",IF(ISNUMBER($J490),IF($J490&lt;$B490,"Check dates - fixed before sent","Fixed in "&amp;($J490-$B490)&amp;" d"),IF(AND($I490&lt;&gt;"",NOT(ISNUMBER($I490))),"Check Expected Fix Date",IF($I490="","UNCLAIMED "&amp;(TODAY()-$B490)&amp;" d",IF(TODAY()&gt;$I490,(TODAY()-$I490)&amp;" d LATE","Open "&amp;(TODAY()-$B490)&amp;" d"))))))))))</f>
        <v/>
      </c>
      <c r="O490" s="66">
        <f>'Combined Delivery Data'!B489</f>
        <v>0</v>
      </c>
      <c r="P490" s="66">
        <f t="shared" si="28"/>
        <v>0</v>
      </c>
      <c r="Q490" s="66">
        <f t="shared" si="29"/>
        <v>0</v>
      </c>
      <c r="R490" s="67" t="str">
        <f t="shared" si="30"/>
        <v/>
      </c>
      <c r="S490" s="66" t="str">
        <f t="shared" si="31"/>
        <v/>
      </c>
    </row>
    <row r="491" spans="1:19" x14ac:dyDescent="0.25">
      <c r="A491" s="62"/>
      <c r="B491" s="63"/>
      <c r="C491" s="62"/>
      <c r="D491" s="62"/>
      <c r="E491" s="62"/>
      <c r="F491" s="62"/>
      <c r="G491" s="62"/>
      <c r="H491" s="63"/>
      <c r="I491" s="63"/>
      <c r="J491" s="63"/>
      <c r="K491" s="62"/>
      <c r="L491" s="62"/>
      <c r="M491" s="64" t="str">
        <f ca="1">IF($A491="","",IF($G491="Did not pass re-test","Sent back again",IF($G491="Yes",IF(AND(ISNUMBER($J491),ISNUMBER($B491)),"Fixed in "&amp;($J491-$B491)&amp;" d","Accepted"),IF(SUMPRODUCT(--(TRIM('Combined Delivery Data'!$B$2:$B$500)=TRIM($A491)))=0,"Not on main tab - renamed?",IF(NOT(ISNUMBER($B491)),"Missing or invalid sent-back date",IF($B491&gt;TODAY(),"Sent-back date is in future",IF(ISNUMBER($J491),IF($J491&lt;$B491,"Check dates - fixed before sent","Fixed in "&amp;($J491-$B491)&amp;" d"),IF(AND($I491&lt;&gt;"",NOT(ISNUMBER($I491))),"Check Expected Fix Date",IF($I491="","UNCLAIMED "&amp;(TODAY()-$B491)&amp;" d",IF(TODAY()&gt;$I491,(TODAY()-$I491)&amp;" d LATE","Open "&amp;(TODAY()-$B491)&amp;" d"))))))))))</f>
        <v/>
      </c>
      <c r="O491" s="66">
        <f>'Combined Delivery Data'!B490</f>
        <v>0</v>
      </c>
      <c r="P491" s="66">
        <f t="shared" si="28"/>
        <v>0</v>
      </c>
      <c r="Q491" s="66">
        <f t="shared" si="29"/>
        <v>0</v>
      </c>
      <c r="R491" s="67" t="str">
        <f t="shared" si="30"/>
        <v/>
      </c>
      <c r="S491" s="66" t="str">
        <f t="shared" si="31"/>
        <v/>
      </c>
    </row>
    <row r="492" spans="1:19" x14ac:dyDescent="0.25">
      <c r="A492" s="62"/>
      <c r="B492" s="63"/>
      <c r="C492" s="62"/>
      <c r="D492" s="62"/>
      <c r="E492" s="62"/>
      <c r="F492" s="62"/>
      <c r="G492" s="62"/>
      <c r="H492" s="63"/>
      <c r="I492" s="63"/>
      <c r="J492" s="63"/>
      <c r="K492" s="62"/>
      <c r="L492" s="62"/>
      <c r="M492" s="64" t="str">
        <f ca="1">IF($A492="","",IF($G492="Did not pass re-test","Sent back again",IF($G492="Yes",IF(AND(ISNUMBER($J492),ISNUMBER($B492)),"Fixed in "&amp;($J492-$B492)&amp;" d","Accepted"),IF(SUMPRODUCT(--(TRIM('Combined Delivery Data'!$B$2:$B$500)=TRIM($A492)))=0,"Not on main tab - renamed?",IF(NOT(ISNUMBER($B492)),"Missing or invalid sent-back date",IF($B492&gt;TODAY(),"Sent-back date is in future",IF(ISNUMBER($J492),IF($J492&lt;$B492,"Check dates - fixed before sent","Fixed in "&amp;($J492-$B492)&amp;" d"),IF(AND($I492&lt;&gt;"",NOT(ISNUMBER($I492))),"Check Expected Fix Date",IF($I492="","UNCLAIMED "&amp;(TODAY()-$B492)&amp;" d",IF(TODAY()&gt;$I492,(TODAY()-$I492)&amp;" d LATE","Open "&amp;(TODAY()-$B492)&amp;" d"))))))))))</f>
        <v/>
      </c>
      <c r="O492" s="66">
        <f>'Combined Delivery Data'!B491</f>
        <v>0</v>
      </c>
      <c r="P492" s="66">
        <f t="shared" si="28"/>
        <v>0</v>
      </c>
      <c r="Q492" s="66">
        <f t="shared" si="29"/>
        <v>0</v>
      </c>
      <c r="R492" s="67" t="str">
        <f t="shared" si="30"/>
        <v/>
      </c>
      <c r="S492" s="66" t="str">
        <f t="shared" si="31"/>
        <v/>
      </c>
    </row>
    <row r="493" spans="1:19" x14ac:dyDescent="0.25">
      <c r="A493" s="62"/>
      <c r="B493" s="63"/>
      <c r="C493" s="62"/>
      <c r="D493" s="62"/>
      <c r="E493" s="62"/>
      <c r="F493" s="62"/>
      <c r="G493" s="62"/>
      <c r="H493" s="63"/>
      <c r="I493" s="63"/>
      <c r="J493" s="63"/>
      <c r="K493" s="62"/>
      <c r="L493" s="62"/>
      <c r="M493" s="64" t="str">
        <f ca="1">IF($A493="","",IF($G493="Did not pass re-test","Sent back again",IF($G493="Yes",IF(AND(ISNUMBER($J493),ISNUMBER($B493)),"Fixed in "&amp;($J493-$B493)&amp;" d","Accepted"),IF(SUMPRODUCT(--(TRIM('Combined Delivery Data'!$B$2:$B$500)=TRIM($A493)))=0,"Not on main tab - renamed?",IF(NOT(ISNUMBER($B493)),"Missing or invalid sent-back date",IF($B493&gt;TODAY(),"Sent-back date is in future",IF(ISNUMBER($J493),IF($J493&lt;$B493,"Check dates - fixed before sent","Fixed in "&amp;($J493-$B493)&amp;" d"),IF(AND($I493&lt;&gt;"",NOT(ISNUMBER($I493))),"Check Expected Fix Date",IF($I493="","UNCLAIMED "&amp;(TODAY()-$B493)&amp;" d",IF(TODAY()&gt;$I493,(TODAY()-$I493)&amp;" d LATE","Open "&amp;(TODAY()-$B493)&amp;" d"))))))))))</f>
        <v/>
      </c>
      <c r="O493" s="66">
        <f>'Combined Delivery Data'!B492</f>
        <v>0</v>
      </c>
      <c r="P493" s="66">
        <f t="shared" si="28"/>
        <v>0</v>
      </c>
      <c r="Q493" s="66">
        <f t="shared" si="29"/>
        <v>0</v>
      </c>
      <c r="R493" s="67" t="str">
        <f t="shared" si="30"/>
        <v/>
      </c>
      <c r="S493" s="66" t="str">
        <f t="shared" si="31"/>
        <v/>
      </c>
    </row>
    <row r="494" spans="1:19" x14ac:dyDescent="0.25">
      <c r="A494" s="62"/>
      <c r="B494" s="63"/>
      <c r="C494" s="62"/>
      <c r="D494" s="62"/>
      <c r="E494" s="62"/>
      <c r="F494" s="62"/>
      <c r="G494" s="62"/>
      <c r="H494" s="63"/>
      <c r="I494" s="63"/>
      <c r="J494" s="63"/>
      <c r="K494" s="62"/>
      <c r="L494" s="62"/>
      <c r="M494" s="64" t="str">
        <f ca="1">IF($A494="","",IF($G494="Did not pass re-test","Sent back again",IF($G494="Yes",IF(AND(ISNUMBER($J494),ISNUMBER($B494)),"Fixed in "&amp;($J494-$B494)&amp;" d","Accepted"),IF(SUMPRODUCT(--(TRIM('Combined Delivery Data'!$B$2:$B$500)=TRIM($A494)))=0,"Not on main tab - renamed?",IF(NOT(ISNUMBER($B494)),"Missing or invalid sent-back date",IF($B494&gt;TODAY(),"Sent-back date is in future",IF(ISNUMBER($J494),IF($J494&lt;$B494,"Check dates - fixed before sent","Fixed in "&amp;($J494-$B494)&amp;" d"),IF(AND($I494&lt;&gt;"",NOT(ISNUMBER($I494))),"Check Expected Fix Date",IF($I494="","UNCLAIMED "&amp;(TODAY()-$B494)&amp;" d",IF(TODAY()&gt;$I494,(TODAY()-$I494)&amp;" d LATE","Open "&amp;(TODAY()-$B494)&amp;" d"))))))))))</f>
        <v/>
      </c>
      <c r="O494" s="66">
        <f>'Combined Delivery Data'!B493</f>
        <v>0</v>
      </c>
      <c r="P494" s="66">
        <f t="shared" si="28"/>
        <v>0</v>
      </c>
      <c r="Q494" s="66">
        <f t="shared" si="29"/>
        <v>0</v>
      </c>
      <c r="R494" s="67" t="str">
        <f t="shared" si="30"/>
        <v/>
      </c>
      <c r="S494" s="66" t="str">
        <f t="shared" si="31"/>
        <v/>
      </c>
    </row>
    <row r="495" spans="1:19" x14ac:dyDescent="0.25">
      <c r="A495" s="62"/>
      <c r="B495" s="63"/>
      <c r="C495" s="62"/>
      <c r="D495" s="62"/>
      <c r="E495" s="62"/>
      <c r="F495" s="62"/>
      <c r="G495" s="62"/>
      <c r="H495" s="63"/>
      <c r="I495" s="63"/>
      <c r="J495" s="63"/>
      <c r="K495" s="62"/>
      <c r="L495" s="62"/>
      <c r="M495" s="64" t="str">
        <f ca="1">IF($A495="","",IF($G495="Did not pass re-test","Sent back again",IF($G495="Yes",IF(AND(ISNUMBER($J495),ISNUMBER($B495)),"Fixed in "&amp;($J495-$B495)&amp;" d","Accepted"),IF(SUMPRODUCT(--(TRIM('Combined Delivery Data'!$B$2:$B$500)=TRIM($A495)))=0,"Not on main tab - renamed?",IF(NOT(ISNUMBER($B495)),"Missing or invalid sent-back date",IF($B495&gt;TODAY(),"Sent-back date is in future",IF(ISNUMBER($J495),IF($J495&lt;$B495,"Check dates - fixed before sent","Fixed in "&amp;($J495-$B495)&amp;" d"),IF(AND($I495&lt;&gt;"",NOT(ISNUMBER($I495))),"Check Expected Fix Date",IF($I495="","UNCLAIMED "&amp;(TODAY()-$B495)&amp;" d",IF(TODAY()&gt;$I495,(TODAY()-$I495)&amp;" d LATE","Open "&amp;(TODAY()-$B495)&amp;" d"))))))))))</f>
        <v/>
      </c>
      <c r="O495" s="66">
        <f>'Combined Delivery Data'!B494</f>
        <v>0</v>
      </c>
      <c r="P495" s="66">
        <f t="shared" si="28"/>
        <v>0</v>
      </c>
      <c r="Q495" s="66">
        <f t="shared" si="29"/>
        <v>0</v>
      </c>
      <c r="R495" s="67" t="str">
        <f t="shared" si="30"/>
        <v/>
      </c>
      <c r="S495" s="66" t="str">
        <f t="shared" si="31"/>
        <v/>
      </c>
    </row>
    <row r="496" spans="1:19" x14ac:dyDescent="0.25">
      <c r="A496" s="62"/>
      <c r="B496" s="63"/>
      <c r="C496" s="62"/>
      <c r="D496" s="62"/>
      <c r="E496" s="62"/>
      <c r="F496" s="62"/>
      <c r="G496" s="62"/>
      <c r="H496" s="63"/>
      <c r="I496" s="63"/>
      <c r="J496" s="63"/>
      <c r="K496" s="62"/>
      <c r="L496" s="62"/>
      <c r="M496" s="64" t="str">
        <f ca="1">IF($A496="","",IF($G496="Did not pass re-test","Sent back again",IF($G496="Yes",IF(AND(ISNUMBER($J496),ISNUMBER($B496)),"Fixed in "&amp;($J496-$B496)&amp;" d","Accepted"),IF(SUMPRODUCT(--(TRIM('Combined Delivery Data'!$B$2:$B$500)=TRIM($A496)))=0,"Not on main tab - renamed?",IF(NOT(ISNUMBER($B496)),"Missing or invalid sent-back date",IF($B496&gt;TODAY(),"Sent-back date is in future",IF(ISNUMBER($J496),IF($J496&lt;$B496,"Check dates - fixed before sent","Fixed in "&amp;($J496-$B496)&amp;" d"),IF(AND($I496&lt;&gt;"",NOT(ISNUMBER($I496))),"Check Expected Fix Date",IF($I496="","UNCLAIMED "&amp;(TODAY()-$B496)&amp;" d",IF(TODAY()&gt;$I496,(TODAY()-$I496)&amp;" d LATE","Open "&amp;(TODAY()-$B496)&amp;" d"))))))))))</f>
        <v/>
      </c>
      <c r="O496" s="66">
        <f>'Combined Delivery Data'!B495</f>
        <v>0</v>
      </c>
      <c r="P496" s="66">
        <f t="shared" si="28"/>
        <v>0</v>
      </c>
      <c r="Q496" s="66">
        <f t="shared" si="29"/>
        <v>0</v>
      </c>
      <c r="R496" s="67" t="str">
        <f t="shared" si="30"/>
        <v/>
      </c>
      <c r="S496" s="66" t="str">
        <f t="shared" si="31"/>
        <v/>
      </c>
    </row>
    <row r="497" spans="1:19" x14ac:dyDescent="0.25">
      <c r="A497" s="62"/>
      <c r="B497" s="63"/>
      <c r="C497" s="62"/>
      <c r="D497" s="62"/>
      <c r="E497" s="62"/>
      <c r="F497" s="62"/>
      <c r="G497" s="62"/>
      <c r="H497" s="63"/>
      <c r="I497" s="63"/>
      <c r="J497" s="63"/>
      <c r="K497" s="62"/>
      <c r="L497" s="62"/>
      <c r="M497" s="64" t="str">
        <f ca="1">IF($A497="","",IF($G497="Did not pass re-test","Sent back again",IF($G497="Yes",IF(AND(ISNUMBER($J497),ISNUMBER($B497)),"Fixed in "&amp;($J497-$B497)&amp;" d","Accepted"),IF(SUMPRODUCT(--(TRIM('Combined Delivery Data'!$B$2:$B$500)=TRIM($A497)))=0,"Not on main tab - renamed?",IF(NOT(ISNUMBER($B497)),"Missing or invalid sent-back date",IF($B497&gt;TODAY(),"Sent-back date is in future",IF(ISNUMBER($J497),IF($J497&lt;$B497,"Check dates - fixed before sent","Fixed in "&amp;($J497-$B497)&amp;" d"),IF(AND($I497&lt;&gt;"",NOT(ISNUMBER($I497))),"Check Expected Fix Date",IF($I497="","UNCLAIMED "&amp;(TODAY()-$B497)&amp;" d",IF(TODAY()&gt;$I497,(TODAY()-$I497)&amp;" d LATE","Open "&amp;(TODAY()-$B497)&amp;" d"))))))))))</f>
        <v/>
      </c>
      <c r="O497" s="66">
        <f>'Combined Delivery Data'!B496</f>
        <v>0</v>
      </c>
      <c r="P497" s="66">
        <f t="shared" si="28"/>
        <v>0</v>
      </c>
      <c r="Q497" s="66">
        <f t="shared" si="29"/>
        <v>0</v>
      </c>
      <c r="R497" s="67" t="str">
        <f t="shared" si="30"/>
        <v/>
      </c>
      <c r="S497" s="66" t="str">
        <f t="shared" si="31"/>
        <v/>
      </c>
    </row>
    <row r="498" spans="1:19" x14ac:dyDescent="0.25">
      <c r="A498" s="62"/>
      <c r="B498" s="63"/>
      <c r="C498" s="62"/>
      <c r="D498" s="62"/>
      <c r="E498" s="62"/>
      <c r="F498" s="62"/>
      <c r="G498" s="62"/>
      <c r="H498" s="63"/>
      <c r="I498" s="63"/>
      <c r="J498" s="63"/>
      <c r="K498" s="62"/>
      <c r="L498" s="62"/>
      <c r="M498" s="64" t="str">
        <f ca="1">IF($A498="","",IF($G498="Did not pass re-test","Sent back again",IF($G498="Yes",IF(AND(ISNUMBER($J498),ISNUMBER($B498)),"Fixed in "&amp;($J498-$B498)&amp;" d","Accepted"),IF(SUMPRODUCT(--(TRIM('Combined Delivery Data'!$B$2:$B$500)=TRIM($A498)))=0,"Not on main tab - renamed?",IF(NOT(ISNUMBER($B498)),"Missing or invalid sent-back date",IF($B498&gt;TODAY(),"Sent-back date is in future",IF(ISNUMBER($J498),IF($J498&lt;$B498,"Check dates - fixed before sent","Fixed in "&amp;($J498-$B498)&amp;" d"),IF(AND($I498&lt;&gt;"",NOT(ISNUMBER($I498))),"Check Expected Fix Date",IF($I498="","UNCLAIMED "&amp;(TODAY()-$B498)&amp;" d",IF(TODAY()&gt;$I498,(TODAY()-$I498)&amp;" d LATE","Open "&amp;(TODAY()-$B498)&amp;" d"))))))))))</f>
        <v/>
      </c>
      <c r="O498" s="66">
        <f>'Combined Delivery Data'!B497</f>
        <v>0</v>
      </c>
      <c r="P498" s="66">
        <f t="shared" si="28"/>
        <v>0</v>
      </c>
      <c r="Q498" s="66">
        <f t="shared" si="29"/>
        <v>0</v>
      </c>
      <c r="R498" s="67" t="str">
        <f t="shared" si="30"/>
        <v/>
      </c>
      <c r="S498" s="66" t="str">
        <f t="shared" si="31"/>
        <v/>
      </c>
    </row>
    <row r="499" spans="1:19" x14ac:dyDescent="0.25">
      <c r="A499" s="62"/>
      <c r="B499" s="63"/>
      <c r="C499" s="62"/>
      <c r="D499" s="62"/>
      <c r="E499" s="62"/>
      <c r="F499" s="62"/>
      <c r="G499" s="62"/>
      <c r="H499" s="63"/>
      <c r="I499" s="63"/>
      <c r="J499" s="63"/>
      <c r="K499" s="62"/>
      <c r="L499" s="62"/>
      <c r="M499" s="64" t="str">
        <f ca="1">IF($A499="","",IF($G499="Did not pass re-test","Sent back again",IF($G499="Yes",IF(AND(ISNUMBER($J499),ISNUMBER($B499)),"Fixed in "&amp;($J499-$B499)&amp;" d","Accepted"),IF(SUMPRODUCT(--(TRIM('Combined Delivery Data'!$B$2:$B$500)=TRIM($A499)))=0,"Not on main tab - renamed?",IF(NOT(ISNUMBER($B499)),"Missing or invalid sent-back date",IF($B499&gt;TODAY(),"Sent-back date is in future",IF(ISNUMBER($J499),IF($J499&lt;$B499,"Check dates - fixed before sent","Fixed in "&amp;($J499-$B499)&amp;" d"),IF(AND($I499&lt;&gt;"",NOT(ISNUMBER($I499))),"Check Expected Fix Date",IF($I499="","UNCLAIMED "&amp;(TODAY()-$B499)&amp;" d",IF(TODAY()&gt;$I499,(TODAY()-$I499)&amp;" d LATE","Open "&amp;(TODAY()-$B499)&amp;" d"))))))))))</f>
        <v/>
      </c>
      <c r="O499" s="66">
        <f>'Combined Delivery Data'!B498</f>
        <v>0</v>
      </c>
      <c r="P499" s="66">
        <f t="shared" si="28"/>
        <v>0</v>
      </c>
      <c r="Q499" s="66">
        <f t="shared" si="29"/>
        <v>0</v>
      </c>
      <c r="R499" s="67" t="str">
        <f t="shared" si="30"/>
        <v/>
      </c>
      <c r="S499" s="66" t="str">
        <f t="shared" si="31"/>
        <v/>
      </c>
    </row>
    <row r="500" spans="1:19" x14ac:dyDescent="0.25">
      <c r="A500" s="62"/>
      <c r="B500" s="63"/>
      <c r="C500" s="62"/>
      <c r="D500" s="62"/>
      <c r="E500" s="62"/>
      <c r="F500" s="62"/>
      <c r="G500" s="62"/>
      <c r="H500" s="63"/>
      <c r="I500" s="63"/>
      <c r="J500" s="63"/>
      <c r="K500" s="62"/>
      <c r="L500" s="62"/>
      <c r="M500" s="64" t="str">
        <f ca="1">IF($A500="","",IF($G500="Did not pass re-test","Sent back again",IF($G500="Yes",IF(AND(ISNUMBER($J500),ISNUMBER($B500)),"Fixed in "&amp;($J500-$B500)&amp;" d","Accepted"),IF(SUMPRODUCT(--(TRIM('Combined Delivery Data'!$B$2:$B$500)=TRIM($A500)))=0,"Not on main tab - renamed?",IF(NOT(ISNUMBER($B500)),"Missing or invalid sent-back date",IF($B500&gt;TODAY(),"Sent-back date is in future",IF(ISNUMBER($J500),IF($J500&lt;$B500,"Check dates - fixed before sent","Fixed in "&amp;($J500-$B500)&amp;" d"),IF(AND($I500&lt;&gt;"",NOT(ISNUMBER($I500))),"Check Expected Fix Date",IF($I500="","UNCLAIMED "&amp;(TODAY()-$B500)&amp;" d",IF(TODAY()&gt;$I500,(TODAY()-$I500)&amp;" d LATE","Open "&amp;(TODAY()-$B500)&amp;" d"))))))))))</f>
        <v/>
      </c>
      <c r="O500" s="66">
        <f>'Combined Delivery Data'!B499</f>
        <v>0</v>
      </c>
      <c r="P500" s="66">
        <f t="shared" si="28"/>
        <v>0</v>
      </c>
      <c r="Q500" s="66">
        <f t="shared" si="29"/>
        <v>0</v>
      </c>
      <c r="R500" s="67" t="str">
        <f t="shared" si="30"/>
        <v/>
      </c>
      <c r="S500" s="66" t="str">
        <f t="shared" si="31"/>
        <v/>
      </c>
    </row>
  </sheetData>
  <sheetProtection formatColumns="0" formatRows="0" sort="0" autoFilter="0"/>
  <mergeCells count="2">
    <mergeCell ref="A1:M1"/>
    <mergeCell ref="O1:S1"/>
  </mergeCells>
  <conditionalFormatting sqref="A3:M500">
    <cfRule type="expression" dxfId="14" priority="7">
      <formula>AND($A3&lt;&gt;"",$G3="Did not pass re-test")</formula>
    </cfRule>
    <cfRule type="expression" dxfId="13" priority="8">
      <formula>AND($A3&lt;&gt;"",$G3="Yes")</formula>
    </cfRule>
    <cfRule type="expression" dxfId="12" priority="9">
      <formula>AND($A3&lt;&gt;"",$J3&lt;&gt;"")</formula>
    </cfRule>
    <cfRule type="expression" dxfId="11" priority="10">
      <formula>$A3&lt;&gt;""</formula>
    </cfRule>
  </conditionalFormatting>
  <conditionalFormatting sqref="C3:C200">
    <cfRule type="expression" dxfId="10" priority="11">
      <formula>$A3=""</formula>
    </cfRule>
  </conditionalFormatting>
  <conditionalFormatting sqref="G3:G200">
    <cfRule type="expression" dxfId="9" priority="12">
      <formula>$A3=""</formula>
    </cfRule>
  </conditionalFormatting>
  <conditionalFormatting sqref="M3:M500">
    <cfRule type="expression" dxfId="8" priority="1">
      <formula>ISNUMBER(SEARCH("Sent back again",$M3))</formula>
    </cfRule>
    <cfRule type="expression" dxfId="7" priority="2">
      <formula>ISNUMBER(SEARCH("LATE",$M3))</formula>
    </cfRule>
    <cfRule type="expression" dxfId="6" priority="3">
      <formula>ISNUMBER(SEARCH("UNCLAIMED",$M3))</formula>
    </cfRule>
    <cfRule type="expression" dxfId="5" priority="4">
      <formula>ISNUMBER(SEARCH("Missing",$M3))</formula>
    </cfRule>
    <cfRule type="expression" dxfId="4" priority="5">
      <formula>ISNUMBER(SEARCH("Fixed in",$M3))</formula>
    </cfRule>
    <cfRule type="expression" dxfId="3" priority="6">
      <formula>ISNUMBER(SEARCH("Open",$M3))</formula>
    </cfRule>
    <cfRule type="expression" dxfId="2" priority="13">
      <formula>ISNUMBER(SEARCH("Not on main tab",$M3))</formula>
    </cfRule>
    <cfRule type="expression" dxfId="1" priority="14">
      <formula>ISNUMBER(SEARCH("future",$M3))</formula>
    </cfRule>
    <cfRule type="expression" dxfId="0" priority="15">
      <formula>ISNUMBER(SEARCH("Check ",$M3))</formula>
    </cfRule>
  </conditionalFormatting>
  <dataValidations count="5">
    <dataValidation type="list" allowBlank="1" showInputMessage="1" promptTitle="Fixed By" prompt="Pick the To Stage first - list shows that stage's people." sqref="K3:K500" xr:uid="{00000000-0002-0000-0300-000000000000}">
      <formula1>INDIRECT(SUBSTITUTE($D3," ","_")&amp;"_List")</formula1>
    </dataValidation>
    <dataValidation type="date" operator="greaterThanOrEqual" allowBlank="1" showInputMessage="1" showErrorMessage="1" errorTitle="Real date only" error="This column only accepts real dates." promptTitle="Date Sent Back" prompt="Ctrl+; enters today." sqref="B3:B500" xr:uid="{00000000-0002-0000-0300-000001000000}">
      <formula1>DATE(2020,1,1)</formula1>
    </dataValidation>
    <dataValidation type="date" operator="greaterThanOrEqual" allowBlank="1" showInputMessage="1" showErrorMessage="1" errorTitle="Real date only" error="This column only accepts real dates." promptTitle="First Completed On" prompt="Fixer, at pickup: CUT your old completion date from the main tab, PASTE it here." sqref="H3:H500" xr:uid="{00000000-0002-0000-0300-000002000000}">
      <formula1>DATE(2020,1,1)</formula1>
    </dataValidation>
    <dataValidation type="date" operator="greaterThanOrEqual" allowBlank="1" showInputMessage="1" showErrorMessage="1" errorTitle="Real date only" error="This column only accepts real dates." promptTitle="Picking this up?" prompt="Enter YOUR expected fix date. Until then the row shows UNCLAIMED." sqref="I3:I500" xr:uid="{00000000-0002-0000-0300-000003000000}">
      <formula1>DATE(2020,1,1)</formula1>
    </dataValidation>
    <dataValidation type="date" operator="greaterThanOrEqual" allowBlank="1" showInputMessage="1" showErrorMessage="1" errorTitle="Real date only" error="This column only accepts real dates." promptTitle="Date Fixed" prompt="Enter the date you finished - this STOPS THE CLOCK and turns the row blue: waiting on the sender to re-test and accept." sqref="J3:J500" xr:uid="{00000000-0002-0000-0300-000004000000}">
      <formula1>DATE(2020,1,1)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promptTitle="Report Name" prompt="Pick the report. Ctrl+; enters today in date cells." xr:uid="{00000000-0002-0000-0300-000005000000}">
          <x14:formula1>
            <xm:f>'Combined Delivery Data'!$B$2:$B$500</xm:f>
          </x14:formula1>
          <xm:sqref>A3:A500</xm:sqref>
        </x14:dataValidation>
        <x14:dataValidation type="list" allowBlank="1" showInputMessage="1" showErrorMessage="1" promptTitle="From Stage" prompt="Which stage found the problem?" xr:uid="{00000000-0002-0000-0300-000006000000}">
          <x14:formula1>
            <xm:f>'Data Validation'!$J$3:$J$6</xm:f>
          </x14:formula1>
          <xm:sqref>C3:C500</xm:sqref>
        </x14:dataValidation>
        <x14:dataValidation type="list" allowBlank="1" showInputMessage="1" showErrorMessage="1" promptTitle="To Stage" prompt="Which stage needs to fix it?" xr:uid="{00000000-0002-0000-0300-000007000000}">
          <x14:formula1>
            <xm:f>'Data Validation'!$J$3:$J$6</xm:f>
          </x14:formula1>
          <xm:sqref>D3:D500</xm:sqref>
        </x14:dataValidation>
        <x14:dataValidation type="list" allowBlank="1" showInputMessage="1" promptTitle="Sent Back By" prompt="Usually QA - pick a name, or type another." xr:uid="{00000000-0002-0000-0300-000008000000}">
          <x14:formula1>
            <xm:f>'Data Validation'!$H$3:$H$6</xm:f>
          </x14:formula1>
          <xm:sqref>E3:E500</xm:sqref>
        </x14:dataValidation>
        <x14:dataValidation type="list" allowBlank="1" showInputMessage="1" showErrorMessage="1" promptTitle="Resolved? (sender owns this)" prompt="After the fixer enters Date Fixed, re-test: Yes = accepted (row turns green). &quot;Did not pass re-test&quot; = still broken - this attempt closes; log a NEW row for the next attempt." xr:uid="{00000000-0002-0000-0300-000009000000}">
          <x14:formula1>
            <xm:f>'Data Validation'!$L$3:$L$5</xm:f>
          </x14:formula1>
          <xm:sqref>G3:G500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</sheetPr>
  <dimension ref="A1:J184"/>
  <sheetViews>
    <sheetView zoomScaleNormal="100" workbookViewId="0">
      <pane xSplit="3" ySplit="2" topLeftCell="D137" activePane="bottomRight" state="frozen"/>
      <selection pane="topRight" activeCell="D1" sqref="D1"/>
      <selection pane="bottomLeft" activeCell="A3" sqref="A3"/>
      <selection pane="bottomRight"/>
    </sheetView>
  </sheetViews>
  <sheetFormatPr defaultColWidth="8.7109375" defaultRowHeight="15" x14ac:dyDescent="0.25"/>
  <cols>
    <col min="1" max="1" width="12" customWidth="1"/>
    <col min="2" max="2" width="14" customWidth="1"/>
    <col min="3" max="3" width="34" customWidth="1"/>
    <col min="4" max="5" width="14" customWidth="1"/>
    <col min="6" max="6" width="12" customWidth="1"/>
    <col min="7" max="7" width="10" customWidth="1"/>
    <col min="8" max="8" width="14" customWidth="1"/>
    <col min="9" max="10" width="16" customWidth="1"/>
  </cols>
  <sheetData>
    <row r="1" spans="1:10" ht="14.25" customHeight="1" x14ac:dyDescent="0.25">
      <c r="A1" s="77" t="s">
        <v>246</v>
      </c>
      <c r="B1" s="69"/>
      <c r="C1" s="69"/>
      <c r="D1" s="69"/>
      <c r="E1" s="69"/>
      <c r="F1" s="69"/>
      <c r="G1" s="69"/>
      <c r="H1" s="69"/>
      <c r="I1" s="69"/>
      <c r="J1" s="69"/>
    </row>
    <row r="2" spans="1:10" ht="27" customHeight="1" x14ac:dyDescent="0.25">
      <c r="A2" s="8" t="s">
        <v>46</v>
      </c>
      <c r="B2" s="8" t="s">
        <v>247</v>
      </c>
      <c r="C2" s="8" t="s">
        <v>2</v>
      </c>
      <c r="D2" s="8" t="s">
        <v>248</v>
      </c>
      <c r="E2" s="8" t="s">
        <v>249</v>
      </c>
      <c r="F2" s="8" t="s">
        <v>54</v>
      </c>
      <c r="G2" s="8" t="s">
        <v>50</v>
      </c>
      <c r="H2" s="8" t="s">
        <v>250</v>
      </c>
      <c r="I2" s="8" t="s">
        <v>251</v>
      </c>
      <c r="J2" s="8" t="s">
        <v>252</v>
      </c>
    </row>
    <row r="3" spans="1:10" ht="14.25" customHeight="1" x14ac:dyDescent="0.25">
      <c r="A3" s="9" t="s">
        <v>76</v>
      </c>
      <c r="B3" s="9" t="s">
        <v>21</v>
      </c>
      <c r="C3" s="9" t="s">
        <v>77</v>
      </c>
      <c r="D3" s="9" t="s">
        <v>79</v>
      </c>
      <c r="E3" s="9" t="s">
        <v>80</v>
      </c>
      <c r="F3" s="9"/>
      <c r="G3" s="9"/>
      <c r="H3" s="9"/>
      <c r="I3" s="10">
        <v>46115</v>
      </c>
      <c r="J3" s="10">
        <v>46115</v>
      </c>
    </row>
    <row r="4" spans="1:10" ht="14.25" customHeight="1" x14ac:dyDescent="0.25">
      <c r="A4" s="9" t="s">
        <v>76</v>
      </c>
      <c r="B4" s="9" t="s">
        <v>253</v>
      </c>
      <c r="C4" s="9" t="s">
        <v>77</v>
      </c>
      <c r="D4" s="9" t="s">
        <v>79</v>
      </c>
      <c r="E4" s="9" t="s">
        <v>80</v>
      </c>
      <c r="F4" s="9"/>
      <c r="G4" s="9"/>
      <c r="H4" s="10">
        <v>46115</v>
      </c>
      <c r="I4" s="10">
        <v>46114</v>
      </c>
      <c r="J4" s="10">
        <v>46114</v>
      </c>
    </row>
    <row r="5" spans="1:10" ht="14.25" customHeight="1" x14ac:dyDescent="0.25">
      <c r="A5" s="9" t="s">
        <v>76</v>
      </c>
      <c r="B5" s="9" t="s">
        <v>20</v>
      </c>
      <c r="C5" s="9" t="s">
        <v>77</v>
      </c>
      <c r="D5" s="9" t="s">
        <v>79</v>
      </c>
      <c r="E5" s="9" t="s">
        <v>80</v>
      </c>
      <c r="F5" s="9"/>
      <c r="G5" s="9"/>
      <c r="H5" s="10">
        <v>46114</v>
      </c>
      <c r="I5" s="10">
        <v>46122</v>
      </c>
      <c r="J5" s="10">
        <v>46122</v>
      </c>
    </row>
    <row r="6" spans="1:10" ht="14.25" customHeight="1" x14ac:dyDescent="0.25">
      <c r="A6" s="9" t="s">
        <v>76</v>
      </c>
      <c r="B6" s="9" t="s">
        <v>254</v>
      </c>
      <c r="C6" s="9" t="s">
        <v>77</v>
      </c>
      <c r="D6" s="9" t="s">
        <v>79</v>
      </c>
      <c r="E6" s="9" t="s">
        <v>80</v>
      </c>
      <c r="F6" s="9"/>
      <c r="G6" s="9"/>
      <c r="H6" s="10">
        <v>46122</v>
      </c>
      <c r="I6" s="10"/>
      <c r="J6" s="10"/>
    </row>
    <row r="7" spans="1:10" ht="14.25" customHeight="1" x14ac:dyDescent="0.25">
      <c r="A7" s="9" t="s">
        <v>76</v>
      </c>
      <c r="B7" s="9" t="s">
        <v>78</v>
      </c>
      <c r="C7" s="9" t="s">
        <v>77</v>
      </c>
      <c r="D7" s="9" t="s">
        <v>79</v>
      </c>
      <c r="E7" s="9" t="s">
        <v>80</v>
      </c>
      <c r="F7" s="9"/>
      <c r="G7" s="9"/>
      <c r="H7" s="9"/>
      <c r="I7" s="10"/>
      <c r="J7" s="10"/>
    </row>
    <row r="8" spans="1:10" ht="14.25" customHeight="1" x14ac:dyDescent="0.25">
      <c r="A8" s="9" t="s">
        <v>76</v>
      </c>
      <c r="B8" s="9" t="s">
        <v>21</v>
      </c>
      <c r="C8" s="9" t="s">
        <v>88</v>
      </c>
      <c r="D8" s="9" t="s">
        <v>79</v>
      </c>
      <c r="E8" s="9" t="s">
        <v>80</v>
      </c>
      <c r="F8" s="9"/>
      <c r="G8" s="9"/>
      <c r="H8" s="10"/>
      <c r="I8" s="10">
        <v>46115</v>
      </c>
      <c r="J8" s="10">
        <v>46115</v>
      </c>
    </row>
    <row r="9" spans="1:10" ht="14.25" customHeight="1" x14ac:dyDescent="0.25">
      <c r="A9" s="9" t="s">
        <v>76</v>
      </c>
      <c r="B9" s="9" t="s">
        <v>253</v>
      </c>
      <c r="C9" s="9" t="s">
        <v>88</v>
      </c>
      <c r="D9" s="9" t="s">
        <v>79</v>
      </c>
      <c r="E9" s="9" t="s">
        <v>80</v>
      </c>
      <c r="F9" s="9"/>
      <c r="G9" s="9"/>
      <c r="H9" s="10">
        <v>46115</v>
      </c>
      <c r="I9" s="10">
        <v>46114</v>
      </c>
      <c r="J9" s="10">
        <v>46114</v>
      </c>
    </row>
    <row r="10" spans="1:10" ht="14.25" customHeight="1" x14ac:dyDescent="0.25">
      <c r="A10" s="9" t="s">
        <v>76</v>
      </c>
      <c r="B10" s="9" t="s">
        <v>20</v>
      </c>
      <c r="C10" s="9" t="s">
        <v>88</v>
      </c>
      <c r="D10" s="9" t="s">
        <v>79</v>
      </c>
      <c r="E10" s="9" t="s">
        <v>80</v>
      </c>
      <c r="F10" s="9"/>
      <c r="G10" s="9"/>
      <c r="H10" s="10">
        <v>46114</v>
      </c>
      <c r="I10" s="10">
        <v>46122</v>
      </c>
      <c r="J10" s="10">
        <v>46122</v>
      </c>
    </row>
    <row r="11" spans="1:10" ht="14.25" customHeight="1" x14ac:dyDescent="0.25">
      <c r="A11" s="9" t="s">
        <v>76</v>
      </c>
      <c r="B11" s="9" t="s">
        <v>254</v>
      </c>
      <c r="C11" s="9" t="s">
        <v>88</v>
      </c>
      <c r="D11" s="9" t="s">
        <v>79</v>
      </c>
      <c r="E11" s="9" t="s">
        <v>80</v>
      </c>
      <c r="F11" s="9"/>
      <c r="G11" s="9"/>
      <c r="H11" s="10">
        <v>46122</v>
      </c>
      <c r="I11" s="10"/>
      <c r="J11" s="10"/>
    </row>
    <row r="12" spans="1:10" ht="14.25" customHeight="1" x14ac:dyDescent="0.25">
      <c r="A12" s="9" t="s">
        <v>76</v>
      </c>
      <c r="B12" s="9" t="s">
        <v>78</v>
      </c>
      <c r="C12" s="9" t="s">
        <v>88</v>
      </c>
      <c r="D12" s="9" t="s">
        <v>79</v>
      </c>
      <c r="E12" s="9" t="s">
        <v>80</v>
      </c>
      <c r="F12" s="9"/>
      <c r="G12" s="9"/>
      <c r="H12" s="10"/>
      <c r="I12" s="10"/>
      <c r="J12" s="10"/>
    </row>
    <row r="13" spans="1:10" ht="14.25" customHeight="1" x14ac:dyDescent="0.25">
      <c r="A13" s="9" t="s">
        <v>76</v>
      </c>
      <c r="B13" s="9" t="s">
        <v>21</v>
      </c>
      <c r="C13" s="9" t="s">
        <v>91</v>
      </c>
      <c r="D13" s="9" t="s">
        <v>25</v>
      </c>
      <c r="E13" s="9" t="s">
        <v>80</v>
      </c>
      <c r="F13" s="9"/>
      <c r="G13" s="9"/>
      <c r="H13" s="10"/>
      <c r="I13" s="10">
        <v>46115</v>
      </c>
      <c r="J13" s="10">
        <v>46115</v>
      </c>
    </row>
    <row r="14" spans="1:10" ht="14.25" customHeight="1" x14ac:dyDescent="0.25">
      <c r="A14" s="9" t="s">
        <v>76</v>
      </c>
      <c r="B14" s="9" t="s">
        <v>253</v>
      </c>
      <c r="C14" s="9" t="s">
        <v>91</v>
      </c>
      <c r="D14" s="9" t="s">
        <v>25</v>
      </c>
      <c r="E14" s="9" t="s">
        <v>80</v>
      </c>
      <c r="F14" s="9"/>
      <c r="G14" s="9"/>
      <c r="H14" s="10">
        <v>46115</v>
      </c>
      <c r="I14" s="10">
        <v>46120</v>
      </c>
      <c r="J14" s="10">
        <v>46120</v>
      </c>
    </row>
    <row r="15" spans="1:10" ht="14.25" customHeight="1" x14ac:dyDescent="0.25">
      <c r="A15" s="9" t="s">
        <v>76</v>
      </c>
      <c r="B15" s="9" t="s">
        <v>20</v>
      </c>
      <c r="C15" s="9" t="s">
        <v>91</v>
      </c>
      <c r="D15" s="9" t="s">
        <v>25</v>
      </c>
      <c r="E15" s="9" t="s">
        <v>80</v>
      </c>
      <c r="F15" s="9"/>
      <c r="G15" s="9"/>
      <c r="H15" s="10">
        <v>46120</v>
      </c>
      <c r="I15" s="10">
        <v>46122</v>
      </c>
      <c r="J15" s="10">
        <v>46122</v>
      </c>
    </row>
    <row r="16" spans="1:10" ht="14.25" customHeight="1" x14ac:dyDescent="0.25">
      <c r="A16" s="9" t="s">
        <v>76</v>
      </c>
      <c r="B16" s="9" t="s">
        <v>254</v>
      </c>
      <c r="C16" s="9" t="s">
        <v>91</v>
      </c>
      <c r="D16" s="9" t="s">
        <v>25</v>
      </c>
      <c r="E16" s="9" t="s">
        <v>80</v>
      </c>
      <c r="F16" s="9"/>
      <c r="G16" s="9"/>
      <c r="H16" s="10">
        <v>46122</v>
      </c>
      <c r="I16" s="10"/>
      <c r="J16" s="10"/>
    </row>
    <row r="17" spans="1:10" ht="14.25" customHeight="1" x14ac:dyDescent="0.25">
      <c r="A17" s="9" t="s">
        <v>76</v>
      </c>
      <c r="B17" s="9" t="s">
        <v>78</v>
      </c>
      <c r="C17" s="9" t="s">
        <v>91</v>
      </c>
      <c r="D17" s="9" t="s">
        <v>25</v>
      </c>
      <c r="E17" s="9" t="s">
        <v>80</v>
      </c>
      <c r="F17" s="9"/>
      <c r="G17" s="9"/>
      <c r="H17" s="10"/>
      <c r="I17" s="10"/>
      <c r="J17" s="10"/>
    </row>
    <row r="18" spans="1:10" ht="14.25" customHeight="1" x14ac:dyDescent="0.25">
      <c r="A18" s="9" t="s">
        <v>76</v>
      </c>
      <c r="B18" s="9" t="s">
        <v>21</v>
      </c>
      <c r="C18" s="9" t="s">
        <v>92</v>
      </c>
      <c r="D18" s="9" t="s">
        <v>93</v>
      </c>
      <c r="E18" s="9" t="s">
        <v>94</v>
      </c>
      <c r="F18" s="9"/>
      <c r="G18" s="9"/>
      <c r="H18" s="9"/>
      <c r="I18" s="10">
        <v>46115</v>
      </c>
      <c r="J18" s="10">
        <v>46115</v>
      </c>
    </row>
    <row r="19" spans="1:10" ht="14.25" customHeight="1" x14ac:dyDescent="0.25">
      <c r="A19" s="9" t="s">
        <v>76</v>
      </c>
      <c r="B19" s="9" t="s">
        <v>253</v>
      </c>
      <c r="C19" s="9" t="s">
        <v>92</v>
      </c>
      <c r="D19" s="9" t="s">
        <v>93</v>
      </c>
      <c r="E19" s="9" t="s">
        <v>94</v>
      </c>
      <c r="F19" s="9"/>
      <c r="G19" s="9"/>
      <c r="H19" s="10">
        <v>46115</v>
      </c>
      <c r="I19" s="10">
        <v>46126</v>
      </c>
      <c r="J19" s="10">
        <v>46126</v>
      </c>
    </row>
    <row r="20" spans="1:10" ht="14.25" customHeight="1" x14ac:dyDescent="0.25">
      <c r="A20" s="9" t="s">
        <v>76</v>
      </c>
      <c r="B20" s="9" t="s">
        <v>20</v>
      </c>
      <c r="C20" s="9" t="s">
        <v>92</v>
      </c>
      <c r="D20" s="9" t="s">
        <v>93</v>
      </c>
      <c r="E20" s="9" t="s">
        <v>94</v>
      </c>
      <c r="F20" s="9"/>
      <c r="G20" s="9"/>
      <c r="H20" s="10">
        <v>46126</v>
      </c>
      <c r="I20" s="10">
        <v>46122</v>
      </c>
      <c r="J20" s="10">
        <v>46122</v>
      </c>
    </row>
    <row r="21" spans="1:10" ht="14.25" customHeight="1" x14ac:dyDescent="0.25">
      <c r="A21" s="9" t="s">
        <v>76</v>
      </c>
      <c r="B21" s="9" t="s">
        <v>254</v>
      </c>
      <c r="C21" s="9" t="s">
        <v>92</v>
      </c>
      <c r="D21" s="9" t="s">
        <v>93</v>
      </c>
      <c r="E21" s="9" t="s">
        <v>94</v>
      </c>
      <c r="F21" s="9"/>
      <c r="G21" s="9"/>
      <c r="H21" s="10">
        <v>46122</v>
      </c>
      <c r="I21" s="10"/>
      <c r="J21" s="10"/>
    </row>
    <row r="22" spans="1:10" ht="14.25" customHeight="1" x14ac:dyDescent="0.25">
      <c r="A22" s="9" t="s">
        <v>76</v>
      </c>
      <c r="B22" s="9" t="s">
        <v>78</v>
      </c>
      <c r="C22" s="9" t="s">
        <v>92</v>
      </c>
      <c r="D22" s="9" t="s">
        <v>93</v>
      </c>
      <c r="E22" s="9" t="s">
        <v>94</v>
      </c>
      <c r="F22" s="9"/>
      <c r="G22" s="9"/>
      <c r="H22" s="9"/>
      <c r="I22" s="10"/>
      <c r="J22" s="10"/>
    </row>
    <row r="23" spans="1:10" ht="14.25" customHeight="1" x14ac:dyDescent="0.25">
      <c r="A23" s="9" t="s">
        <v>76</v>
      </c>
      <c r="B23" s="9" t="s">
        <v>21</v>
      </c>
      <c r="C23" s="9" t="s">
        <v>98</v>
      </c>
      <c r="D23" s="9" t="s">
        <v>25</v>
      </c>
      <c r="E23" s="9" t="s">
        <v>80</v>
      </c>
      <c r="F23" s="9"/>
      <c r="G23" s="9"/>
      <c r="H23" s="10"/>
      <c r="I23" s="10">
        <v>46115</v>
      </c>
      <c r="J23" s="10">
        <v>46115</v>
      </c>
    </row>
    <row r="24" spans="1:10" ht="14.25" customHeight="1" x14ac:dyDescent="0.25">
      <c r="A24" s="9" t="s">
        <v>76</v>
      </c>
      <c r="B24" s="9" t="s">
        <v>253</v>
      </c>
      <c r="C24" s="9" t="s">
        <v>98</v>
      </c>
      <c r="D24" s="9" t="s">
        <v>25</v>
      </c>
      <c r="E24" s="9" t="s">
        <v>80</v>
      </c>
      <c r="F24" s="9"/>
      <c r="G24" s="9"/>
      <c r="H24" s="10">
        <v>46115</v>
      </c>
      <c r="I24" s="10">
        <v>46120</v>
      </c>
      <c r="J24" s="10">
        <v>46120</v>
      </c>
    </row>
    <row r="25" spans="1:10" ht="14.25" customHeight="1" x14ac:dyDescent="0.25">
      <c r="A25" s="9" t="s">
        <v>76</v>
      </c>
      <c r="B25" s="9" t="s">
        <v>20</v>
      </c>
      <c r="C25" s="9" t="s">
        <v>98</v>
      </c>
      <c r="D25" s="9" t="s">
        <v>25</v>
      </c>
      <c r="E25" s="9" t="s">
        <v>80</v>
      </c>
      <c r="F25" s="9"/>
      <c r="G25" s="9"/>
      <c r="H25" s="10">
        <v>46120</v>
      </c>
      <c r="I25" s="10">
        <v>46122</v>
      </c>
      <c r="J25" s="10">
        <v>46122</v>
      </c>
    </row>
    <row r="26" spans="1:10" ht="14.25" customHeight="1" x14ac:dyDescent="0.25">
      <c r="A26" s="9" t="s">
        <v>76</v>
      </c>
      <c r="B26" s="9" t="s">
        <v>254</v>
      </c>
      <c r="C26" s="9" t="s">
        <v>98</v>
      </c>
      <c r="D26" s="9" t="s">
        <v>25</v>
      </c>
      <c r="E26" s="9" t="s">
        <v>80</v>
      </c>
      <c r="F26" s="9"/>
      <c r="G26" s="9"/>
      <c r="H26" s="10">
        <v>46122</v>
      </c>
      <c r="I26" s="10"/>
      <c r="J26" s="10"/>
    </row>
    <row r="27" spans="1:10" ht="14.25" customHeight="1" x14ac:dyDescent="0.25">
      <c r="A27" s="9" t="s">
        <v>76</v>
      </c>
      <c r="B27" s="9" t="s">
        <v>78</v>
      </c>
      <c r="C27" s="9" t="s">
        <v>98</v>
      </c>
      <c r="D27" s="9" t="s">
        <v>25</v>
      </c>
      <c r="E27" s="9" t="s">
        <v>80</v>
      </c>
      <c r="F27" s="9"/>
      <c r="G27" s="9"/>
      <c r="H27" s="10"/>
      <c r="I27" s="10"/>
      <c r="J27" s="10"/>
    </row>
    <row r="28" spans="1:10" ht="14.25" customHeight="1" x14ac:dyDescent="0.25">
      <c r="A28" s="9" t="s">
        <v>76</v>
      </c>
      <c r="B28" s="9" t="s">
        <v>21</v>
      </c>
      <c r="C28" s="9" t="s">
        <v>102</v>
      </c>
      <c r="D28" s="9" t="s">
        <v>103</v>
      </c>
      <c r="E28" s="9" t="s">
        <v>94</v>
      </c>
      <c r="F28" s="9"/>
      <c r="G28" s="9"/>
      <c r="H28" s="10"/>
      <c r="I28" s="10">
        <v>46115</v>
      </c>
      <c r="J28" s="10">
        <v>46115</v>
      </c>
    </row>
    <row r="29" spans="1:10" ht="14.25" customHeight="1" x14ac:dyDescent="0.25">
      <c r="A29" s="9" t="s">
        <v>76</v>
      </c>
      <c r="B29" s="9" t="s">
        <v>253</v>
      </c>
      <c r="C29" s="9" t="s">
        <v>102</v>
      </c>
      <c r="D29" s="9" t="s">
        <v>103</v>
      </c>
      <c r="E29" s="9" t="s">
        <v>94</v>
      </c>
      <c r="F29" s="9"/>
      <c r="G29" s="9"/>
      <c r="H29" s="10">
        <v>46115</v>
      </c>
      <c r="I29" s="10">
        <v>46126</v>
      </c>
      <c r="J29" s="10">
        <v>46126</v>
      </c>
    </row>
    <row r="30" spans="1:10" ht="14.25" customHeight="1" x14ac:dyDescent="0.25">
      <c r="A30" s="9" t="s">
        <v>76</v>
      </c>
      <c r="B30" s="9" t="s">
        <v>20</v>
      </c>
      <c r="C30" s="9" t="s">
        <v>102</v>
      </c>
      <c r="D30" s="9" t="s">
        <v>103</v>
      </c>
      <c r="E30" s="9" t="s">
        <v>94</v>
      </c>
      <c r="F30" s="9"/>
      <c r="G30" s="9"/>
      <c r="H30" s="10">
        <v>46126</v>
      </c>
      <c r="I30" s="10">
        <v>46122</v>
      </c>
      <c r="J30" s="10">
        <v>46122</v>
      </c>
    </row>
    <row r="31" spans="1:10" ht="14.25" customHeight="1" x14ac:dyDescent="0.25">
      <c r="A31" s="9" t="s">
        <v>76</v>
      </c>
      <c r="B31" s="9" t="s">
        <v>254</v>
      </c>
      <c r="C31" s="9" t="s">
        <v>102</v>
      </c>
      <c r="D31" s="9" t="s">
        <v>103</v>
      </c>
      <c r="E31" s="9" t="s">
        <v>94</v>
      </c>
      <c r="F31" s="9"/>
      <c r="G31" s="9"/>
      <c r="H31" s="10">
        <v>46122</v>
      </c>
      <c r="I31" s="10"/>
      <c r="J31" s="10"/>
    </row>
    <row r="32" spans="1:10" ht="14.25" customHeight="1" x14ac:dyDescent="0.25">
      <c r="A32" s="9" t="s">
        <v>76</v>
      </c>
      <c r="B32" s="9" t="s">
        <v>78</v>
      </c>
      <c r="C32" s="9" t="s">
        <v>102</v>
      </c>
      <c r="D32" s="9" t="s">
        <v>103</v>
      </c>
      <c r="E32" s="9" t="s">
        <v>94</v>
      </c>
      <c r="F32" s="9"/>
      <c r="G32" s="9"/>
      <c r="H32" s="10"/>
      <c r="I32" s="10"/>
      <c r="J32" s="10"/>
    </row>
    <row r="33" spans="1:10" ht="14.25" customHeight="1" x14ac:dyDescent="0.25">
      <c r="A33" s="9" t="s">
        <v>76</v>
      </c>
      <c r="B33" s="9" t="s">
        <v>21</v>
      </c>
      <c r="C33" s="9" t="s">
        <v>107</v>
      </c>
      <c r="D33" s="9" t="s">
        <v>25</v>
      </c>
      <c r="E33" s="9" t="s">
        <v>94</v>
      </c>
      <c r="F33" s="9"/>
      <c r="G33" s="9"/>
      <c r="H33" s="10"/>
      <c r="I33" s="10">
        <v>46122</v>
      </c>
      <c r="J33" s="10">
        <v>46122</v>
      </c>
    </row>
    <row r="34" spans="1:10" ht="14.25" customHeight="1" x14ac:dyDescent="0.25">
      <c r="A34" s="9" t="s">
        <v>76</v>
      </c>
      <c r="B34" s="9" t="s">
        <v>253</v>
      </c>
      <c r="C34" s="9" t="s">
        <v>107</v>
      </c>
      <c r="D34" s="9" t="s">
        <v>25</v>
      </c>
      <c r="E34" s="9" t="s">
        <v>94</v>
      </c>
      <c r="F34" s="9"/>
      <c r="G34" s="9"/>
      <c r="H34" s="10">
        <v>46122</v>
      </c>
      <c r="I34" s="10">
        <v>46126</v>
      </c>
      <c r="J34" s="10">
        <v>46126</v>
      </c>
    </row>
    <row r="35" spans="1:10" ht="14.25" customHeight="1" x14ac:dyDescent="0.25">
      <c r="A35" s="9" t="s">
        <v>76</v>
      </c>
      <c r="B35" s="9" t="s">
        <v>20</v>
      </c>
      <c r="C35" s="9" t="s">
        <v>107</v>
      </c>
      <c r="D35" s="9" t="s">
        <v>25</v>
      </c>
      <c r="E35" s="9" t="s">
        <v>94</v>
      </c>
      <c r="F35" s="9"/>
      <c r="G35" s="9"/>
      <c r="H35" s="10">
        <v>46126</v>
      </c>
      <c r="I35" s="10">
        <v>46122</v>
      </c>
      <c r="J35" s="10">
        <v>46122</v>
      </c>
    </row>
    <row r="36" spans="1:10" ht="14.25" customHeight="1" x14ac:dyDescent="0.25">
      <c r="A36" s="9" t="s">
        <v>76</v>
      </c>
      <c r="B36" s="9" t="s">
        <v>254</v>
      </c>
      <c r="C36" s="9" t="s">
        <v>107</v>
      </c>
      <c r="D36" s="9" t="s">
        <v>25</v>
      </c>
      <c r="E36" s="9" t="s">
        <v>94</v>
      </c>
      <c r="F36" s="9"/>
      <c r="G36" s="9"/>
      <c r="H36" s="10">
        <v>46122</v>
      </c>
      <c r="I36" s="10"/>
      <c r="J36" s="10"/>
    </row>
    <row r="37" spans="1:10" ht="14.25" customHeight="1" x14ac:dyDescent="0.25">
      <c r="A37" s="9" t="s">
        <v>76</v>
      </c>
      <c r="B37" s="9" t="s">
        <v>78</v>
      </c>
      <c r="C37" s="9" t="s">
        <v>107</v>
      </c>
      <c r="D37" s="9" t="s">
        <v>25</v>
      </c>
      <c r="E37" s="9" t="s">
        <v>94</v>
      </c>
      <c r="F37" s="9"/>
      <c r="G37" s="9"/>
      <c r="H37" s="10"/>
      <c r="I37" s="10"/>
      <c r="J37" s="10"/>
    </row>
    <row r="38" spans="1:10" ht="14.25" customHeight="1" x14ac:dyDescent="0.25">
      <c r="A38" s="9" t="s">
        <v>76</v>
      </c>
      <c r="B38" s="9" t="s">
        <v>21</v>
      </c>
      <c r="C38" s="9" t="s">
        <v>110</v>
      </c>
      <c r="D38" s="9" t="s">
        <v>111</v>
      </c>
      <c r="E38" s="9" t="s">
        <v>94</v>
      </c>
      <c r="F38" s="9"/>
      <c r="G38" s="9"/>
      <c r="H38" s="9"/>
      <c r="I38" s="10">
        <v>46122</v>
      </c>
      <c r="J38" s="10">
        <v>46122</v>
      </c>
    </row>
    <row r="39" spans="1:10" ht="14.25" customHeight="1" x14ac:dyDescent="0.25">
      <c r="A39" s="9" t="s">
        <v>76</v>
      </c>
      <c r="B39" s="9" t="s">
        <v>253</v>
      </c>
      <c r="C39" s="9" t="s">
        <v>110</v>
      </c>
      <c r="D39" s="9" t="s">
        <v>111</v>
      </c>
      <c r="E39" s="9" t="s">
        <v>94</v>
      </c>
      <c r="F39" s="9"/>
      <c r="G39" s="9"/>
      <c r="H39" s="10">
        <v>46122</v>
      </c>
      <c r="I39" s="10">
        <v>46126</v>
      </c>
      <c r="J39" s="10">
        <v>46126</v>
      </c>
    </row>
    <row r="40" spans="1:10" ht="14.25" customHeight="1" x14ac:dyDescent="0.25">
      <c r="A40" s="9" t="s">
        <v>76</v>
      </c>
      <c r="B40" s="9" t="s">
        <v>20</v>
      </c>
      <c r="C40" s="9" t="s">
        <v>110</v>
      </c>
      <c r="D40" s="9" t="s">
        <v>111</v>
      </c>
      <c r="E40" s="9" t="s">
        <v>94</v>
      </c>
      <c r="F40" s="9"/>
      <c r="G40" s="9"/>
      <c r="H40" s="10">
        <v>46126</v>
      </c>
      <c r="I40" s="10">
        <v>46122</v>
      </c>
      <c r="J40" s="10">
        <v>46122</v>
      </c>
    </row>
    <row r="41" spans="1:10" ht="14.25" customHeight="1" x14ac:dyDescent="0.25">
      <c r="A41" s="9" t="s">
        <v>76</v>
      </c>
      <c r="B41" s="9" t="s">
        <v>254</v>
      </c>
      <c r="C41" s="9" t="s">
        <v>110</v>
      </c>
      <c r="D41" s="9" t="s">
        <v>111</v>
      </c>
      <c r="E41" s="9" t="s">
        <v>94</v>
      </c>
      <c r="F41" s="9"/>
      <c r="G41" s="9"/>
      <c r="H41" s="10">
        <v>46122</v>
      </c>
      <c r="I41" s="10"/>
      <c r="J41" s="10"/>
    </row>
    <row r="42" spans="1:10" ht="14.25" customHeight="1" x14ac:dyDescent="0.25">
      <c r="A42" s="9" t="s">
        <v>76</v>
      </c>
      <c r="B42" s="9" t="s">
        <v>78</v>
      </c>
      <c r="C42" s="9" t="s">
        <v>110</v>
      </c>
      <c r="D42" s="9" t="s">
        <v>111</v>
      </c>
      <c r="E42" s="9" t="s">
        <v>94</v>
      </c>
      <c r="F42" s="9"/>
      <c r="G42" s="9"/>
      <c r="H42" s="9"/>
      <c r="I42" s="10"/>
      <c r="J42" s="10"/>
    </row>
    <row r="43" spans="1:10" ht="14.25" customHeight="1" x14ac:dyDescent="0.25">
      <c r="A43" s="9" t="s">
        <v>76</v>
      </c>
      <c r="B43" s="9" t="s">
        <v>21</v>
      </c>
      <c r="C43" s="9" t="s">
        <v>114</v>
      </c>
      <c r="D43" s="9" t="s">
        <v>93</v>
      </c>
      <c r="E43" s="9" t="s">
        <v>94</v>
      </c>
      <c r="F43" s="9"/>
      <c r="G43" s="9"/>
      <c r="H43" s="10"/>
      <c r="I43" s="10">
        <v>46127</v>
      </c>
      <c r="J43" s="10">
        <v>46127</v>
      </c>
    </row>
    <row r="44" spans="1:10" ht="14.25" customHeight="1" x14ac:dyDescent="0.25">
      <c r="A44" s="9" t="s">
        <v>76</v>
      </c>
      <c r="B44" s="9" t="s">
        <v>253</v>
      </c>
      <c r="C44" s="9" t="s">
        <v>114</v>
      </c>
      <c r="D44" s="9" t="s">
        <v>93</v>
      </c>
      <c r="E44" s="9" t="s">
        <v>94</v>
      </c>
      <c r="F44" s="9"/>
      <c r="G44" s="9"/>
      <c r="H44" s="10">
        <v>46127</v>
      </c>
      <c r="I44" s="10">
        <v>46126</v>
      </c>
      <c r="J44" s="10">
        <v>46126</v>
      </c>
    </row>
    <row r="45" spans="1:10" ht="14.25" customHeight="1" x14ac:dyDescent="0.25">
      <c r="A45" s="9" t="s">
        <v>76</v>
      </c>
      <c r="B45" s="9" t="s">
        <v>20</v>
      </c>
      <c r="C45" s="9" t="s">
        <v>114</v>
      </c>
      <c r="D45" s="9" t="s">
        <v>93</v>
      </c>
      <c r="E45" s="9" t="s">
        <v>94</v>
      </c>
      <c r="F45" s="9"/>
      <c r="G45" s="9"/>
      <c r="H45" s="10">
        <v>46126</v>
      </c>
      <c r="I45" s="10">
        <v>46122</v>
      </c>
      <c r="J45" s="10">
        <v>46122</v>
      </c>
    </row>
    <row r="46" spans="1:10" ht="14.25" customHeight="1" x14ac:dyDescent="0.25">
      <c r="A46" s="9" t="s">
        <v>76</v>
      </c>
      <c r="B46" s="9" t="s">
        <v>254</v>
      </c>
      <c r="C46" s="9" t="s">
        <v>114</v>
      </c>
      <c r="D46" s="9" t="s">
        <v>93</v>
      </c>
      <c r="E46" s="9" t="s">
        <v>94</v>
      </c>
      <c r="F46" s="9"/>
      <c r="G46" s="9"/>
      <c r="H46" s="10">
        <v>46122</v>
      </c>
      <c r="I46" s="10"/>
      <c r="J46" s="10"/>
    </row>
    <row r="47" spans="1:10" ht="14.25" customHeight="1" x14ac:dyDescent="0.25">
      <c r="A47" s="9" t="s">
        <v>76</v>
      </c>
      <c r="B47" s="9" t="s">
        <v>78</v>
      </c>
      <c r="C47" s="9" t="s">
        <v>114</v>
      </c>
      <c r="D47" s="9" t="s">
        <v>93</v>
      </c>
      <c r="E47" s="9" t="s">
        <v>94</v>
      </c>
      <c r="F47" s="9"/>
      <c r="G47" s="9"/>
      <c r="H47" s="10"/>
      <c r="I47" s="10"/>
      <c r="J47" s="10"/>
    </row>
    <row r="48" spans="1:10" ht="14.25" customHeight="1" x14ac:dyDescent="0.25">
      <c r="A48" s="9" t="s">
        <v>76</v>
      </c>
      <c r="B48" s="9" t="s">
        <v>21</v>
      </c>
      <c r="C48" s="9" t="s">
        <v>118</v>
      </c>
      <c r="D48" s="9" t="s">
        <v>25</v>
      </c>
      <c r="E48" s="9" t="s">
        <v>94</v>
      </c>
      <c r="F48" s="9"/>
      <c r="G48" s="9"/>
      <c r="H48" s="10"/>
      <c r="I48" s="10"/>
      <c r="J48" s="10"/>
    </row>
    <row r="49" spans="1:10" ht="14.25" customHeight="1" x14ac:dyDescent="0.25">
      <c r="A49" s="9" t="s">
        <v>76</v>
      </c>
      <c r="B49" s="9" t="s">
        <v>253</v>
      </c>
      <c r="C49" s="9" t="s">
        <v>118</v>
      </c>
      <c r="D49" s="9" t="s">
        <v>25</v>
      </c>
      <c r="E49" s="9" t="s">
        <v>94</v>
      </c>
      <c r="F49" s="9"/>
      <c r="G49" s="9"/>
      <c r="H49" s="10"/>
      <c r="I49" s="10">
        <v>46139</v>
      </c>
      <c r="J49" s="10">
        <v>46139</v>
      </c>
    </row>
    <row r="50" spans="1:10" ht="14.25" customHeight="1" x14ac:dyDescent="0.25">
      <c r="A50" s="9" t="s">
        <v>76</v>
      </c>
      <c r="B50" s="9" t="s">
        <v>20</v>
      </c>
      <c r="C50" s="9" t="s">
        <v>118</v>
      </c>
      <c r="D50" s="9" t="s">
        <v>25</v>
      </c>
      <c r="E50" s="9" t="s">
        <v>94</v>
      </c>
      <c r="F50" s="9"/>
      <c r="G50" s="9"/>
      <c r="H50" s="10">
        <v>46139</v>
      </c>
      <c r="I50" s="10">
        <v>46139</v>
      </c>
      <c r="J50" s="10">
        <v>46139</v>
      </c>
    </row>
    <row r="51" spans="1:10" ht="14.25" customHeight="1" x14ac:dyDescent="0.25">
      <c r="A51" s="9" t="s">
        <v>76</v>
      </c>
      <c r="B51" s="9" t="s">
        <v>254</v>
      </c>
      <c r="C51" s="9" t="s">
        <v>118</v>
      </c>
      <c r="D51" s="9" t="s">
        <v>25</v>
      </c>
      <c r="E51" s="9" t="s">
        <v>94</v>
      </c>
      <c r="F51" s="9"/>
      <c r="G51" s="9"/>
      <c r="H51" s="10">
        <v>46139</v>
      </c>
      <c r="I51" s="10"/>
      <c r="J51" s="10"/>
    </row>
    <row r="52" spans="1:10" ht="14.25" customHeight="1" x14ac:dyDescent="0.25">
      <c r="A52" s="9" t="s">
        <v>76</v>
      </c>
      <c r="B52" s="9" t="s">
        <v>78</v>
      </c>
      <c r="C52" s="9" t="s">
        <v>118</v>
      </c>
      <c r="D52" s="9" t="s">
        <v>25</v>
      </c>
      <c r="E52" s="9" t="s">
        <v>94</v>
      </c>
      <c r="F52" s="9"/>
      <c r="G52" s="9"/>
      <c r="H52" s="10"/>
      <c r="I52" s="10"/>
      <c r="J52" s="10"/>
    </row>
    <row r="53" spans="1:10" ht="14.25" customHeight="1" x14ac:dyDescent="0.25">
      <c r="A53" s="9" t="s">
        <v>76</v>
      </c>
      <c r="B53" s="9" t="s">
        <v>21</v>
      </c>
      <c r="C53" s="9" t="s">
        <v>123</v>
      </c>
      <c r="D53" s="9" t="s">
        <v>25</v>
      </c>
      <c r="E53" s="9" t="s">
        <v>94</v>
      </c>
      <c r="F53" s="9"/>
      <c r="G53" s="9"/>
      <c r="H53" s="10"/>
      <c r="I53" s="10"/>
      <c r="J53" s="10"/>
    </row>
    <row r="54" spans="1:10" ht="14.25" customHeight="1" x14ac:dyDescent="0.25">
      <c r="A54" s="9" t="s">
        <v>76</v>
      </c>
      <c r="B54" s="9" t="s">
        <v>253</v>
      </c>
      <c r="C54" s="9" t="s">
        <v>123</v>
      </c>
      <c r="D54" s="9" t="s">
        <v>25</v>
      </c>
      <c r="E54" s="9" t="s">
        <v>94</v>
      </c>
      <c r="F54" s="9"/>
      <c r="G54" s="9"/>
      <c r="H54" s="9"/>
      <c r="I54" s="10">
        <v>46141</v>
      </c>
      <c r="J54" s="10">
        <v>46141</v>
      </c>
    </row>
    <row r="55" spans="1:10" ht="14.25" customHeight="1" x14ac:dyDescent="0.25">
      <c r="A55" s="9" t="s">
        <v>76</v>
      </c>
      <c r="B55" s="9" t="s">
        <v>20</v>
      </c>
      <c r="C55" s="9" t="s">
        <v>123</v>
      </c>
      <c r="D55" s="9" t="s">
        <v>25</v>
      </c>
      <c r="E55" s="9" t="s">
        <v>94</v>
      </c>
      <c r="F55" s="9"/>
      <c r="G55" s="9"/>
      <c r="H55" s="10">
        <v>46141</v>
      </c>
      <c r="I55" s="10">
        <v>46141</v>
      </c>
      <c r="J55" s="10">
        <v>46141</v>
      </c>
    </row>
    <row r="56" spans="1:10" ht="14.25" customHeight="1" x14ac:dyDescent="0.25">
      <c r="A56" s="9" t="s">
        <v>76</v>
      </c>
      <c r="B56" s="9" t="s">
        <v>254</v>
      </c>
      <c r="C56" s="9" t="s">
        <v>123</v>
      </c>
      <c r="D56" s="9" t="s">
        <v>25</v>
      </c>
      <c r="E56" s="9" t="s">
        <v>94</v>
      </c>
      <c r="F56" s="9"/>
      <c r="G56" s="9"/>
      <c r="H56" s="10">
        <v>46141</v>
      </c>
      <c r="I56" s="10"/>
      <c r="J56" s="10"/>
    </row>
    <row r="57" spans="1:10" ht="14.25" customHeight="1" x14ac:dyDescent="0.25">
      <c r="A57" s="9" t="s">
        <v>76</v>
      </c>
      <c r="B57" s="9" t="s">
        <v>78</v>
      </c>
      <c r="C57" s="9" t="s">
        <v>123</v>
      </c>
      <c r="D57" s="9" t="s">
        <v>25</v>
      </c>
      <c r="E57" s="9" t="s">
        <v>94</v>
      </c>
      <c r="F57" s="9"/>
      <c r="G57" s="9"/>
      <c r="H57" s="10"/>
      <c r="I57" s="10"/>
      <c r="J57" s="10"/>
    </row>
    <row r="58" spans="1:10" ht="14.25" customHeight="1" x14ac:dyDescent="0.25">
      <c r="A58" s="9" t="s">
        <v>76</v>
      </c>
      <c r="B58" s="9" t="s">
        <v>21</v>
      </c>
      <c r="C58" s="9" t="s">
        <v>127</v>
      </c>
      <c r="D58" s="9" t="s">
        <v>25</v>
      </c>
      <c r="E58" s="9" t="s">
        <v>80</v>
      </c>
      <c r="F58" s="9"/>
      <c r="G58" s="9"/>
      <c r="H58" s="9"/>
      <c r="I58" s="10"/>
      <c r="J58" s="10"/>
    </row>
    <row r="59" spans="1:10" ht="14.25" customHeight="1" x14ac:dyDescent="0.25">
      <c r="A59" s="9" t="s">
        <v>76</v>
      </c>
      <c r="B59" s="9" t="s">
        <v>253</v>
      </c>
      <c r="C59" s="9" t="s">
        <v>127</v>
      </c>
      <c r="D59" s="9" t="s">
        <v>25</v>
      </c>
      <c r="E59" s="9" t="s">
        <v>80</v>
      </c>
      <c r="F59" s="9"/>
      <c r="G59" s="9"/>
      <c r="H59" s="10"/>
      <c r="I59" s="10">
        <v>46161</v>
      </c>
      <c r="J59" s="10">
        <v>46161</v>
      </c>
    </row>
    <row r="60" spans="1:10" ht="14.25" customHeight="1" x14ac:dyDescent="0.25">
      <c r="A60" s="9" t="s">
        <v>76</v>
      </c>
      <c r="B60" s="9" t="s">
        <v>20</v>
      </c>
      <c r="C60" s="9" t="s">
        <v>127</v>
      </c>
      <c r="D60" s="9" t="s">
        <v>25</v>
      </c>
      <c r="E60" s="9" t="s">
        <v>80</v>
      </c>
      <c r="F60" s="9"/>
      <c r="G60" s="9"/>
      <c r="H60" s="10">
        <v>46161</v>
      </c>
      <c r="I60" s="10">
        <v>46161</v>
      </c>
      <c r="J60" s="10">
        <v>46161</v>
      </c>
    </row>
    <row r="61" spans="1:10" ht="14.25" customHeight="1" x14ac:dyDescent="0.25">
      <c r="A61" s="9" t="s">
        <v>76</v>
      </c>
      <c r="B61" s="9" t="s">
        <v>254</v>
      </c>
      <c r="C61" s="9" t="s">
        <v>127</v>
      </c>
      <c r="D61" s="9" t="s">
        <v>25</v>
      </c>
      <c r="E61" s="9" t="s">
        <v>80</v>
      </c>
      <c r="F61" s="9"/>
      <c r="G61" s="9"/>
      <c r="H61" s="10">
        <v>46161</v>
      </c>
      <c r="I61" s="10"/>
      <c r="J61" s="10"/>
    </row>
    <row r="62" spans="1:10" ht="14.25" customHeight="1" x14ac:dyDescent="0.25">
      <c r="A62" s="9" t="s">
        <v>76</v>
      </c>
      <c r="B62" s="9" t="s">
        <v>78</v>
      </c>
      <c r="C62" s="9" t="s">
        <v>127</v>
      </c>
      <c r="D62" s="9" t="s">
        <v>25</v>
      </c>
      <c r="E62" s="9" t="s">
        <v>80</v>
      </c>
      <c r="F62" s="9"/>
      <c r="G62" s="9"/>
      <c r="H62" s="9"/>
      <c r="I62" s="10"/>
      <c r="J62" s="10"/>
    </row>
    <row r="63" spans="1:10" ht="14.25" customHeight="1" x14ac:dyDescent="0.25">
      <c r="A63" s="9" t="s">
        <v>76</v>
      </c>
      <c r="B63" s="9" t="s">
        <v>21</v>
      </c>
      <c r="C63" s="9" t="s">
        <v>130</v>
      </c>
      <c r="D63" s="9" t="s">
        <v>131</v>
      </c>
      <c r="E63" s="9" t="s">
        <v>80</v>
      </c>
      <c r="F63" s="9"/>
      <c r="G63" s="9"/>
      <c r="H63" s="10"/>
      <c r="I63" s="10"/>
      <c r="J63" s="10"/>
    </row>
    <row r="64" spans="1:10" ht="14.25" customHeight="1" x14ac:dyDescent="0.25">
      <c r="A64" s="9" t="s">
        <v>76</v>
      </c>
      <c r="B64" s="9" t="s">
        <v>253</v>
      </c>
      <c r="C64" s="9" t="s">
        <v>130</v>
      </c>
      <c r="D64" s="9" t="s">
        <v>131</v>
      </c>
      <c r="E64" s="9" t="s">
        <v>80</v>
      </c>
      <c r="F64" s="9"/>
      <c r="G64" s="9"/>
      <c r="H64" s="10"/>
      <c r="I64" s="10">
        <v>46175</v>
      </c>
      <c r="J64" s="10">
        <v>46175</v>
      </c>
    </row>
    <row r="65" spans="1:10" ht="14.25" customHeight="1" x14ac:dyDescent="0.25">
      <c r="A65" s="9" t="s">
        <v>76</v>
      </c>
      <c r="B65" s="9" t="s">
        <v>20</v>
      </c>
      <c r="C65" s="9" t="s">
        <v>130</v>
      </c>
      <c r="D65" s="9" t="s">
        <v>131</v>
      </c>
      <c r="E65" s="9" t="s">
        <v>80</v>
      </c>
      <c r="F65" s="9"/>
      <c r="G65" s="9"/>
      <c r="H65" s="10">
        <v>46175</v>
      </c>
      <c r="I65" s="10">
        <v>46175</v>
      </c>
      <c r="J65" s="10">
        <v>46175</v>
      </c>
    </row>
    <row r="66" spans="1:10" ht="14.25" customHeight="1" x14ac:dyDescent="0.25">
      <c r="A66" s="9" t="s">
        <v>76</v>
      </c>
      <c r="B66" s="9" t="s">
        <v>254</v>
      </c>
      <c r="C66" s="9" t="s">
        <v>130</v>
      </c>
      <c r="D66" s="9" t="s">
        <v>131</v>
      </c>
      <c r="E66" s="9" t="s">
        <v>80</v>
      </c>
      <c r="F66" s="9"/>
      <c r="G66" s="9"/>
      <c r="H66" s="10">
        <v>46175</v>
      </c>
      <c r="I66" s="10"/>
      <c r="J66" s="10"/>
    </row>
    <row r="67" spans="1:10" ht="14.25" customHeight="1" x14ac:dyDescent="0.25">
      <c r="A67" s="9" t="s">
        <v>76</v>
      </c>
      <c r="B67" s="9" t="s">
        <v>78</v>
      </c>
      <c r="C67" s="9" t="s">
        <v>130</v>
      </c>
      <c r="D67" s="9" t="s">
        <v>131</v>
      </c>
      <c r="E67" s="9" t="s">
        <v>80</v>
      </c>
      <c r="F67" s="9"/>
      <c r="G67" s="9"/>
      <c r="H67" s="10"/>
      <c r="I67" s="10">
        <v>46184</v>
      </c>
      <c r="J67" s="10">
        <v>46184</v>
      </c>
    </row>
    <row r="68" spans="1:10" ht="14.25" customHeight="1" x14ac:dyDescent="0.25">
      <c r="A68" s="9" t="s">
        <v>76</v>
      </c>
      <c r="B68" s="9" t="s">
        <v>21</v>
      </c>
      <c r="C68" s="9" t="s">
        <v>133</v>
      </c>
      <c r="D68" s="9" t="s">
        <v>103</v>
      </c>
      <c r="E68" s="9" t="s">
        <v>134</v>
      </c>
      <c r="F68" s="9"/>
      <c r="G68" s="9"/>
      <c r="H68" s="10"/>
      <c r="I68" s="10"/>
      <c r="J68" s="9"/>
    </row>
    <row r="69" spans="1:10" ht="14.25" customHeight="1" x14ac:dyDescent="0.25">
      <c r="A69" s="9" t="s">
        <v>76</v>
      </c>
      <c r="B69" s="9" t="s">
        <v>253</v>
      </c>
      <c r="C69" s="9" t="s">
        <v>133</v>
      </c>
      <c r="D69" s="9" t="s">
        <v>103</v>
      </c>
      <c r="E69" s="9" t="s">
        <v>134</v>
      </c>
      <c r="F69" s="9"/>
      <c r="G69" s="9"/>
      <c r="H69" s="9"/>
      <c r="I69" s="10">
        <v>46134</v>
      </c>
      <c r="J69" s="10">
        <v>46134</v>
      </c>
    </row>
    <row r="70" spans="1:10" ht="14.25" customHeight="1" x14ac:dyDescent="0.25">
      <c r="A70" s="9" t="s">
        <v>76</v>
      </c>
      <c r="B70" s="9" t="s">
        <v>20</v>
      </c>
      <c r="C70" s="9" t="s">
        <v>133</v>
      </c>
      <c r="D70" s="9" t="s">
        <v>103</v>
      </c>
      <c r="E70" s="9" t="s">
        <v>134</v>
      </c>
      <c r="F70" s="9"/>
      <c r="G70" s="9"/>
      <c r="H70" s="10">
        <v>46134</v>
      </c>
      <c r="I70" s="10">
        <v>46134</v>
      </c>
      <c r="J70" s="10">
        <v>46134</v>
      </c>
    </row>
    <row r="71" spans="1:10" ht="14.25" customHeight="1" x14ac:dyDescent="0.25">
      <c r="A71" s="9" t="s">
        <v>76</v>
      </c>
      <c r="B71" s="9" t="s">
        <v>254</v>
      </c>
      <c r="C71" s="9" t="s">
        <v>133</v>
      </c>
      <c r="D71" s="9" t="s">
        <v>103</v>
      </c>
      <c r="E71" s="9" t="s">
        <v>134</v>
      </c>
      <c r="F71" s="9"/>
      <c r="G71" s="9"/>
      <c r="H71" s="10">
        <v>46134</v>
      </c>
      <c r="I71" s="10"/>
      <c r="J71" s="10"/>
    </row>
    <row r="72" spans="1:10" ht="14.25" customHeight="1" x14ac:dyDescent="0.25">
      <c r="A72" s="9" t="s">
        <v>76</v>
      </c>
      <c r="B72" s="9" t="s">
        <v>78</v>
      </c>
      <c r="C72" s="9" t="s">
        <v>133</v>
      </c>
      <c r="D72" s="9" t="s">
        <v>103</v>
      </c>
      <c r="E72" s="9" t="s">
        <v>134</v>
      </c>
      <c r="F72" s="9"/>
      <c r="G72" s="9"/>
      <c r="H72" s="10"/>
      <c r="I72" s="10"/>
      <c r="J72" s="10"/>
    </row>
    <row r="73" spans="1:10" ht="14.25" customHeight="1" x14ac:dyDescent="0.25">
      <c r="A73" s="9" t="s">
        <v>76</v>
      </c>
      <c r="B73" s="9" t="s">
        <v>21</v>
      </c>
      <c r="C73" s="9" t="s">
        <v>137</v>
      </c>
      <c r="D73" s="9" t="s">
        <v>93</v>
      </c>
      <c r="E73" s="9" t="s">
        <v>134</v>
      </c>
      <c r="F73" s="9"/>
      <c r="G73" s="9"/>
      <c r="H73" s="9"/>
      <c r="I73" s="10"/>
      <c r="J73" s="10"/>
    </row>
    <row r="74" spans="1:10" ht="14.25" customHeight="1" x14ac:dyDescent="0.25">
      <c r="A74" s="9" t="s">
        <v>76</v>
      </c>
      <c r="B74" s="9" t="s">
        <v>253</v>
      </c>
      <c r="C74" s="9" t="s">
        <v>137</v>
      </c>
      <c r="D74" s="9" t="s">
        <v>93</v>
      </c>
      <c r="E74" s="9" t="s">
        <v>134</v>
      </c>
      <c r="F74" s="9"/>
      <c r="G74" s="9"/>
      <c r="H74" s="10"/>
      <c r="I74" s="10">
        <v>46139</v>
      </c>
      <c r="J74" s="10">
        <v>46139</v>
      </c>
    </row>
    <row r="75" spans="1:10" ht="14.25" customHeight="1" x14ac:dyDescent="0.25">
      <c r="A75" s="9" t="s">
        <v>76</v>
      </c>
      <c r="B75" s="9" t="s">
        <v>20</v>
      </c>
      <c r="C75" s="9" t="s">
        <v>137</v>
      </c>
      <c r="D75" s="9" t="s">
        <v>93</v>
      </c>
      <c r="E75" s="9" t="s">
        <v>134</v>
      </c>
      <c r="F75" s="9"/>
      <c r="G75" s="9"/>
      <c r="H75" s="10">
        <v>46139</v>
      </c>
      <c r="I75" s="10">
        <v>46139</v>
      </c>
      <c r="J75" s="10">
        <v>46139</v>
      </c>
    </row>
    <row r="76" spans="1:10" ht="14.25" customHeight="1" x14ac:dyDescent="0.25">
      <c r="A76" s="9" t="s">
        <v>76</v>
      </c>
      <c r="B76" s="9" t="s">
        <v>254</v>
      </c>
      <c r="C76" s="9" t="s">
        <v>137</v>
      </c>
      <c r="D76" s="9" t="s">
        <v>93</v>
      </c>
      <c r="E76" s="9" t="s">
        <v>134</v>
      </c>
      <c r="F76" s="9"/>
      <c r="G76" s="9"/>
      <c r="H76" s="10">
        <v>46139</v>
      </c>
      <c r="I76" s="10"/>
      <c r="J76" s="10"/>
    </row>
    <row r="77" spans="1:10" ht="14.25" customHeight="1" x14ac:dyDescent="0.25">
      <c r="A77" s="9" t="s">
        <v>76</v>
      </c>
      <c r="B77" s="9" t="s">
        <v>78</v>
      </c>
      <c r="C77" s="9" t="s">
        <v>137</v>
      </c>
      <c r="D77" s="9" t="s">
        <v>93</v>
      </c>
      <c r="E77" s="9" t="s">
        <v>134</v>
      </c>
      <c r="F77" s="9"/>
      <c r="G77" s="9"/>
      <c r="H77" s="9"/>
      <c r="I77" s="10"/>
      <c r="J77" s="10"/>
    </row>
    <row r="78" spans="1:10" ht="14.25" customHeight="1" x14ac:dyDescent="0.25">
      <c r="A78" s="9" t="s">
        <v>76</v>
      </c>
      <c r="B78" s="9" t="s">
        <v>21</v>
      </c>
      <c r="C78" s="9" t="s">
        <v>140</v>
      </c>
      <c r="D78" s="9" t="s">
        <v>111</v>
      </c>
      <c r="E78" s="9" t="s">
        <v>94</v>
      </c>
      <c r="F78" s="9"/>
      <c r="G78" s="9"/>
      <c r="H78" s="10"/>
      <c r="I78" s="10"/>
      <c r="J78" s="9"/>
    </row>
    <row r="79" spans="1:10" ht="14.25" customHeight="1" x14ac:dyDescent="0.25">
      <c r="A79" s="9" t="s">
        <v>76</v>
      </c>
      <c r="B79" s="9" t="s">
        <v>253</v>
      </c>
      <c r="C79" s="9" t="s">
        <v>140</v>
      </c>
      <c r="D79" s="9" t="s">
        <v>111</v>
      </c>
      <c r="E79" s="9" t="s">
        <v>94</v>
      </c>
      <c r="F79" s="9"/>
      <c r="G79" s="9"/>
      <c r="H79" s="9"/>
      <c r="I79" s="10">
        <v>46147</v>
      </c>
      <c r="J79" s="10">
        <v>46147</v>
      </c>
    </row>
    <row r="80" spans="1:10" ht="14.25" customHeight="1" x14ac:dyDescent="0.25">
      <c r="A80" s="9" t="s">
        <v>76</v>
      </c>
      <c r="B80" s="9" t="s">
        <v>20</v>
      </c>
      <c r="C80" s="9" t="s">
        <v>140</v>
      </c>
      <c r="D80" s="9" t="s">
        <v>111</v>
      </c>
      <c r="E80" s="9" t="s">
        <v>94</v>
      </c>
      <c r="F80" s="9"/>
      <c r="G80" s="9"/>
      <c r="H80" s="10">
        <v>46147</v>
      </c>
      <c r="I80" s="10">
        <v>46147</v>
      </c>
      <c r="J80" s="10">
        <v>46147</v>
      </c>
    </row>
    <row r="81" spans="1:10" ht="14.25" customHeight="1" x14ac:dyDescent="0.25">
      <c r="A81" s="9" t="s">
        <v>76</v>
      </c>
      <c r="B81" s="9" t="s">
        <v>254</v>
      </c>
      <c r="C81" s="9" t="s">
        <v>140</v>
      </c>
      <c r="D81" s="9" t="s">
        <v>111</v>
      </c>
      <c r="E81" s="9" t="s">
        <v>94</v>
      </c>
      <c r="F81" s="9"/>
      <c r="G81" s="9"/>
      <c r="H81" s="10">
        <v>46147</v>
      </c>
      <c r="I81" s="10"/>
      <c r="J81" s="10"/>
    </row>
    <row r="82" spans="1:10" ht="14.25" customHeight="1" x14ac:dyDescent="0.25">
      <c r="A82" s="9" t="s">
        <v>76</v>
      </c>
      <c r="B82" s="9" t="s">
        <v>78</v>
      </c>
      <c r="C82" s="9" t="s">
        <v>140</v>
      </c>
      <c r="D82" s="9" t="s">
        <v>111</v>
      </c>
      <c r="E82" s="9" t="s">
        <v>94</v>
      </c>
      <c r="F82" s="9"/>
      <c r="G82" s="9"/>
      <c r="H82" s="10"/>
      <c r="I82" s="10"/>
      <c r="J82" s="9"/>
    </row>
    <row r="83" spans="1:10" ht="14.25" customHeight="1" x14ac:dyDescent="0.25">
      <c r="A83" s="9" t="s">
        <v>76</v>
      </c>
      <c r="B83" s="9" t="s">
        <v>21</v>
      </c>
      <c r="C83" s="9" t="s">
        <v>143</v>
      </c>
      <c r="D83" s="9" t="s">
        <v>111</v>
      </c>
      <c r="E83" s="9" t="s">
        <v>80</v>
      </c>
      <c r="F83" s="9"/>
      <c r="G83" s="9"/>
      <c r="H83" s="9"/>
      <c r="I83" s="10"/>
      <c r="J83" s="10"/>
    </row>
    <row r="84" spans="1:10" ht="14.25" customHeight="1" x14ac:dyDescent="0.25">
      <c r="A84" s="9" t="s">
        <v>76</v>
      </c>
      <c r="B84" s="9" t="s">
        <v>253</v>
      </c>
      <c r="C84" s="9" t="s">
        <v>143</v>
      </c>
      <c r="D84" s="9" t="s">
        <v>111</v>
      </c>
      <c r="E84" s="9" t="s">
        <v>80</v>
      </c>
      <c r="F84" s="9"/>
      <c r="G84" s="9"/>
      <c r="H84" s="10"/>
      <c r="I84" s="10">
        <v>46175</v>
      </c>
      <c r="J84" s="10">
        <v>46175</v>
      </c>
    </row>
    <row r="85" spans="1:10" ht="14.25" customHeight="1" x14ac:dyDescent="0.25">
      <c r="A85" s="9" t="s">
        <v>76</v>
      </c>
      <c r="B85" s="9" t="s">
        <v>20</v>
      </c>
      <c r="C85" s="9" t="s">
        <v>143</v>
      </c>
      <c r="D85" s="9" t="s">
        <v>111</v>
      </c>
      <c r="E85" s="9" t="s">
        <v>80</v>
      </c>
      <c r="F85" s="9"/>
      <c r="G85" s="9"/>
      <c r="H85" s="10">
        <v>46175</v>
      </c>
      <c r="I85" s="10">
        <v>46179</v>
      </c>
      <c r="J85" s="10">
        <v>46179</v>
      </c>
    </row>
    <row r="86" spans="1:10" ht="14.25" customHeight="1" x14ac:dyDescent="0.25">
      <c r="A86" s="9" t="s">
        <v>76</v>
      </c>
      <c r="B86" s="9" t="s">
        <v>254</v>
      </c>
      <c r="C86" s="9" t="s">
        <v>143</v>
      </c>
      <c r="D86" s="9" t="s">
        <v>111</v>
      </c>
      <c r="E86" s="9" t="s">
        <v>80</v>
      </c>
      <c r="F86" s="9"/>
      <c r="G86" s="9"/>
      <c r="H86" s="10">
        <v>46179</v>
      </c>
      <c r="I86" s="10"/>
      <c r="J86" s="10"/>
    </row>
    <row r="87" spans="1:10" ht="14.25" customHeight="1" x14ac:dyDescent="0.25">
      <c r="A87" s="9" t="s">
        <v>76</v>
      </c>
      <c r="B87" s="9" t="s">
        <v>78</v>
      </c>
      <c r="C87" s="9" t="s">
        <v>143</v>
      </c>
      <c r="D87" s="9" t="s">
        <v>111</v>
      </c>
      <c r="E87" s="9" t="s">
        <v>80</v>
      </c>
      <c r="F87" s="9"/>
      <c r="G87" s="9"/>
      <c r="H87" s="9"/>
      <c r="I87" s="10"/>
      <c r="J87" s="10"/>
    </row>
    <row r="88" spans="1:10" ht="14.25" customHeight="1" x14ac:dyDescent="0.25">
      <c r="A88" s="9" t="s">
        <v>76</v>
      </c>
      <c r="B88" s="9" t="s">
        <v>21</v>
      </c>
      <c r="C88" s="9" t="s">
        <v>145</v>
      </c>
      <c r="D88" s="9" t="s">
        <v>79</v>
      </c>
      <c r="E88" s="9" t="s">
        <v>94</v>
      </c>
      <c r="F88" s="9"/>
      <c r="G88" s="9"/>
      <c r="H88" s="10"/>
      <c r="I88" s="10"/>
      <c r="J88" s="9"/>
    </row>
    <row r="89" spans="1:10" ht="14.25" customHeight="1" x14ac:dyDescent="0.25">
      <c r="A89" s="9" t="s">
        <v>76</v>
      </c>
      <c r="B89" s="9" t="s">
        <v>253</v>
      </c>
      <c r="C89" s="9" t="s">
        <v>145</v>
      </c>
      <c r="D89" s="9" t="s">
        <v>79</v>
      </c>
      <c r="E89" s="9" t="s">
        <v>94</v>
      </c>
      <c r="F89" s="9"/>
      <c r="G89" s="9"/>
      <c r="H89" s="9"/>
      <c r="I89" s="10">
        <v>46143</v>
      </c>
      <c r="J89" s="10">
        <v>46143</v>
      </c>
    </row>
    <row r="90" spans="1:10" ht="14.25" customHeight="1" x14ac:dyDescent="0.25">
      <c r="A90" s="9" t="s">
        <v>76</v>
      </c>
      <c r="B90" s="9" t="s">
        <v>20</v>
      </c>
      <c r="C90" s="9" t="s">
        <v>145</v>
      </c>
      <c r="D90" s="9" t="s">
        <v>79</v>
      </c>
      <c r="E90" s="9" t="s">
        <v>94</v>
      </c>
      <c r="F90" s="9"/>
      <c r="G90" s="9"/>
      <c r="H90" s="10">
        <v>46143</v>
      </c>
      <c r="I90" s="10">
        <v>46175</v>
      </c>
      <c r="J90" s="10">
        <v>46175</v>
      </c>
    </row>
    <row r="91" spans="1:10" ht="14.25" customHeight="1" x14ac:dyDescent="0.25">
      <c r="A91" s="9" t="s">
        <v>76</v>
      </c>
      <c r="B91" s="9" t="s">
        <v>254</v>
      </c>
      <c r="C91" s="9" t="s">
        <v>145</v>
      </c>
      <c r="D91" s="9" t="s">
        <v>79</v>
      </c>
      <c r="E91" s="9" t="s">
        <v>94</v>
      </c>
      <c r="F91" s="9"/>
      <c r="G91" s="9"/>
      <c r="H91" s="10">
        <v>46175</v>
      </c>
      <c r="I91" s="10"/>
      <c r="J91" s="10"/>
    </row>
    <row r="92" spans="1:10" ht="14.25" customHeight="1" x14ac:dyDescent="0.25">
      <c r="A92" s="9" t="s">
        <v>76</v>
      </c>
      <c r="B92" s="9" t="s">
        <v>78</v>
      </c>
      <c r="C92" s="9" t="s">
        <v>145</v>
      </c>
      <c r="D92" s="9" t="s">
        <v>79</v>
      </c>
      <c r="E92" s="9" t="s">
        <v>94</v>
      </c>
      <c r="F92" s="9"/>
      <c r="G92" s="9"/>
      <c r="H92" s="10"/>
      <c r="I92" s="10">
        <v>46184</v>
      </c>
      <c r="J92" s="10">
        <v>46184</v>
      </c>
    </row>
    <row r="93" spans="1:10" ht="14.25" customHeight="1" x14ac:dyDescent="0.25">
      <c r="A93" s="9" t="s">
        <v>76</v>
      </c>
      <c r="B93" s="9" t="s">
        <v>21</v>
      </c>
      <c r="C93" s="9" t="s">
        <v>148</v>
      </c>
      <c r="D93" s="9" t="s">
        <v>79</v>
      </c>
      <c r="E93" s="9" t="s">
        <v>134</v>
      </c>
      <c r="F93" s="9"/>
      <c r="G93" s="9"/>
      <c r="H93" s="9"/>
      <c r="I93" s="10">
        <v>46175</v>
      </c>
      <c r="J93" s="10">
        <v>46175</v>
      </c>
    </row>
    <row r="94" spans="1:10" ht="14.25" customHeight="1" x14ac:dyDescent="0.25">
      <c r="A94" s="9" t="s">
        <v>76</v>
      </c>
      <c r="B94" s="9" t="s">
        <v>253</v>
      </c>
      <c r="C94" s="9" t="s">
        <v>148</v>
      </c>
      <c r="D94" s="9" t="s">
        <v>79</v>
      </c>
      <c r="E94" s="9" t="s">
        <v>134</v>
      </c>
      <c r="F94" s="9"/>
      <c r="G94" s="9"/>
      <c r="H94" s="10">
        <v>46175</v>
      </c>
      <c r="I94" s="10">
        <v>46178</v>
      </c>
      <c r="J94" s="10">
        <v>46178</v>
      </c>
    </row>
    <row r="95" spans="1:10" ht="14.25" customHeight="1" x14ac:dyDescent="0.25">
      <c r="A95" s="9" t="s">
        <v>76</v>
      </c>
      <c r="B95" s="9" t="s">
        <v>20</v>
      </c>
      <c r="C95" s="9" t="s">
        <v>148</v>
      </c>
      <c r="D95" s="9" t="s">
        <v>79</v>
      </c>
      <c r="E95" s="9" t="s">
        <v>134</v>
      </c>
      <c r="F95" s="9"/>
      <c r="G95" s="9"/>
      <c r="H95" s="10">
        <v>46178</v>
      </c>
      <c r="I95" s="10">
        <v>46175</v>
      </c>
      <c r="J95" s="10">
        <v>46175</v>
      </c>
    </row>
    <row r="96" spans="1:10" ht="14.25" customHeight="1" x14ac:dyDescent="0.25">
      <c r="A96" s="9" t="s">
        <v>76</v>
      </c>
      <c r="B96" s="9" t="s">
        <v>254</v>
      </c>
      <c r="C96" s="9" t="s">
        <v>148</v>
      </c>
      <c r="D96" s="9" t="s">
        <v>79</v>
      </c>
      <c r="E96" s="9" t="s">
        <v>134</v>
      </c>
      <c r="F96" s="9"/>
      <c r="G96" s="9"/>
      <c r="H96" s="10">
        <v>46175</v>
      </c>
      <c r="I96" s="10"/>
      <c r="J96" s="10"/>
    </row>
    <row r="97" spans="1:10" ht="14.25" customHeight="1" x14ac:dyDescent="0.25">
      <c r="A97" s="9" t="s">
        <v>76</v>
      </c>
      <c r="B97" s="9" t="s">
        <v>78</v>
      </c>
      <c r="C97" s="9" t="s">
        <v>148</v>
      </c>
      <c r="D97" s="9" t="s">
        <v>79</v>
      </c>
      <c r="E97" s="9" t="s">
        <v>134</v>
      </c>
      <c r="F97" s="9"/>
      <c r="G97" s="9"/>
      <c r="H97" s="9"/>
      <c r="I97" s="10">
        <v>46192</v>
      </c>
      <c r="J97" s="10">
        <v>46192</v>
      </c>
    </row>
    <row r="98" spans="1:10" ht="14.25" customHeight="1" x14ac:dyDescent="0.25">
      <c r="A98" s="9" t="s">
        <v>76</v>
      </c>
      <c r="B98" s="9" t="s">
        <v>21</v>
      </c>
      <c r="C98" s="9" t="s">
        <v>151</v>
      </c>
      <c r="D98" s="9" t="s">
        <v>131</v>
      </c>
      <c r="E98" s="9" t="s">
        <v>94</v>
      </c>
      <c r="F98" s="9"/>
      <c r="G98" s="9"/>
      <c r="H98" s="10"/>
      <c r="I98" s="10">
        <v>46148</v>
      </c>
      <c r="J98" s="10">
        <v>46148</v>
      </c>
    </row>
    <row r="99" spans="1:10" ht="14.25" customHeight="1" x14ac:dyDescent="0.25">
      <c r="A99" s="9" t="s">
        <v>76</v>
      </c>
      <c r="B99" s="9" t="s">
        <v>253</v>
      </c>
      <c r="C99" s="9" t="s">
        <v>151</v>
      </c>
      <c r="D99" s="9" t="s">
        <v>131</v>
      </c>
      <c r="E99" s="9" t="s">
        <v>94</v>
      </c>
      <c r="F99" s="9"/>
      <c r="G99" s="9"/>
      <c r="H99" s="10">
        <v>46148</v>
      </c>
      <c r="I99" s="10">
        <v>46183</v>
      </c>
      <c r="J99" s="10">
        <v>46183</v>
      </c>
    </row>
    <row r="100" spans="1:10" ht="14.25" customHeight="1" x14ac:dyDescent="0.25">
      <c r="A100" s="9" t="s">
        <v>76</v>
      </c>
      <c r="B100" s="9" t="s">
        <v>20</v>
      </c>
      <c r="C100" s="9" t="s">
        <v>151</v>
      </c>
      <c r="D100" s="9" t="s">
        <v>131</v>
      </c>
      <c r="E100" s="9" t="s">
        <v>94</v>
      </c>
      <c r="F100" s="9"/>
      <c r="G100" s="9"/>
      <c r="H100" s="10">
        <v>46183</v>
      </c>
      <c r="I100" s="10">
        <v>46195</v>
      </c>
      <c r="J100" s="10">
        <v>46195</v>
      </c>
    </row>
    <row r="101" spans="1:10" ht="14.25" customHeight="1" x14ac:dyDescent="0.25">
      <c r="A101" s="9" t="s">
        <v>76</v>
      </c>
      <c r="B101" s="9" t="s">
        <v>254</v>
      </c>
      <c r="C101" s="9" t="s">
        <v>151</v>
      </c>
      <c r="D101" s="9" t="s">
        <v>131</v>
      </c>
      <c r="E101" s="9" t="s">
        <v>94</v>
      </c>
      <c r="F101" s="9"/>
      <c r="G101" s="9"/>
      <c r="H101" s="10">
        <v>46195</v>
      </c>
      <c r="I101" s="10"/>
      <c r="J101" s="10"/>
    </row>
    <row r="102" spans="1:10" ht="14.25" customHeight="1" x14ac:dyDescent="0.25">
      <c r="A102" s="9" t="s">
        <v>76</v>
      </c>
      <c r="B102" s="9" t="s">
        <v>78</v>
      </c>
      <c r="C102" s="9" t="s">
        <v>151</v>
      </c>
      <c r="D102" s="9" t="s">
        <v>131</v>
      </c>
      <c r="E102" s="9" t="s">
        <v>94</v>
      </c>
      <c r="F102" s="9"/>
      <c r="G102" s="9"/>
      <c r="H102" s="10"/>
      <c r="I102" s="10"/>
      <c r="J102" s="9"/>
    </row>
    <row r="103" spans="1:10" ht="14.25" customHeight="1" x14ac:dyDescent="0.25">
      <c r="A103" s="9" t="s">
        <v>76</v>
      </c>
      <c r="B103" s="9" t="s">
        <v>21</v>
      </c>
      <c r="C103" s="9" t="s">
        <v>153</v>
      </c>
      <c r="D103" s="9" t="s">
        <v>131</v>
      </c>
      <c r="E103" s="9" t="s">
        <v>134</v>
      </c>
      <c r="F103" s="9"/>
      <c r="G103" s="9"/>
      <c r="H103" s="9"/>
      <c r="I103" s="10">
        <v>46162</v>
      </c>
      <c r="J103" s="10">
        <v>46162</v>
      </c>
    </row>
    <row r="104" spans="1:10" ht="14.25" customHeight="1" x14ac:dyDescent="0.25">
      <c r="A104" s="9" t="s">
        <v>76</v>
      </c>
      <c r="B104" s="9" t="s">
        <v>253</v>
      </c>
      <c r="C104" s="9" t="s">
        <v>153</v>
      </c>
      <c r="D104" s="9" t="s">
        <v>131</v>
      </c>
      <c r="E104" s="9" t="s">
        <v>134</v>
      </c>
      <c r="F104" s="9"/>
      <c r="G104" s="9"/>
      <c r="H104" s="10">
        <v>46162</v>
      </c>
      <c r="I104" s="10">
        <v>46182</v>
      </c>
      <c r="J104" s="10">
        <v>46182</v>
      </c>
    </row>
    <row r="105" spans="1:10" ht="14.25" customHeight="1" x14ac:dyDescent="0.25">
      <c r="A105" s="9" t="s">
        <v>76</v>
      </c>
      <c r="B105" s="9" t="s">
        <v>20</v>
      </c>
      <c r="C105" s="9" t="s">
        <v>153</v>
      </c>
      <c r="D105" s="9" t="s">
        <v>131</v>
      </c>
      <c r="E105" s="9" t="s">
        <v>134</v>
      </c>
      <c r="F105" s="9"/>
      <c r="G105" s="9"/>
      <c r="H105" s="10">
        <v>46182</v>
      </c>
      <c r="I105" s="10">
        <v>46198</v>
      </c>
      <c r="J105" s="10">
        <v>46198</v>
      </c>
    </row>
    <row r="106" spans="1:10" ht="14.25" customHeight="1" x14ac:dyDescent="0.25">
      <c r="A106" s="9" t="s">
        <v>76</v>
      </c>
      <c r="B106" s="9" t="s">
        <v>254</v>
      </c>
      <c r="C106" s="9" t="s">
        <v>153</v>
      </c>
      <c r="D106" s="9" t="s">
        <v>131</v>
      </c>
      <c r="E106" s="9" t="s">
        <v>134</v>
      </c>
      <c r="F106" s="9"/>
      <c r="G106" s="9"/>
      <c r="H106" s="10">
        <v>46198</v>
      </c>
      <c r="I106" s="10"/>
      <c r="J106" s="9"/>
    </row>
    <row r="107" spans="1:10" ht="14.25" customHeight="1" x14ac:dyDescent="0.25">
      <c r="A107" s="9" t="s">
        <v>76</v>
      </c>
      <c r="B107" s="9" t="s">
        <v>78</v>
      </c>
      <c r="C107" s="9" t="s">
        <v>153</v>
      </c>
      <c r="D107" s="9" t="s">
        <v>131</v>
      </c>
      <c r="E107" s="9" t="s">
        <v>134</v>
      </c>
      <c r="F107" s="9"/>
      <c r="G107" s="9"/>
      <c r="H107" s="9"/>
      <c r="I107" s="10"/>
      <c r="J107" s="10"/>
    </row>
    <row r="108" spans="1:10" ht="14.25" customHeight="1" x14ac:dyDescent="0.25">
      <c r="A108" s="9" t="s">
        <v>76</v>
      </c>
      <c r="B108" s="9" t="s">
        <v>21</v>
      </c>
      <c r="C108" s="9" t="s">
        <v>155</v>
      </c>
      <c r="D108" s="9" t="s">
        <v>79</v>
      </c>
      <c r="E108" s="9" t="s">
        <v>94</v>
      </c>
      <c r="F108" s="9"/>
      <c r="G108" s="9"/>
      <c r="H108" s="10"/>
      <c r="I108" s="10">
        <v>46168</v>
      </c>
      <c r="J108" s="10">
        <v>46168</v>
      </c>
    </row>
    <row r="109" spans="1:10" ht="14.25" customHeight="1" x14ac:dyDescent="0.25">
      <c r="A109" s="9" t="s">
        <v>76</v>
      </c>
      <c r="B109" s="9" t="s">
        <v>253</v>
      </c>
      <c r="C109" s="9" t="s">
        <v>155</v>
      </c>
      <c r="D109" s="9" t="s">
        <v>79</v>
      </c>
      <c r="E109" s="9" t="s">
        <v>94</v>
      </c>
      <c r="F109" s="9"/>
      <c r="G109" s="9"/>
      <c r="H109" s="10">
        <v>46168</v>
      </c>
      <c r="I109" s="10">
        <v>46183</v>
      </c>
      <c r="J109" s="10">
        <v>46183</v>
      </c>
    </row>
    <row r="110" spans="1:10" ht="14.25" customHeight="1" x14ac:dyDescent="0.25">
      <c r="A110" s="9" t="s">
        <v>76</v>
      </c>
      <c r="B110" s="9" t="s">
        <v>20</v>
      </c>
      <c r="C110" s="9" t="s">
        <v>155</v>
      </c>
      <c r="D110" s="9" t="s">
        <v>79</v>
      </c>
      <c r="E110" s="9" t="s">
        <v>94</v>
      </c>
      <c r="F110" s="9"/>
      <c r="G110" s="9"/>
      <c r="H110" s="10">
        <v>46183</v>
      </c>
      <c r="I110" s="10">
        <v>46198</v>
      </c>
      <c r="J110" s="10">
        <v>46198</v>
      </c>
    </row>
    <row r="111" spans="1:10" ht="14.25" customHeight="1" x14ac:dyDescent="0.25">
      <c r="A111" s="9" t="s">
        <v>76</v>
      </c>
      <c r="B111" s="9" t="s">
        <v>254</v>
      </c>
      <c r="C111" s="9" t="s">
        <v>155</v>
      </c>
      <c r="D111" s="9" t="s">
        <v>79</v>
      </c>
      <c r="E111" s="9" t="s">
        <v>94</v>
      </c>
      <c r="F111" s="9"/>
      <c r="G111" s="9"/>
      <c r="H111" s="10">
        <v>46198</v>
      </c>
      <c r="I111" s="10"/>
      <c r="J111" s="10"/>
    </row>
    <row r="112" spans="1:10" ht="14.25" customHeight="1" x14ac:dyDescent="0.25">
      <c r="A112" s="9" t="s">
        <v>76</v>
      </c>
      <c r="B112" s="9" t="s">
        <v>78</v>
      </c>
      <c r="C112" s="9" t="s">
        <v>155</v>
      </c>
      <c r="D112" s="9" t="s">
        <v>79</v>
      </c>
      <c r="E112" s="9" t="s">
        <v>94</v>
      </c>
      <c r="F112" s="9"/>
      <c r="G112" s="9"/>
      <c r="H112" s="10"/>
      <c r="I112" s="10"/>
      <c r="J112" s="9"/>
    </row>
    <row r="113" spans="1:10" ht="14.25" customHeight="1" x14ac:dyDescent="0.25">
      <c r="A113" s="9" t="s">
        <v>76</v>
      </c>
      <c r="B113" s="9" t="s">
        <v>21</v>
      </c>
      <c r="C113" s="9" t="s">
        <v>156</v>
      </c>
      <c r="D113" s="9" t="s">
        <v>79</v>
      </c>
      <c r="E113" s="9" t="s">
        <v>94</v>
      </c>
      <c r="F113" s="9"/>
      <c r="G113" s="9"/>
      <c r="H113" s="9"/>
      <c r="I113" s="10">
        <v>46165</v>
      </c>
      <c r="J113" s="10">
        <v>46165</v>
      </c>
    </row>
    <row r="114" spans="1:10" ht="14.25" customHeight="1" x14ac:dyDescent="0.25">
      <c r="A114" s="9" t="s">
        <v>76</v>
      </c>
      <c r="B114" s="9" t="s">
        <v>253</v>
      </c>
      <c r="C114" s="9" t="s">
        <v>156</v>
      </c>
      <c r="D114" s="9" t="s">
        <v>79</v>
      </c>
      <c r="E114" s="9" t="s">
        <v>94</v>
      </c>
      <c r="F114" s="9"/>
      <c r="G114" s="9"/>
      <c r="H114" s="10">
        <v>46165</v>
      </c>
      <c r="I114" s="10">
        <v>46153</v>
      </c>
      <c r="J114" s="10">
        <v>46153</v>
      </c>
    </row>
    <row r="115" spans="1:10" ht="14.25" customHeight="1" x14ac:dyDescent="0.25">
      <c r="A115" s="9" t="s">
        <v>76</v>
      </c>
      <c r="B115" s="9" t="s">
        <v>20</v>
      </c>
      <c r="C115" s="9" t="s">
        <v>156</v>
      </c>
      <c r="D115" s="9" t="s">
        <v>79</v>
      </c>
      <c r="E115" s="9" t="s">
        <v>94</v>
      </c>
      <c r="F115" s="9"/>
      <c r="G115" s="9"/>
      <c r="H115" s="10">
        <v>46153</v>
      </c>
      <c r="I115" s="10">
        <v>46154</v>
      </c>
      <c r="J115" s="10">
        <v>46154</v>
      </c>
    </row>
    <row r="116" spans="1:10" ht="14.25" customHeight="1" x14ac:dyDescent="0.25">
      <c r="A116" s="9" t="s">
        <v>76</v>
      </c>
      <c r="B116" s="9" t="s">
        <v>254</v>
      </c>
      <c r="C116" s="9" t="s">
        <v>156</v>
      </c>
      <c r="D116" s="9" t="s">
        <v>79</v>
      </c>
      <c r="E116" s="9" t="s">
        <v>94</v>
      </c>
      <c r="F116" s="9"/>
      <c r="G116" s="9"/>
      <c r="H116" s="10">
        <v>46154</v>
      </c>
      <c r="I116" s="10"/>
      <c r="J116" s="9"/>
    </row>
    <row r="117" spans="1:10" ht="14.25" customHeight="1" x14ac:dyDescent="0.25">
      <c r="A117" s="9" t="s">
        <v>76</v>
      </c>
      <c r="B117" s="9" t="s">
        <v>78</v>
      </c>
      <c r="C117" s="9" t="s">
        <v>156</v>
      </c>
      <c r="D117" s="9" t="s">
        <v>79</v>
      </c>
      <c r="E117" s="9" t="s">
        <v>94</v>
      </c>
      <c r="F117" s="9"/>
      <c r="G117" s="9"/>
      <c r="H117" s="9"/>
      <c r="I117" s="10">
        <v>46184</v>
      </c>
      <c r="J117" s="10">
        <v>46184</v>
      </c>
    </row>
    <row r="118" spans="1:10" ht="14.25" customHeight="1" x14ac:dyDescent="0.25">
      <c r="A118" s="9" t="s">
        <v>76</v>
      </c>
      <c r="B118" s="9" t="s">
        <v>21</v>
      </c>
      <c r="C118" s="9" t="s">
        <v>159</v>
      </c>
      <c r="D118" s="9" t="s">
        <v>93</v>
      </c>
      <c r="E118" s="9" t="s">
        <v>80</v>
      </c>
      <c r="F118" s="9"/>
      <c r="G118" s="9"/>
      <c r="H118" s="10"/>
      <c r="I118" s="10">
        <v>46162</v>
      </c>
      <c r="J118" s="10">
        <v>46162</v>
      </c>
    </row>
    <row r="119" spans="1:10" ht="14.25" customHeight="1" x14ac:dyDescent="0.25">
      <c r="A119" s="9" t="s">
        <v>76</v>
      </c>
      <c r="B119" s="9" t="s">
        <v>253</v>
      </c>
      <c r="C119" s="9" t="s">
        <v>159</v>
      </c>
      <c r="D119" s="9" t="s">
        <v>93</v>
      </c>
      <c r="E119" s="9" t="s">
        <v>80</v>
      </c>
      <c r="F119" s="9"/>
      <c r="G119" s="9"/>
      <c r="H119" s="10">
        <v>46162</v>
      </c>
      <c r="I119" s="10">
        <v>46186</v>
      </c>
      <c r="J119" s="10">
        <v>46186</v>
      </c>
    </row>
    <row r="120" spans="1:10" ht="14.25" customHeight="1" x14ac:dyDescent="0.25">
      <c r="A120" s="9" t="s">
        <v>76</v>
      </c>
      <c r="B120" s="9" t="s">
        <v>20</v>
      </c>
      <c r="C120" s="9" t="s">
        <v>159</v>
      </c>
      <c r="D120" s="9" t="s">
        <v>93</v>
      </c>
      <c r="E120" s="9" t="s">
        <v>80</v>
      </c>
      <c r="F120" s="9"/>
      <c r="G120" s="9"/>
      <c r="H120" s="10">
        <v>46186</v>
      </c>
      <c r="I120" s="10">
        <v>46188</v>
      </c>
      <c r="J120" s="10">
        <v>46188</v>
      </c>
    </row>
    <row r="121" spans="1:10" ht="14.25" customHeight="1" x14ac:dyDescent="0.25">
      <c r="A121" s="9" t="s">
        <v>76</v>
      </c>
      <c r="B121" s="9" t="s">
        <v>21</v>
      </c>
      <c r="C121" s="9" t="s">
        <v>161</v>
      </c>
      <c r="D121" s="9" t="s">
        <v>93</v>
      </c>
      <c r="E121" s="9" t="s">
        <v>134</v>
      </c>
      <c r="F121" s="9"/>
      <c r="G121" s="9"/>
      <c r="H121" s="9"/>
      <c r="I121" s="10">
        <v>46162</v>
      </c>
      <c r="J121" s="10">
        <v>46162</v>
      </c>
    </row>
    <row r="122" spans="1:10" ht="14.25" customHeight="1" x14ac:dyDescent="0.25">
      <c r="A122" s="9" t="s">
        <v>76</v>
      </c>
      <c r="B122" s="9" t="s">
        <v>253</v>
      </c>
      <c r="C122" s="9" t="s">
        <v>161</v>
      </c>
      <c r="D122" s="9" t="s">
        <v>93</v>
      </c>
      <c r="E122" s="9" t="s">
        <v>134</v>
      </c>
      <c r="F122" s="9"/>
      <c r="G122" s="9"/>
      <c r="H122" s="10">
        <v>46162</v>
      </c>
      <c r="I122" s="10">
        <v>46164</v>
      </c>
      <c r="J122" s="10">
        <v>46164</v>
      </c>
    </row>
    <row r="123" spans="1:10" ht="14.25" customHeight="1" x14ac:dyDescent="0.25">
      <c r="A123" s="9" t="s">
        <v>76</v>
      </c>
      <c r="B123" s="9" t="s">
        <v>20</v>
      </c>
      <c r="C123" s="9" t="s">
        <v>161</v>
      </c>
      <c r="D123" s="9" t="s">
        <v>93</v>
      </c>
      <c r="E123" s="9" t="s">
        <v>134</v>
      </c>
      <c r="F123" s="9"/>
      <c r="G123" s="9"/>
      <c r="H123" s="10">
        <v>46164</v>
      </c>
      <c r="I123" s="10">
        <v>46204</v>
      </c>
      <c r="J123" s="10">
        <v>46204</v>
      </c>
    </row>
    <row r="124" spans="1:10" ht="14.25" customHeight="1" x14ac:dyDescent="0.25">
      <c r="A124" s="9" t="s">
        <v>76</v>
      </c>
      <c r="B124" s="9" t="s">
        <v>254</v>
      </c>
      <c r="C124" s="9" t="s">
        <v>161</v>
      </c>
      <c r="D124" s="9" t="s">
        <v>93</v>
      </c>
      <c r="E124" s="9" t="s">
        <v>134</v>
      </c>
      <c r="F124" s="9"/>
      <c r="G124" s="9"/>
      <c r="H124" s="10">
        <v>46204</v>
      </c>
      <c r="I124" s="10"/>
      <c r="J124" s="9"/>
    </row>
    <row r="125" spans="1:10" ht="14.25" customHeight="1" x14ac:dyDescent="0.25">
      <c r="A125" s="9" t="s">
        <v>76</v>
      </c>
      <c r="B125" s="9" t="s">
        <v>78</v>
      </c>
      <c r="C125" s="9" t="s">
        <v>161</v>
      </c>
      <c r="D125" s="9" t="s">
        <v>93</v>
      </c>
      <c r="E125" s="9" t="s">
        <v>134</v>
      </c>
      <c r="F125" s="9"/>
      <c r="G125" s="9"/>
      <c r="H125" s="9"/>
      <c r="I125" s="10"/>
      <c r="J125" s="10"/>
    </row>
    <row r="126" spans="1:10" ht="14.25" customHeight="1" x14ac:dyDescent="0.25">
      <c r="A126" s="9" t="s">
        <v>76</v>
      </c>
      <c r="B126" s="9" t="s">
        <v>21</v>
      </c>
      <c r="C126" s="9" t="s">
        <v>162</v>
      </c>
      <c r="D126" s="9" t="s">
        <v>163</v>
      </c>
      <c r="E126" s="9" t="s">
        <v>94</v>
      </c>
      <c r="F126" s="9"/>
      <c r="G126" s="9"/>
      <c r="H126" s="10"/>
      <c r="I126" s="10">
        <v>46169</v>
      </c>
      <c r="J126" s="10">
        <v>46169</v>
      </c>
    </row>
    <row r="127" spans="1:10" ht="14.25" customHeight="1" x14ac:dyDescent="0.25">
      <c r="A127" s="9" t="s">
        <v>76</v>
      </c>
      <c r="B127" s="9" t="s">
        <v>253</v>
      </c>
      <c r="C127" s="9" t="s">
        <v>162</v>
      </c>
      <c r="D127" s="9" t="s">
        <v>163</v>
      </c>
      <c r="E127" s="9" t="s">
        <v>94</v>
      </c>
      <c r="F127" s="9"/>
      <c r="G127" s="9"/>
      <c r="H127" s="10">
        <v>46169</v>
      </c>
      <c r="I127" s="10">
        <v>46191</v>
      </c>
      <c r="J127" s="10">
        <v>46191</v>
      </c>
    </row>
    <row r="128" spans="1:10" ht="14.25" customHeight="1" x14ac:dyDescent="0.25">
      <c r="A128" s="9" t="s">
        <v>76</v>
      </c>
      <c r="B128" s="9" t="s">
        <v>20</v>
      </c>
      <c r="C128" s="9" t="s">
        <v>162</v>
      </c>
      <c r="D128" s="9" t="s">
        <v>163</v>
      </c>
      <c r="E128" s="9" t="s">
        <v>94</v>
      </c>
      <c r="F128" s="9"/>
      <c r="G128" s="9"/>
      <c r="H128" s="10">
        <v>46191</v>
      </c>
      <c r="I128" s="10">
        <v>46196</v>
      </c>
      <c r="J128" s="10">
        <v>46196</v>
      </c>
    </row>
    <row r="129" spans="1:10" ht="14.25" customHeight="1" x14ac:dyDescent="0.25">
      <c r="A129" s="9" t="s">
        <v>76</v>
      </c>
      <c r="B129" s="9" t="s">
        <v>254</v>
      </c>
      <c r="C129" s="9" t="s">
        <v>162</v>
      </c>
      <c r="D129" s="9" t="s">
        <v>163</v>
      </c>
      <c r="E129" s="9" t="s">
        <v>94</v>
      </c>
      <c r="F129" s="9"/>
      <c r="G129" s="9"/>
      <c r="H129" s="10">
        <v>46196</v>
      </c>
      <c r="I129" s="9"/>
      <c r="J129" s="9"/>
    </row>
    <row r="130" spans="1:10" ht="14.25" customHeight="1" x14ac:dyDescent="0.25">
      <c r="A130" s="9" t="s">
        <v>76</v>
      </c>
      <c r="B130" s="9" t="s">
        <v>78</v>
      </c>
      <c r="C130" s="9" t="s">
        <v>162</v>
      </c>
      <c r="D130" s="9" t="s">
        <v>163</v>
      </c>
      <c r="E130" s="9" t="s">
        <v>94</v>
      </c>
      <c r="F130" s="9"/>
      <c r="G130" s="9"/>
      <c r="H130" s="9"/>
      <c r="I130" s="10"/>
      <c r="J130" s="9"/>
    </row>
    <row r="131" spans="1:10" ht="14.25" customHeight="1" x14ac:dyDescent="0.25">
      <c r="A131" s="9" t="s">
        <v>76</v>
      </c>
      <c r="B131" s="9" t="s">
        <v>21</v>
      </c>
      <c r="C131" s="9" t="s">
        <v>166</v>
      </c>
      <c r="D131" s="9" t="s">
        <v>131</v>
      </c>
      <c r="E131" s="9" t="s">
        <v>134</v>
      </c>
      <c r="F131" s="9"/>
      <c r="G131" s="9"/>
      <c r="H131" s="9"/>
      <c r="I131" s="10">
        <v>46168</v>
      </c>
      <c r="J131" s="10">
        <v>46168</v>
      </c>
    </row>
    <row r="132" spans="1:10" ht="14.25" customHeight="1" x14ac:dyDescent="0.25">
      <c r="A132" s="9" t="s">
        <v>76</v>
      </c>
      <c r="B132" s="9" t="s">
        <v>253</v>
      </c>
      <c r="C132" s="9" t="s">
        <v>166</v>
      </c>
      <c r="D132" s="9" t="s">
        <v>131</v>
      </c>
      <c r="E132" s="9" t="s">
        <v>134</v>
      </c>
      <c r="F132" s="9"/>
      <c r="G132" s="9"/>
      <c r="H132" s="10">
        <v>46168</v>
      </c>
      <c r="I132" s="10">
        <v>46189</v>
      </c>
      <c r="J132" s="10">
        <v>46189</v>
      </c>
    </row>
    <row r="133" spans="1:10" ht="14.25" customHeight="1" x14ac:dyDescent="0.25">
      <c r="A133" s="9" t="s">
        <v>76</v>
      </c>
      <c r="B133" s="9" t="s">
        <v>20</v>
      </c>
      <c r="C133" s="9" t="s">
        <v>166</v>
      </c>
      <c r="D133" s="9" t="s">
        <v>131</v>
      </c>
      <c r="E133" s="9" t="s">
        <v>134</v>
      </c>
      <c r="F133" s="9"/>
      <c r="G133" s="9"/>
      <c r="H133" s="10">
        <v>46189</v>
      </c>
      <c r="I133" s="10">
        <v>46189</v>
      </c>
      <c r="J133" s="10">
        <v>46189</v>
      </c>
    </row>
    <row r="134" spans="1:10" ht="14.25" customHeight="1" x14ac:dyDescent="0.25">
      <c r="A134" s="9" t="s">
        <v>76</v>
      </c>
      <c r="B134" s="9" t="s">
        <v>254</v>
      </c>
      <c r="C134" s="9" t="s">
        <v>166</v>
      </c>
      <c r="D134" s="9" t="s">
        <v>131</v>
      </c>
      <c r="E134" s="9" t="s">
        <v>134</v>
      </c>
      <c r="F134" s="9"/>
      <c r="G134" s="9"/>
      <c r="H134" s="10">
        <v>46189</v>
      </c>
      <c r="I134" s="9"/>
      <c r="J134" s="9"/>
    </row>
    <row r="135" spans="1:10" ht="14.25" customHeight="1" x14ac:dyDescent="0.25">
      <c r="A135" s="9" t="s">
        <v>76</v>
      </c>
      <c r="B135" s="9" t="s">
        <v>78</v>
      </c>
      <c r="C135" s="9" t="s">
        <v>166</v>
      </c>
      <c r="D135" s="9" t="s">
        <v>131</v>
      </c>
      <c r="E135" s="9" t="s">
        <v>134</v>
      </c>
      <c r="F135" s="9"/>
      <c r="G135" s="9"/>
      <c r="H135" s="9"/>
      <c r="I135" s="10">
        <v>46192</v>
      </c>
      <c r="J135" s="10">
        <v>46192</v>
      </c>
    </row>
    <row r="136" spans="1:10" ht="14.25" customHeight="1" x14ac:dyDescent="0.25">
      <c r="A136" s="9" t="s">
        <v>76</v>
      </c>
      <c r="B136" s="9" t="s">
        <v>21</v>
      </c>
      <c r="C136" s="9" t="s">
        <v>168</v>
      </c>
      <c r="D136" s="9" t="s">
        <v>111</v>
      </c>
      <c r="E136" s="9" t="s">
        <v>134</v>
      </c>
      <c r="F136" s="9"/>
      <c r="G136" s="9"/>
      <c r="H136" s="9"/>
      <c r="I136" s="10">
        <v>46169</v>
      </c>
      <c r="J136" s="10">
        <v>46169</v>
      </c>
    </row>
    <row r="137" spans="1:10" ht="14.25" customHeight="1" x14ac:dyDescent="0.25">
      <c r="A137" s="9" t="s">
        <v>76</v>
      </c>
      <c r="B137" s="9" t="s">
        <v>253</v>
      </c>
      <c r="C137" s="9" t="s">
        <v>168</v>
      </c>
      <c r="D137" s="9" t="s">
        <v>111</v>
      </c>
      <c r="E137" s="9" t="s">
        <v>134</v>
      </c>
      <c r="F137" s="9"/>
      <c r="G137" s="9"/>
      <c r="H137" s="10">
        <v>46169</v>
      </c>
      <c r="I137" s="10">
        <v>46195</v>
      </c>
      <c r="J137" s="10">
        <v>46195</v>
      </c>
    </row>
    <row r="138" spans="1:10" ht="14.25" customHeight="1" x14ac:dyDescent="0.25">
      <c r="A138" s="9" t="s">
        <v>76</v>
      </c>
      <c r="B138" s="9" t="s">
        <v>20</v>
      </c>
      <c r="C138" s="9" t="s">
        <v>168</v>
      </c>
      <c r="D138" s="9" t="s">
        <v>111</v>
      </c>
      <c r="E138" s="9" t="s">
        <v>134</v>
      </c>
      <c r="F138" s="9"/>
      <c r="G138" s="9"/>
      <c r="H138" s="10">
        <v>46195</v>
      </c>
      <c r="I138" s="10">
        <v>46197</v>
      </c>
      <c r="J138" s="10">
        <v>46197</v>
      </c>
    </row>
    <row r="139" spans="1:10" ht="14.25" customHeight="1" x14ac:dyDescent="0.25">
      <c r="A139" s="9" t="s">
        <v>76</v>
      </c>
      <c r="B139" s="9" t="s">
        <v>254</v>
      </c>
      <c r="C139" s="9" t="s">
        <v>168</v>
      </c>
      <c r="D139" s="9" t="s">
        <v>111</v>
      </c>
      <c r="E139" s="9" t="s">
        <v>134</v>
      </c>
      <c r="F139" s="9"/>
      <c r="G139" s="9"/>
      <c r="H139" s="10">
        <v>46197</v>
      </c>
      <c r="I139" s="9"/>
      <c r="J139" s="9"/>
    </row>
    <row r="140" spans="1:10" ht="14.25" customHeight="1" x14ac:dyDescent="0.25">
      <c r="A140" s="9" t="s">
        <v>76</v>
      </c>
      <c r="B140" s="9" t="s">
        <v>78</v>
      </c>
      <c r="C140" s="9" t="s">
        <v>168</v>
      </c>
      <c r="D140" s="9" t="s">
        <v>111</v>
      </c>
      <c r="E140" s="9" t="s">
        <v>134</v>
      </c>
      <c r="F140" s="9"/>
      <c r="G140" s="9"/>
      <c r="H140" s="9"/>
      <c r="I140" s="9"/>
      <c r="J140" s="9"/>
    </row>
    <row r="141" spans="1:10" ht="14.25" customHeight="1" x14ac:dyDescent="0.25">
      <c r="A141" s="9" t="s">
        <v>170</v>
      </c>
      <c r="B141" s="9" t="s">
        <v>21</v>
      </c>
      <c r="C141" s="9" t="s">
        <v>171</v>
      </c>
      <c r="D141" s="9" t="s">
        <v>103</v>
      </c>
      <c r="E141" s="9" t="s">
        <v>94</v>
      </c>
      <c r="F141" s="9"/>
      <c r="G141" s="9" t="s">
        <v>172</v>
      </c>
      <c r="H141" s="9"/>
      <c r="I141" s="9"/>
      <c r="J141" s="9"/>
    </row>
    <row r="142" spans="1:10" ht="14.25" customHeight="1" x14ac:dyDescent="0.25">
      <c r="A142" s="9" t="s">
        <v>170</v>
      </c>
      <c r="B142" s="9" t="s">
        <v>253</v>
      </c>
      <c r="C142" s="9" t="s">
        <v>171</v>
      </c>
      <c r="D142" s="9" t="s">
        <v>103</v>
      </c>
      <c r="E142" s="9" t="s">
        <v>94</v>
      </c>
      <c r="F142" s="9"/>
      <c r="G142" s="9" t="s">
        <v>172</v>
      </c>
      <c r="H142" s="9"/>
      <c r="I142" s="10">
        <v>46213</v>
      </c>
      <c r="J142" s="10">
        <v>46213</v>
      </c>
    </row>
    <row r="143" spans="1:10" ht="14.25" customHeight="1" x14ac:dyDescent="0.25">
      <c r="A143" s="9" t="s">
        <v>170</v>
      </c>
      <c r="B143" s="9" t="s">
        <v>20</v>
      </c>
      <c r="C143" s="9" t="s">
        <v>171</v>
      </c>
      <c r="D143" s="9" t="s">
        <v>103</v>
      </c>
      <c r="E143" s="9" t="s">
        <v>94</v>
      </c>
      <c r="F143" s="9"/>
      <c r="G143" s="9" t="s">
        <v>172</v>
      </c>
      <c r="H143" s="10">
        <v>46213</v>
      </c>
      <c r="I143" s="10">
        <v>46223</v>
      </c>
      <c r="J143" s="10">
        <v>46223</v>
      </c>
    </row>
    <row r="144" spans="1:10" ht="14.25" customHeight="1" x14ac:dyDescent="0.25">
      <c r="A144" s="9" t="s">
        <v>170</v>
      </c>
      <c r="B144" s="9" t="s">
        <v>21</v>
      </c>
      <c r="C144" s="9" t="s">
        <v>176</v>
      </c>
      <c r="D144" s="9" t="s">
        <v>163</v>
      </c>
      <c r="E144" s="9" t="s">
        <v>134</v>
      </c>
      <c r="F144" s="9"/>
      <c r="G144" s="9" t="s">
        <v>172</v>
      </c>
      <c r="H144" s="9"/>
      <c r="I144" s="9"/>
      <c r="J144" s="9"/>
    </row>
    <row r="145" spans="1:10" ht="14.25" customHeight="1" x14ac:dyDescent="0.25">
      <c r="A145" s="9" t="s">
        <v>170</v>
      </c>
      <c r="B145" s="9" t="s">
        <v>253</v>
      </c>
      <c r="C145" s="9" t="s">
        <v>176</v>
      </c>
      <c r="D145" s="9" t="s">
        <v>163</v>
      </c>
      <c r="E145" s="9" t="s">
        <v>134</v>
      </c>
      <c r="F145" s="9"/>
      <c r="G145" s="9" t="s">
        <v>172</v>
      </c>
      <c r="H145" s="9"/>
      <c r="I145" s="10">
        <v>46218</v>
      </c>
      <c r="J145" s="10">
        <v>46218</v>
      </c>
    </row>
    <row r="146" spans="1:10" ht="14.25" customHeight="1" x14ac:dyDescent="0.25">
      <c r="A146" s="9" t="s">
        <v>170</v>
      </c>
      <c r="B146" s="9" t="s">
        <v>20</v>
      </c>
      <c r="C146" s="9" t="s">
        <v>176</v>
      </c>
      <c r="D146" s="9" t="s">
        <v>163</v>
      </c>
      <c r="E146" s="9" t="s">
        <v>134</v>
      </c>
      <c r="F146" s="9"/>
      <c r="G146" s="9" t="s">
        <v>172</v>
      </c>
      <c r="H146" s="10">
        <v>46218</v>
      </c>
      <c r="I146" s="10">
        <v>46223</v>
      </c>
      <c r="J146" s="10">
        <v>46223</v>
      </c>
    </row>
    <row r="147" spans="1:10" ht="14.25" customHeight="1" x14ac:dyDescent="0.25">
      <c r="A147" s="9" t="s">
        <v>170</v>
      </c>
      <c r="B147" s="9" t="s">
        <v>21</v>
      </c>
      <c r="C147" s="9" t="s">
        <v>178</v>
      </c>
      <c r="D147" s="9" t="s">
        <v>163</v>
      </c>
      <c r="E147" s="9" t="s">
        <v>134</v>
      </c>
      <c r="F147" s="9"/>
      <c r="G147" s="9" t="s">
        <v>172</v>
      </c>
      <c r="H147" s="9"/>
      <c r="I147" s="9"/>
      <c r="J147" s="9"/>
    </row>
    <row r="148" spans="1:10" ht="14.25" customHeight="1" x14ac:dyDescent="0.25">
      <c r="A148" s="9" t="s">
        <v>170</v>
      </c>
      <c r="B148" s="9" t="s">
        <v>253</v>
      </c>
      <c r="C148" s="9" t="s">
        <v>178</v>
      </c>
      <c r="D148" s="9" t="s">
        <v>163</v>
      </c>
      <c r="E148" s="9" t="s">
        <v>134</v>
      </c>
      <c r="F148" s="9"/>
      <c r="G148" s="9" t="s">
        <v>172</v>
      </c>
      <c r="H148" s="9"/>
      <c r="I148" s="10">
        <v>46225</v>
      </c>
      <c r="J148" s="10">
        <v>46225</v>
      </c>
    </row>
    <row r="149" spans="1:10" ht="14.25" customHeight="1" x14ac:dyDescent="0.25">
      <c r="A149" s="9" t="s">
        <v>170</v>
      </c>
      <c r="B149" s="9" t="s">
        <v>20</v>
      </c>
      <c r="C149" s="9" t="s">
        <v>178</v>
      </c>
      <c r="D149" s="9" t="s">
        <v>163</v>
      </c>
      <c r="E149" s="9" t="s">
        <v>134</v>
      </c>
      <c r="F149" s="9"/>
      <c r="G149" s="9" t="s">
        <v>172</v>
      </c>
      <c r="H149" s="10">
        <v>46225</v>
      </c>
      <c r="I149" s="10">
        <v>46223</v>
      </c>
      <c r="J149" s="10">
        <v>46223</v>
      </c>
    </row>
    <row r="150" spans="1:10" ht="14.25" customHeight="1" x14ac:dyDescent="0.25">
      <c r="A150" s="9" t="s">
        <v>170</v>
      </c>
      <c r="B150" s="9" t="s">
        <v>21</v>
      </c>
      <c r="C150" s="9" t="s">
        <v>180</v>
      </c>
      <c r="D150" s="9" t="s">
        <v>93</v>
      </c>
      <c r="E150" s="9" t="s">
        <v>80</v>
      </c>
      <c r="F150" s="9"/>
      <c r="G150" s="9" t="s">
        <v>172</v>
      </c>
      <c r="H150" s="9"/>
      <c r="I150" s="9"/>
      <c r="J150" s="9"/>
    </row>
    <row r="151" spans="1:10" ht="14.25" customHeight="1" x14ac:dyDescent="0.25">
      <c r="A151" s="9" t="s">
        <v>170</v>
      </c>
      <c r="B151" s="9" t="s">
        <v>253</v>
      </c>
      <c r="C151" s="9" t="s">
        <v>180</v>
      </c>
      <c r="D151" s="9" t="s">
        <v>93</v>
      </c>
      <c r="E151" s="9" t="s">
        <v>80</v>
      </c>
      <c r="F151" s="9"/>
      <c r="G151" s="9" t="s">
        <v>172</v>
      </c>
      <c r="H151" s="9"/>
      <c r="I151" s="10">
        <v>46227</v>
      </c>
      <c r="J151" s="10">
        <v>46227</v>
      </c>
    </row>
    <row r="152" spans="1:10" ht="14.25" customHeight="1" x14ac:dyDescent="0.25">
      <c r="A152" s="9" t="s">
        <v>170</v>
      </c>
      <c r="B152" s="9" t="s">
        <v>20</v>
      </c>
      <c r="C152" s="9" t="s">
        <v>180</v>
      </c>
      <c r="D152" s="9" t="s">
        <v>93</v>
      </c>
      <c r="E152" s="9" t="s">
        <v>80</v>
      </c>
      <c r="F152" s="9"/>
      <c r="G152" s="9" t="s">
        <v>172</v>
      </c>
      <c r="H152" s="10">
        <v>46227</v>
      </c>
      <c r="I152" s="10">
        <v>46223</v>
      </c>
      <c r="J152" s="10">
        <v>46223</v>
      </c>
    </row>
    <row r="153" spans="1:10" ht="14.25" customHeight="1" x14ac:dyDescent="0.25">
      <c r="A153" s="9" t="s">
        <v>170</v>
      </c>
      <c r="B153" s="9" t="s">
        <v>21</v>
      </c>
      <c r="C153" s="9" t="s">
        <v>182</v>
      </c>
      <c r="D153" s="9" t="s">
        <v>131</v>
      </c>
      <c r="E153" s="9" t="s">
        <v>134</v>
      </c>
      <c r="F153" s="9"/>
      <c r="G153" s="9" t="s">
        <v>172</v>
      </c>
      <c r="H153" s="9"/>
      <c r="I153" s="9"/>
      <c r="J153" s="9"/>
    </row>
    <row r="154" spans="1:10" ht="14.25" customHeight="1" x14ac:dyDescent="0.25">
      <c r="A154" s="9" t="s">
        <v>170</v>
      </c>
      <c r="B154" s="9" t="s">
        <v>253</v>
      </c>
      <c r="C154" s="9" t="s">
        <v>182</v>
      </c>
      <c r="D154" s="9" t="s">
        <v>131</v>
      </c>
      <c r="E154" s="9" t="s">
        <v>134</v>
      </c>
      <c r="F154" s="9"/>
      <c r="G154" s="9" t="s">
        <v>172</v>
      </c>
      <c r="H154" s="9"/>
      <c r="I154" s="10">
        <v>46216</v>
      </c>
      <c r="J154" s="10">
        <v>46216</v>
      </c>
    </row>
    <row r="155" spans="1:10" ht="14.25" customHeight="1" x14ac:dyDescent="0.25">
      <c r="A155" s="9" t="s">
        <v>170</v>
      </c>
      <c r="B155" s="9" t="s">
        <v>20</v>
      </c>
      <c r="C155" s="9" t="s">
        <v>182</v>
      </c>
      <c r="D155" s="9" t="s">
        <v>131</v>
      </c>
      <c r="E155" s="9" t="s">
        <v>134</v>
      </c>
      <c r="F155" s="9"/>
      <c r="G155" s="9" t="s">
        <v>172</v>
      </c>
      <c r="H155" s="10">
        <v>46216</v>
      </c>
      <c r="I155" s="10">
        <v>46225</v>
      </c>
      <c r="J155" s="10">
        <v>46225</v>
      </c>
    </row>
    <row r="156" spans="1:10" ht="14.25" customHeight="1" x14ac:dyDescent="0.25">
      <c r="A156" s="9" t="s">
        <v>170</v>
      </c>
      <c r="B156" s="9" t="s">
        <v>21</v>
      </c>
      <c r="C156" s="9" t="s">
        <v>19</v>
      </c>
      <c r="D156" s="9" t="s">
        <v>111</v>
      </c>
      <c r="E156" s="9" t="s">
        <v>94</v>
      </c>
      <c r="F156" s="9"/>
      <c r="G156" s="9" t="s">
        <v>22</v>
      </c>
      <c r="H156" s="9"/>
      <c r="I156" s="9"/>
      <c r="J156" s="9"/>
    </row>
    <row r="157" spans="1:10" x14ac:dyDescent="0.25">
      <c r="A157" s="3" t="s">
        <v>170</v>
      </c>
      <c r="B157" s="3" t="s">
        <v>21</v>
      </c>
      <c r="C157" s="3" t="s">
        <v>186</v>
      </c>
      <c r="D157" s="3" t="s">
        <v>163</v>
      </c>
      <c r="E157" s="3" t="s">
        <v>80</v>
      </c>
      <c r="F157" s="3"/>
      <c r="G157" s="3" t="s">
        <v>22</v>
      </c>
      <c r="H157" s="3"/>
      <c r="I157" s="3"/>
      <c r="J157" s="3"/>
    </row>
    <row r="158" spans="1:10" x14ac:dyDescent="0.25">
      <c r="A158" s="3" t="s">
        <v>170</v>
      </c>
      <c r="B158" s="3" t="s">
        <v>21</v>
      </c>
      <c r="C158" s="3" t="s">
        <v>188</v>
      </c>
      <c r="D158" s="3" t="s">
        <v>163</v>
      </c>
      <c r="E158" s="3" t="s">
        <v>80</v>
      </c>
      <c r="F158" s="3"/>
      <c r="G158" s="3" t="s">
        <v>22</v>
      </c>
      <c r="H158" s="3"/>
      <c r="I158" s="3"/>
      <c r="J158" s="3"/>
    </row>
    <row r="159" spans="1:10" x14ac:dyDescent="0.25">
      <c r="A159" s="3" t="s">
        <v>170</v>
      </c>
      <c r="B159" s="3" t="s">
        <v>253</v>
      </c>
      <c r="C159" s="3" t="s">
        <v>188</v>
      </c>
      <c r="D159" s="3" t="s">
        <v>163</v>
      </c>
      <c r="E159" s="3" t="s">
        <v>80</v>
      </c>
      <c r="F159" s="3"/>
      <c r="G159" s="3" t="s">
        <v>22</v>
      </c>
      <c r="H159" s="3"/>
      <c r="I159" s="4">
        <v>46221</v>
      </c>
      <c r="J159" s="4">
        <v>46221</v>
      </c>
    </row>
    <row r="160" spans="1:10" x14ac:dyDescent="0.25">
      <c r="A160" s="3" t="s">
        <v>170</v>
      </c>
      <c r="B160" s="3" t="s">
        <v>20</v>
      </c>
      <c r="C160" s="3" t="s">
        <v>188</v>
      </c>
      <c r="D160" s="3" t="s">
        <v>163</v>
      </c>
      <c r="E160" s="3" t="s">
        <v>80</v>
      </c>
      <c r="F160" s="3"/>
      <c r="G160" s="3" t="s">
        <v>22</v>
      </c>
      <c r="H160" s="4">
        <v>46221</v>
      </c>
      <c r="I160" s="4">
        <v>46223</v>
      </c>
      <c r="J160" s="4">
        <v>46223</v>
      </c>
    </row>
    <row r="161" spans="1:10" x14ac:dyDescent="0.25">
      <c r="A161" s="3" t="s">
        <v>170</v>
      </c>
      <c r="B161" s="3" t="s">
        <v>21</v>
      </c>
      <c r="C161" s="3" t="s">
        <v>190</v>
      </c>
      <c r="D161" s="3" t="s">
        <v>111</v>
      </c>
      <c r="E161" s="3" t="s">
        <v>94</v>
      </c>
      <c r="F161" s="3"/>
      <c r="G161" s="3" t="s">
        <v>22</v>
      </c>
      <c r="H161" s="3"/>
      <c r="I161" s="3"/>
      <c r="J161" s="3"/>
    </row>
    <row r="162" spans="1:10" x14ac:dyDescent="0.25">
      <c r="A162" s="3" t="s">
        <v>170</v>
      </c>
      <c r="B162" s="3" t="s">
        <v>253</v>
      </c>
      <c r="C162" s="3" t="s">
        <v>190</v>
      </c>
      <c r="D162" s="3" t="s">
        <v>111</v>
      </c>
      <c r="E162" s="3" t="s">
        <v>94</v>
      </c>
      <c r="F162" s="3"/>
      <c r="G162" s="3" t="s">
        <v>22</v>
      </c>
      <c r="H162" s="3"/>
      <c r="I162" s="4">
        <v>46220</v>
      </c>
      <c r="J162" s="4">
        <v>46220</v>
      </c>
    </row>
    <row r="163" spans="1:10" x14ac:dyDescent="0.25">
      <c r="A163" s="3" t="s">
        <v>170</v>
      </c>
      <c r="B163" s="3" t="s">
        <v>20</v>
      </c>
      <c r="C163" s="3" t="s">
        <v>190</v>
      </c>
      <c r="D163" s="3" t="s">
        <v>111</v>
      </c>
      <c r="E163" s="3" t="s">
        <v>94</v>
      </c>
      <c r="F163" s="3"/>
      <c r="G163" s="3" t="s">
        <v>22</v>
      </c>
      <c r="H163" s="4">
        <v>46220</v>
      </c>
      <c r="I163" s="4">
        <v>46223</v>
      </c>
      <c r="J163" s="4">
        <v>46223</v>
      </c>
    </row>
    <row r="164" spans="1:10" x14ac:dyDescent="0.25">
      <c r="A164" s="3" t="s">
        <v>170</v>
      </c>
      <c r="B164" s="3" t="s">
        <v>21</v>
      </c>
      <c r="C164" s="3" t="s">
        <v>192</v>
      </c>
      <c r="D164" s="3" t="s">
        <v>194</v>
      </c>
      <c r="E164" s="3" t="s">
        <v>94</v>
      </c>
      <c r="F164" s="3"/>
      <c r="G164" s="3" t="s">
        <v>22</v>
      </c>
      <c r="H164" s="3"/>
      <c r="I164" s="3"/>
      <c r="J164" s="3"/>
    </row>
    <row r="165" spans="1:10" x14ac:dyDescent="0.25">
      <c r="A165" s="3" t="s">
        <v>170</v>
      </c>
      <c r="B165" s="3" t="s">
        <v>253</v>
      </c>
      <c r="C165" s="3" t="s">
        <v>192</v>
      </c>
      <c r="D165" s="3" t="s">
        <v>194</v>
      </c>
      <c r="E165" s="3" t="s">
        <v>94</v>
      </c>
      <c r="F165" s="3"/>
      <c r="G165" s="3" t="s">
        <v>22</v>
      </c>
      <c r="H165" s="3"/>
      <c r="I165" s="4">
        <v>46224</v>
      </c>
      <c r="J165" s="4">
        <v>46224</v>
      </c>
    </row>
    <row r="166" spans="1:10" x14ac:dyDescent="0.25">
      <c r="A166" s="3" t="s">
        <v>170</v>
      </c>
      <c r="B166" s="3" t="s">
        <v>20</v>
      </c>
      <c r="C166" s="3" t="s">
        <v>192</v>
      </c>
      <c r="D166" s="3" t="s">
        <v>194</v>
      </c>
      <c r="E166" s="3" t="s">
        <v>94</v>
      </c>
      <c r="F166" s="3"/>
      <c r="G166" s="3" t="s">
        <v>22</v>
      </c>
      <c r="H166" s="4">
        <v>46224</v>
      </c>
      <c r="I166" s="4">
        <v>46223</v>
      </c>
      <c r="J166" s="4">
        <v>46223</v>
      </c>
    </row>
    <row r="167" spans="1:10" x14ac:dyDescent="0.25">
      <c r="A167" s="3" t="s">
        <v>170</v>
      </c>
      <c r="B167" s="3" t="s">
        <v>21</v>
      </c>
      <c r="C167" s="3" t="s">
        <v>195</v>
      </c>
      <c r="D167" s="3" t="s">
        <v>194</v>
      </c>
      <c r="E167" s="3" t="s">
        <v>134</v>
      </c>
      <c r="F167" s="3"/>
      <c r="G167" s="3" t="s">
        <v>22</v>
      </c>
      <c r="H167" s="3"/>
      <c r="I167" s="3"/>
      <c r="J167" s="3"/>
    </row>
    <row r="168" spans="1:10" x14ac:dyDescent="0.25">
      <c r="A168" s="3" t="s">
        <v>170</v>
      </c>
      <c r="B168" s="3" t="s">
        <v>253</v>
      </c>
      <c r="C168" s="3" t="s">
        <v>195</v>
      </c>
      <c r="D168" s="3" t="s">
        <v>194</v>
      </c>
      <c r="E168" s="3" t="s">
        <v>134</v>
      </c>
      <c r="F168" s="3"/>
      <c r="G168" s="3" t="s">
        <v>22</v>
      </c>
      <c r="H168" s="3"/>
      <c r="I168" s="4">
        <v>46225</v>
      </c>
      <c r="J168" s="4">
        <v>46225</v>
      </c>
    </row>
    <row r="169" spans="1:10" x14ac:dyDescent="0.25">
      <c r="A169" s="3" t="s">
        <v>170</v>
      </c>
      <c r="B169" s="3" t="s">
        <v>20</v>
      </c>
      <c r="C169" s="3" t="s">
        <v>195</v>
      </c>
      <c r="D169" s="3" t="s">
        <v>194</v>
      </c>
      <c r="E169" s="3" t="s">
        <v>134</v>
      </c>
      <c r="F169" s="3"/>
      <c r="G169" s="3" t="s">
        <v>22</v>
      </c>
      <c r="H169" s="4">
        <v>46225</v>
      </c>
      <c r="I169" s="4">
        <v>46223</v>
      </c>
      <c r="J169" s="4">
        <v>46223</v>
      </c>
    </row>
    <row r="170" spans="1:10" x14ac:dyDescent="0.25">
      <c r="A170" s="3" t="s">
        <v>170</v>
      </c>
      <c r="B170" s="3" t="s">
        <v>21</v>
      </c>
      <c r="C170" s="3" t="s">
        <v>197</v>
      </c>
      <c r="D170" s="3" t="s">
        <v>103</v>
      </c>
      <c r="E170" s="3" t="s">
        <v>80</v>
      </c>
      <c r="F170" s="3"/>
      <c r="G170" s="3" t="s">
        <v>172</v>
      </c>
      <c r="H170" s="3"/>
      <c r="I170" s="3"/>
      <c r="J170" s="3"/>
    </row>
    <row r="171" spans="1:10" x14ac:dyDescent="0.25">
      <c r="A171" s="3" t="s">
        <v>170</v>
      </c>
      <c r="B171" s="3" t="s">
        <v>253</v>
      </c>
      <c r="C171" s="3" t="s">
        <v>197</v>
      </c>
      <c r="D171" s="3" t="s">
        <v>103</v>
      </c>
      <c r="E171" s="3" t="s">
        <v>80</v>
      </c>
      <c r="F171" s="3"/>
      <c r="G171" s="3" t="s">
        <v>172</v>
      </c>
      <c r="H171" s="3"/>
      <c r="I171" s="4">
        <v>46226</v>
      </c>
      <c r="J171" s="4">
        <v>46226</v>
      </c>
    </row>
    <row r="172" spans="1:10" x14ac:dyDescent="0.25">
      <c r="A172" s="3" t="s">
        <v>170</v>
      </c>
      <c r="B172" s="3" t="s">
        <v>20</v>
      </c>
      <c r="C172" s="3" t="s">
        <v>197</v>
      </c>
      <c r="D172" s="3" t="s">
        <v>103</v>
      </c>
      <c r="E172" s="3" t="s">
        <v>80</v>
      </c>
      <c r="F172" s="3"/>
      <c r="G172" s="3" t="s">
        <v>172</v>
      </c>
      <c r="H172" s="4">
        <v>46226</v>
      </c>
      <c r="I172" s="4">
        <v>46223</v>
      </c>
      <c r="J172" s="4">
        <v>46223</v>
      </c>
    </row>
    <row r="173" spans="1:10" x14ac:dyDescent="0.25">
      <c r="A173" s="3" t="s">
        <v>170</v>
      </c>
      <c r="B173" s="3" t="s">
        <v>21</v>
      </c>
      <c r="C173" s="3" t="s">
        <v>198</v>
      </c>
      <c r="D173" s="3" t="s">
        <v>93</v>
      </c>
      <c r="E173" s="3" t="s">
        <v>94</v>
      </c>
      <c r="F173" s="3"/>
      <c r="G173" s="3" t="s">
        <v>172</v>
      </c>
      <c r="H173" s="3"/>
      <c r="I173" s="3"/>
      <c r="J173" s="3"/>
    </row>
    <row r="174" spans="1:10" x14ac:dyDescent="0.25">
      <c r="A174" s="3" t="s">
        <v>170</v>
      </c>
      <c r="B174" s="3" t="s">
        <v>253</v>
      </c>
      <c r="C174" s="3" t="s">
        <v>198</v>
      </c>
      <c r="D174" s="3" t="s">
        <v>93</v>
      </c>
      <c r="E174" s="3" t="s">
        <v>94</v>
      </c>
      <c r="F174" s="3"/>
      <c r="G174" s="3" t="s">
        <v>172</v>
      </c>
      <c r="H174" s="3"/>
      <c r="I174" s="4">
        <v>46225</v>
      </c>
      <c r="J174" s="4">
        <v>46225</v>
      </c>
    </row>
    <row r="175" spans="1:10" x14ac:dyDescent="0.25">
      <c r="A175" s="3" t="s">
        <v>170</v>
      </c>
      <c r="B175" s="3" t="s">
        <v>20</v>
      </c>
      <c r="C175" s="3" t="s">
        <v>198</v>
      </c>
      <c r="D175" s="3" t="s">
        <v>93</v>
      </c>
      <c r="E175" s="3" t="s">
        <v>94</v>
      </c>
      <c r="F175" s="3"/>
      <c r="G175" s="3" t="s">
        <v>172</v>
      </c>
      <c r="H175" s="4">
        <v>46225</v>
      </c>
      <c r="I175" s="4">
        <v>46223</v>
      </c>
      <c r="J175" s="4">
        <v>46223</v>
      </c>
    </row>
    <row r="176" spans="1:10" x14ac:dyDescent="0.25">
      <c r="A176" s="3" t="s">
        <v>170</v>
      </c>
      <c r="B176" s="3" t="s">
        <v>21</v>
      </c>
      <c r="C176" s="3" t="s">
        <v>199</v>
      </c>
      <c r="D176" s="3" t="s">
        <v>103</v>
      </c>
      <c r="E176" s="3" t="s">
        <v>134</v>
      </c>
      <c r="F176" s="3"/>
      <c r="G176" s="3" t="s">
        <v>22</v>
      </c>
      <c r="H176" s="3"/>
      <c r="I176" s="3"/>
      <c r="J176" s="3"/>
    </row>
    <row r="177" spans="1:10" x14ac:dyDescent="0.25">
      <c r="A177" s="3" t="s">
        <v>170</v>
      </c>
      <c r="B177" s="3" t="s">
        <v>253</v>
      </c>
      <c r="C177" s="3" t="s">
        <v>199</v>
      </c>
      <c r="D177" s="3" t="s">
        <v>103</v>
      </c>
      <c r="E177" s="3" t="s">
        <v>134</v>
      </c>
      <c r="F177" s="3"/>
      <c r="G177" s="3" t="s">
        <v>22</v>
      </c>
      <c r="H177" s="3"/>
      <c r="I177" s="4">
        <v>46225</v>
      </c>
      <c r="J177" s="4">
        <v>46225</v>
      </c>
    </row>
    <row r="178" spans="1:10" x14ac:dyDescent="0.25">
      <c r="A178" s="3" t="s">
        <v>170</v>
      </c>
      <c r="B178" s="3" t="s">
        <v>20</v>
      </c>
      <c r="C178" s="3" t="s">
        <v>199</v>
      </c>
      <c r="D178" s="3" t="s">
        <v>103</v>
      </c>
      <c r="E178" s="3" t="s">
        <v>134</v>
      </c>
      <c r="F178" s="3"/>
      <c r="G178" s="3" t="s">
        <v>22</v>
      </c>
      <c r="H178" s="4">
        <v>46225</v>
      </c>
      <c r="I178" s="4">
        <v>46230</v>
      </c>
      <c r="J178" s="4">
        <v>46230</v>
      </c>
    </row>
    <row r="179" spans="1:10" x14ac:dyDescent="0.25">
      <c r="A179" s="3" t="s">
        <v>170</v>
      </c>
      <c r="B179" s="3" t="s">
        <v>21</v>
      </c>
      <c r="C179" s="3" t="s">
        <v>200</v>
      </c>
      <c r="D179" s="3" t="s">
        <v>131</v>
      </c>
      <c r="E179" s="3"/>
      <c r="F179" s="3"/>
      <c r="G179" s="3"/>
      <c r="H179" s="3"/>
      <c r="I179" s="3"/>
      <c r="J179" s="3"/>
    </row>
    <row r="180" spans="1:10" x14ac:dyDescent="0.25">
      <c r="A180" s="3" t="s">
        <v>170</v>
      </c>
      <c r="B180" s="3" t="s">
        <v>253</v>
      </c>
      <c r="C180" s="3" t="s">
        <v>200</v>
      </c>
      <c r="D180" s="3" t="s">
        <v>131</v>
      </c>
      <c r="E180" s="3"/>
      <c r="F180" s="3"/>
      <c r="G180" s="3"/>
      <c r="H180" s="3"/>
      <c r="I180" s="3"/>
      <c r="J180" s="3"/>
    </row>
    <row r="181" spans="1:10" x14ac:dyDescent="0.25">
      <c r="A181" s="3" t="s">
        <v>170</v>
      </c>
      <c r="B181" s="3" t="s">
        <v>20</v>
      </c>
      <c r="C181" s="3" t="s">
        <v>200</v>
      </c>
      <c r="D181" s="3" t="s">
        <v>131</v>
      </c>
      <c r="E181" s="3"/>
      <c r="F181" s="3"/>
      <c r="G181" s="3"/>
      <c r="H181" s="3"/>
      <c r="I181" s="3"/>
      <c r="J181" s="3"/>
    </row>
    <row r="182" spans="1:10" x14ac:dyDescent="0.25">
      <c r="A182" s="3" t="s">
        <v>170</v>
      </c>
      <c r="B182" s="3" t="s">
        <v>21</v>
      </c>
      <c r="C182" s="3" t="s">
        <v>206</v>
      </c>
      <c r="D182" s="3" t="s">
        <v>111</v>
      </c>
      <c r="E182" s="3"/>
      <c r="F182" s="3"/>
      <c r="G182" s="3"/>
      <c r="H182" s="3"/>
      <c r="I182" s="3"/>
      <c r="J182" s="3"/>
    </row>
    <row r="183" spans="1:10" x14ac:dyDescent="0.25">
      <c r="A183" s="3" t="s">
        <v>170</v>
      </c>
      <c r="B183" s="3" t="s">
        <v>253</v>
      </c>
      <c r="C183" s="3" t="s">
        <v>206</v>
      </c>
      <c r="D183" s="3" t="s">
        <v>111</v>
      </c>
      <c r="E183" s="3"/>
      <c r="F183" s="3"/>
      <c r="G183" s="3"/>
      <c r="H183" s="3"/>
      <c r="I183" s="3"/>
      <c r="J183" s="3"/>
    </row>
    <row r="184" spans="1:10" x14ac:dyDescent="0.25">
      <c r="A184" s="3" t="s">
        <v>170</v>
      </c>
      <c r="B184" s="3" t="s">
        <v>20</v>
      </c>
      <c r="C184" s="3" t="s">
        <v>206</v>
      </c>
      <c r="D184" s="3" t="s">
        <v>111</v>
      </c>
      <c r="E184" s="3"/>
      <c r="F184" s="3"/>
      <c r="G184" s="3"/>
      <c r="H184" s="3"/>
      <c r="I184" s="3"/>
      <c r="J184" s="3"/>
    </row>
  </sheetData>
  <sheetProtection sheet="1"/>
  <autoFilter ref="A2:J156" xr:uid="{00000000-0009-0000-0000-000004000000}"/>
  <mergeCells count="1">
    <mergeCell ref="A1:J1"/>
  </mergeCells>
  <pageMargins left="0.75" right="0.75" top="1" bottom="1" header="0.511811023622047" footer="0.5"/>
  <pageSetup paperSize="9" orientation="portrait" horizontalDpi="300" verticalDpi="300"/>
  <headerFooter>
    <oddFooter>&amp;L&amp;"Aptos,Regular"&amp;10 _x000D_# This content is for internal use only_x000D_&amp;1#&amp;"Aptos"&amp;10 &amp;K000000 This content is for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C15"/>
  <sheetViews>
    <sheetView zoomScaleNormal="100" workbookViewId="0">
      <pane ySplit="2" topLeftCell="A3" activePane="bottomLeft" state="frozen"/>
      <selection pane="bottomLeft" activeCell="F11" sqref="F11"/>
    </sheetView>
  </sheetViews>
  <sheetFormatPr defaultColWidth="8.7109375" defaultRowHeight="15" x14ac:dyDescent="0.25"/>
  <cols>
    <col min="1" max="3" width="22" customWidth="1"/>
  </cols>
  <sheetData>
    <row r="1" spans="1:3" ht="14.25" customHeight="1" x14ac:dyDescent="0.25">
      <c r="A1" s="78" t="s">
        <v>255</v>
      </c>
      <c r="B1" s="69"/>
      <c r="C1" s="69"/>
    </row>
    <row r="2" spans="1:3" ht="14.25" customHeight="1" x14ac:dyDescent="0.25">
      <c r="A2" s="8" t="s">
        <v>46</v>
      </c>
      <c r="B2" s="8" t="s">
        <v>256</v>
      </c>
      <c r="C2" s="8" t="s">
        <v>251</v>
      </c>
    </row>
    <row r="3" spans="1:3" ht="14.25" customHeight="1" x14ac:dyDescent="0.25">
      <c r="A3" s="11" t="s">
        <v>76</v>
      </c>
      <c r="B3" s="11">
        <v>8</v>
      </c>
      <c r="C3" s="12">
        <v>46142</v>
      </c>
    </row>
    <row r="4" spans="1:3" ht="14.25" customHeight="1" x14ac:dyDescent="0.25">
      <c r="A4" s="11" t="s">
        <v>76</v>
      </c>
      <c r="B4" s="11">
        <v>10</v>
      </c>
      <c r="C4" s="12">
        <v>46172</v>
      </c>
    </row>
    <row r="5" spans="1:3" ht="14.25" customHeight="1" x14ac:dyDescent="0.25">
      <c r="A5" s="11" t="s">
        <v>76</v>
      </c>
      <c r="B5" s="11">
        <v>9</v>
      </c>
      <c r="C5" s="12">
        <v>46203</v>
      </c>
    </row>
    <row r="6" spans="1:3" ht="14.25" customHeight="1" x14ac:dyDescent="0.25">
      <c r="A6" s="11" t="s">
        <v>170</v>
      </c>
      <c r="B6" s="11">
        <v>15</v>
      </c>
      <c r="C6" s="12">
        <v>46233</v>
      </c>
    </row>
    <row r="7" spans="1:3" ht="14.25" customHeight="1" x14ac:dyDescent="0.25">
      <c r="A7" s="11" t="s">
        <v>170</v>
      </c>
      <c r="B7" s="11">
        <v>15</v>
      </c>
      <c r="C7" s="12">
        <v>46264</v>
      </c>
    </row>
    <row r="8" spans="1:3" ht="14.25" customHeight="1" x14ac:dyDescent="0.25">
      <c r="A8" s="11" t="s">
        <v>170</v>
      </c>
      <c r="B8" s="11">
        <v>17</v>
      </c>
      <c r="C8" s="12">
        <v>46295</v>
      </c>
    </row>
    <row r="9" spans="1:3" ht="14.25" customHeight="1" x14ac:dyDescent="0.25">
      <c r="A9" s="11" t="s">
        <v>170</v>
      </c>
      <c r="B9" s="11">
        <v>20</v>
      </c>
      <c r="C9" s="12">
        <v>46325</v>
      </c>
    </row>
    <row r="10" spans="1:3" ht="14.25" customHeight="1" x14ac:dyDescent="0.25">
      <c r="A10" s="11" t="s">
        <v>170</v>
      </c>
      <c r="B10" s="11">
        <v>20</v>
      </c>
      <c r="C10" s="12">
        <v>46356</v>
      </c>
    </row>
    <row r="11" spans="1:3" ht="14.25" customHeight="1" x14ac:dyDescent="0.25">
      <c r="A11" s="11" t="s">
        <v>257</v>
      </c>
      <c r="B11" s="11">
        <v>18</v>
      </c>
      <c r="C11" s="12">
        <v>46386</v>
      </c>
    </row>
    <row r="12" spans="1:3" ht="14.25" customHeight="1" x14ac:dyDescent="0.25">
      <c r="A12" s="11" t="s">
        <v>257</v>
      </c>
      <c r="B12" s="11">
        <v>18</v>
      </c>
      <c r="C12" s="12">
        <v>46417</v>
      </c>
    </row>
    <row r="13" spans="1:3" ht="14.25" customHeight="1" x14ac:dyDescent="0.25">
      <c r="A13" s="11" t="s">
        <v>257</v>
      </c>
      <c r="B13" s="11">
        <v>19</v>
      </c>
      <c r="C13" s="12">
        <v>46446</v>
      </c>
    </row>
    <row r="14" spans="1:3" ht="14.25" customHeight="1" x14ac:dyDescent="0.25">
      <c r="A14" s="11" t="s">
        <v>258</v>
      </c>
      <c r="B14" s="11">
        <v>9</v>
      </c>
      <c r="C14" s="12">
        <v>46476</v>
      </c>
    </row>
    <row r="15" spans="1:3" ht="14.25" customHeight="1" x14ac:dyDescent="0.25">
      <c r="A15" s="11" t="s">
        <v>259</v>
      </c>
      <c r="B15" s="11">
        <v>8</v>
      </c>
      <c r="C15" s="12">
        <v>46476</v>
      </c>
    </row>
  </sheetData>
  <autoFilter ref="A2:C15" xr:uid="{00000000-0009-0000-0000-000005000000}"/>
  <mergeCells count="1">
    <mergeCell ref="A1:C1"/>
  </mergeCells>
  <pageMargins left="0.75" right="0.75" top="1" bottom="1" header="0.511811023622047" footer="0.5"/>
  <pageSetup paperSize="9" orientation="portrait" horizontalDpi="300" verticalDpi="300"/>
  <headerFooter>
    <oddFooter>&amp;L&amp;"Aptos,Regular"&amp;10 _x000D_# This content is for internal use only_x000D_&amp;1#&amp;"Aptos"&amp;10 &amp;K000000 This content is for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L13"/>
  <sheetViews>
    <sheetView zoomScaleNormal="100" workbookViewId="0">
      <selection activeCell="D19" sqref="D19"/>
    </sheetView>
  </sheetViews>
  <sheetFormatPr defaultColWidth="8.7109375" defaultRowHeight="15" x14ac:dyDescent="0.25"/>
  <cols>
    <col min="1" max="1" width="26" customWidth="1"/>
    <col min="2" max="3" width="14" customWidth="1"/>
    <col min="4" max="5" width="10" customWidth="1"/>
    <col min="6" max="6" width="18" customWidth="1"/>
    <col min="7" max="7" width="16" customWidth="1"/>
    <col min="8" max="8" width="14" customWidth="1"/>
    <col min="10" max="11" width="16" customWidth="1"/>
    <col min="12" max="12" width="20" customWidth="1"/>
  </cols>
  <sheetData>
    <row r="1" spans="1:12" ht="15" customHeight="1" x14ac:dyDescent="0.25">
      <c r="A1" s="1" t="s">
        <v>46</v>
      </c>
      <c r="B1" s="1" t="s">
        <v>51</v>
      </c>
      <c r="C1" s="1" t="s">
        <v>52</v>
      </c>
      <c r="D1" s="1" t="s">
        <v>50</v>
      </c>
      <c r="E1" s="1" t="s">
        <v>260</v>
      </c>
      <c r="F1" s="1" t="s">
        <v>47</v>
      </c>
      <c r="G1" s="5" t="s">
        <v>261</v>
      </c>
      <c r="H1" s="5" t="s">
        <v>53</v>
      </c>
      <c r="I1" t="s">
        <v>73</v>
      </c>
      <c r="J1" s="35" t="s">
        <v>262</v>
      </c>
      <c r="K1" s="35" t="s">
        <v>254</v>
      </c>
      <c r="L1" s="35" t="s">
        <v>8</v>
      </c>
    </row>
    <row r="2" spans="1:12" ht="13.5" customHeight="1" x14ac:dyDescent="0.25">
      <c r="A2" s="2" t="s">
        <v>263</v>
      </c>
      <c r="B2" s="2" t="s">
        <v>264</v>
      </c>
      <c r="C2" s="2" t="s">
        <v>265</v>
      </c>
      <c r="D2" s="2" t="s">
        <v>266</v>
      </c>
      <c r="E2" s="2" t="s">
        <v>267</v>
      </c>
      <c r="F2" s="2" t="s">
        <v>268</v>
      </c>
      <c r="G2" t="s">
        <v>269</v>
      </c>
      <c r="H2" t="s">
        <v>270</v>
      </c>
      <c r="I2" t="s">
        <v>271</v>
      </c>
      <c r="J2" s="36" t="s">
        <v>272</v>
      </c>
      <c r="K2" s="36" t="s">
        <v>273</v>
      </c>
      <c r="L2" s="36" t="s">
        <v>274</v>
      </c>
    </row>
    <row r="3" spans="1:12" ht="15" customHeight="1" x14ac:dyDescent="0.25">
      <c r="A3" t="s">
        <v>76</v>
      </c>
      <c r="B3" t="s">
        <v>79</v>
      </c>
      <c r="C3" t="s">
        <v>94</v>
      </c>
      <c r="D3" t="s">
        <v>172</v>
      </c>
      <c r="E3" t="s">
        <v>84</v>
      </c>
      <c r="F3" t="s">
        <v>204</v>
      </c>
      <c r="G3" t="s">
        <v>79</v>
      </c>
      <c r="H3" t="s">
        <v>81</v>
      </c>
      <c r="I3" t="s">
        <v>26</v>
      </c>
      <c r="J3" t="s">
        <v>21</v>
      </c>
      <c r="K3" t="s">
        <v>83</v>
      </c>
      <c r="L3" t="s">
        <v>26</v>
      </c>
    </row>
    <row r="4" spans="1:12" ht="15" customHeight="1" x14ac:dyDescent="0.25">
      <c r="A4" t="s">
        <v>170</v>
      </c>
      <c r="B4" t="s">
        <v>93</v>
      </c>
      <c r="C4" t="s">
        <v>80</v>
      </c>
      <c r="D4" t="s">
        <v>22</v>
      </c>
      <c r="E4" t="s">
        <v>26</v>
      </c>
      <c r="F4" t="s">
        <v>21</v>
      </c>
      <c r="G4" t="s">
        <v>93</v>
      </c>
      <c r="H4" t="s">
        <v>119</v>
      </c>
      <c r="I4" t="s">
        <v>275</v>
      </c>
      <c r="J4" t="s">
        <v>253</v>
      </c>
      <c r="L4" t="s">
        <v>84</v>
      </c>
    </row>
    <row r="5" spans="1:12" ht="15" customHeight="1" x14ac:dyDescent="0.25">
      <c r="A5" t="s">
        <v>257</v>
      </c>
      <c r="B5" t="s">
        <v>25</v>
      </c>
      <c r="C5" t="s">
        <v>134</v>
      </c>
      <c r="F5" t="s">
        <v>253</v>
      </c>
      <c r="G5" t="s">
        <v>25</v>
      </c>
      <c r="H5" t="s">
        <v>172</v>
      </c>
      <c r="I5" t="s">
        <v>184</v>
      </c>
      <c r="J5" t="s">
        <v>20</v>
      </c>
      <c r="L5" t="s">
        <v>24</v>
      </c>
    </row>
    <row r="6" spans="1:12" ht="15" customHeight="1" x14ac:dyDescent="0.25">
      <c r="A6" t="s">
        <v>258</v>
      </c>
      <c r="B6" t="s">
        <v>111</v>
      </c>
      <c r="F6" t="s">
        <v>20</v>
      </c>
      <c r="G6" t="s">
        <v>111</v>
      </c>
      <c r="H6" t="s">
        <v>22</v>
      </c>
      <c r="I6" t="s">
        <v>174</v>
      </c>
      <c r="J6" t="s">
        <v>254</v>
      </c>
    </row>
    <row r="7" spans="1:12" ht="15" customHeight="1" x14ac:dyDescent="0.25">
      <c r="A7" t="s">
        <v>259</v>
      </c>
      <c r="B7" t="s">
        <v>163</v>
      </c>
      <c r="F7" t="s">
        <v>254</v>
      </c>
      <c r="G7" t="s">
        <v>163</v>
      </c>
      <c r="I7" t="s">
        <v>276</v>
      </c>
    </row>
    <row r="8" spans="1:12" ht="15" customHeight="1" x14ac:dyDescent="0.25">
      <c r="B8" t="s">
        <v>103</v>
      </c>
      <c r="F8" t="s">
        <v>78</v>
      </c>
      <c r="G8" t="s">
        <v>103</v>
      </c>
      <c r="I8" t="s">
        <v>277</v>
      </c>
    </row>
    <row r="9" spans="1:12" ht="15" customHeight="1" x14ac:dyDescent="0.25">
      <c r="B9" t="s">
        <v>131</v>
      </c>
      <c r="G9" t="s">
        <v>131</v>
      </c>
    </row>
    <row r="10" spans="1:12" ht="15" customHeight="1" x14ac:dyDescent="0.25">
      <c r="B10" t="s">
        <v>194</v>
      </c>
      <c r="G10" t="s">
        <v>194</v>
      </c>
    </row>
    <row r="11" spans="1:12" x14ac:dyDescent="0.25">
      <c r="G11" t="s">
        <v>94</v>
      </c>
    </row>
    <row r="12" spans="1:12" x14ac:dyDescent="0.25">
      <c r="G12" t="s">
        <v>80</v>
      </c>
    </row>
    <row r="13" spans="1:12" x14ac:dyDescent="0.25">
      <c r="G13" t="s">
        <v>134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&amp;L&amp;"Aptos"&amp;10 &amp;K000000_x000D_# This content is for internal use only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READ ME FIRST</vt:lpstr>
      <vt:lpstr>Combined Delivery Data</vt:lpstr>
      <vt:lpstr>Find a Report</vt:lpstr>
      <vt:lpstr>Rework Log</vt:lpstr>
      <vt:lpstr>Fact Table</vt:lpstr>
      <vt:lpstr>Dim Table</vt:lpstr>
      <vt:lpstr>Data Validation</vt:lpstr>
      <vt:lpstr>DB_Dev_List</vt:lpstr>
      <vt:lpstr>DPO_Approval_List</vt:lpstr>
      <vt:lpstr>PBI_Dev_List</vt:lpstr>
      <vt:lpstr>QA_List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Bella Brook</cp:lastModifiedBy>
  <cp:revision>0</cp:revision>
  <dcterms:created xsi:type="dcterms:W3CDTF">2026-07-21T14:32:59Z</dcterms:created>
  <dcterms:modified xsi:type="dcterms:W3CDTF">2026-07-30T03:50:19Z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0x010100EC4A9A80021CA64FA26BF7E6361FF67B</vt:lpwstr>
  </property>
  <property fmtid="{D5CDD505-2E9C-101B-9397-08002B2CF9AE}" pid="3" name="MSIP_Label_8bd75a54-f2be-4ffa-b165-74c609d83991_Enabled">
    <vt:lpwstr>true</vt:lpwstr>
  </property>
  <property fmtid="{D5CDD505-2E9C-101B-9397-08002B2CF9AE}" pid="4" name="MSIP_Label_8bd75a54-f2be-4ffa-b165-74c609d83991_SetDate">
    <vt:lpwstr>2026-07-21T20:46:14Z</vt:lpwstr>
  </property>
  <property fmtid="{D5CDD505-2E9C-101B-9397-08002B2CF9AE}" pid="5" name="MSIP_Label_8bd75a54-f2be-4ffa-b165-74c609d83991_Method">
    <vt:lpwstr>Standard</vt:lpwstr>
  </property>
  <property fmtid="{D5CDD505-2E9C-101B-9397-08002B2CF9AE}" pid="6" name="MSIP_Label_8bd75a54-f2be-4ffa-b165-74c609d83991_Name">
    <vt:lpwstr>Internal use only</vt:lpwstr>
  </property>
  <property fmtid="{D5CDD505-2E9C-101B-9397-08002B2CF9AE}" pid="7" name="MSIP_Label_8bd75a54-f2be-4ffa-b165-74c609d83991_SiteId">
    <vt:lpwstr>f98a6a53-25f3-4212-901c-c7787fcd3495</vt:lpwstr>
  </property>
  <property fmtid="{D5CDD505-2E9C-101B-9397-08002B2CF9AE}" pid="8" name="MSIP_Label_8bd75a54-f2be-4ffa-b165-74c609d83991_ActionId">
    <vt:lpwstr>c5162870-5a3f-42c9-89f6-4aa8cb35f675</vt:lpwstr>
  </property>
  <property fmtid="{D5CDD505-2E9C-101B-9397-08002B2CF9AE}" pid="9" name="MSIP_Label_8bd75a54-f2be-4ffa-b165-74c609d83991_ContentBits">
    <vt:lpwstr>0</vt:lpwstr>
  </property>
  <property fmtid="{D5CDD505-2E9C-101B-9397-08002B2CF9AE}" pid="10" name="MSIP_Label_8bd75a54-f2be-4ffa-b165-74c609d83991_Tag">
    <vt:lpwstr>10, 3, 0, 2</vt:lpwstr>
  </property>
</Properties>
</file>