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3" autoFilterDateGrouping="1"/>
  </bookViews>
  <sheets>
    <sheet xmlns:r="http://schemas.openxmlformats.org/officeDocument/2006/relationships" name="CMS PBI RPT View Details" sheetId="1" state="hidden" r:id="rId1"/>
    <sheet xmlns:r="http://schemas.openxmlformats.org/officeDocument/2006/relationships" name="Report Migration Status" sheetId="2" state="hidden" r:id="rId2"/>
    <sheet xmlns:r="http://schemas.openxmlformats.org/officeDocument/2006/relationships" name="Leaks PBI RPT View Details " sheetId="3" state="hidden" r:id="rId3"/>
    <sheet xmlns:r="http://schemas.openxmlformats.org/officeDocument/2006/relationships" name="Fact Table" sheetId="4" state="visible" r:id="rId4"/>
    <sheet xmlns:r="http://schemas.openxmlformats.org/officeDocument/2006/relationships" name="Dim Table" sheetId="5" state="visible" r:id="rId5"/>
    <sheet xmlns:r="http://schemas.openxmlformats.org/officeDocument/2006/relationships" name="Sheet3" sheetId="6" state="visible" r:id="rId6"/>
    <sheet xmlns:r="http://schemas.openxmlformats.org/officeDocument/2006/relationships" name="Timeline Chart" sheetId="7" state="visible" r:id="rId7"/>
  </sheets>
  <definedNames>
    <definedName name="_xlnm._FilterDatabase" localSheetId="0" hidden="1">'CMS PBI RPT View Details'!$A$1:$K$11</definedName>
    <definedName name="_xlnm._FilterDatabase" localSheetId="2" hidden="1">'Leaks PBI RPT View Details '!$A$1:$K$14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Aptos"/>
      <family val="2"/>
      <color theme="1"/>
      <sz val="10"/>
    </font>
    <font>
      <name val="Aptos"/>
      <family val="2"/>
      <b val="1"/>
      <color theme="1"/>
      <sz val="10"/>
    </font>
    <font>
      <name val="Aptos Narrow"/>
      <family val="2"/>
      <color theme="1"/>
      <sz val="11"/>
      <scheme val="minor"/>
    </font>
    <font>
      <name val="Aptos Narrow"/>
      <family val="2"/>
      <strike val="1"/>
      <color theme="1"/>
      <sz val="11"/>
      <scheme val="minor"/>
    </font>
    <font>
      <name val="Aptos Narrow"/>
      <family val="2"/>
      <b val="1"/>
      <strike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Calibri"/>
      <family val="2"/>
      <color rgb="FF000000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11"/>
      <scheme val="minor"/>
    </font>
    <font>
      <name val="Aptos"/>
      <family val="2"/>
      <b val="1"/>
      <color rgb="FF1F3864"/>
      <sz val="14"/>
    </font>
    <font>
      <name val="Aptos"/>
      <family val="2"/>
      <b val="1"/>
      <color theme="1"/>
      <sz val="11"/>
    </font>
    <font>
      <name val="Aptos"/>
      <family val="2"/>
      <b val="1"/>
      <color rgb="FFFFFFFF"/>
      <sz val="10"/>
    </font>
  </fonts>
  <fills count="11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DDEBF7"/>
        <bgColor indexed="64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medium">
        <color rgb="FF000000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medium">
        <color rgb="FF000000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/>
      <top style="thin">
        <color rgb="FFE0E0E0"/>
      </top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E0E0E0"/>
      </right>
      <top style="medium">
        <color rgb="FF000000"/>
      </top>
      <bottom style="medium">
        <color rgb="FF000000"/>
      </bottom>
      <diagonal/>
    </border>
    <border>
      <left style="thin">
        <color rgb="FFE0E0E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2E75B6"/>
      </left>
      <right style="thin">
        <color rgb="FF44B3E1"/>
      </right>
      <top style="medium">
        <color rgb="FF2E75B6"/>
      </top>
      <bottom style="thin">
        <color rgb="FF44B3E1"/>
      </bottom>
      <diagonal/>
    </border>
    <border>
      <left style="medium">
        <color rgb="FF2E75B6"/>
      </left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2E75B6"/>
      </left>
      <right style="thin">
        <color rgb="FF44B3E1"/>
      </right>
      <top style="thin">
        <color rgb="FF44B3E1"/>
      </top>
      <bottom style="medium">
        <color rgb="FF2E75B6"/>
      </bottom>
      <diagonal/>
    </border>
    <border>
      <left style="thin">
        <color rgb="FF44B3E1"/>
      </left>
      <right style="medium">
        <color rgb="FF2E75B6"/>
      </right>
      <top style="medium">
        <color rgb="FF2E75B6"/>
      </top>
      <bottom style="thin">
        <color rgb="FF44B3E1"/>
      </bottom>
      <diagonal/>
    </border>
    <border>
      <left style="thin">
        <color rgb="FF44B3E1"/>
      </left>
      <right style="medium">
        <color rgb="FF2E75B6"/>
      </right>
      <top style="thin">
        <color rgb="FF44B3E1"/>
      </top>
      <bottom style="thin">
        <color rgb="FF44B3E1"/>
      </bottom>
      <diagonal/>
    </border>
    <border>
      <left style="thin">
        <color rgb="FF44B3E1"/>
      </left>
      <right style="medium">
        <color rgb="FF2E75B6"/>
      </right>
      <top style="thin">
        <color rgb="FF44B3E1"/>
      </top>
      <bottom style="medium">
        <color rgb="FF2E75B6"/>
      </bottom>
      <diagonal/>
    </border>
    <border>
      <left/>
      <right/>
      <top style="medium">
        <color rgb="FF2E75B6"/>
      </top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2E75B6"/>
      </bottom>
      <diagonal/>
    </border>
    <border>
      <left style="thin">
        <color rgb="FFE0E0E0"/>
      </left>
      <right style="thin">
        <color rgb="FFE0E0E0"/>
      </right>
      <top/>
      <bottom style="medium">
        <color rgb="FF2E75B6"/>
      </bottom>
      <diagonal/>
    </border>
    <border>
      <left style="thin">
        <color rgb="FFE0E0E0"/>
      </left>
      <right/>
      <top/>
      <bottom style="medium">
        <color rgb="FF2E75B6"/>
      </bottom>
      <diagonal/>
    </border>
    <border>
      <left style="medium">
        <color rgb="FF2E75B6"/>
      </left>
      <right/>
      <top style="medium">
        <color rgb="FF2E75B6"/>
      </top>
      <bottom/>
      <diagonal/>
    </border>
    <border>
      <left style="medium">
        <color rgb="FF2E75B6"/>
      </left>
      <right style="thin">
        <color rgb="FFE0E0E0"/>
      </right>
      <top style="medium">
        <color rgb="FF000000"/>
      </top>
      <bottom style="medium">
        <color rgb="FF000000"/>
      </bottom>
      <diagonal/>
    </border>
    <border>
      <left style="medium">
        <color rgb="FF2E75B6"/>
      </left>
      <right style="thin">
        <color rgb="FFE0E0E0"/>
      </right>
      <top/>
      <bottom style="thin">
        <color rgb="FFE0E0E0"/>
      </bottom>
      <diagonal/>
    </border>
    <border>
      <left style="medium">
        <color rgb="FF2E75B6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FF2E75B6"/>
      </left>
      <right style="thin">
        <color rgb="FFE0E0E0"/>
      </right>
      <top style="thin">
        <color rgb="FFE0E0E0"/>
      </top>
      <bottom style="medium">
        <color rgb="FF2E75B6"/>
      </bottom>
      <diagonal/>
    </border>
    <border>
      <left/>
      <right style="medium">
        <color rgb="FF2E75B6"/>
      </right>
      <top style="medium">
        <color rgb="FF2E75B6"/>
      </top>
      <bottom/>
      <diagonal/>
    </border>
    <border>
      <left style="thin">
        <color rgb="FFE0E0E0"/>
      </left>
      <right style="medium">
        <color rgb="FF2E75B6"/>
      </right>
      <top/>
      <bottom style="thin">
        <color rgb="FFE0E0E0"/>
      </bottom>
      <diagonal/>
    </border>
    <border>
      <left style="thin">
        <color rgb="FFE0E0E0"/>
      </left>
      <right style="medium">
        <color rgb="FF2E75B6"/>
      </right>
      <top style="thin">
        <color rgb="FFE0E0E0"/>
      </top>
      <bottom style="thin">
        <color rgb="FFE0E0E0"/>
      </bottom>
      <diagonal/>
    </border>
    <border>
      <left/>
      <right style="medium">
        <color rgb="FF2E75B6"/>
      </right>
      <top style="thin">
        <color rgb="FFE0E0E0"/>
      </top>
      <bottom style="thin">
        <color rgb="FFE0E0E0"/>
      </bottom>
      <diagonal/>
    </border>
    <border>
      <left style="medium">
        <color rgb="FF000000"/>
      </left>
      <right style="medium">
        <color rgb="FF2E75B6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2E75B6"/>
      </right>
      <top style="medium">
        <color rgb="FF000000"/>
      </top>
      <bottom style="medium">
        <color rgb="FF2E75B6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0000"/>
      </left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</borders>
  <cellStyleXfs count="2">
    <xf numFmtId="0" fontId="0" fillId="0" borderId="0"/>
    <xf numFmtId="0" fontId="2" fillId="0" borderId="0"/>
  </cellStyleXfs>
  <cellXfs count="111">
    <xf numFmtId="0" fontId="0" fillId="0" borderId="0" pivotButton="0" quotePrefix="0" xfId="0"/>
    <xf numFmtId="16" fontId="0" fillId="0" borderId="0" pivotButton="0" quotePrefix="0" xfId="0"/>
    <xf numFmtId="0" fontId="2" fillId="2" borderId="1" applyAlignment="1" pivotButton="0" quotePrefix="0" xfId="1">
      <alignment horizontal="center" vertical="center"/>
    </xf>
    <xf numFmtId="0" fontId="2" fillId="0" borderId="1" applyAlignment="1" pivotButton="0" quotePrefix="0" xfId="1">
      <alignment horizontal="center" vertical="center"/>
    </xf>
    <xf numFmtId="0" fontId="2" fillId="0" borderId="0" applyAlignment="1" pivotButton="0" quotePrefix="0" xfId="1">
      <alignment horizontal="center" vertical="center"/>
    </xf>
    <xf numFmtId="0" fontId="2" fillId="0" borderId="1" pivotButton="0" quotePrefix="0" xfId="1"/>
    <xf numFmtId="0" fontId="2" fillId="0" borderId="1" applyAlignment="1" pivotButton="0" quotePrefix="0" xfId="1">
      <alignment horizontal="left"/>
    </xf>
    <xf numFmtId="0" fontId="2" fillId="0" borderId="0" pivotButton="0" quotePrefix="0" xfId="1"/>
    <xf numFmtId="0" fontId="3" fillId="0" borderId="1" pivotButton="0" quotePrefix="0" xfId="1"/>
    <xf numFmtId="0" fontId="4" fillId="0" borderId="1" pivotButton="0" quotePrefix="0" xfId="1"/>
    <xf numFmtId="0" fontId="3" fillId="0" borderId="0" pivotButton="0" quotePrefix="0" xfId="1"/>
    <xf numFmtId="0" fontId="2" fillId="0" borderId="1" applyAlignment="1" pivotButton="0" quotePrefix="0" xfId="1">
      <alignment vertical="top"/>
    </xf>
    <xf numFmtId="0" fontId="2" fillId="0" borderId="2" applyAlignment="1" pivotButton="0" quotePrefix="0" xfId="1">
      <alignment horizontal="left" vertical="center"/>
    </xf>
    <xf numFmtId="0" fontId="5" fillId="0" borderId="1" applyAlignment="1" pivotButton="0" quotePrefix="0" xfId="1">
      <alignment wrapText="1"/>
    </xf>
    <xf numFmtId="0" fontId="6" fillId="3" borderId="1" applyAlignment="1" pivotButton="0" quotePrefix="0" xfId="1">
      <alignment vertical="center"/>
    </xf>
    <xf numFmtId="14" fontId="2" fillId="0" borderId="1" pivotButton="0" quotePrefix="0" xfId="1"/>
    <xf numFmtId="0" fontId="2" fillId="0" borderId="1" applyAlignment="1" pivotButton="0" quotePrefix="0" xfId="1">
      <alignment vertical="center"/>
    </xf>
    <xf numFmtId="0" fontId="2" fillId="0" borderId="1" applyAlignment="1" pivotButton="0" quotePrefix="0" xfId="1">
      <alignment wrapText="1"/>
    </xf>
    <xf numFmtId="0" fontId="7" fillId="0" borderId="1" pivotButton="0" quotePrefix="0" xfId="1"/>
    <xf numFmtId="0" fontId="2" fillId="0" borderId="1" applyAlignment="1" pivotButton="0" quotePrefix="0" xfId="1">
      <alignment horizontal="left" vertical="center"/>
    </xf>
    <xf numFmtId="0" fontId="7" fillId="0" borderId="2" applyAlignment="1" pivotButton="0" quotePrefix="0" xfId="1">
      <alignment horizontal="left" vertical="center"/>
    </xf>
    <xf numFmtId="0" fontId="2" fillId="0" borderId="2" pivotButton="0" quotePrefix="0" xfId="1"/>
    <xf numFmtId="0" fontId="5" fillId="0" borderId="1" pivotButton="0" quotePrefix="0" xfId="1"/>
    <xf numFmtId="0" fontId="2" fillId="2" borderId="0" pivotButton="0" quotePrefix="0" xfId="1"/>
    <xf numFmtId="0" fontId="8" fillId="0" borderId="3" applyAlignment="1" pivotButton="0" quotePrefix="0" xfId="1">
      <alignment horizontal="center"/>
    </xf>
    <xf numFmtId="0" fontId="8" fillId="0" borderId="5" applyAlignment="1" pivotButton="0" quotePrefix="0" xfId="1">
      <alignment horizontal="center"/>
    </xf>
    <xf numFmtId="0" fontId="8" fillId="0" borderId="6" applyAlignment="1" pivotButton="0" quotePrefix="0" xfId="1">
      <alignment horizontal="center"/>
    </xf>
    <xf numFmtId="0" fontId="8" fillId="0" borderId="7" applyAlignment="1" pivotButton="0" quotePrefix="0" xfId="1">
      <alignment horizontal="center"/>
    </xf>
    <xf numFmtId="0" fontId="8" fillId="0" borderId="9" applyAlignment="1" pivotButton="0" quotePrefix="0" xfId="1">
      <alignment horizontal="center"/>
    </xf>
    <xf numFmtId="14" fontId="8" fillId="0" borderId="3" applyAlignment="1" pivotButton="0" quotePrefix="0" xfId="1">
      <alignment horizontal="center"/>
    </xf>
    <xf numFmtId="14" fontId="8" fillId="0" borderId="4" applyAlignment="1" pivotButton="0" quotePrefix="0" xfId="1">
      <alignment horizontal="center"/>
    </xf>
    <xf numFmtId="0" fontId="2" fillId="0" borderId="9" applyAlignment="1" pivotButton="0" quotePrefix="0" xfId="1">
      <alignment horizontal="center"/>
    </xf>
    <xf numFmtId="0" fontId="2" fillId="0" borderId="11" applyAlignment="1" pivotButton="0" quotePrefix="0" xfId="1">
      <alignment horizontal="center"/>
    </xf>
    <xf numFmtId="1" fontId="2" fillId="0" borderId="12" applyAlignment="1" pivotButton="0" quotePrefix="0" xfId="1">
      <alignment horizontal="center"/>
    </xf>
    <xf numFmtId="1" fontId="2" fillId="0" borderId="13" applyAlignment="1" pivotButton="0" quotePrefix="0" xfId="1">
      <alignment horizontal="center"/>
    </xf>
    <xf numFmtId="0" fontId="2" fillId="0" borderId="14" pivotButton="0" quotePrefix="0" xfId="1"/>
    <xf numFmtId="1" fontId="2" fillId="0" borderId="15" applyAlignment="1" pivotButton="0" quotePrefix="0" xfId="1">
      <alignment horizontal="center"/>
    </xf>
    <xf numFmtId="0" fontId="2" fillId="4" borderId="16" applyAlignment="1" pivotButton="0" quotePrefix="0" xfId="1">
      <alignment horizontal="center"/>
    </xf>
    <xf numFmtId="0" fontId="8" fillId="0" borderId="4" applyAlignment="1" pivotButton="0" quotePrefix="0" xfId="1">
      <alignment horizontal="center"/>
    </xf>
    <xf numFmtId="0" fontId="8" fillId="0" borderId="17" applyAlignment="1" pivotButton="0" quotePrefix="0" xfId="1">
      <alignment horizontal="center"/>
    </xf>
    <xf numFmtId="1" fontId="2" fillId="0" borderId="18" applyAlignment="1" pivotButton="0" quotePrefix="0" xfId="1">
      <alignment horizontal="center"/>
    </xf>
    <xf numFmtId="0" fontId="2" fillId="5" borderId="16" applyAlignment="1" pivotButton="0" quotePrefix="0" xfId="1">
      <alignment horizontal="center"/>
    </xf>
    <xf numFmtId="0" fontId="6" fillId="3" borderId="1" pivotButton="0" quotePrefix="0" xfId="1"/>
    <xf numFmtId="0" fontId="5" fillId="3" borderId="1" pivotButton="0" quotePrefix="0" xfId="1"/>
    <xf numFmtId="0" fontId="2" fillId="3" borderId="1" pivotButton="0" quotePrefix="0" xfId="1"/>
    <xf numFmtId="0" fontId="2" fillId="3" borderId="1" applyAlignment="1" pivotButton="0" quotePrefix="0" xfId="1">
      <alignment horizontal="left"/>
    </xf>
    <xf numFmtId="0" fontId="3" fillId="3" borderId="1" pivotButton="0" quotePrefix="0" xfId="1"/>
    <xf numFmtId="0" fontId="2" fillId="3" borderId="1" applyAlignment="1" pivotButton="0" quotePrefix="0" xfId="1">
      <alignment vertical="top"/>
    </xf>
    <xf numFmtId="0" fontId="0" fillId="8" borderId="20" pivotButton="0" quotePrefix="0" xfId="0"/>
    <xf numFmtId="0" fontId="0" fillId="8" borderId="21" pivotButton="0" quotePrefix="0" xfId="0"/>
    <xf numFmtId="0" fontId="0" fillId="8" borderId="22" pivotButton="0" quotePrefix="0" xfId="0"/>
    <xf numFmtId="0" fontId="0" fillId="8" borderId="23" pivotButton="0" quotePrefix="0" xfId="0"/>
    <xf numFmtId="0" fontId="0" fillId="8" borderId="26" pivotButton="0" quotePrefix="0" xfId="0"/>
    <xf numFmtId="0" fontId="0" fillId="8" borderId="25" pivotButton="0" quotePrefix="0" xfId="0"/>
    <xf numFmtId="0" fontId="1" fillId="9" borderId="27" applyAlignment="1" pivotButton="0" quotePrefix="0" xfId="0">
      <alignment horizontal="center"/>
    </xf>
    <xf numFmtId="0" fontId="1" fillId="9" borderId="28" applyAlignment="1" pivotButton="0" quotePrefix="0" xfId="0">
      <alignment horizontal="center"/>
    </xf>
    <xf numFmtId="0" fontId="1" fillId="9" borderId="29" applyAlignment="1" pivotButton="0" quotePrefix="0" xfId="0">
      <alignment horizontal="center"/>
    </xf>
    <xf numFmtId="0" fontId="0" fillId="8" borderId="24" pivotButton="0" quotePrefix="0" xfId="0"/>
    <xf numFmtId="0" fontId="10" fillId="6" borderId="33" applyAlignment="1" pivotButton="0" quotePrefix="0" xfId="0">
      <alignment horizontal="left"/>
    </xf>
    <xf numFmtId="0" fontId="1" fillId="0" borderId="34" pivotButton="0" quotePrefix="0" xfId="0"/>
    <xf numFmtId="0" fontId="1" fillId="8" borderId="35" applyAlignment="1" pivotButton="0" quotePrefix="0" xfId="0">
      <alignment horizontal="right"/>
    </xf>
    <xf numFmtId="0" fontId="10" fillId="6" borderId="36" applyAlignment="1" pivotButton="0" quotePrefix="0" xfId="0">
      <alignment horizontal="right"/>
    </xf>
    <xf numFmtId="0" fontId="0" fillId="0" borderId="37" applyAlignment="1" pivotButton="0" quotePrefix="0" xfId="0">
      <alignment horizontal="right"/>
    </xf>
    <xf numFmtId="0" fontId="1" fillId="8" borderId="38" applyAlignment="1" pivotButton="0" quotePrefix="0" xfId="0">
      <alignment horizontal="right"/>
    </xf>
    <xf numFmtId="0" fontId="0" fillId="8" borderId="40" pivotButton="0" quotePrefix="0" xfId="0"/>
    <xf numFmtId="0" fontId="0" fillId="8" borderId="41" pivotButton="0" quotePrefix="0" xfId="0"/>
    <xf numFmtId="0" fontId="0" fillId="8" borderId="42" pivotButton="0" quotePrefix="0" xfId="0"/>
    <xf numFmtId="0" fontId="1" fillId="9" borderId="44" applyAlignment="1" pivotButton="0" quotePrefix="0" xfId="0">
      <alignment horizontal="center"/>
    </xf>
    <xf numFmtId="0" fontId="0" fillId="8" borderId="45" pivotButton="0" quotePrefix="0" xfId="0"/>
    <xf numFmtId="0" fontId="0" fillId="8" borderId="46" pivotButton="0" quotePrefix="0" xfId="0"/>
    <xf numFmtId="0" fontId="0" fillId="8" borderId="47" pivotButton="0" quotePrefix="0" xfId="0"/>
    <xf numFmtId="0" fontId="0" fillId="8" borderId="49" pivotButton="0" quotePrefix="0" xfId="0"/>
    <xf numFmtId="0" fontId="0" fillId="8" borderId="50" pivotButton="0" quotePrefix="0" xfId="0"/>
    <xf numFmtId="0" fontId="0" fillId="8" borderId="51" pivotButton="0" quotePrefix="0" xfId="0"/>
    <xf numFmtId="0" fontId="1" fillId="9" borderId="52" applyAlignment="1" pivotButton="0" quotePrefix="0" xfId="0">
      <alignment horizontal="center"/>
    </xf>
    <xf numFmtId="0" fontId="1" fillId="9" borderId="53" applyAlignment="1" pivotButton="0" quotePrefix="0" xfId="0">
      <alignment horizontal="center"/>
    </xf>
    <xf numFmtId="49" fontId="11" fillId="7" borderId="43" applyAlignment="1" pivotButton="0" quotePrefix="0" xfId="0">
      <alignment horizontal="center"/>
    </xf>
    <xf numFmtId="49" fontId="11" fillId="7" borderId="39" applyAlignment="1" pivotButton="0" quotePrefix="0" xfId="0">
      <alignment horizontal="center"/>
    </xf>
    <xf numFmtId="49" fontId="11" fillId="7" borderId="48" applyAlignment="1" pivotButton="0" quotePrefix="0" xfId="0">
      <alignment horizontal="center"/>
    </xf>
    <xf numFmtId="0" fontId="9" fillId="10" borderId="31" applyAlignment="1" pivotButton="0" quotePrefix="0" xfId="0">
      <alignment horizontal="center" vertical="center"/>
    </xf>
    <xf numFmtId="0" fontId="9" fillId="10" borderId="30" applyAlignment="1" pivotButton="0" quotePrefix="0" xfId="0">
      <alignment horizontal="center" vertical="center"/>
    </xf>
    <xf numFmtId="0" fontId="9" fillId="10" borderId="32" applyAlignment="1" pivotButton="0" quotePrefix="0" xfId="0">
      <alignment horizontal="center" vertical="center"/>
    </xf>
    <xf numFmtId="0" fontId="8" fillId="0" borderId="8" applyAlignment="1" pivotButton="0" quotePrefix="0" xfId="1">
      <alignment horizontal="center" vertical="center"/>
    </xf>
    <xf numFmtId="0" fontId="8" fillId="0" borderId="10" applyAlignment="1" pivotButton="0" quotePrefix="0" xfId="1">
      <alignment horizontal="center" vertical="center"/>
    </xf>
    <xf numFmtId="0" fontId="8" fillId="0" borderId="19" applyAlignment="1" pivotButton="0" quotePrefix="0" xfId="1">
      <alignment horizontal="center" vertical="center"/>
    </xf>
    <xf numFmtId="0" fontId="2" fillId="0" borderId="2" applyAlignment="1" pivotButton="0" quotePrefix="0" xfId="1">
      <alignment horizontal="right" vertical="center"/>
    </xf>
    <xf numFmtId="0" fontId="2" fillId="0" borderId="4" applyAlignment="1" pivotButton="0" quotePrefix="0" xfId="1">
      <alignment horizontal="right" vertical="center"/>
    </xf>
    <xf numFmtId="0" fontId="2" fillId="0" borderId="3" applyAlignment="1" pivotButton="0" quotePrefix="0" xfId="1">
      <alignment horizontal="right" vertical="center"/>
    </xf>
    <xf numFmtId="0" fontId="7" fillId="0" borderId="2" applyAlignment="1" pivotButton="0" quotePrefix="0" xfId="1">
      <alignment horizontal="left" vertical="center"/>
    </xf>
    <xf numFmtId="0" fontId="7" fillId="0" borderId="3" applyAlignment="1" pivotButton="0" quotePrefix="0" xfId="1">
      <alignment horizontal="left" vertical="center"/>
    </xf>
    <xf numFmtId="0" fontId="2" fillId="0" borderId="2" applyAlignment="1" pivotButton="0" quotePrefix="0" xfId="1">
      <alignment horizontal="left" vertical="center"/>
    </xf>
    <xf numFmtId="0" fontId="2" fillId="0" borderId="3" applyAlignment="1" pivotButton="0" quotePrefix="0" xfId="1">
      <alignment horizontal="left" vertical="center"/>
    </xf>
    <xf numFmtId="0" fontId="2" fillId="0" borderId="2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0" fontId="2" fillId="0" borderId="1" applyAlignment="1" pivotButton="0" quotePrefix="0" xfId="1">
      <alignment horizontal="right" vertical="center"/>
    </xf>
    <xf numFmtId="0" fontId="7" fillId="0" borderId="1" applyAlignment="1" pivotButton="0" quotePrefix="0" xfId="1">
      <alignment vertical="center"/>
    </xf>
    <xf numFmtId="0" fontId="2" fillId="0" borderId="1" applyAlignment="1" pivotButton="0" quotePrefix="0" xfId="1">
      <alignment horizontal="left" vertical="center"/>
    </xf>
    <xf numFmtId="0" fontId="5" fillId="0" borderId="2" applyAlignment="1" pivotButton="0" quotePrefix="0" xfId="1">
      <alignment horizontal="left" vertical="center" wrapText="1"/>
    </xf>
    <xf numFmtId="0" fontId="5" fillId="0" borderId="4" applyAlignment="1" pivotButton="0" quotePrefix="0" xfId="1">
      <alignment horizontal="left" vertical="center" wrapText="1"/>
    </xf>
    <xf numFmtId="0" fontId="2" fillId="0" borderId="1" applyAlignment="1" pivotButton="0" quotePrefix="0" xfId="1">
      <alignment horizontal="left"/>
    </xf>
    <xf numFmtId="0" fontId="2" fillId="0" borderId="2" applyAlignment="1" pivotButton="0" quotePrefix="0" xfId="1">
      <alignment horizontal="left"/>
    </xf>
    <xf numFmtId="0" fontId="0" fillId="0" borderId="0" pivotButton="0" quotePrefix="0" xfId="0"/>
    <xf numFmtId="0" fontId="0" fillId="0" borderId="10" pivotButton="0" quotePrefix="0" xfId="0"/>
    <xf numFmtId="0" fontId="8" fillId="0" borderId="54" applyAlignment="1" pivotButton="0" quotePrefix="0" xfId="1">
      <alignment horizontal="center" vertical="center"/>
    </xf>
    <xf numFmtId="0" fontId="0" fillId="0" borderId="19" pivotButton="0" quotePrefix="0" xfId="0"/>
    <xf numFmtId="0" fontId="0" fillId="0" borderId="3" pivotButton="0" quotePrefix="0" xfId="0"/>
    <xf numFmtId="0" fontId="0" fillId="0" borderId="4" pivotButton="0" quotePrefix="0" xfId="0"/>
    <xf numFmtId="0" fontId="7" fillId="0" borderId="1" applyAlignment="1" pivotButton="0" quotePrefix="0" xfId="1">
      <alignment horizontal="left" vertical="center"/>
    </xf>
    <xf numFmtId="0" fontId="9" fillId="10" borderId="56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2" pivotButton="0" quotePrefix="0" xfId="0"/>
  </cellXfs>
  <cellStyles count="2">
    <cellStyle name="Normal" xfId="0" builtinId="0"/>
    <cellStyle name="Normal 2" xfId="1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1" displayName="Table1" ref="A1:J37" headerRowCount="1" totalsRowShown="0">
  <autoFilter ref="A1:J37"/>
  <tableColumns count="10">
    <tableColumn id="1" name="Domain"/>
    <tableColumn id="4" name="Status"/>
    <tableColumn id="14" name="Expected Release Date"/>
    <tableColumn id="5" name="Actual Release Date"/>
    <tableColumn id="6" name="Report Name"/>
    <tableColumn id="7" name="DB Developers " dataDxfId="4"/>
    <tableColumn id="8" name="PBI Developers" dataDxfId="3"/>
    <tableColumn id="9" name="Schema" dataDxfId="2"/>
    <tableColumn id="2" name="PO" dataDxfId="1"/>
    <tableColumn id="3" name="Status Start Dat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14" headerRowCount="1" totalsRowShown="0">
  <autoFilter ref="A1:C14"/>
  <tableColumns count="3">
    <tableColumn id="5" name="Domain"/>
    <tableColumn id="3" name="Expected Report Count"/>
    <tableColumn id="6" name="Expected Release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A1:K16"/>
  <sheetViews>
    <sheetView workbookViewId="0">
      <pane xSplit="2" topLeftCell="C1" activePane="topRight" state="frozen"/>
      <selection pane="topRight" activeCell="B2" sqref="B2:B16"/>
    </sheetView>
  </sheetViews>
  <sheetFormatPr baseColWidth="8" defaultRowHeight="14.4"/>
  <cols>
    <col width="18" customWidth="1" style="7" min="1" max="1"/>
    <col width="54.109375" customWidth="1" style="7" min="2" max="2"/>
    <col width="20.44140625" customWidth="1" style="7" min="3" max="3"/>
    <col width="17.6640625" customWidth="1" style="7" min="4" max="4"/>
    <col width="26.6640625" customWidth="1" style="7" min="5" max="5"/>
    <col width="73.109375" customWidth="1" style="7" min="6" max="6"/>
    <col width="16" customWidth="1" style="7" min="7" max="7"/>
    <col width="16.88671875" customWidth="1" style="7" min="8" max="8"/>
    <col width="16.44140625" bestFit="1" customWidth="1" style="7" min="9" max="9"/>
    <col width="23" customWidth="1" style="7" min="10" max="10"/>
    <col width="17.44140625" customWidth="1" style="7" min="11" max="11"/>
    <col width="8.88671875" customWidth="1" style="7" min="12" max="16384"/>
  </cols>
  <sheetData>
    <row r="1" ht="18" customFormat="1" customHeight="1" s="4">
      <c r="A1" s="2" t="inlineStr">
        <is>
          <t>Business Value (Rank)</t>
        </is>
      </c>
      <c r="B1" s="2" t="inlineStr">
        <is>
          <t xml:space="preserve">Reports </t>
        </is>
      </c>
      <c r="C1" s="2" t="inlineStr">
        <is>
          <t xml:space="preserve">DB Developers </t>
        </is>
      </c>
      <c r="D1" s="2" t="inlineStr">
        <is>
          <t>PBI Developers</t>
        </is>
      </c>
      <c r="E1" s="2" t="inlineStr">
        <is>
          <t>Schema</t>
        </is>
      </c>
      <c r="F1" s="2" t="inlineStr">
        <is>
          <t>Snowflake DEV View</t>
        </is>
      </c>
      <c r="G1" s="2" t="inlineStr">
        <is>
          <t xml:space="preserve">QA View  Staus </t>
        </is>
      </c>
      <c r="H1" s="2" t="inlineStr">
        <is>
          <t xml:space="preserve">UAT View Staus </t>
        </is>
      </c>
      <c r="I1" s="2" t="inlineStr">
        <is>
          <t xml:space="preserve">PROD View Staus </t>
        </is>
      </c>
      <c r="J1" s="3" t="inlineStr">
        <is>
          <t>Reporting Sprint Goal</t>
        </is>
      </c>
      <c r="K1" s="2" t="inlineStr">
        <is>
          <t>Report Number</t>
        </is>
      </c>
    </row>
    <row r="2">
      <c r="A2" s="42" t="n">
        <v>1</v>
      </c>
      <c r="B2" s="42" t="inlineStr">
        <is>
          <t>RPT_02_CO Flue Warning Tag Control</t>
        </is>
      </c>
      <c r="C2" s="43" t="inlineStr">
        <is>
          <t>Rupa</t>
        </is>
      </c>
      <c r="D2" s="44" t="inlineStr">
        <is>
          <t>Navya</t>
        </is>
      </c>
      <c r="E2" s="44" t="n"/>
      <c r="F2" s="44" t="inlineStr">
        <is>
          <t>gdm_rpt.vw_CO_Flue_Warning_Tag_Control</t>
        </is>
      </c>
      <c r="G2" s="44" t="n"/>
      <c r="H2" s="44" t="n"/>
      <c r="I2" s="44" t="n"/>
      <c r="J2" s="44" t="n"/>
      <c r="K2" s="45" t="n">
        <v>28</v>
      </c>
    </row>
    <row r="3">
      <c r="A3" s="42" t="n">
        <v>2</v>
      </c>
      <c r="B3" s="42" t="inlineStr">
        <is>
          <t>RPT_02_Warning Tag HEFPA</t>
        </is>
      </c>
      <c r="C3" s="43" t="inlineStr">
        <is>
          <t>Sree</t>
        </is>
      </c>
      <c r="D3" s="44" t="inlineStr">
        <is>
          <t>Shraddha</t>
        </is>
      </c>
      <c r="E3" s="44" t="inlineStr">
        <is>
          <t>GDM_RPT</t>
        </is>
      </c>
      <c r="F3" s="44" t="inlineStr">
        <is>
          <t>VW_WARNING_TAG_HEFPA</t>
        </is>
      </c>
      <c r="G3" s="44" t="n"/>
      <c r="H3" s="44" t="n"/>
      <c r="I3" s="44" t="n"/>
      <c r="J3" s="44" t="n"/>
      <c r="K3" s="45" t="n">
        <v>29</v>
      </c>
    </row>
    <row r="4" customFormat="1" s="10">
      <c r="A4" s="42" t="n">
        <v>3</v>
      </c>
      <c r="B4" s="42" t="inlineStr">
        <is>
          <t>RPT_02_Warning tag Printout</t>
        </is>
      </c>
      <c r="C4" s="44" t="inlineStr">
        <is>
          <t>Sree</t>
        </is>
      </c>
      <c r="D4" s="43" t="inlineStr">
        <is>
          <t>Navya</t>
        </is>
      </c>
      <c r="E4" s="46" t="n"/>
      <c r="F4" s="46" t="n"/>
      <c r="G4" s="44" t="n"/>
      <c r="H4" s="46" t="n"/>
      <c r="I4" s="46" t="n"/>
      <c r="J4" s="46" t="n"/>
      <c r="K4" s="45" t="n">
        <v>30</v>
      </c>
    </row>
    <row r="5">
      <c r="A5" s="42" t="n">
        <v>4</v>
      </c>
      <c r="B5" s="42" t="inlineStr">
        <is>
          <t>RPT_02_Corrosion</t>
        </is>
      </c>
      <c r="C5" s="43" t="inlineStr">
        <is>
          <t>Siva</t>
        </is>
      </c>
      <c r="D5" s="44" t="inlineStr">
        <is>
          <t>Sarath</t>
        </is>
      </c>
      <c r="E5" s="44" t="n"/>
      <c r="F5" s="44" t="n"/>
      <c r="G5" s="44" t="n"/>
      <c r="H5" s="44" t="n"/>
      <c r="I5" s="44" t="n"/>
      <c r="J5" s="44" t="n"/>
      <c r="K5" s="45" t="n">
        <v>31</v>
      </c>
    </row>
    <row r="6">
      <c r="A6" s="42" t="n">
        <v>5</v>
      </c>
      <c r="B6" s="42" t="inlineStr">
        <is>
          <t>RPT_02_House Pipe Test Comment Control</t>
        </is>
      </c>
      <c r="C6" s="44" t="inlineStr">
        <is>
          <t>Geeta</t>
        </is>
      </c>
      <c r="D6" s="44" t="inlineStr">
        <is>
          <t>Shraddha</t>
        </is>
      </c>
      <c r="E6" s="44" t="inlineStr">
        <is>
          <t>GDM_RPT</t>
        </is>
      </c>
      <c r="F6" s="5" t="inlineStr">
        <is>
          <t>GDM_RPT.VW_CMS_HOUSE_PIPE_TEST_COMMENT</t>
        </is>
      </c>
      <c r="G6" s="44" t="n"/>
      <c r="H6" s="44" t="n"/>
      <c r="I6" s="44" t="n"/>
      <c r="J6" s="44" t="n"/>
      <c r="K6" s="45" t="n">
        <v>32</v>
      </c>
    </row>
    <row r="7">
      <c r="A7" s="42" t="n">
        <v>6</v>
      </c>
      <c r="B7" s="42" t="inlineStr">
        <is>
          <t>RPT_02 _Required Regulator Inspection Performed Control</t>
        </is>
      </c>
      <c r="C7" s="44" t="inlineStr">
        <is>
          <t>Siddu</t>
        </is>
      </c>
      <c r="D7" s="44" t="inlineStr">
        <is>
          <t>Navya</t>
        </is>
      </c>
      <c r="E7" s="44" t="inlineStr">
        <is>
          <t>GDM_RPT</t>
        </is>
      </c>
      <c r="F7" s="44" t="inlineStr">
        <is>
          <t>GDM_RPT.VW_REQUIRED_REGULATOR_INSPECTIONS_PERFORMED_CONTROL</t>
        </is>
      </c>
      <c r="G7" s="44" t="n"/>
      <c r="H7" s="44" t="n"/>
      <c r="I7" s="44" t="n"/>
      <c r="J7" s="44" t="n"/>
      <c r="K7" s="45" t="n">
        <v>33</v>
      </c>
    </row>
    <row r="8">
      <c r="A8" s="42" t="n">
        <v>7</v>
      </c>
      <c r="B8" s="42" t="inlineStr">
        <is>
          <t>RPT_02_Service Regulator Inspections</t>
        </is>
      </c>
      <c r="C8" s="43" t="inlineStr">
        <is>
          <t>Sree</t>
        </is>
      </c>
      <c r="D8" s="44" t="inlineStr">
        <is>
          <t>Sarath</t>
        </is>
      </c>
      <c r="E8" s="44" t="inlineStr">
        <is>
          <t>GDM_RPT</t>
        </is>
      </c>
      <c r="F8" s="44" t="inlineStr">
        <is>
          <t>GDM_RPT.VW_SERVICE_REGULATOR_INSPECTIONS</t>
        </is>
      </c>
      <c r="G8" s="44" t="n"/>
      <c r="H8" s="44" t="n"/>
      <c r="I8" s="44" t="n"/>
      <c r="J8" s="44" t="n"/>
      <c r="K8" s="45" t="n">
        <v>34</v>
      </c>
    </row>
    <row r="9">
      <c r="A9" s="42" t="n">
        <v>8</v>
      </c>
      <c r="B9" s="42" t="inlineStr">
        <is>
          <t>RPT_02_Service Regulator Inspection Printout</t>
        </is>
      </c>
      <c r="C9" s="44" t="inlineStr">
        <is>
          <t>Sree</t>
        </is>
      </c>
      <c r="D9" s="44" t="inlineStr">
        <is>
          <t>Sarath</t>
        </is>
      </c>
      <c r="E9" s="44" t="inlineStr">
        <is>
          <t>GDM_RPT</t>
        </is>
      </c>
      <c r="F9" s="44" t="inlineStr">
        <is>
          <t>GDM_RPT.VW_SERVICE_REGULATOR_INSPECTION_PRINTOUT</t>
        </is>
      </c>
      <c r="G9" s="44" t="n"/>
      <c r="H9" s="44" t="n"/>
      <c r="I9" s="44" t="n"/>
      <c r="J9" s="44" t="n"/>
      <c r="K9" s="45" t="n">
        <v>35</v>
      </c>
    </row>
    <row r="10">
      <c r="A10" s="42" t="n">
        <v>9</v>
      </c>
      <c r="B10" s="42" t="inlineStr">
        <is>
          <t>RPT_02_20 Year Regulator Inspection</t>
        </is>
      </c>
      <c r="C10" s="44" t="inlineStr">
        <is>
          <t>Siddu</t>
        </is>
      </c>
      <c r="D10" s="44" t="inlineStr">
        <is>
          <t>Navya</t>
        </is>
      </c>
      <c r="E10" s="44" t="n"/>
      <c r="F10" s="46" t="n"/>
      <c r="G10" s="44" t="n"/>
      <c r="H10" s="44" t="n"/>
      <c r="I10" s="44" t="n"/>
      <c r="J10" s="44" t="n"/>
      <c r="K10" s="45" t="n">
        <v>36</v>
      </c>
    </row>
    <row r="11">
      <c r="A11" s="42" t="n">
        <v>10</v>
      </c>
      <c r="B11" s="42" t="inlineStr">
        <is>
          <t>RPT_02_Fixed Factor</t>
        </is>
      </c>
      <c r="C11" s="44" t="inlineStr">
        <is>
          <t>Nick</t>
        </is>
      </c>
      <c r="D11" s="44" t="inlineStr">
        <is>
          <t>Shraddha</t>
        </is>
      </c>
      <c r="E11" s="44" t="n"/>
      <c r="F11" s="47" t="n"/>
      <c r="G11" s="44" t="n"/>
      <c r="H11" s="44" t="n"/>
      <c r="I11" s="44" t="n"/>
      <c r="J11" s="44" t="n"/>
      <c r="K11" s="45" t="n">
        <v>37</v>
      </c>
    </row>
    <row r="12">
      <c r="A12" s="42" t="n">
        <v>11</v>
      </c>
      <c r="B12" s="42" t="inlineStr">
        <is>
          <t>RPT_02_Fixed Factor Printout</t>
        </is>
      </c>
      <c r="C12" s="44" t="inlineStr">
        <is>
          <t>Nick</t>
        </is>
      </c>
      <c r="D12" s="44" t="inlineStr">
        <is>
          <t>Shraddha</t>
        </is>
      </c>
      <c r="E12" s="44" t="n"/>
      <c r="F12" s="44" t="n"/>
      <c r="G12" s="44" t="n"/>
      <c r="H12" s="44" t="n"/>
      <c r="I12" s="44" t="n"/>
      <c r="J12" s="44" t="n"/>
      <c r="K12" s="45" t="n">
        <v>38</v>
      </c>
    </row>
    <row r="13">
      <c r="A13" s="42" t="n">
        <v>12</v>
      </c>
      <c r="B13" s="42" t="inlineStr">
        <is>
          <t>RPT_02_Fixed Factor Mismatch</t>
        </is>
      </c>
      <c r="C13" s="44" t="inlineStr">
        <is>
          <t>Rupa</t>
        </is>
      </c>
      <c r="D13" s="44" t="inlineStr">
        <is>
          <t>Sarath</t>
        </is>
      </c>
      <c r="E13" s="44" t="n"/>
      <c r="F13" s="44" t="n"/>
      <c r="G13" s="44" t="n"/>
      <c r="H13" s="44" t="n"/>
      <c r="I13" s="44" t="n"/>
      <c r="J13" s="44" t="n"/>
      <c r="K13" s="45" t="n">
        <v>39</v>
      </c>
    </row>
    <row r="14">
      <c r="A14" s="42" t="n">
        <v>13</v>
      </c>
      <c r="B14" s="42" t="inlineStr">
        <is>
          <t>RPT_02_Work Order Completion Printout</t>
        </is>
      </c>
      <c r="C14" s="44" t="inlineStr">
        <is>
          <t>Rupa</t>
        </is>
      </c>
      <c r="D14" s="44" t="inlineStr">
        <is>
          <t>Sarath</t>
        </is>
      </c>
      <c r="E14" s="44" t="n"/>
      <c r="F14" s="44" t="n"/>
      <c r="G14" s="44" t="n"/>
      <c r="H14" s="44" t="n"/>
      <c r="I14" s="44" t="n"/>
      <c r="J14" s="44" t="n"/>
      <c r="K14" s="45" t="n">
        <v>40</v>
      </c>
    </row>
    <row r="15">
      <c r="A15" s="42" t="n">
        <v>14</v>
      </c>
      <c r="B15" s="42" t="inlineStr">
        <is>
          <t>RPT_02_GRO Control</t>
        </is>
      </c>
      <c r="C15" s="44" t="inlineStr">
        <is>
          <t>Siva</t>
        </is>
      </c>
      <c r="D15" s="44" t="inlineStr">
        <is>
          <t>Navya</t>
        </is>
      </c>
      <c r="E15" s="44" t="n"/>
      <c r="F15" s="44" t="n"/>
      <c r="G15" s="44" t="n"/>
      <c r="H15" s="44" t="n"/>
      <c r="I15" s="44" t="n"/>
      <c r="J15" s="44" t="n"/>
      <c r="K15" s="45" t="n">
        <v>41</v>
      </c>
    </row>
    <row r="16">
      <c r="A16" s="42" t="n">
        <v>15</v>
      </c>
      <c r="B16" s="42" t="inlineStr">
        <is>
          <t>RPT_02_GRO Monitor</t>
        </is>
      </c>
      <c r="C16" s="44" t="n"/>
      <c r="D16" s="44" t="inlineStr">
        <is>
          <t>Navya</t>
        </is>
      </c>
      <c r="E16" s="44" t="n"/>
      <c r="F16" s="44" t="n"/>
      <c r="G16" s="44" t="n"/>
      <c r="H16" s="44" t="n"/>
      <c r="I16" s="44" t="n"/>
      <c r="J16" s="44" t="n"/>
      <c r="K16" s="44" t="n">
        <v>42</v>
      </c>
    </row>
  </sheetData>
  <autoFilter ref="A1:K1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B2" sqref="B2:G2"/>
    </sheetView>
  </sheetViews>
  <sheetFormatPr baseColWidth="8" defaultRowHeight="15" customHeight="1"/>
  <cols>
    <col width="17.109375" customWidth="1" style="7" min="1" max="6"/>
    <col width="21.33203125" customWidth="1" style="7" min="7" max="7"/>
    <col width="17.109375" customWidth="1" style="7" min="8" max="8"/>
    <col width="16.88671875" customWidth="1" style="7" min="9" max="9"/>
    <col width="12.109375" customWidth="1" style="7" min="10" max="10"/>
    <col width="17.5546875" customWidth="1" style="7" min="11" max="11"/>
    <col width="10.33203125" bestFit="1" customWidth="1" style="7" min="12" max="12"/>
    <col width="10.33203125" customWidth="1" style="7" min="13" max="13"/>
    <col width="13.6640625" customWidth="1" style="7" min="14" max="14"/>
    <col width="12.5546875" customWidth="1" style="7" min="15" max="15"/>
    <col width="23.88671875" customWidth="1" style="7" min="16" max="16"/>
    <col width="8.88671875" customWidth="1" style="7" min="17" max="16384"/>
  </cols>
  <sheetData>
    <row r="1" s="101" thickBot="1">
      <c r="A1" s="24" t="inlineStr">
        <is>
          <t xml:space="preserve">April Delivery </t>
        </is>
      </c>
      <c r="B1" s="24" t="n"/>
      <c r="C1" s="24" t="n"/>
      <c r="D1" s="24" t="n"/>
      <c r="E1" s="25" t="n"/>
      <c r="F1" s="25" t="n"/>
      <c r="G1" s="25" t="inlineStr">
        <is>
          <t>Release Date Schedule</t>
        </is>
      </c>
      <c r="H1" s="25" t="n"/>
      <c r="I1" s="25" t="n"/>
      <c r="J1" s="25" t="n"/>
      <c r="K1" s="25" t="n"/>
      <c r="L1" s="25" t="n"/>
      <c r="M1" s="26" t="n"/>
      <c r="N1" s="27" t="n"/>
      <c r="O1" s="27" t="n"/>
      <c r="P1" s="82" t="inlineStr">
        <is>
          <t>Total</t>
        </is>
      </c>
    </row>
    <row r="2" s="101" thickBot="1">
      <c r="A2" s="28" t="inlineStr">
        <is>
          <t xml:space="preserve">Leak Reports </t>
        </is>
      </c>
      <c r="B2" s="28" t="inlineStr">
        <is>
          <t>In Progress</t>
        </is>
      </c>
      <c r="C2" s="28" t="inlineStr">
        <is>
          <t>DEV</t>
        </is>
      </c>
      <c r="D2" s="28" t="inlineStr">
        <is>
          <t>PBI</t>
        </is>
      </c>
      <c r="E2" s="24" t="inlineStr">
        <is>
          <t xml:space="preserve">In QA </t>
        </is>
      </c>
      <c r="F2" s="24" t="inlineStr">
        <is>
          <t xml:space="preserve">In UAT </t>
        </is>
      </c>
      <c r="G2" s="24" t="inlineStr">
        <is>
          <t>In Production</t>
        </is>
      </c>
      <c r="H2" s="29" t="n">
        <v>46142</v>
      </c>
      <c r="I2" s="29" t="n">
        <v>46149</v>
      </c>
      <c r="J2" s="29" t="n">
        <v>46166</v>
      </c>
      <c r="K2" s="29" t="n">
        <v>46170</v>
      </c>
      <c r="L2" s="30" t="n">
        <v>46177</v>
      </c>
      <c r="M2" s="30" t="n">
        <v>46184</v>
      </c>
      <c r="N2" s="29" t="n">
        <v>46191</v>
      </c>
      <c r="O2" s="29" t="n">
        <v>46198</v>
      </c>
      <c r="P2" s="102" t="n"/>
    </row>
    <row r="3" s="101" thickBot="1">
      <c r="A3" s="25" t="n">
        <v>8</v>
      </c>
      <c r="B3" s="25" t="n"/>
      <c r="C3" s="25" t="n"/>
      <c r="D3" s="25" t="n"/>
      <c r="E3" s="31" t="n"/>
      <c r="F3" s="31" t="n"/>
      <c r="G3" s="32" t="n"/>
      <c r="H3" s="33" t="n">
        <v>7</v>
      </c>
      <c r="I3" s="34" t="n">
        <v>1</v>
      </c>
      <c r="J3" s="34" t="n">
        <v>0</v>
      </c>
      <c r="K3" s="33" t="n"/>
      <c r="L3" s="35" t="n"/>
      <c r="M3" s="36" t="n"/>
      <c r="N3" s="34" t="n"/>
      <c r="O3" s="34" t="n"/>
      <c r="P3" s="102" t="n"/>
    </row>
    <row r="4" ht="15" customHeight="1" s="101" thickBot="1">
      <c r="P4" s="102" t="n"/>
    </row>
    <row r="5" ht="15" customHeight="1" s="101" thickBot="1">
      <c r="P5" s="37">
        <f>SUM(G3:N3)</f>
        <v/>
      </c>
    </row>
    <row r="6" ht="15" customHeight="1" s="101" thickBot="1">
      <c r="A6" s="24" t="inlineStr">
        <is>
          <t xml:space="preserve">May Delivery </t>
        </is>
      </c>
      <c r="B6" s="24" t="n"/>
      <c r="C6" s="24" t="n"/>
      <c r="D6" s="24" t="n"/>
      <c r="E6" s="25" t="n"/>
      <c r="F6" s="25" t="n"/>
      <c r="G6" s="25" t="inlineStr">
        <is>
          <t>Release Date Schedule</t>
        </is>
      </c>
      <c r="H6" s="25" t="n"/>
      <c r="I6" s="25" t="n"/>
      <c r="J6" s="27" t="n"/>
      <c r="K6" s="25" t="n"/>
      <c r="L6" s="25" t="n"/>
      <c r="M6" s="26" t="n"/>
      <c r="N6" s="27" t="n"/>
      <c r="O6" s="27" t="n"/>
    </row>
    <row r="7" ht="15" customHeight="1" s="101" thickBot="1">
      <c r="A7" s="28" t="inlineStr">
        <is>
          <t xml:space="preserve">Leak Reports </t>
        </is>
      </c>
      <c r="B7" s="28" t="inlineStr">
        <is>
          <t>In progress</t>
        </is>
      </c>
      <c r="C7" s="28" t="inlineStr">
        <is>
          <t>DEV</t>
        </is>
      </c>
      <c r="D7" s="28" t="inlineStr">
        <is>
          <t>PBI</t>
        </is>
      </c>
      <c r="E7" s="24" t="inlineStr">
        <is>
          <t xml:space="preserve">In QA </t>
        </is>
      </c>
      <c r="F7" s="24" t="inlineStr">
        <is>
          <t xml:space="preserve">In UAT </t>
        </is>
      </c>
      <c r="G7" s="24" t="inlineStr">
        <is>
          <t>In Production</t>
        </is>
      </c>
      <c r="H7" s="29" t="n">
        <v>46142</v>
      </c>
      <c r="I7" s="29" t="n">
        <v>46149</v>
      </c>
      <c r="J7" s="29" t="n">
        <v>46166</v>
      </c>
      <c r="K7" s="29" t="n">
        <v>46170</v>
      </c>
      <c r="L7" s="30" t="n">
        <v>46177</v>
      </c>
      <c r="M7" s="30" t="n">
        <v>46184</v>
      </c>
      <c r="N7" s="29" t="n">
        <v>46191</v>
      </c>
      <c r="O7" s="29" t="n">
        <v>46198</v>
      </c>
    </row>
    <row r="8" ht="15" customHeight="1" s="101" thickBot="1">
      <c r="A8" s="25" t="n">
        <v>10</v>
      </c>
      <c r="B8" s="25" t="n"/>
      <c r="C8" s="25" t="n"/>
      <c r="D8" s="25" t="n"/>
      <c r="E8" s="31" t="n"/>
      <c r="F8" s="31" t="n"/>
      <c r="G8" s="32" t="n"/>
      <c r="H8" s="33" t="n">
        <v>0</v>
      </c>
      <c r="I8" s="34" t="n"/>
      <c r="J8" s="34" t="n">
        <v>0</v>
      </c>
      <c r="K8" s="33" t="n">
        <v>4</v>
      </c>
      <c r="L8" s="35" t="n">
        <v>2</v>
      </c>
      <c r="M8" s="36" t="n">
        <v>2</v>
      </c>
      <c r="N8" s="34" t="n">
        <v>2</v>
      </c>
      <c r="O8" s="34" t="n"/>
      <c r="P8" s="82" t="inlineStr">
        <is>
          <t>Total</t>
        </is>
      </c>
    </row>
    <row r="9" ht="15" customHeight="1" s="101" thickBot="1">
      <c r="P9" s="102" t="n"/>
    </row>
    <row r="10" ht="15" customHeight="1" s="101" thickBot="1">
      <c r="P10" s="37">
        <f>SUM(G8:O8)</f>
        <v/>
      </c>
    </row>
    <row r="11" ht="15" customHeight="1" s="101" thickBot="1">
      <c r="A11" s="24" t="inlineStr">
        <is>
          <t xml:space="preserve">JuneDelivery </t>
        </is>
      </c>
      <c r="B11" s="38" t="n"/>
      <c r="C11" s="38" t="n"/>
      <c r="D11" s="24" t="n"/>
      <c r="E11" s="25" t="n"/>
      <c r="F11" s="25" t="n"/>
      <c r="G11" s="25" t="inlineStr">
        <is>
          <t>Release Date Schedule</t>
        </is>
      </c>
      <c r="H11" s="25" t="n"/>
      <c r="I11" s="25" t="n"/>
      <c r="J11" s="27" t="n"/>
      <c r="K11" s="25" t="n"/>
      <c r="L11" s="25" t="n"/>
      <c r="M11" s="26" t="n"/>
      <c r="N11" s="27" t="n"/>
      <c r="O11" s="27" t="n"/>
    </row>
    <row r="12" ht="15" customHeight="1" s="101" thickBot="1">
      <c r="A12" s="28" t="inlineStr">
        <is>
          <t xml:space="preserve">Leak Reports </t>
        </is>
      </c>
      <c r="B12" s="28" t="inlineStr">
        <is>
          <t xml:space="preserve">In progress </t>
        </is>
      </c>
      <c r="C12" s="39" t="inlineStr">
        <is>
          <t>DEV</t>
        </is>
      </c>
      <c r="D12" s="28" t="inlineStr">
        <is>
          <t>PBI</t>
        </is>
      </c>
      <c r="E12" s="24" t="inlineStr">
        <is>
          <t xml:space="preserve">In QA </t>
        </is>
      </c>
      <c r="F12" s="24" t="inlineStr">
        <is>
          <t xml:space="preserve">In UAT </t>
        </is>
      </c>
      <c r="G12" s="24" t="inlineStr">
        <is>
          <t>In Production</t>
        </is>
      </c>
      <c r="H12" s="29" t="n">
        <v>46142</v>
      </c>
      <c r="I12" s="29" t="n">
        <v>46149</v>
      </c>
      <c r="J12" s="29" t="n">
        <v>46166</v>
      </c>
      <c r="K12" s="29" t="n">
        <v>46170</v>
      </c>
      <c r="L12" s="30" t="n">
        <v>46177</v>
      </c>
      <c r="M12" s="30" t="n">
        <v>46184</v>
      </c>
      <c r="N12" s="29" t="n">
        <v>46191</v>
      </c>
      <c r="O12" s="29" t="n">
        <v>46198</v>
      </c>
    </row>
    <row r="13" ht="15" customHeight="1" s="101" thickBot="1">
      <c r="A13" s="25" t="n">
        <v>9</v>
      </c>
      <c r="B13" s="25" t="n"/>
      <c r="C13" s="25" t="n">
        <v>3</v>
      </c>
      <c r="D13" s="25" t="n">
        <v>1</v>
      </c>
      <c r="E13" s="31" t="n"/>
      <c r="F13" s="31" t="n">
        <v>2</v>
      </c>
      <c r="G13" s="32" t="n"/>
      <c r="H13" s="33" t="n">
        <v>0</v>
      </c>
      <c r="I13" s="34" t="n"/>
      <c r="J13" s="34" t="n">
        <v>0</v>
      </c>
      <c r="K13" s="40" t="n"/>
      <c r="L13" s="35" t="n"/>
      <c r="M13" s="36" t="n">
        <v>1</v>
      </c>
      <c r="N13" s="34" t="n">
        <v>1</v>
      </c>
      <c r="O13" s="34" t="n">
        <v>1</v>
      </c>
      <c r="P13" s="103" t="inlineStr">
        <is>
          <t>Total</t>
        </is>
      </c>
    </row>
    <row r="14" ht="15" customHeight="1" s="101" thickBot="1">
      <c r="P14" s="104" t="n"/>
    </row>
    <row r="15" ht="15" customHeight="1" s="101" thickBot="1">
      <c r="P15" s="41">
        <f>SUM(G13:O13)</f>
        <v/>
      </c>
    </row>
  </sheetData>
  <mergeCells count="3">
    <mergeCell ref="P8:P9"/>
    <mergeCell ref="P1:P4"/>
    <mergeCell ref="P13:P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2D050"/>
    <outlinePr summaryBelow="1" summaryRight="1"/>
    <pageSetUpPr/>
  </sheetPr>
  <dimension ref="A1:K46"/>
  <sheetViews>
    <sheetView workbookViewId="0">
      <pane xSplit="2" topLeftCell="C1" activePane="topRight" state="frozen"/>
      <selection pane="topRight" activeCell="B5" sqref="B5:F9"/>
    </sheetView>
  </sheetViews>
  <sheetFormatPr baseColWidth="8" defaultRowHeight="14.4"/>
  <cols>
    <col width="30.88671875" customWidth="1" style="7" min="1" max="1"/>
    <col width="41.44140625" customWidth="1" style="7" min="2" max="2"/>
    <col width="20.44140625" customWidth="1" style="7" min="3" max="3"/>
    <col width="17.6640625" customWidth="1" style="7" min="4" max="4"/>
    <col width="11" customWidth="1" style="7" min="5" max="5"/>
    <col width="73.109375" customWidth="1" style="7" min="6" max="6"/>
    <col width="16" customWidth="1" style="7" min="7" max="7"/>
    <col width="16.88671875" customWidth="1" style="7" min="8" max="8"/>
    <col width="16.44140625" bestFit="1" customWidth="1" style="7" min="9" max="9"/>
    <col width="23" customWidth="1" style="7" min="10" max="10"/>
    <col width="17.44140625" customWidth="1" style="7" min="11" max="11"/>
    <col width="8.88671875" customWidth="1" style="7" min="12" max="16384"/>
  </cols>
  <sheetData>
    <row r="1" ht="18" customFormat="1" customHeight="1" s="4">
      <c r="A1" s="2" t="inlineStr">
        <is>
          <t>Business Value (Rank)</t>
        </is>
      </c>
      <c r="B1" s="2" t="inlineStr">
        <is>
          <t>Report Name</t>
        </is>
      </c>
      <c r="C1" s="2" t="inlineStr">
        <is>
          <t xml:space="preserve">DB Developers </t>
        </is>
      </c>
      <c r="D1" s="2" t="inlineStr">
        <is>
          <t>PBI Developers</t>
        </is>
      </c>
      <c r="E1" s="2" t="inlineStr">
        <is>
          <t>Schema</t>
        </is>
      </c>
      <c r="F1" s="2" t="inlineStr">
        <is>
          <t>Snowflake DEV View</t>
        </is>
      </c>
      <c r="G1" s="2" t="inlineStr">
        <is>
          <t xml:space="preserve">QA View  Staus </t>
        </is>
      </c>
      <c r="H1" s="2" t="inlineStr">
        <is>
          <t xml:space="preserve">UAT View Staus </t>
        </is>
      </c>
      <c r="I1" s="2" t="inlineStr">
        <is>
          <t xml:space="preserve">PROD View Staus </t>
        </is>
      </c>
      <c r="J1" s="3" t="inlineStr">
        <is>
          <t>Reporting Sprint Goal</t>
        </is>
      </c>
      <c r="K1" s="2" t="inlineStr">
        <is>
          <t>Report Number</t>
        </is>
      </c>
    </row>
    <row r="2">
      <c r="A2" s="5" t="n">
        <v>1</v>
      </c>
      <c r="B2" s="5" t="inlineStr">
        <is>
          <t>RPT_04_Active Leaks</t>
        </is>
      </c>
      <c r="C2" s="5" t="inlineStr">
        <is>
          <t>Fetwi</t>
        </is>
      </c>
      <c r="D2" s="5" t="inlineStr">
        <is>
          <t>Sarath</t>
        </is>
      </c>
      <c r="E2" s="5" t="inlineStr">
        <is>
          <t>GDM_RPT</t>
        </is>
      </c>
      <c r="F2" s="5" t="inlineStr">
        <is>
          <t>DEV_GDM_DEV_DB.GDM_RPT.VW_ACTIVE_LEAKS</t>
        </is>
      </c>
      <c r="G2" s="5" t="inlineStr">
        <is>
          <t>Ready</t>
        </is>
      </c>
      <c r="H2" s="5" t="n"/>
      <c r="I2" s="5" t="n"/>
      <c r="J2" s="5" t="inlineStr">
        <is>
          <t>Sprint 1</t>
        </is>
      </c>
      <c r="K2" s="99" t="n">
        <v>1</v>
      </c>
    </row>
    <row r="3">
      <c r="A3" s="5" t="n">
        <v>2</v>
      </c>
      <c r="B3" s="5" t="inlineStr">
        <is>
          <t>RPT_04_Count of Active Leaks On Hand</t>
        </is>
      </c>
      <c r="C3" s="5" t="inlineStr">
        <is>
          <t>Fetwi</t>
        </is>
      </c>
      <c r="D3" s="5" t="inlineStr">
        <is>
          <t>Sarath</t>
        </is>
      </c>
      <c r="E3" s="5" t="inlineStr">
        <is>
          <t>GDM_RPT</t>
        </is>
      </c>
      <c r="F3" s="5" t="inlineStr">
        <is>
          <t>DEV_GDM_DEV_DB.GDM_RPT.VW_ACTIVE_LEAKS</t>
        </is>
      </c>
      <c r="G3" s="5" t="inlineStr">
        <is>
          <t>Ready</t>
        </is>
      </c>
      <c r="H3" s="5" t="n"/>
      <c r="I3" s="5" t="n"/>
      <c r="J3" s="5" t="inlineStr">
        <is>
          <t>Sprint 1</t>
        </is>
      </c>
      <c r="K3" s="99" t="n">
        <v>2</v>
      </c>
    </row>
    <row r="4" customFormat="1" s="10">
      <c r="A4" s="8" t="n">
        <v>4</v>
      </c>
      <c r="B4" s="9" t="inlineStr">
        <is>
          <t>RPT_04_Leak Scheduling</t>
        </is>
      </c>
      <c r="C4" s="8" t="inlineStr">
        <is>
          <t>Sreevarsha</t>
        </is>
      </c>
      <c r="D4" s="8" t="inlineStr">
        <is>
          <t>Sarath</t>
        </is>
      </c>
      <c r="E4" s="8" t="inlineStr">
        <is>
          <t>GDM_RPT</t>
        </is>
      </c>
      <c r="F4" s="8" t="inlineStr">
        <is>
          <t>DEV_GDM_DEV.GDM_RPT.VW_GAS_LEAK_SCHEDULING</t>
        </is>
      </c>
      <c r="G4" s="5" t="n"/>
      <c r="H4" s="8" t="n"/>
      <c r="I4" s="8" t="n"/>
      <c r="J4" s="8" t="n"/>
      <c r="K4" s="8" t="inlineStr">
        <is>
          <t>NA</t>
        </is>
      </c>
    </row>
    <row r="5">
      <c r="A5" s="5" t="n">
        <v>5</v>
      </c>
      <c r="B5" s="5" t="inlineStr">
        <is>
          <t>RPT_04_Leak Days Remaining</t>
        </is>
      </c>
      <c r="C5" s="5" t="inlineStr">
        <is>
          <t>Siva</t>
        </is>
      </c>
      <c r="D5" s="5" t="inlineStr">
        <is>
          <t>Navya</t>
        </is>
      </c>
      <c r="E5" s="5" t="inlineStr">
        <is>
          <t>GDM_RPT</t>
        </is>
      </c>
      <c r="F5" s="5" t="inlineStr">
        <is>
          <t>DEV_GDM_DEV_DB.GDM_RPT.VW_LEAK_DAYS_REMAINING</t>
        </is>
      </c>
      <c r="G5" s="5" t="inlineStr">
        <is>
          <t>Ready</t>
        </is>
      </c>
      <c r="H5" s="5" t="n"/>
      <c r="I5" s="5" t="n"/>
      <c r="J5" s="5" t="inlineStr">
        <is>
          <t>Sprint 1</t>
        </is>
      </c>
      <c r="K5" s="99" t="n">
        <v>3</v>
      </c>
    </row>
    <row r="6">
      <c r="A6" s="5" t="n">
        <v>3</v>
      </c>
      <c r="B6" s="11" t="inlineStr">
        <is>
          <t>RPT_04_Cleared Leaks</t>
        </is>
      </c>
      <c r="C6" s="5" t="inlineStr">
        <is>
          <t>Sreevarsha</t>
        </is>
      </c>
      <c r="D6" s="5" t="inlineStr">
        <is>
          <t>Sarath</t>
        </is>
      </c>
      <c r="E6" s="5" t="inlineStr">
        <is>
          <t>GDM_RPT</t>
        </is>
      </c>
      <c r="F6" s="5" t="inlineStr">
        <is>
          <t>DEV_GDM_DEV_DB.GDM_RPT.VW_CLEARED_LEAKS</t>
        </is>
      </c>
      <c r="G6" s="5" t="inlineStr">
        <is>
          <t>Ready</t>
        </is>
      </c>
      <c r="H6" s="5" t="n"/>
      <c r="I6" s="5" t="n"/>
      <c r="J6" s="5" t="inlineStr">
        <is>
          <t>Sprint 2</t>
        </is>
      </c>
      <c r="K6" s="99" t="n">
        <v>4</v>
      </c>
    </row>
    <row r="7">
      <c r="A7" s="5" t="n">
        <v>6</v>
      </c>
      <c r="B7" s="5" t="inlineStr">
        <is>
          <t>RPT_04_Leaks Repaired Detail</t>
        </is>
      </c>
      <c r="C7" s="5" t="inlineStr">
        <is>
          <t>Rupa</t>
        </is>
      </c>
      <c r="D7" s="5" t="inlineStr">
        <is>
          <t>Shraddha</t>
        </is>
      </c>
      <c r="E7" s="5" t="inlineStr">
        <is>
          <t>GDM_RPT</t>
        </is>
      </c>
      <c r="F7" s="5" t="inlineStr">
        <is>
          <t>GDM_RPT.VW_LEAKS_REPAIRED_DETAIL</t>
        </is>
      </c>
      <c r="G7" s="5" t="inlineStr">
        <is>
          <t>Ready</t>
        </is>
      </c>
      <c r="H7" s="5" t="n"/>
      <c r="I7" s="5" t="n"/>
      <c r="J7" s="5" t="inlineStr">
        <is>
          <t>Sprint 2</t>
        </is>
      </c>
      <c r="K7" s="99" t="n">
        <v>5</v>
      </c>
    </row>
    <row r="8">
      <c r="A8" s="5" t="n">
        <v>7</v>
      </c>
      <c r="B8" s="5" t="inlineStr">
        <is>
          <t>RPT_04_Leaks Aging</t>
        </is>
      </c>
      <c r="C8" s="5" t="inlineStr">
        <is>
          <t>Sreevarsha</t>
        </is>
      </c>
      <c r="D8" s="5" t="inlineStr">
        <is>
          <t>Navya</t>
        </is>
      </c>
      <c r="E8" s="5" t="inlineStr">
        <is>
          <t>GDM_RPT</t>
        </is>
      </c>
      <c r="F8" s="5" t="inlineStr">
        <is>
          <t>GDM_RPT.VW_LEAKS_AGING</t>
        </is>
      </c>
      <c r="G8" s="5" t="inlineStr">
        <is>
          <t>Ready</t>
        </is>
      </c>
      <c r="H8" s="5" t="n"/>
      <c r="I8" s="5" t="n"/>
      <c r="J8" s="5" t="inlineStr">
        <is>
          <t>Sprint 2</t>
        </is>
      </c>
      <c r="K8" s="99" t="n">
        <v>6</v>
      </c>
    </row>
    <row r="9">
      <c r="A9" s="5" t="n">
        <v>9</v>
      </c>
      <c r="B9" s="5" t="inlineStr">
        <is>
          <t>RPT_04_Prior Leak Readings</t>
        </is>
      </c>
      <c r="C9" s="5" t="inlineStr">
        <is>
          <t>Siddhu</t>
        </is>
      </c>
      <c r="D9" s="5" t="inlineStr">
        <is>
          <t>Navya</t>
        </is>
      </c>
      <c r="E9" s="5" t="inlineStr">
        <is>
          <t>GDM_RPT</t>
        </is>
      </c>
      <c r="F9" s="5" t="inlineStr">
        <is>
          <t>DEV_GDM_DEV_DB.GDM_RPT.VW_PRIOR_LEAK_READINGS</t>
        </is>
      </c>
      <c r="G9" s="5" t="inlineStr">
        <is>
          <t>Ready</t>
        </is>
      </c>
      <c r="H9" s="5" t="n"/>
      <c r="I9" s="5" t="n"/>
      <c r="J9" s="5" t="inlineStr">
        <is>
          <t>Sprint 2</t>
        </is>
      </c>
      <c r="K9" s="99" t="n">
        <v>7</v>
      </c>
    </row>
    <row r="10">
      <c r="A10" s="5" t="n">
        <v>8</v>
      </c>
      <c r="B10" s="5" t="inlineStr">
        <is>
          <t>RSS_04_Leak Grade Change History</t>
        </is>
      </c>
      <c r="C10" s="5" t="inlineStr">
        <is>
          <t>Siva</t>
        </is>
      </c>
      <c r="D10" s="5" t="inlineStr">
        <is>
          <t>Navya</t>
        </is>
      </c>
      <c r="E10" s="5" t="inlineStr">
        <is>
          <t>GDM_RPT</t>
        </is>
      </c>
      <c r="F10" s="8" t="inlineStr">
        <is>
          <t>DEV_GDM_DEV.GDM_RPT.VW_LEAK_GRADE_CHANGE_HISTORY</t>
        </is>
      </c>
      <c r="G10" s="5" t="n"/>
      <c r="H10" s="5" t="n"/>
      <c r="I10" s="5" t="n"/>
      <c r="J10" s="5" t="n"/>
      <c r="K10" s="99" t="n">
        <v>8</v>
      </c>
    </row>
    <row r="11">
      <c r="A11" s="5" t="n">
        <v>14</v>
      </c>
      <c r="B11" s="5" t="inlineStr">
        <is>
          <t xml:space="preserve">RPT_04_Rechecks Completed less than 14 days   </t>
        </is>
      </c>
      <c r="C11" s="5" t="inlineStr">
        <is>
          <t>Rupa</t>
        </is>
      </c>
      <c r="D11" s="5" t="inlineStr">
        <is>
          <t>Shraddha</t>
        </is>
      </c>
      <c r="E11" s="5" t="inlineStr">
        <is>
          <t>GDM_RPT</t>
        </is>
      </c>
      <c r="F11" s="11" t="inlineStr">
        <is>
          <t>gdm_rpt.vw_Rechecks_Completed_less_than_14days</t>
        </is>
      </c>
      <c r="G11" s="5" t="n"/>
      <c r="H11" s="5" t="n"/>
      <c r="I11" s="5" t="n"/>
      <c r="J11" s="5" t="inlineStr">
        <is>
          <t>Sprint 3</t>
        </is>
      </c>
      <c r="K11" s="5" t="n">
        <v>9</v>
      </c>
    </row>
    <row r="12" ht="16.5" customHeight="1" s="101">
      <c r="A12" s="94" t="n">
        <v>15</v>
      </c>
      <c r="B12" s="96" t="inlineStr">
        <is>
          <t>RPT_04_SEI Leak Activity</t>
        </is>
      </c>
      <c r="C12" s="96" t="inlineStr">
        <is>
          <t>Siva</t>
        </is>
      </c>
      <c r="D12" s="96" t="inlineStr">
        <is>
          <t>Shraddha</t>
        </is>
      </c>
      <c r="E12" s="90" t="inlineStr">
        <is>
          <t>GDM_RPT</t>
        </is>
      </c>
      <c r="F12" s="13" t="inlineStr">
        <is>
          <t>DEV_GDM_DEV_DB.GDM_RPT.VW_SEI_LEAK_ACTIVITY_LEAK_EXTENT</t>
        </is>
      </c>
      <c r="G12" s="5" t="n"/>
      <c r="H12" s="5" t="n"/>
      <c r="I12" s="5" t="n"/>
      <c r="J12" s="5" t="inlineStr">
        <is>
          <t>Sprint 3</t>
        </is>
      </c>
      <c r="K12" s="5" t="n">
        <v>10</v>
      </c>
    </row>
    <row r="13" ht="16.5" customHeight="1" s="101">
      <c r="A13" s="105" t="n"/>
      <c r="B13" s="105" t="n"/>
      <c r="C13" s="105" t="n"/>
      <c r="D13" s="105" t="n"/>
      <c r="E13" s="90" t="inlineStr">
        <is>
          <t>GDM_RPT</t>
        </is>
      </c>
      <c r="F13" s="13" t="inlineStr">
        <is>
          <t>DEV_GDM_DEV_DB.GDM_RPT.VW_SEI_LEAK_ACTIVITY_LEAKS_LOC</t>
        </is>
      </c>
      <c r="G13" s="5" t="n"/>
      <c r="H13" s="5" t="n"/>
      <c r="I13" s="5" t="n"/>
      <c r="J13" s="5" t="n"/>
      <c r="K13" s="5" t="n"/>
    </row>
    <row r="14">
      <c r="A14" s="5" t="n">
        <v>13</v>
      </c>
      <c r="B14" s="14" t="inlineStr">
        <is>
          <t>RPT_04_PSC Quarterly Leak</t>
        </is>
      </c>
      <c r="C14" s="5" t="inlineStr">
        <is>
          <t>Geetha</t>
        </is>
      </c>
      <c r="D14" s="5" t="inlineStr">
        <is>
          <t>Sarath</t>
        </is>
      </c>
      <c r="E14" s="5" t="inlineStr">
        <is>
          <t>GDM_RPT</t>
        </is>
      </c>
      <c r="F14" s="5" t="inlineStr">
        <is>
          <t>DEV_GDM_DEV_DB.GDM_RPT.VW_PSC_QUARTERLY_LEAKS</t>
        </is>
      </c>
      <c r="G14" s="5" t="n"/>
      <c r="H14" s="5" t="n"/>
      <c r="I14" s="5" t="n"/>
      <c r="J14" s="5" t="inlineStr">
        <is>
          <t>Sprint 3</t>
        </is>
      </c>
      <c r="K14" s="5" t="n">
        <v>11</v>
      </c>
    </row>
    <row r="15">
      <c r="A15" s="5" t="n">
        <v>10</v>
      </c>
      <c r="B15" s="14" t="inlineStr">
        <is>
          <t>RPT_04_Surveillances With Zero Readings</t>
        </is>
      </c>
      <c r="C15" s="5" t="inlineStr">
        <is>
          <t>Sreevarsha</t>
        </is>
      </c>
      <c r="D15" s="5" t="inlineStr">
        <is>
          <t>Navya</t>
        </is>
      </c>
      <c r="E15" s="5" t="inlineStr">
        <is>
          <t>GDM_RPT</t>
        </is>
      </c>
      <c r="F15" s="5" t="inlineStr">
        <is>
          <t>GDM_RPT.VW_SURVEILLANCES_WITH_ZERO_READINGS</t>
        </is>
      </c>
      <c r="G15" s="5" t="n"/>
      <c r="H15" s="5" t="n"/>
      <c r="I15" s="5" t="n"/>
      <c r="J15" s="5" t="inlineStr">
        <is>
          <t>Sprint 3</t>
        </is>
      </c>
      <c r="K15" s="5" t="n">
        <v>12</v>
      </c>
    </row>
    <row r="16">
      <c r="A16" s="5" t="n">
        <v>11</v>
      </c>
      <c r="B16" s="14" t="inlineStr">
        <is>
          <t>RPT_04 High Emitter leaks</t>
        </is>
      </c>
      <c r="C16" s="5" t="inlineStr">
        <is>
          <t>Sreevarsha</t>
        </is>
      </c>
      <c r="D16" s="5" t="inlineStr">
        <is>
          <t>Navya</t>
        </is>
      </c>
      <c r="E16" s="5" t="inlineStr">
        <is>
          <t>GDM_RPT</t>
        </is>
      </c>
      <c r="F16" s="5" t="inlineStr">
        <is>
          <t>GDM_RPT.VW_HIGH_EMITTER_LEAKS</t>
        </is>
      </c>
      <c r="G16" s="5" t="n"/>
      <c r="H16" s="5" t="n"/>
      <c r="I16" s="5" t="n"/>
      <c r="J16" s="5" t="inlineStr">
        <is>
          <t>Sprint 3</t>
        </is>
      </c>
      <c r="K16" s="5" t="n">
        <v>13</v>
      </c>
    </row>
    <row r="17">
      <c r="A17" s="5" t="n">
        <v>12</v>
      </c>
      <c r="B17" s="5" t="inlineStr">
        <is>
          <t>RPT_04_School Zone Leaks Without Repair</t>
        </is>
      </c>
      <c r="C17" s="5" t="inlineStr">
        <is>
          <t>Sreevarsha</t>
        </is>
      </c>
      <c r="D17" s="5" t="inlineStr">
        <is>
          <t>Sarath</t>
        </is>
      </c>
      <c r="E17" s="5" t="inlineStr">
        <is>
          <t>GDM_RPT</t>
        </is>
      </c>
      <c r="F17" s="5" t="inlineStr">
        <is>
          <t>GDM_RPT.VW_SCHOOL_ZONE_LEAKS_REPORT</t>
        </is>
      </c>
      <c r="G17" s="5" t="n"/>
      <c r="H17" s="5" t="n"/>
      <c r="I17" s="5" t="n"/>
      <c r="J17" s="5" t="n"/>
      <c r="K17" s="5" t="n">
        <v>14</v>
      </c>
    </row>
    <row r="18">
      <c r="A18" s="5" t="n">
        <v>16</v>
      </c>
      <c r="B18" s="5" t="inlineStr">
        <is>
          <t>RPT_04_CMS Leak Productivity</t>
        </is>
      </c>
      <c r="C18" s="5" t="inlineStr">
        <is>
          <t>Siddu</t>
        </is>
      </c>
      <c r="D18" s="15" t="inlineStr">
        <is>
          <t>Navya</t>
        </is>
      </c>
      <c r="E18" s="5" t="inlineStr">
        <is>
          <t>GDM_RPT</t>
        </is>
      </c>
      <c r="F18" s="5" t="inlineStr">
        <is>
          <t>VW_CMS_LEAK_PRODUCTIVITY</t>
        </is>
      </c>
      <c r="G18" s="5" t="n"/>
      <c r="H18" s="5" t="n"/>
      <c r="I18" s="5" t="n"/>
      <c r="J18" s="5" t="n"/>
      <c r="K18" s="5" t="n">
        <v>15</v>
      </c>
    </row>
    <row r="19">
      <c r="A19" s="5" t="n">
        <v>17</v>
      </c>
      <c r="B19" s="5" t="inlineStr">
        <is>
          <t>RPT_04_Main Break Corrosion and Leak Cluster</t>
        </is>
      </c>
      <c r="C19" s="5" t="inlineStr">
        <is>
          <t>Siddu</t>
        </is>
      </c>
      <c r="D19" s="15" t="inlineStr">
        <is>
          <t>Sarath</t>
        </is>
      </c>
      <c r="E19" s="5" t="inlineStr">
        <is>
          <t>GDM_RPT</t>
        </is>
      </c>
      <c r="F19" s="16" t="inlineStr">
        <is>
          <t>VW_Leak_Cluster and VW_Main_Break</t>
        </is>
      </c>
      <c r="G19" s="5" t="n"/>
      <c r="H19" s="5" t="n"/>
      <c r="I19" s="5" t="n"/>
      <c r="J19" s="5" t="n"/>
      <c r="K19" s="5" t="n">
        <v>16</v>
      </c>
    </row>
    <row r="20">
      <c r="A20" s="5" t="n">
        <v>18</v>
      </c>
      <c r="B20" s="5" t="inlineStr">
        <is>
          <t>RPT_04_Leak Summary Status</t>
        </is>
      </c>
      <c r="C20" s="5" t="inlineStr">
        <is>
          <t>Fetwi</t>
        </is>
      </c>
      <c r="D20" s="15" t="inlineStr">
        <is>
          <t>Navya</t>
        </is>
      </c>
      <c r="E20" s="5" t="inlineStr">
        <is>
          <t>GDM_RPT</t>
        </is>
      </c>
      <c r="F20" s="5" t="inlineStr">
        <is>
          <t>DEV_GDM_DEV_DB.GDM_RPT.VW_LEAK_SUMMARY_STATUS</t>
        </is>
      </c>
      <c r="G20" s="5" t="n"/>
      <c r="H20" s="5" t="n"/>
      <c r="I20" s="5" t="n"/>
      <c r="J20" s="5" t="n"/>
      <c r="K20" s="5" t="n">
        <v>17</v>
      </c>
    </row>
    <row r="21" ht="28.8" customHeight="1" s="101">
      <c r="A21" s="5" t="n">
        <v>19</v>
      </c>
      <c r="B21" s="17" t="inlineStr">
        <is>
          <t xml:space="preserve">RPT_04_PSC Leak Printout
</t>
        </is>
      </c>
      <c r="C21" s="5" t="inlineStr">
        <is>
          <t>Fetwi</t>
        </is>
      </c>
      <c r="D21" s="15" t="inlineStr">
        <is>
          <t>Shraddha</t>
        </is>
      </c>
      <c r="E21" s="18" t="inlineStr">
        <is>
          <t>GDM_RPT</t>
        </is>
      </c>
      <c r="F21" s="5" t="inlineStr">
        <is>
          <t>DEV_GDM_DEV_DB.GDM_RPT.VW_PSC_LEAK_PRINTOUT</t>
        </is>
      </c>
      <c r="G21" s="5" t="n"/>
      <c r="H21" s="5" t="n"/>
      <c r="I21" s="5" t="n"/>
      <c r="J21" s="5" t="n"/>
      <c r="K21" s="5" t="n">
        <v>18</v>
      </c>
    </row>
    <row r="22">
      <c r="A22" s="5" t="n">
        <v>20</v>
      </c>
      <c r="B22" s="17" t="inlineStr">
        <is>
          <t>RPT_04_Leak Increase Reads</t>
        </is>
      </c>
      <c r="C22" s="5" t="inlineStr">
        <is>
          <t>Fetwi</t>
        </is>
      </c>
      <c r="D22" s="5" t="inlineStr">
        <is>
          <t>Navya</t>
        </is>
      </c>
      <c r="E22" s="18" t="inlineStr">
        <is>
          <t>GDM_RPT</t>
        </is>
      </c>
      <c r="F22" s="5" t="inlineStr">
        <is>
          <t>DEV_GDM_DEV_DB.GDM_RPT.VW_LEAK_INCREASE_READS</t>
        </is>
      </c>
      <c r="G22" s="5" t="n"/>
      <c r="H22" s="5" t="n"/>
      <c r="I22" s="5" t="n"/>
      <c r="J22" s="5" t="n"/>
      <c r="K22" s="5" t="n">
        <v>19</v>
      </c>
    </row>
    <row r="23" ht="16.5" customHeight="1" s="101">
      <c r="A23" s="94" t="n">
        <v>21</v>
      </c>
      <c r="B23" s="97" t="inlineStr">
        <is>
          <t>RPT_04_Leak Control Report</t>
        </is>
      </c>
      <c r="C23" s="96" t="inlineStr">
        <is>
          <t>Geetha</t>
        </is>
      </c>
      <c r="D23" s="99" t="inlineStr">
        <is>
          <t>Navya</t>
        </is>
      </c>
      <c r="E23" s="88" t="inlineStr">
        <is>
          <t>GDM_RPT</t>
        </is>
      </c>
      <c r="F23" s="5" t="inlineStr">
        <is>
          <t>VW_LEAK_CONTROL,</t>
        </is>
      </c>
      <c r="G23" s="5" t="n"/>
      <c r="H23" s="5" t="n"/>
      <c r="I23" s="5" t="n"/>
      <c r="J23" s="5" t="n"/>
      <c r="K23" s="5" t="n">
        <v>20</v>
      </c>
    </row>
    <row r="24" ht="14.4" customHeight="1" s="101">
      <c r="A24" s="106" t="n"/>
      <c r="B24" s="106" t="n"/>
      <c r="C24" s="106" t="n"/>
      <c r="D24" s="106" t="n"/>
      <c r="E24" s="88" t="inlineStr">
        <is>
          <t>GDM_RPT</t>
        </is>
      </c>
      <c r="F24" s="5" t="inlineStr">
        <is>
          <t>VW_LEAK_CONTROL_COMPLETE,</t>
        </is>
      </c>
      <c r="G24" s="5" t="n"/>
      <c r="H24" s="5" t="n"/>
      <c r="I24" s="5" t="n"/>
      <c r="J24" s="5" t="n"/>
      <c r="K24" s="5" t="n">
        <v>20</v>
      </c>
    </row>
    <row r="25" ht="14.4" customHeight="1" s="101">
      <c r="A25" s="106" t="n"/>
      <c r="B25" s="106" t="n"/>
      <c r="C25" s="106" t="n"/>
      <c r="D25" s="106" t="n"/>
      <c r="E25" s="88" t="inlineStr">
        <is>
          <t>GDM_RPT</t>
        </is>
      </c>
      <c r="F25" s="5" t="inlineStr">
        <is>
          <t>VW_LEAK_CONTROL_REPAIR,</t>
        </is>
      </c>
      <c r="G25" s="5" t="n"/>
      <c r="H25" s="5" t="n"/>
      <c r="I25" s="5" t="n"/>
      <c r="J25" s="5" t="n"/>
      <c r="K25" s="5" t="n">
        <v>20</v>
      </c>
    </row>
    <row r="26" ht="14.4" customHeight="1" s="101">
      <c r="A26" s="105" t="n"/>
      <c r="B26" s="106" t="n"/>
      <c r="C26" s="105" t="n"/>
      <c r="D26" s="105" t="n"/>
      <c r="E26" s="88" t="inlineStr">
        <is>
          <t>GDM_RPT</t>
        </is>
      </c>
      <c r="F26" s="21" t="inlineStr">
        <is>
          <t>VW_LEAK_CONTROL_BACKLOG.</t>
        </is>
      </c>
      <c r="G26" s="21" t="n"/>
      <c r="H26" s="21" t="n"/>
      <c r="I26" s="21" t="n"/>
      <c r="J26" s="21" t="n"/>
      <c r="K26" s="21" t="n">
        <v>20</v>
      </c>
    </row>
    <row r="27" ht="86.40000000000001" customHeight="1" s="101">
      <c r="A27" s="5" t="n">
        <v>22</v>
      </c>
      <c r="B27" s="18" t="inlineStr">
        <is>
          <t>RPT_04_Leak Life Cycle</t>
        </is>
      </c>
      <c r="C27" s="5" t="inlineStr">
        <is>
          <t xml:space="preserve">Geetha </t>
        </is>
      </c>
      <c r="D27" s="5" t="inlineStr">
        <is>
          <t>Shraddha</t>
        </is>
      </c>
      <c r="E27" s="5" t="inlineStr">
        <is>
          <t>GDM_RPT</t>
        </is>
      </c>
      <c r="F27" s="17" t="inlineStr">
        <is>
          <t>VW_LEAK_LIFE_CYCLE_REPORT_LEAK_INVENTORY
VW_Leak_Life_Cycle_Report_LeakInventoryWOSummary
VW_LEAK_LIFE_CYCLE_REPORT_LEAKRECHECKSURVEY
VW_LEAK_LIFE_CYCLE_REPORT_LEAK_READING
VW_Leak_Life_Cycle_Report_LeakRepair
VW_LEAK_LIFE_CYCLE_REPORT_LEAKREPAIRRESURVEY</t>
        </is>
      </c>
      <c r="G27" s="5" t="n"/>
      <c r="H27" s="5" t="n"/>
      <c r="I27" s="5" t="n"/>
      <c r="J27" s="5" t="n"/>
      <c r="K27" s="5" t="n">
        <v>21</v>
      </c>
    </row>
    <row r="28" ht="100.5" customHeight="1" s="101">
      <c r="A28" s="5" t="n">
        <v>23</v>
      </c>
      <c r="B28" s="18" t="inlineStr">
        <is>
          <t>RPT_04_Leak Life Cycle Legacy LMS LI</t>
        </is>
      </c>
      <c r="C28" s="5" t="n"/>
      <c r="D28" s="5" t="inlineStr">
        <is>
          <t>Navya</t>
        </is>
      </c>
      <c r="E28" s="5" t="n"/>
      <c r="F28" s="17" t="inlineStr">
        <is>
          <t>VW_DH_LEAK_LIFE_CYCLE_REPORT_LEAK_READING_LMS
VW_DH_LEAK_LIFE_CYCLE_REPORT_LEAKINVENTORY_LMS
VW_DH_LEAK_LIFE_CYCLE_REPORT_LEAKINVENTORYWOSUMMARY_LMS
VW_DH_LEAK_LIFE_CYCLE_REPORT_LEAKRECHECKSURVEY_LMS
VW_DH_LEAK_LIFE_CYCLE_REPORT_LEAKREPAIR_LMS
VW_DH_LEAK_LIFE_CYCLE_REPORT_LEAKREPAIRRESURVEY_LMS</t>
        </is>
      </c>
      <c r="G28" s="5" t="n"/>
      <c r="H28" s="5" t="n"/>
      <c r="I28" s="5" t="n"/>
      <c r="J28" s="5" t="n"/>
      <c r="K28" s="5" t="n">
        <v>22</v>
      </c>
    </row>
    <row r="29" ht="14.4" customHeight="1" s="101">
      <c r="A29" s="94" t="n">
        <v>24</v>
      </c>
      <c r="B29" s="107" t="inlineStr">
        <is>
          <t>Leak 360 Dashboard</t>
        </is>
      </c>
      <c r="C29" s="96" t="inlineStr">
        <is>
          <t>Siva</t>
        </is>
      </c>
      <c r="D29" s="16" t="inlineStr">
        <is>
          <t>Sarath</t>
        </is>
      </c>
      <c r="E29" s="16" t="inlineStr">
        <is>
          <t>GDM_RPT</t>
        </is>
      </c>
      <c r="F29" s="22" t="inlineStr">
        <is>
          <t>VW_LEAKS360_DASHBOARD</t>
        </is>
      </c>
      <c r="G29" s="5" t="n"/>
      <c r="H29" s="5" t="n"/>
      <c r="I29" s="5" t="n"/>
      <c r="J29" s="5" t="n"/>
      <c r="K29" s="5" t="n">
        <v>23</v>
      </c>
    </row>
    <row r="30" ht="14.4" customHeight="1" s="101">
      <c r="A30" s="105" t="n"/>
      <c r="B30" s="105" t="n"/>
      <c r="C30" s="105" t="n"/>
      <c r="D30" s="105" t="n"/>
      <c r="E30" s="105" t="n"/>
      <c r="F30" s="22" t="inlineStr">
        <is>
          <t>VW_LEAKS360_DASHBOARD_LEAKSWORKORDER</t>
        </is>
      </c>
      <c r="G30" s="5" t="n"/>
      <c r="H30" s="5" t="n"/>
      <c r="I30" s="5" t="n"/>
      <c r="J30" s="5" t="n"/>
      <c r="K30" s="21" t="n">
        <v>23</v>
      </c>
    </row>
    <row r="31" ht="14.4" customHeight="1" s="101">
      <c r="A31" s="94" t="n">
        <v>25</v>
      </c>
      <c r="B31" s="95" t="inlineStr">
        <is>
          <t>RPT_04_Leak Recheck Control</t>
        </is>
      </c>
      <c r="C31" s="96" t="inlineStr">
        <is>
          <t>Siva</t>
        </is>
      </c>
      <c r="D31" s="96" t="inlineStr">
        <is>
          <t>Shraddha</t>
        </is>
      </c>
      <c r="E31" s="96" t="inlineStr">
        <is>
          <t>GDM_RPT</t>
        </is>
      </c>
      <c r="F31" s="5" t="inlineStr">
        <is>
          <t>GDM_RPT.VW_LEAK_RECHECK_CONTROL_FAILED_LEAKS_R30</t>
        </is>
      </c>
      <c r="G31" s="5" t="n"/>
      <c r="H31" s="5" t="n"/>
      <c r="I31" s="5" t="n"/>
      <c r="J31" s="5" t="n"/>
      <c r="K31" s="94" t="n">
        <v>24</v>
      </c>
    </row>
    <row r="32" ht="14.4" customHeight="1" s="101">
      <c r="A32" s="106" t="n"/>
      <c r="B32" s="106" t="n"/>
      <c r="C32" s="106" t="n"/>
      <c r="D32" s="106" t="n"/>
      <c r="E32" s="96" t="inlineStr">
        <is>
          <t>GDM_RPT</t>
        </is>
      </c>
      <c r="F32" s="5" t="inlineStr">
        <is>
          <t>GDM_RPT.VW_LEAK_RECHECK_CONTROL_FMEXCEPTION</t>
        </is>
      </c>
      <c r="G32" s="5" t="n"/>
      <c r="H32" s="5" t="n"/>
      <c r="I32" s="5" t="n"/>
      <c r="J32" s="5" t="n"/>
      <c r="K32" s="106" t="n"/>
    </row>
    <row r="33">
      <c r="A33" s="106" t="n"/>
      <c r="B33" s="106" t="n"/>
      <c r="C33" s="106" t="n"/>
      <c r="D33" s="106" t="n"/>
      <c r="E33" s="96" t="inlineStr">
        <is>
          <t>GDM_RPT</t>
        </is>
      </c>
      <c r="F33" s="5" t="inlineStr">
        <is>
          <t>GDM_RPT.VW_LEAK_RECHECK_CONTROL_LEAK_EXCEPTION</t>
        </is>
      </c>
      <c r="G33" s="5" t="n"/>
      <c r="H33" s="5" t="n"/>
      <c r="I33" s="5" t="n"/>
      <c r="J33" s="5" t="n"/>
      <c r="K33" s="106" t="n"/>
    </row>
    <row r="34">
      <c r="A34" s="106" t="n"/>
      <c r="B34" s="106" t="n"/>
      <c r="C34" s="106" t="n"/>
      <c r="D34" s="106" t="n"/>
      <c r="E34" s="96" t="inlineStr">
        <is>
          <t>GDM_RPT</t>
        </is>
      </c>
      <c r="F34" s="5" t="inlineStr">
        <is>
          <t>GDM_RPT.VW_LEAK_RECHECK_CONTROL_LEAK_GRADE_CHANGE_SAME_DAY</t>
        </is>
      </c>
      <c r="G34" s="5" t="n"/>
      <c r="H34" s="5" t="n"/>
      <c r="I34" s="5" t="n"/>
      <c r="J34" s="5" t="n"/>
      <c r="K34" s="106" t="n"/>
    </row>
    <row r="35">
      <c r="A35" s="106" t="n"/>
      <c r="B35" s="106" t="n"/>
      <c r="C35" s="106" t="n"/>
      <c r="D35" s="106" t="n"/>
      <c r="E35" s="96" t="inlineStr">
        <is>
          <t>GDM_RPT</t>
        </is>
      </c>
      <c r="F35" s="5" t="n"/>
      <c r="G35" s="5" t="n"/>
      <c r="H35" s="5" t="n"/>
      <c r="I35" s="5" t="n"/>
      <c r="J35" s="5" t="n"/>
      <c r="K35" s="106" t="n"/>
    </row>
    <row r="36">
      <c r="A36" s="105" t="n"/>
      <c r="B36" s="105" t="n"/>
      <c r="C36" s="105" t="n"/>
      <c r="D36" s="105" t="n"/>
      <c r="E36" s="96" t="inlineStr">
        <is>
          <t>GDM_RPT</t>
        </is>
      </c>
      <c r="F36" s="5" t="inlineStr">
        <is>
          <t>GDM_RPT.VW_LEAK_RECHECK_CONTROL_LEAK_RECHECK_ANALYSIS</t>
        </is>
      </c>
      <c r="G36" s="5" t="n"/>
      <c r="H36" s="5" t="n"/>
      <c r="I36" s="5" t="n"/>
      <c r="J36" s="5" t="n"/>
      <c r="K36" s="105" t="n"/>
    </row>
    <row r="37">
      <c r="A37" s="5" t="n">
        <v>26</v>
      </c>
      <c r="B37" s="18" t="inlineStr">
        <is>
          <t>RPT_04_Main_Replacement Report</t>
        </is>
      </c>
      <c r="C37" s="5" t="inlineStr">
        <is>
          <t>Sreevarsha</t>
        </is>
      </c>
      <c r="D37" s="5" t="inlineStr">
        <is>
          <t>Navya</t>
        </is>
      </c>
      <c r="E37" s="5" t="n"/>
      <c r="F37" s="5" t="inlineStr">
        <is>
          <t>vw_Main_Replacement_Report</t>
        </is>
      </c>
      <c r="G37" s="5" t="n"/>
      <c r="H37" s="5" t="n"/>
      <c r="I37" s="5" t="n"/>
      <c r="J37" s="5" t="n"/>
      <c r="K37" s="5" t="n">
        <v>25</v>
      </c>
    </row>
    <row r="38">
      <c r="A38" s="5" t="n">
        <v>27</v>
      </c>
      <c r="B38" s="22" t="inlineStr">
        <is>
          <t>RPT_04_ Leak Repair Exception</t>
        </is>
      </c>
      <c r="C38" s="5" t="inlineStr">
        <is>
          <t xml:space="preserve">Geetha </t>
        </is>
      </c>
      <c r="D38" s="5" t="inlineStr">
        <is>
          <t>Shraddha</t>
        </is>
      </c>
      <c r="E38" s="5" t="n"/>
      <c r="F38" s="7" t="inlineStr">
        <is>
          <t>GDM_RPT.VW_LEAK_REPAIR_EXCEPTIONS</t>
        </is>
      </c>
      <c r="G38" s="5" t="n"/>
      <c r="H38" s="5" t="n"/>
      <c r="I38" s="5" t="n"/>
      <c r="J38" s="5" t="n"/>
      <c r="K38" s="5" t="n">
        <v>26</v>
      </c>
    </row>
    <row r="39">
      <c r="A39" s="7" t="n">
        <v>28</v>
      </c>
      <c r="B39" s="7" t="inlineStr">
        <is>
          <t>New Report called Leak_Sample_Point_Mismatch</t>
        </is>
      </c>
      <c r="C39" s="7" t="inlineStr">
        <is>
          <t>Siddu</t>
        </is>
      </c>
      <c r="D39" s="7" t="inlineStr">
        <is>
          <t>Shraddha</t>
        </is>
      </c>
      <c r="E39" s="7" t="inlineStr">
        <is>
          <t>GDM_RPT</t>
        </is>
      </c>
      <c r="F39" s="7" t="inlineStr">
        <is>
          <t>DEV_GDM_DEV_DB.GDM_RPT.VW_Leak_Sample_Point_Mismatch;</t>
        </is>
      </c>
      <c r="K39" s="7" t="n">
        <v>27</v>
      </c>
    </row>
    <row r="46">
      <c r="B46" s="23" t="inlineStr">
        <is>
          <t xml:space="preserve">* for QA/UAT/PROD  provide status for availabilty </t>
        </is>
      </c>
    </row>
  </sheetData>
  <autoFilter ref="A1:K14"/>
  <mergeCells count="18">
    <mergeCell ref="A31:A36"/>
    <mergeCell ref="K31:K36"/>
    <mergeCell ref="D23:D26"/>
    <mergeCell ref="B23:B26"/>
    <mergeCell ref="A23:A26"/>
    <mergeCell ref="A12:A13"/>
    <mergeCell ref="B12:B13"/>
    <mergeCell ref="B31:B36"/>
    <mergeCell ref="C12:C13"/>
    <mergeCell ref="D31:D36"/>
    <mergeCell ref="C29:C30"/>
    <mergeCell ref="A29:A30"/>
    <mergeCell ref="E29:E30"/>
    <mergeCell ref="D12:D13"/>
    <mergeCell ref="C23:C26"/>
    <mergeCell ref="D29:D30"/>
    <mergeCell ref="B29:B30"/>
    <mergeCell ref="C31:C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tabSelected="1" workbookViewId="0">
      <selection activeCell="J2" sqref="J2"/>
    </sheetView>
  </sheetViews>
  <sheetFormatPr baseColWidth="8" defaultRowHeight="13.8"/>
  <cols>
    <col width="25.6640625" customWidth="1" style="101" min="1" max="1"/>
    <col width="27.44140625" customWidth="1" style="101" min="2" max="2"/>
    <col width="14.88671875" customWidth="1" style="101" min="3" max="3"/>
    <col width="15.88671875" customWidth="1" style="101" min="4" max="4"/>
    <col width="22.6640625" customWidth="1" style="101" min="5" max="5"/>
    <col width="15.77734375" customWidth="1" style="101" min="6" max="6"/>
    <col width="22.6640625" customWidth="1" style="101" min="7" max="7"/>
    <col width="19.109375" customWidth="1" style="101" min="8" max="8"/>
    <col width="18.5546875" customWidth="1" style="101" min="10" max="10"/>
  </cols>
  <sheetData>
    <row r="1">
      <c r="A1" t="inlineStr">
        <is>
          <t>Domain</t>
        </is>
      </c>
      <c r="B1" t="inlineStr">
        <is>
          <t>Status</t>
        </is>
      </c>
      <c r="C1" t="inlineStr">
        <is>
          <t>Expected Release Date</t>
        </is>
      </c>
      <c r="D1" t="inlineStr">
        <is>
          <t>Actual Release Date</t>
        </is>
      </c>
      <c r="E1" t="inlineStr">
        <is>
          <t>Report Name</t>
        </is>
      </c>
      <c r="F1" t="inlineStr">
        <is>
          <t xml:space="preserve">DB Developers </t>
        </is>
      </c>
      <c r="G1" t="inlineStr">
        <is>
          <t>PBI Developers</t>
        </is>
      </c>
      <c r="H1" t="inlineStr">
        <is>
          <t>Schema</t>
        </is>
      </c>
      <c r="I1" t="inlineStr">
        <is>
          <t>PO</t>
        </is>
      </c>
      <c r="J1" t="inlineStr">
        <is>
          <t>Status Start Date</t>
        </is>
      </c>
    </row>
    <row r="2">
      <c r="A2" t="inlineStr">
        <is>
          <t>Leaks</t>
        </is>
      </c>
      <c r="B2" t="inlineStr">
        <is>
          <t>DEV</t>
        </is>
      </c>
      <c r="C2" s="1" t="n">
        <v>46142</v>
      </c>
      <c r="D2" s="1" t="n">
        <v>46142</v>
      </c>
      <c r="E2" t="inlineStr">
        <is>
          <t>RPT_04_Active Leaks</t>
        </is>
      </c>
      <c r="F2" t="inlineStr">
        <is>
          <t>Fetwi</t>
        </is>
      </c>
      <c r="G2" t="inlineStr">
        <is>
          <t>Sarath</t>
        </is>
      </c>
      <c r="H2" t="inlineStr">
        <is>
          <t>GDM_RPT</t>
        </is>
      </c>
      <c r="I2" t="inlineStr">
        <is>
          <t>PO1</t>
        </is>
      </c>
      <c r="J2" s="1" t="n">
        <v>46121</v>
      </c>
    </row>
    <row r="3">
      <c r="A3" t="inlineStr">
        <is>
          <t>Leaks</t>
        </is>
      </c>
      <c r="B3" t="inlineStr">
        <is>
          <t>DEV</t>
        </is>
      </c>
      <c r="C3" s="1" t="n">
        <v>46142</v>
      </c>
      <c r="D3" s="1" t="n">
        <v>46142</v>
      </c>
      <c r="E3" t="inlineStr">
        <is>
          <t>RPT_04_Count of Active Leaks On Hand</t>
        </is>
      </c>
      <c r="F3" t="inlineStr">
        <is>
          <t>Fetwi</t>
        </is>
      </c>
      <c r="G3" t="inlineStr">
        <is>
          <t>Sarath</t>
        </is>
      </c>
      <c r="H3" t="inlineStr">
        <is>
          <t>GDM_RPT</t>
        </is>
      </c>
      <c r="I3" t="inlineStr">
        <is>
          <t>PO1</t>
        </is>
      </c>
      <c r="J3" s="1" t="n">
        <v>46121</v>
      </c>
    </row>
    <row r="4">
      <c r="A4" t="inlineStr">
        <is>
          <t>Leaks</t>
        </is>
      </c>
      <c r="B4" t="inlineStr">
        <is>
          <t>DEV</t>
        </is>
      </c>
      <c r="C4" s="1" t="n">
        <v>46142</v>
      </c>
      <c r="D4" s="1" t="n">
        <v>46142</v>
      </c>
      <c r="E4" t="inlineStr">
        <is>
          <t>RPT_04_Leak Scheduling</t>
        </is>
      </c>
      <c r="F4" t="inlineStr">
        <is>
          <t>Sreevarsha</t>
        </is>
      </c>
      <c r="G4" t="inlineStr">
        <is>
          <t>Sarath</t>
        </is>
      </c>
      <c r="H4" t="inlineStr">
        <is>
          <t>GDM_RPT</t>
        </is>
      </c>
      <c r="I4" t="inlineStr">
        <is>
          <t>PO1</t>
        </is>
      </c>
      <c r="J4" s="1" t="n">
        <v>46121</v>
      </c>
    </row>
    <row r="5">
      <c r="A5" t="inlineStr">
        <is>
          <t>Leaks</t>
        </is>
      </c>
      <c r="B5" t="inlineStr">
        <is>
          <t>QA</t>
        </is>
      </c>
      <c r="C5" s="1" t="n">
        <v>46142</v>
      </c>
      <c r="D5" s="1" t="n">
        <v>46142</v>
      </c>
      <c r="E5" t="inlineStr">
        <is>
          <t>RPT_04_Leak Days Remaining</t>
        </is>
      </c>
      <c r="F5" t="inlineStr">
        <is>
          <t>Siva</t>
        </is>
      </c>
      <c r="G5" t="inlineStr">
        <is>
          <t>Navya</t>
        </is>
      </c>
      <c r="H5" t="inlineStr">
        <is>
          <t>GDM_RPT</t>
        </is>
      </c>
      <c r="I5" t="inlineStr">
        <is>
          <t>PO1</t>
        </is>
      </c>
      <c r="J5" s="1" t="n">
        <v>46128</v>
      </c>
    </row>
    <row r="6">
      <c r="A6" t="inlineStr">
        <is>
          <t>Leaks</t>
        </is>
      </c>
      <c r="B6" t="inlineStr">
        <is>
          <t>In Production</t>
        </is>
      </c>
      <c r="C6" s="1" t="n">
        <v>46142</v>
      </c>
      <c r="D6" s="1" t="n">
        <v>46142</v>
      </c>
      <c r="E6" t="inlineStr">
        <is>
          <t>RPT_04_Cleared Leaks</t>
        </is>
      </c>
      <c r="F6" t="inlineStr">
        <is>
          <t>Sreevarsha</t>
        </is>
      </c>
      <c r="G6" t="inlineStr">
        <is>
          <t>Sarath</t>
        </is>
      </c>
      <c r="H6" t="inlineStr">
        <is>
          <t>GDM_RPT</t>
        </is>
      </c>
      <c r="I6" t="inlineStr">
        <is>
          <t>PO1</t>
        </is>
      </c>
      <c r="J6" s="1" t="n">
        <v>46142</v>
      </c>
    </row>
    <row r="7">
      <c r="A7" t="inlineStr">
        <is>
          <t>Leaks</t>
        </is>
      </c>
      <c r="B7" t="inlineStr">
        <is>
          <t>In Production</t>
        </is>
      </c>
      <c r="C7" s="1" t="n">
        <v>46142</v>
      </c>
      <c r="D7" s="1" t="n">
        <v>46142</v>
      </c>
      <c r="E7" t="inlineStr">
        <is>
          <t>RPT_04_Leaks Repaired Detail</t>
        </is>
      </c>
      <c r="F7" t="inlineStr">
        <is>
          <t>Rupa</t>
        </is>
      </c>
      <c r="G7" t="inlineStr">
        <is>
          <t>Shraddha</t>
        </is>
      </c>
      <c r="H7" t="inlineStr">
        <is>
          <t>GDM_RPT</t>
        </is>
      </c>
      <c r="I7" t="inlineStr">
        <is>
          <t>PO1</t>
        </is>
      </c>
      <c r="J7" s="1" t="n">
        <v>46142</v>
      </c>
    </row>
    <row r="8">
      <c r="A8" t="inlineStr">
        <is>
          <t>Leaks</t>
        </is>
      </c>
      <c r="B8" t="inlineStr">
        <is>
          <t>UAT</t>
        </is>
      </c>
      <c r="C8" s="1" t="n">
        <v>46142</v>
      </c>
      <c r="D8" s="1" t="n">
        <v>46142</v>
      </c>
      <c r="E8" t="inlineStr">
        <is>
          <t>RPT_04_Leaks Aging</t>
        </is>
      </c>
      <c r="F8" t="inlineStr">
        <is>
          <t>Sreevarsha</t>
        </is>
      </c>
      <c r="G8" t="inlineStr">
        <is>
          <t>Navya</t>
        </is>
      </c>
      <c r="H8" t="inlineStr">
        <is>
          <t>GDM_RPT</t>
        </is>
      </c>
      <c r="I8" t="inlineStr">
        <is>
          <t>PO1</t>
        </is>
      </c>
      <c r="J8" s="1" t="n">
        <v>46132</v>
      </c>
    </row>
    <row r="9">
      <c r="A9" t="inlineStr">
        <is>
          <t>Leaks</t>
        </is>
      </c>
      <c r="B9" t="inlineStr">
        <is>
          <t>QA</t>
        </is>
      </c>
      <c r="C9" s="1" t="n">
        <v>46142</v>
      </c>
      <c r="D9" s="1" t="n">
        <v>46149</v>
      </c>
      <c r="E9" t="inlineStr">
        <is>
          <t>RPT_04_Prior Leak Readings</t>
        </is>
      </c>
      <c r="F9" t="inlineStr">
        <is>
          <t>Siddhu</t>
        </is>
      </c>
      <c r="G9" t="inlineStr">
        <is>
          <t>Navya</t>
        </is>
      </c>
      <c r="H9" t="inlineStr">
        <is>
          <t>GDM_RPT</t>
        </is>
      </c>
      <c r="I9" t="inlineStr">
        <is>
          <t>PO1</t>
        </is>
      </c>
      <c r="J9" s="1" t="n">
        <v>46135</v>
      </c>
    </row>
    <row r="10">
      <c r="A10" t="inlineStr">
        <is>
          <t>Leaks</t>
        </is>
      </c>
      <c r="B10" t="inlineStr">
        <is>
          <t>QA</t>
        </is>
      </c>
      <c r="C10" s="1" t="n">
        <v>46172</v>
      </c>
      <c r="D10" s="1" t="n">
        <v>46170</v>
      </c>
      <c r="E10" t="inlineStr">
        <is>
          <t>RSS_04_Leak Grade Change History</t>
        </is>
      </c>
      <c r="F10" t="inlineStr">
        <is>
          <t>Siva</t>
        </is>
      </c>
      <c r="G10" t="inlineStr">
        <is>
          <t>Navya</t>
        </is>
      </c>
      <c r="H10" t="inlineStr">
        <is>
          <t>GDM_RPT</t>
        </is>
      </c>
      <c r="I10" t="inlineStr">
        <is>
          <t>PO1</t>
        </is>
      </c>
      <c r="J10" s="1" t="n">
        <v>46156</v>
      </c>
    </row>
    <row r="11">
      <c r="A11" t="inlineStr">
        <is>
          <t>Leaks</t>
        </is>
      </c>
      <c r="B11" t="inlineStr">
        <is>
          <t>QA</t>
        </is>
      </c>
      <c r="C11" s="1" t="n">
        <v>46172</v>
      </c>
      <c r="D11" s="1" t="n">
        <v>46170</v>
      </c>
      <c r="E11" t="inlineStr">
        <is>
          <t xml:space="preserve">RPT_04_Rechecks Completed less than 14 days   </t>
        </is>
      </c>
      <c r="F11" t="inlineStr">
        <is>
          <t>Rupa</t>
        </is>
      </c>
      <c r="G11" t="inlineStr">
        <is>
          <t>Shraddha</t>
        </is>
      </c>
      <c r="H11" t="inlineStr">
        <is>
          <t>GDM_RPT</t>
        </is>
      </c>
      <c r="I11" t="inlineStr">
        <is>
          <t>PO1</t>
        </is>
      </c>
      <c r="J11" s="1" t="n">
        <v>46156</v>
      </c>
    </row>
    <row r="12">
      <c r="A12" t="inlineStr">
        <is>
          <t>Leaks</t>
        </is>
      </c>
      <c r="B12" t="inlineStr">
        <is>
          <t>QA</t>
        </is>
      </c>
      <c r="C12" s="1" t="n">
        <v>46172</v>
      </c>
      <c r="D12" s="1" t="n">
        <v>46170</v>
      </c>
      <c r="E12" t="inlineStr">
        <is>
          <t>RPT_04_SEI Leak Activity</t>
        </is>
      </c>
      <c r="F12" t="inlineStr">
        <is>
          <t>Siva</t>
        </is>
      </c>
      <c r="G12" t="inlineStr">
        <is>
          <t>Shraddha</t>
        </is>
      </c>
      <c r="H12" t="inlineStr">
        <is>
          <t>GDM_RPT</t>
        </is>
      </c>
      <c r="I12" t="inlineStr">
        <is>
          <t>PO1</t>
        </is>
      </c>
      <c r="J12" s="1" t="n">
        <v>46156</v>
      </c>
    </row>
    <row r="13">
      <c r="A13" t="inlineStr">
        <is>
          <t>Leaks</t>
        </is>
      </c>
      <c r="B13" t="inlineStr">
        <is>
          <t>DEV</t>
        </is>
      </c>
      <c r="C13" s="1" t="n">
        <v>46172</v>
      </c>
      <c r="D13" s="1" t="n">
        <v>46170</v>
      </c>
      <c r="E13" t="inlineStr">
        <is>
          <t>RPT_04_PSC Quarterly Leak</t>
        </is>
      </c>
      <c r="F13" t="inlineStr">
        <is>
          <t>Geetha</t>
        </is>
      </c>
      <c r="G13" t="inlineStr">
        <is>
          <t>Sarath</t>
        </is>
      </c>
      <c r="H13" t="inlineStr">
        <is>
          <t>GDM_RPT</t>
        </is>
      </c>
      <c r="I13" t="inlineStr">
        <is>
          <t>PO1</t>
        </is>
      </c>
      <c r="J13" s="1" t="n">
        <v>46149</v>
      </c>
    </row>
    <row r="14">
      <c r="A14" t="inlineStr">
        <is>
          <t>Leaks</t>
        </is>
      </c>
      <c r="B14" t="inlineStr">
        <is>
          <t>In Production</t>
        </is>
      </c>
      <c r="C14" s="1" t="n">
        <v>46172</v>
      </c>
      <c r="D14" s="1" t="n">
        <v>46177</v>
      </c>
      <c r="E14" t="inlineStr">
        <is>
          <t>RPT_04_Surveillances With Zero Readings</t>
        </is>
      </c>
      <c r="F14" t="inlineStr">
        <is>
          <t>Sreevarsha</t>
        </is>
      </c>
      <c r="G14" t="inlineStr">
        <is>
          <t>Navya</t>
        </is>
      </c>
      <c r="H14" t="inlineStr">
        <is>
          <t>GDM_RPT</t>
        </is>
      </c>
      <c r="I14" t="inlineStr">
        <is>
          <t>PO1</t>
        </is>
      </c>
      <c r="J14" s="1" t="n">
        <v>46177</v>
      </c>
    </row>
    <row r="15">
      <c r="A15" t="inlineStr">
        <is>
          <t>Leaks</t>
        </is>
      </c>
      <c r="B15" t="inlineStr">
        <is>
          <t>In Production</t>
        </is>
      </c>
      <c r="C15" s="1" t="n">
        <v>46172</v>
      </c>
      <c r="D15" s="1" t="n">
        <v>46177</v>
      </c>
      <c r="E15" t="inlineStr">
        <is>
          <t>RPT_04 High Emitter leaks</t>
        </is>
      </c>
      <c r="F15" t="inlineStr">
        <is>
          <t>Sreevarsha</t>
        </is>
      </c>
      <c r="G15" t="inlineStr">
        <is>
          <t>Navya</t>
        </is>
      </c>
      <c r="H15" t="inlineStr">
        <is>
          <t>GDM_RPT</t>
        </is>
      </c>
      <c r="I15" t="inlineStr">
        <is>
          <t>PO1</t>
        </is>
      </c>
      <c r="J15" s="1" t="n">
        <v>46177</v>
      </c>
    </row>
    <row r="16">
      <c r="A16" t="inlineStr">
        <is>
          <t>Leaks</t>
        </is>
      </c>
      <c r="B16" t="inlineStr">
        <is>
          <t>In Production</t>
        </is>
      </c>
      <c r="C16" s="1" t="n">
        <v>46172</v>
      </c>
      <c r="D16" s="1" t="n">
        <v>46184</v>
      </c>
      <c r="E16" t="inlineStr">
        <is>
          <t>RPT_04_School Zone Leaks Without Repair</t>
        </is>
      </c>
      <c r="F16" t="inlineStr">
        <is>
          <t>Sreevarsha</t>
        </is>
      </c>
      <c r="G16" t="inlineStr">
        <is>
          <t>Sarath</t>
        </is>
      </c>
      <c r="H16" t="inlineStr">
        <is>
          <t>GDM_RPT</t>
        </is>
      </c>
      <c r="I16" t="inlineStr">
        <is>
          <t>PO1</t>
        </is>
      </c>
      <c r="J16" s="1" t="n">
        <v>46184</v>
      </c>
    </row>
    <row r="17">
      <c r="A17" t="inlineStr">
        <is>
          <t>Leaks</t>
        </is>
      </c>
      <c r="B17" t="inlineStr">
        <is>
          <t>UAT</t>
        </is>
      </c>
      <c r="C17" s="1" t="n">
        <v>46172</v>
      </c>
      <c r="D17" s="1" t="n">
        <v>46184</v>
      </c>
      <c r="E17" t="inlineStr">
        <is>
          <t>RPT_04_CMS Leak Productivity</t>
        </is>
      </c>
      <c r="F17" t="inlineStr">
        <is>
          <t>Siddu</t>
        </is>
      </c>
      <c r="G17" t="inlineStr">
        <is>
          <t>Navya</t>
        </is>
      </c>
      <c r="H17" t="inlineStr">
        <is>
          <t>GDM_RPT</t>
        </is>
      </c>
      <c r="I17" t="inlineStr">
        <is>
          <t>PO1</t>
        </is>
      </c>
      <c r="J17" s="1" t="n">
        <v>46174</v>
      </c>
    </row>
    <row r="18">
      <c r="A18" t="inlineStr">
        <is>
          <t>Leaks</t>
        </is>
      </c>
      <c r="B18" t="inlineStr">
        <is>
          <t>UAT</t>
        </is>
      </c>
      <c r="C18" s="1" t="n">
        <v>46172</v>
      </c>
      <c r="D18" s="1" t="n">
        <v>46191</v>
      </c>
      <c r="E18" t="inlineStr">
        <is>
          <t>RPT_04_Main Break Corrosion and Leak Cluster</t>
        </is>
      </c>
      <c r="F18" t="inlineStr">
        <is>
          <t>Siddu</t>
        </is>
      </c>
      <c r="G18" t="inlineStr">
        <is>
          <t>Sarath</t>
        </is>
      </c>
      <c r="H18" t="inlineStr">
        <is>
          <t>GDM_RPT</t>
        </is>
      </c>
      <c r="I18" t="inlineStr">
        <is>
          <t>PO1</t>
        </is>
      </c>
      <c r="J18" s="1" t="n">
        <v>46181</v>
      </c>
    </row>
    <row r="19">
      <c r="A19" t="inlineStr">
        <is>
          <t>Leaks</t>
        </is>
      </c>
      <c r="B19" t="inlineStr">
        <is>
          <t>UAT</t>
        </is>
      </c>
      <c r="C19" s="1" t="n">
        <v>46172</v>
      </c>
      <c r="D19" s="1" t="n">
        <v>46191</v>
      </c>
      <c r="E19" t="inlineStr">
        <is>
          <t>RPT_04_Leak Summary Status</t>
        </is>
      </c>
      <c r="F19" t="inlineStr">
        <is>
          <t>Fetwi</t>
        </is>
      </c>
      <c r="G19" t="inlineStr">
        <is>
          <t>Navya</t>
        </is>
      </c>
      <c r="H19" t="inlineStr">
        <is>
          <t>GDM_RPT</t>
        </is>
      </c>
      <c r="I19" t="inlineStr">
        <is>
          <t>PO1</t>
        </is>
      </c>
      <c r="J19" s="1" t="n">
        <v>46181</v>
      </c>
    </row>
    <row r="20">
      <c r="A20" t="inlineStr">
        <is>
          <t>Leaks</t>
        </is>
      </c>
      <c r="B20" t="inlineStr">
        <is>
          <t>DEV</t>
        </is>
      </c>
      <c r="C20" s="1" t="n">
        <v>46203</v>
      </c>
      <c r="D20" s="1" t="n">
        <v>46184</v>
      </c>
      <c r="E20" t="inlineStr">
        <is>
          <t xml:space="preserve">RPT_04_PSC Leak Printout
</t>
        </is>
      </c>
      <c r="F20" t="inlineStr">
        <is>
          <t>Fetwi</t>
        </is>
      </c>
      <c r="G20" t="inlineStr">
        <is>
          <t>Shraddha</t>
        </is>
      </c>
      <c r="H20" t="inlineStr">
        <is>
          <t>GDM_RPT</t>
        </is>
      </c>
      <c r="I20" t="inlineStr">
        <is>
          <t>PO1</t>
        </is>
      </c>
      <c r="J20" s="1" t="n">
        <v>46163</v>
      </c>
    </row>
    <row r="21">
      <c r="A21" t="inlineStr">
        <is>
          <t>Leaks</t>
        </is>
      </c>
      <c r="B21" t="inlineStr">
        <is>
          <t>DEV</t>
        </is>
      </c>
      <c r="C21" s="1" t="n">
        <v>46203</v>
      </c>
      <c r="D21" s="1" t="n">
        <v>46191</v>
      </c>
      <c r="E21" t="inlineStr">
        <is>
          <t>RPT_04_Leak Increase Reads</t>
        </is>
      </c>
      <c r="F21" t="inlineStr">
        <is>
          <t>Fetwi</t>
        </is>
      </c>
      <c r="G21" t="inlineStr">
        <is>
          <t>Navya</t>
        </is>
      </c>
      <c r="H21" t="inlineStr">
        <is>
          <t>GDM_RPT</t>
        </is>
      </c>
      <c r="I21" t="inlineStr">
        <is>
          <t>PO1</t>
        </is>
      </c>
      <c r="J21" s="1" t="n">
        <v>46170</v>
      </c>
    </row>
    <row r="22">
      <c r="A22" t="inlineStr">
        <is>
          <t>Leaks</t>
        </is>
      </c>
      <c r="B22" t="inlineStr">
        <is>
          <t>DEV</t>
        </is>
      </c>
      <c r="C22" s="1" t="n">
        <v>46203</v>
      </c>
      <c r="D22" s="1" t="n">
        <v>46198</v>
      </c>
      <c r="E22" t="inlineStr">
        <is>
          <t>RPT_04_Leak Control Report</t>
        </is>
      </c>
      <c r="F22" t="inlineStr">
        <is>
          <t>Geetha</t>
        </is>
      </c>
      <c r="G22" t="inlineStr">
        <is>
          <t>Navya</t>
        </is>
      </c>
      <c r="H22" t="inlineStr">
        <is>
          <t>GDM_RPT</t>
        </is>
      </c>
      <c r="I22" t="inlineStr">
        <is>
          <t>PO1</t>
        </is>
      </c>
      <c r="J22" s="1" t="n">
        <v>46177</v>
      </c>
    </row>
    <row r="23">
      <c r="A23" t="inlineStr">
        <is>
          <t>CMS</t>
        </is>
      </c>
      <c r="B23" t="inlineStr">
        <is>
          <t>Not Started</t>
        </is>
      </c>
      <c r="C23" s="1" t="n">
        <v>46233</v>
      </c>
      <c r="D23" s="1" t="n">
        <v>46215</v>
      </c>
      <c r="E23" t="inlineStr">
        <is>
          <t>RPT_02_CO Flue Warning Tag Control</t>
        </is>
      </c>
      <c r="F23" t="inlineStr">
        <is>
          <t>Rupa</t>
        </is>
      </c>
      <c r="G23" t="inlineStr">
        <is>
          <t>Navya</t>
        </is>
      </c>
      <c r="I23" t="inlineStr">
        <is>
          <t>PO2</t>
        </is>
      </c>
      <c r="J23" s="1" t="n">
        <v>46201</v>
      </c>
    </row>
    <row r="24">
      <c r="A24" t="inlineStr">
        <is>
          <t>CMS</t>
        </is>
      </c>
      <c r="B24" t="inlineStr">
        <is>
          <t>Not Started</t>
        </is>
      </c>
      <c r="C24" s="1" t="n">
        <v>46233</v>
      </c>
      <c r="D24" s="1" t="n">
        <v>46212</v>
      </c>
      <c r="E24" t="inlineStr">
        <is>
          <t>RPT_02_Warning Tag HEFPA</t>
        </is>
      </c>
      <c r="F24" t="inlineStr">
        <is>
          <t>Sree</t>
        </is>
      </c>
      <c r="G24" t="inlineStr">
        <is>
          <t>Shraddha</t>
        </is>
      </c>
      <c r="H24" t="inlineStr">
        <is>
          <t>GDM_RPT</t>
        </is>
      </c>
      <c r="I24" t="inlineStr">
        <is>
          <t>PO2</t>
        </is>
      </c>
      <c r="J24" s="1" t="n">
        <v>46198</v>
      </c>
    </row>
    <row r="25">
      <c r="A25" t="inlineStr">
        <is>
          <t>CMS</t>
        </is>
      </c>
      <c r="B25" t="inlineStr">
        <is>
          <t>DEV</t>
        </is>
      </c>
      <c r="C25" s="1" t="n">
        <v>46239</v>
      </c>
      <c r="E25" t="inlineStr">
        <is>
          <t>RPT_02_Warning tag Printout</t>
        </is>
      </c>
      <c r="F25" t="inlineStr">
        <is>
          <t>Sree</t>
        </is>
      </c>
      <c r="G25" t="inlineStr">
        <is>
          <t>Navya</t>
        </is>
      </c>
      <c r="I25" t="inlineStr">
        <is>
          <t>PO2</t>
        </is>
      </c>
      <c r="J25" s="1" t="n">
        <v>46219</v>
      </c>
    </row>
    <row r="26">
      <c r="A26" t="inlineStr">
        <is>
          <t>CMS</t>
        </is>
      </c>
      <c r="B26" t="inlineStr">
        <is>
          <t>DEV</t>
        </is>
      </c>
      <c r="C26" s="1" t="n">
        <v>46231</v>
      </c>
      <c r="E26" t="inlineStr">
        <is>
          <t>RPT_02_Corrosion</t>
        </is>
      </c>
      <c r="F26" t="inlineStr">
        <is>
          <t>Siva</t>
        </is>
      </c>
      <c r="G26" t="inlineStr">
        <is>
          <t>Sarath</t>
        </is>
      </c>
      <c r="I26" t="inlineStr">
        <is>
          <t>PO2</t>
        </is>
      </c>
      <c r="J26" s="1" t="n">
        <v>46219</v>
      </c>
    </row>
    <row r="27">
      <c r="A27" t="inlineStr">
        <is>
          <t>CMS</t>
        </is>
      </c>
      <c r="B27" t="inlineStr">
        <is>
          <t>DEV</t>
        </is>
      </c>
      <c r="C27" s="1" t="n">
        <v>46246</v>
      </c>
      <c r="E27" t="inlineStr">
        <is>
          <t>RPT_02_House Pipe Test Comment Control</t>
        </is>
      </c>
      <c r="F27" t="inlineStr">
        <is>
          <t>Geeta</t>
        </is>
      </c>
      <c r="G27" t="inlineStr">
        <is>
          <t>Shraddha</t>
        </is>
      </c>
      <c r="H27" t="inlineStr">
        <is>
          <t>GDM_RPT</t>
        </is>
      </c>
      <c r="I27" t="inlineStr">
        <is>
          <t>PO2</t>
        </is>
      </c>
      <c r="J27" s="1" t="n">
        <v>46219</v>
      </c>
    </row>
    <row r="28">
      <c r="A28" t="inlineStr">
        <is>
          <t>CMS</t>
        </is>
      </c>
      <c r="B28" t="inlineStr">
        <is>
          <t>Not Started</t>
        </is>
      </c>
      <c r="C28" s="1" t="n">
        <v>46233</v>
      </c>
      <c r="E28" t="inlineStr">
        <is>
          <t>RPT_02 _Required Regulator Inspection Performed Control</t>
        </is>
      </c>
      <c r="F28" t="inlineStr">
        <is>
          <t>Siddu</t>
        </is>
      </c>
      <c r="G28" t="inlineStr">
        <is>
          <t>Navya</t>
        </is>
      </c>
      <c r="H28" t="inlineStr">
        <is>
          <t>GDM_RPT</t>
        </is>
      </c>
      <c r="I28" t="inlineStr">
        <is>
          <t>PO2</t>
        </is>
      </c>
      <c r="J28" s="1" t="n">
        <v>46219</v>
      </c>
    </row>
    <row r="29">
      <c r="A29" t="inlineStr">
        <is>
          <t>CMS</t>
        </is>
      </c>
      <c r="B29" t="inlineStr">
        <is>
          <t>Not Started</t>
        </is>
      </c>
      <c r="C29" s="1" t="n">
        <v>46233</v>
      </c>
      <c r="E29" t="inlineStr">
        <is>
          <t>RPT_02_Service Regulator Inspections</t>
        </is>
      </c>
      <c r="F29" t="inlineStr">
        <is>
          <t>Sree</t>
        </is>
      </c>
      <c r="G29" t="inlineStr">
        <is>
          <t>Sarath</t>
        </is>
      </c>
      <c r="H29" t="inlineStr">
        <is>
          <t>GDM_RPT</t>
        </is>
      </c>
      <c r="I29" t="inlineStr">
        <is>
          <t>PO2</t>
        </is>
      </c>
      <c r="J29" s="1" t="n">
        <v>46219</v>
      </c>
    </row>
    <row r="30">
      <c r="A30" t="inlineStr">
        <is>
          <t>Maintenance and Construction</t>
        </is>
      </c>
      <c r="C30" s="1" t="n">
        <v>46386</v>
      </c>
      <c r="E30" t="inlineStr">
        <is>
          <t>RPT_02_Service Regulator Inspection Printout</t>
        </is>
      </c>
      <c r="F30" t="inlineStr">
        <is>
          <t>Sree</t>
        </is>
      </c>
      <c r="G30" t="inlineStr">
        <is>
          <t>Sarath</t>
        </is>
      </c>
      <c r="H30" t="inlineStr">
        <is>
          <t>GDM_RPT</t>
        </is>
      </c>
      <c r="I30" t="inlineStr">
        <is>
          <t>PO3</t>
        </is>
      </c>
      <c r="J30" s="1" t="n">
        <v>46356</v>
      </c>
    </row>
    <row r="31">
      <c r="A31" t="inlineStr">
        <is>
          <t>Maintenance and Construction</t>
        </is>
      </c>
      <c r="C31" s="1" t="n">
        <v>46417</v>
      </c>
      <c r="E31" t="inlineStr">
        <is>
          <t>RPT_02_20 Year Regulator Inspection</t>
        </is>
      </c>
      <c r="F31" t="inlineStr">
        <is>
          <t>Siddu</t>
        </is>
      </c>
      <c r="G31" t="inlineStr">
        <is>
          <t>Navya</t>
        </is>
      </c>
      <c r="I31" t="inlineStr">
        <is>
          <t>PO3</t>
        </is>
      </c>
      <c r="J31" s="1" t="n">
        <v>46387</v>
      </c>
    </row>
    <row r="32">
      <c r="A32" t="inlineStr">
        <is>
          <t>Maintenance and Construction</t>
        </is>
      </c>
      <c r="C32" s="1" t="n">
        <v>46446</v>
      </c>
      <c r="E32" t="inlineStr">
        <is>
          <t>RPT_02_Fixed Factor</t>
        </is>
      </c>
      <c r="F32" t="inlineStr">
        <is>
          <t>Nick</t>
        </is>
      </c>
      <c r="G32" t="inlineStr">
        <is>
          <t>Shraddha</t>
        </is>
      </c>
      <c r="I32" t="inlineStr">
        <is>
          <t>PO3</t>
        </is>
      </c>
      <c r="J32" s="1" t="n">
        <v>46416</v>
      </c>
    </row>
    <row r="33">
      <c r="A33" t="inlineStr">
        <is>
          <t>Maintenance and Construction</t>
        </is>
      </c>
      <c r="C33" s="1" t="n">
        <v>46386</v>
      </c>
      <c r="E33" t="inlineStr">
        <is>
          <t>RPT_02_Fixed Factor Printout</t>
        </is>
      </c>
      <c r="F33" t="inlineStr">
        <is>
          <t>Nick</t>
        </is>
      </c>
      <c r="G33" t="inlineStr">
        <is>
          <t>Shraddha</t>
        </is>
      </c>
      <c r="I33" t="inlineStr">
        <is>
          <t>PO3</t>
        </is>
      </c>
      <c r="J33" s="1" t="n">
        <v>46356</v>
      </c>
    </row>
    <row r="34">
      <c r="A34" t="inlineStr">
        <is>
          <t>Maintenance and Construction</t>
        </is>
      </c>
      <c r="C34" s="1" t="n">
        <v>46417</v>
      </c>
      <c r="E34" t="inlineStr">
        <is>
          <t>RPT_02_Fixed Factor Mismatch</t>
        </is>
      </c>
      <c r="F34" t="inlineStr">
        <is>
          <t>Rupa</t>
        </is>
      </c>
      <c r="G34" t="inlineStr">
        <is>
          <t>Sarath</t>
        </is>
      </c>
      <c r="I34" t="inlineStr">
        <is>
          <t>PO3</t>
        </is>
      </c>
      <c r="J34" s="1" t="n">
        <v>46387</v>
      </c>
    </row>
    <row r="35">
      <c r="A35" t="inlineStr">
        <is>
          <t>Maintenance and Construction</t>
        </is>
      </c>
      <c r="C35" s="1" t="n">
        <v>46446</v>
      </c>
      <c r="E35" t="inlineStr">
        <is>
          <t>RPT_02_Work Order Completion Printout</t>
        </is>
      </c>
      <c r="F35" t="inlineStr">
        <is>
          <t>Rupa</t>
        </is>
      </c>
      <c r="G35" t="inlineStr">
        <is>
          <t>Sarath</t>
        </is>
      </c>
      <c r="I35" t="inlineStr">
        <is>
          <t>PO3</t>
        </is>
      </c>
      <c r="J35" s="1" t="n">
        <v>46416</v>
      </c>
    </row>
    <row r="36">
      <c r="A36" t="inlineStr">
        <is>
          <t>Meter Management</t>
        </is>
      </c>
      <c r="C36" s="1" t="n">
        <v>46476</v>
      </c>
      <c r="E36" t="inlineStr">
        <is>
          <t>RPT_02_GRO Control</t>
        </is>
      </c>
      <c r="F36" t="inlineStr">
        <is>
          <t>Siva</t>
        </is>
      </c>
      <c r="G36" t="inlineStr">
        <is>
          <t>Navya</t>
        </is>
      </c>
      <c r="I36" t="inlineStr">
        <is>
          <t>PO3</t>
        </is>
      </c>
      <c r="J36" s="1" t="n">
        <v>46446</v>
      </c>
    </row>
    <row r="37">
      <c r="A37" t="inlineStr">
        <is>
          <t>Assets and Engineering</t>
        </is>
      </c>
      <c r="C37" s="1" t="n">
        <v>46476</v>
      </c>
      <c r="E37" t="inlineStr">
        <is>
          <t>RPT_02_GRO Monitor</t>
        </is>
      </c>
      <c r="G37" t="inlineStr">
        <is>
          <t>Navya</t>
        </is>
      </c>
      <c r="I37" t="inlineStr">
        <is>
          <t>PO3</t>
        </is>
      </c>
      <c r="J37" s="1" t="n">
        <v>46446</v>
      </c>
    </row>
  </sheetData>
  <pageMargins left="0.7" right="0.7" top="0.75" bottom="0.75" header="0.3" footer="0.3"/>
  <headerFooter>
    <oddHeader/>
    <oddFooter>&amp;L&amp;"Aptos"&amp;10 &amp;K000000_x000d_# This content is for internal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B5" sqref="B5"/>
    </sheetView>
  </sheetViews>
  <sheetFormatPr baseColWidth="8" defaultRowHeight="13.8"/>
  <cols>
    <col width="27.88671875" customWidth="1" style="101" min="1" max="1"/>
    <col width="33" customWidth="1" style="101" min="2" max="2"/>
    <col width="22.6640625" customWidth="1" style="101" min="3" max="3"/>
  </cols>
  <sheetData>
    <row r="1">
      <c r="A1" t="inlineStr">
        <is>
          <t>Domain</t>
        </is>
      </c>
      <c r="B1" t="inlineStr">
        <is>
          <t>Expected Report Count</t>
        </is>
      </c>
      <c r="C1" t="inlineStr">
        <is>
          <t>Expected Release Date</t>
        </is>
      </c>
    </row>
    <row r="2">
      <c r="A2" t="inlineStr">
        <is>
          <t>Leaks</t>
        </is>
      </c>
      <c r="B2" t="n">
        <v>8</v>
      </c>
      <c r="C2" s="1" t="n">
        <v>46142</v>
      </c>
    </row>
    <row r="3">
      <c r="A3" t="inlineStr">
        <is>
          <t>Leaks</t>
        </is>
      </c>
      <c r="B3" t="n">
        <v>10</v>
      </c>
      <c r="C3" s="1" t="n">
        <v>46172</v>
      </c>
    </row>
    <row r="4">
      <c r="A4" t="inlineStr">
        <is>
          <t>Leaks</t>
        </is>
      </c>
      <c r="B4" t="n">
        <v>9</v>
      </c>
      <c r="C4" s="1" t="n">
        <v>46203</v>
      </c>
    </row>
    <row r="5">
      <c r="A5" t="inlineStr">
        <is>
          <t>CMS</t>
        </is>
      </c>
      <c r="B5" t="n">
        <v>15</v>
      </c>
      <c r="C5" s="1" t="n">
        <v>46233</v>
      </c>
    </row>
    <row r="6">
      <c r="A6" t="inlineStr">
        <is>
          <t>CMS</t>
        </is>
      </c>
      <c r="B6" t="n">
        <v>15</v>
      </c>
      <c r="C6" s="1" t="n">
        <v>46264</v>
      </c>
    </row>
    <row r="7">
      <c r="A7" t="inlineStr">
        <is>
          <t>CMS</t>
        </is>
      </c>
      <c r="B7" t="n">
        <v>17</v>
      </c>
      <c r="C7" s="1" t="n">
        <v>46295</v>
      </c>
    </row>
    <row r="8">
      <c r="A8" t="inlineStr">
        <is>
          <t>CMS</t>
        </is>
      </c>
      <c r="B8" t="n">
        <v>20</v>
      </c>
      <c r="C8" s="1" t="n">
        <v>46325</v>
      </c>
    </row>
    <row r="9">
      <c r="A9" t="inlineStr">
        <is>
          <t>CMS</t>
        </is>
      </c>
      <c r="B9" t="n">
        <v>20</v>
      </c>
      <c r="C9" s="1" t="n">
        <v>46356</v>
      </c>
    </row>
    <row r="10">
      <c r="A10" t="inlineStr">
        <is>
          <t>Maintenance and Construction</t>
        </is>
      </c>
      <c r="B10" t="n">
        <v>18</v>
      </c>
      <c r="C10" s="1" t="n">
        <v>46386</v>
      </c>
    </row>
    <row r="11">
      <c r="A11" t="inlineStr">
        <is>
          <t>Maintenance and Construction</t>
        </is>
      </c>
      <c r="B11" t="n">
        <v>18</v>
      </c>
      <c r="C11" s="1" t="n">
        <v>46417</v>
      </c>
    </row>
    <row r="12">
      <c r="A12" t="inlineStr">
        <is>
          <t>Maintenance and Construction</t>
        </is>
      </c>
      <c r="B12" t="n">
        <v>19</v>
      </c>
      <c r="C12" s="1" t="n">
        <v>46446</v>
      </c>
    </row>
    <row r="13">
      <c r="A13" t="inlineStr">
        <is>
          <t>Meter Management</t>
        </is>
      </c>
      <c r="B13" t="n">
        <v>9</v>
      </c>
      <c r="C13" s="1" t="n">
        <v>46476</v>
      </c>
    </row>
    <row r="14">
      <c r="A14" t="inlineStr">
        <is>
          <t>Assets and Engineering</t>
        </is>
      </c>
      <c r="B14" t="n">
        <v>8</v>
      </c>
      <c r="C14" s="1" t="n">
        <v>46476</v>
      </c>
    </row>
  </sheetData>
  <pageMargins left="0.7" right="0.7" top="0.75" bottom="0.75" header="0.3" footer="0.3"/>
  <headerFooter>
    <oddHeader/>
    <oddFooter>&amp;L&amp;"Aptos"&amp;10 &amp;K000000_x000d_# This content is for internal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6"/>
  <sheetViews>
    <sheetView workbookViewId="0">
      <selection activeCell="A2" sqref="A2:A6"/>
    </sheetView>
  </sheetViews>
  <sheetFormatPr baseColWidth="8" defaultRowHeight="13.8"/>
  <cols>
    <col width="19" customWidth="1" style="101" min="1" max="1"/>
  </cols>
  <sheetData>
    <row r="2">
      <c r="A2" t="inlineStr">
        <is>
          <t>Not Started</t>
        </is>
      </c>
    </row>
    <row r="3">
      <c r="A3" t="inlineStr">
        <is>
          <t>DEV</t>
        </is>
      </c>
    </row>
    <row r="4">
      <c r="A4" t="inlineStr">
        <is>
          <t>QA</t>
        </is>
      </c>
    </row>
    <row r="5">
      <c r="A5" t="inlineStr">
        <is>
          <t>UAT</t>
        </is>
      </c>
    </row>
    <row r="6">
      <c r="A6" t="inlineStr">
        <is>
          <t>In Production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G17" sqref="G17"/>
    </sheetView>
  </sheetViews>
  <sheetFormatPr baseColWidth="8" defaultRowHeight="13.8"/>
  <cols>
    <col width="38.88671875" customWidth="1" style="101" min="1" max="1"/>
    <col width="10.21875" customWidth="1" style="101" min="2" max="2"/>
    <col width="2.5546875" customWidth="1" style="101" min="3" max="3"/>
    <col width="11.44140625" customWidth="1" style="101" min="4" max="15"/>
  </cols>
  <sheetData>
    <row r="1" ht="30" customHeight="1" s="101" thickBot="1">
      <c r="A1" s="108" t="inlineStr">
        <is>
          <t>Reports Migration &amp; Data Product Timelines</t>
        </is>
      </c>
      <c r="B1" s="109" t="n"/>
      <c r="C1" s="109" t="n"/>
      <c r="D1" s="109" t="n"/>
      <c r="E1" s="109" t="n"/>
      <c r="F1" s="109" t="n"/>
      <c r="G1" s="109" t="n"/>
      <c r="H1" s="109" t="n"/>
      <c r="I1" s="109" t="n"/>
      <c r="J1" s="109" t="n"/>
      <c r="K1" s="109" t="n"/>
      <c r="L1" s="109" t="n"/>
      <c r="M1" s="109" t="n"/>
      <c r="N1" s="109" t="n"/>
      <c r="O1" s="110" t="n"/>
    </row>
    <row r="2" ht="14.4" customHeight="1" s="101" thickBot="1"/>
    <row r="3" ht="22.05" customHeight="1" s="101" thickBot="1">
      <c r="A3" s="58" t="inlineStr">
        <is>
          <t>Data Product</t>
        </is>
      </c>
      <c r="B3" s="61" t="inlineStr">
        <is>
          <t>Count</t>
        </is>
      </c>
      <c r="D3" s="76" t="inlineStr">
        <is>
          <t>Apr-26</t>
        </is>
      </c>
      <c r="E3" s="77" t="inlineStr">
        <is>
          <t>May-26</t>
        </is>
      </c>
      <c r="F3" s="77" t="inlineStr">
        <is>
          <t>Jun-26</t>
        </is>
      </c>
      <c r="G3" s="77" t="inlineStr">
        <is>
          <t>Jul-26</t>
        </is>
      </c>
      <c r="H3" s="77" t="inlineStr">
        <is>
          <t>Aug-26</t>
        </is>
      </c>
      <c r="I3" s="77" t="inlineStr">
        <is>
          <t>Sep-26</t>
        </is>
      </c>
      <c r="J3" s="77" t="inlineStr">
        <is>
          <t>Oct-26</t>
        </is>
      </c>
      <c r="K3" s="77" t="inlineStr">
        <is>
          <t>Nov-26</t>
        </is>
      </c>
      <c r="L3" s="77" t="inlineStr">
        <is>
          <t>Dec-26</t>
        </is>
      </c>
      <c r="M3" s="77" t="inlineStr">
        <is>
          <t>Jan-27</t>
        </is>
      </c>
      <c r="N3" s="77" t="inlineStr">
        <is>
          <t>Feb-27</t>
        </is>
      </c>
      <c r="O3" s="78" t="inlineStr">
        <is>
          <t>Mar-27</t>
        </is>
      </c>
    </row>
    <row r="4" ht="22.05" customHeight="1" s="101" thickBot="1">
      <c r="A4" s="59" t="inlineStr">
        <is>
          <t>Leaks (RPT)</t>
        </is>
      </c>
      <c r="B4" s="62">
        <f>SUMIF(Table2[Domain],"Leaks",Table2[Expected Report Count])</f>
        <v/>
      </c>
      <c r="D4" s="67">
        <f>'Dim Table'!B2</f>
        <v/>
      </c>
      <c r="E4" s="54">
        <f>'Dim Table'!B3</f>
        <v/>
      </c>
      <c r="F4" s="56">
        <f>'Dim Table'!B4</f>
        <v/>
      </c>
      <c r="G4" s="53" t="n"/>
      <c r="H4" s="48" t="n"/>
      <c r="I4" s="48" t="n"/>
      <c r="J4" s="48" t="n"/>
      <c r="K4" s="48" t="n"/>
      <c r="L4" s="48" t="n"/>
      <c r="M4" s="48" t="n"/>
      <c r="N4" s="48" t="n"/>
      <c r="O4" s="71" t="n"/>
    </row>
    <row r="5" ht="22.05" customHeight="1" s="101" thickBot="1">
      <c r="A5" s="59" t="inlineStr">
        <is>
          <t>CMS (includes Dispatch) (RPT)</t>
        </is>
      </c>
      <c r="B5" s="62">
        <f>SUMIF(Table2[Domain],"CMS",Table2[Expected Report Count])</f>
        <v/>
      </c>
      <c r="D5" s="68" t="n"/>
      <c r="E5" s="48" t="n"/>
      <c r="F5" s="49" t="n"/>
      <c r="G5" s="55">
        <f>'Dim Table'!B5</f>
        <v/>
      </c>
      <c r="H5" s="54">
        <f>'Dim Table'!B6</f>
        <v/>
      </c>
      <c r="I5" s="54">
        <f>'Dim Table'!B7</f>
        <v/>
      </c>
      <c r="J5" s="54">
        <f>'Dim Table'!B8</f>
        <v/>
      </c>
      <c r="K5" s="56">
        <f>'Dim Table'!B9</f>
        <v/>
      </c>
      <c r="L5" s="50" t="n"/>
      <c r="M5" s="51" t="n"/>
      <c r="N5" s="51" t="n"/>
      <c r="O5" s="72" t="n"/>
    </row>
    <row r="6" ht="22.05" customHeight="1" s="101" thickBot="1">
      <c r="A6" s="59" t="inlineStr">
        <is>
          <t>Maintenance and Construction (RPT)</t>
        </is>
      </c>
      <c r="B6" s="62">
        <f>SUMIF(Table2[Domain],"Maintenance and Construction",Table2[Expected Report Count])</f>
        <v/>
      </c>
      <c r="D6" s="69" t="n"/>
      <c r="E6" s="51" t="n"/>
      <c r="F6" s="51" t="n"/>
      <c r="G6" s="51" t="n"/>
      <c r="H6" s="48" t="n"/>
      <c r="I6" s="48" t="n"/>
      <c r="J6" s="48" t="n"/>
      <c r="K6" s="49" t="n"/>
      <c r="L6" s="55">
        <f>'Dim Table'!B10</f>
        <v/>
      </c>
      <c r="M6" s="54">
        <f>'Dim Table'!B11</f>
        <v/>
      </c>
      <c r="N6" s="56">
        <f>'Dim Table'!B12</f>
        <v/>
      </c>
      <c r="O6" s="73" t="n"/>
    </row>
    <row r="7" ht="22.05" customHeight="1" s="101" thickBot="1">
      <c r="A7" s="59" t="inlineStr">
        <is>
          <t>Meter Management (RPT)</t>
        </is>
      </c>
      <c r="B7" s="62">
        <f>SUMIF(Table2[Domain],"Meter Management",Table2[Expected Report Count])</f>
        <v/>
      </c>
      <c r="D7" s="69" t="n"/>
      <c r="E7" s="51" t="n"/>
      <c r="F7" s="51" t="n"/>
      <c r="G7" s="51" t="n"/>
      <c r="H7" s="51" t="n"/>
      <c r="I7" s="51" t="n"/>
      <c r="J7" s="51" t="n"/>
      <c r="K7" s="51" t="n"/>
      <c r="L7" s="48" t="n"/>
      <c r="M7" s="52" t="n"/>
      <c r="N7" s="57" t="n"/>
      <c r="O7" s="74">
        <f>'Dim Table'!B13</f>
        <v/>
      </c>
    </row>
    <row r="8" ht="22.05" customHeight="1" s="101" thickBot="1">
      <c r="A8" s="59" t="inlineStr">
        <is>
          <t>Assets and Engineering (RPT)</t>
        </is>
      </c>
      <c r="B8" s="62">
        <f>SUMIF(Table2[Domain],"Assets and Engineering",Table2[Expected Report Count])</f>
        <v/>
      </c>
      <c r="D8" s="70" t="n"/>
      <c r="E8" s="64" t="n"/>
      <c r="F8" s="64" t="n"/>
      <c r="G8" s="64" t="n"/>
      <c r="H8" s="64" t="n"/>
      <c r="I8" s="64" t="n"/>
      <c r="J8" s="64" t="n"/>
      <c r="K8" s="64" t="n"/>
      <c r="L8" s="64" t="n"/>
      <c r="M8" s="65" t="n"/>
      <c r="N8" s="66" t="n"/>
      <c r="O8" s="75">
        <f>'Dim Table'!B14</f>
        <v/>
      </c>
    </row>
    <row r="9" ht="22.05" customHeight="1" s="101" thickBot="1">
      <c r="A9" s="60" t="inlineStr">
        <is>
          <t>Total</t>
        </is>
      </c>
      <c r="B9" s="63">
        <f>SUM(B4:B8)</f>
        <v/>
      </c>
    </row>
  </sheetData>
  <mergeCells count="1">
    <mergeCell ref="A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Jimmy Boy Tadina</dc:creator>
  <dcterms:created xmlns:dcterms="http://purl.org/dc/terms/" xmlns:xsi="http://www.w3.org/2001/XMLSchema-instance" xsi:type="dcterms:W3CDTF">2026-07-16T01:36:25Z</dcterms:created>
  <dcterms:modified xmlns:dcterms="http://purl.org/dc/terms/" xmlns:xsi="http://www.w3.org/2001/XMLSchema-instance" xsi:type="dcterms:W3CDTF">2026-07-20T02:01:38Z</dcterms:modified>
  <cp:lastModifiedBy>Jimmy Boy Tadina</cp:lastModifiedBy>
</cp:coreProperties>
</file>