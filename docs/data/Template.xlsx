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encorp-my.sharepoint.com/personal/jtadina_appen_com/Documents/"/>
    </mc:Choice>
  </mc:AlternateContent>
  <xr:revisionPtr revIDLastSave="5" documentId="8_{C553E7A9-D0C9-4E48-9E94-1DD0923AE930}" xr6:coauthVersionLast="47" xr6:coauthVersionMax="47" xr10:uidLastSave="{CDFF8802-6CD4-44F7-B1D0-7180FB0A9C65}"/>
  <bookViews>
    <workbookView xWindow="28680" yWindow="-120" windowWidth="20640" windowHeight="11040" firstSheet="3" activeTab="3" xr2:uid="{3E8A8301-CB11-4E5C-BED7-63DA91F4C10F}"/>
  </bookViews>
  <sheets>
    <sheet name="CMS PBI RPT View Details" sheetId="6" state="hidden" r:id="rId1"/>
    <sheet name="Report Migration Status" sheetId="5" state="hidden" r:id="rId2"/>
    <sheet name="Leaks PBI RPT View Details " sheetId="4" state="hidden" r:id="rId3"/>
    <sheet name="Fact Table" sheetId="1" r:id="rId4"/>
    <sheet name="Dim Table" sheetId="2" r:id="rId5"/>
    <sheet name="Sheet3" sheetId="3" state="hidden" r:id="rId6"/>
    <sheet name="Timeline Chart" sheetId="7" r:id="rId7"/>
    <sheet name="Sheet1" sheetId="8" r:id="rId8"/>
    <sheet name="Sheet2" sheetId="9" r:id="rId9"/>
  </sheets>
  <definedNames>
    <definedName name="_xlnm._FilterDatabase" localSheetId="0" hidden="1">'CMS PBI RPT View Details'!$A$1:$K$11</definedName>
    <definedName name="_xlnm._FilterDatabase" localSheetId="2" hidden="1">'Leaks PBI RPT View Details '!$A$1:$K$14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" i="7" l="1"/>
  <c r="O7" i="7"/>
  <c r="N6" i="7"/>
  <c r="M6" i="7"/>
  <c r="L6" i="7"/>
  <c r="K5" i="7"/>
  <c r="J5" i="7"/>
  <c r="I5" i="7"/>
  <c r="H5" i="7"/>
  <c r="G5" i="7"/>
  <c r="F4" i="7"/>
  <c r="E4" i="7"/>
  <c r="D4" i="7"/>
  <c r="B8" i="7"/>
  <c r="B7" i="7"/>
  <c r="B6" i="7"/>
  <c r="B5" i="7"/>
  <c r="B4" i="7"/>
  <c r="P15" i="5"/>
  <c r="P10" i="5"/>
  <c r="P5" i="5"/>
  <c r="B9" i="7" l="1"/>
</calcChain>
</file>

<file path=xl/sharedStrings.xml><?xml version="1.0" encoding="utf-8"?>
<sst xmlns="http://schemas.openxmlformats.org/spreadsheetml/2006/main" count="631" uniqueCount="204">
  <si>
    <t>Status</t>
  </si>
  <si>
    <t>Report Name</t>
  </si>
  <si>
    <t xml:space="preserve">DB Developers </t>
  </si>
  <si>
    <t>PBI Developers</t>
  </si>
  <si>
    <t>Schema</t>
  </si>
  <si>
    <t>Snowflake DEV View</t>
  </si>
  <si>
    <t xml:space="preserve">QA View  Staus </t>
  </si>
  <si>
    <t xml:space="preserve">UAT View Staus </t>
  </si>
  <si>
    <t xml:space="preserve">PROD View Staus </t>
  </si>
  <si>
    <t>Reporting Sprint Goal</t>
  </si>
  <si>
    <t>Report Number</t>
  </si>
  <si>
    <t>Leaks</t>
  </si>
  <si>
    <t>CMS</t>
  </si>
  <si>
    <t>Domain</t>
  </si>
  <si>
    <t>Expected Report Count</t>
  </si>
  <si>
    <t>Business Value (Rank)</t>
  </si>
  <si>
    <t xml:space="preserve">Reports </t>
  </si>
  <si>
    <t>RPT_04_Active Leaks</t>
  </si>
  <si>
    <t>Fetwi</t>
  </si>
  <si>
    <t>Sarath</t>
  </si>
  <si>
    <t>GDM_RPT</t>
  </si>
  <si>
    <t>DEV_GDM_DEV_DB.GDM_RPT.VW_ACTIVE_LEAKS</t>
  </si>
  <si>
    <t>Ready</t>
  </si>
  <si>
    <t>Sprint 1</t>
  </si>
  <si>
    <t>RPT_04_Count of Active Leaks On Hand</t>
  </si>
  <si>
    <t>RPT_04_Leak Scheduling</t>
  </si>
  <si>
    <t>Sreevarsha</t>
  </si>
  <si>
    <t>DEV_GDM_DEV.GDM_RPT.VW_GAS_LEAK_SCHEDULING</t>
  </si>
  <si>
    <t>NA</t>
  </si>
  <si>
    <t>RPT_04_Leak Days Remaining</t>
  </si>
  <si>
    <t>Siva</t>
  </si>
  <si>
    <t>Navya</t>
  </si>
  <si>
    <t>DEV_GDM_DEV_DB.GDM_RPT.VW_LEAK_DAYS_REMAINING</t>
  </si>
  <si>
    <t>RPT_04_Cleared Leaks</t>
  </si>
  <si>
    <t>DEV_GDM_DEV_DB.GDM_RPT.VW_CLEARED_LEAKS</t>
  </si>
  <si>
    <t>Sprint 2</t>
  </si>
  <si>
    <t>RPT_04_Leaks Repaired Detail</t>
  </si>
  <si>
    <t>Rupa</t>
  </si>
  <si>
    <t>Shraddha</t>
  </si>
  <si>
    <t>GDM_RPT.VW_LEAKS_REPAIRED_DETAIL</t>
  </si>
  <si>
    <t>RPT_04_Leaks Aging</t>
  </si>
  <si>
    <t>GDM_RPT.VW_LEAKS_AGING</t>
  </si>
  <si>
    <t>RPT_04_Prior Leak Readings</t>
  </si>
  <si>
    <t>Siddhu</t>
  </si>
  <si>
    <t>DEV_GDM_DEV_DB.GDM_RPT.VW_PRIOR_LEAK_READINGS</t>
  </si>
  <si>
    <t>RSS_04_Leak Grade Change History</t>
  </si>
  <si>
    <t>DEV_GDM_DEV.GDM_RPT.VW_LEAK_GRADE_CHANGE_HISTORY</t>
  </si>
  <si>
    <t>RPT_04_Rechecks Completed less than 14 days   </t>
  </si>
  <si>
    <t>gdm_rpt.vw_Rechecks_Completed_less_than_14days</t>
  </si>
  <si>
    <t>Sprint 3</t>
  </si>
  <si>
    <t>RPT_04_SEI Leak Activity</t>
  </si>
  <si>
    <t>DEV_GDM_DEV_DB.GDM_RPT.VW_SEI_LEAK_ACTIVITY_LEAK_EXTENT</t>
  </si>
  <si>
    <t>DEV_GDM_DEV_DB.GDM_RPT.VW_SEI_LEAK_ACTIVITY_LEAKS_LOC</t>
  </si>
  <si>
    <t>RPT_04_PSC Quarterly Leak</t>
  </si>
  <si>
    <t>Geetha</t>
  </si>
  <si>
    <t>DEV_GDM_DEV_DB.GDM_RPT.VW_PSC_QUARTERLY_LEAKS</t>
  </si>
  <si>
    <t>RPT_04_Surveillances With Zero Readings</t>
  </si>
  <si>
    <t>GDM_RPT.VW_SURVEILLANCES_WITH_ZERO_READINGS</t>
  </si>
  <si>
    <t>RPT_04 High Emitter leaks</t>
  </si>
  <si>
    <t>GDM_RPT.VW_HIGH_EMITTER_LEAKS</t>
  </si>
  <si>
    <t>RPT_04_School Zone Leaks Without Repair</t>
  </si>
  <si>
    <t>GDM_RPT.VW_SCHOOL_ZONE_LEAKS_REPORT</t>
  </si>
  <si>
    <t>RPT_04_CMS Leak Productivity</t>
  </si>
  <si>
    <t>Siddu</t>
  </si>
  <si>
    <t>VW_CMS_LEAK_PRODUCTIVITY</t>
  </si>
  <si>
    <t>RPT_04_Main Break Corrosion and Leak Cluster</t>
  </si>
  <si>
    <t>VW_Leak_Cluster and VW_Main_Break</t>
  </si>
  <si>
    <t>RPT_04_Leak Summary Status</t>
  </si>
  <si>
    <t>DEV_GDM_DEV_DB.GDM_RPT.VW_LEAK_SUMMARY_STATUS</t>
  </si>
  <si>
    <t xml:space="preserve">RPT_04_PSC Leak Printout
</t>
  </si>
  <si>
    <t>DEV_GDM_DEV_DB.GDM_RPT.VW_PSC_LEAK_PRINTOUT</t>
  </si>
  <si>
    <t>RPT_04_Leak Increase Reads</t>
  </si>
  <si>
    <t>DEV_GDM_DEV_DB.GDM_RPT.VW_LEAK_INCREASE_READS</t>
  </si>
  <si>
    <t>RPT_04_Leak Control Report</t>
  </si>
  <si>
    <t>VW_LEAK_CONTROL,</t>
  </si>
  <si>
    <t>VW_LEAK_CONTROL_COMPLETE,</t>
  </si>
  <si>
    <t>VW_LEAK_CONTROL_REPAIR,</t>
  </si>
  <si>
    <t>VW_LEAK_CONTROL_BACKLOG.</t>
  </si>
  <si>
    <t>RPT_04_Leak Life Cycle</t>
  </si>
  <si>
    <t xml:space="preserve">Geetha </t>
  </si>
  <si>
    <t>VW_LEAK_LIFE_CYCLE_REPORT_LEAK_INVENTORY
VW_Leak_Life_Cycle_Report_LeakInventoryWOSummary
VW_LEAK_LIFE_CYCLE_REPORT_LEAKRECHECKSURVEY
VW_LEAK_LIFE_CYCLE_REPORT_LEAK_READING
VW_Leak_Life_Cycle_Report_LeakRepair
VW_LEAK_LIFE_CYCLE_REPORT_LEAKREPAIRRESURVEY</t>
  </si>
  <si>
    <t>RPT_04_Leak Life Cycle Legacy LMS LI</t>
  </si>
  <si>
    <t>VW_DH_LEAK_LIFE_CYCLE_REPORT_LEAK_READING_LMS
VW_DH_LEAK_LIFE_CYCLE_REPORT_LEAKINVENTORY_LMS
VW_DH_LEAK_LIFE_CYCLE_REPORT_LEAKINVENTORYWOSUMMARY_LMS
VW_DH_LEAK_LIFE_CYCLE_REPORT_LEAKRECHECKSURVEY_LMS
VW_DH_LEAK_LIFE_CYCLE_REPORT_LEAKREPAIR_LMS
VW_DH_LEAK_LIFE_CYCLE_REPORT_LEAKREPAIRRESURVEY_LMS</t>
  </si>
  <si>
    <t>Leak 360 Dashboard</t>
  </si>
  <si>
    <t>VW_LEAKS360_DASHBOARD</t>
  </si>
  <si>
    <t>VW_LEAKS360_DASHBOARD_LEAKSWORKORDER</t>
  </si>
  <si>
    <t>RPT_04_Leak Recheck Control</t>
  </si>
  <si>
    <t>GDM_RPT.VW_LEAK_RECHECK_CONTROL_FAILED_LEAKS_R30</t>
  </si>
  <si>
    <t>GDM_RPT.VW_LEAK_RECHECK_CONTROL_FMEXCEPTION</t>
  </si>
  <si>
    <t>GDM_RPT.VW_LEAK_RECHECK_CONTROL_LEAK_EXCEPTION</t>
  </si>
  <si>
    <t>GDM_RPT.VW_LEAK_RECHECK_CONTROL_LEAK_GRADE_CHANGE_SAME_DAY</t>
  </si>
  <si>
    <t>GDM_RPT.VW_LEAK_RECHECK_CONTROL_LEAK_RECHECK_ANALYSIS</t>
  </si>
  <si>
    <t>RPT_04_Main_Replacement Report</t>
  </si>
  <si>
    <t>vw_Main_Replacement_Report</t>
  </si>
  <si>
    <t>RPT_04_ Leak Repair Exception</t>
  </si>
  <si>
    <t>GDM_RPT.VW_LEAK_REPAIR_EXCEPTIONS</t>
  </si>
  <si>
    <t>New Report called Leak_Sample_Point_Mismatch</t>
  </si>
  <si>
    <t>DEV_GDM_DEV_DB.GDM_RPT.VW_Leak_Sample_Point_Mismatch;</t>
  </si>
  <si>
    <t xml:space="preserve">* for QA/UAT/PROD  provide status for availabilty </t>
  </si>
  <si>
    <t xml:space="preserve">April Delivery </t>
  </si>
  <si>
    <t>Release Date Schedule</t>
  </si>
  <si>
    <t>Total</t>
  </si>
  <si>
    <t xml:space="preserve">Leak Reports </t>
  </si>
  <si>
    <t>In Progress</t>
  </si>
  <si>
    <t>DEV</t>
  </si>
  <si>
    <t>PBI</t>
  </si>
  <si>
    <t xml:space="preserve">In QA </t>
  </si>
  <si>
    <t xml:space="preserve">In UAT </t>
  </si>
  <si>
    <t>In Production</t>
  </si>
  <si>
    <t xml:space="preserve">May Delivery </t>
  </si>
  <si>
    <t>In progress</t>
  </si>
  <si>
    <t xml:space="preserve">JuneDelivery </t>
  </si>
  <si>
    <t xml:space="preserve">In progress </t>
  </si>
  <si>
    <t>RPT_02_CO Flue Warning Tag Control</t>
  </si>
  <si>
    <t>gdm_rpt.vw_CO_Flue_Warning_Tag_Control</t>
  </si>
  <si>
    <t>RPT_02_Warning Tag HEFPA</t>
  </si>
  <si>
    <t>Sree</t>
  </si>
  <si>
    <t>VW_WARNING_TAG_HEFPA</t>
  </si>
  <si>
    <t>RPT_02_Warning tag Printout</t>
  </si>
  <si>
    <t>RPT_02_Corrosion</t>
  </si>
  <si>
    <t>RPT_02_House Pipe Test Comment Control</t>
  </si>
  <si>
    <t>Geeta</t>
  </si>
  <si>
    <t>GDM_RPT.VW_CMS_HOUSE_PIPE_TEST_COMMENT</t>
  </si>
  <si>
    <t>RPT_02 _Required Regulator Inspection Performed Control</t>
  </si>
  <si>
    <t>GDM_RPT.VW_REQUIRED_REGULATOR_INSPECTIONS_PERFORMED_CONTROL</t>
  </si>
  <si>
    <t>RPT_02_Service Regulator Inspections</t>
  </si>
  <si>
    <t>GDM_RPT.VW_SERVICE_REGULATOR_INSPECTIONS</t>
  </si>
  <si>
    <t>RPT_02_Service Regulator Inspection Printout</t>
  </si>
  <si>
    <t>GDM_RPT.VW_SERVICE_REGULATOR_INSPECTION_PRINTOUT</t>
  </si>
  <si>
    <t>RPT_02_20 Year Regulator Inspection</t>
  </si>
  <si>
    <t>RPT_02_Fixed Factor</t>
  </si>
  <si>
    <t>Nick</t>
  </si>
  <si>
    <t>RPT_02_Fixed Factor Printout</t>
  </si>
  <si>
    <t>RPT_02_Fixed Factor Mismatch</t>
  </si>
  <si>
    <t>RPT_02_Work Order Completion Printout</t>
  </si>
  <si>
    <t>RPT_02_GRO Control</t>
  </si>
  <si>
    <t>RPT_02_GRO Monitor</t>
  </si>
  <si>
    <t>Maintenance and Construction</t>
  </si>
  <si>
    <t>Meter Management</t>
  </si>
  <si>
    <t>Assets and Engineering</t>
  </si>
  <si>
    <t>Actual Release Date</t>
  </si>
  <si>
    <t>Expected Release Date</t>
  </si>
  <si>
    <t>Reports Migration &amp; Data Product Timelines</t>
  </si>
  <si>
    <t>Data Product</t>
  </si>
  <si>
    <t>Count</t>
  </si>
  <si>
    <t>Leaks (RPT)</t>
  </si>
  <si>
    <t>CMS (includes Dispatch) (RPT)</t>
  </si>
  <si>
    <t>Maintenance and Construction (RPT)</t>
  </si>
  <si>
    <t>Meter Management (RPT)</t>
  </si>
  <si>
    <t>Assets and Engineering (RPT)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</si>
  <si>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</si>
  <si>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</si>
  <si>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</si>
  <si>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</si>
  <si>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</si>
  <si>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</si>
  <si>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</si>
  <si>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</si>
  <si>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</si>
  <si>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</si>
  <si>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</si>
  <si>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</si>
  <si>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Dev</t>
  </si>
  <si>
    <t>QA</t>
  </si>
  <si>
    <t>DPO Approval</t>
  </si>
  <si>
    <t>RPT_04_PSC Leak Printout</t>
  </si>
  <si>
    <t>New Report: Leak Repair Exception</t>
  </si>
  <si>
    <t>Leak reading sample point mismatch</t>
  </si>
  <si>
    <t>RPT_02_Public Buildings Inspection</t>
  </si>
  <si>
    <t>RPT_02_Investigate Wall Check and Service Check</t>
  </si>
  <si>
    <t>RPT_02_Cut Out Orders</t>
  </si>
  <si>
    <t>RPT_02_Gas Trouble</t>
  </si>
  <si>
    <t>RPT_02_Wall Check Control</t>
  </si>
  <si>
    <t>RPT_02_High Pressure Steel Inside Inspection</t>
  </si>
  <si>
    <t>RPT_02_Large Gas Outage</t>
  </si>
  <si>
    <t>RPT_02_Fitting Work</t>
  </si>
  <si>
    <t>RPT_02_Field Collector Report</t>
  </si>
  <si>
    <t>RPT_02_Turn On for Non-Payment</t>
  </si>
  <si>
    <t>RPT_02_Collector Payment Recap</t>
  </si>
  <si>
    <t>RPT_02_Incentive Management</t>
  </si>
  <si>
    <t>RPT_02_UTC Report</t>
  </si>
  <si>
    <t>RPT_02_Adjacent Property Checks</t>
  </si>
  <si>
    <t>RPT_02_High Bill Investigations</t>
  </si>
  <si>
    <t>RPT_02_Emergency Order Type</t>
  </si>
  <si>
    <t>RPT_02_Cut Out Curb Box</t>
  </si>
  <si>
    <t>RPT_02_New York Incident</t>
  </si>
  <si>
    <t>RPT_02_Outside Repeat Leaks</t>
  </si>
  <si>
    <t>RPT_02_Meter Change</t>
  </si>
  <si>
    <t>RPT_02_Field Order Value</t>
  </si>
  <si>
    <t>RPT_02_Same Day Reconnect</t>
  </si>
  <si>
    <t>RPT_02_Site Specific Analysis</t>
  </si>
  <si>
    <t>RPT_02_PSC Wire Down Response Time</t>
  </si>
  <si>
    <t>RPT_02_Hazardous Above Ground Leak</t>
  </si>
  <si>
    <t>RPT_02_AMI Contractor Completion Report</t>
  </si>
  <si>
    <t>RPT_02_Collection Statistic</t>
  </si>
  <si>
    <t>RPT_02_First and Last Job</t>
  </si>
  <si>
    <t>RPT_02_Rate Class</t>
  </si>
  <si>
    <t>RPT_04_Leak Recheck Times</t>
  </si>
  <si>
    <t>PO</t>
  </si>
  <si>
    <t>Status Start Date</t>
  </si>
  <si>
    <t>Not Started</t>
  </si>
  <si>
    <t>PO3</t>
  </si>
  <si>
    <t>PO2</t>
  </si>
  <si>
    <t>PO1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</si>
</sst>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4"/>
      <color rgb="FF1F3864"/>
      <name val="Aptos"/>
      <family val="2"/>
    </font>
    <font>
      <b/>
      <sz val="11"/>
      <color theme="1"/>
      <name val="Aptos"/>
      <family val="2"/>
    </font>
    <font>
      <b/>
      <sz val="10"/>
      <color rgb="FFFFFFFF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DEBF7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rgb="FF000000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E0E0E0"/>
      </right>
      <top style="medium">
        <color rgb="FF000000"/>
      </top>
      <bottom style="medium">
        <color rgb="FF000000"/>
      </bottom>
      <diagonal/>
    </border>
    <border>
      <left style="thin">
        <color rgb="FFE0E0E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 style="thin">
        <color rgb="FF44B3E1"/>
      </right>
      <top style="medium">
        <color rgb="FF2E75B6"/>
      </top>
      <bottom style="thin">
        <color rgb="FF44B3E1"/>
      </bottom>
      <diagonal/>
    </border>
    <border>
      <left style="medium">
        <color rgb="FF2E75B6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medium">
        <color rgb="FF2E75B6"/>
      </left>
      <right style="thin">
        <color rgb="FF44B3E1"/>
      </right>
      <top style="thin">
        <color rgb="FF44B3E1"/>
      </top>
      <bottom style="medium">
        <color rgb="FF2E75B6"/>
      </bottom>
      <diagonal/>
    </border>
    <border>
      <left style="thin">
        <color rgb="FF44B3E1"/>
      </left>
      <right style="medium">
        <color rgb="FF2E75B6"/>
      </right>
      <top style="medium">
        <color rgb="FF2E75B6"/>
      </top>
      <bottom style="thin">
        <color rgb="FF44B3E1"/>
      </bottom>
      <diagonal/>
    </border>
    <border>
      <left style="thin">
        <color rgb="FF44B3E1"/>
      </left>
      <right style="medium">
        <color rgb="FF2E75B6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medium">
        <color rgb="FF2E75B6"/>
      </right>
      <top style="thin">
        <color rgb="FF44B3E1"/>
      </top>
      <bottom style="medium">
        <color rgb="FF2E75B6"/>
      </bottom>
      <diagonal/>
    </border>
    <border>
      <left/>
      <right/>
      <top style="medium">
        <color rgb="FF2E75B6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2E75B6"/>
      </bottom>
      <diagonal/>
    </border>
    <border>
      <left style="thin">
        <color rgb="FFE0E0E0"/>
      </left>
      <right style="thin">
        <color rgb="FFE0E0E0"/>
      </right>
      <top/>
      <bottom style="medium">
        <color rgb="FF2E75B6"/>
      </bottom>
      <diagonal/>
    </border>
    <border>
      <left style="thin">
        <color rgb="FFE0E0E0"/>
      </left>
      <right/>
      <top/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2E75B6"/>
      </left>
      <right style="thin">
        <color rgb="FFE0E0E0"/>
      </right>
      <top style="medium">
        <color rgb="FF000000"/>
      </top>
      <bottom style="medium">
        <color rgb="FF000000"/>
      </bottom>
      <diagonal/>
    </border>
    <border>
      <left style="medium">
        <color rgb="FF2E75B6"/>
      </left>
      <right style="thin">
        <color rgb="FFE0E0E0"/>
      </right>
      <top/>
      <bottom style="thin">
        <color rgb="FFE0E0E0"/>
      </bottom>
      <diagonal/>
    </border>
    <border>
      <left style="medium">
        <color rgb="FF2E75B6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2E75B6"/>
      </left>
      <right style="thin">
        <color rgb="FFE0E0E0"/>
      </right>
      <top style="thin">
        <color rgb="FFE0E0E0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 style="thin">
        <color rgb="FFE0E0E0"/>
      </left>
      <right style="medium">
        <color rgb="FF2E75B6"/>
      </right>
      <top/>
      <bottom style="thin">
        <color rgb="FFE0E0E0"/>
      </bottom>
      <diagonal/>
    </border>
    <border>
      <left style="thin">
        <color rgb="FFE0E0E0"/>
      </left>
      <right style="medium">
        <color rgb="FF2E75B6"/>
      </right>
      <top style="thin">
        <color rgb="FFE0E0E0"/>
      </top>
      <bottom style="thin">
        <color rgb="FFE0E0E0"/>
      </bottom>
      <diagonal/>
    </border>
    <border>
      <left/>
      <right style="medium">
        <color rgb="FF2E75B6"/>
      </right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2E75B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2E75B6"/>
      </right>
      <top style="medium">
        <color rgb="FF000000"/>
      </top>
      <bottom style="medium">
        <color rgb="FF2E75B6"/>
      </bottom>
      <diagonal/>
    </border>
  </borders>
  <cellStyleXfs count="2">
    <xf numFmtId="0" fontId="0" fillId="0" borderId="0"/>
    <xf numFmtId="0" fontId="2" fillId="0" borderId="0"/>
  </cellStyleXfs>
  <cellXfs count="102">
    <xf numFmtId="0" fontId="0" fillId="0" borderId="0" xfId="0"/>
    <xf numFmtId="16" fontId="0" fillId="0" borderId="0" xfId="0" applyNumberFormat="1"/>
    <xf numFmtId="0" fontId="2" fillId="2" borderId="1" xfId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horizontal="left"/>
    </xf>
    <xf numFmtId="0" fontId="2" fillId="0" borderId="0" xfId="1"/>
    <xf numFmtId="0" fontId="3" fillId="0" borderId="1" xfId="1" applyFont="1" applyBorder="1"/>
    <xf numFmtId="0" fontId="4" fillId="0" borderId="1" xfId="1" applyFont="1" applyBorder="1"/>
    <xf numFmtId="0" fontId="3" fillId="0" borderId="0" xfId="1" applyFont="1"/>
    <xf numFmtId="0" fontId="2" fillId="0" borderId="1" xfId="1" applyBorder="1" applyAlignment="1">
      <alignment vertical="top"/>
    </xf>
    <xf numFmtId="0" fontId="2" fillId="0" borderId="2" xfId="1" applyBorder="1" applyAlignment="1">
      <alignment horizontal="left" vertical="center"/>
    </xf>
    <xf numFmtId="0" fontId="5" fillId="0" borderId="1" xfId="1" applyFont="1" applyBorder="1" applyAlignment="1">
      <alignment wrapText="1"/>
    </xf>
    <xf numFmtId="0" fontId="6" fillId="3" borderId="1" xfId="1" applyFont="1" applyFill="1" applyBorder="1" applyAlignment="1">
      <alignment vertical="center"/>
    </xf>
    <xf numFmtId="14" fontId="2" fillId="0" borderId="1" xfId="1" applyNumberFormat="1" applyBorder="1"/>
    <xf numFmtId="0" fontId="2" fillId="0" borderId="1" xfId="1" applyBorder="1" applyAlignment="1">
      <alignment vertical="center"/>
    </xf>
    <xf numFmtId="0" fontId="2" fillId="0" borderId="1" xfId="1" applyBorder="1" applyAlignment="1">
      <alignment wrapText="1"/>
    </xf>
    <xf numFmtId="0" fontId="7" fillId="0" borderId="1" xfId="1" applyFont="1" applyBorder="1"/>
    <xf numFmtId="0" fontId="2" fillId="0" borderId="1" xfId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2" fillId="0" borderId="2" xfId="1" applyBorder="1"/>
    <xf numFmtId="0" fontId="5" fillId="0" borderId="1" xfId="1" applyFont="1" applyBorder="1"/>
    <xf numFmtId="0" fontId="2" fillId="2" borderId="0" xfId="1" applyFill="1"/>
    <xf numFmtId="0" fontId="8" fillId="0" borderId="3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8" fillId="0" borderId="9" xfId="1" applyFont="1" applyBorder="1" applyAlignment="1">
      <alignment horizontal="center"/>
    </xf>
    <xf numFmtId="14" fontId="8" fillId="0" borderId="3" xfId="1" applyNumberFormat="1" applyFont="1" applyBorder="1" applyAlignment="1">
      <alignment horizontal="center"/>
    </xf>
    <xf numFmtId="14" fontId="8" fillId="0" borderId="4" xfId="1" applyNumberFormat="1" applyFont="1" applyBorder="1" applyAlignment="1">
      <alignment horizontal="center"/>
    </xf>
    <xf numFmtId="0" fontId="2" fillId="0" borderId="9" xfId="1" applyBorder="1" applyAlignment="1">
      <alignment horizontal="center"/>
    </xf>
    <xf numFmtId="0" fontId="2" fillId="0" borderId="11" xfId="1" applyBorder="1" applyAlignment="1">
      <alignment horizontal="center"/>
    </xf>
    <xf numFmtId="1" fontId="2" fillId="0" borderId="12" xfId="1" applyNumberFormat="1" applyBorder="1" applyAlignment="1">
      <alignment horizontal="center"/>
    </xf>
    <xf numFmtId="1" fontId="2" fillId="0" borderId="13" xfId="1" applyNumberFormat="1" applyBorder="1" applyAlignment="1">
      <alignment horizontal="center"/>
    </xf>
    <xf numFmtId="0" fontId="2" fillId="0" borderId="14" xfId="1" applyBorder="1"/>
    <xf numFmtId="1" fontId="2" fillId="0" borderId="15" xfId="1" applyNumberFormat="1" applyBorder="1" applyAlignment="1">
      <alignment horizontal="center"/>
    </xf>
    <xf numFmtId="0" fontId="2" fillId="4" borderId="16" xfId="1" applyFill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1" fontId="2" fillId="0" borderId="18" xfId="1" applyNumberFormat="1" applyBorder="1" applyAlignment="1">
      <alignment horizontal="center"/>
    </xf>
    <xf numFmtId="0" fontId="2" fillId="5" borderId="16" xfId="1" applyFill="1" applyBorder="1" applyAlignment="1">
      <alignment horizontal="center"/>
    </xf>
    <xf numFmtId="0" fontId="6" fillId="3" borderId="1" xfId="1" applyFont="1" applyFill="1" applyBorder="1"/>
    <xf numFmtId="0" fontId="5" fillId="3" borderId="1" xfId="1" applyFont="1" applyFill="1" applyBorder="1"/>
    <xf numFmtId="0" fontId="2" fillId="3" borderId="1" xfId="1" applyFill="1" applyBorder="1"/>
    <xf numFmtId="0" fontId="2" fillId="3" borderId="1" xfId="1" applyFill="1" applyBorder="1" applyAlignment="1">
      <alignment horizontal="left"/>
    </xf>
    <xf numFmtId="0" fontId="3" fillId="3" borderId="1" xfId="1" applyFont="1" applyFill="1" applyBorder="1"/>
    <xf numFmtId="0" fontId="2" fillId="3" borderId="1" xfId="1" applyFill="1" applyBorder="1" applyAlignment="1">
      <alignment vertical="top"/>
    </xf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26" xfId="0" applyFill="1" applyBorder="1"/>
    <xf numFmtId="0" fontId="0" fillId="8" borderId="25" xfId="0" applyFill="1" applyBorder="1"/>
    <xf numFmtId="0" fontId="1" fillId="9" borderId="27" xfId="0" applyFont="1" applyFill="1" applyBorder="1" applyAlignment="1">
      <alignment horizontal="center"/>
    </xf>
    <xf numFmtId="0" fontId="1" fillId="9" borderId="28" xfId="0" applyFont="1" applyFill="1" applyBorder="1" applyAlignment="1">
      <alignment horizontal="center"/>
    </xf>
    <xf numFmtId="0" fontId="1" fillId="9" borderId="29" xfId="0" applyFont="1" applyFill="1" applyBorder="1" applyAlignment="1">
      <alignment horizontal="center"/>
    </xf>
    <xf numFmtId="0" fontId="0" fillId="8" borderId="24" xfId="0" applyFill="1" applyBorder="1"/>
    <xf numFmtId="0" fontId="10" fillId="6" borderId="33" xfId="0" applyFont="1" applyFill="1" applyBorder="1" applyAlignment="1">
      <alignment horizontal="left"/>
    </xf>
    <xf numFmtId="0" fontId="1" fillId="0" borderId="34" xfId="0" applyFont="1" applyBorder="1"/>
    <xf numFmtId="0" fontId="1" fillId="8" borderId="35" xfId="0" applyFont="1" applyFill="1" applyBorder="1" applyAlignment="1">
      <alignment horizontal="right"/>
    </xf>
    <xf numFmtId="0" fontId="10" fillId="6" borderId="36" xfId="0" applyFont="1" applyFill="1" applyBorder="1" applyAlignment="1">
      <alignment horizontal="right"/>
    </xf>
    <xf numFmtId="0" fontId="0" fillId="0" borderId="37" xfId="0" applyBorder="1" applyAlignment="1">
      <alignment horizontal="right"/>
    </xf>
    <xf numFmtId="0" fontId="1" fillId="8" borderId="38" xfId="0" applyFont="1" applyFill="1" applyBorder="1" applyAlignment="1">
      <alignment horizontal="right"/>
    </xf>
    <xf numFmtId="0" fontId="0" fillId="8" borderId="40" xfId="0" applyFill="1" applyBorder="1"/>
    <xf numFmtId="0" fontId="0" fillId="8" borderId="41" xfId="0" applyFill="1" applyBorder="1"/>
    <xf numFmtId="0" fontId="0" fillId="8" borderId="42" xfId="0" applyFill="1" applyBorder="1"/>
    <xf numFmtId="0" fontId="1" fillId="9" borderId="44" xfId="0" applyFont="1" applyFill="1" applyBorder="1" applyAlignment="1">
      <alignment horizontal="center"/>
    </xf>
    <xf numFmtId="0" fontId="0" fillId="8" borderId="45" xfId="0" applyFill="1" applyBorder="1"/>
    <xf numFmtId="0" fontId="0" fillId="8" borderId="46" xfId="0" applyFill="1" applyBorder="1"/>
    <xf numFmtId="0" fontId="0" fillId="8" borderId="47" xfId="0" applyFill="1" applyBorder="1"/>
    <xf numFmtId="0" fontId="0" fillId="8" borderId="49" xfId="0" applyFill="1" applyBorder="1"/>
    <xf numFmtId="0" fontId="0" fillId="8" borderId="50" xfId="0" applyFill="1" applyBorder="1"/>
    <xf numFmtId="0" fontId="0" fillId="8" borderId="51" xfId="0" applyFill="1" applyBorder="1"/>
    <xf numFmtId="0" fontId="1" fillId="9" borderId="52" xfId="0" applyFont="1" applyFill="1" applyBorder="1" applyAlignment="1">
      <alignment horizontal="center"/>
    </xf>
    <xf numFmtId="0" fontId="1" fillId="9" borderId="53" xfId="0" applyFont="1" applyFill="1" applyBorder="1" applyAlignment="1">
      <alignment horizontal="center"/>
    </xf>
    <xf numFmtId="49" fontId="11" fillId="7" borderId="43" xfId="0" applyNumberFormat="1" applyFont="1" applyFill="1" applyBorder="1" applyAlignment="1">
      <alignment horizontal="center"/>
    </xf>
    <xf numFmtId="49" fontId="11" fillId="7" borderId="39" xfId="0" applyNumberFormat="1" applyFont="1" applyFill="1" applyBorder="1" applyAlignment="1">
      <alignment horizontal="center"/>
    </xf>
    <xf numFmtId="49" fontId="11" fillId="7" borderId="48" xfId="0" applyNumberFormat="1" applyFont="1" applyFill="1" applyBorder="1" applyAlignment="1">
      <alignment horizontal="center"/>
    </xf>
    <xf numFmtId="14" fontId="0" fillId="0" borderId="0" xfId="0" applyNumberFormat="1"/>
    <xf numFmtId="0" fontId="8" fillId="0" borderId="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2" fillId="0" borderId="2" xfId="1" applyBorder="1" applyAlignment="1">
      <alignment horizontal="right" vertical="center"/>
    </xf>
    <xf numFmtId="0" fontId="2" fillId="0" borderId="3" xfId="1" applyBorder="1" applyAlignment="1">
      <alignment horizontal="right" vertical="center"/>
    </xf>
    <xf numFmtId="0" fontId="2" fillId="0" borderId="2" xfId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2" fillId="0" borderId="1" xfId="1" applyBorder="1" applyAlignment="1">
      <alignment horizontal="right" vertical="center"/>
    </xf>
    <xf numFmtId="0" fontId="5" fillId="0" borderId="2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left"/>
    </xf>
    <xf numFmtId="0" fontId="2" fillId="0" borderId="4" xfId="1" applyBorder="1" applyAlignment="1">
      <alignment horizontal="right" vertical="center"/>
    </xf>
    <xf numFmtId="0" fontId="7" fillId="0" borderId="2" xfId="1" applyFont="1" applyBorder="1" applyAlignment="1">
      <alignment horizontal="left" vertical="center"/>
    </xf>
    <xf numFmtId="0" fontId="7" fillId="0" borderId="3" xfId="1" applyFont="1" applyBorder="1" applyAlignment="1">
      <alignment horizontal="left" vertical="center"/>
    </xf>
    <xf numFmtId="0" fontId="2" fillId="0" borderId="2" xfId="1" applyBorder="1" applyAlignment="1">
      <alignment vertical="center"/>
    </xf>
    <xf numFmtId="0" fontId="2" fillId="0" borderId="3" xfId="1" applyBorder="1" applyAlignment="1">
      <alignment vertical="center"/>
    </xf>
    <xf numFmtId="0" fontId="7" fillId="0" borderId="1" xfId="1" applyFont="1" applyBorder="1" applyAlignment="1">
      <alignment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7CE0D757-47B0-4339-AEEB-5AE0873B294A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D0C50-D999-41B5-B56C-E12C0706709A}" name="Table1" displayName="Table1" ref="A1:J71" totalsRowShown="0">
  <tableColumns count="10">
    <tableColumn id="1" xr3:uid="{6915FF6F-FEBC-4B84-9D8B-173CE20E8916}" name="Domain"/>
    <tableColumn id="4" xr3:uid="{83BCE3D9-3F9F-4BC4-80F4-D630CADBE739}" name="Status"/>
    <tableColumn id="2" xr3:uid="{385E6AA4-2E2D-474B-836C-4409C31A824F}" name="Status Start Date"/>
    <tableColumn id="14" xr3:uid="{C9A7EAB3-C1BF-4219-AD39-2ED10D945CC7}" name="Expected Release Date"/>
    <tableColumn id="5" xr3:uid="{6F2F6483-2CF1-4341-B389-96DAA698DCA8}" name="Actual Release Date"/>
    <tableColumn id="6" xr3:uid="{D2087CAB-95BE-4CB6-B5DB-932113DC7823}" name="Report Name"/>
    <tableColumn id="7" xr3:uid="{CF916BD7-F4C0-4B14-9FFA-20A14F3CAC77}" name="DB Developers " dataDxfId="3"/>
    <tableColumn id="8" xr3:uid="{508DDC26-3EF9-4F60-A748-4ED150FB27AD}" name="PBI Developers" dataDxfId="2"/>
    <tableColumn id="9" xr3:uid="{EF76E764-19EB-482B-AB9E-12AB85EC4BE4}" name="Schema" dataDxfId="1"/>
    <tableColumn id="3" xr3:uid="{2F6713A1-E0A7-4326-9947-EBBB49A1DF57}" name="P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71BCF-3A0B-4DE1-8A8C-77BD6951F354}" name="Table2" displayName="Table2" ref="A1:C14" totalsRowShown="0">
  <autoFilter ref="A1:C14" xr:uid="{78171BCF-3A0B-4DE1-8A8C-77BD6951F354}"/>
  <tableColumns count="3">
    <tableColumn id="5" xr3:uid="{6A87E717-4339-475B-89B8-5F24A304CD7D}" name="Domain"/>
    <tableColumn id="3" xr3:uid="{B37916F9-8A2F-494A-AEA1-0C6FA96C3C23}" name="Expected Report Count"/>
    <tableColumn id="6" xr3:uid="{DC4991ED-5277-459D-B7C6-921F29FD105A}" name="Expected Releas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E1D2D9-027E-47EF-9EB7-EACBFA02FBF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7de7979d-0a35-45c2-9e72-489fe9c04902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157C-569D-48FF-ADD5-EE031FFF20D8}">
  <sheetPr>
    <tabColor rgb="FF92D050"/>
  </sheetPr>
  <dimension ref="A1:K16"/>
  <sheetViews>
    <sheetView workbookViewId="0">
      <pane xSplit="2" topLeftCell="C1" activePane="topRight" state="frozen"/>
      <selection pane="topRight" activeCell="B2" sqref="B2:B16"/>
    </sheetView>
  </sheetViews>
  <sheetFormatPr defaultColWidth="8.88671875" defaultRowHeight="14.4" x14ac:dyDescent="0.3"/>
  <cols>
    <col min="1" max="1" width="18" style="7" customWidth="1"/>
    <col min="2" max="2" width="54.109375" style="7" customWidth="1"/>
    <col min="3" max="3" width="20.44140625" style="7" customWidth="1"/>
    <col min="4" max="4" width="17.6640625" style="7" customWidth="1"/>
    <col min="5" max="5" width="26.6640625" style="7" customWidth="1"/>
    <col min="6" max="6" width="73.109375" style="7" customWidth="1"/>
    <col min="7" max="7" width="16" style="7" customWidth="1"/>
    <col min="8" max="8" width="16.88671875" style="7" customWidth="1"/>
    <col min="9" max="9" width="16.44140625" style="7" bestFit="1" customWidth="1"/>
    <col min="10" max="10" width="23" style="7" customWidth="1"/>
    <col min="11" max="11" width="17.44140625" style="7" customWidth="1"/>
    <col min="12" max="16384" width="8.88671875" style="7"/>
  </cols>
  <sheetData>
    <row r="1" spans="1:11" s="4" customFormat="1" ht="18" customHeight="1" x14ac:dyDescent="0.3">
      <c r="A1" s="2" t="s">
        <v>15</v>
      </c>
      <c r="B1" s="2" t="s">
        <v>16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s="42">
        <v>1</v>
      </c>
      <c r="B2" s="42" t="s">
        <v>113</v>
      </c>
      <c r="C2" s="43" t="s">
        <v>37</v>
      </c>
      <c r="D2" s="44" t="s">
        <v>31</v>
      </c>
      <c r="E2" s="44"/>
      <c r="F2" s="44" t="s">
        <v>114</v>
      </c>
      <c r="G2" s="44"/>
      <c r="H2" s="44"/>
      <c r="I2" s="44"/>
      <c r="J2" s="44"/>
      <c r="K2" s="45">
        <v>28</v>
      </c>
    </row>
    <row r="3" spans="1:11" x14ac:dyDescent="0.3">
      <c r="A3" s="42">
        <v>2</v>
      </c>
      <c r="B3" s="42" t="s">
        <v>115</v>
      </c>
      <c r="C3" s="43" t="s">
        <v>116</v>
      </c>
      <c r="D3" s="44" t="s">
        <v>38</v>
      </c>
      <c r="E3" s="44" t="s">
        <v>20</v>
      </c>
      <c r="F3" s="44" t="s">
        <v>117</v>
      </c>
      <c r="G3" s="44"/>
      <c r="H3" s="44"/>
      <c r="I3" s="44"/>
      <c r="J3" s="44"/>
      <c r="K3" s="45">
        <v>29</v>
      </c>
    </row>
    <row r="4" spans="1:11" s="10" customFormat="1" x14ac:dyDescent="0.3">
      <c r="A4" s="42">
        <v>3</v>
      </c>
      <c r="B4" s="42" t="s">
        <v>118</v>
      </c>
      <c r="C4" s="44" t="s">
        <v>116</v>
      </c>
      <c r="D4" s="43" t="s">
        <v>31</v>
      </c>
      <c r="E4" s="46"/>
      <c r="F4" s="46"/>
      <c r="G4" s="44"/>
      <c r="H4" s="46"/>
      <c r="I4" s="46"/>
      <c r="J4" s="46"/>
      <c r="K4" s="45">
        <v>30</v>
      </c>
    </row>
    <row r="5" spans="1:11" x14ac:dyDescent="0.3">
      <c r="A5" s="42">
        <v>4</v>
      </c>
      <c r="B5" s="42" t="s">
        <v>119</v>
      </c>
      <c r="C5" s="43" t="s">
        <v>30</v>
      </c>
      <c r="D5" s="44" t="s">
        <v>19</v>
      </c>
      <c r="E5" s="44"/>
      <c r="F5" s="44"/>
      <c r="G5" s="44"/>
      <c r="H5" s="44"/>
      <c r="I5" s="44"/>
      <c r="J5" s="44"/>
      <c r="K5" s="45">
        <v>31</v>
      </c>
    </row>
    <row r="6" spans="1:11" x14ac:dyDescent="0.3">
      <c r="A6" s="42">
        <v>5</v>
      </c>
      <c r="B6" s="42" t="s">
        <v>120</v>
      </c>
      <c r="C6" s="44" t="s">
        <v>121</v>
      </c>
      <c r="D6" s="44" t="s">
        <v>38</v>
      </c>
      <c r="E6" s="44" t="s">
        <v>20</v>
      </c>
      <c r="F6" s="5" t="s">
        <v>122</v>
      </c>
      <c r="G6" s="44"/>
      <c r="H6" s="44"/>
      <c r="I6" s="44"/>
      <c r="J6" s="44"/>
      <c r="K6" s="45">
        <v>32</v>
      </c>
    </row>
    <row r="7" spans="1:11" x14ac:dyDescent="0.3">
      <c r="A7" s="42">
        <v>6</v>
      </c>
      <c r="B7" s="42" t="s">
        <v>123</v>
      </c>
      <c r="C7" s="44" t="s">
        <v>63</v>
      </c>
      <c r="D7" s="44" t="s">
        <v>31</v>
      </c>
      <c r="E7" s="44" t="s">
        <v>20</v>
      </c>
      <c r="F7" s="44" t="s">
        <v>124</v>
      </c>
      <c r="G7" s="44"/>
      <c r="H7" s="44"/>
      <c r="I7" s="44"/>
      <c r="J7" s="44"/>
      <c r="K7" s="45">
        <v>33</v>
      </c>
    </row>
    <row r="8" spans="1:11" x14ac:dyDescent="0.3">
      <c r="A8" s="42">
        <v>7</v>
      </c>
      <c r="B8" s="42" t="s">
        <v>125</v>
      </c>
      <c r="C8" s="43" t="s">
        <v>116</v>
      </c>
      <c r="D8" s="44" t="s">
        <v>19</v>
      </c>
      <c r="E8" s="44" t="s">
        <v>20</v>
      </c>
      <c r="F8" s="44" t="s">
        <v>126</v>
      </c>
      <c r="G8" s="44"/>
      <c r="H8" s="44"/>
      <c r="I8" s="44"/>
      <c r="J8" s="44"/>
      <c r="K8" s="45">
        <v>34</v>
      </c>
    </row>
    <row r="9" spans="1:11" x14ac:dyDescent="0.3">
      <c r="A9" s="42">
        <v>8</v>
      </c>
      <c r="B9" s="42" t="s">
        <v>127</v>
      </c>
      <c r="C9" s="44" t="s">
        <v>116</v>
      </c>
      <c r="D9" s="44" t="s">
        <v>19</v>
      </c>
      <c r="E9" s="44" t="s">
        <v>20</v>
      </c>
      <c r="F9" s="44" t="s">
        <v>128</v>
      </c>
      <c r="G9" s="44"/>
      <c r="H9" s="44"/>
      <c r="I9" s="44"/>
      <c r="J9" s="44"/>
      <c r="K9" s="45">
        <v>35</v>
      </c>
    </row>
    <row r="10" spans="1:11" x14ac:dyDescent="0.3">
      <c r="A10" s="42">
        <v>9</v>
      </c>
      <c r="B10" s="42" t="s">
        <v>129</v>
      </c>
      <c r="C10" s="44" t="s">
        <v>63</v>
      </c>
      <c r="D10" s="44" t="s">
        <v>31</v>
      </c>
      <c r="E10" s="44"/>
      <c r="F10" s="46"/>
      <c r="G10" s="44"/>
      <c r="H10" s="44"/>
      <c r="I10" s="44"/>
      <c r="J10" s="44"/>
      <c r="K10" s="45">
        <v>36</v>
      </c>
    </row>
    <row r="11" spans="1:11" x14ac:dyDescent="0.3">
      <c r="A11" s="42">
        <v>10</v>
      </c>
      <c r="B11" s="42" t="s">
        <v>130</v>
      </c>
      <c r="C11" s="44" t="s">
        <v>131</v>
      </c>
      <c r="D11" s="44" t="s">
        <v>38</v>
      </c>
      <c r="E11" s="44"/>
      <c r="F11" s="47"/>
      <c r="G11" s="44"/>
      <c r="H11" s="44"/>
      <c r="I11" s="44"/>
      <c r="J11" s="44"/>
      <c r="K11" s="45">
        <v>37</v>
      </c>
    </row>
    <row r="12" spans="1:11" x14ac:dyDescent="0.3">
      <c r="A12" s="42">
        <v>11</v>
      </c>
      <c r="B12" s="42" t="s">
        <v>132</v>
      </c>
      <c r="C12" s="44" t="s">
        <v>131</v>
      </c>
      <c r="D12" s="44" t="s">
        <v>38</v>
      </c>
      <c r="E12" s="44"/>
      <c r="F12" s="44"/>
      <c r="G12" s="44"/>
      <c r="H12" s="44"/>
      <c r="I12" s="44"/>
      <c r="J12" s="44"/>
      <c r="K12" s="45">
        <v>38</v>
      </c>
    </row>
    <row r="13" spans="1:11" x14ac:dyDescent="0.3">
      <c r="A13" s="42">
        <v>12</v>
      </c>
      <c r="B13" s="42" t="s">
        <v>133</v>
      </c>
      <c r="C13" s="44" t="s">
        <v>37</v>
      </c>
      <c r="D13" s="44" t="s">
        <v>19</v>
      </c>
      <c r="E13" s="44"/>
      <c r="F13" s="44"/>
      <c r="G13" s="44"/>
      <c r="H13" s="44"/>
      <c r="I13" s="44"/>
      <c r="J13" s="44"/>
      <c r="K13" s="45">
        <v>39</v>
      </c>
    </row>
    <row r="14" spans="1:11" x14ac:dyDescent="0.3">
      <c r="A14" s="42">
        <v>13</v>
      </c>
      <c r="B14" s="42" t="s">
        <v>134</v>
      </c>
      <c r="C14" s="44" t="s">
        <v>37</v>
      </c>
      <c r="D14" s="44" t="s">
        <v>19</v>
      </c>
      <c r="E14" s="44"/>
      <c r="F14" s="44"/>
      <c r="G14" s="44"/>
      <c r="H14" s="44"/>
      <c r="I14" s="44"/>
      <c r="J14" s="44"/>
      <c r="K14" s="45">
        <v>40</v>
      </c>
    </row>
    <row r="15" spans="1:11" x14ac:dyDescent="0.3">
      <c r="A15" s="42">
        <v>14</v>
      </c>
      <c r="B15" s="42" t="s">
        <v>135</v>
      </c>
      <c r="C15" s="44" t="s">
        <v>30</v>
      </c>
      <c r="D15" s="44" t="s">
        <v>31</v>
      </c>
      <c r="E15" s="44"/>
      <c r="F15" s="44"/>
      <c r="G15" s="44"/>
      <c r="H15" s="44"/>
      <c r="I15" s="44"/>
      <c r="J15" s="44"/>
      <c r="K15" s="45">
        <v>41</v>
      </c>
    </row>
    <row r="16" spans="1:11" x14ac:dyDescent="0.3">
      <c r="A16" s="42">
        <v>15</v>
      </c>
      <c r="B16" s="42" t="s">
        <v>136</v>
      </c>
      <c r="C16" s="44"/>
      <c r="D16" s="44" t="s">
        <v>31</v>
      </c>
      <c r="E16" s="44"/>
      <c r="F16" s="44"/>
      <c r="G16" s="44"/>
      <c r="H16" s="44"/>
      <c r="I16" s="44"/>
      <c r="J16" s="44"/>
      <c r="K16" s="44">
        <v>42</v>
      </c>
    </row>
  </sheetData>
  <autoFilter ref="A1:K11" xr:uid="{6D7A1396-A646-408B-9465-CFEFAC715F9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9D2A-1F1C-4C7D-937A-029536F836D4}">
  <dimension ref="A1:P15"/>
  <sheetViews>
    <sheetView workbookViewId="0">
      <selection activeCell="B2" sqref="B2:G2"/>
    </sheetView>
  </sheetViews>
  <sheetFormatPr defaultColWidth="8.88671875" defaultRowHeight="15" customHeight="1" x14ac:dyDescent="0.3"/>
  <cols>
    <col min="1" max="6" width="17.109375" style="7" customWidth="1"/>
    <col min="7" max="7" width="21.33203125" style="7" customWidth="1"/>
    <col min="8" max="8" width="17.109375" style="7" customWidth="1"/>
    <col min="9" max="9" width="16.88671875" style="7" customWidth="1"/>
    <col min="10" max="10" width="12.109375" style="7" customWidth="1"/>
    <col min="11" max="11" width="17.5546875" style="7" customWidth="1"/>
    <col min="12" max="12" width="10.33203125" style="7" bestFit="1" customWidth="1"/>
    <col min="13" max="13" width="10.33203125" style="7" customWidth="1"/>
    <col min="14" max="14" width="13.6640625" style="7" customWidth="1"/>
    <col min="15" max="15" width="12.5546875" style="7" customWidth="1"/>
    <col min="16" max="16" width="23.88671875" style="7" customWidth="1"/>
    <col min="17" max="16384" width="8.88671875" style="7"/>
  </cols>
  <sheetData>
    <row r="1" spans="1:16" thickBot="1" x14ac:dyDescent="0.35">
      <c r="A1" s="24" t="s">
        <v>99</v>
      </c>
      <c r="B1" s="24"/>
      <c r="C1" s="24"/>
      <c r="D1" s="24"/>
      <c r="E1" s="25"/>
      <c r="F1" s="25"/>
      <c r="G1" s="25" t="s">
        <v>100</v>
      </c>
      <c r="H1" s="25"/>
      <c r="I1" s="25"/>
      <c r="J1" s="25"/>
      <c r="K1" s="25"/>
      <c r="L1" s="25"/>
      <c r="M1" s="26"/>
      <c r="N1" s="27"/>
      <c r="O1" s="27"/>
      <c r="P1" s="80" t="s">
        <v>101</v>
      </c>
    </row>
    <row r="2" spans="1:16" thickBot="1" x14ac:dyDescent="0.35">
      <c r="A2" s="28" t="s">
        <v>102</v>
      </c>
      <c r="B2" s="28" t="s">
        <v>103</v>
      </c>
      <c r="C2" s="28" t="s">
        <v>104</v>
      </c>
      <c r="D2" s="28" t="s">
        <v>105</v>
      </c>
      <c r="E2" s="24" t="s">
        <v>106</v>
      </c>
      <c r="F2" s="24" t="s">
        <v>107</v>
      </c>
      <c r="G2" s="24" t="s">
        <v>108</v>
      </c>
      <c r="H2" s="29">
        <v>46142</v>
      </c>
      <c r="I2" s="29">
        <v>46149</v>
      </c>
      <c r="J2" s="29">
        <v>46166</v>
      </c>
      <c r="K2" s="29">
        <v>46170</v>
      </c>
      <c r="L2" s="30">
        <v>46177</v>
      </c>
      <c r="M2" s="30">
        <v>46184</v>
      </c>
      <c r="N2" s="29">
        <v>46191</v>
      </c>
      <c r="O2" s="29">
        <v>46198</v>
      </c>
      <c r="P2" s="81"/>
    </row>
    <row r="3" spans="1:16" thickBot="1" x14ac:dyDescent="0.35">
      <c r="A3" s="25">
        <v>8</v>
      </c>
      <c r="B3" s="25"/>
      <c r="C3" s="25"/>
      <c r="D3" s="25"/>
      <c r="E3" s="31"/>
      <c r="F3" s="31"/>
      <c r="G3" s="32"/>
      <c r="H3" s="33">
        <v>7</v>
      </c>
      <c r="I3" s="34">
        <v>1</v>
      </c>
      <c r="J3" s="34">
        <v>0</v>
      </c>
      <c r="K3" s="33"/>
      <c r="L3" s="35"/>
      <c r="M3" s="36"/>
      <c r="N3" s="34"/>
      <c r="O3" s="34"/>
      <c r="P3" s="81"/>
    </row>
    <row r="4" spans="1:16" ht="15" customHeight="1" thickBot="1" x14ac:dyDescent="0.35">
      <c r="P4" s="81"/>
    </row>
    <row r="5" spans="1:16" ht="15" customHeight="1" thickBot="1" x14ac:dyDescent="0.35">
      <c r="P5" s="37">
        <f>SUM(G3:N3)</f>
        <v>8</v>
      </c>
    </row>
    <row r="6" spans="1:16" ht="15" customHeight="1" thickBot="1" x14ac:dyDescent="0.35">
      <c r="A6" s="24" t="s">
        <v>109</v>
      </c>
      <c r="B6" s="24"/>
      <c r="C6" s="24"/>
      <c r="D6" s="24"/>
      <c r="E6" s="25"/>
      <c r="F6" s="25"/>
      <c r="G6" s="25" t="s">
        <v>100</v>
      </c>
      <c r="H6" s="25"/>
      <c r="I6" s="25"/>
      <c r="J6" s="27"/>
      <c r="K6" s="25"/>
      <c r="L6" s="25"/>
      <c r="M6" s="26"/>
      <c r="N6" s="27"/>
      <c r="O6" s="27"/>
    </row>
    <row r="7" spans="1:16" ht="15" customHeight="1" thickBot="1" x14ac:dyDescent="0.35">
      <c r="A7" s="28" t="s">
        <v>102</v>
      </c>
      <c r="B7" s="28" t="s">
        <v>110</v>
      </c>
      <c r="C7" s="28" t="s">
        <v>104</v>
      </c>
      <c r="D7" s="28" t="s">
        <v>105</v>
      </c>
      <c r="E7" s="24" t="s">
        <v>106</v>
      </c>
      <c r="F7" s="24" t="s">
        <v>107</v>
      </c>
      <c r="G7" s="24" t="s">
        <v>108</v>
      </c>
      <c r="H7" s="29">
        <v>46142</v>
      </c>
      <c r="I7" s="29">
        <v>46149</v>
      </c>
      <c r="J7" s="29">
        <v>46166</v>
      </c>
      <c r="K7" s="29">
        <v>46170</v>
      </c>
      <c r="L7" s="30">
        <v>46177</v>
      </c>
      <c r="M7" s="30">
        <v>46184</v>
      </c>
      <c r="N7" s="29">
        <v>46191</v>
      </c>
      <c r="O7" s="29">
        <v>46198</v>
      </c>
    </row>
    <row r="8" spans="1:16" ht="15" customHeight="1" thickBot="1" x14ac:dyDescent="0.35">
      <c r="A8" s="25">
        <v>10</v>
      </c>
      <c r="B8" s="25"/>
      <c r="C8" s="25"/>
      <c r="D8" s="25"/>
      <c r="E8" s="31"/>
      <c r="F8" s="31"/>
      <c r="G8" s="32"/>
      <c r="H8" s="33">
        <v>0</v>
      </c>
      <c r="I8" s="34"/>
      <c r="J8" s="34">
        <v>0</v>
      </c>
      <c r="K8" s="33">
        <v>4</v>
      </c>
      <c r="L8" s="35">
        <v>2</v>
      </c>
      <c r="M8" s="36">
        <v>2</v>
      </c>
      <c r="N8" s="34">
        <v>2</v>
      </c>
      <c r="O8" s="34"/>
      <c r="P8" s="80" t="s">
        <v>101</v>
      </c>
    </row>
    <row r="9" spans="1:16" ht="15" customHeight="1" thickBot="1" x14ac:dyDescent="0.35">
      <c r="P9" s="81"/>
    </row>
    <row r="10" spans="1:16" ht="15" customHeight="1" thickBot="1" x14ac:dyDescent="0.35">
      <c r="P10" s="37">
        <f>SUM(G8:O8)</f>
        <v>10</v>
      </c>
    </row>
    <row r="11" spans="1:16" ht="15" customHeight="1" thickBot="1" x14ac:dyDescent="0.35">
      <c r="A11" s="24" t="s">
        <v>111</v>
      </c>
      <c r="B11" s="38"/>
      <c r="C11" s="38"/>
      <c r="D11" s="24"/>
      <c r="E11" s="25"/>
      <c r="F11" s="25"/>
      <c r="G11" s="25" t="s">
        <v>100</v>
      </c>
      <c r="H11" s="25"/>
      <c r="I11" s="25"/>
      <c r="J11" s="27"/>
      <c r="K11" s="25"/>
      <c r="L11" s="25"/>
      <c r="M11" s="26"/>
      <c r="N11" s="27"/>
      <c r="O11" s="27"/>
    </row>
    <row r="12" spans="1:16" ht="15" customHeight="1" thickBot="1" x14ac:dyDescent="0.35">
      <c r="A12" s="28" t="s">
        <v>102</v>
      </c>
      <c r="B12" s="28" t="s">
        <v>112</v>
      </c>
      <c r="C12" s="39" t="s">
        <v>104</v>
      </c>
      <c r="D12" s="28" t="s">
        <v>105</v>
      </c>
      <c r="E12" s="24" t="s">
        <v>106</v>
      </c>
      <c r="F12" s="24" t="s">
        <v>107</v>
      </c>
      <c r="G12" s="24" t="s">
        <v>108</v>
      </c>
      <c r="H12" s="29">
        <v>46142</v>
      </c>
      <c r="I12" s="29">
        <v>46149</v>
      </c>
      <c r="J12" s="29">
        <v>46166</v>
      </c>
      <c r="K12" s="29">
        <v>46170</v>
      </c>
      <c r="L12" s="30">
        <v>46177</v>
      </c>
      <c r="M12" s="30">
        <v>46184</v>
      </c>
      <c r="N12" s="29">
        <v>46191</v>
      </c>
      <c r="O12" s="29">
        <v>46198</v>
      </c>
    </row>
    <row r="13" spans="1:16" ht="15" customHeight="1" thickBot="1" x14ac:dyDescent="0.35">
      <c r="A13" s="25">
        <v>9</v>
      </c>
      <c r="B13" s="25"/>
      <c r="C13" s="25">
        <v>3</v>
      </c>
      <c r="D13" s="25">
        <v>1</v>
      </c>
      <c r="E13" s="31"/>
      <c r="F13" s="31">
        <v>2</v>
      </c>
      <c r="G13" s="32"/>
      <c r="H13" s="33">
        <v>0</v>
      </c>
      <c r="I13" s="34"/>
      <c r="J13" s="34">
        <v>0</v>
      </c>
      <c r="K13" s="40"/>
      <c r="L13" s="35"/>
      <c r="M13" s="36">
        <v>1</v>
      </c>
      <c r="N13" s="34">
        <v>1</v>
      </c>
      <c r="O13" s="34">
        <v>1</v>
      </c>
      <c r="P13" s="80" t="s">
        <v>101</v>
      </c>
    </row>
    <row r="14" spans="1:16" ht="15" customHeight="1" thickBot="1" x14ac:dyDescent="0.35">
      <c r="P14" s="82"/>
    </row>
    <row r="15" spans="1:16" ht="15" customHeight="1" thickBot="1" x14ac:dyDescent="0.35">
      <c r="P15" s="41">
        <f>SUM(G13:O13)</f>
        <v>3</v>
      </c>
    </row>
  </sheetData>
  <mergeCells count="3">
    <mergeCell ref="P1:P4"/>
    <mergeCell ref="P8:P9"/>
    <mergeCell ref="P13:P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A8A2-20E5-4451-8A54-7FE596DF6FA2}">
  <sheetPr>
    <tabColor rgb="FF92D050"/>
  </sheetPr>
  <dimension ref="A1:K46"/>
  <sheetViews>
    <sheetView workbookViewId="0">
      <pane xSplit="2" topLeftCell="C1" activePane="topRight" state="frozen"/>
      <selection pane="topRight" activeCell="B5" sqref="B5:F9"/>
    </sheetView>
  </sheetViews>
  <sheetFormatPr defaultColWidth="8.88671875" defaultRowHeight="14.4" x14ac:dyDescent="0.3"/>
  <cols>
    <col min="1" max="1" width="30.88671875" style="7" customWidth="1"/>
    <col min="2" max="2" width="41.44140625" style="7" customWidth="1"/>
    <col min="3" max="3" width="20.44140625" style="7" customWidth="1"/>
    <col min="4" max="4" width="17.6640625" style="7" customWidth="1"/>
    <col min="5" max="5" width="11" style="7" customWidth="1"/>
    <col min="6" max="6" width="73.109375" style="7" customWidth="1"/>
    <col min="7" max="7" width="16" style="7" customWidth="1"/>
    <col min="8" max="8" width="16.88671875" style="7" customWidth="1"/>
    <col min="9" max="9" width="16.44140625" style="7" bestFit="1" customWidth="1"/>
    <col min="10" max="10" width="23" style="7" customWidth="1"/>
    <col min="11" max="11" width="17.44140625" style="7" customWidth="1"/>
    <col min="12" max="16384" width="8.88671875" style="7"/>
  </cols>
  <sheetData>
    <row r="1" spans="1:11" s="4" customFormat="1" ht="18" customHeight="1" x14ac:dyDescent="0.3">
      <c r="A1" s="2" t="s">
        <v>15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s="5">
        <v>1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/>
      <c r="I2" s="5"/>
      <c r="J2" s="5" t="s">
        <v>23</v>
      </c>
      <c r="K2" s="6">
        <v>1</v>
      </c>
    </row>
    <row r="3" spans="1:11" x14ac:dyDescent="0.3">
      <c r="A3" s="5">
        <v>2</v>
      </c>
      <c r="B3" s="5" t="s">
        <v>24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/>
      <c r="I3" s="5"/>
      <c r="J3" s="5" t="s">
        <v>23</v>
      </c>
      <c r="K3" s="6">
        <v>2</v>
      </c>
    </row>
    <row r="4" spans="1:11" s="10" customFormat="1" x14ac:dyDescent="0.3">
      <c r="A4" s="8">
        <v>4</v>
      </c>
      <c r="B4" s="9" t="s">
        <v>25</v>
      </c>
      <c r="C4" s="8" t="s">
        <v>26</v>
      </c>
      <c r="D4" s="8" t="s">
        <v>19</v>
      </c>
      <c r="E4" s="8" t="s">
        <v>20</v>
      </c>
      <c r="F4" s="8" t="s">
        <v>27</v>
      </c>
      <c r="G4" s="5"/>
      <c r="H4" s="8"/>
      <c r="I4" s="8"/>
      <c r="J4" s="8"/>
      <c r="K4" s="8" t="s">
        <v>28</v>
      </c>
    </row>
    <row r="5" spans="1:11" x14ac:dyDescent="0.3">
      <c r="A5" s="5">
        <v>5</v>
      </c>
      <c r="B5" s="5" t="s">
        <v>29</v>
      </c>
      <c r="C5" s="5" t="s">
        <v>30</v>
      </c>
      <c r="D5" s="5" t="s">
        <v>31</v>
      </c>
      <c r="E5" s="5" t="s">
        <v>20</v>
      </c>
      <c r="F5" s="5" t="s">
        <v>32</v>
      </c>
      <c r="G5" s="5" t="s">
        <v>22</v>
      </c>
      <c r="H5" s="5"/>
      <c r="I5" s="5"/>
      <c r="J5" s="5" t="s">
        <v>23</v>
      </c>
      <c r="K5" s="6">
        <v>3</v>
      </c>
    </row>
    <row r="6" spans="1:11" x14ac:dyDescent="0.3">
      <c r="A6" s="5">
        <v>3</v>
      </c>
      <c r="B6" s="11" t="s">
        <v>33</v>
      </c>
      <c r="C6" s="5" t="s">
        <v>26</v>
      </c>
      <c r="D6" s="5" t="s">
        <v>19</v>
      </c>
      <c r="E6" s="5" t="s">
        <v>20</v>
      </c>
      <c r="F6" s="5" t="s">
        <v>34</v>
      </c>
      <c r="G6" s="5" t="s">
        <v>22</v>
      </c>
      <c r="H6" s="5"/>
      <c r="I6" s="5"/>
      <c r="J6" s="5" t="s">
        <v>35</v>
      </c>
      <c r="K6" s="6">
        <v>4</v>
      </c>
    </row>
    <row r="7" spans="1:11" x14ac:dyDescent="0.3">
      <c r="A7" s="5">
        <v>6</v>
      </c>
      <c r="B7" s="5" t="s">
        <v>36</v>
      </c>
      <c r="C7" s="5" t="s">
        <v>37</v>
      </c>
      <c r="D7" s="5" t="s">
        <v>38</v>
      </c>
      <c r="E7" s="5" t="s">
        <v>20</v>
      </c>
      <c r="F7" s="5" t="s">
        <v>39</v>
      </c>
      <c r="G7" s="5" t="s">
        <v>22</v>
      </c>
      <c r="H7" s="5"/>
      <c r="I7" s="5"/>
      <c r="J7" s="5" t="s">
        <v>35</v>
      </c>
      <c r="K7" s="6">
        <v>5</v>
      </c>
    </row>
    <row r="8" spans="1:11" x14ac:dyDescent="0.3">
      <c r="A8" s="5">
        <v>7</v>
      </c>
      <c r="B8" s="5" t="s">
        <v>40</v>
      </c>
      <c r="C8" s="5" t="s">
        <v>26</v>
      </c>
      <c r="D8" s="5" t="s">
        <v>31</v>
      </c>
      <c r="E8" s="5" t="s">
        <v>20</v>
      </c>
      <c r="F8" s="5" t="s">
        <v>41</v>
      </c>
      <c r="G8" s="5" t="s">
        <v>22</v>
      </c>
      <c r="H8" s="5"/>
      <c r="I8" s="5"/>
      <c r="J8" s="5" t="s">
        <v>35</v>
      </c>
      <c r="K8" s="6">
        <v>6</v>
      </c>
    </row>
    <row r="9" spans="1:11" x14ac:dyDescent="0.3">
      <c r="A9" s="5">
        <v>9</v>
      </c>
      <c r="B9" s="5" t="s">
        <v>42</v>
      </c>
      <c r="C9" s="5" t="s">
        <v>43</v>
      </c>
      <c r="D9" s="5" t="s">
        <v>31</v>
      </c>
      <c r="E9" s="5" t="s">
        <v>20</v>
      </c>
      <c r="F9" s="5" t="s">
        <v>44</v>
      </c>
      <c r="G9" s="5" t="s">
        <v>22</v>
      </c>
      <c r="H9" s="5"/>
      <c r="I9" s="5"/>
      <c r="J9" s="5" t="s">
        <v>35</v>
      </c>
      <c r="K9" s="6">
        <v>7</v>
      </c>
    </row>
    <row r="10" spans="1:11" x14ac:dyDescent="0.3">
      <c r="A10" s="5">
        <v>8</v>
      </c>
      <c r="B10" s="5" t="s">
        <v>45</v>
      </c>
      <c r="C10" s="5" t="s">
        <v>30</v>
      </c>
      <c r="D10" s="5" t="s">
        <v>31</v>
      </c>
      <c r="E10" s="5" t="s">
        <v>20</v>
      </c>
      <c r="F10" s="8" t="s">
        <v>46</v>
      </c>
      <c r="G10" s="5"/>
      <c r="H10" s="5"/>
      <c r="I10" s="5"/>
      <c r="J10" s="5"/>
      <c r="K10" s="6">
        <v>8</v>
      </c>
    </row>
    <row r="11" spans="1:11" x14ac:dyDescent="0.3">
      <c r="A11" s="5">
        <v>14</v>
      </c>
      <c r="B11" s="5" t="s">
        <v>47</v>
      </c>
      <c r="C11" s="5" t="s">
        <v>37</v>
      </c>
      <c r="D11" s="5" t="s">
        <v>38</v>
      </c>
      <c r="E11" s="5" t="s">
        <v>20</v>
      </c>
      <c r="F11" s="11" t="s">
        <v>48</v>
      </c>
      <c r="G11" s="5"/>
      <c r="H11" s="5"/>
      <c r="I11" s="5"/>
      <c r="J11" s="5" t="s">
        <v>49</v>
      </c>
      <c r="K11" s="5">
        <v>9</v>
      </c>
    </row>
    <row r="12" spans="1:11" ht="16.5" customHeight="1" x14ac:dyDescent="0.3">
      <c r="A12" s="83">
        <v>15</v>
      </c>
      <c r="B12" s="85" t="s">
        <v>50</v>
      </c>
      <c r="C12" s="85" t="s">
        <v>30</v>
      </c>
      <c r="D12" s="85" t="s">
        <v>38</v>
      </c>
      <c r="E12" s="12" t="s">
        <v>20</v>
      </c>
      <c r="F12" s="13" t="s">
        <v>51</v>
      </c>
      <c r="G12" s="5"/>
      <c r="H12" s="5"/>
      <c r="I12" s="5"/>
      <c r="J12" s="5" t="s">
        <v>49</v>
      </c>
      <c r="K12" s="5">
        <v>10</v>
      </c>
    </row>
    <row r="13" spans="1:11" ht="16.5" customHeight="1" x14ac:dyDescent="0.3">
      <c r="A13" s="84"/>
      <c r="B13" s="86"/>
      <c r="C13" s="86"/>
      <c r="D13" s="86"/>
      <c r="E13" s="12" t="s">
        <v>20</v>
      </c>
      <c r="F13" s="13" t="s">
        <v>52</v>
      </c>
      <c r="G13" s="5"/>
      <c r="H13" s="5"/>
      <c r="I13" s="5"/>
      <c r="J13" s="5"/>
      <c r="K13" s="5"/>
    </row>
    <row r="14" spans="1:11" x14ac:dyDescent="0.3">
      <c r="A14" s="5">
        <v>13</v>
      </c>
      <c r="B14" s="14" t="s">
        <v>53</v>
      </c>
      <c r="C14" s="5" t="s">
        <v>54</v>
      </c>
      <c r="D14" s="5" t="s">
        <v>19</v>
      </c>
      <c r="E14" s="5" t="s">
        <v>20</v>
      </c>
      <c r="F14" s="5" t="s">
        <v>55</v>
      </c>
      <c r="G14" s="5"/>
      <c r="H14" s="5"/>
      <c r="I14" s="5"/>
      <c r="J14" s="5" t="s">
        <v>49</v>
      </c>
      <c r="K14" s="5">
        <v>11</v>
      </c>
    </row>
    <row r="15" spans="1:11" x14ac:dyDescent="0.3">
      <c r="A15" s="5">
        <v>10</v>
      </c>
      <c r="B15" s="14" t="s">
        <v>56</v>
      </c>
      <c r="C15" s="5" t="s">
        <v>26</v>
      </c>
      <c r="D15" s="5" t="s">
        <v>31</v>
      </c>
      <c r="E15" s="5" t="s">
        <v>20</v>
      </c>
      <c r="F15" s="5" t="s">
        <v>57</v>
      </c>
      <c r="G15" s="5"/>
      <c r="H15" s="5"/>
      <c r="I15" s="5"/>
      <c r="J15" s="5" t="s">
        <v>49</v>
      </c>
      <c r="K15" s="5">
        <v>12</v>
      </c>
    </row>
    <row r="16" spans="1:11" x14ac:dyDescent="0.3">
      <c r="A16" s="5">
        <v>11</v>
      </c>
      <c r="B16" s="14" t="s">
        <v>58</v>
      </c>
      <c r="C16" s="5" t="s">
        <v>26</v>
      </c>
      <c r="D16" s="5" t="s">
        <v>31</v>
      </c>
      <c r="E16" s="5" t="s">
        <v>20</v>
      </c>
      <c r="F16" s="5" t="s">
        <v>59</v>
      </c>
      <c r="G16" s="5"/>
      <c r="H16" s="5"/>
      <c r="I16" s="5"/>
      <c r="J16" s="5" t="s">
        <v>49</v>
      </c>
      <c r="K16" s="5">
        <v>13</v>
      </c>
    </row>
    <row r="17" spans="1:11" x14ac:dyDescent="0.3">
      <c r="A17" s="5">
        <v>12</v>
      </c>
      <c r="B17" s="5" t="s">
        <v>60</v>
      </c>
      <c r="C17" s="5" t="s">
        <v>26</v>
      </c>
      <c r="D17" s="5" t="s">
        <v>19</v>
      </c>
      <c r="E17" s="5" t="s">
        <v>20</v>
      </c>
      <c r="F17" s="5" t="s">
        <v>61</v>
      </c>
      <c r="G17" s="5"/>
      <c r="H17" s="5"/>
      <c r="I17" s="5"/>
      <c r="J17" s="5"/>
      <c r="K17" s="5">
        <v>14</v>
      </c>
    </row>
    <row r="18" spans="1:11" x14ac:dyDescent="0.3">
      <c r="A18" s="5">
        <v>16</v>
      </c>
      <c r="B18" s="5" t="s">
        <v>62</v>
      </c>
      <c r="C18" s="5" t="s">
        <v>63</v>
      </c>
      <c r="D18" s="15" t="s">
        <v>31</v>
      </c>
      <c r="E18" s="5" t="s">
        <v>20</v>
      </c>
      <c r="F18" s="5" t="s">
        <v>64</v>
      </c>
      <c r="G18" s="5"/>
      <c r="H18" s="5"/>
      <c r="I18" s="5"/>
      <c r="J18" s="5"/>
      <c r="K18" s="5">
        <v>15</v>
      </c>
    </row>
    <row r="19" spans="1:11" x14ac:dyDescent="0.3">
      <c r="A19" s="5">
        <v>17</v>
      </c>
      <c r="B19" s="5" t="s">
        <v>65</v>
      </c>
      <c r="C19" s="5" t="s">
        <v>63</v>
      </c>
      <c r="D19" s="15" t="s">
        <v>19</v>
      </c>
      <c r="E19" s="5" t="s">
        <v>20</v>
      </c>
      <c r="F19" s="16" t="s">
        <v>66</v>
      </c>
      <c r="G19" s="5"/>
      <c r="H19" s="5"/>
      <c r="I19" s="5"/>
      <c r="J19" s="5"/>
      <c r="K19" s="5">
        <v>16</v>
      </c>
    </row>
    <row r="20" spans="1:11" x14ac:dyDescent="0.3">
      <c r="A20" s="5">
        <v>18</v>
      </c>
      <c r="B20" s="5" t="s">
        <v>67</v>
      </c>
      <c r="C20" s="5" t="s">
        <v>18</v>
      </c>
      <c r="D20" s="15" t="s">
        <v>31</v>
      </c>
      <c r="E20" s="5" t="s">
        <v>20</v>
      </c>
      <c r="F20" s="5" t="s">
        <v>68</v>
      </c>
      <c r="G20" s="5"/>
      <c r="H20" s="5"/>
      <c r="I20" s="5"/>
      <c r="J20" s="5"/>
      <c r="K20" s="5">
        <v>17</v>
      </c>
    </row>
    <row r="21" spans="1:11" ht="28.8" x14ac:dyDescent="0.3">
      <c r="A21" s="5">
        <v>19</v>
      </c>
      <c r="B21" s="17" t="s">
        <v>69</v>
      </c>
      <c r="C21" s="5" t="s">
        <v>18</v>
      </c>
      <c r="D21" s="15" t="s">
        <v>38</v>
      </c>
      <c r="E21" s="18" t="s">
        <v>20</v>
      </c>
      <c r="F21" s="5" t="s">
        <v>70</v>
      </c>
      <c r="G21" s="5"/>
      <c r="H21" s="5"/>
      <c r="I21" s="5"/>
      <c r="J21" s="5"/>
      <c r="K21" s="5">
        <v>18</v>
      </c>
    </row>
    <row r="22" spans="1:11" x14ac:dyDescent="0.3">
      <c r="A22" s="5">
        <v>20</v>
      </c>
      <c r="B22" s="17" t="s">
        <v>71</v>
      </c>
      <c r="C22" s="5" t="s">
        <v>18</v>
      </c>
      <c r="D22" s="5" t="s">
        <v>31</v>
      </c>
      <c r="E22" s="18" t="s">
        <v>20</v>
      </c>
      <c r="F22" s="5" t="s">
        <v>72</v>
      </c>
      <c r="G22" s="5"/>
      <c r="H22" s="5"/>
      <c r="I22" s="5"/>
      <c r="J22" s="5"/>
      <c r="K22" s="5">
        <v>19</v>
      </c>
    </row>
    <row r="23" spans="1:11" ht="16.5" customHeight="1" x14ac:dyDescent="0.3">
      <c r="A23" s="87">
        <v>21</v>
      </c>
      <c r="B23" s="88" t="s">
        <v>73</v>
      </c>
      <c r="C23" s="90" t="s">
        <v>54</v>
      </c>
      <c r="D23" s="91" t="s">
        <v>31</v>
      </c>
      <c r="E23" s="20" t="s">
        <v>20</v>
      </c>
      <c r="F23" s="5" t="s">
        <v>74</v>
      </c>
      <c r="G23" s="5"/>
      <c r="H23" s="5"/>
      <c r="I23" s="5"/>
      <c r="J23" s="5"/>
      <c r="K23" s="5">
        <v>20</v>
      </c>
    </row>
    <row r="24" spans="1:11" ht="14.4" customHeight="1" x14ac:dyDescent="0.3">
      <c r="A24" s="87"/>
      <c r="B24" s="89"/>
      <c r="C24" s="90"/>
      <c r="D24" s="91"/>
      <c r="E24" s="20" t="s">
        <v>20</v>
      </c>
      <c r="F24" s="5" t="s">
        <v>75</v>
      </c>
      <c r="G24" s="5"/>
      <c r="H24" s="5"/>
      <c r="I24" s="5"/>
      <c r="J24" s="5"/>
      <c r="K24" s="5">
        <v>20</v>
      </c>
    </row>
    <row r="25" spans="1:11" ht="14.4" customHeight="1" x14ac:dyDescent="0.3">
      <c r="A25" s="87"/>
      <c r="B25" s="89"/>
      <c r="C25" s="90"/>
      <c r="D25" s="91"/>
      <c r="E25" s="20" t="s">
        <v>20</v>
      </c>
      <c r="F25" s="5" t="s">
        <v>76</v>
      </c>
      <c r="G25" s="5"/>
      <c r="H25" s="5"/>
      <c r="I25" s="5"/>
      <c r="J25" s="5"/>
      <c r="K25" s="5">
        <v>20</v>
      </c>
    </row>
    <row r="26" spans="1:11" ht="14.4" customHeight="1" x14ac:dyDescent="0.3">
      <c r="A26" s="83"/>
      <c r="B26" s="89"/>
      <c r="C26" s="85"/>
      <c r="D26" s="92"/>
      <c r="E26" s="20" t="s">
        <v>20</v>
      </c>
      <c r="F26" s="21" t="s">
        <v>77</v>
      </c>
      <c r="G26" s="21"/>
      <c r="H26" s="21"/>
      <c r="I26" s="21"/>
      <c r="J26" s="21"/>
      <c r="K26" s="21">
        <v>20</v>
      </c>
    </row>
    <row r="27" spans="1:11" ht="86.4" x14ac:dyDescent="0.3">
      <c r="A27" s="5">
        <v>22</v>
      </c>
      <c r="B27" s="18" t="s">
        <v>78</v>
      </c>
      <c r="C27" s="5" t="s">
        <v>79</v>
      </c>
      <c r="D27" s="5" t="s">
        <v>38</v>
      </c>
      <c r="E27" s="5" t="s">
        <v>20</v>
      </c>
      <c r="F27" s="17" t="s">
        <v>80</v>
      </c>
      <c r="G27" s="5"/>
      <c r="H27" s="5"/>
      <c r="I27" s="5"/>
      <c r="J27" s="5"/>
      <c r="K27" s="5">
        <v>21</v>
      </c>
    </row>
    <row r="28" spans="1:11" ht="100.5" customHeight="1" x14ac:dyDescent="0.3">
      <c r="A28" s="5">
        <v>23</v>
      </c>
      <c r="B28" s="18" t="s">
        <v>81</v>
      </c>
      <c r="C28" s="5"/>
      <c r="D28" s="5" t="s">
        <v>31</v>
      </c>
      <c r="E28" s="5"/>
      <c r="F28" s="17" t="s">
        <v>82</v>
      </c>
      <c r="G28" s="5"/>
      <c r="H28" s="5"/>
      <c r="I28" s="5"/>
      <c r="J28" s="5"/>
      <c r="K28" s="5">
        <v>22</v>
      </c>
    </row>
    <row r="29" spans="1:11" ht="14.4" customHeight="1" x14ac:dyDescent="0.3">
      <c r="A29" s="83">
        <v>24</v>
      </c>
      <c r="B29" s="94" t="s">
        <v>83</v>
      </c>
      <c r="C29" s="85" t="s">
        <v>30</v>
      </c>
      <c r="D29" s="96" t="s">
        <v>19</v>
      </c>
      <c r="E29" s="96" t="s">
        <v>20</v>
      </c>
      <c r="F29" s="22" t="s">
        <v>84</v>
      </c>
      <c r="G29" s="5"/>
      <c r="H29" s="5"/>
      <c r="I29" s="5"/>
      <c r="J29" s="5"/>
      <c r="K29" s="5">
        <v>23</v>
      </c>
    </row>
    <row r="30" spans="1:11" ht="14.4" customHeight="1" x14ac:dyDescent="0.3">
      <c r="A30" s="84"/>
      <c r="B30" s="95"/>
      <c r="C30" s="86"/>
      <c r="D30" s="97"/>
      <c r="E30" s="97"/>
      <c r="F30" s="22" t="s">
        <v>85</v>
      </c>
      <c r="G30" s="5"/>
      <c r="H30" s="5"/>
      <c r="I30" s="5"/>
      <c r="J30" s="5"/>
      <c r="K30" s="21">
        <v>23</v>
      </c>
    </row>
    <row r="31" spans="1:11" ht="14.4" customHeight="1" x14ac:dyDescent="0.3">
      <c r="A31" s="87">
        <v>25</v>
      </c>
      <c r="B31" s="98" t="s">
        <v>86</v>
      </c>
      <c r="C31" s="90" t="s">
        <v>30</v>
      </c>
      <c r="D31" s="90" t="s">
        <v>38</v>
      </c>
      <c r="E31" s="19" t="s">
        <v>20</v>
      </c>
      <c r="F31" s="5" t="s">
        <v>87</v>
      </c>
      <c r="G31" s="5"/>
      <c r="H31" s="5"/>
      <c r="I31" s="5"/>
      <c r="J31" s="5"/>
      <c r="K31" s="83">
        <v>24</v>
      </c>
    </row>
    <row r="32" spans="1:11" ht="14.4" customHeight="1" x14ac:dyDescent="0.3">
      <c r="A32" s="87"/>
      <c r="B32" s="98"/>
      <c r="C32" s="90"/>
      <c r="D32" s="90"/>
      <c r="E32" s="19" t="s">
        <v>20</v>
      </c>
      <c r="F32" s="5" t="s">
        <v>88</v>
      </c>
      <c r="G32" s="5"/>
      <c r="H32" s="5"/>
      <c r="I32" s="5"/>
      <c r="J32" s="5"/>
      <c r="K32" s="93"/>
    </row>
    <row r="33" spans="1:11" x14ac:dyDescent="0.3">
      <c r="A33" s="87"/>
      <c r="B33" s="98"/>
      <c r="C33" s="90"/>
      <c r="D33" s="90"/>
      <c r="E33" s="19" t="s">
        <v>20</v>
      </c>
      <c r="F33" s="5" t="s">
        <v>89</v>
      </c>
      <c r="G33" s="5"/>
      <c r="H33" s="5"/>
      <c r="I33" s="5"/>
      <c r="J33" s="5"/>
      <c r="K33" s="93"/>
    </row>
    <row r="34" spans="1:11" x14ac:dyDescent="0.3">
      <c r="A34" s="87"/>
      <c r="B34" s="98"/>
      <c r="C34" s="90"/>
      <c r="D34" s="90"/>
      <c r="E34" s="19" t="s">
        <v>20</v>
      </c>
      <c r="F34" s="5" t="s">
        <v>90</v>
      </c>
      <c r="G34" s="5"/>
      <c r="H34" s="5"/>
      <c r="I34" s="5"/>
      <c r="J34" s="5"/>
      <c r="K34" s="93"/>
    </row>
    <row r="35" spans="1:11" x14ac:dyDescent="0.3">
      <c r="A35" s="87"/>
      <c r="B35" s="98"/>
      <c r="C35" s="90"/>
      <c r="D35" s="90"/>
      <c r="E35" s="19" t="s">
        <v>20</v>
      </c>
      <c r="F35" s="5"/>
      <c r="G35" s="5"/>
      <c r="H35" s="5"/>
      <c r="I35" s="5"/>
      <c r="J35" s="5"/>
      <c r="K35" s="93"/>
    </row>
    <row r="36" spans="1:11" x14ac:dyDescent="0.3">
      <c r="A36" s="87"/>
      <c r="B36" s="98"/>
      <c r="C36" s="90"/>
      <c r="D36" s="90"/>
      <c r="E36" s="19" t="s">
        <v>20</v>
      </c>
      <c r="F36" s="5" t="s">
        <v>91</v>
      </c>
      <c r="G36" s="5"/>
      <c r="H36" s="5"/>
      <c r="I36" s="5"/>
      <c r="J36" s="5"/>
      <c r="K36" s="84"/>
    </row>
    <row r="37" spans="1:11" x14ac:dyDescent="0.3">
      <c r="A37" s="5">
        <v>26</v>
      </c>
      <c r="B37" s="18" t="s">
        <v>92</v>
      </c>
      <c r="C37" s="5" t="s">
        <v>26</v>
      </c>
      <c r="D37" s="5" t="s">
        <v>31</v>
      </c>
      <c r="E37" s="5"/>
      <c r="F37" s="5" t="s">
        <v>93</v>
      </c>
      <c r="G37" s="5"/>
      <c r="H37" s="5"/>
      <c r="I37" s="5"/>
      <c r="J37" s="5"/>
      <c r="K37" s="5">
        <v>25</v>
      </c>
    </row>
    <row r="38" spans="1:11" x14ac:dyDescent="0.3">
      <c r="A38" s="5">
        <v>27</v>
      </c>
      <c r="B38" s="22" t="s">
        <v>94</v>
      </c>
      <c r="C38" s="5" t="s">
        <v>79</v>
      </c>
      <c r="D38" s="5" t="s">
        <v>38</v>
      </c>
      <c r="E38" s="5"/>
      <c r="F38" s="7" t="s">
        <v>95</v>
      </c>
      <c r="G38" s="5"/>
      <c r="H38" s="5"/>
      <c r="I38" s="5"/>
      <c r="J38" s="5"/>
      <c r="K38" s="5">
        <v>26</v>
      </c>
    </row>
    <row r="39" spans="1:11" x14ac:dyDescent="0.3">
      <c r="A39" s="7">
        <v>28</v>
      </c>
      <c r="B39" s="7" t="s">
        <v>96</v>
      </c>
      <c r="C39" s="7" t="s">
        <v>63</v>
      </c>
      <c r="D39" s="7" t="s">
        <v>38</v>
      </c>
      <c r="E39" s="7" t="s">
        <v>20</v>
      </c>
      <c r="F39" s="7" t="s">
        <v>97</v>
      </c>
      <c r="K39" s="7">
        <v>27</v>
      </c>
    </row>
    <row r="46" spans="1:11" x14ac:dyDescent="0.3">
      <c r="B46" s="23" t="s">
        <v>98</v>
      </c>
    </row>
  </sheetData>
  <autoFilter ref="A1:K14" xr:uid="{6D7A1396-A646-408B-9465-CFEFAC715F9A}"/>
  <mergeCells count="18">
    <mergeCell ref="K31:K36"/>
    <mergeCell ref="A29:A30"/>
    <mergeCell ref="B29:B30"/>
    <mergeCell ref="C29:C30"/>
    <mergeCell ref="D29:D30"/>
    <mergeCell ref="E29:E30"/>
    <mergeCell ref="A31:A36"/>
    <mergeCell ref="B31:B36"/>
    <mergeCell ref="C31:C36"/>
    <mergeCell ref="D31:D36"/>
    <mergeCell ref="A12:A13"/>
    <mergeCell ref="B12:B13"/>
    <mergeCell ref="C12:C13"/>
    <mergeCell ref="D12:D13"/>
    <mergeCell ref="A23:A26"/>
    <mergeCell ref="B23:B26"/>
    <mergeCell ref="C23:C26"/>
    <mergeCell ref="D23:D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2309-9C7F-44DA-8FD7-3A1ED1564055}">
  <dimension ref="A1:J71"/>
  <sheetViews>
    <sheetView tabSelected="1" workbookViewId="0">
      <selection activeCell="D20" sqref="D20"/>
    </sheetView>
  </sheetViews>
  <sheetFormatPr defaultRowHeight="13.8" x14ac:dyDescent="0.3"/>
  <cols>
    <col min="1" max="1" width="9.6640625" customWidth="1"/>
    <col min="2" max="2" width="22.5546875" customWidth="1"/>
    <col min="3" max="3" width="21.109375" customWidth="1"/>
    <col min="4" max="4" width="25.44140625" customWidth="1"/>
    <col min="5" max="5" width="29.44140625" customWidth="1"/>
    <col min="6" max="6" width="41.109375" bestFit="1" customWidth="1"/>
    <col min="7" max="7" width="15.77734375" customWidth="1"/>
    <col min="8" max="8" width="22.6640625" customWidth="1"/>
    <col min="9" max="9" width="19.109375" customWidth="1"/>
  </cols>
  <sheetData>
    <row r="1" spans="1:10" ht="13.05" x14ac:dyDescent="0.3">
      <c r="A1" t="s">
        <v>13</v>
      </c>
      <c r="B1" t="s">
        <v>0</v>
      </c>
      <c r="C1" t="s">
        <v>199</v>
      </c>
      <c r="D1" t="s">
        <v>141</v>
      </c>
      <c r="E1" t="s">
        <v>140</v>
      </c>
      <c r="F1" t="s">
        <v>1</v>
      </c>
      <c r="G1" t="s">
        <v>2</v>
      </c>
      <c r="H1" t="s">
        <v>3</v>
      </c>
      <c r="I1" t="s">
        <v>4</v>
      </c>
      <c r="J1" t="s">
        <v>198</v>
      </c>
    </row>
    <row r="2" spans="1:10" ht="13.05" x14ac:dyDescent="0.3">
      <c r="A2" t="s">
        <v>11</v>
      </c>
      <c r="B2" t="s">
        <v>108</v>
      </c>
      <c r="D2" s="1">
        <v>46142</v>
      </c>
      <c r="E2" s="1">
        <v>46142</v>
      </c>
      <c r="F2" t="s">
        <v>17</v>
      </c>
      <c r="G2" t="s">
        <v>18</v>
      </c>
      <c r="H2" t="s">
        <v>19</v>
      </c>
      <c r="I2" t="s">
        <v>20</v>
      </c>
      <c r="J2" t="s">
        <v>201</v>
      </c>
    </row>
    <row r="3" spans="1:10" ht="13.05" x14ac:dyDescent="0.3">
      <c r="A3" t="s">
        <v>11</v>
      </c>
      <c r="B3" t="s">
        <v>108</v>
      </c>
      <c r="D3" s="1">
        <v>46203</v>
      </c>
      <c r="E3" s="1">
        <v>46203</v>
      </c>
      <c r="F3" t="s">
        <v>24</v>
      </c>
      <c r="J3" t="s">
        <v>202</v>
      </c>
    </row>
    <row r="4" spans="1:10" ht="13.05" x14ac:dyDescent="0.3">
      <c r="A4" t="s">
        <v>11</v>
      </c>
      <c r="B4" t="s">
        <v>108</v>
      </c>
      <c r="D4" s="1">
        <v>46203</v>
      </c>
      <c r="E4" s="1">
        <v>46203</v>
      </c>
      <c r="F4" t="s">
        <v>29</v>
      </c>
      <c r="J4" t="s">
        <v>201</v>
      </c>
    </row>
    <row r="5" spans="1:10" ht="13.05" x14ac:dyDescent="0.3">
      <c r="A5" t="s">
        <v>11</v>
      </c>
      <c r="B5" t="s">
        <v>108</v>
      </c>
      <c r="D5" s="1">
        <v>46203</v>
      </c>
      <c r="E5" s="1">
        <v>46203</v>
      </c>
      <c r="F5" t="s">
        <v>33</v>
      </c>
      <c r="J5" t="s">
        <v>203</v>
      </c>
    </row>
    <row r="6" spans="1:10" ht="13.05" x14ac:dyDescent="0.3">
      <c r="A6" t="s">
        <v>11</v>
      </c>
      <c r="B6" t="s">
        <v>108</v>
      </c>
      <c r="D6" s="1">
        <v>46203</v>
      </c>
      <c r="E6" s="1">
        <v>46203</v>
      </c>
      <c r="F6" t="s">
        <v>36</v>
      </c>
      <c r="J6" t="s">
        <v>203</v>
      </c>
    </row>
    <row r="7" spans="1:10" ht="13.05" x14ac:dyDescent="0.3">
      <c r="A7" t="s">
        <v>11</v>
      </c>
      <c r="B7" t="s">
        <v>108</v>
      </c>
      <c r="D7" s="1">
        <v>46203</v>
      </c>
      <c r="E7" s="1">
        <v>46203</v>
      </c>
      <c r="F7" t="s">
        <v>40</v>
      </c>
      <c r="J7" t="s">
        <v>203</v>
      </c>
    </row>
    <row r="8" spans="1:10" ht="13.05" x14ac:dyDescent="0.3">
      <c r="A8" t="s">
        <v>11</v>
      </c>
      <c r="B8" t="s">
        <v>108</v>
      </c>
      <c r="D8" s="1">
        <v>46203</v>
      </c>
      <c r="E8" s="1">
        <v>46203</v>
      </c>
      <c r="F8" t="s">
        <v>42</v>
      </c>
      <c r="J8" t="s">
        <v>201</v>
      </c>
    </row>
    <row r="9" spans="1:10" ht="13.05" x14ac:dyDescent="0.3">
      <c r="A9" t="s">
        <v>11</v>
      </c>
      <c r="B9" t="s">
        <v>108</v>
      </c>
      <c r="D9" s="1">
        <v>46203</v>
      </c>
      <c r="E9" s="1">
        <v>46203</v>
      </c>
      <c r="F9" t="s">
        <v>45</v>
      </c>
      <c r="J9" t="s">
        <v>201</v>
      </c>
    </row>
    <row r="10" spans="1:10" ht="13.05" x14ac:dyDescent="0.3">
      <c r="A10" t="s">
        <v>11</v>
      </c>
      <c r="B10" t="s">
        <v>108</v>
      </c>
      <c r="D10" s="1">
        <v>46203</v>
      </c>
      <c r="E10" s="1">
        <v>46203</v>
      </c>
      <c r="F10" t="s">
        <v>56</v>
      </c>
      <c r="J10" t="s">
        <v>202</v>
      </c>
    </row>
    <row r="11" spans="1:10" ht="13.05" x14ac:dyDescent="0.3">
      <c r="A11" t="s">
        <v>11</v>
      </c>
      <c r="B11" t="s">
        <v>108</v>
      </c>
      <c r="D11" s="1">
        <v>46203</v>
      </c>
      <c r="E11" s="1">
        <v>46203</v>
      </c>
      <c r="F11" t="s">
        <v>58</v>
      </c>
      <c r="J11" t="s">
        <v>203</v>
      </c>
    </row>
    <row r="12" spans="1:10" ht="13.05" x14ac:dyDescent="0.3">
      <c r="A12" t="s">
        <v>11</v>
      </c>
      <c r="B12" t="s">
        <v>108</v>
      </c>
      <c r="D12" s="1">
        <v>46203</v>
      </c>
      <c r="E12" s="1">
        <v>46203</v>
      </c>
      <c r="F12" t="s">
        <v>60</v>
      </c>
      <c r="J12" t="s">
        <v>203</v>
      </c>
    </row>
    <row r="13" spans="1:10" ht="13.05" x14ac:dyDescent="0.3">
      <c r="A13" t="s">
        <v>11</v>
      </c>
      <c r="B13" t="s">
        <v>108</v>
      </c>
      <c r="D13" s="1">
        <v>46203</v>
      </c>
      <c r="E13" s="1">
        <v>46203</v>
      </c>
      <c r="F13" t="s">
        <v>53</v>
      </c>
      <c r="J13" t="s">
        <v>203</v>
      </c>
    </row>
    <row r="14" spans="1:10" x14ac:dyDescent="0.3">
      <c r="A14" t="s">
        <v>11</v>
      </c>
      <c r="B14" t="s">
        <v>108</v>
      </c>
      <c r="D14" s="1">
        <v>46203</v>
      </c>
      <c r="E14" s="1">
        <v>46203</v>
      </c>
      <c r="F14" t="s">
        <v>47</v>
      </c>
      <c r="J14" t="s">
        <v>202</v>
      </c>
    </row>
    <row r="15" spans="1:10" ht="13.05" x14ac:dyDescent="0.3">
      <c r="A15" t="s">
        <v>11</v>
      </c>
      <c r="B15" t="s">
        <v>108</v>
      </c>
      <c r="D15" s="1">
        <v>46203</v>
      </c>
      <c r="E15" s="1">
        <v>46203</v>
      </c>
      <c r="F15" t="s">
        <v>50</v>
      </c>
      <c r="J15" t="s">
        <v>203</v>
      </c>
    </row>
    <row r="16" spans="1:10" ht="13.05" x14ac:dyDescent="0.3">
      <c r="A16" t="s">
        <v>11</v>
      </c>
      <c r="B16" t="s">
        <v>108</v>
      </c>
      <c r="D16" s="1">
        <v>46203</v>
      </c>
      <c r="E16" s="1">
        <v>46203</v>
      </c>
      <c r="F16" t="s">
        <v>62</v>
      </c>
      <c r="J16" t="s">
        <v>201</v>
      </c>
    </row>
    <row r="17" spans="1:10" ht="13.05" x14ac:dyDescent="0.3">
      <c r="A17" t="s">
        <v>11</v>
      </c>
      <c r="B17" t="s">
        <v>108</v>
      </c>
      <c r="D17" s="1">
        <v>46203</v>
      </c>
      <c r="E17" s="1">
        <v>46203</v>
      </c>
      <c r="F17" t="s">
        <v>65</v>
      </c>
      <c r="J17" t="s">
        <v>201</v>
      </c>
    </row>
    <row r="18" spans="1:10" ht="13.05" x14ac:dyDescent="0.3">
      <c r="A18" t="s">
        <v>11</v>
      </c>
      <c r="B18" t="s">
        <v>108</v>
      </c>
      <c r="D18" s="1">
        <v>46203</v>
      </c>
      <c r="E18" s="1">
        <v>46203</v>
      </c>
      <c r="F18" t="s">
        <v>67</v>
      </c>
      <c r="J18" t="s">
        <v>203</v>
      </c>
    </row>
    <row r="19" spans="1:10" ht="13.05" x14ac:dyDescent="0.3">
      <c r="A19" t="s">
        <v>11</v>
      </c>
      <c r="B19" t="s">
        <v>108</v>
      </c>
      <c r="D19" s="1">
        <v>46203</v>
      </c>
      <c r="E19" s="1">
        <v>46203</v>
      </c>
      <c r="F19" t="s">
        <v>165</v>
      </c>
      <c r="J19" t="s">
        <v>201</v>
      </c>
    </row>
    <row r="20" spans="1:10" ht="13.05" x14ac:dyDescent="0.3">
      <c r="A20" t="s">
        <v>11</v>
      </c>
      <c r="B20" t="s">
        <v>108</v>
      </c>
      <c r="D20" s="1">
        <v>46203</v>
      </c>
      <c r="E20" s="1">
        <v>46203</v>
      </c>
      <c r="F20" t="s">
        <v>71</v>
      </c>
      <c r="J20" t="s">
        <v>201</v>
      </c>
    </row>
    <row r="21" spans="1:10" ht="13.05" x14ac:dyDescent="0.3">
      <c r="A21" t="s">
        <v>11</v>
      </c>
      <c r="B21" t="s">
        <v>108</v>
      </c>
      <c r="D21" s="1">
        <v>46203</v>
      </c>
      <c r="E21" s="1">
        <v>46203</v>
      </c>
      <c r="F21" t="s">
        <v>166</v>
      </c>
      <c r="J21" t="s">
        <v>202</v>
      </c>
    </row>
    <row r="22" spans="1:10" ht="13.05" x14ac:dyDescent="0.3">
      <c r="A22" t="s">
        <v>11</v>
      </c>
      <c r="B22" t="s">
        <v>108</v>
      </c>
      <c r="D22" s="1">
        <v>46203</v>
      </c>
      <c r="E22" s="1">
        <v>46203</v>
      </c>
      <c r="F22" t="s">
        <v>73</v>
      </c>
      <c r="J22" t="s">
        <v>203</v>
      </c>
    </row>
    <row r="23" spans="1:10" ht="13.05" x14ac:dyDescent="0.3">
      <c r="A23" t="s">
        <v>11</v>
      </c>
      <c r="B23" t="s">
        <v>108</v>
      </c>
      <c r="D23" s="1">
        <v>46203</v>
      </c>
      <c r="E23" s="1">
        <v>46203</v>
      </c>
      <c r="F23" t="s">
        <v>78</v>
      </c>
      <c r="J23" t="s">
        <v>202</v>
      </c>
    </row>
    <row r="24" spans="1:10" ht="13.05" x14ac:dyDescent="0.3">
      <c r="A24" t="s">
        <v>11</v>
      </c>
      <c r="B24" t="s">
        <v>108</v>
      </c>
      <c r="D24" s="1">
        <v>46203</v>
      </c>
      <c r="E24" s="79">
        <v>46219</v>
      </c>
      <c r="F24" t="s">
        <v>81</v>
      </c>
      <c r="G24" t="s">
        <v>18</v>
      </c>
      <c r="H24" t="s">
        <v>31</v>
      </c>
      <c r="J24" t="s">
        <v>201</v>
      </c>
    </row>
    <row r="25" spans="1:10" ht="13.05" x14ac:dyDescent="0.3">
      <c r="A25" t="s">
        <v>11</v>
      </c>
      <c r="B25" t="s">
        <v>163</v>
      </c>
      <c r="D25" s="1">
        <v>46203</v>
      </c>
      <c r="E25" s="79">
        <v>46219</v>
      </c>
      <c r="F25" t="s">
        <v>83</v>
      </c>
      <c r="G25" t="s">
        <v>30</v>
      </c>
      <c r="H25" t="s">
        <v>19</v>
      </c>
      <c r="J25" t="s">
        <v>201</v>
      </c>
    </row>
    <row r="26" spans="1:10" ht="13.05" x14ac:dyDescent="0.3">
      <c r="A26" t="s">
        <v>11</v>
      </c>
      <c r="B26" t="s">
        <v>108</v>
      </c>
      <c r="D26" s="1">
        <v>46203</v>
      </c>
      <c r="E26" s="1">
        <v>46203</v>
      </c>
      <c r="F26" t="s">
        <v>86</v>
      </c>
      <c r="J26" t="s">
        <v>202</v>
      </c>
    </row>
    <row r="27" spans="1:10" ht="13.05" x14ac:dyDescent="0.3">
      <c r="A27" t="s">
        <v>11</v>
      </c>
      <c r="B27" t="s">
        <v>108</v>
      </c>
      <c r="D27" s="1">
        <v>46203</v>
      </c>
      <c r="E27" s="1">
        <v>46203</v>
      </c>
      <c r="F27" t="s">
        <v>167</v>
      </c>
      <c r="J27" t="s">
        <v>203</v>
      </c>
    </row>
    <row r="28" spans="1:10" ht="13.05" x14ac:dyDescent="0.3">
      <c r="A28" t="s">
        <v>12</v>
      </c>
      <c r="B28" t="s">
        <v>162</v>
      </c>
      <c r="D28" s="1">
        <v>46234</v>
      </c>
      <c r="F28" t="s">
        <v>113</v>
      </c>
      <c r="J28" t="s">
        <v>203</v>
      </c>
    </row>
    <row r="29" spans="1:10" ht="13.05" x14ac:dyDescent="0.3">
      <c r="A29" t="s">
        <v>12</v>
      </c>
      <c r="B29" t="s">
        <v>162</v>
      </c>
      <c r="D29" s="1">
        <v>46234</v>
      </c>
      <c r="F29" t="s">
        <v>115</v>
      </c>
      <c r="J29" t="s">
        <v>201</v>
      </c>
    </row>
    <row r="30" spans="1:10" ht="13.05" x14ac:dyDescent="0.3">
      <c r="A30" t="s">
        <v>12</v>
      </c>
      <c r="B30" t="s">
        <v>162</v>
      </c>
      <c r="D30" s="1">
        <v>46234</v>
      </c>
      <c r="F30" t="s">
        <v>118</v>
      </c>
      <c r="J30" t="s">
        <v>203</v>
      </c>
    </row>
    <row r="31" spans="1:10" ht="13.05" x14ac:dyDescent="0.3">
      <c r="A31" t="s">
        <v>12</v>
      </c>
      <c r="B31" t="s">
        <v>162</v>
      </c>
      <c r="D31" s="1">
        <v>46234</v>
      </c>
      <c r="F31" t="s">
        <v>119</v>
      </c>
      <c r="J31" t="s">
        <v>202</v>
      </c>
    </row>
    <row r="32" spans="1:10" ht="13.05" x14ac:dyDescent="0.3">
      <c r="A32" t="s">
        <v>12</v>
      </c>
      <c r="B32" t="s">
        <v>162</v>
      </c>
      <c r="D32" s="1">
        <v>46234</v>
      </c>
      <c r="F32" t="s">
        <v>120</v>
      </c>
      <c r="J32" t="s">
        <v>202</v>
      </c>
    </row>
    <row r="33" spans="1:10" ht="13.05" x14ac:dyDescent="0.3">
      <c r="A33" t="s">
        <v>12</v>
      </c>
      <c r="B33" t="s">
        <v>162</v>
      </c>
      <c r="D33" s="1">
        <v>46234</v>
      </c>
      <c r="F33" t="s">
        <v>123</v>
      </c>
      <c r="J33" t="s">
        <v>203</v>
      </c>
    </row>
    <row r="34" spans="1:10" ht="13.05" x14ac:dyDescent="0.3">
      <c r="A34" t="s">
        <v>12</v>
      </c>
      <c r="B34" t="s">
        <v>162</v>
      </c>
      <c r="D34" s="1">
        <v>46234</v>
      </c>
      <c r="F34" t="s">
        <v>125</v>
      </c>
      <c r="J34" t="s">
        <v>203</v>
      </c>
    </row>
    <row r="35" spans="1:10" ht="13.05" x14ac:dyDescent="0.3">
      <c r="A35" t="s">
        <v>12</v>
      </c>
      <c r="B35" t="s">
        <v>162</v>
      </c>
      <c r="D35" s="1">
        <v>46234</v>
      </c>
      <c r="F35" t="s">
        <v>127</v>
      </c>
      <c r="J35" t="s">
        <v>202</v>
      </c>
    </row>
    <row r="36" spans="1:10" x14ac:dyDescent="0.3">
      <c r="A36" t="s">
        <v>12</v>
      </c>
      <c r="B36" t="s">
        <v>162</v>
      </c>
      <c r="D36" s="1">
        <v>46234</v>
      </c>
      <c r="F36" t="s">
        <v>129</v>
      </c>
      <c r="J36" t="s">
        <v>201</v>
      </c>
    </row>
    <row r="37" spans="1:10" x14ac:dyDescent="0.3">
      <c r="A37" t="s">
        <v>12</v>
      </c>
      <c r="B37" t="s">
        <v>162</v>
      </c>
      <c r="D37" s="1">
        <v>46234</v>
      </c>
      <c r="F37" t="s">
        <v>130</v>
      </c>
      <c r="J37" t="s">
        <v>201</v>
      </c>
    </row>
    <row r="38" spans="1:10" x14ac:dyDescent="0.3">
      <c r="A38" t="s">
        <v>12</v>
      </c>
      <c r="B38" t="s">
        <v>162</v>
      </c>
      <c r="D38" s="1">
        <v>46234</v>
      </c>
      <c r="F38" t="s">
        <v>132</v>
      </c>
      <c r="J38" t="s">
        <v>202</v>
      </c>
    </row>
    <row r="39" spans="1:10" x14ac:dyDescent="0.3">
      <c r="A39" t="s">
        <v>12</v>
      </c>
      <c r="B39" t="s">
        <v>162</v>
      </c>
      <c r="D39" s="1">
        <v>46234</v>
      </c>
      <c r="F39" t="s">
        <v>134</v>
      </c>
      <c r="J39" t="s">
        <v>202</v>
      </c>
    </row>
    <row r="40" spans="1:10" x14ac:dyDescent="0.3">
      <c r="A40" t="s">
        <v>12</v>
      </c>
      <c r="B40" t="s">
        <v>162</v>
      </c>
      <c r="D40" s="1">
        <v>46234</v>
      </c>
      <c r="F40" t="s">
        <v>135</v>
      </c>
      <c r="J40" t="s">
        <v>201</v>
      </c>
    </row>
    <row r="41" spans="1:10" x14ac:dyDescent="0.3">
      <c r="A41" t="s">
        <v>12</v>
      </c>
      <c r="B41" t="s">
        <v>162</v>
      </c>
      <c r="D41" s="1">
        <v>46264</v>
      </c>
      <c r="F41" t="s">
        <v>136</v>
      </c>
      <c r="J41" t="s">
        <v>202</v>
      </c>
    </row>
    <row r="42" spans="1:10" x14ac:dyDescent="0.3">
      <c r="A42" t="s">
        <v>12</v>
      </c>
      <c r="B42" t="s">
        <v>162</v>
      </c>
      <c r="D42" s="1">
        <v>46264</v>
      </c>
      <c r="F42" t="s">
        <v>168</v>
      </c>
      <c r="G42" t="s">
        <v>54</v>
      </c>
      <c r="J42" t="s">
        <v>201</v>
      </c>
    </row>
    <row r="43" spans="1:10" x14ac:dyDescent="0.3">
      <c r="A43" t="s">
        <v>12</v>
      </c>
      <c r="B43" t="s">
        <v>162</v>
      </c>
      <c r="D43" s="1">
        <v>46264</v>
      </c>
      <c r="F43" t="s">
        <v>169</v>
      </c>
      <c r="G43" t="s">
        <v>116</v>
      </c>
      <c r="J43" t="s">
        <v>201</v>
      </c>
    </row>
    <row r="44" spans="1:10" x14ac:dyDescent="0.3">
      <c r="A44" t="s">
        <v>12</v>
      </c>
      <c r="B44" t="s">
        <v>162</v>
      </c>
      <c r="D44" s="1">
        <v>46264</v>
      </c>
      <c r="F44" t="s">
        <v>170</v>
      </c>
      <c r="G44" t="s">
        <v>18</v>
      </c>
      <c r="J44" t="s">
        <v>203</v>
      </c>
    </row>
    <row r="45" spans="1:10" x14ac:dyDescent="0.3">
      <c r="A45" t="s">
        <v>12</v>
      </c>
      <c r="B45" t="s">
        <v>162</v>
      </c>
      <c r="D45" s="1">
        <v>46264</v>
      </c>
      <c r="F45" t="s">
        <v>171</v>
      </c>
      <c r="G45" t="s">
        <v>63</v>
      </c>
      <c r="J45" t="s">
        <v>203</v>
      </c>
    </row>
    <row r="46" spans="1:10" x14ac:dyDescent="0.3">
      <c r="A46" t="s">
        <v>12</v>
      </c>
      <c r="B46" t="s">
        <v>200</v>
      </c>
      <c r="D46" s="1">
        <v>46264</v>
      </c>
      <c r="F46" t="s">
        <v>172</v>
      </c>
      <c r="J46" t="s">
        <v>201</v>
      </c>
    </row>
    <row r="47" spans="1:10" x14ac:dyDescent="0.3">
      <c r="A47" t="s">
        <v>12</v>
      </c>
      <c r="B47" t="s">
        <v>200</v>
      </c>
      <c r="D47" s="1">
        <v>46264</v>
      </c>
      <c r="F47" t="s">
        <v>173</v>
      </c>
      <c r="J47" t="s">
        <v>202</v>
      </c>
    </row>
    <row r="48" spans="1:10" x14ac:dyDescent="0.3">
      <c r="A48" t="s">
        <v>12</v>
      </c>
      <c r="B48" t="s">
        <v>200</v>
      </c>
      <c r="D48" s="1">
        <v>46264</v>
      </c>
      <c r="F48" t="s">
        <v>174</v>
      </c>
      <c r="J48" t="s">
        <v>201</v>
      </c>
    </row>
    <row r="49" spans="1:10" x14ac:dyDescent="0.3">
      <c r="A49" t="s">
        <v>12</v>
      </c>
      <c r="B49" t="s">
        <v>200</v>
      </c>
      <c r="D49" s="1">
        <v>46264</v>
      </c>
      <c r="F49" t="s">
        <v>175</v>
      </c>
      <c r="J49" t="s">
        <v>202</v>
      </c>
    </row>
    <row r="50" spans="1:10" x14ac:dyDescent="0.3">
      <c r="A50" t="s">
        <v>12</v>
      </c>
      <c r="B50" t="s">
        <v>200</v>
      </c>
      <c r="D50" s="1">
        <v>46264</v>
      </c>
      <c r="F50" t="s">
        <v>176</v>
      </c>
      <c r="J50" t="s">
        <v>203</v>
      </c>
    </row>
    <row r="51" spans="1:10" x14ac:dyDescent="0.3">
      <c r="A51" t="s">
        <v>12</v>
      </c>
      <c r="B51" t="s">
        <v>200</v>
      </c>
      <c r="D51" s="1">
        <v>46264</v>
      </c>
      <c r="F51" t="s">
        <v>177</v>
      </c>
      <c r="J51" t="s">
        <v>202</v>
      </c>
    </row>
    <row r="52" spans="1:10" x14ac:dyDescent="0.3">
      <c r="A52" t="s">
        <v>12</v>
      </c>
      <c r="B52" t="s">
        <v>200</v>
      </c>
      <c r="D52" s="1">
        <v>46264</v>
      </c>
      <c r="F52" t="s">
        <v>178</v>
      </c>
      <c r="J52" t="s">
        <v>202</v>
      </c>
    </row>
    <row r="53" spans="1:10" x14ac:dyDescent="0.3">
      <c r="A53" t="s">
        <v>12</v>
      </c>
      <c r="B53" t="s">
        <v>200</v>
      </c>
      <c r="D53" s="1">
        <v>46264</v>
      </c>
      <c r="F53" t="s">
        <v>179</v>
      </c>
      <c r="J53" t="s">
        <v>202</v>
      </c>
    </row>
    <row r="54" spans="1:10" x14ac:dyDescent="0.3">
      <c r="A54" t="s">
        <v>12</v>
      </c>
      <c r="B54" t="s">
        <v>200</v>
      </c>
      <c r="D54" s="1">
        <v>46295</v>
      </c>
      <c r="F54" t="s">
        <v>180</v>
      </c>
      <c r="J54" t="s">
        <v>203</v>
      </c>
    </row>
    <row r="55" spans="1:10" x14ac:dyDescent="0.3">
      <c r="A55" t="s">
        <v>12</v>
      </c>
      <c r="B55" t="s">
        <v>200</v>
      </c>
      <c r="D55" s="1">
        <v>46295</v>
      </c>
      <c r="F55" t="s">
        <v>181</v>
      </c>
      <c r="J55" t="s">
        <v>201</v>
      </c>
    </row>
    <row r="56" spans="1:10" x14ac:dyDescent="0.3">
      <c r="A56" t="s">
        <v>12</v>
      </c>
      <c r="B56" t="s">
        <v>200</v>
      </c>
      <c r="D56" s="1">
        <v>46295</v>
      </c>
      <c r="F56" t="s">
        <v>182</v>
      </c>
      <c r="J56" t="s">
        <v>202</v>
      </c>
    </row>
    <row r="57" spans="1:10" x14ac:dyDescent="0.3">
      <c r="A57" t="s">
        <v>12</v>
      </c>
      <c r="B57" t="s">
        <v>200</v>
      </c>
      <c r="D57" s="1">
        <v>46295</v>
      </c>
      <c r="F57" t="s">
        <v>183</v>
      </c>
      <c r="J57" t="s">
        <v>201</v>
      </c>
    </row>
    <row r="58" spans="1:10" x14ac:dyDescent="0.3">
      <c r="A58" t="s">
        <v>12</v>
      </c>
      <c r="B58" t="s">
        <v>200</v>
      </c>
      <c r="D58" s="1">
        <v>46295</v>
      </c>
      <c r="F58" t="s">
        <v>184</v>
      </c>
      <c r="J58" t="s">
        <v>201</v>
      </c>
    </row>
    <row r="59" spans="1:10" x14ac:dyDescent="0.3">
      <c r="A59" t="s">
        <v>12</v>
      </c>
      <c r="B59" t="s">
        <v>200</v>
      </c>
      <c r="D59" s="1">
        <v>46295</v>
      </c>
      <c r="F59" t="s">
        <v>185</v>
      </c>
      <c r="J59" t="s">
        <v>203</v>
      </c>
    </row>
    <row r="60" spans="1:10" x14ac:dyDescent="0.3">
      <c r="A60" t="s">
        <v>12</v>
      </c>
      <c r="B60" t="s">
        <v>200</v>
      </c>
      <c r="D60" s="1">
        <v>46295</v>
      </c>
      <c r="F60" t="s">
        <v>186</v>
      </c>
      <c r="J60" t="s">
        <v>202</v>
      </c>
    </row>
    <row r="61" spans="1:10" x14ac:dyDescent="0.3">
      <c r="A61" t="s">
        <v>12</v>
      </c>
      <c r="B61" t="s">
        <v>200</v>
      </c>
      <c r="D61" s="1">
        <v>46295</v>
      </c>
      <c r="F61" t="s">
        <v>187</v>
      </c>
      <c r="J61" t="s">
        <v>201</v>
      </c>
    </row>
    <row r="62" spans="1:10" x14ac:dyDescent="0.3">
      <c r="A62" t="s">
        <v>12</v>
      </c>
      <c r="B62" t="s">
        <v>200</v>
      </c>
      <c r="D62" s="1">
        <v>46295</v>
      </c>
      <c r="F62" t="s">
        <v>188</v>
      </c>
      <c r="J62" t="s">
        <v>202</v>
      </c>
    </row>
    <row r="63" spans="1:10" x14ac:dyDescent="0.3">
      <c r="A63" t="s">
        <v>12</v>
      </c>
      <c r="B63" t="s">
        <v>200</v>
      </c>
      <c r="D63" s="1">
        <v>46295</v>
      </c>
      <c r="F63" t="s">
        <v>189</v>
      </c>
      <c r="J63" t="s">
        <v>202</v>
      </c>
    </row>
    <row r="64" spans="1:10" x14ac:dyDescent="0.3">
      <c r="A64" t="s">
        <v>12</v>
      </c>
      <c r="B64" t="s">
        <v>200</v>
      </c>
      <c r="D64" s="1">
        <v>46295</v>
      </c>
      <c r="F64" t="s">
        <v>190</v>
      </c>
      <c r="J64" t="s">
        <v>202</v>
      </c>
    </row>
    <row r="65" spans="1:10" x14ac:dyDescent="0.3">
      <c r="A65" t="s">
        <v>12</v>
      </c>
      <c r="B65" t="s">
        <v>200</v>
      </c>
      <c r="D65" s="1">
        <v>46295</v>
      </c>
      <c r="F65" t="s">
        <v>191</v>
      </c>
      <c r="J65" t="s">
        <v>201</v>
      </c>
    </row>
    <row r="66" spans="1:10" x14ac:dyDescent="0.3">
      <c r="A66" t="s">
        <v>12</v>
      </c>
      <c r="B66" t="s">
        <v>200</v>
      </c>
      <c r="D66" s="1">
        <v>46295</v>
      </c>
      <c r="F66" t="s">
        <v>192</v>
      </c>
      <c r="J66" t="s">
        <v>203</v>
      </c>
    </row>
    <row r="67" spans="1:10" x14ac:dyDescent="0.3">
      <c r="A67" t="s">
        <v>12</v>
      </c>
      <c r="B67" t="s">
        <v>200</v>
      </c>
      <c r="D67" s="1">
        <v>46295</v>
      </c>
      <c r="F67" t="s">
        <v>193</v>
      </c>
      <c r="J67" t="s">
        <v>202</v>
      </c>
    </row>
    <row r="68" spans="1:10" x14ac:dyDescent="0.3">
      <c r="A68" t="s">
        <v>12</v>
      </c>
      <c r="B68" t="s">
        <v>200</v>
      </c>
      <c r="D68" s="1">
        <v>46295</v>
      </c>
      <c r="F68" t="s">
        <v>194</v>
      </c>
      <c r="J68" t="s">
        <v>203</v>
      </c>
    </row>
    <row r="69" spans="1:10" x14ac:dyDescent="0.3">
      <c r="A69" t="s">
        <v>12</v>
      </c>
      <c r="B69" t="s">
        <v>200</v>
      </c>
      <c r="D69" s="1">
        <v>46295</v>
      </c>
      <c r="F69" t="s">
        <v>195</v>
      </c>
      <c r="J69" t="s">
        <v>202</v>
      </c>
    </row>
    <row r="70" spans="1:10" x14ac:dyDescent="0.3">
      <c r="A70" t="s">
        <v>12</v>
      </c>
      <c r="B70" t="s">
        <v>200</v>
      </c>
      <c r="D70" s="1">
        <v>46295</v>
      </c>
      <c r="F70" t="s">
        <v>196</v>
      </c>
      <c r="J70" t="s">
        <v>203</v>
      </c>
    </row>
    <row r="71" spans="1:10" x14ac:dyDescent="0.3">
      <c r="A71" t="s">
        <v>12</v>
      </c>
      <c r="B71" t="s">
        <v>200</v>
      </c>
      <c r="D71" s="1">
        <v>46295</v>
      </c>
      <c r="F71" t="s">
        <v>197</v>
      </c>
      <c r="J71" t="s">
        <v>202</v>
      </c>
    </row>
  </sheetData>
  <pageMargins left="0.7" right="0.7" top="0.75" bottom="0.75" header="0.3" footer="0.3"/>
  <headerFooter>
    <oddFooter>&amp;L_x000D_&amp;1#&amp;"Aptos"&amp;10&amp;K000000 This content is for internal use only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11596A-C0BF-4AC5-8B89-8BBD27B8291B}">
          <x14:formula1>
            <xm:f>Sheet1!$A$1:$A$5</xm:f>
          </x14:formula1>
          <xm:sqref>C2:C71 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66C1-2523-49F4-BA3C-B4CD86F86248}">
  <dimension ref="A1:C14"/>
  <sheetViews>
    <sheetView workbookViewId="0">
      <selection activeCell="B3" sqref="B3"/>
    </sheetView>
  </sheetViews>
  <sheetFormatPr defaultRowHeight="13.8" x14ac:dyDescent="0.3"/>
  <cols>
    <col min="1" max="1" width="27.88671875" customWidth="1"/>
    <col min="2" max="2" width="33" customWidth="1"/>
    <col min="3" max="3" width="22.6640625" customWidth="1"/>
  </cols>
  <sheetData>
    <row r="1" spans="1:3" x14ac:dyDescent="0.3">
      <c r="A1" t="s">
        <v>13</v>
      </c>
      <c r="B1" t="s">
        <v>14</v>
      </c>
      <c r="C1" t="s">
        <v>141</v>
      </c>
    </row>
    <row r="2" spans="1:3" x14ac:dyDescent="0.3">
      <c r="A2" t="s">
        <v>11</v>
      </c>
      <c r="B2">
        <v>8</v>
      </c>
      <c r="C2" s="1">
        <v>46142</v>
      </c>
    </row>
    <row r="3" spans="1:3" x14ac:dyDescent="0.3">
      <c r="A3" t="s">
        <v>11</v>
      </c>
      <c r="B3">
        <v>10</v>
      </c>
      <c r="C3" s="1">
        <v>46172</v>
      </c>
    </row>
    <row r="4" spans="1:3" x14ac:dyDescent="0.3">
      <c r="A4" t="s">
        <v>11</v>
      </c>
      <c r="B4">
        <v>9</v>
      </c>
      <c r="C4" s="1">
        <v>46203</v>
      </c>
    </row>
    <row r="5" spans="1:3" x14ac:dyDescent="0.3">
      <c r="A5" t="s">
        <v>12</v>
      </c>
      <c r="B5">
        <v>15</v>
      </c>
      <c r="C5" s="1">
        <v>46233</v>
      </c>
    </row>
    <row r="6" spans="1:3" x14ac:dyDescent="0.3">
      <c r="A6" t="s">
        <v>12</v>
      </c>
      <c r="B6">
        <v>15</v>
      </c>
      <c r="C6" s="1">
        <v>46264</v>
      </c>
    </row>
    <row r="7" spans="1:3" x14ac:dyDescent="0.3">
      <c r="A7" t="s">
        <v>12</v>
      </c>
      <c r="B7">
        <v>17</v>
      </c>
      <c r="C7" s="1">
        <v>46295</v>
      </c>
    </row>
    <row r="8" spans="1:3" x14ac:dyDescent="0.3">
      <c r="A8" t="s">
        <v>12</v>
      </c>
      <c r="B8">
        <v>20</v>
      </c>
      <c r="C8" s="1">
        <v>46325</v>
      </c>
    </row>
    <row r="9" spans="1:3" x14ac:dyDescent="0.3">
      <c r="A9" t="s">
        <v>12</v>
      </c>
      <c r="B9">
        <v>20</v>
      </c>
      <c r="C9" s="1">
        <v>46356</v>
      </c>
    </row>
    <row r="10" spans="1:3" x14ac:dyDescent="0.3">
      <c r="A10" t="s">
        <v>137</v>
      </c>
      <c r="B10">
        <v>18</v>
      </c>
      <c r="C10" s="1">
        <v>46386</v>
      </c>
    </row>
    <row r="11" spans="1:3" x14ac:dyDescent="0.3">
      <c r="A11" t="s">
        <v>137</v>
      </c>
      <c r="B11">
        <v>18</v>
      </c>
      <c r="C11" s="1">
        <v>46417</v>
      </c>
    </row>
    <row r="12" spans="1:3" x14ac:dyDescent="0.3">
      <c r="A12" t="s">
        <v>137</v>
      </c>
      <c r="B12">
        <v>19</v>
      </c>
      <c r="C12" s="1">
        <v>46446</v>
      </c>
    </row>
    <row r="13" spans="1:3" x14ac:dyDescent="0.3">
      <c r="A13" t="s">
        <v>138</v>
      </c>
      <c r="B13">
        <v>9</v>
      </c>
      <c r="C13" s="1">
        <v>46476</v>
      </c>
    </row>
    <row r="14" spans="1:3" x14ac:dyDescent="0.3">
      <c r="A14" t="s">
        <v>139</v>
      </c>
      <c r="B14">
        <v>8</v>
      </c>
      <c r="C14" s="1">
        <v>46476</v>
      </c>
    </row>
  </sheetData>
  <pageMargins left="0.7" right="0.7" top="0.75" bottom="0.75" header="0.3" footer="0.3"/>
  <headerFooter>
    <oddFooter>&amp;L_x000D_&amp;1#&amp;"Aptos"&amp;10&amp;K000000 This content is for internal use only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50D3-2878-4FFF-A1D9-D83A14EBADA5}">
  <dimension ref="A2:A7"/>
  <sheetViews>
    <sheetView workbookViewId="0">
      <selection activeCell="A2" sqref="A2:A7"/>
    </sheetView>
  </sheetViews>
  <sheetFormatPr defaultRowHeight="13.8" x14ac:dyDescent="0.3"/>
  <sheetData>
    <row r="2" spans="1:1" x14ac:dyDescent="0.3">
      <c r="A2" t="s">
        <v>103</v>
      </c>
    </row>
    <row r="3" spans="1:1" x14ac:dyDescent="0.3">
      <c r="A3" t="s">
        <v>104</v>
      </c>
    </row>
    <row r="4" spans="1:1" x14ac:dyDescent="0.3">
      <c r="A4" t="s">
        <v>105</v>
      </c>
    </row>
    <row r="5" spans="1:1" x14ac:dyDescent="0.3">
      <c r="A5" t="s">
        <v>106</v>
      </c>
    </row>
    <row r="6" spans="1:1" x14ac:dyDescent="0.3">
      <c r="A6" t="s">
        <v>107</v>
      </c>
    </row>
    <row r="7" spans="1:1" x14ac:dyDescent="0.3">
      <c r="A7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57D8-A82F-401D-8630-A448F8ACD8AB}">
  <dimension ref="A1:O9"/>
  <sheetViews>
    <sheetView workbookViewId="0">
      <selection activeCell="B6" sqref="B6"/>
    </sheetView>
  </sheetViews>
  <sheetFormatPr defaultRowHeight="13.8" x14ac:dyDescent="0.3"/>
  <cols>
    <col min="1" max="1" width="38.88671875" customWidth="1"/>
    <col min="2" max="2" width="10.21875" customWidth="1"/>
    <col min="3" max="3" width="2.5546875" customWidth="1"/>
    <col min="4" max="15" width="11.44140625" customWidth="1"/>
  </cols>
  <sheetData>
    <row r="1" spans="1:15" ht="30" customHeight="1" thickBot="1" x14ac:dyDescent="0.35">
      <c r="A1" s="99" t="s">
        <v>142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1"/>
    </row>
    <row r="2" spans="1:15" ht="14.4" thickBot="1" x14ac:dyDescent="0.35"/>
    <row r="3" spans="1:15" ht="22.05" customHeight="1" thickBot="1" x14ac:dyDescent="0.35">
      <c r="A3" s="58" t="s">
        <v>143</v>
      </c>
      <c r="B3" s="61" t="s">
        <v>144</v>
      </c>
      <c r="D3" s="76" t="s">
        <v>150</v>
      </c>
      <c r="E3" s="77" t="s">
        <v>151</v>
      </c>
      <c r="F3" s="77" t="s">
        <v>152</v>
      </c>
      <c r="G3" s="77" t="s">
        <v>153</v>
      </c>
      <c r="H3" s="77" t="s">
        <v>154</v>
      </c>
      <c r="I3" s="77" t="s">
        <v>155</v>
      </c>
      <c r="J3" s="77" t="s">
        <v>156</v>
      </c>
      <c r="K3" s="77" t="s">
        <v>157</v>
      </c>
      <c r="L3" s="77" t="s">
        <v>158</v>
      </c>
      <c r="M3" s="77" t="s">
        <v>159</v>
      </c>
      <c r="N3" s="77" t="s">
        <v>160</v>
      </c>
      <c r="O3" s="78" t="s">
        <v>161</v>
      </c>
    </row>
    <row r="4" spans="1:15" ht="22.05" customHeight="1" thickBot="1" x14ac:dyDescent="0.35">
      <c r="A4" s="59" t="s">
        <v>145</v>
      </c>
      <c r="B4" s="62">
        <f>SUMIF(Table2[Domain],"Leaks",Table2[Expected Report Count])</f>
        <v>27</v>
      </c>
      <c r="D4" s="67">
        <f>'Dim Table'!B2</f>
        <v>8</v>
      </c>
      <c r="E4" s="54">
        <f>'Dim Table'!B3</f>
        <v>10</v>
      </c>
      <c r="F4" s="56">
        <f>'Dim Table'!B4</f>
        <v>9</v>
      </c>
      <c r="G4" s="53"/>
      <c r="H4" s="48"/>
      <c r="I4" s="48"/>
      <c r="J4" s="48"/>
      <c r="K4" s="48"/>
      <c r="L4" s="48"/>
      <c r="M4" s="48"/>
      <c r="N4" s="48"/>
      <c r="O4" s="71"/>
    </row>
    <row r="5" spans="1:15" ht="22.05" customHeight="1" thickBot="1" x14ac:dyDescent="0.35">
      <c r="A5" s="59" t="s">
        <v>146</v>
      </c>
      <c r="B5" s="62">
        <f>SUMIF(Table2[Domain],"CMS",Table2[Expected Report Count])</f>
        <v>87</v>
      </c>
      <c r="D5" s="68"/>
      <c r="E5" s="48"/>
      <c r="F5" s="49"/>
      <c r="G5" s="55">
        <f>'Dim Table'!B5</f>
        <v>15</v>
      </c>
      <c r="H5" s="54">
        <f>'Dim Table'!B6</f>
        <v>15</v>
      </c>
      <c r="I5" s="54">
        <f>'Dim Table'!B7</f>
        <v>17</v>
      </c>
      <c r="J5" s="54">
        <f>'Dim Table'!B8</f>
        <v>20</v>
      </c>
      <c r="K5" s="56">
        <f>'Dim Table'!B9</f>
        <v>20</v>
      </c>
      <c r="L5" s="50"/>
      <c r="M5" s="51"/>
      <c r="N5" s="51"/>
      <c r="O5" s="72"/>
    </row>
    <row r="6" spans="1:15" ht="22.05" customHeight="1" thickBot="1" x14ac:dyDescent="0.35">
      <c r="A6" s="59" t="s">
        <v>147</v>
      </c>
      <c r="B6" s="62">
        <f>SUMIF(Table2[Domain],"Maintenance and Construction",Table2[Expected Report Count])</f>
        <v>55</v>
      </c>
      <c r="D6" s="69"/>
      <c r="E6" s="51"/>
      <c r="F6" s="51"/>
      <c r="G6" s="51"/>
      <c r="H6" s="48"/>
      <c r="I6" s="48"/>
      <c r="J6" s="48"/>
      <c r="K6" s="49"/>
      <c r="L6" s="55">
        <f>'Dim Table'!B10</f>
        <v>18</v>
      </c>
      <c r="M6" s="54">
        <f>'Dim Table'!B11</f>
        <v>18</v>
      </c>
      <c r="N6" s="56">
        <f>'Dim Table'!B12</f>
        <v>19</v>
      </c>
      <c r="O6" s="73"/>
    </row>
    <row r="7" spans="1:15" ht="22.05" customHeight="1" thickBot="1" x14ac:dyDescent="0.35">
      <c r="A7" s="59" t="s">
        <v>148</v>
      </c>
      <c r="B7" s="62">
        <f>SUMIF(Table2[Domain],"Meter Management",Table2[Expected Report Count])</f>
        <v>9</v>
      </c>
      <c r="D7" s="69"/>
      <c r="E7" s="51"/>
      <c r="F7" s="51"/>
      <c r="G7" s="51"/>
      <c r="H7" s="51"/>
      <c r="I7" s="51"/>
      <c r="J7" s="51"/>
      <c r="K7" s="51"/>
      <c r="L7" s="48"/>
      <c r="M7" s="52"/>
      <c r="N7" s="57"/>
      <c r="O7" s="74">
        <f>'Dim Table'!B13</f>
        <v>9</v>
      </c>
    </row>
    <row r="8" spans="1:15" ht="22.05" customHeight="1" thickBot="1" x14ac:dyDescent="0.35">
      <c r="A8" s="59" t="s">
        <v>149</v>
      </c>
      <c r="B8" s="62">
        <f>SUMIF(Table2[Domain],"Assets and Engineering",Table2[Expected Report Count])</f>
        <v>8</v>
      </c>
      <c r="D8" s="70"/>
      <c r="E8" s="64"/>
      <c r="F8" s="64"/>
      <c r="G8" s="64"/>
      <c r="H8" s="64"/>
      <c r="I8" s="64"/>
      <c r="J8" s="64"/>
      <c r="K8" s="64"/>
      <c r="L8" s="64"/>
      <c r="M8" s="65"/>
      <c r="N8" s="66"/>
      <c r="O8" s="75">
        <f>'Dim Table'!B14</f>
        <v>8</v>
      </c>
    </row>
    <row r="9" spans="1:15" ht="22.05" customHeight="1" thickBot="1" x14ac:dyDescent="0.35">
      <c r="A9" s="60" t="s">
        <v>101</v>
      </c>
      <c r="B9" s="63">
        <f>SUM(B4:B8)</f>
        <v>186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B681-3F18-49FB-B6DF-608C2959062C}">
  <dimension ref="A1:A5"/>
  <sheetViews>
    <sheetView workbookViewId="0">
      <selection activeCell="G1" sqref="G1:G5"/>
    </sheetView>
  </sheetViews>
  <sheetFormatPr defaultRowHeight="13.8" x14ac:dyDescent="0.3"/>
  <sheetData>
    <row r="1" spans="1:1" x14ac:dyDescent="0.3">
      <c r="A1" t="s">
        <v>200</v>
      </c>
    </row>
    <row r="2" spans="1:1" x14ac:dyDescent="0.3">
      <c r="A2" t="s">
        <v>104</v>
      </c>
    </row>
    <row r="3" spans="1:1" x14ac:dyDescent="0.3">
      <c r="A3" t="s">
        <v>163</v>
      </c>
    </row>
    <row r="4" spans="1:1" x14ac:dyDescent="0.3">
      <c r="A4" t="s">
        <v>164</v>
      </c>
    </row>
    <row r="5" spans="1:1" x14ac:dyDescent="0.3">
      <c r="A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435C-59A9-4979-A199-372D2ECE8762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CMS PBI RPT View Details</vt:lpstr>
      <vt:lpstr>Report Migration Status</vt:lpstr>
      <vt:lpstr>Leaks PBI RPT View Details </vt:lpstr>
      <vt:lpstr>Fact Table</vt:lpstr>
      <vt:lpstr>Dim Table</vt:lpstr>
      <vt:lpstr>Sheet3</vt:lpstr>
      <vt:lpstr>Timeline Chart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Boy Tadina</dc:creator>
  <cp:lastModifiedBy>Jimmy Boy Tadina</cp:lastModifiedBy>
  <dcterms:created xsi:type="dcterms:W3CDTF">2026-07-16T01:36:25Z</dcterms:created>
  <dcterms:modified xsi:type="dcterms:W3CDTF">2026-07-20T04:45:57Z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d75a54-f2be-4ffa-b165-74c609d83991_Enabled">
    <vt:lpwstr>true</vt:lpwstr>
  </property>
  <property fmtid="{D5CDD505-2E9C-101B-9397-08002B2CF9AE}" pid="3" name="MSIP_Label_8bd75a54-f2be-4ffa-b165-74c609d83991_SetDate">
    <vt:lpwstr>2026-07-16T16:09:46Z</vt:lpwstr>
  </property>
  <property fmtid="{D5CDD505-2E9C-101B-9397-08002B2CF9AE}" pid="4" name="MSIP_Label_8bd75a54-f2be-4ffa-b165-74c609d83991_Method">
    <vt:lpwstr>Standard</vt:lpwstr>
  </property>
  <property fmtid="{D5CDD505-2E9C-101B-9397-08002B2CF9AE}" pid="5" name="MSIP_Label_8bd75a54-f2be-4ffa-b165-74c609d83991_Name">
    <vt:lpwstr>Internal use only</vt:lpwstr>
  </property>
  <property fmtid="{D5CDD505-2E9C-101B-9397-08002B2CF9AE}" pid="6" name="MSIP_Label_8bd75a54-f2be-4ffa-b165-74c609d83991_SiteId">
    <vt:lpwstr>f98a6a53-25f3-4212-901c-c7787fcd3495</vt:lpwstr>
  </property>
  <property fmtid="{D5CDD505-2E9C-101B-9397-08002B2CF9AE}" pid="7" name="MSIP_Label_8bd75a54-f2be-4ffa-b165-74c609d83991_ActionId">
    <vt:lpwstr>f833a39b-9e42-4e0c-a7c5-357262a865b2</vt:lpwstr>
  </property>
  <property fmtid="{D5CDD505-2E9C-101B-9397-08002B2CF9AE}" pid="8" name="MSIP_Label_8bd75a54-f2be-4ffa-b165-74c609d83991_ContentBits">
    <vt:lpwstr>0</vt:lpwstr>
  </property>
  <property fmtid="{D5CDD505-2E9C-101B-9397-08002B2CF9AE}" pid="9" name="MSIP_Label_8bd75a54-f2be-4ffa-b165-74c609d83991_Tag">
    <vt:lpwstr>10, 3, 0, 1</vt:lpwstr>
  </property>
</Properties>
</file>