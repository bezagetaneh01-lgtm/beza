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98" documentId="13_ncr:1_{52745E9B-3AA1-4770-AAD3-E6166BFC13AE}" xr6:coauthVersionLast="47" xr6:coauthVersionMax="47" xr10:uidLastSave="{9B75CA6E-705F-4B75-9C8F-325933A4C51B}"/>
  <bookViews>
    <workbookView xWindow="28680" yWindow="-120" windowWidth="29040" windowHeight="1572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<sst xmlns="http://schemas.openxmlformats.org/spreadsheetml/2006/main" count="2958" uniqueCount="419">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</sst>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R1" activePane="topRight" state="frozen"/>
      <selection pane="topRight" activeCell="S55" sqref="S55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H)",IF(COUNTIF($B$2:$B$526,$B2)&gt;1,"Duplicate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H)",IF(COUNTIF($B$2:$B$526,$B3)&gt;1,"Duplicate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H)",IF(COUNTIF($B$2:$B$526,$B4)&gt;1,"Duplicate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H)",IF(COUNTIF($B$2:$B$526,$B5)&gt;1,"Duplicate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H)",IF(COUNTIF($B$2:$B$526,$B10)&gt;1,"Duplicate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H)",IF(COUNTIF($B$2:$B$526,$B11)&gt;1,"Duplicate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H)",IF(COUNTIF($B$2:$B$526,$B12)&gt;1,"Duplicate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H)",IF(COUNTIF($B$2:$B$526,$B13)&gt;1,"Duplicate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H)",IF(COUNTIF($B$2:$B$526,$B14)&gt;1,"Duplicate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H)",IF(COUNTIF($B$2:$B$526,$B15)&gt;1,"Duplicate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H)",IF(COUNTIF($B$2:$B$526,$B20)&gt;1,"Duplicate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H)",IF(COUNTIF($B$2:$B$526,$B21)&gt;1,"Duplicate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H)",IF(COUNTIF($B$2:$B$526,$B22)&gt;1,"Duplicate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H)",IF(COUNTIF($B$2:$B$526,$B23)&gt;1,"Duplicate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H)",IF(COUNTIF($B$2:$B$526,$B24)&gt;1,"Duplicate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H)",IF(COUNTIF($B$2:$B$526,$B25)&gt;1,"Duplicate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H)",IF(COUNTIF($B$2:$B$526,$B26)&gt;1,"Duplicate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H)",IF(COUNTIF($B$2:$B$526,$B27)&gt;1,"Duplicate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H)",IF(COUNTIF($B$2:$B$526,$B28)&gt;1,"Duplicate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46248</v>
      </c>
      <c r="X29" s="36">
        <v>46252</v>
      </c>
      <c r="Y29" s="36"/>
      <c r="Z29" s="53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H)",IF(COUNTIF($B$2:$B$526,$B29)&gt;1,"Duplicate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46260</v>
      </c>
      <c r="X30" s="36">
        <v>46255</v>
      </c>
      <c r="Y30" s="36"/>
      <c r="Z30" s="53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H)",IF(COUNTIF($B$2:$B$526,$B30)&gt;1,"Duplicate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H)",IF(COUNTIF($B$2:$B$526,$B31)&gt;1,"Duplicate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46269</v>
      </c>
      <c r="X32" s="36"/>
      <c r="Y32" s="36"/>
      <c r="Z32" s="53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H)",IF(COUNTIF($B$2:$B$526,$B32)&gt;1,"Duplicate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H)",IF(COUNTIF($B$2:$B$526,$B34)&gt;1,"Duplicate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46266</v>
      </c>
      <c r="T35" s="70"/>
      <c r="U35" s="55" t="s">
        <v>147</v>
      </c>
      <c r="V35" s="60">
        <v>46227</v>
      </c>
      <c r="W35" s="36">
        <v>46269</v>
      </c>
      <c r="X35" s="36"/>
      <c r="Y35" s="36"/>
      <c r="Z35" s="53">
        <v>46232</v>
      </c>
      <c r="AA35" s="36">
        <v>46274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H)",IF(COUNTIF($B$2:$B$526,$B35)&gt;1,"Duplicate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155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>
        <v>46261</v>
      </c>
      <c r="X36" s="36"/>
      <c r="Y36" s="36"/>
      <c r="Z36" s="53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H)",IF(COUNTIF($B$2:$B$526,$B36)&gt;1,"Duplicate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153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156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46260</v>
      </c>
      <c r="X37" s="36">
        <v>46255</v>
      </c>
      <c r="Y37" s="36"/>
      <c r="Z37" s="53">
        <v>46232</v>
      </c>
      <c r="AA37" s="36">
        <v>46269</v>
      </c>
      <c r="AB37" s="36"/>
      <c r="AC37" s="33" t="s">
        <v>157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H)",IF(COUNTIF($B$2:$B$526,$B37)&gt;1,"Duplicate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158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159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160</v>
      </c>
      <c r="F38" s="34" t="s">
        <v>147</v>
      </c>
      <c r="G38" s="33"/>
      <c r="H38" s="50">
        <v>46234</v>
      </c>
      <c r="I38" s="62" t="s">
        <v>130</v>
      </c>
      <c r="J38" s="33" t="s">
        <v>161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46259</v>
      </c>
      <c r="X38" s="36">
        <v>46254</v>
      </c>
      <c r="Y38" s="36"/>
      <c r="Z38" s="53">
        <v>46232</v>
      </c>
      <c r="AA38" s="36">
        <v>46269</v>
      </c>
      <c r="AB38" s="36"/>
      <c r="AC38" s="33" t="s">
        <v>157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H)",IF(COUNTIF($B$2:$B$526,$B38)&gt;1,"Duplicate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162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161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46258</v>
      </c>
      <c r="T39" s="70"/>
      <c r="U39" s="55" t="s">
        <v>46</v>
      </c>
      <c r="V39" s="60">
        <v>46227</v>
      </c>
      <c r="W39" s="36">
        <v>46261</v>
      </c>
      <c r="X39" s="36">
        <v>46258</v>
      </c>
      <c r="Y39" s="36"/>
      <c r="Z39" s="53">
        <v>46232</v>
      </c>
      <c r="AA39" s="36">
        <v>46269</v>
      </c>
      <c r="AB39" s="36"/>
      <c r="AC39" s="33" t="s">
        <v>157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H)",IF(COUNTIF($B$2:$B$526,$B39)&gt;1,"Duplicate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163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H)",IF(COUNTIF($B$2:$B$526,$B40)&gt;1,"Duplicate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164</v>
      </c>
      <c r="AL40" s="32" t="str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165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H)",IF(COUNTIF($B$2:$B$526,$B41)&gt;1,"Duplicate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166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167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168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46269</v>
      </c>
      <c r="AB42" s="36"/>
      <c r="AC42" s="33" t="s">
        <v>157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169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170</v>
      </c>
      <c r="C43" s="33" t="s">
        <v>140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H)",IF(COUNTIF($B$2:$B$526,$B43)&gt;1,"Duplicate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155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H)",IF(COUNTIF($B$2:$B$526,$B44)&gt;1,"Duplicate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/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H)",IF(COUNTIF($B$2:$B$526,$B45)&gt;1,"Duplicate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H)",IF(COUNTIF($B$2:$B$526,$B46)&gt;1,"Duplicate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Overdue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161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/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H)",IF(COUNTIF($B$2:$B$526,$B47)&gt;1,"Duplicate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140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46269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H)",IF(COUNTIF($B$2:$B$526,$B48)&gt;1,"Duplicate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161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46266</v>
      </c>
      <c r="T49" s="70"/>
      <c r="U49" s="55" t="s">
        <v>129</v>
      </c>
      <c r="V49" s="60">
        <v>46255</v>
      </c>
      <c r="W49" s="36">
        <v>46268</v>
      </c>
      <c r="X49" s="36"/>
      <c r="Y49" s="36"/>
      <c r="Z49" s="53">
        <v>46260</v>
      </c>
      <c r="AA49" s="36"/>
      <c r="AB49" s="36"/>
      <c r="AC49" s="33" t="s">
        <v>157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H)",IF(COUNTIF($B$2:$B$526,$B49)&gt;1,"Duplicate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46268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140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46269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H)",IF(COUNTIF($B$2:$B$526,$B50)&gt;1,"Duplicate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140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46269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H)",IF(COUNTIF($B$2:$B$526,$B51)&gt;1,"Duplicate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140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>
        <v>46269</v>
      </c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H)",IF(COUNTIF($B$2:$B$526,$B52)&gt;1,"Duplicate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140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46269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H)",IF(COUNTIF($B$2:$B$526,$B53)&gt;1,"Duplicate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140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>
        <v>46267</v>
      </c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H)",IF(COUNTIF($B$2:$B$526,$B54)&gt;1,"Duplicate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>
        <v>46267</v>
      </c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H)",IF(COUNTIF($B$2:$B$526,$B55)&gt;1,"Duplicate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>
        <v>46266</v>
      </c>
      <c r="S56" s="36">
        <v>46266</v>
      </c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H)",IF(COUNTIF($B$2:$B$526,$B56)&gt;1,"Duplicate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H)",IF(COUNTIF($B$2:$B$526,$B57)&gt;1,"Duplicate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H)",IF(COUNTIF($B$2:$B$526,$B58)&gt;1,"Duplicate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46266</v>
      </c>
      <c r="S59" s="36">
        <v>46266</v>
      </c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H)",IF(COUNTIF($B$2:$B$526,$B59)&gt;1,"Duplicate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161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H)",IF(COUNTIF($B$2:$B$526,$B60)&gt;1,"Duplicate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>
        <v>46267</v>
      </c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H)",IF(COUNTIF($B$2:$B$526,$B61)&gt;1,"Duplicate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H)",IF(COUNTIF($B$2:$B$526,$B62)&gt;1,"Duplicate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H)",IF(COUNTIF($B$2:$B$526,$B63)&gt;1,"Duplicate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H)",IF(COUNTIF($B$2:$B$526,$B64)&gt;1,"Duplicate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155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161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fix",S65&lt;&gt;"",SUMPRODUCT(MAX((('Rework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H)",IF(COUNTIF($B$2:$B$526,$B65)&gt;1,"Duplicate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H)",IF(COUNTIF($B$2:$B$526,$B66)&gt;1,"Duplicate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H)",IF(COUNTIF($B$2:$B$526,$B67)&gt;1,"Duplicate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H)",IF(COUNTIF($B$2:$B$526,$B68)&gt;1,"Duplicate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H)",IF(COUNTIF($B$2:$B$526,$B69)&gt;1,"Duplicate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H)",IF(COUNTIF($B$2:$B$526,$B70)&gt;1,"Duplicate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H)",IF(COUNTIF($B$2:$B$526,$B71)&gt;1,"Duplicate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H)",IF(COUNTIF($B$2:$B$526,$B72)&gt;1,"Duplicate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161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2:AJ42 W43:AK44 W73:AG73 W4:AK41 W45:AJ47 W48:AK72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">
    <cfRule type="expression" dxfId="92" priority="3">
      <formula>$AE73="Yes – needs DB Dev to fix"</formula>
    </cfRule>
  </conditionalFormatting>
  <conditionalFormatting sqref="M73:P100">
    <cfRule type="expression" dxfId="91" priority="281">
      <formula>$AC73="Yes – needs PBI Dev to fix"</formula>
    </cfRule>
  </conditionalFormatting>
  <conditionalFormatting sqref="M101:P526">
    <cfRule type="expression" dxfId="90" priority="283">
      <formula>$Z101="Yes – needs PBI Dev to fix"</formula>
    </cfRule>
  </conditionalFormatting>
  <conditionalFormatting sqref="O101:O113">
    <cfRule type="expression" dxfId="89" priority="2">
      <formula>$AC101="Yes – needs PBI Dev to fix"</formula>
    </cfRule>
  </conditionalFormatting>
  <conditionalFormatting sqref="Q73:Q100">
    <cfRule type="expression" dxfId="88" priority="100">
      <formula>$AE73="Yes – needs PBI Dev to fix"</formula>
    </cfRule>
  </conditionalFormatting>
  <conditionalFormatting sqref="Q101:R526">
    <cfRule type="expression" dxfId="87" priority="32">
      <formula>$Z101="Yes – needs QA to fix"</formula>
    </cfRule>
  </conditionalFormatting>
  <conditionalFormatting sqref="J29 M29:P29 J32:J33 M32:P33 K40:K41 M40:P41 Q2:U115">
    <cfRule type="expression" dxfId="86" priority="11">
      <formula>$AI2="Yes – needs PBI Dev to fix"</formula>
    </cfRule>
  </conditionalFormatting>
  <conditionalFormatting sqref="R73:U100 T96:T101">
    <cfRule type="expression" dxfId="85" priority="102">
      <formula>$AE73="Yes – needs QA to fix"</formula>
    </cfRule>
  </conditionalFormatting>
  <conditionalFormatting sqref="S101:U526">
    <cfRule type="expression" dxfId="84" priority="33">
      <formula>$Z101="Yes – needs DPO Approval to fix"</formula>
    </cfRule>
  </conditionalFormatting>
  <conditionalFormatting sqref="U10:V19">
    <cfRule type="expression" dxfId="83" priority="20">
      <formula>$AI10="Yes – needs PBI Dev to fix"</formula>
    </cfRule>
  </conditionalFormatting>
  <conditionalFormatting sqref="U101:V526">
    <cfRule type="expression" dxfId="82" priority="29">
      <formula>$V101="Yes"</formula>
    </cfRule>
  </conditionalFormatting>
  <conditionalFormatting sqref="U73:W100">
    <cfRule type="expression" dxfId="81" priority="104">
      <formula>$AE73="Yes – needs DPO Approval to fix"</formula>
    </cfRule>
  </conditionalFormatting>
  <conditionalFormatting sqref="U2:Y115">
    <cfRule type="expression" dxfId="80" priority="75">
      <formula>$AI2="Yes – needs QA to fix"</formula>
    </cfRule>
  </conditionalFormatting>
  <conditionalFormatting sqref="X73:Y100">
    <cfRule type="expression" dxfId="79" priority="106">
      <formula>$X73="Yes"</formula>
    </cfRule>
  </conditionalFormatting>
  <conditionalFormatting sqref="Z3">
    <cfRule type="expression" dxfId="78" priority="291">
      <formula>AND($B3&lt;&gt;"",MOD(ROW(),2)=0)</formula>
    </cfRule>
    <cfRule type="expression" dxfId="77" priority="292">
      <formula>$AI3="Yes – needs DPO Approval to fix"</formula>
    </cfRule>
  </conditionalFormatting>
  <conditionalFormatting sqref="Z101:Z526">
    <cfRule type="expression" dxfId="76" priority="26">
      <formula>LEFT($Z101,3)="Yes"</formula>
    </cfRule>
  </conditionalFormatting>
  <conditionalFormatting sqref="Z2:AD2 AA3:AD3 Z4:AD100">
    <cfRule type="expression" dxfId="75" priority="78">
      <formula>$AI2="Yes – needs DPO Approval to fix"</formula>
    </cfRule>
  </conditionalFormatting>
  <conditionalFormatting sqref="AA101:AB526">
    <cfRule type="expression" dxfId="74" priority="34">
      <formula>ISNUMBER(SEARCH("Open rework",$AA101))</formula>
    </cfRule>
    <cfRule type="expression" dxfId="73" priority="34">
      <formula>ISNUMBER(SEARCH("Move old",$AA101))</formula>
    </cfRule>
    <cfRule type="expression" dxfId="72" priority="34">
      <formula>ISNUMBER(SEARCH("log it",$AA101))</formula>
    </cfRule>
    <cfRule type="expression" dxfId="71" priority="35">
      <formula>ISNUMBER(SEARCH("Duplicate",$AA101))</formula>
    </cfRule>
    <cfRule type="expression" dxfId="70" priority="36">
      <formula>$AA101&lt;&gt;""</formula>
    </cfRule>
  </conditionalFormatting>
  <conditionalFormatting sqref="AE2:AE115">
    <cfRule type="expression" dxfId="69" priority="50">
      <formula>$AE2="Yes"</formula>
    </cfRule>
  </conditionalFormatting>
  <conditionalFormatting sqref="AE73:AE100">
    <cfRule type="expression" dxfId="68" priority="108">
      <formula>LEFT($AE73,3)="Yes"</formula>
    </cfRule>
  </conditionalFormatting>
  <conditionalFormatting sqref="AF73:AF100">
    <cfRule type="expression" dxfId="67" priority="114">
      <formula>ISNUMBER(SEARCH("Open rework",$AF73))</formula>
    </cfRule>
    <cfRule type="expression" dxfId="66" priority="115">
      <formula>ISNUMBER(SEARCH("Move old",$AF73))</formula>
    </cfRule>
    <cfRule type="expression" dxfId="65" priority="116">
      <formula>ISNUMBER(SEARCH("log it",$AF73))</formula>
    </cfRule>
    <cfRule type="expression" dxfId="64" priority="117">
      <formula>ISNUMBER(SEARCH("Duplicate",$AF73))</formula>
    </cfRule>
    <cfRule type="expression" dxfId="63" priority="118">
      <formula>$AF73&lt;&gt;""</formula>
    </cfRule>
  </conditionalFormatting>
  <conditionalFormatting sqref="AI2:AI115">
    <cfRule type="expression" dxfId="62" priority="52">
      <formula>LEFT($AI2,3)="Yes"</formula>
    </cfRule>
  </conditionalFormatting>
  <conditionalFormatting sqref="AJ2:AJ115">
    <cfRule type="expression" dxfId="61" priority="58">
      <formula>ISNUMBER(SEARCH("log it",$AJ2))</formula>
    </cfRule>
    <cfRule type="expression" dxfId="60" priority="59">
      <formula>ISNUMBER(SEARCH("Open rework",$AJ2))</formula>
    </cfRule>
    <cfRule type="expression" dxfId="59" priority="60">
      <formula>ISNUMBER(SEARCH("Move old",$AJ2))</formula>
    </cfRule>
    <cfRule type="expression" dxfId="58" priority="61">
      <formula>ISNUMBER(SEARCH("Duplicate",$AJ2))</formula>
    </cfRule>
    <cfRule type="expression" dxfId="57" priority="62">
      <formula>$AJ2&lt;&gt;""</formula>
    </cfRule>
  </conditionalFormatting>
  <conditionalFormatting sqref="AK45:AK46">
    <cfRule type="expression" dxfId="56" priority="1">
      <formula>AND($B49&lt;&gt;"",MOD(ROW(),2)=0)</formula>
    </cfRule>
  </conditionalFormatting>
  <conditionalFormatting sqref="AK47">
    <cfRule type="expression" dxfId="55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AA2:AA72 Z2:Z100 W2:X72 U2:V100 Q74:S526 Q2:R73 AB2:AB3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2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2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2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2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2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2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2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2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1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1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1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1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1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1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1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2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2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1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2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2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2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2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2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2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2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13" activePane="bottomLeft" state="frozen"/>
      <selection pane="bottomLeft" activeCell="A25" sqref="A25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0" t="s">
        <v>338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>
      <c r="A3" s="33" t="s">
        <v>146</v>
      </c>
      <c r="B3" s="36">
        <v>46230</v>
      </c>
      <c r="C3" s="33" t="s">
        <v>140</v>
      </c>
      <c r="D3" s="33" t="s">
        <v>155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159</v>
      </c>
      <c r="B4" s="32">
        <v>46237</v>
      </c>
      <c r="C4" s="31" t="s">
        <v>140</v>
      </c>
      <c r="D4" s="31" t="s">
        <v>155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155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5" t="s">
        <v>144</v>
      </c>
      <c r="B6" s="32">
        <v>46234</v>
      </c>
      <c r="C6" s="31" t="s">
        <v>140</v>
      </c>
      <c r="D6" s="31" t="s">
        <v>155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155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155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360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159</v>
      </c>
      <c r="B9" s="32">
        <v>46251</v>
      </c>
      <c r="C9" s="31" t="s">
        <v>140</v>
      </c>
      <c r="D9" s="31" t="s">
        <v>155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360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140</v>
      </c>
      <c r="D10" s="31" t="s">
        <v>155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360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155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5" t="s">
        <v>156</v>
      </c>
      <c r="B12" s="32">
        <v>46254</v>
      </c>
      <c r="C12" s="31" t="s">
        <v>140</v>
      </c>
      <c r="D12" s="31" t="s">
        <v>155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155</v>
      </c>
      <c r="E13" s="31" t="s">
        <v>129</v>
      </c>
      <c r="F13" s="31" t="s">
        <v>364</v>
      </c>
      <c r="G13" s="31" t="s">
        <v>49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140</v>
      </c>
      <c r="D14" s="31" t="s">
        <v>150</v>
      </c>
      <c r="E14" s="31" t="s">
        <v>147</v>
      </c>
      <c r="F14" s="31" t="s">
        <v>365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162</v>
      </c>
      <c r="B15" s="32">
        <v>46258</v>
      </c>
      <c r="C15" s="31" t="s">
        <v>140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363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154</v>
      </c>
      <c r="B16" s="32">
        <v>46258</v>
      </c>
      <c r="C16" s="31" t="s">
        <v>140</v>
      </c>
      <c r="D16" s="31" t="s">
        <v>155</v>
      </c>
      <c r="E16" s="31" t="s">
        <v>147</v>
      </c>
      <c r="F16" s="31" t="s">
        <v>367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363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155</v>
      </c>
      <c r="E18" s="31" t="s">
        <v>129</v>
      </c>
      <c r="F18" s="31" t="s">
        <v>369</v>
      </c>
      <c r="G18" s="31" t="s">
        <v>52</v>
      </c>
      <c r="H18" s="32"/>
      <c r="I18" s="32"/>
      <c r="J18" s="32">
        <v>46265</v>
      </c>
      <c r="K18" s="31"/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360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371</v>
      </c>
      <c r="B20" s="32">
        <v>46265</v>
      </c>
      <c r="C20" s="31" t="s">
        <v>140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0"/>
        <v>Fixed</v>
      </c>
      <c r="N20" t="s">
        <v>363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155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5" t="s">
        <v>139</v>
      </c>
      <c r="B22" s="32">
        <v>46265</v>
      </c>
      <c r="C22" s="31" t="s">
        <v>140</v>
      </c>
      <c r="D22" s="31" t="s">
        <v>155</v>
      </c>
      <c r="E22" s="31" t="s">
        <v>129</v>
      </c>
      <c r="F22" s="31" t="s">
        <v>375</v>
      </c>
      <c r="G22" s="31" t="s">
        <v>52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155</v>
      </c>
      <c r="E23" s="31" t="s">
        <v>46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155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150</v>
      </c>
      <c r="E25" s="31" t="s">
        <v>46</v>
      </c>
      <c r="F25" s="79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0</v>
      </c>
      <c r="R32">
        <f>IF($P32="","",SUMPRODUCT(($A$3:$A$499=$P32)*($G$3:$G$499&lt;&gt;"Yes")*($G$3:$G$499&lt;&gt;"Did not pass re-test")))</f>
        <v>0</v>
      </c>
      <c r="S32" s="28" t="str">
        <f>IF($P32="","",IF(SUMPRODUCT(MAX(($A$3:$A$499=$P32)*ROW($A$3:$A$499)))=0,"",INDEX($B:$B,SUMPRODUCT(MAX(($A$3:$A$499=$P32)*ROW($A$3:$A$499))))))</f>
        <v/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/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1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1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46258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0</v>
      </c>
      <c r="R41">
        <f>IF($P41="","",SUMPRODUCT(($A$3:$A$499=$P41)*($G$3:$G$499&lt;&gt;"Yes")*($G$3:$G$499&lt;&gt;"Did not pass re-test")))</f>
        <v>0</v>
      </c>
      <c r="S41" s="28" t="str">
        <f>IF($P41="","",IF(SUMPRODUCT(MAX(($A$3:$A$499=$P41)*ROW($A$3:$A$499)))=0,"",INDEX($B:$B,SUMPRODUCT(MAX(($A$3:$A$499=$P41)*ROW($A$3:$A$499))))))</f>
        <v/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/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1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46261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0</v>
      </c>
      <c r="R53">
        <f>IF($P53="","",SUMPRODUCT(($A$3:$A$499=$P53)*($G$3:$G$499&lt;&gt;"Yes")*($G$3:$G$499&lt;&gt;"Did not pass re-test")))</f>
        <v>0</v>
      </c>
      <c r="S53" s="28" t="str">
        <f>IF($P53="","",IF(SUMPRODUCT(MAX(($A$3:$A$499=$P53)*ROW($A$3:$A$499)))=0,"",INDEX($B:$B,SUMPRODUCT(MAX(($A$3:$A$499=$P53)*ROW($A$3:$A$499))))))</f>
        <v/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474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474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474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474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474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474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474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474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474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474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474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474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474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474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474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474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Data'!B132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474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Data'!B133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474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Data'!B134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474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Data'!B135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474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Data'!B136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474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Data'!B137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474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Data'!B138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474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Data'!B139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474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Data'!B140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474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Data'!B141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474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Data'!B142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474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Data'!B143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474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Data'!B144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474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Data'!B145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474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Data'!B146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474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Data'!B147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474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Data'!B148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474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Data'!B149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474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Data'!B150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474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Data'!B151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474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Data'!B152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474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Data'!B153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474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Data'!B154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474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Data'!B155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474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Data'!B156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474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Data'!B157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474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Data'!B158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474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Data'!B159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474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Data'!B160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474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Data'!B161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474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Data'!B162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474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Data'!B163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474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Data'!B164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474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Data'!B165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474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Data'!B166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474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Data'!B167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474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Data'!B168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474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Data'!B169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474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Data'!B170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474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Data'!B171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474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Data'!B172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474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Data'!B173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474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Data'!B174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474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Data'!B175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474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Data'!B176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474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Data'!B177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474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Data'!B178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474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Data'!B179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474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Data'!B180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474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Data'!B181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474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Data'!B182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474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Data'!B183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474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Data'!B184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474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Data'!B185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474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Data'!B186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474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Data'!B187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474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Data'!B188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474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Data'!B189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474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Data'!B190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474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Data'!B191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474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Data'!B192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474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Data'!B193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474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Data'!B194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474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Data'!B195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474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Data'!B196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474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Data'!B197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474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Data'!B198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474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Data'!B199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474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Data'!B200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474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Data'!B201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474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Data'!B202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474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Data'!B203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474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Data'!B204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474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Data'!B205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474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Data'!B206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474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Data'!B207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474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Data'!B208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474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Data'!B209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474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Data'!B210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474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Data'!B211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474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Data'!B212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474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Data'!B213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474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Data'!B214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474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Data'!B215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474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Data'!B216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474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Data'!B217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474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Data'!B218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474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Data'!B219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474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Data'!B220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474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Data'!B221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474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Data'!B222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474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Data'!B223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474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Data'!B224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474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Data'!B225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474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Data'!B226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474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Data'!B227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474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Data'!B228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474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Data'!B229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474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Data'!B230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474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Data'!B231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474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Data'!B232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474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Data'!B233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474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Data'!B234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474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Data'!B235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474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Data'!B236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474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Data'!B237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474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Data'!B238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474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Data'!B239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474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Data'!B240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474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Data'!B241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474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Data'!B242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474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Data'!B243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474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Data'!B244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474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Data'!B245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474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Data'!B246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474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Data'!B247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474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Data'!B248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474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Data'!B249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474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Data'!B250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474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Data'!B251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474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Data'!B252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474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Data'!B253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474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Data'!B254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474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Data'!B255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474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Data'!B256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474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Data'!B257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474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Data'!B258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474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Data'!B259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474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Data'!B260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474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Data'!B261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474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Data'!B262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474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Data'!B263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474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Data'!B264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474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Data'!B265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474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Data'!B266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474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Data'!B267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474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Data'!B268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474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Data'!B269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474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Data'!B270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474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Data'!B271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474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Data'!B272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474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Data'!B273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474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Data'!B274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474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Data'!B275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474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Data'!B276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474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Data'!B277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474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Data'!B278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474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Data'!B279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474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Data'!B280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474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Data'!B281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474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Data'!B282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474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Data'!B283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474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Data'!B284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474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Data'!B285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474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Data'!B286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474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Data'!B287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474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Data'!B288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474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Data'!B289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474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Data'!B290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474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Data'!B291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474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Data'!B292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474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Data'!B293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474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Data'!B294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474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Data'!B295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474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Data'!B296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474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Data'!B297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474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Data'!B298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474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Data'!B299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474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Data'!B300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474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Data'!B301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474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Data'!B302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474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Data'!B303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474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Data'!B304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474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Data'!B305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474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Data'!B306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474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Data'!B307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474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Data'!B308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474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Data'!B309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474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Data'!B310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474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Data'!B311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474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Data'!B312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474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Data'!B313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474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Data'!B314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474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Data'!B315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474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Data'!B316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474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Data'!B317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474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Data'!B318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474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Data'!B319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474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Data'!B320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474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Data'!B321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474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Data'!B322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474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Data'!B323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474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Data'!B324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474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Data'!B325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474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Data'!B326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474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Data'!B327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474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Data'!B328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474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Data'!B329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474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Data'!B330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474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Data'!B331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474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Data'!B332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474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Data'!B333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474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Data'!B334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474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Data'!B335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474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Data'!B336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474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Data'!B337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474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Data'!B338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474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Data'!B339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474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Data'!B340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474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Data'!B341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474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Data'!B342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474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Data'!B343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474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Data'!B344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474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Data'!B345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474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Data'!B346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474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Data'!B347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474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Data'!B348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474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Data'!B349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474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Data'!B350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474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Data'!B351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474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Data'!B352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474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Data'!B353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474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Data'!B354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474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Data'!B355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474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Data'!B356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474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Data'!B357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474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Data'!B358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474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Data'!B359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474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Data'!B360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474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Data'!B361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474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Data'!B362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474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Data'!B363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474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Data'!B364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474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Data'!B365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474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Data'!B366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474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Data'!B367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474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Data'!B368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474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Data'!B369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474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Data'!B370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474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Data'!B371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474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Data'!B372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474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Data'!B373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474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Data'!B374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474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Data'!B375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474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Data'!B376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474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Data'!B377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474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Data'!B378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474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Data'!B379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474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Data'!B380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474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Data'!B381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474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Data'!B382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474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Data'!B383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474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Data'!B384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474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Data'!B385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474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Data'!B386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474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Data'!B387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474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Data'!B388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474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Data'!B389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474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Data'!B390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474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Data'!B391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474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Data'!B392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474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Data'!B393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474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Data'!B394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474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Data'!B395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474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Data'!B396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474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Data'!B397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474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Data'!B398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474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Data'!B399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474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Data'!B400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474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Data'!B401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474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Data'!B402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474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Data'!B403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474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Data'!B404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474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Data'!B405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474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Data'!B406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474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Data'!B407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474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Data'!B408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474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Data'!B409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474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Data'!B410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474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Data'!B411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474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Data'!B412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474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Data'!B413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474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Data'!B414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474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Data'!B415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474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Data'!B416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474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Data'!B417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474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Data'!B418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474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Data'!B419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474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Data'!B420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474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Data'!B421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474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Data'!B422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474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Data'!B423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474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Data'!B424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474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Data'!B425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474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Data'!B426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474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Data'!B427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474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Data'!B428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474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Data'!B429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474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Data'!B430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474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Data'!B431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474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Data'!B432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474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Data'!B433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474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Data'!B434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474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Data'!B435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474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Data'!B436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474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Data'!B437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474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Data'!B438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474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Data'!B439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474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Data'!B440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474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Data'!B441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474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Data'!B442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474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Data'!B443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474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Data'!B444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474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Data'!B445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474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Data'!B446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474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Data'!B447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474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Data'!B448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474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Data'!B449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474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Data'!B450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474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Data'!B451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474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Data'!B452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474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Data'!B453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474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Data'!B454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474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Data'!B455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474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Data'!B456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474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Data'!B457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474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Data'!B458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474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Data'!B459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474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Data'!B460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474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Data'!B461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474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Data'!B462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474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Data'!B463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474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Data'!B464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474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Data'!B465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474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Data'!B466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474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Data'!B467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474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Data'!B468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474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Data'!B469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474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Data'!B470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474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Data'!B471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474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Data'!B472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474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Data'!B473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474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Data'!B474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474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Data'!B475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474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Data'!B476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474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Data'!B477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474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Data'!B478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474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Data'!B479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474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Data'!B480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474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Data'!B481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474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Data'!B482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474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Data'!B483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474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Data'!B484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474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Data'!B485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474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Data'!B486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474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Data'!B487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474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Data'!B488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474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Data'!B489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474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Data'!B490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474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Data'!B491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474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Data'!B492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474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Data'!B493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474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Data'!B494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474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Data'!B495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474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Data'!B496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474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Data'!B497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474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Data'!B498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474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Data'!B499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474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Data'!B500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474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Data'!B501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474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Data'!B502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474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Data'!B503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474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Data'!B504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474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Data'!B505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474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Data'!B506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474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Data'!B507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474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Data'!B508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474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Data'!B509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474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Data'!B510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474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Data'!B511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474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Data'!B512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474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Data'!B513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474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Data'!B514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474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Data'!B515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474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Data'!B516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474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Data'!B517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474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Data'!B518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474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Data'!B519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474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Data'!B520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474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Data'!B521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474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Data'!B522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474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Data'!B523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474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Data'!B524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474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Data'!B525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474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7">
      <formula>AND($B5&lt;&gt;"",MOD(ROW(),2)=0)</formula>
    </cfRule>
  </conditionalFormatting>
  <conditionalFormatting sqref="A11:A13">
    <cfRule type="expression" dxfId="13" priority="4">
      <formula>AND($B11&lt;&gt;"",MOD(ROW(),2)=0)</formula>
    </cfRule>
  </conditionalFormatting>
  <conditionalFormatting sqref="A3:H3 K3:M3 A4:M4 M4:M11 B5:M8 A9:M10 B11:M13 A14:M17 A19:M21 B18:M18 B22:M22 A23:M499">
    <cfRule type="expression" dxfId="12" priority="17">
      <formula>AND($A3&lt;&gt;"",$G3="Yes")</formula>
    </cfRule>
    <cfRule type="expression" dxfId="11" priority="18">
      <formula>AND($A3&lt;&gt;"",$J3&lt;&gt;"")</formula>
    </cfRule>
    <cfRule type="expression" dxfId="10" priority="19">
      <formula>$A3&lt;&gt;""</formula>
    </cfRule>
  </conditionalFormatting>
  <conditionalFormatting sqref="C3:C199 G3:G199">
    <cfRule type="expression" dxfId="9" priority="20">
      <formula>$A3=""</formula>
    </cfRule>
  </conditionalFormatting>
  <conditionalFormatting sqref="K3:M3 A4:M4 M4:M11 B5:M8 A9:M10 B11:M13 A14:M17 A3:H3 A19:M21 B18:M18 B22:M22 A23:M499">
    <cfRule type="expression" dxfId="8" priority="16">
      <formula>AND($A3&lt;&gt;"",$G3="Did not pass re-test")</formula>
    </cfRule>
  </conditionalFormatting>
  <conditionalFormatting sqref="M3:M499">
    <cfRule type="expression" dxfId="7" priority="10">
      <formula>ISNUMBER(SEARCH("Sent back again",$M3))</formula>
    </cfRule>
    <cfRule type="expression" dxfId="6" priority="11">
      <formula>ISNUMBER(SEARCH("LATE",$M3))</formula>
    </cfRule>
    <cfRule type="expression" dxfId="5" priority="12">
      <formula>ISNUMBER(SEARCH("UNCLAIMED",$M3))</formula>
    </cfRule>
    <cfRule type="expression" dxfId="4" priority="13">
      <formula>ISNUMBER(SEARCH("Missing",$M3))</formula>
    </cfRule>
    <cfRule type="expression" dxfId="3" priority="14">
      <formula>ISNUMBER(SEARCH("Fixed in",$M3))</formula>
    </cfRule>
    <cfRule type="expression" dxfId="2" priority="15">
      <formula>ISNUMBER(SEARCH("Open",$M3))</formula>
    </cfRule>
  </conditionalFormatting>
  <conditionalFormatting sqref="A18">
    <cfRule type="expression" dxfId="1" priority="3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379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380</v>
      </c>
      <c r="C2" s="8" t="s">
        <v>1</v>
      </c>
      <c r="D2" s="8" t="s">
        <v>381</v>
      </c>
      <c r="E2" s="8" t="s">
        <v>382</v>
      </c>
      <c r="F2" s="8" t="s">
        <v>6</v>
      </c>
      <c r="G2" s="8" t="s">
        <v>5</v>
      </c>
      <c r="H2" s="8" t="s">
        <v>383</v>
      </c>
      <c r="I2" s="8" t="s">
        <v>384</v>
      </c>
      <c r="J2" s="8" t="s">
        <v>385</v>
      </c>
    </row>
    <row r="3" spans="1:10" ht="14.25" customHeight="1">
      <c r="A3" s="9" t="s">
        <v>39</v>
      </c>
      <c r="B3" s="9" t="s">
        <v>155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155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155</v>
      </c>
      <c r="C13" s="9" t="s">
        <v>386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386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386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386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386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155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155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155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155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155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155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155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155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155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155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155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155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155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155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155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155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155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155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155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155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155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155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155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155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155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155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155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155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155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155</v>
      </c>
      <c r="C161" s="3" t="s">
        <v>156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156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156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155</v>
      </c>
      <c r="C164" s="3" t="s">
        <v>159</v>
      </c>
      <c r="D164" s="3" t="s">
        <v>161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159</v>
      </c>
      <c r="D165" s="3" t="s">
        <v>161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159</v>
      </c>
      <c r="D166" s="3" t="s">
        <v>161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155</v>
      </c>
      <c r="C167" s="3" t="s">
        <v>162</v>
      </c>
      <c r="D167" s="3" t="s">
        <v>161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162</v>
      </c>
      <c r="D168" s="3" t="s">
        <v>161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162</v>
      </c>
      <c r="D169" s="3" t="s">
        <v>161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155</v>
      </c>
      <c r="C170" s="3" t="s">
        <v>163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163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163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155</v>
      </c>
      <c r="C173" s="3" t="s">
        <v>165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165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165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155</v>
      </c>
      <c r="C176" s="3" t="s">
        <v>167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167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167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155</v>
      </c>
      <c r="C179" s="3" t="s">
        <v>170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170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170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155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387</v>
      </c>
      <c r="B1" s="104"/>
      <c r="C1" s="104"/>
    </row>
    <row r="2" spans="1:3" ht="14.25" customHeight="1">
      <c r="A2" s="8" t="s">
        <v>0</v>
      </c>
      <c r="B2" s="8" t="s">
        <v>388</v>
      </c>
      <c r="C2" s="8" t="s">
        <v>384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389</v>
      </c>
      <c r="B11" s="11">
        <v>18</v>
      </c>
      <c r="C11" s="12">
        <v>46386</v>
      </c>
    </row>
    <row r="12" spans="1:3" ht="14.25" customHeight="1">
      <c r="A12" s="11" t="s">
        <v>389</v>
      </c>
      <c r="B12" s="11">
        <v>18</v>
      </c>
      <c r="C12" s="12">
        <v>46417</v>
      </c>
    </row>
    <row r="13" spans="1:3" ht="14.25" customHeight="1">
      <c r="A13" s="11" t="s">
        <v>389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N3" sqref="N3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710937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390</v>
      </c>
      <c r="F1" s="1" t="s">
        <v>326</v>
      </c>
      <c r="G1" s="5" t="s">
        <v>391</v>
      </c>
      <c r="H1" s="5" t="s">
        <v>20</v>
      </c>
      <c r="I1" t="s">
        <v>34</v>
      </c>
      <c r="J1" s="5" t="s">
        <v>392</v>
      </c>
      <c r="K1" s="5" t="s">
        <v>128</v>
      </c>
      <c r="L1" s="5" t="s">
        <v>345</v>
      </c>
      <c r="M1" s="1" t="s">
        <v>393</v>
      </c>
      <c r="N1" s="1" t="s">
        <v>394</v>
      </c>
      <c r="R1" t="s">
        <v>13</v>
      </c>
      <c r="T1" t="s">
        <v>395</v>
      </c>
    </row>
    <row r="2" spans="1:20" ht="13.5" customHeight="1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400</v>
      </c>
      <c r="F2" s="2" t="s">
        <v>401</v>
      </c>
      <c r="G2" t="s">
        <v>402</v>
      </c>
      <c r="H2" t="s">
        <v>403</v>
      </c>
      <c r="I2" t="s">
        <v>404</v>
      </c>
      <c r="J2" s="29" t="s">
        <v>405</v>
      </c>
      <c r="K2" s="29" t="s">
        <v>406</v>
      </c>
      <c r="L2" s="29" t="s">
        <v>407</v>
      </c>
      <c r="M2" t="s">
        <v>147</v>
      </c>
      <c r="N2" s="45" t="s">
        <v>408</v>
      </c>
      <c r="R2" t="s">
        <v>409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155</v>
      </c>
      <c r="K3" t="s">
        <v>47</v>
      </c>
      <c r="L3" t="s">
        <v>52</v>
      </c>
      <c r="M3" t="s">
        <v>43</v>
      </c>
      <c r="N3" s="45" t="s">
        <v>410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155</v>
      </c>
      <c r="G4" t="s">
        <v>58</v>
      </c>
      <c r="H4" t="s">
        <v>87</v>
      </c>
      <c r="I4" t="s">
        <v>411</v>
      </c>
      <c r="J4" t="s">
        <v>150</v>
      </c>
      <c r="L4" t="s">
        <v>49</v>
      </c>
      <c r="M4" t="s">
        <v>102</v>
      </c>
      <c r="N4" s="45" t="s">
        <v>410</v>
      </c>
      <c r="R4" t="s">
        <v>173</v>
      </c>
      <c r="T4" t="s">
        <v>71</v>
      </c>
    </row>
    <row r="5" spans="1:20" ht="15" customHeight="1">
      <c r="A5" t="s">
        <v>389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140</v>
      </c>
      <c r="L5" t="s">
        <v>412</v>
      </c>
      <c r="M5" t="s">
        <v>87</v>
      </c>
      <c r="N5" s="45" t="s">
        <v>410</v>
      </c>
    </row>
    <row r="6" spans="1:20" ht="15" customHeight="1">
      <c r="A6" t="s">
        <v>299</v>
      </c>
      <c r="B6" t="s">
        <v>83</v>
      </c>
      <c r="F6" t="s">
        <v>140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410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413</v>
      </c>
      <c r="M7" t="s">
        <v>129</v>
      </c>
      <c r="N7" s="45" t="s">
        <v>410</v>
      </c>
    </row>
    <row r="8" spans="1:20" ht="15" customHeight="1">
      <c r="B8" t="s">
        <v>75</v>
      </c>
      <c r="F8" t="s">
        <v>41</v>
      </c>
      <c r="G8" t="s">
        <v>75</v>
      </c>
      <c r="I8" t="s">
        <v>414</v>
      </c>
      <c r="M8" t="s">
        <v>59</v>
      </c>
      <c r="N8" s="45" t="s">
        <v>410</v>
      </c>
    </row>
    <row r="9" spans="1:20" ht="15" customHeight="1">
      <c r="B9" t="s">
        <v>102</v>
      </c>
      <c r="G9" t="s">
        <v>102</v>
      </c>
      <c r="I9" t="s">
        <v>415</v>
      </c>
      <c r="M9" t="s">
        <v>161</v>
      </c>
      <c r="N9" s="45" t="s">
        <v>410</v>
      </c>
    </row>
    <row r="10" spans="1:20" ht="15" customHeight="1">
      <c r="B10" t="s">
        <v>161</v>
      </c>
      <c r="G10" t="s">
        <v>161</v>
      </c>
      <c r="M10" t="s">
        <v>46</v>
      </c>
      <c r="N10" s="45" t="s">
        <v>410</v>
      </c>
    </row>
    <row r="11" spans="1:20">
      <c r="B11" t="s">
        <v>416</v>
      </c>
      <c r="G11" t="s">
        <v>59</v>
      </c>
      <c r="M11" t="s">
        <v>75</v>
      </c>
      <c r="N11" s="45" t="s">
        <v>410</v>
      </c>
    </row>
    <row r="12" spans="1:20">
      <c r="B12" t="s">
        <v>417</v>
      </c>
      <c r="G12" t="s">
        <v>45</v>
      </c>
      <c r="M12" t="s">
        <v>45</v>
      </c>
      <c r="N12" s="45" t="s">
        <v>410</v>
      </c>
    </row>
    <row r="13" spans="1:20">
      <c r="G13" t="s">
        <v>76</v>
      </c>
      <c r="M13" t="s">
        <v>76</v>
      </c>
      <c r="N13" s="45" t="s">
        <v>410</v>
      </c>
    </row>
    <row r="14" spans="1:20">
      <c r="M14" t="s">
        <v>83</v>
      </c>
      <c r="N14" s="45" t="s">
        <v>418</v>
      </c>
    </row>
    <row r="15" spans="1:20">
      <c r="M15" t="s">
        <v>58</v>
      </c>
      <c r="N15" s="45" t="s">
        <v>410</v>
      </c>
    </row>
    <row r="16" spans="1:20">
      <c r="M16" t="s">
        <v>117</v>
      </c>
      <c r="N16" s="45" t="s">
        <v>410</v>
      </c>
    </row>
    <row r="17" spans="13:14">
      <c r="M17" t="s">
        <v>64</v>
      </c>
      <c r="N17" s="45" t="s">
        <v>410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2026-09-02T12:35:18Z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