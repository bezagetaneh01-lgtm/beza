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386" documentId="13_ncr:1_{52745E9B-3AA1-4770-AAD3-E6166BFC13AE}" xr6:coauthVersionLast="47" xr6:coauthVersionMax="47" xr10:uidLastSave="{74360AA0-C33D-483F-B4E9-7EE1F0B5FD9C}"/>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<sst xmlns="http://schemas.openxmlformats.org/spreadsheetml/2006/main" count="3206" uniqueCount="467">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</sst>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59" activePane="topRight" state="frozen"/>
      <selection pane="topRight" activeCell="C74" sqref="C74"/>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21.425781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back to DB Dev</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c r="A64" s="118" t="s">
        <v>126</v>
      </c>
      <c r="B64" s="118" t="s">
        <v>220</v>
      </c>
      <c r="C64" s="118" t="s">
        <v>175</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PBI Dev</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A2:F87 G65:Q65 Z48:AL72 Z73:AH100 W2:Y527 G43:V64 G66:V73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K2:M527 W2:W72 X2:X72 X101:X115"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Update as you go" prompt="If this report is no longer at this stage, change it now. Move it forward as soon as your completion date is in, and move it back to the stage that owes a fix when it is sent back."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3" t="str">
        <f>IF($B$4="","",IFERROR(INDEX('Combined Delivery Data'!$A:$A,MATCH($B$4,'Combined Delivery Data'!$B:$B,0)),""))</f>
        <v/>
      </c>
      <c r="C6" s="176"/>
      <c r="D6" s="176"/>
      <c r="E6" s="177"/>
    </row>
    <row r="7" spans="1:5">
      <c r="A7" s="42" t="s">
        <v>331</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332</v>
      </c>
      <c r="B14" s="172" t="str">
        <f>IF($B$4="","",IFERROR(INDEX('Combined Delivery Data'!$K:$K,MATCH($B$4,'Combined Delivery Data'!$B:$B,0)),""))</f>
        <v/>
      </c>
      <c r="C14" s="176"/>
      <c r="D14" s="176"/>
      <c r="E14" s="177"/>
    </row>
    <row r="15" spans="1:5">
      <c r="A15" s="42" t="s">
        <v>333</v>
      </c>
      <c r="B15" s="172" t="str">
        <f>IF($B$4="","",IFERROR(INDEX('Combined Delivery Data'!$L:$L,MATCH($B$4,'Combined Delivery Data'!$B:$B,0)),""))</f>
        <v/>
      </c>
      <c r="C15" s="176"/>
      <c r="D15" s="176"/>
      <c r="E15" s="177"/>
    </row>
    <row r="16" spans="1:5">
      <c r="A16" s="42" t="s">
        <v>334</v>
      </c>
      <c r="B16" s="172" t="str">
        <f>IF($B$4="","",IFERROR(INDEX('Combined Delivery Data'!$M:$M,MATCH($B$4,'Combined Delivery Data'!$B:$B,0)),""))</f>
        <v/>
      </c>
      <c r="C16" s="176"/>
      <c r="D16" s="176"/>
      <c r="E16" s="177"/>
    </row>
    <row r="17" spans="1:5">
      <c r="A17" s="42" t="s">
        <v>335</v>
      </c>
      <c r="B17" s="172" t="str">
        <f>IF($B$4="","",IFERROR(INDEX('Combined Delivery Data'!$O:$O,MATCH($B$4,'Combined Delivery Data'!$B:$B,0)),""))</f>
        <v/>
      </c>
      <c r="C17" s="176"/>
      <c r="D17" s="176"/>
      <c r="E17" s="177"/>
    </row>
    <row r="18" spans="1:5">
      <c r="A18" s="42" t="s">
        <v>336</v>
      </c>
      <c r="B18" s="172" t="str">
        <f>IF($B$4="","",IFERROR(INDEX('Combined Delivery Data'!$Q:$Q,MATCH($B$4,'Combined Delivery Data'!$B:$B,0)),""))</f>
        <v/>
      </c>
      <c r="C18" s="176"/>
      <c r="D18" s="176"/>
      <c r="E18" s="177"/>
    </row>
    <row r="19" spans="1:5">
      <c r="A19" s="42" t="s">
        <v>337</v>
      </c>
      <c r="B19" s="172" t="str">
        <f>IF($B$4="","",IFERROR(INDEX('Combined Delivery Data'!$R:$R,MATCH($B$4,'Combined Delivery Data'!$B:$B,0)),""))</f>
        <v/>
      </c>
      <c r="C19" s="176"/>
      <c r="D19" s="176"/>
      <c r="E19" s="177"/>
    </row>
    <row r="20" spans="1:5">
      <c r="A20" s="42" t="s">
        <v>338</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339</v>
      </c>
      <c r="B26" s="173" t="str">
        <f>IF($B$4="","",IFERROR(INDEX('Rework Log'!$Q:$Q,MATCH($B$4,'Rework Log'!$P:$P,0)),""))</f>
        <v/>
      </c>
      <c r="C26" s="176"/>
      <c r="D26" s="176"/>
      <c r="E26" s="177"/>
    </row>
    <row r="27" spans="1:5">
      <c r="A27" s="42" t="s">
        <v>340</v>
      </c>
      <c r="B27" s="173" t="str">
        <f>IF($B$4="","",IFERROR(INDEX('Rework Log'!$R:$R,MATCH($B$4,'Rework Log'!$P:$P,0)),""))</f>
        <v/>
      </c>
      <c r="C27" s="176"/>
      <c r="D27" s="176"/>
      <c r="E27" s="177"/>
    </row>
    <row r="28" spans="1:5">
      <c r="A28" s="42" t="s">
        <v>341</v>
      </c>
      <c r="B28" s="173" t="str">
        <f>IF($B$4="","",IFERROR(INDEX('Rework Log'!$S:$S,MATCH($B$4,'Rework Log'!$P:$P,0)),""))</f>
        <v/>
      </c>
      <c r="C28" s="176"/>
      <c r="D28" s="176"/>
      <c r="E28" s="177"/>
    </row>
    <row r="29" spans="1:5">
      <c r="A29" s="42" t="s">
        <v>342</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O34" activePane="bottomLeft" state="frozen"/>
      <selection pane="bottomLeft" activeCell="O39" sqref="O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343</v>
      </c>
      <c r="B1" s="171"/>
      <c r="C1" s="171"/>
      <c r="D1" s="171"/>
      <c r="E1" s="171"/>
      <c r="F1" s="171"/>
      <c r="G1" s="171"/>
      <c r="H1" s="171"/>
      <c r="I1" s="171"/>
      <c r="J1" s="171"/>
      <c r="K1" s="171"/>
      <c r="L1" s="171"/>
      <c r="M1" s="171"/>
      <c r="P1" s="179" t="s">
        <v>344</v>
      </c>
      <c r="Q1" s="179"/>
      <c r="R1" s="179"/>
      <c r="S1" s="179"/>
      <c r="T1" s="179"/>
    </row>
    <row r="2" spans="1:20" ht="30" customHeight="1">
      <c r="A2" s="17" t="s">
        <v>1</v>
      </c>
      <c r="B2" s="17" t="s">
        <v>345</v>
      </c>
      <c r="C2" s="17" t="s">
        <v>346</v>
      </c>
      <c r="D2" s="17" t="s">
        <v>347</v>
      </c>
      <c r="E2" s="17" t="s">
        <v>348</v>
      </c>
      <c r="F2" s="17" t="s">
        <v>349</v>
      </c>
      <c r="G2" s="17" t="s">
        <v>350</v>
      </c>
      <c r="H2" s="17" t="s">
        <v>351</v>
      </c>
      <c r="I2" s="30" t="s">
        <v>352</v>
      </c>
      <c r="J2" s="30" t="s">
        <v>353</v>
      </c>
      <c r="K2" s="30" t="s">
        <v>354</v>
      </c>
      <c r="L2" s="30" t="s">
        <v>355</v>
      </c>
      <c r="M2" s="21" t="s">
        <v>356</v>
      </c>
      <c r="N2" s="21" t="s">
        <v>357</v>
      </c>
      <c r="P2" s="13" t="s">
        <v>1</v>
      </c>
      <c r="Q2" s="13" t="s">
        <v>339</v>
      </c>
      <c r="R2" s="13" t="s">
        <v>340</v>
      </c>
      <c r="S2" s="13" t="s">
        <v>341</v>
      </c>
      <c r="T2" s="13" t="s">
        <v>342</v>
      </c>
    </row>
    <row r="3" spans="1:20" ht="15">
      <c r="A3" s="33" t="s">
        <v>142</v>
      </c>
      <c r="B3" s="36">
        <v>46230</v>
      </c>
      <c r="C3" s="33" t="s">
        <v>175</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ht="15">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ht="15">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ht="15">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ht="15">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ht="15">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ht="15">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ht="15">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ht="15">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ht="15">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ht="15">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ht="15">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ht="15">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ht="15">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ht="15">
      <c r="A17" s="31" t="s">
        <v>145</v>
      </c>
      <c r="B17" s="32">
        <v>46260</v>
      </c>
      <c r="C17" s="31" t="s">
        <v>175</v>
      </c>
      <c r="D17" s="31" t="s">
        <v>188</v>
      </c>
      <c r="E17" s="31" t="s">
        <v>143</v>
      </c>
      <c r="F17" s="31" t="s">
        <v>373</v>
      </c>
      <c r="G17" s="31" t="s">
        <v>50</v>
      </c>
      <c r="H17" s="32" t="s">
        <v>46</v>
      </c>
      <c r="I17" s="32"/>
      <c r="J17" s="32"/>
      <c r="K17" s="31"/>
      <c r="L17" s="31"/>
      <c r="M17" s="3"/>
      <c r="S17" s="28"/>
    </row>
    <row r="18" spans="1:20" ht="15">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ht="15">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ht="15">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ht="15">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ht="15">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ht="15">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ht="15">
      <c r="A24" s="31" t="s">
        <v>169</v>
      </c>
      <c r="B24" s="32">
        <v>46266</v>
      </c>
      <c r="C24" s="31" t="s">
        <v>175</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ht="15">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ht="15">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ht="15">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ht="15">
      <c r="A29" s="31" t="s">
        <v>136</v>
      </c>
      <c r="B29" s="32">
        <v>46267</v>
      </c>
      <c r="C29" s="31" t="s">
        <v>175</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ht="15">
      <c r="A30" s="31" t="s">
        <v>156</v>
      </c>
      <c r="B30" s="32">
        <v>46267</v>
      </c>
      <c r="C30" s="31" t="s">
        <v>175</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ht="15">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ht="15">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ht="15">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ht="15">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ht="15">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ht="15">
      <c r="A37" s="33" t="s">
        <v>187</v>
      </c>
      <c r="B37" s="32">
        <v>46275</v>
      </c>
      <c r="C37" s="31" t="s">
        <v>175</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ht="15">
      <c r="A38" s="33" t="s">
        <v>181</v>
      </c>
      <c r="B38" s="32">
        <v>46279</v>
      </c>
      <c r="C38" s="31" t="s">
        <v>175</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ht="15">
      <c r="A39" s="31" t="s">
        <v>192</v>
      </c>
      <c r="B39" s="32">
        <v>46279</v>
      </c>
      <c r="C39" s="31" t="s">
        <v>175</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t="15">
      <c r="A40" s="31" t="s">
        <v>209</v>
      </c>
      <c r="B40" s="32">
        <v>46280</v>
      </c>
      <c r="C40" s="31" t="s">
        <v>175</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ht="15">
      <c r="A41" s="31" t="s">
        <v>205</v>
      </c>
      <c r="B41" s="32">
        <v>46281</v>
      </c>
      <c r="C41" s="31" t="s">
        <v>175</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ht="15">
      <c r="A42" s="31" t="s">
        <v>211</v>
      </c>
      <c r="B42" s="32">
        <v>46282</v>
      </c>
      <c r="C42" s="31" t="s">
        <v>175</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ht="15">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ht="15">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ht="15">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ht="15">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ht="15">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ht="15">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ht="15">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ht="15">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ht="15">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ht="15">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ht="15">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ht="15">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ht="15">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ht="15">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ht="15">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ht="15">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ht="15">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ht="15">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ht="15">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ht="15">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ht="15">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ht="15">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ht="15">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ht="15">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ht="15">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ht="15">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ht="15">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ht="15">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ht="15">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ht="15">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ht="15">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ht="15">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ht="15">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ht="15">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ht="15">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ht="15">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ht="15">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ht="15">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ht="15">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ht="15">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ht="15">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ht="15">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ht="15">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ht="15">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ht="15">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ht="15">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ht="15">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ht="15">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ht="15">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ht="15">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ht="15">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ht="15">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ht="15">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ht="15">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ht="15">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ht="15">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ht="15">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ht="15">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ht="15">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ht="15">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ht="15">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ht="15">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ht="15">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ht="15">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ht="15">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ht="15">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ht="15">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ht="15">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ht="15">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ht="15">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ht="15">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ht="15">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ht="15">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ht="15">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ht="15">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ht="15">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ht="15">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ht="15">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ht="15">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ht="15">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ht="15">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ht="15">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ht="15">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ht="15">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ht="15">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ht="15">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ht="15">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ht="15">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ht="15">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ht="15">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ht="15">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ht="15">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ht="15">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ht="15">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ht="15">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ht="15">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ht="15">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ht="15">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ht="15">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ht="15">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ht="15">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ht="15">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ht="15">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ht="15">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ht="15">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ht="15">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ht="15">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ht="15">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ht="15">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ht="15">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ht="15">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ht="15">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ht="15">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ht="15">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ht="15">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ht="15">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ht="15">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ht="15">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ht="15">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ht="15">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ht="15">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ht="15">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ht="15">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ht="15">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ht="15">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ht="15">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ht="15">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ht="15">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ht="15">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ht="15">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ht="15">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ht="15">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ht="15">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ht="15">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ht="15">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ht="15">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ht="15">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ht="15">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ht="15">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ht="15">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ht="15">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ht="15">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ht="15">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ht="15">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ht="15">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ht="15">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ht="15">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ht="15">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ht="15">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ht="15">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ht="15">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ht="15">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ht="15">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ht="15">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ht="15">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ht="15">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ht="15">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ht="15">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ht="15">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ht="15">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ht="15">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ht="15">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ht="15">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ht="15">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ht="15">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ht="15">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ht="15">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ht="15">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ht="15">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ht="15">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ht="15">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ht="15">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ht="15">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ht="15">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ht="15">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ht="15">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ht="15">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ht="15">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ht="15">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ht="15">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ht="15">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ht="15">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ht="15">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ht="15">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ht="15">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ht="15">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ht="15">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ht="15">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ht="15">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ht="15">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ht="15">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ht="15">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ht="15">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ht="15">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ht="15">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ht="15">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ht="15">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ht="15">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ht="15">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ht="15">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ht="15">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ht="15">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ht="15">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ht="15">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ht="15">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ht="15">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ht="15">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ht="15">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ht="15">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ht="15">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ht="15">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ht="15">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ht="15">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ht="15">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ht="15">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ht="15">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ht="15">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ht="15">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ht="15">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ht="15">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ht="15">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ht="15">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ht="15">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ht="15">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ht="15">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ht="15">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ht="15">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ht="15">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ht="15">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ht="15">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ht="15">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ht="15">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ht="15">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ht="15">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ht="15">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ht="15">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ht="15">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ht="15">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ht="15">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ht="15">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ht="15">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ht="15">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ht="15">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ht="15">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ht="15">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ht="15">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ht="15">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ht="15">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ht="15">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ht="15">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ht="15">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ht="15">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ht="15">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ht="15">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ht="15">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ht="15">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ht="15">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ht="15">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ht="15">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ht="15">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ht="15">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ht="15">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ht="15">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ht="15">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ht="15">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ht="15">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ht="15">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ht="15">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ht="15">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ht="15">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ht="15">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ht="15">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ht="15">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ht="15">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ht="15">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ht="15">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ht="15">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ht="15">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ht="15">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ht="15">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ht="15">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ht="15">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ht="15">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ht="15">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ht="15">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ht="15">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ht="15">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ht="15">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ht="15">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ht="15">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ht="15">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ht="15">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ht="15">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ht="15">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ht="15">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ht="15">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ht="15">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ht="15">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ht="15">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ht="15">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ht="15">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ht="15">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ht="15">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ht="15">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ht="15">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ht="15">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ht="15">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ht="15">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ht="15">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ht="15">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ht="15">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ht="15">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ht="15">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ht="15">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ht="15">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ht="15">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ht="15">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ht="15">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ht="15">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ht="15">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ht="15">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ht="15">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ht="15">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ht="15">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ht="15">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ht="15">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ht="15">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ht="15">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ht="15">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ht="15">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ht="15">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ht="15">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ht="15">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ht="15">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ht="15">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ht="15">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ht="15">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ht="15">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ht="15">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ht="15">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ht="15">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ht="15">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ht="15">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ht="15">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ht="15">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ht="15">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ht="15">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ht="15">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ht="15">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ht="15">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ht="15">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ht="15">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ht="15">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ht="15">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ht="15">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ht="15">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ht="15">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ht="15">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ht="15">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ht="15">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ht="15">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ht="15">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ht="15">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ht="15">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ht="15">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ht="15">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ht="15">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ht="15">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ht="15">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ht="15">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ht="15">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ht="15">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ht="15">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ht="15">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ht="15">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ht="15">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ht="15">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ht="15">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ht="15">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ht="15">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ht="15">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ht="15">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ht="15">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ht="15">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ht="15">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ht="15">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ht="15">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ht="15">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ht="15">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ht="15">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ht="15">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ht="15">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ht="15">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ht="15">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ht="15">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ht="15">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ht="15">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ht="15">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ht="15">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ht="15">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ht="15">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ht="15">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ht="15">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ht="15">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ht="15">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ht="15">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ht="15">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ht="15">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ht="15">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ht="15">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ht="15">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ht="15">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ht="15">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ht="15">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ht="15">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ht="15">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ht="15">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ht="15">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ht="15">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ht="15">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ht="15">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ht="15">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ht="15">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ht="15">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ht="15">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ht="15">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ht="15">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ht="15">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ht="15">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ht="15">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ht="15">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ht="15">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ht="15">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ht="15">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ht="15">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ht="15">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ht="15">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ht="15">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ht="15">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ht="15">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ht="15">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ht="15">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ht="15">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ht="15">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ht="15">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ht="15">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ht="15">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ht="15">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ht="15">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ht="15">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ht="15">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ht="15">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ht="15">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ht="15">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ht="15">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ht="15">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175</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175</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175</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175</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175</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175</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175</v>
      </c>
      <c r="L5" t="s">
        <v>448</v>
      </c>
      <c r="M5" t="s">
        <v>88</v>
      </c>
      <c r="N5" t="s">
        <v>449</v>
      </c>
    </row>
    <row r="6" spans="1:20" ht="15" customHeight="1">
      <c r="A6" t="s">
        <v>304</v>
      </c>
      <c r="B6" t="s">
        <v>84</v>
      </c>
      <c r="F6" t="s">
        <v>175</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2026-09-17T19:01:33Z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