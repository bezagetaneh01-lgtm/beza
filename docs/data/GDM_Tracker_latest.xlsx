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49" documentId="13_ncr:1_{52745E9B-3AA1-4770-AAD3-E6166BFC13AE}" xr6:coauthVersionLast="47" xr6:coauthVersionMax="47" xr10:uidLastSave="{166094E4-E9CB-4EFC-97FE-0075E8B243EA}"/>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<sst xmlns="http://schemas.openxmlformats.org/spreadsheetml/2006/main" count="3165" uniqueCount="468">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</sst>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C1" activePane="topRight" state="frozen"/>
      <selection pane="topRight" activeCell="AJ57" sqref="AJ5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225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c r="K96" s="49">
        <v>46332</v>
      </c>
      <c r="L96" s="43"/>
      <c r="M96" s="44"/>
      <c r="N96" s="44"/>
      <c r="O96" s="36" t="s">
        <v>279</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3" t="str">
        <f>IF($B$4="","",IFERROR(INDEX('Combined Delivery Data'!$A:$A,MATCH($B$4,'Combined Delivery Data'!$B:$B,0)),""))</f>
        <v/>
      </c>
      <c r="C6" s="176"/>
      <c r="D6" s="176"/>
      <c r="E6" s="177"/>
    </row>
    <row r="7" spans="1:5" ht="15">
      <c r="A7" s="42" t="s">
        <v>332</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333</v>
      </c>
      <c r="B14" s="172" t="str">
        <f>IF($B$4="","",IFERROR(INDEX('Combined Delivery Data'!$K:$K,MATCH($B$4,'Combined Delivery Data'!$B:$B,0)),""))</f>
        <v/>
      </c>
      <c r="C14" s="176"/>
      <c r="D14" s="176"/>
      <c r="E14" s="177"/>
    </row>
    <row r="15" spans="1:5" ht="15">
      <c r="A15" s="42" t="s">
        <v>334</v>
      </c>
      <c r="B15" s="172" t="str">
        <f>IF($B$4="","",IFERROR(INDEX('Combined Delivery Data'!$L:$L,MATCH($B$4,'Combined Delivery Data'!$B:$B,0)),""))</f>
        <v/>
      </c>
      <c r="C15" s="176"/>
      <c r="D15" s="176"/>
      <c r="E15" s="177"/>
    </row>
    <row r="16" spans="1:5" ht="15">
      <c r="A16" s="42" t="s">
        <v>335</v>
      </c>
      <c r="B16" s="172" t="str">
        <f>IF($B$4="","",IFERROR(INDEX('Combined Delivery Data'!$M:$M,MATCH($B$4,'Combined Delivery Data'!$B:$B,0)),""))</f>
        <v/>
      </c>
      <c r="C16" s="176"/>
      <c r="D16" s="176"/>
      <c r="E16" s="177"/>
    </row>
    <row r="17" spans="1:5" ht="15">
      <c r="A17" s="42" t="s">
        <v>336</v>
      </c>
      <c r="B17" s="172" t="str">
        <f>IF($B$4="","",IFERROR(INDEX('Combined Delivery Data'!$O:$O,MATCH($B$4,'Combined Delivery Data'!$B:$B,0)),""))</f>
        <v/>
      </c>
      <c r="C17" s="176"/>
      <c r="D17" s="176"/>
      <c r="E17" s="177"/>
    </row>
    <row r="18" spans="1:5" ht="15">
      <c r="A18" s="42" t="s">
        <v>337</v>
      </c>
      <c r="B18" s="172" t="str">
        <f>IF($B$4="","",IFERROR(INDEX('Combined Delivery Data'!$Q:$Q,MATCH($B$4,'Combined Delivery Data'!$B:$B,0)),""))</f>
        <v/>
      </c>
      <c r="C18" s="176"/>
      <c r="D18" s="176"/>
      <c r="E18" s="177"/>
    </row>
    <row r="19" spans="1:5" ht="15">
      <c r="A19" s="42" t="s">
        <v>338</v>
      </c>
      <c r="B19" s="172" t="str">
        <f>IF($B$4="","",IFERROR(INDEX('Combined Delivery Data'!$R:$R,MATCH($B$4,'Combined Delivery Data'!$B:$B,0)),""))</f>
        <v/>
      </c>
      <c r="C19" s="176"/>
      <c r="D19" s="176"/>
      <c r="E19" s="177"/>
    </row>
    <row r="20" spans="1:5" ht="15">
      <c r="A20" s="42" t="s">
        <v>339</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340</v>
      </c>
      <c r="B26" s="173" t="str">
        <f>IF($B$4="","",IFERROR(INDEX('Rework Log'!$Q:$Q,MATCH($B$4,'Rework Log'!$P:$P,0)),""))</f>
        <v/>
      </c>
      <c r="C26" s="176"/>
      <c r="D26" s="176"/>
      <c r="E26" s="177"/>
    </row>
    <row r="27" spans="1:5">
      <c r="A27" s="42" t="s">
        <v>341</v>
      </c>
      <c r="B27" s="173" t="str">
        <f>IF($B$4="","",IFERROR(INDEX('Rework Log'!$R:$R,MATCH($B$4,'Rework Log'!$P:$P,0)),""))</f>
        <v/>
      </c>
      <c r="C27" s="176"/>
      <c r="D27" s="176"/>
      <c r="E27" s="177"/>
    </row>
    <row r="28" spans="1:5">
      <c r="A28" s="42" t="s">
        <v>342</v>
      </c>
      <c r="B28" s="173" t="str">
        <f>IF($B$4="","",IFERROR(INDEX('Rework Log'!$S:$S,MATCH($B$4,'Rework Log'!$P:$P,0)),""))</f>
        <v/>
      </c>
      <c r="C28" s="176"/>
      <c r="D28" s="176"/>
      <c r="E28" s="177"/>
    </row>
    <row r="29" spans="1:5">
      <c r="A29" s="42" t="s">
        <v>343</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5" activePane="bottomLeft" state="frozen"/>
      <selection pane="bottomLeft" activeCell="F38" sqref="F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344</v>
      </c>
      <c r="B1" s="171"/>
      <c r="C1" s="171"/>
      <c r="D1" s="171"/>
      <c r="E1" s="171"/>
      <c r="F1" s="171"/>
      <c r="G1" s="171"/>
      <c r="H1" s="171"/>
      <c r="I1" s="171"/>
      <c r="J1" s="171"/>
      <c r="K1" s="171"/>
      <c r="L1" s="171"/>
      <c r="M1" s="171"/>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2026-09-17T14:50:01Z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