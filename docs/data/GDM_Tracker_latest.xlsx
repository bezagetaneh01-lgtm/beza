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90" documentId="13_ncr:1_{52745E9B-3AA1-4770-AAD3-E6166BFC13AE}" xr6:coauthVersionLast="47" xr6:coauthVersionMax="47" xr10:uidLastSave="{C30B6D4A-88E6-4B2F-946B-806149342FE3}"/>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<sst xmlns="http://schemas.openxmlformats.org/spreadsheetml/2006/main" count="3632" uniqueCount="521">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</sst>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x14ac:knownFonts="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13" fillId="0" borderId="0" xfId="0" applyFont="1"/>
    <xf numFmtId="0" fontId="0" fillId="0" borderId="0" xfId="0"/>
    <xf numFmtId="14" fontId="13" fillId="0" borderId="1" xfId="0" applyNumberFormat="1" applyFont="1" applyBorder="1" applyAlignment="1">
      <alignment vertical="center" wrapText="1"/>
    </xf>
    <xf numFmtId="0" fontId="0" fillId="0" borderId="2" xfId="0" applyBorder="1"/>
    <xf numFmtId="0" fontId="0" fillId="0" borderId="3" xfId="0" applyBorder="1"/>
    <xf numFmtId="0" fontId="13" fillId="0" borderId="1" xfId="0" applyFont="1" applyBorder="1" applyAlignment="1">
      <alignment vertical="center" wrapText="1"/>
    </xf>
    <xf numFmtId="0" fontId="10" fillId="15" borderId="0" xfId="0" applyFont="1" applyFill="1"/>
    <xf numFmtId="0" fontId="3" fillId="3" borderId="0" xfId="0" applyFont="1" applyFill="1"/>
    <xf numFmtId="0" fontId="1" fillId="3" borderId="0" xfId="0" applyFont="1" applyFill="1"/>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
      <numFmt numFmtId="19" formatCode="m/d/yyyy"/>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2</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15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158"/>
    <tableColumn id="2" xr3:uid="{00000000-0010-0000-0000-000002000000}" name="Report Name" dataDxfId="157"/>
    <tableColumn id="3" xr3:uid="{00000000-0010-0000-0000-000003000000}" name="Current Status (Update next stage after completion date)" dataDxfId="156"/>
    <tableColumn id="4" xr3:uid="{00000000-0010-0000-0000-000004000000}" name="Status Flag" dataDxfId="155"/>
    <tableColumn id="5" xr3:uid="{00000000-0010-0000-0000-000005000000}" name="Business Value Rank" dataDxfId="154"/>
    <tableColumn id="6" xr3:uid="{00000000-0010-0000-0000-000006000000}" name="PO" dataDxfId="153"/>
    <tableColumn id="10" xr3:uid="{00000000-0010-0000-0000-00000A000000}" name="Schema" dataDxfId="152"/>
    <tableColumn id="11" xr3:uid="{00000000-0010-0000-0000-00000B000000}" name="Plan Delivery Date" dataDxfId="151"/>
    <tableColumn id="12" xr3:uid="{00000000-0010-0000-0000-00000C000000}" name="Plan Delivery Month" dataDxfId="150"/>
    <tableColumn id="7" xr3:uid="{00000000-0010-0000-0000-000007000000}" name="DB Developer" dataDxfId="149"/>
    <tableColumn id="13" xr3:uid="{00000000-0010-0000-0000-00000D000000}" name="DB Dev Baseline Completion Date" dataDxfId="148"/>
    <tableColumn id="30" xr3:uid="{00000000-0010-0000-0000-00001E000000}" name="DB Dev Reforecast Completion Date" dataDxfId="147"/>
    <tableColumn id="14" xr3:uid="{00000000-0010-0000-0000-00000E000000}" name="DB Dev Actual Completion Date" dataDxfId="146"/>
    <tableColumn id="35" xr3:uid="{1A518B0C-8D73-4DAB-8F10-7B4DFF037343}" name="Build Source" dataDxfId="145"/>
    <tableColumn id="28" xr3:uid="{EFCDFAEE-1B00-42CE-9649-7541F5DDC136}" name="Sprint DB" dataDxfId="144"/>
    <tableColumn id="8" xr3:uid="{00000000-0010-0000-0000-000008000000}" name="PBI Developer" dataDxfId="143"/>
    <tableColumn id="15" xr3:uid="{00000000-0010-0000-0000-00000F000000}" name="PBI Dev Baseline Completion Date" dataDxfId="142"/>
    <tableColumn id="31" xr3:uid="{00000000-0010-0000-0000-00001F000000}" name="PBI Dev Reforecast Completion Date" dataDxfId="141"/>
    <tableColumn id="16" xr3:uid="{00000000-0010-0000-0000-000010000000}" name="PBI Dev Actual Completion Date" dataDxfId="140"/>
    <tableColumn id="29" xr3:uid="{4630D178-9B47-4360-A40B-22C7384DB9C9}" name="Sprint PBI" dataDxfId="139"/>
    <tableColumn id="9" xr3:uid="{00000000-0010-0000-0000-000009000000}" name="QA Tester" dataDxfId="138"/>
    <tableColumn id="17" xr3:uid="{00000000-0010-0000-0000-000011000000}" name="QA Baseline Completion Date" dataDxfId="137"/>
    <tableColumn id="32" xr3:uid="{00000000-0010-0000-0000-000020000000}" name="QA Reforecast Completion Date" dataDxfId="136"/>
    <tableColumn id="43" xr3:uid="{4636FA56-7728-4236-AC33-8557B12CD9BB}" name="Initial QA Completion Date" dataDxfId="135"/>
    <tableColumn id="18" xr3:uid="{00000000-0010-0000-0000-000012000000}" name="QA Actual Completion Date" dataDxfId="134"/>
    <tableColumn id="34" xr3:uid="{70C5E8CB-08B0-4A84-9B68-89630FC3C5C7}" name="Sprint QA" dataDxfId="133"/>
    <tableColumn id="19" xr3:uid="{00000000-0010-0000-0000-000013000000}" name="DPO Approval Baseline Completion Date" dataDxfId="132"/>
    <tableColumn id="33" xr3:uid="{00000000-0010-0000-0000-000021000000}" name="DPO Approval Reforecast Completion Date" dataDxfId="131"/>
    <tableColumn id="36" xr3:uid="{86D482BF-E7A4-45A2-B2F5-CA0223EBDDD1}" name="DPO Approval Completion Date" dataDxfId="130"/>
    <tableColumn id="20" xr3:uid="{00000000-0010-0000-0000-000014000000}" name="DPO Approval Reviewer" dataDxfId="129"/>
    <tableColumn id="39" xr3:uid="{D4F67DF1-1A6D-469A-AA66-A681F9EBF81F}" name="Report Type" dataDxfId="128"/>
    <tableColumn id="21" xr3:uid="{00000000-0010-0000-0000-000015000000}" name="Confirmed Deployed?" dataDxfId="127"/>
    <tableColumn id="22" xr3:uid="{00000000-0010-0000-0000-000016000000}" name="Confirmed Deployed Date" dataDxfId="126"/>
    <tableColumn id="23" xr3:uid="{00000000-0010-0000-0000-000017000000}" name="UAT Report URL" dataDxfId="125"/>
    <tableColumn id="24" xr3:uid="{00000000-0010-0000-0000-000018000000}" name="Production URL" dataDxfId="124"/>
    <tableColumn id="25" xr3:uid="{00000000-0010-0000-0000-000019000000}" name="Blocked?" dataDxfId="123"/>
    <tableColumn id="26" xr3:uid="{00000000-0010-0000-0000-00001A000000}" name="Data Check" dataDxfId="122"/>
    <tableColumn id="27" xr3:uid="{00000000-0010-0000-0000-00001B000000}" name="Comments" dataDxfId="121"/>
    <tableColumn id="37" xr3:uid="{80A8E094-8F50-434A-A9E3-195269D50436}" name="QA Rework Due_x0009_DPO Rework Due" dataDxfId="12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11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18"/>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topLeftCell="A65" zoomScaleNormal="100" workbookViewId="0">
      <pane xSplit="2" topLeftCell="I1" activePane="topRight" state="frozen"/>
      <selection activeCell="A29" sqref="A29"/>
      <selection pane="topRight" activeCell="A78" sqref="A78:XFD78"/>
    </sheetView>
  </sheetViews>
  <sheetFormatPr defaultRowHeight="15" customHeight="1" x14ac:dyDescent="0.25"/>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x14ac:dyDescent="0.25">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x14ac:dyDescent="0.2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x14ac:dyDescent="0.2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x14ac:dyDescent="0.2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x14ac:dyDescent="0.2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x14ac:dyDescent="0.2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x14ac:dyDescent="0.2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x14ac:dyDescent="0.2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x14ac:dyDescent="0.2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x14ac:dyDescent="0.2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x14ac:dyDescent="0.2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x14ac:dyDescent="0.2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x14ac:dyDescent="0.2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x14ac:dyDescent="0.2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x14ac:dyDescent="0.2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x14ac:dyDescent="0.2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x14ac:dyDescent="0.2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x14ac:dyDescent="0.2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x14ac:dyDescent="0.2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x14ac:dyDescent="0.2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x14ac:dyDescent="0.2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x14ac:dyDescent="0.2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x14ac:dyDescent="0.2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x14ac:dyDescent="0.2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x14ac:dyDescent="0.2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x14ac:dyDescent="0.2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x14ac:dyDescent="0.2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x14ac:dyDescent="0.2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x14ac:dyDescent="0.2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x14ac:dyDescent="0.2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x14ac:dyDescent="0.2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x14ac:dyDescent="0.2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x14ac:dyDescent="0.2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x14ac:dyDescent="0.2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x14ac:dyDescent="0.2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x14ac:dyDescent="0.2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x14ac:dyDescent="0.2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x14ac:dyDescent="0.2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x14ac:dyDescent="0.2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x14ac:dyDescent="0.2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x14ac:dyDescent="0.2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x14ac:dyDescent="0.2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x14ac:dyDescent="0.2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x14ac:dyDescent="0.2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x14ac:dyDescent="0.2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x14ac:dyDescent="0.2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x14ac:dyDescent="0.2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x14ac:dyDescent="0.2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x14ac:dyDescent="0.25">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x14ac:dyDescent="0.25">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x14ac:dyDescent="0.2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x14ac:dyDescent="0.25">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x14ac:dyDescent="0.2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x14ac:dyDescent="0.2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x14ac:dyDescent="0.25">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x14ac:dyDescent="0.25">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x14ac:dyDescent="0.25">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x14ac:dyDescent="0.25">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x14ac:dyDescent="0.25">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x14ac:dyDescent="0.25">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x14ac:dyDescent="0.2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x14ac:dyDescent="0.25">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x14ac:dyDescent="0.25">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x14ac:dyDescent="0.25">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x14ac:dyDescent="0.25">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x14ac:dyDescent="0.25">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x14ac:dyDescent="0.25">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x14ac:dyDescent="0.25">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x14ac:dyDescent="0.25">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x14ac:dyDescent="0.25">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x14ac:dyDescent="0.25">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x14ac:dyDescent="0.25">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x14ac:dyDescent="0.25">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x14ac:dyDescent="0.25">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idden="1" x14ac:dyDescent="0.25">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idden="1" x14ac:dyDescent="0.25">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0.75" customHeight="1" x14ac:dyDescent="0.25">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x14ac:dyDescent="0.25">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x14ac:dyDescent="0.25">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x14ac:dyDescent="0.25">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46302</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x14ac:dyDescent="0.25">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x14ac:dyDescent="0.25">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x14ac:dyDescent="0.25">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x14ac:dyDescent="0.25">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46302</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x14ac:dyDescent="0.25">
      <c r="A85" s="31" t="s">
        <v>126</v>
      </c>
      <c r="B85" s="31" t="s">
        <v>268</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269</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x14ac:dyDescent="0.25">
      <c r="A86" s="31" t="s">
        <v>126</v>
      </c>
      <c r="B86" s="31" t="s">
        <v>270</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271</v>
      </c>
      <c r="J86" s="53" t="s">
        <v>84</v>
      </c>
      <c r="K86" s="49">
        <v>46332</v>
      </c>
      <c r="L86" s="43">
        <v>46332</v>
      </c>
      <c r="M86" s="44">
        <v>46290</v>
      </c>
      <c r="N86" s="44"/>
      <c r="O86" s="44" t="s">
        <v>252</v>
      </c>
      <c r="P86" s="74" t="s">
        <v>60</v>
      </c>
      <c r="Q86" s="49">
        <v>46339</v>
      </c>
      <c r="R86" s="43"/>
      <c r="S86" s="44"/>
      <c r="T86" s="68" t="s">
        <v>263</v>
      </c>
      <c r="U86" s="46"/>
      <c r="V86" s="28">
        <v>46344</v>
      </c>
      <c r="W86" s="43"/>
      <c r="X86" s="31"/>
      <c r="Y86" s="31"/>
      <c r="Z86" s="36"/>
      <c r="AA86" s="28">
        <v>46356</v>
      </c>
      <c r="AB86" s="43"/>
      <c r="AC86" s="43"/>
      <c r="AD86" s="31" t="s">
        <v>272</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273</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x14ac:dyDescent="0.25">
      <c r="A87" s="31" t="s">
        <v>126</v>
      </c>
      <c r="B87" s="31" t="s">
        <v>274</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271</v>
      </c>
      <c r="J87" s="53" t="s">
        <v>59</v>
      </c>
      <c r="K87" s="49">
        <v>46332</v>
      </c>
      <c r="L87" s="43"/>
      <c r="M87" s="44"/>
      <c r="N87" s="44"/>
      <c r="O87" s="44" t="s">
        <v>252</v>
      </c>
      <c r="P87" s="74" t="s">
        <v>60</v>
      </c>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x14ac:dyDescent="0.25">
      <c r="A88" s="31" t="s">
        <v>126</v>
      </c>
      <c r="B88" s="31" t="s">
        <v>275</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271</v>
      </c>
      <c r="J88" s="53" t="s">
        <v>59</v>
      </c>
      <c r="K88" s="49">
        <v>46332</v>
      </c>
      <c r="L88" s="43"/>
      <c r="M88" s="44"/>
      <c r="N88" s="44"/>
      <c r="O88" s="44" t="s">
        <v>252</v>
      </c>
      <c r="P88" s="74" t="s">
        <v>77</v>
      </c>
      <c r="Q88" s="49">
        <v>46339</v>
      </c>
      <c r="R88" s="43"/>
      <c r="S88" s="44"/>
      <c r="T88" s="68" t="s">
        <v>276</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x14ac:dyDescent="0.25">
      <c r="A89" s="31" t="s">
        <v>126</v>
      </c>
      <c r="B89" s="31" t="s">
        <v>277</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271</v>
      </c>
      <c r="J89" s="53" t="s">
        <v>228</v>
      </c>
      <c r="K89" s="49">
        <v>46332</v>
      </c>
      <c r="L89" s="43">
        <v>46282</v>
      </c>
      <c r="M89" s="44">
        <v>46282</v>
      </c>
      <c r="N89" s="44"/>
      <c r="O89" s="44" t="s">
        <v>252</v>
      </c>
      <c r="P89" s="74" t="s">
        <v>77</v>
      </c>
      <c r="Q89" s="49">
        <v>46339</v>
      </c>
      <c r="R89" s="43"/>
      <c r="S89" s="44"/>
      <c r="T89" s="68" t="s">
        <v>276</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x14ac:dyDescent="0.25">
      <c r="A90" s="31" t="s">
        <v>126</v>
      </c>
      <c r="B90" s="31" t="s">
        <v>278</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271</v>
      </c>
      <c r="J90" s="53" t="s">
        <v>228</v>
      </c>
      <c r="K90" s="49">
        <v>46332</v>
      </c>
      <c r="L90" s="43"/>
      <c r="M90" s="44"/>
      <c r="N90" s="44"/>
      <c r="O90" s="36" t="s">
        <v>279</v>
      </c>
      <c r="P90" s="74" t="s">
        <v>60</v>
      </c>
      <c r="Q90" s="49">
        <v>46339</v>
      </c>
      <c r="R90" s="43"/>
      <c r="S90" s="44"/>
      <c r="T90" s="68" t="s">
        <v>276</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x14ac:dyDescent="0.25">
      <c r="A91" s="31" t="s">
        <v>126</v>
      </c>
      <c r="B91" s="31" t="s">
        <v>280</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271</v>
      </c>
      <c r="J91" s="53" t="s">
        <v>65</v>
      </c>
      <c r="K91" s="49">
        <v>46332</v>
      </c>
      <c r="L91" s="43">
        <v>46273</v>
      </c>
      <c r="M91" s="46">
        <v>46273</v>
      </c>
      <c r="N91" s="46" t="s">
        <v>147</v>
      </c>
      <c r="O91" s="44" t="s">
        <v>252</v>
      </c>
      <c r="P91" s="74" t="s">
        <v>60</v>
      </c>
      <c r="Q91" s="49">
        <v>46339</v>
      </c>
      <c r="R91" s="43"/>
      <c r="S91" s="44"/>
      <c r="T91" s="68" t="s">
        <v>276</v>
      </c>
      <c r="U91" s="46"/>
      <c r="V91" s="28">
        <v>46344</v>
      </c>
      <c r="W91" s="43"/>
      <c r="X91" s="31"/>
      <c r="Y91" s="31"/>
      <c r="Z91" s="36"/>
      <c r="AA91" s="28">
        <v>46356</v>
      </c>
      <c r="AB91" s="43"/>
      <c r="AC91" s="43"/>
      <c r="AD91" s="31" t="s">
        <v>281</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x14ac:dyDescent="0.25">
      <c r="A92" s="31" t="s">
        <v>126</v>
      </c>
      <c r="B92" s="31" t="s">
        <v>282</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271</v>
      </c>
      <c r="J92" s="53" t="s">
        <v>84</v>
      </c>
      <c r="K92" s="49">
        <v>46332</v>
      </c>
      <c r="L92" s="43">
        <v>46332</v>
      </c>
      <c r="M92" s="44">
        <v>46275</v>
      </c>
      <c r="N92" s="44"/>
      <c r="O92" s="44" t="s">
        <v>252</v>
      </c>
      <c r="P92" s="74" t="s">
        <v>77</v>
      </c>
      <c r="Q92" s="49">
        <v>46339</v>
      </c>
      <c r="R92" s="43"/>
      <c r="S92" s="44"/>
      <c r="T92" s="68" t="s">
        <v>276</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283</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x14ac:dyDescent="0.25">
      <c r="A93" s="31" t="s">
        <v>126</v>
      </c>
      <c r="B93" s="31" t="s">
        <v>284</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271</v>
      </c>
      <c r="J93" s="53" t="s">
        <v>155</v>
      </c>
      <c r="K93" s="49">
        <v>46332</v>
      </c>
      <c r="L93" s="43">
        <v>46297</v>
      </c>
      <c r="M93" s="44"/>
      <c r="N93" s="46" t="s">
        <v>147</v>
      </c>
      <c r="O93" s="36" t="s">
        <v>279</v>
      </c>
      <c r="P93" s="74" t="s">
        <v>60</v>
      </c>
      <c r="Q93" s="49">
        <v>46339</v>
      </c>
      <c r="R93" s="43"/>
      <c r="S93" s="44"/>
      <c r="T93" s="68" t="s">
        <v>276</v>
      </c>
      <c r="U93" s="46"/>
      <c r="V93" s="28">
        <v>46344</v>
      </c>
      <c r="W93" s="43"/>
      <c r="X93" s="31"/>
      <c r="Y93" s="31"/>
      <c r="Z93" s="36"/>
      <c r="AA93" s="28">
        <v>46356</v>
      </c>
      <c r="AB93" s="43"/>
      <c r="AC93" s="43"/>
      <c r="AD93" s="31" t="s">
        <v>285</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x14ac:dyDescent="0.25">
      <c r="A94" s="31" t="s">
        <v>126</v>
      </c>
      <c r="B94" s="31" t="s">
        <v>286</v>
      </c>
      <c r="C94" s="31" t="s">
        <v>262</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271</v>
      </c>
      <c r="J94" s="53" t="s">
        <v>155</v>
      </c>
      <c r="K94" s="49">
        <v>46332</v>
      </c>
      <c r="L94" s="43">
        <v>46301</v>
      </c>
      <c r="M94" s="43">
        <v>46301</v>
      </c>
      <c r="N94" s="46" t="s">
        <v>147</v>
      </c>
      <c r="O94" s="36" t="s">
        <v>279</v>
      </c>
      <c r="P94" s="74" t="s">
        <v>77</v>
      </c>
      <c r="Q94" s="49">
        <v>46339</v>
      </c>
      <c r="R94" s="43"/>
      <c r="S94" s="44"/>
      <c r="T94" s="68" t="s">
        <v>276</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Move status to PBI Dev</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x14ac:dyDescent="0.25">
      <c r="A95" s="31" t="s">
        <v>126</v>
      </c>
      <c r="B95" s="31" t="s">
        <v>287</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271</v>
      </c>
      <c r="J95" s="53" t="s">
        <v>76</v>
      </c>
      <c r="K95" s="49">
        <v>46332</v>
      </c>
      <c r="L95" s="43"/>
      <c r="M95" s="44"/>
      <c r="N95" s="44"/>
      <c r="O95" s="36" t="s">
        <v>279</v>
      </c>
      <c r="P95" s="74" t="s">
        <v>77</v>
      </c>
      <c r="Q95" s="49">
        <v>46339</v>
      </c>
      <c r="R95" s="43"/>
      <c r="S95" s="44"/>
      <c r="T95" s="68" t="s">
        <v>288</v>
      </c>
      <c r="U95" s="46"/>
      <c r="V95" s="28">
        <v>46344</v>
      </c>
      <c r="W95" s="43"/>
      <c r="X95" s="31"/>
      <c r="Y95" s="31"/>
      <c r="Z95" s="36"/>
      <c r="AA95" s="28">
        <v>46356</v>
      </c>
      <c r="AB95" s="43"/>
      <c r="AC95" s="43"/>
      <c r="AD95" s="31" t="s">
        <v>289</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x14ac:dyDescent="0.25">
      <c r="A96" s="31" t="s">
        <v>126</v>
      </c>
      <c r="B96" s="31" t="s">
        <v>290</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271</v>
      </c>
      <c r="J96" s="53" t="s">
        <v>76</v>
      </c>
      <c r="K96" s="49">
        <v>46332</v>
      </c>
      <c r="L96" s="43">
        <v>46297</v>
      </c>
      <c r="M96" s="44"/>
      <c r="N96" s="44" t="s">
        <v>256</v>
      </c>
      <c r="O96" s="36" t="s">
        <v>279</v>
      </c>
      <c r="P96" s="74" t="s">
        <v>60</v>
      </c>
      <c r="Q96" s="49">
        <v>46339</v>
      </c>
      <c r="R96" s="43"/>
      <c r="S96" s="44"/>
      <c r="T96" s="68" t="s">
        <v>288</v>
      </c>
      <c r="U96" s="46"/>
      <c r="V96" s="28">
        <v>46344</v>
      </c>
      <c r="W96" s="43"/>
      <c r="X96" s="31"/>
      <c r="Y96" s="31"/>
      <c r="Z96" s="36"/>
      <c r="AA96" s="28">
        <v>46356</v>
      </c>
      <c r="AB96" s="43"/>
      <c r="AC96" s="43"/>
      <c r="AD96" s="31" t="s">
        <v>291</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x14ac:dyDescent="0.25">
      <c r="A97" s="31" t="s">
        <v>126</v>
      </c>
      <c r="B97" s="31" t="s">
        <v>292</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271</v>
      </c>
      <c r="J97" s="53" t="s">
        <v>293</v>
      </c>
      <c r="K97" s="49">
        <v>46332</v>
      </c>
      <c r="L97" s="49">
        <v>46332</v>
      </c>
      <c r="M97" s="44"/>
      <c r="N97" s="44"/>
      <c r="O97" s="36" t="s">
        <v>279</v>
      </c>
      <c r="P97" s="74" t="s">
        <v>77</v>
      </c>
      <c r="Q97" s="49">
        <v>46339</v>
      </c>
      <c r="R97" s="43"/>
      <c r="S97" s="44"/>
      <c r="T97" s="68" t="s">
        <v>288</v>
      </c>
      <c r="U97" s="46"/>
      <c r="V97" s="28">
        <v>46344</v>
      </c>
      <c r="W97" s="43"/>
      <c r="X97" s="31"/>
      <c r="Y97" s="31"/>
      <c r="Z97" s="36"/>
      <c r="AA97" s="28">
        <v>46356</v>
      </c>
      <c r="AB97" s="43"/>
      <c r="AC97" s="43"/>
      <c r="AD97" s="31" t="s">
        <v>294</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x14ac:dyDescent="0.25">
      <c r="A98" s="31" t="s">
        <v>126</v>
      </c>
      <c r="B98" s="31" t="s">
        <v>295</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271</v>
      </c>
      <c r="J98" s="53" t="s">
        <v>293</v>
      </c>
      <c r="K98" s="49">
        <v>46332</v>
      </c>
      <c r="L98" s="49">
        <v>46332</v>
      </c>
      <c r="M98" s="44">
        <v>46296</v>
      </c>
      <c r="N98" s="44" t="s">
        <v>147</v>
      </c>
      <c r="O98" s="36" t="s">
        <v>279</v>
      </c>
      <c r="P98" s="74" t="s">
        <v>60</v>
      </c>
      <c r="Q98" s="49">
        <v>46339</v>
      </c>
      <c r="R98" s="43"/>
      <c r="S98" s="44"/>
      <c r="T98" s="68" t="s">
        <v>288</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x14ac:dyDescent="0.25">
      <c r="A99" s="31" t="s">
        <v>126</v>
      </c>
      <c r="B99" s="31" t="s">
        <v>296</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297</v>
      </c>
      <c r="F99" s="31" t="s">
        <v>129</v>
      </c>
      <c r="G99" s="31"/>
      <c r="H99" s="49">
        <v>46356</v>
      </c>
      <c r="I99" s="55" t="s">
        <v>271</v>
      </c>
      <c r="J99" s="53" t="s">
        <v>65</v>
      </c>
      <c r="K99" s="49">
        <v>46332</v>
      </c>
      <c r="L99" s="43">
        <v>46302</v>
      </c>
      <c r="M99" s="44"/>
      <c r="N99" s="46" t="s">
        <v>147</v>
      </c>
      <c r="O99" s="44" t="s">
        <v>252</v>
      </c>
      <c r="P99" s="74" t="s">
        <v>60</v>
      </c>
      <c r="Q99" s="49">
        <v>46339</v>
      </c>
      <c r="R99" s="43"/>
      <c r="S99" s="44"/>
      <c r="T99" s="68" t="s">
        <v>288</v>
      </c>
      <c r="U99" s="46"/>
      <c r="V99" s="28">
        <v>46344</v>
      </c>
      <c r="W99" s="43"/>
      <c r="X99" s="31"/>
      <c r="Y99" s="31"/>
      <c r="Z99" s="36"/>
      <c r="AA99" s="28">
        <v>46356</v>
      </c>
      <c r="AB99" s="43"/>
      <c r="AC99" s="43"/>
      <c r="AD99" s="31" t="s">
        <v>298</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x14ac:dyDescent="0.25">
      <c r="A100" s="31" t="s">
        <v>126</v>
      </c>
      <c r="B100" s="31" t="s">
        <v>299</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271</v>
      </c>
      <c r="J100" s="53" t="s">
        <v>84</v>
      </c>
      <c r="K100" s="49">
        <v>46332</v>
      </c>
      <c r="L100" s="43">
        <v>46332</v>
      </c>
      <c r="M100" s="44">
        <v>46297</v>
      </c>
      <c r="N100" s="44"/>
      <c r="O100" s="36" t="s">
        <v>279</v>
      </c>
      <c r="P100" s="74" t="s">
        <v>77</v>
      </c>
      <c r="Q100" s="49">
        <v>46339</v>
      </c>
      <c r="R100" s="43"/>
      <c r="S100" s="44"/>
      <c r="T100" s="68" t="s">
        <v>288</v>
      </c>
      <c r="U100" s="46"/>
      <c r="V100" s="28">
        <v>46344</v>
      </c>
      <c r="W100" s="43"/>
      <c r="X100" s="31"/>
      <c r="Y100" s="31"/>
      <c r="Z100" s="36"/>
      <c r="AA100" s="28">
        <v>46356</v>
      </c>
      <c r="AB100" s="43"/>
      <c r="AC100" s="43"/>
      <c r="AD100" s="31" t="s">
        <v>300</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x14ac:dyDescent="0.25">
      <c r="A101" s="31" t="s">
        <v>301</v>
      </c>
      <c r="B101" s="31" t="s">
        <v>302</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303</v>
      </c>
      <c r="J101" s="53" t="s">
        <v>59</v>
      </c>
      <c r="K101" s="28">
        <v>46363</v>
      </c>
      <c r="L101" s="43"/>
      <c r="M101" s="31"/>
      <c r="N101" s="31"/>
      <c r="O101" s="36" t="s">
        <v>279</v>
      </c>
      <c r="P101" s="74"/>
      <c r="Q101" s="28">
        <v>46370</v>
      </c>
      <c r="R101" s="43"/>
      <c r="S101" s="31"/>
      <c r="T101" s="68" t="s">
        <v>288</v>
      </c>
      <c r="U101" s="46"/>
      <c r="V101" s="28">
        <v>46373</v>
      </c>
      <c r="W101" s="43"/>
      <c r="X101" s="31"/>
      <c r="Y101" s="31"/>
      <c r="Z101" s="36"/>
      <c r="AA101" s="28">
        <v>46386</v>
      </c>
      <c r="AB101" s="43"/>
      <c r="AC101" s="43"/>
      <c r="AD101" s="31" t="s">
        <v>304</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x14ac:dyDescent="0.25">
      <c r="A102" s="31" t="s">
        <v>301</v>
      </c>
      <c r="B102" s="31" t="s">
        <v>305</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303</v>
      </c>
      <c r="J102" s="53" t="s">
        <v>44</v>
      </c>
      <c r="K102" s="28">
        <v>46363</v>
      </c>
      <c r="L102" s="43"/>
      <c r="M102" s="31"/>
      <c r="N102" s="31"/>
      <c r="O102" s="36" t="s">
        <v>279</v>
      </c>
      <c r="P102" s="74"/>
      <c r="Q102" s="28">
        <v>46370</v>
      </c>
      <c r="R102" s="43"/>
      <c r="S102" s="31"/>
      <c r="T102" s="68" t="s">
        <v>306</v>
      </c>
      <c r="U102" s="46"/>
      <c r="V102" s="28">
        <v>46373</v>
      </c>
      <c r="W102" s="43"/>
      <c r="X102" s="31"/>
      <c r="Y102" s="31"/>
      <c r="Z102" s="36"/>
      <c r="AA102" s="28">
        <v>46386</v>
      </c>
      <c r="AB102" s="43"/>
      <c r="AC102" s="43"/>
      <c r="AD102" s="31" t="s">
        <v>307</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x14ac:dyDescent="0.25">
      <c r="A103" s="31" t="s">
        <v>301</v>
      </c>
      <c r="B103" s="31" t="s">
        <v>308</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303</v>
      </c>
      <c r="J103" s="53" t="s">
        <v>44</v>
      </c>
      <c r="K103" s="28">
        <v>46363</v>
      </c>
      <c r="L103" s="43"/>
      <c r="M103" s="31"/>
      <c r="N103" s="31"/>
      <c r="O103" s="36" t="s">
        <v>279</v>
      </c>
      <c r="P103" s="74"/>
      <c r="Q103" s="28">
        <v>46370</v>
      </c>
      <c r="R103" s="43"/>
      <c r="S103" s="31"/>
      <c r="T103" s="68" t="s">
        <v>306</v>
      </c>
      <c r="U103" s="46"/>
      <c r="V103" s="28">
        <v>46373</v>
      </c>
      <c r="W103" s="43"/>
      <c r="X103" s="31"/>
      <c r="Y103" s="31"/>
      <c r="Z103" s="36"/>
      <c r="AA103" s="28">
        <v>46386</v>
      </c>
      <c r="AB103" s="43"/>
      <c r="AC103" s="43"/>
      <c r="AD103" s="31" t="s">
        <v>309</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x14ac:dyDescent="0.25">
      <c r="A104" s="31" t="s">
        <v>310</v>
      </c>
      <c r="B104" s="31" t="s">
        <v>311</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303</v>
      </c>
      <c r="J104" s="53" t="s">
        <v>84</v>
      </c>
      <c r="K104" s="28">
        <v>46363</v>
      </c>
      <c r="L104" s="43">
        <v>46304</v>
      </c>
      <c r="M104" s="31"/>
      <c r="N104" s="31"/>
      <c r="O104" s="36" t="s">
        <v>279</v>
      </c>
      <c r="P104" s="74"/>
      <c r="Q104" s="28">
        <v>46370</v>
      </c>
      <c r="R104" s="43"/>
      <c r="S104" s="31"/>
      <c r="T104" s="68" t="s">
        <v>306</v>
      </c>
      <c r="U104" s="46"/>
      <c r="V104" s="28">
        <v>46373</v>
      </c>
      <c r="W104" s="43"/>
      <c r="X104" s="31"/>
      <c r="Y104" s="31"/>
      <c r="Z104" s="36"/>
      <c r="AA104" s="28">
        <v>46386</v>
      </c>
      <c r="AB104" s="43"/>
      <c r="AC104" s="43"/>
      <c r="AD104" s="31" t="s">
        <v>312</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x14ac:dyDescent="0.25">
      <c r="A105" s="31" t="s">
        <v>301</v>
      </c>
      <c r="B105" s="31" t="s">
        <v>313</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303</v>
      </c>
      <c r="J105" s="53"/>
      <c r="K105" s="28">
        <v>46363</v>
      </c>
      <c r="L105" s="43"/>
      <c r="M105" s="31"/>
      <c r="N105" s="31"/>
      <c r="O105" s="36" t="s">
        <v>314</v>
      </c>
      <c r="P105" s="74"/>
      <c r="Q105" s="28">
        <v>46370</v>
      </c>
      <c r="R105" s="43"/>
      <c r="S105" s="31"/>
      <c r="T105" s="68" t="s">
        <v>306</v>
      </c>
      <c r="U105" s="46"/>
      <c r="V105" s="28">
        <v>46373</v>
      </c>
      <c r="W105" s="43"/>
      <c r="X105" s="31"/>
      <c r="Y105" s="31"/>
      <c r="Z105" s="36"/>
      <c r="AA105" s="28">
        <v>46386</v>
      </c>
      <c r="AB105" s="43"/>
      <c r="AC105" s="43"/>
      <c r="AD105" s="31" t="s">
        <v>315</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x14ac:dyDescent="0.25">
      <c r="A106" s="31" t="s">
        <v>301</v>
      </c>
      <c r="B106" s="31" t="s">
        <v>316</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303</v>
      </c>
      <c r="J106" s="53"/>
      <c r="K106" s="28">
        <v>46363</v>
      </c>
      <c r="L106" s="43"/>
      <c r="M106" s="31"/>
      <c r="N106" s="31"/>
      <c r="O106" s="36" t="s">
        <v>314</v>
      </c>
      <c r="P106" s="74"/>
      <c r="Q106" s="28">
        <v>46370</v>
      </c>
      <c r="R106" s="43"/>
      <c r="S106" s="31"/>
      <c r="T106" s="68" t="s">
        <v>306</v>
      </c>
      <c r="U106" s="46"/>
      <c r="V106" s="28">
        <v>46373</v>
      </c>
      <c r="W106" s="43"/>
      <c r="X106" s="31"/>
      <c r="Y106" s="31"/>
      <c r="Z106" s="36"/>
      <c r="AA106" s="28">
        <v>46386</v>
      </c>
      <c r="AB106" s="43"/>
      <c r="AC106" s="43"/>
      <c r="AD106" s="31" t="s">
        <v>317</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x14ac:dyDescent="0.25">
      <c r="A107" s="31" t="s">
        <v>301</v>
      </c>
      <c r="B107" s="31" t="s">
        <v>318</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303</v>
      </c>
      <c r="J107" s="53"/>
      <c r="K107" s="28">
        <v>46363</v>
      </c>
      <c r="L107" s="43"/>
      <c r="M107" s="31"/>
      <c r="N107" s="31"/>
      <c r="O107" s="36" t="s">
        <v>314</v>
      </c>
      <c r="P107" s="74"/>
      <c r="Q107" s="28">
        <v>46370</v>
      </c>
      <c r="R107" s="43"/>
      <c r="S107" s="31"/>
      <c r="T107" s="68" t="s">
        <v>306</v>
      </c>
      <c r="U107" s="46"/>
      <c r="V107" s="28">
        <v>46373</v>
      </c>
      <c r="W107" s="43"/>
      <c r="X107" s="31"/>
      <c r="Y107" s="31"/>
      <c r="Z107" s="36"/>
      <c r="AA107" s="28">
        <v>46386</v>
      </c>
      <c r="AB107" s="43"/>
      <c r="AC107" s="43"/>
      <c r="AD107" s="31" t="s">
        <v>319</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x14ac:dyDescent="0.25">
      <c r="A108" s="31" t="s">
        <v>301</v>
      </c>
      <c r="B108" s="31" t="s">
        <v>320</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303</v>
      </c>
      <c r="J108" s="53"/>
      <c r="K108" s="28">
        <v>46363</v>
      </c>
      <c r="L108" s="43"/>
      <c r="M108" s="31"/>
      <c r="N108" s="31"/>
      <c r="O108" s="36" t="s">
        <v>321</v>
      </c>
      <c r="P108" s="74"/>
      <c r="Q108" s="28">
        <v>46370</v>
      </c>
      <c r="R108" s="43"/>
      <c r="S108" s="31"/>
      <c r="T108" s="68" t="s">
        <v>306</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x14ac:dyDescent="0.25">
      <c r="A109" s="31" t="s">
        <v>310</v>
      </c>
      <c r="B109" s="31" t="s">
        <v>323</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303</v>
      </c>
      <c r="J109" s="53"/>
      <c r="K109" s="28">
        <v>46363</v>
      </c>
      <c r="L109" s="43"/>
      <c r="M109" s="31"/>
      <c r="N109" s="31"/>
      <c r="O109" s="36" t="s">
        <v>321</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x14ac:dyDescent="0.25">
      <c r="A110" s="31" t="s">
        <v>301</v>
      </c>
      <c r="B110" s="31" t="s">
        <v>326</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303</v>
      </c>
      <c r="J110" s="53"/>
      <c r="K110" s="28">
        <v>46363</v>
      </c>
      <c r="L110" s="43"/>
      <c r="M110" s="31"/>
      <c r="N110" s="31"/>
      <c r="O110" s="36" t="s">
        <v>321</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x14ac:dyDescent="0.25">
      <c r="A111" s="31" t="s">
        <v>310</v>
      </c>
      <c r="B111" s="31" t="s">
        <v>328</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303</v>
      </c>
      <c r="J111" s="53"/>
      <c r="K111" s="28">
        <v>46363</v>
      </c>
      <c r="L111" s="43"/>
      <c r="M111" s="31"/>
      <c r="N111" s="31"/>
      <c r="O111" s="36" t="s">
        <v>321</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x14ac:dyDescent="0.25">
      <c r="A112" s="31" t="s">
        <v>310</v>
      </c>
      <c r="B112" s="31" t="s">
        <v>330</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303</v>
      </c>
      <c r="J112" s="53"/>
      <c r="K112" s="28">
        <v>46363</v>
      </c>
      <c r="L112" s="43"/>
      <c r="M112" s="31"/>
      <c r="N112" s="31"/>
      <c r="O112" s="36" t="s">
        <v>321</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x14ac:dyDescent="0.25">
      <c r="A113" s="31" t="s">
        <v>310</v>
      </c>
      <c r="B113" s="31" t="s">
        <v>331</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303</v>
      </c>
      <c r="J113" s="53"/>
      <c r="K113" s="28">
        <v>46363</v>
      </c>
      <c r="L113" s="43"/>
      <c r="M113" s="31"/>
      <c r="N113" s="31"/>
      <c r="O113" s="36" t="s">
        <v>321</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x14ac:dyDescent="0.25">
      <c r="A114" s="31" t="s">
        <v>310</v>
      </c>
      <c r="B114" s="31" t="s">
        <v>332</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303</v>
      </c>
      <c r="J114" s="53"/>
      <c r="K114" s="28">
        <v>46363</v>
      </c>
      <c r="L114" s="43"/>
      <c r="M114" s="31"/>
      <c r="N114" s="31"/>
      <c r="O114" s="36" t="s">
        <v>333</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x14ac:dyDescent="0.25">
      <c r="A115" s="31" t="s">
        <v>310</v>
      </c>
      <c r="B115" s="31" t="s">
        <v>334</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303</v>
      </c>
      <c r="J115" s="53"/>
      <c r="K115" s="28">
        <v>46363</v>
      </c>
      <c r="L115" s="43"/>
      <c r="M115" s="31"/>
      <c r="N115" s="31"/>
      <c r="O115" s="36" t="s">
        <v>333</v>
      </c>
      <c r="P115" s="74"/>
      <c r="Q115" s="28">
        <v>46370</v>
      </c>
      <c r="R115" s="43"/>
      <c r="S115" s="31"/>
      <c r="T115" s="68" t="s">
        <v>324</v>
      </c>
      <c r="U115" s="46"/>
      <c r="V115" s="28">
        <v>46373</v>
      </c>
      <c r="W115" s="43"/>
      <c r="X115" s="31"/>
      <c r="Y115" s="31"/>
      <c r="Z115" s="36"/>
      <c r="AA115" s="28">
        <v>46386</v>
      </c>
      <c r="AB115" s="43"/>
      <c r="AC115" s="43"/>
      <c r="AD115" s="31" t="s">
        <v>272</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x14ac:dyDescent="0.25">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x14ac:dyDescent="0.2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x14ac:dyDescent="0.2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x14ac:dyDescent="0.2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x14ac:dyDescent="0.2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x14ac:dyDescent="0.2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x14ac:dyDescent="0.2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x14ac:dyDescent="0.2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x14ac:dyDescent="0.2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x14ac:dyDescent="0.2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x14ac:dyDescent="0.2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x14ac:dyDescent="0.2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x14ac:dyDescent="0.2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x14ac:dyDescent="0.2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x14ac:dyDescent="0.2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x14ac:dyDescent="0.2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x14ac:dyDescent="0.2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x14ac:dyDescent="0.2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x14ac:dyDescent="0.2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x14ac:dyDescent="0.2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x14ac:dyDescent="0.2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x14ac:dyDescent="0.2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x14ac:dyDescent="0.2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x14ac:dyDescent="0.2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x14ac:dyDescent="0.2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x14ac:dyDescent="0.2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x14ac:dyDescent="0.2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x14ac:dyDescent="0.2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x14ac:dyDescent="0.2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x14ac:dyDescent="0.2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x14ac:dyDescent="0.2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x14ac:dyDescent="0.2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x14ac:dyDescent="0.2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x14ac:dyDescent="0.2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x14ac:dyDescent="0.2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x14ac:dyDescent="0.2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x14ac:dyDescent="0.2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x14ac:dyDescent="0.2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x14ac:dyDescent="0.2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x14ac:dyDescent="0.2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x14ac:dyDescent="0.2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x14ac:dyDescent="0.2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x14ac:dyDescent="0.2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x14ac:dyDescent="0.2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x14ac:dyDescent="0.2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x14ac:dyDescent="0.2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x14ac:dyDescent="0.2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x14ac:dyDescent="0.2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x14ac:dyDescent="0.2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x14ac:dyDescent="0.2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x14ac:dyDescent="0.2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x14ac:dyDescent="0.2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x14ac:dyDescent="0.2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x14ac:dyDescent="0.2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x14ac:dyDescent="0.2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x14ac:dyDescent="0.2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x14ac:dyDescent="0.2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x14ac:dyDescent="0.2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x14ac:dyDescent="0.2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x14ac:dyDescent="0.2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x14ac:dyDescent="0.2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x14ac:dyDescent="0.2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x14ac:dyDescent="0.2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x14ac:dyDescent="0.2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x14ac:dyDescent="0.2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x14ac:dyDescent="0.2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x14ac:dyDescent="0.2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x14ac:dyDescent="0.2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x14ac:dyDescent="0.2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x14ac:dyDescent="0.2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x14ac:dyDescent="0.2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x14ac:dyDescent="0.2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x14ac:dyDescent="0.2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x14ac:dyDescent="0.2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x14ac:dyDescent="0.2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x14ac:dyDescent="0.2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x14ac:dyDescent="0.2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x14ac:dyDescent="0.2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x14ac:dyDescent="0.2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x14ac:dyDescent="0.2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x14ac:dyDescent="0.2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x14ac:dyDescent="0.2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x14ac:dyDescent="0.2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x14ac:dyDescent="0.2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x14ac:dyDescent="0.2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x14ac:dyDescent="0.2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x14ac:dyDescent="0.2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x14ac:dyDescent="0.2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x14ac:dyDescent="0.2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x14ac:dyDescent="0.2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x14ac:dyDescent="0.2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x14ac:dyDescent="0.2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x14ac:dyDescent="0.2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x14ac:dyDescent="0.2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x14ac:dyDescent="0.2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x14ac:dyDescent="0.2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x14ac:dyDescent="0.2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x14ac:dyDescent="0.2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x14ac:dyDescent="0.2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x14ac:dyDescent="0.2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x14ac:dyDescent="0.2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x14ac:dyDescent="0.2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x14ac:dyDescent="0.2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x14ac:dyDescent="0.2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x14ac:dyDescent="0.2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x14ac:dyDescent="0.2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x14ac:dyDescent="0.2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x14ac:dyDescent="0.2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x14ac:dyDescent="0.2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x14ac:dyDescent="0.2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x14ac:dyDescent="0.2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x14ac:dyDescent="0.2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x14ac:dyDescent="0.2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x14ac:dyDescent="0.2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x14ac:dyDescent="0.2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x14ac:dyDescent="0.2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x14ac:dyDescent="0.2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x14ac:dyDescent="0.2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x14ac:dyDescent="0.2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x14ac:dyDescent="0.2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x14ac:dyDescent="0.2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x14ac:dyDescent="0.2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x14ac:dyDescent="0.2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x14ac:dyDescent="0.2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x14ac:dyDescent="0.2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x14ac:dyDescent="0.2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x14ac:dyDescent="0.2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x14ac:dyDescent="0.2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x14ac:dyDescent="0.2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x14ac:dyDescent="0.2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x14ac:dyDescent="0.2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x14ac:dyDescent="0.2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x14ac:dyDescent="0.2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x14ac:dyDescent="0.2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x14ac:dyDescent="0.2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x14ac:dyDescent="0.2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x14ac:dyDescent="0.2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x14ac:dyDescent="0.2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x14ac:dyDescent="0.2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x14ac:dyDescent="0.2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x14ac:dyDescent="0.2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x14ac:dyDescent="0.2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x14ac:dyDescent="0.2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x14ac:dyDescent="0.2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x14ac:dyDescent="0.2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x14ac:dyDescent="0.2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x14ac:dyDescent="0.2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x14ac:dyDescent="0.2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x14ac:dyDescent="0.2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x14ac:dyDescent="0.2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x14ac:dyDescent="0.2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x14ac:dyDescent="0.2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x14ac:dyDescent="0.2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x14ac:dyDescent="0.2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x14ac:dyDescent="0.2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x14ac:dyDescent="0.2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x14ac:dyDescent="0.2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x14ac:dyDescent="0.2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x14ac:dyDescent="0.2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x14ac:dyDescent="0.2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x14ac:dyDescent="0.2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x14ac:dyDescent="0.2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x14ac:dyDescent="0.2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x14ac:dyDescent="0.2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x14ac:dyDescent="0.2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x14ac:dyDescent="0.2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x14ac:dyDescent="0.2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x14ac:dyDescent="0.2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x14ac:dyDescent="0.2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x14ac:dyDescent="0.2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x14ac:dyDescent="0.2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x14ac:dyDescent="0.2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x14ac:dyDescent="0.2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x14ac:dyDescent="0.2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x14ac:dyDescent="0.2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x14ac:dyDescent="0.2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x14ac:dyDescent="0.2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x14ac:dyDescent="0.2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x14ac:dyDescent="0.2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x14ac:dyDescent="0.2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x14ac:dyDescent="0.2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x14ac:dyDescent="0.2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x14ac:dyDescent="0.2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x14ac:dyDescent="0.2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x14ac:dyDescent="0.2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x14ac:dyDescent="0.2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x14ac:dyDescent="0.2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x14ac:dyDescent="0.2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x14ac:dyDescent="0.2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x14ac:dyDescent="0.2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x14ac:dyDescent="0.2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x14ac:dyDescent="0.2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x14ac:dyDescent="0.2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x14ac:dyDescent="0.2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x14ac:dyDescent="0.2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x14ac:dyDescent="0.2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x14ac:dyDescent="0.2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x14ac:dyDescent="0.2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x14ac:dyDescent="0.2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x14ac:dyDescent="0.2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x14ac:dyDescent="0.2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x14ac:dyDescent="0.2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x14ac:dyDescent="0.2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x14ac:dyDescent="0.2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x14ac:dyDescent="0.2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x14ac:dyDescent="0.2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x14ac:dyDescent="0.2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x14ac:dyDescent="0.2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x14ac:dyDescent="0.2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x14ac:dyDescent="0.2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x14ac:dyDescent="0.2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x14ac:dyDescent="0.2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x14ac:dyDescent="0.2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x14ac:dyDescent="0.2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x14ac:dyDescent="0.2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x14ac:dyDescent="0.2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x14ac:dyDescent="0.2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x14ac:dyDescent="0.2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x14ac:dyDescent="0.2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x14ac:dyDescent="0.2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x14ac:dyDescent="0.2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x14ac:dyDescent="0.2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x14ac:dyDescent="0.2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x14ac:dyDescent="0.2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x14ac:dyDescent="0.2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x14ac:dyDescent="0.2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x14ac:dyDescent="0.2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x14ac:dyDescent="0.2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x14ac:dyDescent="0.2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x14ac:dyDescent="0.2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x14ac:dyDescent="0.2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x14ac:dyDescent="0.2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x14ac:dyDescent="0.2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x14ac:dyDescent="0.2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x14ac:dyDescent="0.2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x14ac:dyDescent="0.2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x14ac:dyDescent="0.2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x14ac:dyDescent="0.2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x14ac:dyDescent="0.2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x14ac:dyDescent="0.2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x14ac:dyDescent="0.2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x14ac:dyDescent="0.2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x14ac:dyDescent="0.2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x14ac:dyDescent="0.2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x14ac:dyDescent="0.2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x14ac:dyDescent="0.2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x14ac:dyDescent="0.2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x14ac:dyDescent="0.2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x14ac:dyDescent="0.2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x14ac:dyDescent="0.2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x14ac:dyDescent="0.2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x14ac:dyDescent="0.2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x14ac:dyDescent="0.2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x14ac:dyDescent="0.2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x14ac:dyDescent="0.2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x14ac:dyDescent="0.2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x14ac:dyDescent="0.2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x14ac:dyDescent="0.2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x14ac:dyDescent="0.2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x14ac:dyDescent="0.2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x14ac:dyDescent="0.2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x14ac:dyDescent="0.2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x14ac:dyDescent="0.2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x14ac:dyDescent="0.2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x14ac:dyDescent="0.2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x14ac:dyDescent="0.2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x14ac:dyDescent="0.2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x14ac:dyDescent="0.2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x14ac:dyDescent="0.2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x14ac:dyDescent="0.2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x14ac:dyDescent="0.2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x14ac:dyDescent="0.2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x14ac:dyDescent="0.2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x14ac:dyDescent="0.2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x14ac:dyDescent="0.2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x14ac:dyDescent="0.2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x14ac:dyDescent="0.2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x14ac:dyDescent="0.2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x14ac:dyDescent="0.2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x14ac:dyDescent="0.2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x14ac:dyDescent="0.2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x14ac:dyDescent="0.2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x14ac:dyDescent="0.2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x14ac:dyDescent="0.2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x14ac:dyDescent="0.2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x14ac:dyDescent="0.2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x14ac:dyDescent="0.2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x14ac:dyDescent="0.2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x14ac:dyDescent="0.2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x14ac:dyDescent="0.2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x14ac:dyDescent="0.2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x14ac:dyDescent="0.2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x14ac:dyDescent="0.2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x14ac:dyDescent="0.2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x14ac:dyDescent="0.2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x14ac:dyDescent="0.2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x14ac:dyDescent="0.2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x14ac:dyDescent="0.2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x14ac:dyDescent="0.2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x14ac:dyDescent="0.2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x14ac:dyDescent="0.2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x14ac:dyDescent="0.2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x14ac:dyDescent="0.2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x14ac:dyDescent="0.2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x14ac:dyDescent="0.2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x14ac:dyDescent="0.2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x14ac:dyDescent="0.2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x14ac:dyDescent="0.2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x14ac:dyDescent="0.2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x14ac:dyDescent="0.2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x14ac:dyDescent="0.2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x14ac:dyDescent="0.2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x14ac:dyDescent="0.2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x14ac:dyDescent="0.2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x14ac:dyDescent="0.2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x14ac:dyDescent="0.2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x14ac:dyDescent="0.2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x14ac:dyDescent="0.2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x14ac:dyDescent="0.2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x14ac:dyDescent="0.2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x14ac:dyDescent="0.2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x14ac:dyDescent="0.2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x14ac:dyDescent="0.2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x14ac:dyDescent="0.2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x14ac:dyDescent="0.2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x14ac:dyDescent="0.2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x14ac:dyDescent="0.2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x14ac:dyDescent="0.2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x14ac:dyDescent="0.2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x14ac:dyDescent="0.2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x14ac:dyDescent="0.2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x14ac:dyDescent="0.2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x14ac:dyDescent="0.2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x14ac:dyDescent="0.2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x14ac:dyDescent="0.2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x14ac:dyDescent="0.2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x14ac:dyDescent="0.2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x14ac:dyDescent="0.2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x14ac:dyDescent="0.2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x14ac:dyDescent="0.2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x14ac:dyDescent="0.2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x14ac:dyDescent="0.2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x14ac:dyDescent="0.2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x14ac:dyDescent="0.2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x14ac:dyDescent="0.2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x14ac:dyDescent="0.2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x14ac:dyDescent="0.2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x14ac:dyDescent="0.2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x14ac:dyDescent="0.2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x14ac:dyDescent="0.2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x14ac:dyDescent="0.2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x14ac:dyDescent="0.2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x14ac:dyDescent="0.2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x14ac:dyDescent="0.2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x14ac:dyDescent="0.2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x14ac:dyDescent="0.2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x14ac:dyDescent="0.2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x14ac:dyDescent="0.2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x14ac:dyDescent="0.2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x14ac:dyDescent="0.2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x14ac:dyDescent="0.2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x14ac:dyDescent="0.2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x14ac:dyDescent="0.2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x14ac:dyDescent="0.2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x14ac:dyDescent="0.2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x14ac:dyDescent="0.2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x14ac:dyDescent="0.2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x14ac:dyDescent="0.2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x14ac:dyDescent="0.2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x14ac:dyDescent="0.2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x14ac:dyDescent="0.2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x14ac:dyDescent="0.2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x14ac:dyDescent="0.2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x14ac:dyDescent="0.2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x14ac:dyDescent="0.2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x14ac:dyDescent="0.2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x14ac:dyDescent="0.2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x14ac:dyDescent="0.2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x14ac:dyDescent="0.2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x14ac:dyDescent="0.2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x14ac:dyDescent="0.2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x14ac:dyDescent="0.2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x14ac:dyDescent="0.2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x14ac:dyDescent="0.2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x14ac:dyDescent="0.2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x14ac:dyDescent="0.2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x14ac:dyDescent="0.25">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x14ac:dyDescent="0.25">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x14ac:dyDescent="0.25">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x14ac:dyDescent="0.25">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x14ac:dyDescent="0.25">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x14ac:dyDescent="0.25">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x14ac:dyDescent="0.25">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x14ac:dyDescent="0.25">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x14ac:dyDescent="0.25">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x14ac:dyDescent="0.25">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x14ac:dyDescent="0.25">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x14ac:dyDescent="0.25">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x14ac:dyDescent="0.25">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x14ac:dyDescent="0.25">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x14ac:dyDescent="0.25">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x14ac:dyDescent="0.25">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x14ac:dyDescent="0.25">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x14ac:dyDescent="0.25">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x14ac:dyDescent="0.25">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x14ac:dyDescent="0.25">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x14ac:dyDescent="0.25">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x14ac:dyDescent="0.25">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x14ac:dyDescent="0.25">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x14ac:dyDescent="0.25">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x14ac:dyDescent="0.25">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x14ac:dyDescent="0.25">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x14ac:dyDescent="0.25">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17" priority="62">
      <formula>AND($B2&lt;&gt;"",MOD(ROW(),2)=0)</formula>
    </cfRule>
  </conditionalFormatting>
  <conditionalFormatting sqref="C2:C116">
    <cfRule type="expression" dxfId="116" priority="623">
      <formula>LEFT($AK2,4)="Move"</formula>
    </cfRule>
  </conditionalFormatting>
  <conditionalFormatting sqref="D2:D528">
    <cfRule type="expression" dxfId="115" priority="46">
      <formula>ISNUMBER(SEARCH("Blocked",$D2))</formula>
    </cfRule>
    <cfRule type="expression" dxfId="114" priority="47">
      <formula>ISNUMBER(SEARCH("overdue",$D2))</formula>
    </cfRule>
    <cfRule type="expression" dxfId="113" priority="48">
      <formula>ISNUMBER(SEARCH("no target",$D2))</formula>
    </cfRule>
    <cfRule type="expression" dxfId="112" priority="49">
      <formula>ISNUMBER(SEARCH("Review",$D2))</formula>
    </cfRule>
    <cfRule type="expression" dxfId="111" priority="50">
      <formula>OR($D2="On track",$D2="Delivered")</formula>
    </cfRule>
  </conditionalFormatting>
  <conditionalFormatting sqref="D88">
    <cfRule type="expression" dxfId="110" priority="622">
      <formula>AND($B50&lt;&gt;"",MOD(ROW(),2)=0)</formula>
    </cfRule>
  </conditionalFormatting>
  <conditionalFormatting sqref="J2:O116">
    <cfRule type="expression" dxfId="109" priority="24">
      <formula>$AJ2="Yes – needs DB Dev to fix"</formula>
    </cfRule>
  </conditionalFormatting>
  <conditionalFormatting sqref="J117:O193">
    <cfRule type="expression" dxfId="108" priority="29">
      <formula>$AH117="Yes – needs DB Dev to fix"</formula>
    </cfRule>
  </conditionalFormatting>
  <conditionalFormatting sqref="K41">
    <cfRule type="expression" dxfId="107" priority="605">
      <formula>AND($B41&lt;&gt;"",MOD(ROW(),2)=0)</formula>
    </cfRule>
    <cfRule type="expression" dxfId="106" priority="606">
      <formula>$AJ41="Yes – needs DB Dev to fix"</formula>
    </cfRule>
  </conditionalFormatting>
  <conditionalFormatting sqref="K42">
    <cfRule type="expression" dxfId="105" priority="608">
      <formula>$AJ41="Yes – needs DB Dev to fix"</formula>
    </cfRule>
    <cfRule type="expression" dxfId="104" priority="607">
      <formula>AND($B41&lt;&gt;"",MOD(ROW(),2)=0)</formula>
    </cfRule>
  </conditionalFormatting>
  <conditionalFormatting sqref="K73:L100">
    <cfRule type="expression" dxfId="103" priority="121">
      <formula>$AF73="Yes – needs DB Dev to fix"</formula>
    </cfRule>
  </conditionalFormatting>
  <conditionalFormatting sqref="K101:L116">
    <cfRule type="expression" dxfId="102" priority="351">
      <formula>$AA101="Yes – needs DB Dev to fix"</formula>
    </cfRule>
  </conditionalFormatting>
  <conditionalFormatting sqref="K117:L528">
    <cfRule type="expression" dxfId="101" priority="578">
      <formula>$X117="Yes – needs DB Dev to fix"</formula>
    </cfRule>
  </conditionalFormatting>
  <conditionalFormatting sqref="M73">
    <cfRule type="expression" dxfId="100" priority="28">
      <formula>$AF73="Yes – needs DB Dev to fix"</formula>
    </cfRule>
  </conditionalFormatting>
  <conditionalFormatting sqref="M79:M81">
    <cfRule type="expression" dxfId="99" priority="2">
      <formula>$AF79="Yes – needs DB Dev to fix"</formula>
    </cfRule>
  </conditionalFormatting>
  <conditionalFormatting sqref="M83:M84">
    <cfRule type="expression" dxfId="98" priority="4">
      <formula>$AF83="Yes – needs DB Dev to fix"</formula>
    </cfRule>
  </conditionalFormatting>
  <conditionalFormatting sqref="M91">
    <cfRule type="expression" dxfId="97" priority="8">
      <formula>$AF91="Yes – needs DB Dev to fix"</formula>
    </cfRule>
  </conditionalFormatting>
  <conditionalFormatting sqref="M94">
    <cfRule type="expression" dxfId="96" priority="1">
      <formula>$AF94="Yes – needs DB Dev to fix"</formula>
    </cfRule>
  </conditionalFormatting>
  <conditionalFormatting sqref="M73:P100">
    <cfRule type="expression" dxfId="95" priority="306">
      <formula>$AD73="Yes – needs PBI Dev to fix"</formula>
    </cfRule>
  </conditionalFormatting>
  <conditionalFormatting sqref="M101:P116">
    <cfRule type="expression" dxfId="94" priority="353">
      <formula>$AA101="Yes – needs PBI Dev to fix"</formula>
    </cfRule>
  </conditionalFormatting>
  <conditionalFormatting sqref="M117:P528">
    <cfRule type="expression" dxfId="93" priority="579">
      <formula>$X117="Yes – needs PBI Dev to fix"</formula>
    </cfRule>
  </conditionalFormatting>
  <conditionalFormatting sqref="N58">
    <cfRule type="expression" dxfId="92" priority="9">
      <formula>$AD58="Yes – needs PBI Dev to fix"</formula>
    </cfRule>
  </conditionalFormatting>
  <conditionalFormatting sqref="N70">
    <cfRule type="expression" dxfId="91" priority="10">
      <formula>$AD70="Yes – needs PBI Dev to fix"</formula>
    </cfRule>
  </conditionalFormatting>
  <conditionalFormatting sqref="N82">
    <cfRule type="expression" dxfId="90" priority="6">
      <formula>$AD82="Yes – needs PBI Dev to fix"</formula>
    </cfRule>
  </conditionalFormatting>
  <conditionalFormatting sqref="O101:O113">
    <cfRule type="expression" dxfId="89" priority="3">
      <formula>$AD101="Yes – needs PBI Dev to fix"</formula>
    </cfRule>
  </conditionalFormatting>
  <conditionalFormatting sqref="Q73:Q100">
    <cfRule type="expression" dxfId="88" priority="22">
      <formula>$AJ73="Yes – needs DB Dev to fix"</formula>
    </cfRule>
    <cfRule type="expression" dxfId="87" priority="23">
      <formula>$AF73="Yes – needs DB Dev to fix"</formula>
    </cfRule>
    <cfRule type="expression" dxfId="86" priority="125">
      <formula>$AF73="Yes – needs PBI Dev to fix"</formula>
    </cfRule>
  </conditionalFormatting>
  <conditionalFormatting sqref="Q101:R116 V101:V116 X101:X116">
    <cfRule type="expression" dxfId="85" priority="21">
      <formula>$AA101="Yes – needs QA to fix"</formula>
    </cfRule>
  </conditionalFormatting>
  <conditionalFormatting sqref="Q117:R528">
    <cfRule type="expression" dxfId="84" priority="580">
      <formula>$X117="Yes – needs QA to fix"</formula>
    </cfRule>
  </conditionalFormatting>
  <conditionalFormatting sqref="Q2:U64 U10:V19 X10:X19 J29 M29:P29 J32:J33 M32:P33 K40:K41 M40:P41 Q65 T65:U65 Q66:U115 V101:V115 X101:X116 Q116:V116">
    <cfRule type="expression" dxfId="83" priority="36">
      <formula>$AJ2="Yes – needs PBI Dev to fix"</formula>
    </cfRule>
  </conditionalFormatting>
  <conditionalFormatting sqref="R58">
    <cfRule type="expression" dxfId="82" priority="323">
      <formula>$AJ65="Yes – needs PBI Dev to fix"</formula>
    </cfRule>
    <cfRule type="expression" dxfId="81" priority="321">
      <formula>AND($B65&lt;&gt;"",MOD(ROW(),2)=0)</formula>
    </cfRule>
  </conditionalFormatting>
  <conditionalFormatting sqref="R60">
    <cfRule type="expression" dxfId="80" priority="14">
      <formula>$AJ67="Yes – needs PBI Dev to fix"</formula>
    </cfRule>
    <cfRule type="expression" dxfId="79" priority="13">
      <formula>AND($B67&lt;&gt;"",MOD(ROW(),2)=0)</formula>
    </cfRule>
  </conditionalFormatting>
  <conditionalFormatting sqref="R60:S60">
    <cfRule type="expression" dxfId="78" priority="11">
      <formula>AND($B67&lt;&gt;"",MOD(ROW(),2)=0)</formula>
    </cfRule>
    <cfRule type="expression" dxfId="77" priority="12">
      <formula>$AJ67="Yes – needs PBI Dev to fix"</formula>
    </cfRule>
  </conditionalFormatting>
  <conditionalFormatting sqref="R73:U100 T96:T101">
    <cfRule type="expression" dxfId="76" priority="127">
      <formula>$AF73="Yes – needs QA to fix"</formula>
    </cfRule>
  </conditionalFormatting>
  <conditionalFormatting sqref="S101:U116">
    <cfRule type="expression" dxfId="75" priority="367">
      <formula>$AA101="Yes – needs DPO Approval to fix"</formula>
    </cfRule>
  </conditionalFormatting>
  <conditionalFormatting sqref="S117:U528">
    <cfRule type="expression" dxfId="74" priority="581">
      <formula>$X117="Yes – needs DPO Approval to fix"</formula>
    </cfRule>
  </conditionalFormatting>
  <conditionalFormatting sqref="U101:V528 X101:X528">
    <cfRule type="expression" dxfId="73" priority="54">
      <formula>$V101="Yes"</formula>
    </cfRule>
  </conditionalFormatting>
  <conditionalFormatting sqref="U73:Y100">
    <cfRule type="expression" dxfId="72" priority="129">
      <formula>$AF73="Yes – needs DPO Approval to fix"</formula>
    </cfRule>
  </conditionalFormatting>
  <conditionalFormatting sqref="X117:X528">
    <cfRule type="expression" dxfId="71" priority="582">
      <formula>LEFT($X117,3)="Yes"</formula>
    </cfRule>
  </conditionalFormatting>
  <conditionalFormatting sqref="X73:Z100">
    <cfRule type="expression" dxfId="70" priority="481">
      <formula>$Y73="Yes"</formula>
    </cfRule>
  </conditionalFormatting>
  <conditionalFormatting sqref="Z117:AA528">
    <cfRule type="expression" dxfId="69" priority="59">
      <formula>ISNUMBER(SEARCH("log it",$Z117))</formula>
    </cfRule>
    <cfRule type="expression" dxfId="68" priority="59">
      <formula>ISNUMBER(SEARCH("Open rework",$Z117))</formula>
    </cfRule>
    <cfRule type="expression" dxfId="67" priority="61">
      <formula>$Z117&lt;&gt;""</formula>
    </cfRule>
    <cfRule type="expression" dxfId="66" priority="60">
      <formula>ISNUMBER(SEARCH("Duplicate",$Z117))</formula>
    </cfRule>
    <cfRule type="expression" dxfId="65" priority="59">
      <formula>ISNUMBER(SEARCH("Move old",$Z117))</formula>
    </cfRule>
  </conditionalFormatting>
  <conditionalFormatting sqref="AA3">
    <cfRule type="expression" dxfId="64" priority="610">
      <formula>$AJ3="Yes – needs DPO Approval to fix"</formula>
    </cfRule>
    <cfRule type="expression" dxfId="63" priority="609">
      <formula>AND($B3&lt;&gt;"",MOD(ROW(),2)=0)</formula>
    </cfRule>
  </conditionalFormatting>
  <conditionalFormatting sqref="AA101:AA115 U116:AA116 U2:Z54 U55:X55 Z55 U56:Z58 U59:X59 Z59 U60:Z70 U71:W71 Z71 U72:Z116">
    <cfRule type="expression" dxfId="62" priority="19">
      <formula>$AJ2="Yes – needs QA to fix"</formula>
    </cfRule>
  </conditionalFormatting>
  <conditionalFormatting sqref="AA101:AA116">
    <cfRule type="expression" dxfId="61" priority="16">
      <formula>$AJ101="Yes – needs PBI Dev to fix"</formula>
    </cfRule>
    <cfRule type="expression" dxfId="60" priority="17">
      <formula>$AA101="Yes – needs QA to fix"</formula>
    </cfRule>
    <cfRule type="expression" dxfId="59" priority="18">
      <formula>$V101="Yes"</formula>
    </cfRule>
    <cfRule type="expression" dxfId="58" priority="375">
      <formula>LEFT($AA101,3)="Yes"</formula>
    </cfRule>
  </conditionalFormatting>
  <conditionalFormatting sqref="AA2:AE2 AB3:AE3 AA4:AE100">
    <cfRule type="expression" dxfId="57" priority="103">
      <formula>$AJ2="Yes – needs DPO Approval to fix"</formula>
    </cfRule>
  </conditionalFormatting>
  <conditionalFormatting sqref="AB101:AC116">
    <cfRule type="expression" dxfId="56" priority="383">
      <formula>ISNUMBER(SEARCH("Open rework",$AB101))</formula>
    </cfRule>
    <cfRule type="expression" dxfId="55" priority="384">
      <formula>ISNUMBER(SEARCH("Move old",$AB101))</formula>
    </cfRule>
    <cfRule type="expression" dxfId="54" priority="385">
      <formula>ISNUMBER(SEARCH("log it",$AB101))</formula>
    </cfRule>
    <cfRule type="expression" dxfId="53" priority="386">
      <formula>ISNUMBER(SEARCH("Duplicate",$AB101))</formula>
    </cfRule>
    <cfRule type="expression" dxfId="52" priority="387">
      <formula>$AB101&lt;&gt;""</formula>
    </cfRule>
  </conditionalFormatting>
  <conditionalFormatting sqref="AF2:AF116">
    <cfRule type="expression" dxfId="51" priority="75">
      <formula>$AF2="Yes"</formula>
    </cfRule>
  </conditionalFormatting>
  <conditionalFormatting sqref="AF73:AF100">
    <cfRule type="expression" dxfId="50" priority="133">
      <formula>LEFT($AF73,3)="Yes"</formula>
    </cfRule>
  </conditionalFormatting>
  <conditionalFormatting sqref="AG73:AG100">
    <cfRule type="expression" dxfId="49" priority="143">
      <formula>$AG73&lt;&gt;""</formula>
    </cfRule>
    <cfRule type="expression" dxfId="48" priority="140">
      <formula>ISNUMBER(SEARCH("Move old",$AG73))</formula>
    </cfRule>
    <cfRule type="expression" dxfId="47" priority="142">
      <formula>ISNUMBER(SEARCH("Duplicate",$AG73))</formula>
    </cfRule>
    <cfRule type="expression" dxfId="46" priority="141">
      <formula>ISNUMBER(SEARCH("log it",$AG73))</formula>
    </cfRule>
    <cfRule type="expression" dxfId="45" priority="139">
      <formula>ISNUMBER(SEARCH("Open rework",$AG73))</formula>
    </cfRule>
  </conditionalFormatting>
  <conditionalFormatting sqref="AJ2:AJ116">
    <cfRule type="expression" dxfId="44" priority="77">
      <formula>LEFT($AJ2,3)="Yes"</formula>
    </cfRule>
  </conditionalFormatting>
  <conditionalFormatting sqref="AK2:AK116">
    <cfRule type="expression" dxfId="43" priority="85">
      <formula>ISNUMBER(SEARCH("Move old",$AK2))</formula>
    </cfRule>
    <cfRule type="expression" dxfId="42" priority="83">
      <formula>ISNUMBER(SEARCH("log it",$AK2))</formula>
    </cfRule>
    <cfRule type="expression" dxfId="41" priority="84">
      <formula>ISNUMBER(SEARCH("Open rework",$AK2))</formula>
    </cfRule>
    <cfRule type="expression" dxfId="40" priority="87">
      <formula>$AK2&lt;&gt;""</formula>
    </cfRule>
    <cfRule type="expression" dxfId="39" priority="86">
      <formula>ISNUMBER(SEARCH("Duplicate",$AK2))</formula>
    </cfRule>
  </conditionalFormatting>
  <conditionalFormatting sqref="AL45:AL47">
    <cfRule type="expression" dxfId="38"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x14ac:dyDescent="0.25"/>
  <cols>
    <col min="1" max="1" width="24" customWidth="1"/>
    <col min="2" max="5" width="16" customWidth="1"/>
  </cols>
  <sheetData>
    <row r="1" spans="1:5" ht="21" customHeight="1" x14ac:dyDescent="0.35">
      <c r="A1" s="7" t="s">
        <v>335</v>
      </c>
    </row>
    <row r="2" spans="1:5" x14ac:dyDescent="0.25">
      <c r="A2" s="6" t="s">
        <v>336</v>
      </c>
    </row>
    <row r="4" spans="1:5" ht="21.95" customHeight="1" x14ac:dyDescent="0.25">
      <c r="A4" s="5" t="s">
        <v>337</v>
      </c>
      <c r="B4" s="221"/>
      <c r="C4" s="216"/>
      <c r="D4" s="216"/>
      <c r="E4" s="216"/>
    </row>
    <row r="6" spans="1:5" x14ac:dyDescent="0.25">
      <c r="A6" s="42" t="s">
        <v>0</v>
      </c>
      <c r="B6" s="220" t="str">
        <f>IF($B$4="","",IFERROR(INDEX('Combined Delivery Data'!$A:$A,MATCH($B$4,'Combined Delivery Data'!$B:$B,0)),""))</f>
        <v/>
      </c>
      <c r="C6" s="218"/>
      <c r="D6" s="218"/>
      <c r="E6" s="219"/>
    </row>
    <row r="7" spans="1:5" x14ac:dyDescent="0.25">
      <c r="A7" s="42" t="s">
        <v>338</v>
      </c>
      <c r="B7" s="220" t="str">
        <f>IF($B$4="","",IFERROR(INDEX('Combined Delivery Data'!$C:$C,MATCH($B$4,'Combined Delivery Data'!$B:$B,0)),""))</f>
        <v/>
      </c>
      <c r="C7" s="218"/>
      <c r="D7" s="218"/>
      <c r="E7" s="219"/>
    </row>
    <row r="8" spans="1:5" x14ac:dyDescent="0.25">
      <c r="A8" s="42" t="s">
        <v>3</v>
      </c>
      <c r="B8" s="220" t="str">
        <f>IF($B$4="","",IFERROR(INDEX('Combined Delivery Data'!$D:$D,MATCH($B$4,'Combined Delivery Data'!$B:$B,0)),""))</f>
        <v/>
      </c>
      <c r="C8" s="218"/>
      <c r="D8" s="218"/>
      <c r="E8" s="219"/>
    </row>
    <row r="9" spans="1:5" x14ac:dyDescent="0.25">
      <c r="A9" s="42" t="s">
        <v>4</v>
      </c>
      <c r="B9" s="220" t="str">
        <f>IF($B$4="","",IFERROR(INDEX('Combined Delivery Data'!$E:$E,MATCH($B$4,'Combined Delivery Data'!$B:$B,0)),""))</f>
        <v/>
      </c>
      <c r="C9" s="218"/>
      <c r="D9" s="218"/>
      <c r="E9" s="219"/>
    </row>
    <row r="10" spans="1:5" x14ac:dyDescent="0.25">
      <c r="A10" s="42" t="s">
        <v>5</v>
      </c>
      <c r="B10" s="220" t="str">
        <f>IF($B$4="","",IFERROR(INDEX('Combined Delivery Data'!$F:$F,MATCH($B$4,'Combined Delivery Data'!$B:$B,0)),""))</f>
        <v/>
      </c>
      <c r="C10" s="218"/>
      <c r="D10" s="218"/>
      <c r="E10" s="219"/>
    </row>
    <row r="11" spans="1:5" x14ac:dyDescent="0.25">
      <c r="A11" s="42" t="s">
        <v>9</v>
      </c>
      <c r="B11" s="220" t="str">
        <f>IF($B$4="","",IFERROR(INDEX('Combined Delivery Data'!$J:$J,MATCH($B$4,'Combined Delivery Data'!$B:$B,0)),""))</f>
        <v/>
      </c>
      <c r="C11" s="218"/>
      <c r="D11" s="218"/>
      <c r="E11" s="219"/>
    </row>
    <row r="12" spans="1:5" x14ac:dyDescent="0.25">
      <c r="A12" s="42" t="s">
        <v>15</v>
      </c>
      <c r="B12" s="220" t="str">
        <f>IF($B$4="","",IFERROR(INDEX('Combined Delivery Data'!$P:$P,MATCH($B$4,'Combined Delivery Data'!$B:$B,0)),""))</f>
        <v/>
      </c>
      <c r="C12" s="218"/>
      <c r="D12" s="218"/>
      <c r="E12" s="219"/>
    </row>
    <row r="13" spans="1:5" x14ac:dyDescent="0.25">
      <c r="A13" s="42" t="s">
        <v>20</v>
      </c>
      <c r="B13" s="220" t="str">
        <f>IF($B$4="","",IFERROR(INDEX('Combined Delivery Data'!$U:$U,MATCH($B$4,'Combined Delivery Data'!$B:$B,0)),""))</f>
        <v/>
      </c>
      <c r="C13" s="218"/>
      <c r="D13" s="218"/>
      <c r="E13" s="219"/>
    </row>
    <row r="14" spans="1:5" x14ac:dyDescent="0.25">
      <c r="A14" s="42" t="s">
        <v>339</v>
      </c>
      <c r="B14" s="217" t="str">
        <f>IF($B$4="","",IFERROR(INDEX('Combined Delivery Data'!$K:$K,MATCH($B$4,'Combined Delivery Data'!$B:$B,0)),""))</f>
        <v/>
      </c>
      <c r="C14" s="218"/>
      <c r="D14" s="218"/>
      <c r="E14" s="219"/>
    </row>
    <row r="15" spans="1:5" x14ac:dyDescent="0.25">
      <c r="A15" s="42" t="s">
        <v>340</v>
      </c>
      <c r="B15" s="217" t="str">
        <f>IF($B$4="","",IFERROR(INDEX('Combined Delivery Data'!$L:$L,MATCH($B$4,'Combined Delivery Data'!$B:$B,0)),""))</f>
        <v/>
      </c>
      <c r="C15" s="218"/>
      <c r="D15" s="218"/>
      <c r="E15" s="219"/>
    </row>
    <row r="16" spans="1:5" x14ac:dyDescent="0.25">
      <c r="A16" s="42" t="s">
        <v>341</v>
      </c>
      <c r="B16" s="217" t="str">
        <f>IF($B$4="","",IFERROR(INDEX('Combined Delivery Data'!$M:$M,MATCH($B$4,'Combined Delivery Data'!$B:$B,0)),""))</f>
        <v/>
      </c>
      <c r="C16" s="218"/>
      <c r="D16" s="218"/>
      <c r="E16" s="219"/>
    </row>
    <row r="17" spans="1:5" x14ac:dyDescent="0.25">
      <c r="A17" s="42" t="s">
        <v>342</v>
      </c>
      <c r="B17" s="217" t="str">
        <f>IF($B$4="","",IFERROR(INDEX('Combined Delivery Data'!$O:$O,MATCH($B$4,'Combined Delivery Data'!$B:$B,0)),""))</f>
        <v/>
      </c>
      <c r="C17" s="218"/>
      <c r="D17" s="218"/>
      <c r="E17" s="219"/>
    </row>
    <row r="18" spans="1:5" x14ac:dyDescent="0.25">
      <c r="A18" s="42" t="s">
        <v>343</v>
      </c>
      <c r="B18" s="217" t="str">
        <f>IF($B$4="","",IFERROR(INDEX('Combined Delivery Data'!$Q:$Q,MATCH($B$4,'Combined Delivery Data'!$B:$B,0)),""))</f>
        <v/>
      </c>
      <c r="C18" s="218"/>
      <c r="D18" s="218"/>
      <c r="E18" s="219"/>
    </row>
    <row r="19" spans="1:5" x14ac:dyDescent="0.25">
      <c r="A19" s="42" t="s">
        <v>344</v>
      </c>
      <c r="B19" s="217" t="str">
        <f>IF($B$4="","",IFERROR(INDEX('Combined Delivery Data'!$R:$R,MATCH($B$4,'Combined Delivery Data'!$B:$B,0)),""))</f>
        <v/>
      </c>
      <c r="C19" s="218"/>
      <c r="D19" s="218"/>
      <c r="E19" s="219"/>
    </row>
    <row r="20" spans="1:5" x14ac:dyDescent="0.25">
      <c r="A20" s="42" t="s">
        <v>345</v>
      </c>
      <c r="B20" s="217" t="str">
        <f>IF($B$4="","",IFERROR(INDEX('Combined Delivery Data'!$S:$S,MATCH($B$4,'Combined Delivery Data'!$B:$B,0)),""))</f>
        <v/>
      </c>
      <c r="C20" s="218"/>
      <c r="D20" s="218"/>
      <c r="E20" s="219"/>
    </row>
    <row r="21" spans="1:5" x14ac:dyDescent="0.25">
      <c r="A21" s="42" t="s">
        <v>29</v>
      </c>
      <c r="B21" s="220" t="str">
        <f>IF($B$4="","",IFERROR(INDEX('Combined Delivery Data'!$T:$T,MATCH($B$4,'Combined Delivery Data'!$B:$B,0)),""))</f>
        <v/>
      </c>
      <c r="C21" s="218"/>
      <c r="D21" s="218"/>
      <c r="E21" s="219"/>
    </row>
    <row r="22" spans="1:5" x14ac:dyDescent="0.25">
      <c r="A22" s="42" t="s">
        <v>31</v>
      </c>
      <c r="B22" s="220" t="str">
        <f>IF($B$4="","",IFERROR(INDEX('Combined Delivery Data'!$V:$V,MATCH($B$4,'Combined Delivery Data'!$B:$B,0)),""))</f>
        <v/>
      </c>
      <c r="C22" s="218"/>
      <c r="D22" s="218"/>
      <c r="E22" s="219"/>
    </row>
    <row r="23" spans="1:5" x14ac:dyDescent="0.25">
      <c r="A23" s="42" t="s">
        <v>32</v>
      </c>
      <c r="B23" s="217" t="str">
        <f>IF($B$4="","",IFERROR(INDEX('Combined Delivery Data'!$W:$W,MATCH($B$4,'Combined Delivery Data'!$B:$B,0)),""))</f>
        <v/>
      </c>
      <c r="C23" s="218"/>
      <c r="D23" s="218"/>
      <c r="E23" s="219"/>
    </row>
    <row r="24" spans="1:5" x14ac:dyDescent="0.25">
      <c r="A24" s="42" t="s">
        <v>35</v>
      </c>
      <c r="B24" s="220" t="str">
        <f>IF($B$4="","",IFERROR(INDEX('Combined Delivery Data'!$X:$X,MATCH($B$4,'Combined Delivery Data'!$B:$B,0)),""))</f>
        <v/>
      </c>
      <c r="C24" s="218"/>
      <c r="D24" s="218"/>
      <c r="E24" s="219"/>
    </row>
    <row r="25" spans="1:5" x14ac:dyDescent="0.25">
      <c r="A25" s="42" t="s">
        <v>36</v>
      </c>
      <c r="B25" s="220" t="str">
        <f>IF($B$4="","",IFERROR(INDEX('Combined Delivery Data'!$Z:$Z,MATCH($B$4,'Combined Delivery Data'!$B:$B,0)),""))</f>
        <v/>
      </c>
      <c r="C25" s="218"/>
      <c r="D25" s="218"/>
      <c r="E25" s="219"/>
    </row>
    <row r="26" spans="1:5" x14ac:dyDescent="0.25">
      <c r="A26" s="42" t="s">
        <v>346</v>
      </c>
      <c r="B26" s="220" t="str">
        <f>IF($B$4="","",IFERROR(INDEX('Rework Log'!$Q:$Q,MATCH($B$4,'Rework Log'!$P:$P,0)),""))</f>
        <v/>
      </c>
      <c r="C26" s="218"/>
      <c r="D26" s="218"/>
      <c r="E26" s="219"/>
    </row>
    <row r="27" spans="1:5" x14ac:dyDescent="0.25">
      <c r="A27" s="42" t="s">
        <v>347</v>
      </c>
      <c r="B27" s="220" t="str">
        <f>IF($B$4="","",IFERROR(INDEX('Rework Log'!$R:$R,MATCH($B$4,'Rework Log'!$P:$P,0)),""))</f>
        <v/>
      </c>
      <c r="C27" s="218"/>
      <c r="D27" s="218"/>
      <c r="E27" s="219"/>
    </row>
    <row r="28" spans="1:5" x14ac:dyDescent="0.25">
      <c r="A28" s="42" t="s">
        <v>348</v>
      </c>
      <c r="B28" s="220" t="str">
        <f>IF($B$4="","",IFERROR(INDEX('Rework Log'!$S:$S,MATCH($B$4,'Rework Log'!$P:$P,0)),""))</f>
        <v/>
      </c>
      <c r="C28" s="218"/>
      <c r="D28" s="218"/>
      <c r="E28" s="219"/>
    </row>
    <row r="29" spans="1:5" x14ac:dyDescent="0.25">
      <c r="A29" s="42" t="s">
        <v>349</v>
      </c>
      <c r="B29" s="220" t="str">
        <f>IF($B$4="","",IFERROR(INDEX('Rework Log'!$T:$T,MATCH($B$4,'Rework Log'!$P:$P,0)),""))</f>
        <v/>
      </c>
      <c r="C29" s="218"/>
      <c r="D29" s="218"/>
      <c r="E29" s="219"/>
    </row>
    <row r="30" spans="1:5" ht="15.6" customHeight="1" x14ac:dyDescent="0.25">
      <c r="A30" s="42"/>
      <c r="B30" s="220"/>
      <c r="C30" s="218"/>
      <c r="D30" s="218"/>
      <c r="E30" s="219"/>
    </row>
    <row r="31" spans="1:5" ht="15.6" customHeight="1" x14ac:dyDescent="0.25">
      <c r="A31" s="5" t="s">
        <v>37</v>
      </c>
      <c r="B31" s="215" t="str">
        <f>IF($B$4="","",IFERROR(INDEX('Combined Delivery Data'!$AB:$AB,MATCH($B$4,'Combined Delivery Data'!$B:$B,0)),""))</f>
        <v/>
      </c>
      <c r="C31" s="216"/>
      <c r="D31" s="216"/>
      <c r="E31" s="21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x14ac:dyDescent="0.2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x14ac:dyDescent="0.25">
      <c r="A1" s="17" t="s">
        <v>1</v>
      </c>
      <c r="B1" s="17" t="s">
        <v>350</v>
      </c>
      <c r="C1" s="17" t="s">
        <v>351</v>
      </c>
      <c r="D1" s="17" t="s">
        <v>352</v>
      </c>
      <c r="E1" s="17" t="s">
        <v>353</v>
      </c>
      <c r="F1" s="17" t="s">
        <v>354</v>
      </c>
      <c r="G1" s="17" t="s">
        <v>355</v>
      </c>
      <c r="H1" s="56" t="s">
        <v>356</v>
      </c>
      <c r="I1" s="30" t="s">
        <v>357</v>
      </c>
      <c r="J1" s="30" t="s">
        <v>358</v>
      </c>
      <c r="K1" s="30" t="s">
        <v>359</v>
      </c>
      <c r="L1" s="30" t="s">
        <v>360</v>
      </c>
      <c r="M1" s="21" t="s">
        <v>361</v>
      </c>
      <c r="N1" s="21" t="s">
        <v>362</v>
      </c>
      <c r="P1" s="13" t="s">
        <v>1</v>
      </c>
      <c r="Q1" s="13" t="s">
        <v>346</v>
      </c>
      <c r="R1" s="13" t="s">
        <v>347</v>
      </c>
      <c r="S1" s="13" t="s">
        <v>348</v>
      </c>
      <c r="T1" s="13" t="s">
        <v>349</v>
      </c>
    </row>
    <row r="2" spans="1:20" x14ac:dyDescent="0.25">
      <c r="A2" s="33" t="s">
        <v>143</v>
      </c>
      <c r="B2" s="36">
        <v>46230</v>
      </c>
      <c r="C2" s="33" t="s">
        <v>219</v>
      </c>
      <c r="D2" s="33" t="s">
        <v>262</v>
      </c>
      <c r="E2" s="33" t="s">
        <v>144</v>
      </c>
      <c r="F2" s="33" t="s">
        <v>363</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x14ac:dyDescent="0.25">
      <c r="A3" s="31" t="s">
        <v>153</v>
      </c>
      <c r="B3" s="32">
        <v>46237</v>
      </c>
      <c r="C3" s="31" t="s">
        <v>219</v>
      </c>
      <c r="D3" s="31" t="s">
        <v>262</v>
      </c>
      <c r="E3" s="31" t="s">
        <v>144</v>
      </c>
      <c r="F3" s="31" t="s">
        <v>364</v>
      </c>
      <c r="G3" s="31" t="s">
        <v>50</v>
      </c>
      <c r="H3" s="32" t="s">
        <v>155</v>
      </c>
      <c r="I3" s="32"/>
      <c r="J3" s="32">
        <v>46247</v>
      </c>
      <c r="K3" s="31" t="s">
        <v>60</v>
      </c>
      <c r="L3" s="31" t="s">
        <v>365</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x14ac:dyDescent="0.25">
      <c r="A4" s="53" t="s">
        <v>127</v>
      </c>
      <c r="B4" s="32">
        <v>46238</v>
      </c>
      <c r="C4" s="31" t="s">
        <v>219</v>
      </c>
      <c r="D4" s="31" t="s">
        <v>262</v>
      </c>
      <c r="E4" s="31" t="s">
        <v>129</v>
      </c>
      <c r="F4" s="31" t="s">
        <v>366</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x14ac:dyDescent="0.25">
      <c r="A5" s="53" t="s">
        <v>141</v>
      </c>
      <c r="B5" s="32">
        <v>46234</v>
      </c>
      <c r="C5" s="31" t="s">
        <v>219</v>
      </c>
      <c r="D5" s="31" t="s">
        <v>262</v>
      </c>
      <c r="E5" s="31" t="s">
        <v>129</v>
      </c>
      <c r="F5" s="31" t="s">
        <v>367</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x14ac:dyDescent="0.25">
      <c r="A6" s="53" t="s">
        <v>135</v>
      </c>
      <c r="B6" s="32">
        <v>46239</v>
      </c>
      <c r="C6" s="31" t="s">
        <v>219</v>
      </c>
      <c r="D6" s="31" t="s">
        <v>262</v>
      </c>
      <c r="E6" s="31" t="s">
        <v>129</v>
      </c>
      <c r="F6" s="31" t="s">
        <v>368</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x14ac:dyDescent="0.25">
      <c r="A7" s="53" t="s">
        <v>135</v>
      </c>
      <c r="B7" s="32">
        <v>46246</v>
      </c>
      <c r="C7" s="31" t="s">
        <v>219</v>
      </c>
      <c r="D7" s="31" t="s">
        <v>262</v>
      </c>
      <c r="E7" s="31" t="s">
        <v>129</v>
      </c>
      <c r="F7" s="31" t="s">
        <v>369</v>
      </c>
      <c r="G7" s="31" t="s">
        <v>50</v>
      </c>
      <c r="H7" s="32" t="s">
        <v>65</v>
      </c>
      <c r="I7" s="32"/>
      <c r="J7" s="32">
        <v>46251</v>
      </c>
      <c r="K7" s="31"/>
      <c r="L7" s="31"/>
      <c r="M7" s="3" t="str">
        <f t="shared" ca="1" si="4"/>
        <v>Fixed</v>
      </c>
      <c r="N7" t="s">
        <v>370</v>
      </c>
      <c r="P7" t="str">
        <f>'Combined Delivery Data'!B10</f>
        <v>RPT_04_Rechecks Completed less than 14 days</v>
      </c>
      <c r="Q7">
        <f t="shared" si="0"/>
        <v>0</v>
      </c>
      <c r="R7">
        <f t="shared" si="1"/>
        <v>0</v>
      </c>
      <c r="S7" s="28" t="str">
        <f t="shared" si="2"/>
        <v/>
      </c>
      <c r="T7" t="str">
        <f t="shared" si="3"/>
        <v/>
      </c>
    </row>
    <row r="8" spans="1:20" x14ac:dyDescent="0.25">
      <c r="A8" s="31" t="s">
        <v>153</v>
      </c>
      <c r="B8" s="32">
        <v>46251</v>
      </c>
      <c r="C8" s="31" t="s">
        <v>219</v>
      </c>
      <c r="D8" s="31" t="s">
        <v>262</v>
      </c>
      <c r="E8" s="31" t="s">
        <v>144</v>
      </c>
      <c r="F8" s="31" t="s">
        <v>371</v>
      </c>
      <c r="G8" s="31" t="s">
        <v>50</v>
      </c>
      <c r="H8" s="32" t="s">
        <v>155</v>
      </c>
      <c r="I8" s="32"/>
      <c r="J8" s="32">
        <v>46254</v>
      </c>
      <c r="K8" s="31"/>
      <c r="L8" s="31"/>
      <c r="M8" s="3" t="str">
        <f t="shared" ca="1" si="4"/>
        <v>Fixed</v>
      </c>
      <c r="N8" t="s">
        <v>370</v>
      </c>
      <c r="P8" t="str">
        <f>'Combined Delivery Data'!B11</f>
        <v>RPT_04_SEI Leak Activity</v>
      </c>
      <c r="Q8">
        <f t="shared" si="0"/>
        <v>0</v>
      </c>
      <c r="R8">
        <f t="shared" si="1"/>
        <v>0</v>
      </c>
      <c r="S8" s="28" t="str">
        <f t="shared" si="2"/>
        <v/>
      </c>
      <c r="T8" t="str">
        <f t="shared" si="3"/>
        <v/>
      </c>
    </row>
    <row r="9" spans="1:20" x14ac:dyDescent="0.25">
      <c r="A9" s="31" t="s">
        <v>143</v>
      </c>
      <c r="B9" s="32">
        <v>46237</v>
      </c>
      <c r="C9" s="31" t="s">
        <v>219</v>
      </c>
      <c r="D9" s="31" t="s">
        <v>262</v>
      </c>
      <c r="E9" s="31" t="s">
        <v>144</v>
      </c>
      <c r="F9" s="31" t="s">
        <v>364</v>
      </c>
      <c r="G9" s="31" t="s">
        <v>50</v>
      </c>
      <c r="H9" s="32" t="s">
        <v>84</v>
      </c>
      <c r="I9" s="32"/>
      <c r="J9" s="32">
        <v>46252</v>
      </c>
      <c r="K9" s="31"/>
      <c r="L9" s="31"/>
      <c r="M9" s="3" t="str">
        <f t="shared" ca="1" si="4"/>
        <v>Fixed</v>
      </c>
      <c r="N9" t="s">
        <v>370</v>
      </c>
      <c r="P9" t="str">
        <f>'Combined Delivery Data'!B12</f>
        <v>RPT_04_CMS Leak Productivity</v>
      </c>
      <c r="Q9">
        <f t="shared" si="0"/>
        <v>0</v>
      </c>
      <c r="R9">
        <f t="shared" si="1"/>
        <v>0</v>
      </c>
      <c r="S9" s="28" t="str">
        <f t="shared" si="2"/>
        <v/>
      </c>
      <c r="T9" t="str">
        <f t="shared" si="3"/>
        <v/>
      </c>
    </row>
    <row r="10" spans="1:20" x14ac:dyDescent="0.25">
      <c r="A10" s="53" t="s">
        <v>135</v>
      </c>
      <c r="B10" s="32">
        <v>46254</v>
      </c>
      <c r="C10" s="31" t="s">
        <v>219</v>
      </c>
      <c r="D10" s="31" t="s">
        <v>262</v>
      </c>
      <c r="E10" s="31" t="s">
        <v>129</v>
      </c>
      <c r="F10" s="31" t="s">
        <v>366</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x14ac:dyDescent="0.25">
      <c r="A11" s="53" t="s">
        <v>150</v>
      </c>
      <c r="B11" s="32">
        <v>46254</v>
      </c>
      <c r="C11" s="31" t="s">
        <v>219</v>
      </c>
      <c r="D11" s="31" t="s">
        <v>262</v>
      </c>
      <c r="E11" s="31" t="s">
        <v>144</v>
      </c>
      <c r="F11" s="31" t="s">
        <v>372</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373</v>
      </c>
      <c r="P11" t="str">
        <f>'Combined Delivery Data'!B14</f>
        <v>RPT_04_Leak Summary Status</v>
      </c>
      <c r="Q11">
        <f t="shared" si="0"/>
        <v>0</v>
      </c>
      <c r="R11">
        <f t="shared" si="1"/>
        <v>0</v>
      </c>
      <c r="S11" s="28" t="str">
        <f t="shared" si="2"/>
        <v/>
      </c>
      <c r="T11" t="str">
        <f t="shared" si="3"/>
        <v/>
      </c>
    </row>
    <row r="12" spans="1:20" x14ac:dyDescent="0.25">
      <c r="A12" s="53" t="s">
        <v>139</v>
      </c>
      <c r="B12" s="32">
        <v>46258</v>
      </c>
      <c r="C12" s="31" t="s">
        <v>219</v>
      </c>
      <c r="D12" s="31" t="s">
        <v>262</v>
      </c>
      <c r="E12" s="31" t="s">
        <v>129</v>
      </c>
      <c r="F12" s="31" t="s">
        <v>374</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x14ac:dyDescent="0.25">
      <c r="A13" s="31" t="s">
        <v>146</v>
      </c>
      <c r="B13" s="32">
        <v>46258</v>
      </c>
      <c r="C13" s="31" t="s">
        <v>219</v>
      </c>
      <c r="D13" s="31" t="s">
        <v>204</v>
      </c>
      <c r="E13" s="31" t="s">
        <v>144</v>
      </c>
      <c r="F13" s="31" t="s">
        <v>375</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x14ac:dyDescent="0.25">
      <c r="A14" s="31" t="s">
        <v>156</v>
      </c>
      <c r="B14" s="32">
        <v>46258</v>
      </c>
      <c r="C14" s="31" t="s">
        <v>219</v>
      </c>
      <c r="D14" s="31" t="s">
        <v>204</v>
      </c>
      <c r="E14" s="31" t="s">
        <v>144</v>
      </c>
      <c r="F14" s="31" t="s">
        <v>376</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x14ac:dyDescent="0.25">
      <c r="A15" s="31" t="s">
        <v>149</v>
      </c>
      <c r="B15" s="32">
        <v>46258</v>
      </c>
      <c r="C15" s="31" t="s">
        <v>219</v>
      </c>
      <c r="D15" s="31" t="s">
        <v>262</v>
      </c>
      <c r="E15" s="31" t="s">
        <v>144</v>
      </c>
      <c r="F15" s="31" t="s">
        <v>377</v>
      </c>
      <c r="G15" s="31" t="s">
        <v>50</v>
      </c>
      <c r="H15" s="32" t="s">
        <v>65</v>
      </c>
      <c r="I15" s="32"/>
      <c r="J15" s="32">
        <v>46258</v>
      </c>
      <c r="K15" s="31"/>
      <c r="L15" s="31"/>
      <c r="M15" s="3" t="str">
        <f t="shared" ca="1" si="4"/>
        <v>Fixed</v>
      </c>
      <c r="N15" t="s">
        <v>373</v>
      </c>
      <c r="P15" t="str">
        <f>'Combined Delivery Data'!B10</f>
        <v>RPT_04_Rechecks Completed less than 14 days</v>
      </c>
      <c r="Q15">
        <f t="shared" si="0"/>
        <v>0</v>
      </c>
      <c r="R15">
        <f t="shared" si="1"/>
        <v>0</v>
      </c>
      <c r="S15" s="28" t="str">
        <f t="shared" si="2"/>
        <v/>
      </c>
      <c r="T15" t="str">
        <f t="shared" si="3"/>
        <v/>
      </c>
    </row>
    <row r="16" spans="1:20" x14ac:dyDescent="0.25">
      <c r="A16" s="31" t="s">
        <v>146</v>
      </c>
      <c r="B16" s="32">
        <v>46260</v>
      </c>
      <c r="C16" s="31" t="s">
        <v>219</v>
      </c>
      <c r="D16" s="31" t="s">
        <v>204</v>
      </c>
      <c r="E16" s="31" t="s">
        <v>144</v>
      </c>
      <c r="F16" s="31" t="s">
        <v>378</v>
      </c>
      <c r="G16" s="31" t="s">
        <v>50</v>
      </c>
      <c r="H16" s="32" t="s">
        <v>46</v>
      </c>
      <c r="I16" s="32"/>
      <c r="J16" s="32"/>
      <c r="K16" s="31"/>
      <c r="L16" s="31"/>
      <c r="M16" s="3"/>
      <c r="S16" s="28"/>
    </row>
    <row r="17" spans="1:20" x14ac:dyDescent="0.25">
      <c r="A17" s="33" t="s">
        <v>181</v>
      </c>
      <c r="B17" s="32">
        <v>46261</v>
      </c>
      <c r="C17" s="31" t="s">
        <v>219</v>
      </c>
      <c r="D17" s="31" t="s">
        <v>262</v>
      </c>
      <c r="E17" s="31" t="s">
        <v>129</v>
      </c>
      <c r="F17" s="31" t="s">
        <v>379</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x14ac:dyDescent="0.25">
      <c r="A18" s="31" t="s">
        <v>146</v>
      </c>
      <c r="B18" s="32">
        <v>46262</v>
      </c>
      <c r="C18" s="31" t="s">
        <v>219</v>
      </c>
      <c r="D18" s="31" t="s">
        <v>204</v>
      </c>
      <c r="E18" s="31" t="s">
        <v>144</v>
      </c>
      <c r="F18" s="31" t="s">
        <v>380</v>
      </c>
      <c r="G18" s="31" t="s">
        <v>50</v>
      </c>
      <c r="H18" s="32" t="s">
        <v>46</v>
      </c>
      <c r="I18" s="32"/>
      <c r="J18" s="32">
        <v>46266</v>
      </c>
      <c r="K18" s="31"/>
      <c r="L18" s="31"/>
      <c r="M18" s="3" t="str">
        <f t="shared" ca="1" si="4"/>
        <v>Fixed</v>
      </c>
      <c r="N18" t="s">
        <v>370</v>
      </c>
      <c r="P18" t="str">
        <f>'Combined Delivery Data'!B13</f>
        <v>RPT_04_Main Break Corrosion and Leak Cluster</v>
      </c>
      <c r="Q18">
        <f t="shared" si="5"/>
        <v>0</v>
      </c>
      <c r="R18">
        <f t="shared" si="6"/>
        <v>0</v>
      </c>
      <c r="S18" s="28" t="str">
        <f t="shared" si="7"/>
        <v/>
      </c>
      <c r="T18" t="str">
        <f t="shared" si="8"/>
        <v/>
      </c>
    </row>
    <row r="19" spans="1:20" x14ac:dyDescent="0.25">
      <c r="A19" s="31" t="s">
        <v>173</v>
      </c>
      <c r="B19" s="32">
        <v>46265</v>
      </c>
      <c r="C19" s="31" t="s">
        <v>219</v>
      </c>
      <c r="D19" s="31" t="s">
        <v>204</v>
      </c>
      <c r="E19" s="31" t="s">
        <v>47</v>
      </c>
      <c r="F19" s="31" t="s">
        <v>381</v>
      </c>
      <c r="G19" s="31" t="s">
        <v>50</v>
      </c>
      <c r="H19" s="32" t="s">
        <v>77</v>
      </c>
      <c r="I19" s="32">
        <v>46265</v>
      </c>
      <c r="J19" s="32">
        <v>46265</v>
      </c>
      <c r="K19" s="31" t="s">
        <v>77</v>
      </c>
      <c r="L19" s="31" t="s">
        <v>382</v>
      </c>
      <c r="M19" s="3" t="str">
        <f t="shared" ca="1" si="4"/>
        <v>Fixed</v>
      </c>
      <c r="N19" t="s">
        <v>373</v>
      </c>
      <c r="P19" t="str">
        <f>'Combined Delivery Data'!B14</f>
        <v>RPT_04_Leak Summary Status</v>
      </c>
      <c r="Q19">
        <f t="shared" si="5"/>
        <v>0</v>
      </c>
      <c r="R19">
        <f t="shared" si="6"/>
        <v>0</v>
      </c>
      <c r="S19" s="28" t="str">
        <f t="shared" si="7"/>
        <v/>
      </c>
      <c r="T19" t="str">
        <f t="shared" si="8"/>
        <v/>
      </c>
    </row>
    <row r="20" spans="1:20" x14ac:dyDescent="0.25">
      <c r="A20" s="31" t="s">
        <v>175</v>
      </c>
      <c r="B20" s="32">
        <v>46265</v>
      </c>
      <c r="C20" s="31" t="s">
        <v>219</v>
      </c>
      <c r="D20" s="31" t="s">
        <v>262</v>
      </c>
      <c r="E20" s="31" t="s">
        <v>47</v>
      </c>
      <c r="F20" s="31" t="s">
        <v>383</v>
      </c>
      <c r="G20" s="31" t="s">
        <v>50</v>
      </c>
      <c r="H20" s="32" t="s">
        <v>84</v>
      </c>
      <c r="I20" s="32">
        <v>46266</v>
      </c>
      <c r="J20" s="32">
        <v>46266</v>
      </c>
      <c r="K20" s="31"/>
      <c r="L20" s="31" t="s">
        <v>384</v>
      </c>
      <c r="M20" s="3" t="str">
        <f t="shared" ca="1" si="4"/>
        <v>Fixed</v>
      </c>
      <c r="N20" t="s">
        <v>50</v>
      </c>
      <c r="P20" t="str">
        <f>'Combined Delivery Data'!B15</f>
        <v>RPT_04_PSC Leak Printout</v>
      </c>
      <c r="Q20">
        <f t="shared" si="5"/>
        <v>0</v>
      </c>
      <c r="R20">
        <f t="shared" si="6"/>
        <v>0</v>
      </c>
      <c r="S20" s="28" t="str">
        <f t="shared" si="7"/>
        <v/>
      </c>
      <c r="T20" t="str">
        <f t="shared" si="8"/>
        <v/>
      </c>
    </row>
    <row r="21" spans="1:20" x14ac:dyDescent="0.25">
      <c r="A21" s="53" t="s">
        <v>139</v>
      </c>
      <c r="B21" s="32">
        <v>46265</v>
      </c>
      <c r="C21" s="31" t="s">
        <v>219</v>
      </c>
      <c r="D21" s="31" t="s">
        <v>262</v>
      </c>
      <c r="E21" s="31" t="s">
        <v>129</v>
      </c>
      <c r="F21" s="31" t="s">
        <v>385</v>
      </c>
      <c r="G21" s="31" t="s">
        <v>50</v>
      </c>
      <c r="H21" s="32" t="s">
        <v>59</v>
      </c>
      <c r="I21" s="32"/>
      <c r="J21" s="32">
        <v>46266</v>
      </c>
      <c r="K21" s="31" t="s">
        <v>59</v>
      </c>
      <c r="L21" s="31"/>
      <c r="M21" s="3" t="str">
        <f t="shared" ca="1" si="4"/>
        <v>Fixed</v>
      </c>
      <c r="N21" t="s">
        <v>373</v>
      </c>
      <c r="P21" t="str">
        <f>'Combined Delivery Data'!B21</f>
        <v>RPT_04_Leak Life Cycle</v>
      </c>
      <c r="Q21">
        <f t="shared" si="5"/>
        <v>0</v>
      </c>
      <c r="R21">
        <f t="shared" si="6"/>
        <v>0</v>
      </c>
      <c r="S21" s="28" t="str">
        <f t="shared" si="7"/>
        <v/>
      </c>
      <c r="T21" t="str">
        <f t="shared" si="8"/>
        <v/>
      </c>
    </row>
    <row r="22" spans="1:20" x14ac:dyDescent="0.25">
      <c r="A22" s="31" t="s">
        <v>169</v>
      </c>
      <c r="B22" s="32">
        <v>46266</v>
      </c>
      <c r="C22" s="31" t="s">
        <v>219</v>
      </c>
      <c r="D22" s="31" t="s">
        <v>204</v>
      </c>
      <c r="E22" s="31" t="s">
        <v>47</v>
      </c>
      <c r="F22" s="31" t="s">
        <v>386</v>
      </c>
      <c r="G22" s="31" t="s">
        <v>50</v>
      </c>
      <c r="H22" s="32" t="s">
        <v>46</v>
      </c>
      <c r="I22" s="32">
        <v>46267</v>
      </c>
      <c r="J22" s="32">
        <v>46268</v>
      </c>
      <c r="K22" s="31" t="s">
        <v>46</v>
      </c>
      <c r="L22" s="31" t="s">
        <v>384</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x14ac:dyDescent="0.25">
      <c r="A23" s="31" t="s">
        <v>169</v>
      </c>
      <c r="B23" s="32">
        <v>46266</v>
      </c>
      <c r="C23" s="31" t="s">
        <v>219</v>
      </c>
      <c r="D23" s="31" t="s">
        <v>204</v>
      </c>
      <c r="E23" s="31" t="s">
        <v>47</v>
      </c>
      <c r="F23" s="31" t="s">
        <v>387</v>
      </c>
      <c r="G23" s="31" t="s">
        <v>50</v>
      </c>
      <c r="H23" s="32" t="s">
        <v>46</v>
      </c>
      <c r="I23" s="167">
        <v>46267</v>
      </c>
      <c r="J23" s="32">
        <v>46268</v>
      </c>
      <c r="K23" s="31" t="s">
        <v>46</v>
      </c>
      <c r="L23" s="31" t="s">
        <v>384</v>
      </c>
      <c r="M23" s="3" t="str">
        <f t="shared" ca="1" si="4"/>
        <v>Fixed</v>
      </c>
      <c r="N23" t="s">
        <v>373</v>
      </c>
      <c r="P23" t="str">
        <f>'Combined Delivery Data'!B23</f>
        <v>RPT_04_Leak Increase Reads</v>
      </c>
      <c r="Q23">
        <f t="shared" si="5"/>
        <v>0</v>
      </c>
      <c r="R23">
        <f t="shared" si="6"/>
        <v>0</v>
      </c>
      <c r="S23" s="28" t="str">
        <f t="shared" si="7"/>
        <v/>
      </c>
      <c r="T23" t="str">
        <f t="shared" si="8"/>
        <v/>
      </c>
    </row>
    <row r="24" spans="1:20" ht="30" customHeight="1" x14ac:dyDescent="0.25">
      <c r="A24" s="31" t="s">
        <v>169</v>
      </c>
      <c r="B24" s="32">
        <v>46267</v>
      </c>
      <c r="C24" s="31" t="s">
        <v>219</v>
      </c>
      <c r="D24" s="31" t="s">
        <v>204</v>
      </c>
      <c r="E24" s="31" t="s">
        <v>47</v>
      </c>
      <c r="F24" s="76" t="s">
        <v>388</v>
      </c>
      <c r="G24" s="31" t="s">
        <v>50</v>
      </c>
      <c r="H24" s="32" t="s">
        <v>46</v>
      </c>
      <c r="I24" s="32">
        <v>46267</v>
      </c>
      <c r="J24" s="32">
        <v>46268</v>
      </c>
      <c r="K24" s="31" t="s">
        <v>46</v>
      </c>
      <c r="L24" s="31" t="s">
        <v>384</v>
      </c>
      <c r="M24" s="3" t="str">
        <f t="shared" ca="1" si="4"/>
        <v>Fixed</v>
      </c>
      <c r="N24" s="33" t="s">
        <v>373</v>
      </c>
      <c r="P24" t="str">
        <f>'Combined Delivery Data'!B24</f>
        <v>Leak 360 Dashboard</v>
      </c>
      <c r="Q24">
        <f t="shared" si="5"/>
        <v>0</v>
      </c>
      <c r="R24">
        <f t="shared" si="6"/>
        <v>0</v>
      </c>
      <c r="S24" s="28" t="str">
        <f t="shared" si="7"/>
        <v/>
      </c>
      <c r="T24" t="str">
        <f t="shared" si="8"/>
        <v/>
      </c>
    </row>
    <row r="25" spans="1:20" x14ac:dyDescent="0.25">
      <c r="A25" s="53" t="s">
        <v>186</v>
      </c>
      <c r="B25" s="32">
        <v>46267</v>
      </c>
      <c r="C25" s="31" t="s">
        <v>219</v>
      </c>
      <c r="D25" s="31" t="s">
        <v>204</v>
      </c>
      <c r="E25" s="31" t="s">
        <v>129</v>
      </c>
      <c r="F25" s="31" t="s">
        <v>389</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x14ac:dyDescent="0.25">
      <c r="A26" s="53" t="s">
        <v>181</v>
      </c>
      <c r="B26" s="32">
        <v>46267</v>
      </c>
      <c r="C26" s="31" t="s">
        <v>219</v>
      </c>
      <c r="D26" s="31" t="s">
        <v>262</v>
      </c>
      <c r="E26" s="31" t="s">
        <v>129</v>
      </c>
      <c r="F26" s="31" t="s">
        <v>379</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373</v>
      </c>
      <c r="P26" t="str">
        <f>'Combined Delivery Data'!B26</f>
        <v>RPT_04_Main_Replacement Report</v>
      </c>
      <c r="Q26">
        <f t="shared" si="5"/>
        <v>0</v>
      </c>
      <c r="R26">
        <f t="shared" si="6"/>
        <v>0</v>
      </c>
      <c r="S26" s="28" t="str">
        <f t="shared" si="7"/>
        <v/>
      </c>
      <c r="T26" t="str">
        <f t="shared" si="8"/>
        <v/>
      </c>
    </row>
    <row r="27" spans="1:20" x14ac:dyDescent="0.25">
      <c r="A27" s="31" t="s">
        <v>156</v>
      </c>
      <c r="B27" s="32">
        <v>46267</v>
      </c>
      <c r="C27" s="31" t="s">
        <v>219</v>
      </c>
      <c r="D27" s="31" t="s">
        <v>204</v>
      </c>
      <c r="E27" s="31" t="s">
        <v>144</v>
      </c>
      <c r="F27" s="31" t="s">
        <v>390</v>
      </c>
      <c r="G27" s="31" t="s">
        <v>50</v>
      </c>
      <c r="H27" s="32" t="s">
        <v>77</v>
      </c>
      <c r="I27" s="32"/>
      <c r="J27" s="32">
        <v>46267</v>
      </c>
      <c r="K27" s="31" t="s">
        <v>77</v>
      </c>
      <c r="L27" s="31" t="s">
        <v>391</v>
      </c>
      <c r="M27" s="3" t="str">
        <f t="shared" ca="1" si="4"/>
        <v>Fixed</v>
      </c>
      <c r="N27" t="s">
        <v>373</v>
      </c>
      <c r="P27" t="str">
        <f>'Combined Delivery Data'!B27</f>
        <v>New Report: Leak Repair Exception</v>
      </c>
      <c r="Q27">
        <f t="shared" si="5"/>
        <v>0</v>
      </c>
      <c r="R27">
        <f t="shared" si="6"/>
        <v>0</v>
      </c>
      <c r="S27" s="28" t="str">
        <f t="shared" si="7"/>
        <v/>
      </c>
      <c r="T27" t="str">
        <f t="shared" si="8"/>
        <v/>
      </c>
    </row>
    <row r="28" spans="1:20" x14ac:dyDescent="0.25">
      <c r="A28" s="31" t="s">
        <v>137</v>
      </c>
      <c r="B28" s="32">
        <v>46267</v>
      </c>
      <c r="C28" s="31" t="s">
        <v>219</v>
      </c>
      <c r="D28" s="31" t="s">
        <v>204</v>
      </c>
      <c r="E28" s="31" t="s">
        <v>129</v>
      </c>
      <c r="F28" s="31" t="s">
        <v>390</v>
      </c>
      <c r="G28" s="31" t="s">
        <v>50</v>
      </c>
      <c r="H28" s="32" t="s">
        <v>77</v>
      </c>
      <c r="I28" s="32"/>
      <c r="J28" s="32">
        <v>46267</v>
      </c>
      <c r="K28" s="31" t="s">
        <v>77</v>
      </c>
      <c r="L28" s="113" t="s">
        <v>391</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x14ac:dyDescent="0.25">
      <c r="A29" s="31" t="s">
        <v>157</v>
      </c>
      <c r="B29" s="32">
        <v>46267</v>
      </c>
      <c r="C29" s="31" t="s">
        <v>219</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x14ac:dyDescent="0.25">
      <c r="A30" s="53" t="s">
        <v>181</v>
      </c>
      <c r="B30" s="32">
        <v>46267</v>
      </c>
      <c r="C30" s="31" t="s">
        <v>219</v>
      </c>
      <c r="D30" s="31" t="s">
        <v>262</v>
      </c>
      <c r="E30" s="31" t="s">
        <v>129</v>
      </c>
      <c r="F30" s="31" t="s">
        <v>392</v>
      </c>
      <c r="G30" s="31" t="s">
        <v>50</v>
      </c>
      <c r="H30" s="32" t="s">
        <v>155</v>
      </c>
      <c r="I30" s="32"/>
      <c r="J30" s="32">
        <v>46267</v>
      </c>
      <c r="K30" s="31" t="s">
        <v>155</v>
      </c>
      <c r="L30" s="31"/>
      <c r="M30" s="3" t="str">
        <f t="shared" ca="1" si="4"/>
        <v>Fixed</v>
      </c>
      <c r="N30" t="s">
        <v>373</v>
      </c>
      <c r="P30" t="str">
        <f>'Combined Delivery Data'!B30</f>
        <v>RPT_02_Warning Tag HEFPA</v>
      </c>
      <c r="Q30">
        <f t="shared" si="5"/>
        <v>3</v>
      </c>
      <c r="R30">
        <f t="shared" si="6"/>
        <v>0</v>
      </c>
      <c r="S30" s="28">
        <f t="shared" si="7"/>
        <v>46254</v>
      </c>
      <c r="T30" t="str">
        <f t="shared" si="8"/>
        <v>QA -&gt; DB Dev</v>
      </c>
    </row>
    <row r="31" spans="1:20" x14ac:dyDescent="0.25">
      <c r="A31" s="31" t="s">
        <v>164</v>
      </c>
      <c r="B31" s="32">
        <v>46268</v>
      </c>
      <c r="C31" s="31" t="s">
        <v>219</v>
      </c>
      <c r="D31" s="31" t="s">
        <v>262</v>
      </c>
      <c r="E31" s="31" t="s">
        <v>47</v>
      </c>
      <c r="F31" s="31" t="s">
        <v>393</v>
      </c>
      <c r="G31" s="31" t="s">
        <v>50</v>
      </c>
      <c r="H31" s="32" t="s">
        <v>103</v>
      </c>
      <c r="I31" s="32">
        <v>46269</v>
      </c>
      <c r="J31" s="32">
        <v>46269</v>
      </c>
      <c r="K31" s="31"/>
      <c r="L31" s="31" t="s">
        <v>384</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x14ac:dyDescent="0.25">
      <c r="A32" s="31" t="s">
        <v>183</v>
      </c>
      <c r="B32" s="32">
        <v>46267</v>
      </c>
      <c r="C32" s="31" t="s">
        <v>219</v>
      </c>
      <c r="D32" s="31" t="s">
        <v>262</v>
      </c>
      <c r="E32" s="31" t="s">
        <v>199</v>
      </c>
      <c r="F32" s="31" t="s">
        <v>394</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x14ac:dyDescent="0.25">
      <c r="A33" s="31" t="s">
        <v>164</v>
      </c>
      <c r="B33" s="32">
        <v>46273</v>
      </c>
      <c r="C33" s="31" t="s">
        <v>219</v>
      </c>
      <c r="D33" s="31" t="s">
        <v>262</v>
      </c>
      <c r="E33" s="31" t="s">
        <v>47</v>
      </c>
      <c r="F33" s="31" t="s">
        <v>395</v>
      </c>
      <c r="G33" s="31" t="s">
        <v>50</v>
      </c>
      <c r="H33" s="32" t="s">
        <v>103</v>
      </c>
      <c r="I33" s="32">
        <v>46274</v>
      </c>
      <c r="J33" s="32">
        <v>46274</v>
      </c>
      <c r="K33" s="31"/>
      <c r="L33" s="31" t="s">
        <v>384</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x14ac:dyDescent="0.25">
      <c r="A34" s="31" t="s">
        <v>192</v>
      </c>
      <c r="B34" s="32">
        <v>46274</v>
      </c>
      <c r="C34" s="31" t="s">
        <v>219</v>
      </c>
      <c r="D34" s="31" t="s">
        <v>204</v>
      </c>
      <c r="E34" s="31" t="s">
        <v>47</v>
      </c>
      <c r="F34" s="76" t="s">
        <v>396</v>
      </c>
      <c r="G34" s="31" t="s">
        <v>50</v>
      </c>
      <c r="H34" s="32" t="s">
        <v>77</v>
      </c>
      <c r="I34" s="32">
        <v>46275</v>
      </c>
      <c r="J34" s="32">
        <v>46275</v>
      </c>
      <c r="K34" s="31" t="s">
        <v>77</v>
      </c>
      <c r="L34" s="31" t="s">
        <v>397</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x14ac:dyDescent="0.25">
      <c r="A35" s="33" t="s">
        <v>181</v>
      </c>
      <c r="B35" s="32">
        <v>46275</v>
      </c>
      <c r="C35" s="31" t="s">
        <v>219</v>
      </c>
      <c r="D35" s="31" t="s">
        <v>262</v>
      </c>
      <c r="E35" s="31" t="s">
        <v>129</v>
      </c>
      <c r="F35" s="31" t="s">
        <v>398</v>
      </c>
      <c r="G35" s="31" t="s">
        <v>50</v>
      </c>
      <c r="H35" s="32" t="s">
        <v>155</v>
      </c>
      <c r="I35" s="32"/>
      <c r="J35" s="32">
        <v>46276</v>
      </c>
      <c r="K35" s="31" t="s">
        <v>155</v>
      </c>
      <c r="L35" s="31"/>
      <c r="M35" s="3" t="str">
        <f t="shared" ca="1" si="4"/>
        <v>Fixed</v>
      </c>
      <c r="N35" t="s">
        <v>373</v>
      </c>
      <c r="P35" t="str">
        <f>'Combined Delivery Data'!B36</f>
        <v>RPT_02_Service Regulator Inspection Printout</v>
      </c>
      <c r="Q35">
        <f t="shared" si="5"/>
        <v>1</v>
      </c>
      <c r="R35">
        <f t="shared" si="6"/>
        <v>0</v>
      </c>
      <c r="S35" s="28">
        <f t="shared" si="7"/>
        <v>46258</v>
      </c>
      <c r="T35" t="str">
        <f t="shared" si="8"/>
        <v>QA -&gt; DB Dev</v>
      </c>
    </row>
    <row r="36" spans="1:20" x14ac:dyDescent="0.25">
      <c r="A36" s="33" t="s">
        <v>186</v>
      </c>
      <c r="B36" s="32">
        <v>46275</v>
      </c>
      <c r="C36" s="31" t="s">
        <v>219</v>
      </c>
      <c r="D36" s="31" t="s">
        <v>262</v>
      </c>
      <c r="E36" s="31" t="s">
        <v>129</v>
      </c>
      <c r="F36" s="31" t="s">
        <v>399</v>
      </c>
      <c r="G36" s="31" t="s">
        <v>53</v>
      </c>
      <c r="H36" s="32" t="s">
        <v>65</v>
      </c>
      <c r="I36" s="32"/>
      <c r="J36" s="32">
        <v>46288</v>
      </c>
      <c r="K36" s="31"/>
      <c r="L36" s="31"/>
      <c r="M36" s="3" t="str">
        <f t="shared" ca="1" si="4"/>
        <v>Fixed</v>
      </c>
      <c r="N36" t="s">
        <v>373</v>
      </c>
      <c r="P36" t="str">
        <f>'Combined Delivery Data'!B37</f>
        <v>RPT_02_20 Year Regulator Inspection</v>
      </c>
      <c r="Q36">
        <f t="shared" si="5"/>
        <v>1</v>
      </c>
      <c r="R36">
        <f t="shared" si="6"/>
        <v>0</v>
      </c>
      <c r="S36" s="28">
        <f t="shared" si="7"/>
        <v>46254</v>
      </c>
      <c r="T36" t="str">
        <f t="shared" si="8"/>
        <v>QA -&gt; DB Dev</v>
      </c>
    </row>
    <row r="37" spans="1:20" x14ac:dyDescent="0.25">
      <c r="A37" s="33" t="s">
        <v>181</v>
      </c>
      <c r="B37" s="32">
        <v>46279</v>
      </c>
      <c r="C37" s="31" t="s">
        <v>219</v>
      </c>
      <c r="D37" s="31" t="s">
        <v>262</v>
      </c>
      <c r="E37" s="31" t="s">
        <v>129</v>
      </c>
      <c r="F37" s="31" t="s">
        <v>400</v>
      </c>
      <c r="G37" s="31" t="s">
        <v>50</v>
      </c>
      <c r="H37" s="32" t="s">
        <v>155</v>
      </c>
      <c r="I37" s="32">
        <v>46282</v>
      </c>
      <c r="J37" s="32">
        <v>46282</v>
      </c>
      <c r="K37" s="31" t="s">
        <v>155</v>
      </c>
      <c r="L37" s="31" t="s">
        <v>401</v>
      </c>
      <c r="M37" s="3" t="str">
        <f t="shared" ca="1" si="4"/>
        <v>Fixed</v>
      </c>
      <c r="N37" t="s">
        <v>373</v>
      </c>
      <c r="P37" t="str">
        <f>'Combined Delivery Data'!B38</f>
        <v>RPT_02_Fixed Factor</v>
      </c>
      <c r="Q37">
        <f t="shared" si="5"/>
        <v>2</v>
      </c>
      <c r="R37">
        <f t="shared" si="6"/>
        <v>0</v>
      </c>
      <c r="S37" s="28">
        <f t="shared" si="7"/>
        <v>46251</v>
      </c>
      <c r="T37" t="str">
        <f t="shared" si="8"/>
        <v>QA -&gt; DB Dev</v>
      </c>
    </row>
    <row r="38" spans="1:20" x14ac:dyDescent="0.25">
      <c r="A38" s="31" t="s">
        <v>189</v>
      </c>
      <c r="B38" s="32">
        <v>46279</v>
      </c>
      <c r="C38" s="31" t="s">
        <v>219</v>
      </c>
      <c r="D38" s="31" t="s">
        <v>204</v>
      </c>
      <c r="E38" s="31" t="s">
        <v>144</v>
      </c>
      <c r="F38" s="31" t="s">
        <v>402</v>
      </c>
      <c r="G38" s="31" t="s">
        <v>50</v>
      </c>
      <c r="H38" s="32" t="s">
        <v>77</v>
      </c>
      <c r="I38" s="32">
        <v>46281</v>
      </c>
      <c r="J38" s="32">
        <v>46281</v>
      </c>
      <c r="K38" s="31" t="s">
        <v>77</v>
      </c>
      <c r="L38" s="31" t="s">
        <v>403</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x14ac:dyDescent="0.25">
      <c r="A39" s="31" t="s">
        <v>207</v>
      </c>
      <c r="B39" s="32">
        <v>46280</v>
      </c>
      <c r="C39" s="31" t="s">
        <v>219</v>
      </c>
      <c r="D39" s="31" t="s">
        <v>262</v>
      </c>
      <c r="E39" s="31" t="s">
        <v>47</v>
      </c>
      <c r="F39" s="31" t="s">
        <v>404</v>
      </c>
      <c r="G39" s="31" t="s">
        <v>50</v>
      </c>
      <c r="H39" s="32" t="s">
        <v>44</v>
      </c>
      <c r="I39" s="32">
        <v>46283</v>
      </c>
      <c r="J39" s="32">
        <v>46283</v>
      </c>
      <c r="K39" s="31"/>
      <c r="L39" s="31" t="s">
        <v>405</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x14ac:dyDescent="0.25">
      <c r="A40" s="31" t="s">
        <v>202</v>
      </c>
      <c r="B40" s="32">
        <v>46281</v>
      </c>
      <c r="C40" s="31" t="s">
        <v>219</v>
      </c>
      <c r="D40" s="31" t="s">
        <v>204</v>
      </c>
      <c r="E40" s="31" t="s">
        <v>199</v>
      </c>
      <c r="F40" s="31" t="s">
        <v>406</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x14ac:dyDescent="0.25">
      <c r="A41" s="31" t="s">
        <v>209</v>
      </c>
      <c r="B41" s="32">
        <v>46282</v>
      </c>
      <c r="C41" s="31" t="s">
        <v>219</v>
      </c>
      <c r="D41" s="31" t="s">
        <v>262</v>
      </c>
      <c r="E41" s="31" t="s">
        <v>47</v>
      </c>
      <c r="F41" s="31" t="s">
        <v>407</v>
      </c>
      <c r="G41" s="31" t="s">
        <v>50</v>
      </c>
      <c r="H41" s="32" t="s">
        <v>155</v>
      </c>
      <c r="I41" s="32">
        <v>46282</v>
      </c>
      <c r="J41" s="32">
        <v>46282</v>
      </c>
      <c r="K41" s="31"/>
      <c r="L41" s="31" t="s">
        <v>408</v>
      </c>
      <c r="M41" s="3" t="str">
        <f t="shared" ca="1" si="4"/>
        <v>Fixed</v>
      </c>
      <c r="P41" t="str">
        <f>'Combined Delivery Data'!B42</f>
        <v>RPT_02_GRO Monitor</v>
      </c>
      <c r="Q41">
        <f t="shared" si="5"/>
        <v>0</v>
      </c>
      <c r="R41">
        <f t="shared" si="6"/>
        <v>0</v>
      </c>
      <c r="S41" s="28" t="str">
        <f t="shared" si="7"/>
        <v/>
      </c>
      <c r="T41" t="str">
        <f t="shared" si="8"/>
        <v/>
      </c>
    </row>
    <row r="42" spans="1:20" x14ac:dyDescent="0.25">
      <c r="A42" s="33" t="s">
        <v>211</v>
      </c>
      <c r="B42" s="32">
        <v>46287</v>
      </c>
      <c r="C42" s="31" t="s">
        <v>219</v>
      </c>
      <c r="D42" s="31" t="s">
        <v>262</v>
      </c>
      <c r="E42" s="31" t="s">
        <v>129</v>
      </c>
      <c r="F42" s="31" t="s">
        <v>409</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x14ac:dyDescent="0.25">
      <c r="A43" s="31" t="s">
        <v>164</v>
      </c>
      <c r="B43" s="32">
        <v>46288</v>
      </c>
      <c r="C43" s="31" t="s">
        <v>182</v>
      </c>
      <c r="D43" s="31" t="s">
        <v>204</v>
      </c>
      <c r="E43" s="31" t="s">
        <v>144</v>
      </c>
      <c r="F43" s="31" t="s">
        <v>410</v>
      </c>
      <c r="G43" s="31" t="s">
        <v>50</v>
      </c>
      <c r="H43" s="32" t="s">
        <v>60</v>
      </c>
      <c r="I43" s="32">
        <v>46294</v>
      </c>
      <c r="J43" s="32">
        <v>46295</v>
      </c>
      <c r="K43" s="31" t="s">
        <v>60</v>
      </c>
      <c r="L43" s="31" t="s">
        <v>411</v>
      </c>
      <c r="M43" s="3" t="str">
        <f t="shared" ca="1" si="4"/>
        <v>Fixed</v>
      </c>
      <c r="N43" t="s">
        <v>373</v>
      </c>
      <c r="P43" t="str">
        <f>'Combined Delivery Data'!B44</f>
        <v>RPT_02_Investigate Wall Check and Service Check</v>
      </c>
      <c r="Q43">
        <f t="shared" si="5"/>
        <v>3</v>
      </c>
      <c r="R43">
        <f t="shared" si="6"/>
        <v>0</v>
      </c>
      <c r="S43" s="28">
        <f t="shared" si="7"/>
        <v>46267</v>
      </c>
      <c r="T43" t="str">
        <f t="shared" si="8"/>
        <v>QA -&gt; PBI Dev</v>
      </c>
    </row>
    <row r="44" spans="1:20" x14ac:dyDescent="0.25">
      <c r="A44" s="33" t="s">
        <v>223</v>
      </c>
      <c r="B44" s="32">
        <v>46295</v>
      </c>
      <c r="C44" s="31" t="s">
        <v>219</v>
      </c>
      <c r="D44" s="31" t="s">
        <v>262</v>
      </c>
      <c r="E44" s="31" t="s">
        <v>129</v>
      </c>
      <c r="F44" s="31" t="s">
        <v>412</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x14ac:dyDescent="0.25">
      <c r="A45" s="33" t="s">
        <v>216</v>
      </c>
      <c r="B45" s="32">
        <v>46297</v>
      </c>
      <c r="C45" s="31" t="s">
        <v>219</v>
      </c>
      <c r="D45" s="31" t="s">
        <v>262</v>
      </c>
      <c r="E45" s="31" t="s">
        <v>199</v>
      </c>
      <c r="F45" s="31" t="s">
        <v>413</v>
      </c>
      <c r="G45" s="31" t="s">
        <v>50</v>
      </c>
      <c r="H45" s="32" t="s">
        <v>84</v>
      </c>
      <c r="I45" s="32"/>
      <c r="J45" s="32">
        <v>46300</v>
      </c>
      <c r="K45" s="31" t="s">
        <v>84</v>
      </c>
      <c r="L45" s="31"/>
      <c r="M45" s="3" t="s">
        <v>414</v>
      </c>
      <c r="N45" t="s">
        <v>50</v>
      </c>
      <c r="S45" s="28"/>
    </row>
    <row r="46" spans="1:20" x14ac:dyDescent="0.25">
      <c r="A46" s="31"/>
      <c r="B46" s="32"/>
      <c r="C46" s="31" t="s">
        <v>219</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x14ac:dyDescent="0.25">
      <c r="A47" s="31"/>
      <c r="B47" s="32"/>
      <c r="C47" s="31" t="s">
        <v>219</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x14ac:dyDescent="0.25">
      <c r="A48" s="31"/>
      <c r="B48" s="32"/>
      <c r="C48" s="31" t="s">
        <v>219</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x14ac:dyDescent="0.25">
      <c r="A49" s="31"/>
      <c r="B49" s="32"/>
      <c r="C49" s="31" t="s">
        <v>219</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x14ac:dyDescent="0.25">
      <c r="A50" s="31"/>
      <c r="B50" s="32"/>
      <c r="C50" s="31" t="s">
        <v>219</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x14ac:dyDescent="0.25">
      <c r="A51" s="31"/>
      <c r="B51" s="32"/>
      <c r="C51" s="31" t="s">
        <v>219</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x14ac:dyDescent="0.25">
      <c r="A52" s="31"/>
      <c r="B52" s="32"/>
      <c r="C52" s="31" t="s">
        <v>219</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x14ac:dyDescent="0.25">
      <c r="A53" s="31"/>
      <c r="B53" s="32"/>
      <c r="C53" s="31" t="s">
        <v>219</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x14ac:dyDescent="0.25">
      <c r="A54" s="31"/>
      <c r="B54" s="32"/>
      <c r="C54" s="31" t="s">
        <v>219</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x14ac:dyDescent="0.25">
      <c r="A55" s="31"/>
      <c r="B55" s="32"/>
      <c r="C55" s="31" t="s">
        <v>219</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x14ac:dyDescent="0.25">
      <c r="A56" s="31"/>
      <c r="B56" s="32"/>
      <c r="C56" s="31" t="s">
        <v>219</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x14ac:dyDescent="0.25">
      <c r="A57" s="31"/>
      <c r="B57" s="32"/>
      <c r="C57" s="31" t="s">
        <v>219</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x14ac:dyDescent="0.25">
      <c r="A58" s="31"/>
      <c r="B58" s="32"/>
      <c r="C58" s="31" t="s">
        <v>219</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x14ac:dyDescent="0.25">
      <c r="A59" s="31"/>
      <c r="B59" s="32"/>
      <c r="C59" s="31" t="s">
        <v>219</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x14ac:dyDescent="0.25">
      <c r="A60" s="31"/>
      <c r="B60" s="32"/>
      <c r="C60" s="31" t="s">
        <v>219</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x14ac:dyDescent="0.25">
      <c r="A61" s="31"/>
      <c r="B61" s="32"/>
      <c r="C61" s="31" t="s">
        <v>219</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x14ac:dyDescent="0.25">
      <c r="A62" s="31"/>
      <c r="B62" s="32"/>
      <c r="C62" s="31" t="s">
        <v>219</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x14ac:dyDescent="0.25">
      <c r="A63" s="31"/>
      <c r="B63" s="32"/>
      <c r="C63" s="31" t="s">
        <v>219</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x14ac:dyDescent="0.25">
      <c r="A64" s="31"/>
      <c r="B64" s="32"/>
      <c r="C64" s="31" t="s">
        <v>219</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x14ac:dyDescent="0.25">
      <c r="A65" s="31"/>
      <c r="B65" s="32"/>
      <c r="C65" s="31" t="s">
        <v>219</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x14ac:dyDescent="0.25">
      <c r="A66" s="31"/>
      <c r="B66" s="32"/>
      <c r="C66" s="31" t="s">
        <v>219</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x14ac:dyDescent="0.25">
      <c r="A67" s="31"/>
      <c r="B67" s="32"/>
      <c r="C67" s="31" t="s">
        <v>219</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x14ac:dyDescent="0.25">
      <c r="A68" s="31"/>
      <c r="B68" s="32"/>
      <c r="C68" s="31" t="s">
        <v>219</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x14ac:dyDescent="0.25">
      <c r="A69" s="31"/>
      <c r="B69" s="32"/>
      <c r="C69" s="31" t="s">
        <v>219</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x14ac:dyDescent="0.25">
      <c r="A70" s="31"/>
      <c r="B70" s="32"/>
      <c r="C70" s="31" t="s">
        <v>219</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x14ac:dyDescent="0.25">
      <c r="A71" s="31"/>
      <c r="B71" s="32"/>
      <c r="C71" s="31" t="s">
        <v>219</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x14ac:dyDescent="0.25">
      <c r="A72" s="31"/>
      <c r="B72" s="32"/>
      <c r="C72" s="31" t="s">
        <v>219</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x14ac:dyDescent="0.25">
      <c r="A73" s="31"/>
      <c r="B73" s="32"/>
      <c r="C73" s="31" t="s">
        <v>219</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x14ac:dyDescent="0.25">
      <c r="A74" s="31"/>
      <c r="B74" s="32"/>
      <c r="C74" s="31" t="s">
        <v>219</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x14ac:dyDescent="0.25">
      <c r="A75" s="31"/>
      <c r="B75" s="32"/>
      <c r="C75" s="31" t="s">
        <v>219</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x14ac:dyDescent="0.25">
      <c r="A76" s="31"/>
      <c r="B76" s="32"/>
      <c r="C76" s="31" t="s">
        <v>219</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x14ac:dyDescent="0.25">
      <c r="A77" s="31"/>
      <c r="B77" s="32"/>
      <c r="C77" s="31" t="s">
        <v>219</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x14ac:dyDescent="0.25">
      <c r="A78" s="31"/>
      <c r="B78" s="32"/>
      <c r="C78" s="31" t="s">
        <v>219</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x14ac:dyDescent="0.25">
      <c r="A79" s="31"/>
      <c r="B79" s="32"/>
      <c r="C79" s="31" t="s">
        <v>219</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x14ac:dyDescent="0.25">
      <c r="A80" s="31"/>
      <c r="B80" s="32"/>
      <c r="C80" s="31" t="s">
        <v>219</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x14ac:dyDescent="0.25">
      <c r="A81" s="31"/>
      <c r="B81" s="32"/>
      <c r="C81" s="31" t="s">
        <v>219</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x14ac:dyDescent="0.25">
      <c r="A82" s="31"/>
      <c r="B82" s="32"/>
      <c r="C82" s="31" t="s">
        <v>219</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x14ac:dyDescent="0.25">
      <c r="A83" s="31"/>
      <c r="B83" s="32"/>
      <c r="C83" s="31" t="s">
        <v>219</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x14ac:dyDescent="0.25">
      <c r="A84" s="31"/>
      <c r="B84" s="32"/>
      <c r="C84" s="31" t="s">
        <v>219</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x14ac:dyDescent="0.25">
      <c r="A85" s="31"/>
      <c r="B85" s="32"/>
      <c r="C85" s="31" t="s">
        <v>219</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x14ac:dyDescent="0.25">
      <c r="A86" s="31"/>
      <c r="B86" s="32"/>
      <c r="C86" s="31" t="s">
        <v>219</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x14ac:dyDescent="0.25">
      <c r="A87" s="31"/>
      <c r="B87" s="32"/>
      <c r="C87" s="31" t="s">
        <v>219</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x14ac:dyDescent="0.25">
      <c r="A88" s="31"/>
      <c r="B88" s="32"/>
      <c r="C88" s="31" t="s">
        <v>219</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x14ac:dyDescent="0.25">
      <c r="A89" s="31"/>
      <c r="B89" s="32"/>
      <c r="C89" s="31" t="s">
        <v>219</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x14ac:dyDescent="0.25">
      <c r="A90" s="31"/>
      <c r="B90" s="32"/>
      <c r="C90" s="31" t="s">
        <v>219</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x14ac:dyDescent="0.25">
      <c r="A91" s="31"/>
      <c r="B91" s="32"/>
      <c r="C91" s="31" t="s">
        <v>219</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x14ac:dyDescent="0.25">
      <c r="A92" s="31"/>
      <c r="B92" s="32"/>
      <c r="C92" s="31" t="s">
        <v>219</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x14ac:dyDescent="0.25">
      <c r="A93" s="31"/>
      <c r="B93" s="32"/>
      <c r="C93" s="31" t="s">
        <v>219</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x14ac:dyDescent="0.25">
      <c r="A94" s="31"/>
      <c r="B94" s="32"/>
      <c r="C94" s="31" t="s">
        <v>219</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x14ac:dyDescent="0.25">
      <c r="A95" s="31"/>
      <c r="B95" s="32"/>
      <c r="C95" s="31" t="s">
        <v>219</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x14ac:dyDescent="0.25">
      <c r="A96" s="31"/>
      <c r="B96" s="32"/>
      <c r="C96" s="31" t="s">
        <v>219</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x14ac:dyDescent="0.25">
      <c r="A97" s="31"/>
      <c r="B97" s="32"/>
      <c r="C97" s="31" t="s">
        <v>219</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x14ac:dyDescent="0.25">
      <c r="A98" s="31"/>
      <c r="B98" s="32"/>
      <c r="C98" s="31" t="s">
        <v>219</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x14ac:dyDescent="0.25">
      <c r="A99" s="31"/>
      <c r="B99" s="32"/>
      <c r="C99" s="31" t="s">
        <v>219</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x14ac:dyDescent="0.25">
      <c r="A100" s="31"/>
      <c r="B100" s="32"/>
      <c r="C100" s="31" t="s">
        <v>219</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x14ac:dyDescent="0.25">
      <c r="A101" s="31"/>
      <c r="B101" s="32"/>
      <c r="C101" s="31" t="s">
        <v>219</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x14ac:dyDescent="0.25">
      <c r="A102" s="31"/>
      <c r="B102" s="32"/>
      <c r="C102" s="31" t="s">
        <v>219</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x14ac:dyDescent="0.25">
      <c r="A103" s="31"/>
      <c r="B103" s="32"/>
      <c r="C103" s="31" t="s">
        <v>219</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x14ac:dyDescent="0.25">
      <c r="A104" s="31"/>
      <c r="B104" s="32"/>
      <c r="C104" s="31" t="s">
        <v>219</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x14ac:dyDescent="0.25">
      <c r="A105" s="31"/>
      <c r="B105" s="32"/>
      <c r="C105" s="31" t="s">
        <v>219</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x14ac:dyDescent="0.25">
      <c r="A106" s="31"/>
      <c r="B106" s="32"/>
      <c r="C106" s="31" t="s">
        <v>219</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x14ac:dyDescent="0.25">
      <c r="A107" s="31"/>
      <c r="B107" s="32"/>
      <c r="C107" s="31" t="s">
        <v>219</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x14ac:dyDescent="0.25">
      <c r="A108" s="31"/>
      <c r="B108" s="32"/>
      <c r="C108" s="31" t="s">
        <v>219</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x14ac:dyDescent="0.25">
      <c r="A109" s="31"/>
      <c r="B109" s="32"/>
      <c r="C109" s="31" t="s">
        <v>219</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x14ac:dyDescent="0.25">
      <c r="A110" s="31"/>
      <c r="B110" s="32"/>
      <c r="C110" s="31" t="s">
        <v>219</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x14ac:dyDescent="0.25">
      <c r="A111" s="31"/>
      <c r="B111" s="32"/>
      <c r="C111" s="31" t="s">
        <v>219</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x14ac:dyDescent="0.25">
      <c r="A112" s="31"/>
      <c r="B112" s="32"/>
      <c r="C112" s="31" t="s">
        <v>219</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x14ac:dyDescent="0.25">
      <c r="A113" s="31"/>
      <c r="B113" s="32"/>
      <c r="C113" s="31" t="s">
        <v>219</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x14ac:dyDescent="0.25">
      <c r="A114" s="31"/>
      <c r="B114" s="32"/>
      <c r="C114" s="31" t="s">
        <v>219</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x14ac:dyDescent="0.25">
      <c r="A115" s="31"/>
      <c r="B115" s="32"/>
      <c r="C115" s="31" t="s">
        <v>219</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x14ac:dyDescent="0.25">
      <c r="A116" s="31"/>
      <c r="B116" s="32"/>
      <c r="C116" s="31" t="s">
        <v>219</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x14ac:dyDescent="0.25">
      <c r="A117" s="31"/>
      <c r="B117" s="32"/>
      <c r="C117" s="31" t="s">
        <v>219</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x14ac:dyDescent="0.25">
      <c r="A118" s="31"/>
      <c r="B118" s="32"/>
      <c r="C118" s="31" t="s">
        <v>219</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x14ac:dyDescent="0.25">
      <c r="A119" s="31"/>
      <c r="B119" s="32"/>
      <c r="C119" s="31" t="s">
        <v>219</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x14ac:dyDescent="0.25">
      <c r="A120" s="31"/>
      <c r="B120" s="32"/>
      <c r="C120" s="31" t="s">
        <v>219</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x14ac:dyDescent="0.25">
      <c r="A121" s="31"/>
      <c r="B121" s="32"/>
      <c r="C121" s="31" t="s">
        <v>219</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x14ac:dyDescent="0.25">
      <c r="A122" s="31"/>
      <c r="B122" s="32"/>
      <c r="C122" s="31" t="s">
        <v>219</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x14ac:dyDescent="0.25">
      <c r="A123" s="31"/>
      <c r="B123" s="32"/>
      <c r="C123" s="31" t="s">
        <v>219</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x14ac:dyDescent="0.25">
      <c r="A124" s="31"/>
      <c r="B124" s="32"/>
      <c r="C124" s="31" t="s">
        <v>219</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x14ac:dyDescent="0.25">
      <c r="A125" s="31"/>
      <c r="B125" s="32"/>
      <c r="C125" s="31" t="s">
        <v>219</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x14ac:dyDescent="0.25">
      <c r="A126" s="31"/>
      <c r="B126" s="32"/>
      <c r="C126" s="31" t="s">
        <v>219</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x14ac:dyDescent="0.25">
      <c r="A127" s="31"/>
      <c r="B127" s="32"/>
      <c r="C127" s="31" t="s">
        <v>219</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x14ac:dyDescent="0.25">
      <c r="A128" s="31"/>
      <c r="B128" s="32"/>
      <c r="C128" s="31" t="s">
        <v>219</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x14ac:dyDescent="0.25">
      <c r="A129" s="31"/>
      <c r="B129" s="32"/>
      <c r="C129" s="31" t="s">
        <v>219</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x14ac:dyDescent="0.25">
      <c r="A130" s="31"/>
      <c r="B130" s="32"/>
      <c r="C130" s="31" t="s">
        <v>219</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x14ac:dyDescent="0.25">
      <c r="A131" s="31"/>
      <c r="B131" s="32"/>
      <c r="C131" s="31" t="s">
        <v>219</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x14ac:dyDescent="0.25">
      <c r="A132" s="31"/>
      <c r="B132" s="32"/>
      <c r="C132" s="31" t="s">
        <v>219</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x14ac:dyDescent="0.25">
      <c r="A133" s="31"/>
      <c r="B133" s="32"/>
      <c r="C133" s="31" t="s">
        <v>219</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x14ac:dyDescent="0.25">
      <c r="A134" s="31"/>
      <c r="B134" s="32"/>
      <c r="C134" s="31" t="s">
        <v>219</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x14ac:dyDescent="0.25">
      <c r="A135" s="31"/>
      <c r="B135" s="32"/>
      <c r="C135" s="31" t="s">
        <v>219</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x14ac:dyDescent="0.25">
      <c r="A136" s="31"/>
      <c r="B136" s="32"/>
      <c r="C136" s="31" t="s">
        <v>219</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x14ac:dyDescent="0.25">
      <c r="A137" s="31"/>
      <c r="B137" s="32"/>
      <c r="C137" s="31" t="s">
        <v>219</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x14ac:dyDescent="0.25">
      <c r="A138" s="31"/>
      <c r="B138" s="32"/>
      <c r="C138" s="31" t="s">
        <v>219</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x14ac:dyDescent="0.25">
      <c r="A139" s="31"/>
      <c r="B139" s="32"/>
      <c r="C139" s="31" t="s">
        <v>219</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x14ac:dyDescent="0.25">
      <c r="A140" s="31"/>
      <c r="B140" s="32"/>
      <c r="C140" s="31" t="s">
        <v>219</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x14ac:dyDescent="0.25">
      <c r="A141" s="31"/>
      <c r="B141" s="32"/>
      <c r="C141" s="31" t="s">
        <v>219</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x14ac:dyDescent="0.25">
      <c r="A142" s="31"/>
      <c r="B142" s="32"/>
      <c r="C142" s="31" t="s">
        <v>219</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x14ac:dyDescent="0.25">
      <c r="A143" s="31"/>
      <c r="B143" s="32"/>
      <c r="C143" s="31" t="s">
        <v>219</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x14ac:dyDescent="0.25">
      <c r="A144" s="31"/>
      <c r="B144" s="32"/>
      <c r="C144" s="31" t="s">
        <v>219</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x14ac:dyDescent="0.25">
      <c r="A145" s="31"/>
      <c r="B145" s="32"/>
      <c r="C145" s="31" t="s">
        <v>219</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x14ac:dyDescent="0.25">
      <c r="A146" s="31"/>
      <c r="B146" s="32"/>
      <c r="C146" s="31" t="s">
        <v>219</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x14ac:dyDescent="0.25">
      <c r="A147" s="31"/>
      <c r="B147" s="32"/>
      <c r="C147" s="31" t="s">
        <v>219</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x14ac:dyDescent="0.25">
      <c r="A148" s="31"/>
      <c r="B148" s="32"/>
      <c r="C148" s="31" t="s">
        <v>219</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x14ac:dyDescent="0.25">
      <c r="A149" s="31"/>
      <c r="B149" s="32"/>
      <c r="C149" s="31" t="s">
        <v>219</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x14ac:dyDescent="0.25">
      <c r="A150" s="31"/>
      <c r="B150" s="32"/>
      <c r="C150" s="31" t="s">
        <v>219</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x14ac:dyDescent="0.25">
      <c r="A151" s="31"/>
      <c r="B151" s="32"/>
      <c r="C151" s="31" t="s">
        <v>219</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x14ac:dyDescent="0.25">
      <c r="A152" s="31"/>
      <c r="B152" s="32"/>
      <c r="C152" s="31" t="s">
        <v>219</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x14ac:dyDescent="0.25">
      <c r="A153" s="31"/>
      <c r="B153" s="32"/>
      <c r="C153" s="31" t="s">
        <v>219</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x14ac:dyDescent="0.25">
      <c r="A154" s="31"/>
      <c r="B154" s="32"/>
      <c r="C154" s="31" t="s">
        <v>219</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x14ac:dyDescent="0.25">
      <c r="A155" s="31"/>
      <c r="B155" s="32"/>
      <c r="C155" s="31" t="s">
        <v>219</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x14ac:dyDescent="0.25">
      <c r="A156" s="31"/>
      <c r="B156" s="32"/>
      <c r="C156" s="31" t="s">
        <v>219</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x14ac:dyDescent="0.25">
      <c r="A157" s="31"/>
      <c r="B157" s="32"/>
      <c r="C157" s="31" t="s">
        <v>219</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x14ac:dyDescent="0.25">
      <c r="A158" s="31"/>
      <c r="B158" s="32"/>
      <c r="C158" s="31" t="s">
        <v>219</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x14ac:dyDescent="0.25">
      <c r="A159" s="31"/>
      <c r="B159" s="32"/>
      <c r="C159" s="31" t="s">
        <v>219</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x14ac:dyDescent="0.25">
      <c r="A160" s="31"/>
      <c r="B160" s="32"/>
      <c r="C160" s="31" t="s">
        <v>219</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x14ac:dyDescent="0.25">
      <c r="A161" s="31"/>
      <c r="B161" s="32"/>
      <c r="C161" s="31" t="s">
        <v>219</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x14ac:dyDescent="0.25">
      <c r="A162" s="31"/>
      <c r="B162" s="32"/>
      <c r="C162" s="31" t="s">
        <v>219</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x14ac:dyDescent="0.25">
      <c r="A163" s="31"/>
      <c r="B163" s="32"/>
      <c r="C163" s="31" t="s">
        <v>219</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x14ac:dyDescent="0.25">
      <c r="A164" s="31"/>
      <c r="B164" s="32"/>
      <c r="C164" s="31" t="s">
        <v>219</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x14ac:dyDescent="0.25">
      <c r="A165" s="31"/>
      <c r="B165" s="32"/>
      <c r="C165" s="31" t="s">
        <v>219</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x14ac:dyDescent="0.25">
      <c r="A166" s="31"/>
      <c r="B166" s="32"/>
      <c r="C166" s="31" t="s">
        <v>219</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x14ac:dyDescent="0.25">
      <c r="A167" s="31"/>
      <c r="B167" s="32"/>
      <c r="C167" s="31" t="s">
        <v>219</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x14ac:dyDescent="0.25">
      <c r="A168" s="31"/>
      <c r="B168" s="32"/>
      <c r="C168" s="31" t="s">
        <v>219</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x14ac:dyDescent="0.25">
      <c r="A169" s="31"/>
      <c r="B169" s="32"/>
      <c r="C169" s="31" t="s">
        <v>219</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x14ac:dyDescent="0.25">
      <c r="A170" s="31"/>
      <c r="B170" s="32"/>
      <c r="C170" s="31" t="s">
        <v>219</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x14ac:dyDescent="0.25">
      <c r="A171" s="31"/>
      <c r="B171" s="32"/>
      <c r="C171" s="31" t="s">
        <v>219</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x14ac:dyDescent="0.25">
      <c r="A172" s="31"/>
      <c r="B172" s="32"/>
      <c r="C172" s="31" t="s">
        <v>219</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x14ac:dyDescent="0.25">
      <c r="A173" s="31"/>
      <c r="B173" s="32"/>
      <c r="C173" s="31" t="s">
        <v>219</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x14ac:dyDescent="0.25">
      <c r="A174" s="31"/>
      <c r="B174" s="32"/>
      <c r="C174" s="31" t="s">
        <v>219</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x14ac:dyDescent="0.25">
      <c r="A175" s="31"/>
      <c r="B175" s="32"/>
      <c r="C175" s="31" t="s">
        <v>219</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x14ac:dyDescent="0.25">
      <c r="A176" s="31"/>
      <c r="B176" s="32"/>
      <c r="C176" s="31" t="s">
        <v>219</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x14ac:dyDescent="0.25">
      <c r="A177" s="31"/>
      <c r="B177" s="32"/>
      <c r="C177" s="31" t="s">
        <v>219</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x14ac:dyDescent="0.25">
      <c r="A178" s="31"/>
      <c r="B178" s="32"/>
      <c r="C178" s="31" t="s">
        <v>219</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x14ac:dyDescent="0.25">
      <c r="A179" s="31"/>
      <c r="B179" s="32"/>
      <c r="C179" s="31" t="s">
        <v>219</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x14ac:dyDescent="0.25">
      <c r="A180" s="31"/>
      <c r="B180" s="32"/>
      <c r="C180" s="31" t="s">
        <v>219</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x14ac:dyDescent="0.25">
      <c r="A181" s="31"/>
      <c r="B181" s="32"/>
      <c r="C181" s="31" t="s">
        <v>219</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x14ac:dyDescent="0.25">
      <c r="A182" s="31"/>
      <c r="B182" s="32"/>
      <c r="C182" s="31" t="s">
        <v>219</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x14ac:dyDescent="0.25">
      <c r="A183" s="31"/>
      <c r="B183" s="32"/>
      <c r="C183" s="31" t="s">
        <v>219</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x14ac:dyDescent="0.25">
      <c r="A184" s="31"/>
      <c r="B184" s="32"/>
      <c r="C184" s="31" t="s">
        <v>219</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x14ac:dyDescent="0.25">
      <c r="A185" s="31"/>
      <c r="B185" s="32"/>
      <c r="C185" s="31" t="s">
        <v>219</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x14ac:dyDescent="0.25">
      <c r="A186" s="31"/>
      <c r="B186" s="32"/>
      <c r="C186" s="31" t="s">
        <v>219</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x14ac:dyDescent="0.25">
      <c r="A187" s="31"/>
      <c r="B187" s="32"/>
      <c r="C187" s="31" t="s">
        <v>219</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x14ac:dyDescent="0.25">
      <c r="A188" s="31"/>
      <c r="B188" s="32"/>
      <c r="C188" s="31" t="s">
        <v>219</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x14ac:dyDescent="0.25">
      <c r="A189" s="31"/>
      <c r="B189" s="32"/>
      <c r="C189" s="31" t="s">
        <v>219</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x14ac:dyDescent="0.25">
      <c r="A190" s="31"/>
      <c r="B190" s="32"/>
      <c r="C190" s="31" t="s">
        <v>219</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x14ac:dyDescent="0.25">
      <c r="A191" s="31"/>
      <c r="B191" s="32"/>
      <c r="C191" s="31" t="s">
        <v>219</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x14ac:dyDescent="0.25">
      <c r="A192" s="31"/>
      <c r="B192" s="32"/>
      <c r="C192" s="31" t="s">
        <v>219</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x14ac:dyDescent="0.25">
      <c r="A193" s="31"/>
      <c r="B193" s="32"/>
      <c r="C193" s="31" t="s">
        <v>219</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x14ac:dyDescent="0.25">
      <c r="A194" s="31"/>
      <c r="B194" s="32"/>
      <c r="C194" s="31" t="s">
        <v>219</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x14ac:dyDescent="0.25">
      <c r="A195" s="31"/>
      <c r="B195" s="32"/>
      <c r="C195" s="31" t="s">
        <v>219</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x14ac:dyDescent="0.25">
      <c r="A196" s="31"/>
      <c r="B196" s="32"/>
      <c r="C196" s="31" t="s">
        <v>219</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x14ac:dyDescent="0.25">
      <c r="A197" s="31"/>
      <c r="B197" s="32"/>
      <c r="C197" s="31" t="s">
        <v>219</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x14ac:dyDescent="0.25">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x14ac:dyDescent="0.25">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x14ac:dyDescent="0.25">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x14ac:dyDescent="0.25">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x14ac:dyDescent="0.25">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x14ac:dyDescent="0.25">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x14ac:dyDescent="0.25">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x14ac:dyDescent="0.25">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x14ac:dyDescent="0.25">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x14ac:dyDescent="0.25">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x14ac:dyDescent="0.25">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x14ac:dyDescent="0.25">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x14ac:dyDescent="0.25">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x14ac:dyDescent="0.25">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x14ac:dyDescent="0.25">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x14ac:dyDescent="0.25">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x14ac:dyDescent="0.25">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x14ac:dyDescent="0.25">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x14ac:dyDescent="0.25">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x14ac:dyDescent="0.25">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x14ac:dyDescent="0.25">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x14ac:dyDescent="0.25">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x14ac:dyDescent="0.25">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x14ac:dyDescent="0.25">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x14ac:dyDescent="0.25">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x14ac:dyDescent="0.25">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x14ac:dyDescent="0.25">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x14ac:dyDescent="0.25">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x14ac:dyDescent="0.25">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x14ac:dyDescent="0.25">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x14ac:dyDescent="0.25">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x14ac:dyDescent="0.25">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x14ac:dyDescent="0.25">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x14ac:dyDescent="0.25">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x14ac:dyDescent="0.25">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x14ac:dyDescent="0.25">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x14ac:dyDescent="0.25">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x14ac:dyDescent="0.25">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x14ac:dyDescent="0.25">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x14ac:dyDescent="0.25">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x14ac:dyDescent="0.25">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x14ac:dyDescent="0.25">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x14ac:dyDescent="0.25">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x14ac:dyDescent="0.25">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x14ac:dyDescent="0.25">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x14ac:dyDescent="0.25">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x14ac:dyDescent="0.25">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x14ac:dyDescent="0.25">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x14ac:dyDescent="0.25">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x14ac:dyDescent="0.25">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x14ac:dyDescent="0.25">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x14ac:dyDescent="0.25">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x14ac:dyDescent="0.25">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x14ac:dyDescent="0.25">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x14ac:dyDescent="0.25">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x14ac:dyDescent="0.25">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x14ac:dyDescent="0.25">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x14ac:dyDescent="0.25">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x14ac:dyDescent="0.25">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x14ac:dyDescent="0.25">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x14ac:dyDescent="0.25">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x14ac:dyDescent="0.25">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x14ac:dyDescent="0.25">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x14ac:dyDescent="0.25">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x14ac:dyDescent="0.25">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x14ac:dyDescent="0.25">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x14ac:dyDescent="0.25">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x14ac:dyDescent="0.25">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x14ac:dyDescent="0.25">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x14ac:dyDescent="0.25">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x14ac:dyDescent="0.25">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x14ac:dyDescent="0.25">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x14ac:dyDescent="0.25">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x14ac:dyDescent="0.25">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x14ac:dyDescent="0.25">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x14ac:dyDescent="0.25">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x14ac:dyDescent="0.25">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x14ac:dyDescent="0.25">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x14ac:dyDescent="0.25">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x14ac:dyDescent="0.25">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x14ac:dyDescent="0.25">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x14ac:dyDescent="0.25">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x14ac:dyDescent="0.25">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x14ac:dyDescent="0.25">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x14ac:dyDescent="0.25">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x14ac:dyDescent="0.25">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x14ac:dyDescent="0.25">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x14ac:dyDescent="0.25">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x14ac:dyDescent="0.25">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x14ac:dyDescent="0.25">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x14ac:dyDescent="0.25">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x14ac:dyDescent="0.25">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x14ac:dyDescent="0.25">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x14ac:dyDescent="0.25">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x14ac:dyDescent="0.25">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x14ac:dyDescent="0.25">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x14ac:dyDescent="0.25">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x14ac:dyDescent="0.25">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x14ac:dyDescent="0.25">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x14ac:dyDescent="0.25">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x14ac:dyDescent="0.25">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x14ac:dyDescent="0.25">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x14ac:dyDescent="0.25">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x14ac:dyDescent="0.25">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x14ac:dyDescent="0.25">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x14ac:dyDescent="0.25">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x14ac:dyDescent="0.25">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x14ac:dyDescent="0.25">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x14ac:dyDescent="0.25">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x14ac:dyDescent="0.25">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x14ac:dyDescent="0.25">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x14ac:dyDescent="0.25">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x14ac:dyDescent="0.25">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x14ac:dyDescent="0.25">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x14ac:dyDescent="0.25">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x14ac:dyDescent="0.25">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x14ac:dyDescent="0.25">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x14ac:dyDescent="0.25">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x14ac:dyDescent="0.25">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x14ac:dyDescent="0.25">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x14ac:dyDescent="0.25">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x14ac:dyDescent="0.25">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x14ac:dyDescent="0.25">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x14ac:dyDescent="0.25">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x14ac:dyDescent="0.25">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x14ac:dyDescent="0.25">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x14ac:dyDescent="0.25">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x14ac:dyDescent="0.25">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x14ac:dyDescent="0.25">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x14ac:dyDescent="0.25">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x14ac:dyDescent="0.25">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x14ac:dyDescent="0.25">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x14ac:dyDescent="0.25">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x14ac:dyDescent="0.25">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x14ac:dyDescent="0.25">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x14ac:dyDescent="0.25">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x14ac:dyDescent="0.25">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x14ac:dyDescent="0.25">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x14ac:dyDescent="0.25">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x14ac:dyDescent="0.25">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x14ac:dyDescent="0.25">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x14ac:dyDescent="0.25">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x14ac:dyDescent="0.25">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x14ac:dyDescent="0.25">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x14ac:dyDescent="0.25">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x14ac:dyDescent="0.25">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x14ac:dyDescent="0.25">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x14ac:dyDescent="0.25">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x14ac:dyDescent="0.25">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x14ac:dyDescent="0.25">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x14ac:dyDescent="0.25">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x14ac:dyDescent="0.25">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x14ac:dyDescent="0.25">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x14ac:dyDescent="0.25">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x14ac:dyDescent="0.25">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x14ac:dyDescent="0.25">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x14ac:dyDescent="0.25">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x14ac:dyDescent="0.25">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x14ac:dyDescent="0.25">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x14ac:dyDescent="0.25">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x14ac:dyDescent="0.25">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x14ac:dyDescent="0.25">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x14ac:dyDescent="0.25">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x14ac:dyDescent="0.25">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x14ac:dyDescent="0.25">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x14ac:dyDescent="0.25">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x14ac:dyDescent="0.25">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x14ac:dyDescent="0.25">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x14ac:dyDescent="0.25">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x14ac:dyDescent="0.25">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x14ac:dyDescent="0.25">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x14ac:dyDescent="0.25">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x14ac:dyDescent="0.25">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x14ac:dyDescent="0.25">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x14ac:dyDescent="0.25">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x14ac:dyDescent="0.25">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x14ac:dyDescent="0.25">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x14ac:dyDescent="0.25">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x14ac:dyDescent="0.25">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x14ac:dyDescent="0.25">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x14ac:dyDescent="0.25">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x14ac:dyDescent="0.25">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x14ac:dyDescent="0.25">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x14ac:dyDescent="0.25">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x14ac:dyDescent="0.25">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x14ac:dyDescent="0.25">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x14ac:dyDescent="0.25">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x14ac:dyDescent="0.25">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x14ac:dyDescent="0.25">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x14ac:dyDescent="0.25">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x14ac:dyDescent="0.25">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x14ac:dyDescent="0.25">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x14ac:dyDescent="0.25">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x14ac:dyDescent="0.25">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x14ac:dyDescent="0.25">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x14ac:dyDescent="0.25">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x14ac:dyDescent="0.25">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x14ac:dyDescent="0.25">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x14ac:dyDescent="0.25">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x14ac:dyDescent="0.25">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x14ac:dyDescent="0.25">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x14ac:dyDescent="0.25">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x14ac:dyDescent="0.25">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x14ac:dyDescent="0.25">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x14ac:dyDescent="0.25">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x14ac:dyDescent="0.25">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x14ac:dyDescent="0.25">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x14ac:dyDescent="0.25">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x14ac:dyDescent="0.25">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x14ac:dyDescent="0.25">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x14ac:dyDescent="0.25">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x14ac:dyDescent="0.25">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x14ac:dyDescent="0.25">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x14ac:dyDescent="0.25">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x14ac:dyDescent="0.25">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x14ac:dyDescent="0.25">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x14ac:dyDescent="0.25">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x14ac:dyDescent="0.25">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x14ac:dyDescent="0.25">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x14ac:dyDescent="0.25">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x14ac:dyDescent="0.25">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x14ac:dyDescent="0.25">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x14ac:dyDescent="0.25">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x14ac:dyDescent="0.25">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x14ac:dyDescent="0.25">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x14ac:dyDescent="0.25">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x14ac:dyDescent="0.25">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x14ac:dyDescent="0.25">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x14ac:dyDescent="0.25">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x14ac:dyDescent="0.25">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x14ac:dyDescent="0.25">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x14ac:dyDescent="0.25">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x14ac:dyDescent="0.25">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x14ac:dyDescent="0.25">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x14ac:dyDescent="0.25">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x14ac:dyDescent="0.25">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x14ac:dyDescent="0.25">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x14ac:dyDescent="0.25">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x14ac:dyDescent="0.25">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x14ac:dyDescent="0.25">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x14ac:dyDescent="0.25">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x14ac:dyDescent="0.25">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x14ac:dyDescent="0.25">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x14ac:dyDescent="0.25">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x14ac:dyDescent="0.25">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x14ac:dyDescent="0.25">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x14ac:dyDescent="0.25">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x14ac:dyDescent="0.25">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x14ac:dyDescent="0.25">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x14ac:dyDescent="0.25">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x14ac:dyDescent="0.25">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x14ac:dyDescent="0.25">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x14ac:dyDescent="0.25">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x14ac:dyDescent="0.25">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x14ac:dyDescent="0.25">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x14ac:dyDescent="0.25">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x14ac:dyDescent="0.25">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x14ac:dyDescent="0.25">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x14ac:dyDescent="0.25">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x14ac:dyDescent="0.25">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x14ac:dyDescent="0.25">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x14ac:dyDescent="0.25">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x14ac:dyDescent="0.25">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x14ac:dyDescent="0.25">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x14ac:dyDescent="0.25">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x14ac:dyDescent="0.25">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x14ac:dyDescent="0.25">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x14ac:dyDescent="0.25">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x14ac:dyDescent="0.25">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x14ac:dyDescent="0.25">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x14ac:dyDescent="0.25">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x14ac:dyDescent="0.25">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x14ac:dyDescent="0.25">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x14ac:dyDescent="0.25">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x14ac:dyDescent="0.25">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x14ac:dyDescent="0.25">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x14ac:dyDescent="0.25">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x14ac:dyDescent="0.25">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x14ac:dyDescent="0.25">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x14ac:dyDescent="0.25">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x14ac:dyDescent="0.25">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x14ac:dyDescent="0.25">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x14ac:dyDescent="0.25">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x14ac:dyDescent="0.25">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x14ac:dyDescent="0.25">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x14ac:dyDescent="0.25">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x14ac:dyDescent="0.25">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x14ac:dyDescent="0.25">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x14ac:dyDescent="0.25">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x14ac:dyDescent="0.25">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x14ac:dyDescent="0.25">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x14ac:dyDescent="0.25">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x14ac:dyDescent="0.25">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x14ac:dyDescent="0.25">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x14ac:dyDescent="0.25">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x14ac:dyDescent="0.25">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x14ac:dyDescent="0.25">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x14ac:dyDescent="0.25">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x14ac:dyDescent="0.25">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x14ac:dyDescent="0.25">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7" priority="19">
      <formula>AND($B4&lt;&gt;"",MOD(ROW(),2)=0)</formula>
    </cfRule>
  </conditionalFormatting>
  <conditionalFormatting sqref="A10:A12">
    <cfRule type="expression" dxfId="36" priority="16">
      <formula>AND($B10&lt;&gt;"",MOD(ROW(),2)=0)</formula>
    </cfRule>
  </conditionalFormatting>
  <conditionalFormatting sqref="A17">
    <cfRule type="expression" dxfId="35" priority="15">
      <formula>AND($B17&lt;&gt;"",MOD(ROW(),2)=0)</formula>
    </cfRule>
  </conditionalFormatting>
  <conditionalFormatting sqref="A21">
    <cfRule type="expression" dxfId="34" priority="13">
      <formula>AND($B21&lt;&gt;"",MOD(ROW(),2)=0)</formula>
    </cfRule>
  </conditionalFormatting>
  <conditionalFormatting sqref="A25:A26">
    <cfRule type="expression" dxfId="33" priority="11">
      <formula>AND($B25&lt;&gt;"",MOD(ROW(),2)=0)</formula>
    </cfRule>
  </conditionalFormatting>
  <conditionalFormatting sqref="A30">
    <cfRule type="expression" dxfId="32" priority="10">
      <formula>AND($B30&lt;&gt;"",MOD(ROW(),2)=0)</formula>
    </cfRule>
  </conditionalFormatting>
  <conditionalFormatting sqref="A35:A37">
    <cfRule type="expression" dxfId="31" priority="6">
      <formula>AND($B35&lt;&gt;"",MOD(ROW(),2)=0)</formula>
    </cfRule>
  </conditionalFormatting>
  <conditionalFormatting sqref="A42">
    <cfRule type="expression" dxfId="30" priority="4">
      <formula>AND($B42&lt;&gt;"",MOD(ROW(),2)=0)</formula>
    </cfRule>
  </conditionalFormatting>
  <conditionalFormatting sqref="A44:A45">
    <cfRule type="expression" dxfId="29"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8" priority="29">
      <formula>AND($A2&lt;&gt;"",$G2="Yes")</formula>
    </cfRule>
    <cfRule type="expression" dxfId="27" priority="30">
      <formula>AND($A2&lt;&gt;"",$J2&lt;&gt;"")</formula>
    </cfRule>
    <cfRule type="expression" dxfId="26" priority="31">
      <formula>$A2&lt;&gt;""</formula>
    </cfRule>
  </conditionalFormatting>
  <conditionalFormatting sqref="C2:C197 G2:G197">
    <cfRule type="expression" dxfId="25" priority="32">
      <formula>$A2=""</formula>
    </cfRule>
  </conditionalFormatting>
  <conditionalFormatting sqref="K2:M2 A3:M3 M3:M10 B4:M7 A8:M9 B10:M12 A13:M16 B17:M17 A18:M20 B21:M21 A22:M24 B25:M26 A27:M27 M28:M29 B30:M30 A31:M34 B35:M37 A38:M41 B42:M42 A43:M43 B44:M45 A46:M497 A2:H2 A28:K29">
    <cfRule type="expression" dxfId="24" priority="28">
      <formula>AND($A2&lt;&gt;"",$G2="Did not pass re-test")</formula>
    </cfRule>
  </conditionalFormatting>
  <conditionalFormatting sqref="M2:M497">
    <cfRule type="expression" dxfId="23" priority="22">
      <formula>ISNUMBER(SEARCH("Sent back again",$M2))</formula>
    </cfRule>
    <cfRule type="expression" dxfId="22" priority="23">
      <formula>ISNUMBER(SEARCH("LATE",$M2))</formula>
    </cfRule>
    <cfRule type="expression" dxfId="21" priority="24">
      <formula>ISNUMBER(SEARCH("UNCLAIMED",$M2))</formula>
    </cfRule>
    <cfRule type="expression" dxfId="20" priority="25">
      <formula>ISNUMBER(SEARCH("Missing",$M2))</formula>
    </cfRule>
    <cfRule type="expression" dxfId="19" priority="26">
      <formula>ISNUMBER(SEARCH("Fixed in",$M2))</formula>
    </cfRule>
    <cfRule type="expression" dxfId="18" priority="27">
      <formula>ISNUMBER(SEARCH("Open",$M2))</formula>
    </cfRule>
  </conditionalFormatting>
  <conditionalFormatting sqref="N24">
    <cfRule type="expression" dxfId="17"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x14ac:dyDescent="0.25"/>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x14ac:dyDescent="0.25">
      <c r="A1" s="222" t="s">
        <v>415</v>
      </c>
      <c r="B1" s="216"/>
      <c r="C1" s="216"/>
    </row>
    <row r="2" spans="1:8" ht="14.25" customHeight="1" x14ac:dyDescent="0.25">
      <c r="A2" s="8" t="s">
        <v>0</v>
      </c>
      <c r="B2" s="8" t="s">
        <v>416</v>
      </c>
      <c r="C2" s="8" t="s">
        <v>417</v>
      </c>
      <c r="E2" t="s">
        <v>418</v>
      </c>
      <c r="F2" t="s">
        <v>419</v>
      </c>
      <c r="G2" t="s">
        <v>420</v>
      </c>
      <c r="H2" t="s">
        <v>421</v>
      </c>
    </row>
    <row r="3" spans="1:8" ht="14.25" customHeight="1" x14ac:dyDescent="0.25">
      <c r="A3" s="11" t="s">
        <v>40</v>
      </c>
      <c r="B3" s="11">
        <v>8</v>
      </c>
      <c r="C3" s="12">
        <v>46142</v>
      </c>
      <c r="E3" t="s">
        <v>422</v>
      </c>
      <c r="F3" s="28">
        <v>46233</v>
      </c>
      <c r="G3" s="28">
        <v>46274</v>
      </c>
    </row>
    <row r="4" spans="1:8" ht="14.25" customHeight="1" x14ac:dyDescent="0.25">
      <c r="A4" s="11" t="s">
        <v>40</v>
      </c>
      <c r="B4" s="11">
        <v>10</v>
      </c>
      <c r="C4" s="12">
        <v>46172</v>
      </c>
      <c r="E4" t="s">
        <v>423</v>
      </c>
      <c r="F4" s="28">
        <v>46264</v>
      </c>
      <c r="G4" s="28">
        <v>46295</v>
      </c>
    </row>
    <row r="5" spans="1:8" ht="14.25" customHeight="1" x14ac:dyDescent="0.25">
      <c r="A5" s="11" t="s">
        <v>40</v>
      </c>
      <c r="B5" s="11">
        <v>9</v>
      </c>
      <c r="C5" s="12">
        <v>46203</v>
      </c>
      <c r="E5" t="s">
        <v>424</v>
      </c>
      <c r="F5" s="28">
        <v>46295</v>
      </c>
      <c r="G5" s="28">
        <v>46325</v>
      </c>
    </row>
    <row r="6" spans="1:8" ht="14.25" customHeight="1" x14ac:dyDescent="0.25">
      <c r="A6" s="11" t="s">
        <v>126</v>
      </c>
      <c r="B6" s="11">
        <v>15</v>
      </c>
      <c r="C6" s="12">
        <v>46233</v>
      </c>
      <c r="E6" t="s">
        <v>425</v>
      </c>
      <c r="F6" s="28">
        <v>46325</v>
      </c>
      <c r="G6" s="28">
        <v>46356</v>
      </c>
    </row>
    <row r="7" spans="1:8" ht="14.25" customHeight="1" x14ac:dyDescent="0.25">
      <c r="A7" s="11" t="s">
        <v>126</v>
      </c>
      <c r="B7" s="11">
        <v>15</v>
      </c>
      <c r="C7" s="12">
        <v>46264</v>
      </c>
      <c r="E7" t="s">
        <v>426</v>
      </c>
      <c r="F7" s="28">
        <v>46356</v>
      </c>
      <c r="G7" s="28">
        <v>46387</v>
      </c>
    </row>
    <row r="8" spans="1:8" ht="14.25" customHeight="1" x14ac:dyDescent="0.25">
      <c r="A8" s="11" t="s">
        <v>126</v>
      </c>
      <c r="B8" s="11">
        <v>17</v>
      </c>
      <c r="C8" s="12">
        <v>46295</v>
      </c>
      <c r="E8" t="s">
        <v>427</v>
      </c>
      <c r="F8" s="28">
        <v>46387</v>
      </c>
      <c r="G8" s="28">
        <v>46417</v>
      </c>
    </row>
    <row r="9" spans="1:8" ht="14.25" customHeight="1" x14ac:dyDescent="0.25">
      <c r="A9" s="11" t="s">
        <v>126</v>
      </c>
      <c r="B9" s="11">
        <v>20</v>
      </c>
      <c r="C9" s="12">
        <v>46325</v>
      </c>
      <c r="E9" t="s">
        <v>428</v>
      </c>
      <c r="F9" s="28">
        <v>46417</v>
      </c>
      <c r="G9" s="28">
        <v>46445</v>
      </c>
    </row>
    <row r="10" spans="1:8" ht="14.25" customHeight="1" x14ac:dyDescent="0.25">
      <c r="A10" s="11" t="s">
        <v>126</v>
      </c>
      <c r="B10" s="11">
        <v>20</v>
      </c>
      <c r="C10" s="12">
        <v>46356</v>
      </c>
      <c r="E10" t="s">
        <v>429</v>
      </c>
      <c r="F10" s="28">
        <v>46446</v>
      </c>
      <c r="G10" s="28">
        <v>46477</v>
      </c>
    </row>
    <row r="11" spans="1:8" ht="14.25" customHeight="1" x14ac:dyDescent="0.25">
      <c r="A11" s="11" t="s">
        <v>430</v>
      </c>
      <c r="B11" s="11">
        <v>18</v>
      </c>
      <c r="C11" s="12">
        <v>46417</v>
      </c>
      <c r="E11" t="s">
        <v>431</v>
      </c>
      <c r="F11" s="28">
        <v>46477</v>
      </c>
      <c r="G11" s="28">
        <v>46480</v>
      </c>
    </row>
    <row r="12" spans="1:8" ht="14.25" customHeight="1" x14ac:dyDescent="0.25">
      <c r="A12" s="11" t="s">
        <v>430</v>
      </c>
      <c r="B12" s="11">
        <v>18</v>
      </c>
      <c r="C12" s="12">
        <v>46446</v>
      </c>
    </row>
    <row r="13" spans="1:8" ht="14.25" customHeight="1" x14ac:dyDescent="0.25">
      <c r="A13" s="11" t="s">
        <v>430</v>
      </c>
      <c r="B13" s="11">
        <v>19</v>
      </c>
      <c r="C13" s="12">
        <v>46477</v>
      </c>
    </row>
    <row r="14" spans="1:8" ht="14.25" customHeight="1" x14ac:dyDescent="0.25">
      <c r="A14" s="11" t="s">
        <v>310</v>
      </c>
      <c r="B14" s="11">
        <v>9</v>
      </c>
      <c r="C14" s="12">
        <v>46387</v>
      </c>
    </row>
    <row r="15" spans="1:8" ht="14.25" customHeight="1" x14ac:dyDescent="0.25">
      <c r="A15" s="11" t="s">
        <v>301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topRight" activeCell="D1" sqref="D1"/>
      <selection pane="bottomLeft" activeCell="A3" sqref="A3"/>
      <selection pane="bottomRight"/>
    </sheetView>
  </sheetViews>
  <sheetFormatPr defaultColWidth="8.7109375" defaultRowHeight="15" x14ac:dyDescent="0.2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x14ac:dyDescent="0.25">
      <c r="A1" s="223" t="s">
        <v>432</v>
      </c>
      <c r="B1" s="216"/>
      <c r="C1" s="216"/>
      <c r="D1" s="216"/>
      <c r="E1" s="216"/>
      <c r="F1" s="216"/>
      <c r="G1" s="216"/>
      <c r="H1" s="216"/>
      <c r="I1" s="216"/>
      <c r="J1" s="216"/>
    </row>
    <row r="2" spans="1:10" ht="27" customHeight="1" x14ac:dyDescent="0.25">
      <c r="A2" s="8" t="s">
        <v>0</v>
      </c>
      <c r="B2" s="8" t="s">
        <v>433</v>
      </c>
      <c r="C2" s="8" t="s">
        <v>1</v>
      </c>
      <c r="D2" s="8" t="s">
        <v>434</v>
      </c>
      <c r="E2" s="8" t="s">
        <v>435</v>
      </c>
      <c r="F2" s="8" t="s">
        <v>6</v>
      </c>
      <c r="G2" s="8" t="s">
        <v>5</v>
      </c>
      <c r="H2" s="8" t="s">
        <v>436</v>
      </c>
      <c r="I2" s="8" t="s">
        <v>417</v>
      </c>
      <c r="J2" s="8" t="s">
        <v>437</v>
      </c>
    </row>
    <row r="3" spans="1:10" ht="14.25" customHeight="1" x14ac:dyDescent="0.25">
      <c r="A3" s="9" t="s">
        <v>40</v>
      </c>
      <c r="B3" s="9" t="s">
        <v>262</v>
      </c>
      <c r="C3" s="9" t="s">
        <v>41</v>
      </c>
      <c r="D3" s="9" t="s">
        <v>44</v>
      </c>
      <c r="E3" s="9" t="s">
        <v>46</v>
      </c>
      <c r="F3" s="9"/>
      <c r="G3" s="9"/>
      <c r="H3" s="9"/>
      <c r="I3" s="10">
        <v>46115</v>
      </c>
      <c r="J3" s="10">
        <v>46115</v>
      </c>
    </row>
    <row r="4" spans="1:10" ht="14.25" customHeight="1" x14ac:dyDescent="0.25">
      <c r="A4" s="9" t="s">
        <v>40</v>
      </c>
      <c r="B4" s="9" t="s">
        <v>204</v>
      </c>
      <c r="C4" s="9" t="s">
        <v>41</v>
      </c>
      <c r="D4" s="9" t="s">
        <v>44</v>
      </c>
      <c r="E4" s="9" t="s">
        <v>46</v>
      </c>
      <c r="F4" s="9"/>
      <c r="G4" s="9"/>
      <c r="H4" s="10">
        <v>46115</v>
      </c>
      <c r="I4" s="10">
        <v>46114</v>
      </c>
      <c r="J4" s="10">
        <v>46114</v>
      </c>
    </row>
    <row r="5" spans="1:10" ht="14.25" customHeight="1" x14ac:dyDescent="0.25">
      <c r="A5" s="9" t="s">
        <v>40</v>
      </c>
      <c r="B5" s="9" t="s">
        <v>219</v>
      </c>
      <c r="C5" s="9" t="s">
        <v>41</v>
      </c>
      <c r="D5" s="9" t="s">
        <v>44</v>
      </c>
      <c r="E5" s="9" t="s">
        <v>46</v>
      </c>
      <c r="F5" s="9"/>
      <c r="G5" s="9"/>
      <c r="H5" s="10">
        <v>46114</v>
      </c>
      <c r="I5" s="10">
        <v>46122</v>
      </c>
      <c r="J5" s="10">
        <v>46122</v>
      </c>
    </row>
    <row r="6" spans="1:10" ht="14.25" customHeight="1" x14ac:dyDescent="0.25">
      <c r="A6" s="9" t="s">
        <v>40</v>
      </c>
      <c r="B6" s="9" t="s">
        <v>182</v>
      </c>
      <c r="C6" s="9" t="s">
        <v>41</v>
      </c>
      <c r="D6" s="9" t="s">
        <v>44</v>
      </c>
      <c r="E6" s="9" t="s">
        <v>46</v>
      </c>
      <c r="F6" s="9"/>
      <c r="G6" s="9"/>
      <c r="H6" s="10">
        <v>46122</v>
      </c>
      <c r="I6" s="10"/>
      <c r="J6" s="10"/>
    </row>
    <row r="7" spans="1:10" ht="14.25" customHeight="1" x14ac:dyDescent="0.25">
      <c r="A7" s="9" t="s">
        <v>40</v>
      </c>
      <c r="B7" s="9" t="s">
        <v>42</v>
      </c>
      <c r="C7" s="9" t="s">
        <v>41</v>
      </c>
      <c r="D7" s="9" t="s">
        <v>44</v>
      </c>
      <c r="E7" s="9" t="s">
        <v>46</v>
      </c>
      <c r="F7" s="9"/>
      <c r="G7" s="9"/>
      <c r="H7" s="9"/>
      <c r="I7" s="10"/>
      <c r="J7" s="10"/>
    </row>
    <row r="8" spans="1:10" ht="14.25" customHeight="1" x14ac:dyDescent="0.25">
      <c r="A8" s="9" t="s">
        <v>40</v>
      </c>
      <c r="B8" s="9" t="s">
        <v>262</v>
      </c>
      <c r="C8" s="9" t="s">
        <v>55</v>
      </c>
      <c r="D8" s="9" t="s">
        <v>44</v>
      </c>
      <c r="E8" s="9" t="s">
        <v>46</v>
      </c>
      <c r="F8" s="9"/>
      <c r="G8" s="9"/>
      <c r="H8" s="10"/>
      <c r="I8" s="10">
        <v>46115</v>
      </c>
      <c r="J8" s="10">
        <v>46115</v>
      </c>
    </row>
    <row r="9" spans="1:10" ht="14.25" customHeight="1" x14ac:dyDescent="0.25">
      <c r="A9" s="9" t="s">
        <v>40</v>
      </c>
      <c r="B9" s="9" t="s">
        <v>204</v>
      </c>
      <c r="C9" s="9" t="s">
        <v>55</v>
      </c>
      <c r="D9" s="9" t="s">
        <v>44</v>
      </c>
      <c r="E9" s="9" t="s">
        <v>46</v>
      </c>
      <c r="F9" s="9"/>
      <c r="G9" s="9"/>
      <c r="H9" s="10">
        <v>46115</v>
      </c>
      <c r="I9" s="10">
        <v>46114</v>
      </c>
      <c r="J9" s="10">
        <v>46114</v>
      </c>
    </row>
    <row r="10" spans="1:10" ht="14.25" customHeight="1" x14ac:dyDescent="0.25">
      <c r="A10" s="9" t="s">
        <v>40</v>
      </c>
      <c r="B10" s="9" t="s">
        <v>219</v>
      </c>
      <c r="C10" s="9" t="s">
        <v>55</v>
      </c>
      <c r="D10" s="9" t="s">
        <v>44</v>
      </c>
      <c r="E10" s="9" t="s">
        <v>46</v>
      </c>
      <c r="F10" s="9"/>
      <c r="G10" s="9"/>
      <c r="H10" s="10">
        <v>46114</v>
      </c>
      <c r="I10" s="10">
        <v>46122</v>
      </c>
      <c r="J10" s="10">
        <v>46122</v>
      </c>
    </row>
    <row r="11" spans="1:10" ht="14.25" customHeight="1" x14ac:dyDescent="0.25">
      <c r="A11" s="9" t="s">
        <v>40</v>
      </c>
      <c r="B11" s="9" t="s">
        <v>182</v>
      </c>
      <c r="C11" s="9" t="s">
        <v>55</v>
      </c>
      <c r="D11" s="9" t="s">
        <v>44</v>
      </c>
      <c r="E11" s="9" t="s">
        <v>46</v>
      </c>
      <c r="F11" s="9"/>
      <c r="G11" s="9"/>
      <c r="H11" s="10">
        <v>46122</v>
      </c>
      <c r="I11" s="10"/>
      <c r="J11" s="10"/>
    </row>
    <row r="12" spans="1:10" ht="14.25" customHeight="1" x14ac:dyDescent="0.25">
      <c r="A12" s="9" t="s">
        <v>40</v>
      </c>
      <c r="B12" s="9" t="s">
        <v>42</v>
      </c>
      <c r="C12" s="9" t="s">
        <v>55</v>
      </c>
      <c r="D12" s="9" t="s">
        <v>44</v>
      </c>
      <c r="E12" s="9" t="s">
        <v>46</v>
      </c>
      <c r="F12" s="9"/>
      <c r="G12" s="9"/>
      <c r="H12" s="10"/>
      <c r="I12" s="10"/>
      <c r="J12" s="10"/>
    </row>
    <row r="13" spans="1:10" ht="14.25" customHeight="1" x14ac:dyDescent="0.25">
      <c r="A13" s="9" t="s">
        <v>40</v>
      </c>
      <c r="B13" s="9" t="s">
        <v>262</v>
      </c>
      <c r="C13" s="9" t="s">
        <v>438</v>
      </c>
      <c r="D13" s="9" t="s">
        <v>439</v>
      </c>
      <c r="E13" s="9" t="s">
        <v>46</v>
      </c>
      <c r="F13" s="9"/>
      <c r="G13" s="9"/>
      <c r="H13" s="10"/>
      <c r="I13" s="10">
        <v>46115</v>
      </c>
      <c r="J13" s="10">
        <v>46115</v>
      </c>
    </row>
    <row r="14" spans="1:10" ht="14.25" customHeight="1" x14ac:dyDescent="0.25">
      <c r="A14" s="9" t="s">
        <v>40</v>
      </c>
      <c r="B14" s="9" t="s">
        <v>204</v>
      </c>
      <c r="C14" s="9" t="s">
        <v>438</v>
      </c>
      <c r="D14" s="9" t="s">
        <v>439</v>
      </c>
      <c r="E14" s="9" t="s">
        <v>46</v>
      </c>
      <c r="F14" s="9"/>
      <c r="G14" s="9"/>
      <c r="H14" s="10">
        <v>46115</v>
      </c>
      <c r="I14" s="10">
        <v>46120</v>
      </c>
      <c r="J14" s="10">
        <v>46120</v>
      </c>
    </row>
    <row r="15" spans="1:10" ht="14.25" customHeight="1" x14ac:dyDescent="0.25">
      <c r="A15" s="9" t="s">
        <v>40</v>
      </c>
      <c r="B15" s="9" t="s">
        <v>219</v>
      </c>
      <c r="C15" s="9" t="s">
        <v>438</v>
      </c>
      <c r="D15" s="9" t="s">
        <v>439</v>
      </c>
      <c r="E15" s="9" t="s">
        <v>46</v>
      </c>
      <c r="F15" s="9"/>
      <c r="G15" s="9"/>
      <c r="H15" s="10">
        <v>46120</v>
      </c>
      <c r="I15" s="10">
        <v>46122</v>
      </c>
      <c r="J15" s="10">
        <v>46122</v>
      </c>
    </row>
    <row r="16" spans="1:10" ht="14.25" customHeight="1" x14ac:dyDescent="0.25">
      <c r="A16" s="9" t="s">
        <v>40</v>
      </c>
      <c r="B16" s="9" t="s">
        <v>182</v>
      </c>
      <c r="C16" s="9" t="s">
        <v>438</v>
      </c>
      <c r="D16" s="9" t="s">
        <v>439</v>
      </c>
      <c r="E16" s="9" t="s">
        <v>46</v>
      </c>
      <c r="F16" s="9"/>
      <c r="G16" s="9"/>
      <c r="H16" s="10">
        <v>46122</v>
      </c>
      <c r="I16" s="10"/>
      <c r="J16" s="10"/>
    </row>
    <row r="17" spans="1:10" ht="14.25" customHeight="1" x14ac:dyDescent="0.25">
      <c r="A17" s="9" t="s">
        <v>40</v>
      </c>
      <c r="B17" s="9" t="s">
        <v>42</v>
      </c>
      <c r="C17" s="9" t="s">
        <v>438</v>
      </c>
      <c r="D17" s="9" t="s">
        <v>439</v>
      </c>
      <c r="E17" s="9" t="s">
        <v>46</v>
      </c>
      <c r="F17" s="9"/>
      <c r="G17" s="9"/>
      <c r="H17" s="10"/>
      <c r="I17" s="10"/>
      <c r="J17" s="10"/>
    </row>
    <row r="18" spans="1:10" ht="14.25" customHeight="1" x14ac:dyDescent="0.25">
      <c r="A18" s="9" t="s">
        <v>40</v>
      </c>
      <c r="B18" s="9" t="s">
        <v>262</v>
      </c>
      <c r="C18" s="9" t="s">
        <v>58</v>
      </c>
      <c r="D18" s="9" t="s">
        <v>59</v>
      </c>
      <c r="E18" s="9" t="s">
        <v>60</v>
      </c>
      <c r="F18" s="9"/>
      <c r="G18" s="9"/>
      <c r="H18" s="9"/>
      <c r="I18" s="10">
        <v>46115</v>
      </c>
      <c r="J18" s="10">
        <v>46115</v>
      </c>
    </row>
    <row r="19" spans="1:10" ht="14.25" customHeight="1" x14ac:dyDescent="0.25">
      <c r="A19" s="9" t="s">
        <v>40</v>
      </c>
      <c r="B19" s="9" t="s">
        <v>204</v>
      </c>
      <c r="C19" s="9" t="s">
        <v>58</v>
      </c>
      <c r="D19" s="9" t="s">
        <v>59</v>
      </c>
      <c r="E19" s="9" t="s">
        <v>60</v>
      </c>
      <c r="F19" s="9"/>
      <c r="G19" s="9"/>
      <c r="H19" s="10">
        <v>46115</v>
      </c>
      <c r="I19" s="10">
        <v>46126</v>
      </c>
      <c r="J19" s="10">
        <v>46126</v>
      </c>
    </row>
    <row r="20" spans="1:10" ht="14.25" customHeight="1" x14ac:dyDescent="0.25">
      <c r="A20" s="9" t="s">
        <v>40</v>
      </c>
      <c r="B20" s="9" t="s">
        <v>219</v>
      </c>
      <c r="C20" s="9" t="s">
        <v>58</v>
      </c>
      <c r="D20" s="9" t="s">
        <v>59</v>
      </c>
      <c r="E20" s="9" t="s">
        <v>60</v>
      </c>
      <c r="F20" s="9"/>
      <c r="G20" s="9"/>
      <c r="H20" s="10">
        <v>46126</v>
      </c>
      <c r="I20" s="10">
        <v>46122</v>
      </c>
      <c r="J20" s="10">
        <v>46122</v>
      </c>
    </row>
    <row r="21" spans="1:10" ht="14.25" customHeight="1" x14ac:dyDescent="0.25">
      <c r="A21" s="9" t="s">
        <v>40</v>
      </c>
      <c r="B21" s="9" t="s">
        <v>182</v>
      </c>
      <c r="C21" s="9" t="s">
        <v>58</v>
      </c>
      <c r="D21" s="9" t="s">
        <v>59</v>
      </c>
      <c r="E21" s="9" t="s">
        <v>60</v>
      </c>
      <c r="F21" s="9"/>
      <c r="G21" s="9"/>
      <c r="H21" s="10">
        <v>46122</v>
      </c>
      <c r="I21" s="10"/>
      <c r="J21" s="10"/>
    </row>
    <row r="22" spans="1:10" ht="14.25" customHeight="1" x14ac:dyDescent="0.25">
      <c r="A22" s="9" t="s">
        <v>40</v>
      </c>
      <c r="B22" s="9" t="s">
        <v>42</v>
      </c>
      <c r="C22" s="9" t="s">
        <v>58</v>
      </c>
      <c r="D22" s="9" t="s">
        <v>59</v>
      </c>
      <c r="E22" s="9" t="s">
        <v>60</v>
      </c>
      <c r="F22" s="9"/>
      <c r="G22" s="9"/>
      <c r="H22" s="9"/>
      <c r="I22" s="10"/>
      <c r="J22" s="10"/>
    </row>
    <row r="23" spans="1:10" ht="14.25" customHeight="1" x14ac:dyDescent="0.25">
      <c r="A23" s="9" t="s">
        <v>40</v>
      </c>
      <c r="B23" s="9" t="s">
        <v>262</v>
      </c>
      <c r="C23" s="9" t="s">
        <v>64</v>
      </c>
      <c r="D23" s="9" t="s">
        <v>439</v>
      </c>
      <c r="E23" s="9" t="s">
        <v>46</v>
      </c>
      <c r="F23" s="9"/>
      <c r="G23" s="9"/>
      <c r="H23" s="10"/>
      <c r="I23" s="10">
        <v>46115</v>
      </c>
      <c r="J23" s="10">
        <v>46115</v>
      </c>
    </row>
    <row r="24" spans="1:10" ht="14.25" customHeight="1" x14ac:dyDescent="0.25">
      <c r="A24" s="9" t="s">
        <v>40</v>
      </c>
      <c r="B24" s="9" t="s">
        <v>204</v>
      </c>
      <c r="C24" s="9" t="s">
        <v>64</v>
      </c>
      <c r="D24" s="9" t="s">
        <v>439</v>
      </c>
      <c r="E24" s="9" t="s">
        <v>46</v>
      </c>
      <c r="F24" s="9"/>
      <c r="G24" s="9"/>
      <c r="H24" s="10">
        <v>46115</v>
      </c>
      <c r="I24" s="10">
        <v>46120</v>
      </c>
      <c r="J24" s="10">
        <v>46120</v>
      </c>
    </row>
    <row r="25" spans="1:10" ht="14.25" customHeight="1" x14ac:dyDescent="0.25">
      <c r="A25" s="9" t="s">
        <v>40</v>
      </c>
      <c r="B25" s="9" t="s">
        <v>219</v>
      </c>
      <c r="C25" s="9" t="s">
        <v>64</v>
      </c>
      <c r="D25" s="9" t="s">
        <v>439</v>
      </c>
      <c r="E25" s="9" t="s">
        <v>46</v>
      </c>
      <c r="F25" s="9"/>
      <c r="G25" s="9"/>
      <c r="H25" s="10">
        <v>46120</v>
      </c>
      <c r="I25" s="10">
        <v>46122</v>
      </c>
      <c r="J25" s="10">
        <v>46122</v>
      </c>
    </row>
    <row r="26" spans="1:10" ht="14.25" customHeight="1" x14ac:dyDescent="0.25">
      <c r="A26" s="9" t="s">
        <v>40</v>
      </c>
      <c r="B26" s="9" t="s">
        <v>182</v>
      </c>
      <c r="C26" s="9" t="s">
        <v>64</v>
      </c>
      <c r="D26" s="9" t="s">
        <v>439</v>
      </c>
      <c r="E26" s="9" t="s">
        <v>46</v>
      </c>
      <c r="F26" s="9"/>
      <c r="G26" s="9"/>
      <c r="H26" s="10">
        <v>46122</v>
      </c>
      <c r="I26" s="10"/>
      <c r="J26" s="10"/>
    </row>
    <row r="27" spans="1:10" ht="14.25" customHeight="1" x14ac:dyDescent="0.25">
      <c r="A27" s="9" t="s">
        <v>40</v>
      </c>
      <c r="B27" s="9" t="s">
        <v>42</v>
      </c>
      <c r="C27" s="9" t="s">
        <v>64</v>
      </c>
      <c r="D27" s="9" t="s">
        <v>439</v>
      </c>
      <c r="E27" s="9" t="s">
        <v>46</v>
      </c>
      <c r="F27" s="9"/>
      <c r="G27" s="9"/>
      <c r="H27" s="10"/>
      <c r="I27" s="10"/>
      <c r="J27" s="10"/>
    </row>
    <row r="28" spans="1:10" ht="14.25" customHeight="1" x14ac:dyDescent="0.25">
      <c r="A28" s="9" t="s">
        <v>40</v>
      </c>
      <c r="B28" s="9" t="s">
        <v>262</v>
      </c>
      <c r="C28" s="9" t="s">
        <v>69</v>
      </c>
      <c r="D28" s="9" t="s">
        <v>76</v>
      </c>
      <c r="E28" s="9" t="s">
        <v>60</v>
      </c>
      <c r="F28" s="9"/>
      <c r="G28" s="9"/>
      <c r="H28" s="10"/>
      <c r="I28" s="10">
        <v>46115</v>
      </c>
      <c r="J28" s="10">
        <v>46115</v>
      </c>
    </row>
    <row r="29" spans="1:10" ht="14.25" customHeight="1" x14ac:dyDescent="0.25">
      <c r="A29" s="9" t="s">
        <v>40</v>
      </c>
      <c r="B29" s="9" t="s">
        <v>204</v>
      </c>
      <c r="C29" s="9" t="s">
        <v>69</v>
      </c>
      <c r="D29" s="9" t="s">
        <v>76</v>
      </c>
      <c r="E29" s="9" t="s">
        <v>60</v>
      </c>
      <c r="F29" s="9"/>
      <c r="G29" s="9"/>
      <c r="H29" s="10">
        <v>46115</v>
      </c>
      <c r="I29" s="10">
        <v>46126</v>
      </c>
      <c r="J29" s="10">
        <v>46126</v>
      </c>
    </row>
    <row r="30" spans="1:10" ht="14.25" customHeight="1" x14ac:dyDescent="0.25">
      <c r="A30" s="9" t="s">
        <v>40</v>
      </c>
      <c r="B30" s="9" t="s">
        <v>219</v>
      </c>
      <c r="C30" s="9" t="s">
        <v>69</v>
      </c>
      <c r="D30" s="9" t="s">
        <v>76</v>
      </c>
      <c r="E30" s="9" t="s">
        <v>60</v>
      </c>
      <c r="F30" s="9"/>
      <c r="G30" s="9"/>
      <c r="H30" s="10">
        <v>46126</v>
      </c>
      <c r="I30" s="10">
        <v>46122</v>
      </c>
      <c r="J30" s="10">
        <v>46122</v>
      </c>
    </row>
    <row r="31" spans="1:10" ht="14.25" customHeight="1" x14ac:dyDescent="0.25">
      <c r="A31" s="9" t="s">
        <v>40</v>
      </c>
      <c r="B31" s="9" t="s">
        <v>182</v>
      </c>
      <c r="C31" s="9" t="s">
        <v>69</v>
      </c>
      <c r="D31" s="9" t="s">
        <v>76</v>
      </c>
      <c r="E31" s="9" t="s">
        <v>60</v>
      </c>
      <c r="F31" s="9"/>
      <c r="G31" s="9"/>
      <c r="H31" s="10">
        <v>46122</v>
      </c>
      <c r="I31" s="10"/>
      <c r="J31" s="10"/>
    </row>
    <row r="32" spans="1:10" ht="14.25" customHeight="1" x14ac:dyDescent="0.25">
      <c r="A32" s="9" t="s">
        <v>40</v>
      </c>
      <c r="B32" s="9" t="s">
        <v>42</v>
      </c>
      <c r="C32" s="9" t="s">
        <v>69</v>
      </c>
      <c r="D32" s="9" t="s">
        <v>76</v>
      </c>
      <c r="E32" s="9" t="s">
        <v>60</v>
      </c>
      <c r="F32" s="9"/>
      <c r="G32" s="9"/>
      <c r="H32" s="10"/>
      <c r="I32" s="10"/>
      <c r="J32" s="10"/>
    </row>
    <row r="33" spans="1:10" ht="14.25" customHeight="1" x14ac:dyDescent="0.25">
      <c r="A33" s="9" t="s">
        <v>40</v>
      </c>
      <c r="B33" s="9" t="s">
        <v>262</v>
      </c>
      <c r="C33" s="9" t="s">
        <v>70</v>
      </c>
      <c r="D33" s="9" t="s">
        <v>439</v>
      </c>
      <c r="E33" s="9" t="s">
        <v>60</v>
      </c>
      <c r="F33" s="9"/>
      <c r="G33" s="9"/>
      <c r="H33" s="10"/>
      <c r="I33" s="10">
        <v>46122</v>
      </c>
      <c r="J33" s="10">
        <v>46122</v>
      </c>
    </row>
    <row r="34" spans="1:10" ht="14.25" customHeight="1" x14ac:dyDescent="0.25">
      <c r="A34" s="9" t="s">
        <v>40</v>
      </c>
      <c r="B34" s="9" t="s">
        <v>204</v>
      </c>
      <c r="C34" s="9" t="s">
        <v>70</v>
      </c>
      <c r="D34" s="9" t="s">
        <v>439</v>
      </c>
      <c r="E34" s="9" t="s">
        <v>60</v>
      </c>
      <c r="F34" s="9"/>
      <c r="G34" s="9"/>
      <c r="H34" s="10">
        <v>46122</v>
      </c>
      <c r="I34" s="10">
        <v>46126</v>
      </c>
      <c r="J34" s="10">
        <v>46126</v>
      </c>
    </row>
    <row r="35" spans="1:10" ht="14.25" customHeight="1" x14ac:dyDescent="0.25">
      <c r="A35" s="9" t="s">
        <v>40</v>
      </c>
      <c r="B35" s="9" t="s">
        <v>219</v>
      </c>
      <c r="C35" s="9" t="s">
        <v>70</v>
      </c>
      <c r="D35" s="9" t="s">
        <v>439</v>
      </c>
      <c r="E35" s="9" t="s">
        <v>60</v>
      </c>
      <c r="F35" s="9"/>
      <c r="G35" s="9"/>
      <c r="H35" s="10">
        <v>46126</v>
      </c>
      <c r="I35" s="10">
        <v>46122</v>
      </c>
      <c r="J35" s="10">
        <v>46122</v>
      </c>
    </row>
    <row r="36" spans="1:10" ht="14.25" customHeight="1" x14ac:dyDescent="0.25">
      <c r="A36" s="9" t="s">
        <v>40</v>
      </c>
      <c r="B36" s="9" t="s">
        <v>182</v>
      </c>
      <c r="C36" s="9" t="s">
        <v>70</v>
      </c>
      <c r="D36" s="9" t="s">
        <v>439</v>
      </c>
      <c r="E36" s="9" t="s">
        <v>60</v>
      </c>
      <c r="F36" s="9"/>
      <c r="G36" s="9"/>
      <c r="H36" s="10">
        <v>46122</v>
      </c>
      <c r="I36" s="10"/>
      <c r="J36" s="10"/>
    </row>
    <row r="37" spans="1:10" ht="14.25" customHeight="1" x14ac:dyDescent="0.25">
      <c r="A37" s="9" t="s">
        <v>40</v>
      </c>
      <c r="B37" s="9" t="s">
        <v>42</v>
      </c>
      <c r="C37" s="9" t="s">
        <v>70</v>
      </c>
      <c r="D37" s="9" t="s">
        <v>439</v>
      </c>
      <c r="E37" s="9" t="s">
        <v>60</v>
      </c>
      <c r="F37" s="9"/>
      <c r="G37" s="9"/>
      <c r="H37" s="10"/>
      <c r="I37" s="10"/>
      <c r="J37" s="10"/>
    </row>
    <row r="38" spans="1:10" ht="14.25" customHeight="1" x14ac:dyDescent="0.25">
      <c r="A38" s="9" t="s">
        <v>40</v>
      </c>
      <c r="B38" s="9" t="s">
        <v>262</v>
      </c>
      <c r="C38" s="9" t="s">
        <v>71</v>
      </c>
      <c r="D38" s="9" t="s">
        <v>84</v>
      </c>
      <c r="E38" s="9" t="s">
        <v>60</v>
      </c>
      <c r="F38" s="9"/>
      <c r="G38" s="9"/>
      <c r="H38" s="9"/>
      <c r="I38" s="10">
        <v>46122</v>
      </c>
      <c r="J38" s="10">
        <v>46122</v>
      </c>
    </row>
    <row r="39" spans="1:10" ht="14.25" customHeight="1" x14ac:dyDescent="0.25">
      <c r="A39" s="9" t="s">
        <v>40</v>
      </c>
      <c r="B39" s="9" t="s">
        <v>204</v>
      </c>
      <c r="C39" s="9" t="s">
        <v>71</v>
      </c>
      <c r="D39" s="9" t="s">
        <v>84</v>
      </c>
      <c r="E39" s="9" t="s">
        <v>60</v>
      </c>
      <c r="F39" s="9"/>
      <c r="G39" s="9"/>
      <c r="H39" s="10">
        <v>46122</v>
      </c>
      <c r="I39" s="10">
        <v>46126</v>
      </c>
      <c r="J39" s="10">
        <v>46126</v>
      </c>
    </row>
    <row r="40" spans="1:10" ht="14.25" customHeight="1" x14ac:dyDescent="0.25">
      <c r="A40" s="9" t="s">
        <v>40</v>
      </c>
      <c r="B40" s="9" t="s">
        <v>219</v>
      </c>
      <c r="C40" s="9" t="s">
        <v>71</v>
      </c>
      <c r="D40" s="9" t="s">
        <v>84</v>
      </c>
      <c r="E40" s="9" t="s">
        <v>60</v>
      </c>
      <c r="F40" s="9"/>
      <c r="G40" s="9"/>
      <c r="H40" s="10">
        <v>46126</v>
      </c>
      <c r="I40" s="10">
        <v>46122</v>
      </c>
      <c r="J40" s="10">
        <v>46122</v>
      </c>
    </row>
    <row r="41" spans="1:10" ht="14.25" customHeight="1" x14ac:dyDescent="0.25">
      <c r="A41" s="9" t="s">
        <v>40</v>
      </c>
      <c r="B41" s="9" t="s">
        <v>182</v>
      </c>
      <c r="C41" s="9" t="s">
        <v>71</v>
      </c>
      <c r="D41" s="9" t="s">
        <v>84</v>
      </c>
      <c r="E41" s="9" t="s">
        <v>60</v>
      </c>
      <c r="F41" s="9"/>
      <c r="G41" s="9"/>
      <c r="H41" s="10">
        <v>46122</v>
      </c>
      <c r="I41" s="10"/>
      <c r="J41" s="10"/>
    </row>
    <row r="42" spans="1:10" ht="14.25" customHeight="1" x14ac:dyDescent="0.25">
      <c r="A42" s="9" t="s">
        <v>40</v>
      </c>
      <c r="B42" s="9" t="s">
        <v>42</v>
      </c>
      <c r="C42" s="9" t="s">
        <v>71</v>
      </c>
      <c r="D42" s="9" t="s">
        <v>84</v>
      </c>
      <c r="E42" s="9" t="s">
        <v>60</v>
      </c>
      <c r="F42" s="9"/>
      <c r="G42" s="9"/>
      <c r="H42" s="9"/>
      <c r="I42" s="10"/>
      <c r="J42" s="10"/>
    </row>
    <row r="43" spans="1:10" ht="14.25" customHeight="1" x14ac:dyDescent="0.25">
      <c r="A43" s="9" t="s">
        <v>40</v>
      </c>
      <c r="B43" s="9" t="s">
        <v>262</v>
      </c>
      <c r="C43" s="9" t="s">
        <v>73</v>
      </c>
      <c r="D43" s="9" t="s">
        <v>59</v>
      </c>
      <c r="E43" s="9" t="s">
        <v>60</v>
      </c>
      <c r="F43" s="9"/>
      <c r="G43" s="9"/>
      <c r="H43" s="10"/>
      <c r="I43" s="10">
        <v>46127</v>
      </c>
      <c r="J43" s="10">
        <v>46127</v>
      </c>
    </row>
    <row r="44" spans="1:10" ht="14.25" customHeight="1" x14ac:dyDescent="0.25">
      <c r="A44" s="9" t="s">
        <v>40</v>
      </c>
      <c r="B44" s="9" t="s">
        <v>204</v>
      </c>
      <c r="C44" s="9" t="s">
        <v>73</v>
      </c>
      <c r="D44" s="9" t="s">
        <v>59</v>
      </c>
      <c r="E44" s="9" t="s">
        <v>60</v>
      </c>
      <c r="F44" s="9"/>
      <c r="G44" s="9"/>
      <c r="H44" s="10">
        <v>46127</v>
      </c>
      <c r="I44" s="10">
        <v>46126</v>
      </c>
      <c r="J44" s="10">
        <v>46126</v>
      </c>
    </row>
    <row r="45" spans="1:10" ht="14.25" customHeight="1" x14ac:dyDescent="0.25">
      <c r="A45" s="9" t="s">
        <v>40</v>
      </c>
      <c r="B45" s="9" t="s">
        <v>219</v>
      </c>
      <c r="C45" s="9" t="s">
        <v>73</v>
      </c>
      <c r="D45" s="9" t="s">
        <v>59</v>
      </c>
      <c r="E45" s="9" t="s">
        <v>60</v>
      </c>
      <c r="F45" s="9"/>
      <c r="G45" s="9"/>
      <c r="H45" s="10">
        <v>46126</v>
      </c>
      <c r="I45" s="10">
        <v>46122</v>
      </c>
      <c r="J45" s="10">
        <v>46122</v>
      </c>
    </row>
    <row r="46" spans="1:10" ht="14.25" customHeight="1" x14ac:dyDescent="0.25">
      <c r="A46" s="9" t="s">
        <v>40</v>
      </c>
      <c r="B46" s="9" t="s">
        <v>182</v>
      </c>
      <c r="C46" s="9" t="s">
        <v>73</v>
      </c>
      <c r="D46" s="9" t="s">
        <v>59</v>
      </c>
      <c r="E46" s="9" t="s">
        <v>60</v>
      </c>
      <c r="F46" s="9"/>
      <c r="G46" s="9"/>
      <c r="H46" s="10">
        <v>46122</v>
      </c>
      <c r="I46" s="10"/>
      <c r="J46" s="10"/>
    </row>
    <row r="47" spans="1:10" ht="14.25" customHeight="1" x14ac:dyDescent="0.25">
      <c r="A47" s="9" t="s">
        <v>40</v>
      </c>
      <c r="B47" s="9" t="s">
        <v>42</v>
      </c>
      <c r="C47" s="9" t="s">
        <v>73</v>
      </c>
      <c r="D47" s="9" t="s">
        <v>59</v>
      </c>
      <c r="E47" s="9" t="s">
        <v>60</v>
      </c>
      <c r="F47" s="9"/>
      <c r="G47" s="9"/>
      <c r="H47" s="10"/>
      <c r="I47" s="10"/>
      <c r="J47" s="10"/>
    </row>
    <row r="48" spans="1:10" ht="14.25" customHeight="1" x14ac:dyDescent="0.25">
      <c r="A48" s="9" t="s">
        <v>40</v>
      </c>
      <c r="B48" s="9" t="s">
        <v>262</v>
      </c>
      <c r="C48" s="9" t="s">
        <v>97</v>
      </c>
      <c r="D48" s="9" t="s">
        <v>439</v>
      </c>
      <c r="E48" s="9" t="s">
        <v>60</v>
      </c>
      <c r="F48" s="9"/>
      <c r="G48" s="9"/>
      <c r="H48" s="10"/>
      <c r="I48" s="10"/>
      <c r="J48" s="10"/>
    </row>
    <row r="49" spans="1:10" ht="14.25" customHeight="1" x14ac:dyDescent="0.25">
      <c r="A49" s="9" t="s">
        <v>40</v>
      </c>
      <c r="B49" s="9" t="s">
        <v>204</v>
      </c>
      <c r="C49" s="9" t="s">
        <v>97</v>
      </c>
      <c r="D49" s="9" t="s">
        <v>439</v>
      </c>
      <c r="E49" s="9" t="s">
        <v>60</v>
      </c>
      <c r="F49" s="9"/>
      <c r="G49" s="9"/>
      <c r="H49" s="10"/>
      <c r="I49" s="10">
        <v>46139</v>
      </c>
      <c r="J49" s="10">
        <v>46139</v>
      </c>
    </row>
    <row r="50" spans="1:10" ht="14.25" customHeight="1" x14ac:dyDescent="0.25">
      <c r="A50" s="9" t="s">
        <v>40</v>
      </c>
      <c r="B50" s="9" t="s">
        <v>219</v>
      </c>
      <c r="C50" s="9" t="s">
        <v>97</v>
      </c>
      <c r="D50" s="9" t="s">
        <v>439</v>
      </c>
      <c r="E50" s="9" t="s">
        <v>60</v>
      </c>
      <c r="F50" s="9"/>
      <c r="G50" s="9"/>
      <c r="H50" s="10">
        <v>46139</v>
      </c>
      <c r="I50" s="10">
        <v>46139</v>
      </c>
      <c r="J50" s="10">
        <v>46139</v>
      </c>
    </row>
    <row r="51" spans="1:10" ht="14.25" customHeight="1" x14ac:dyDescent="0.25">
      <c r="A51" s="9" t="s">
        <v>40</v>
      </c>
      <c r="B51" s="9" t="s">
        <v>182</v>
      </c>
      <c r="C51" s="9" t="s">
        <v>97</v>
      </c>
      <c r="D51" s="9" t="s">
        <v>439</v>
      </c>
      <c r="E51" s="9" t="s">
        <v>60</v>
      </c>
      <c r="F51" s="9"/>
      <c r="G51" s="9"/>
      <c r="H51" s="10">
        <v>46139</v>
      </c>
      <c r="I51" s="10"/>
      <c r="J51" s="10"/>
    </row>
    <row r="52" spans="1:10" ht="14.25" customHeight="1" x14ac:dyDescent="0.25">
      <c r="A52" s="9" t="s">
        <v>40</v>
      </c>
      <c r="B52" s="9" t="s">
        <v>42</v>
      </c>
      <c r="C52" s="9" t="s">
        <v>97</v>
      </c>
      <c r="D52" s="9" t="s">
        <v>439</v>
      </c>
      <c r="E52" s="9" t="s">
        <v>60</v>
      </c>
      <c r="F52" s="9"/>
      <c r="G52" s="9"/>
      <c r="H52" s="10"/>
      <c r="I52" s="10"/>
      <c r="J52" s="10"/>
    </row>
    <row r="53" spans="1:10" ht="14.25" customHeight="1" x14ac:dyDescent="0.25">
      <c r="A53" s="9" t="s">
        <v>40</v>
      </c>
      <c r="B53" s="9" t="s">
        <v>262</v>
      </c>
      <c r="C53" s="9" t="s">
        <v>98</v>
      </c>
      <c r="D53" s="9" t="s">
        <v>439</v>
      </c>
      <c r="E53" s="9" t="s">
        <v>60</v>
      </c>
      <c r="F53" s="9"/>
      <c r="G53" s="9"/>
      <c r="H53" s="10"/>
      <c r="I53" s="10"/>
      <c r="J53" s="10"/>
    </row>
    <row r="54" spans="1:10" ht="14.25" customHeight="1" x14ac:dyDescent="0.25">
      <c r="A54" s="9" t="s">
        <v>40</v>
      </c>
      <c r="B54" s="9" t="s">
        <v>204</v>
      </c>
      <c r="C54" s="9" t="s">
        <v>98</v>
      </c>
      <c r="D54" s="9" t="s">
        <v>439</v>
      </c>
      <c r="E54" s="9" t="s">
        <v>60</v>
      </c>
      <c r="F54" s="9"/>
      <c r="G54" s="9"/>
      <c r="H54" s="9"/>
      <c r="I54" s="10">
        <v>46141</v>
      </c>
      <c r="J54" s="10">
        <v>46141</v>
      </c>
    </row>
    <row r="55" spans="1:10" ht="14.25" customHeight="1" x14ac:dyDescent="0.25">
      <c r="A55" s="9" t="s">
        <v>40</v>
      </c>
      <c r="B55" s="9" t="s">
        <v>219</v>
      </c>
      <c r="C55" s="9" t="s">
        <v>98</v>
      </c>
      <c r="D55" s="9" t="s">
        <v>439</v>
      </c>
      <c r="E55" s="9" t="s">
        <v>60</v>
      </c>
      <c r="F55" s="9"/>
      <c r="G55" s="9"/>
      <c r="H55" s="10">
        <v>46141</v>
      </c>
      <c r="I55" s="10">
        <v>46141</v>
      </c>
      <c r="J55" s="10">
        <v>46141</v>
      </c>
    </row>
    <row r="56" spans="1:10" ht="14.25" customHeight="1" x14ac:dyDescent="0.25">
      <c r="A56" s="9" t="s">
        <v>40</v>
      </c>
      <c r="B56" s="9" t="s">
        <v>182</v>
      </c>
      <c r="C56" s="9" t="s">
        <v>98</v>
      </c>
      <c r="D56" s="9" t="s">
        <v>439</v>
      </c>
      <c r="E56" s="9" t="s">
        <v>60</v>
      </c>
      <c r="F56" s="9"/>
      <c r="G56" s="9"/>
      <c r="H56" s="10">
        <v>46141</v>
      </c>
      <c r="I56" s="10"/>
      <c r="J56" s="10"/>
    </row>
    <row r="57" spans="1:10" ht="14.25" customHeight="1" x14ac:dyDescent="0.25">
      <c r="A57" s="9" t="s">
        <v>40</v>
      </c>
      <c r="B57" s="9" t="s">
        <v>42</v>
      </c>
      <c r="C57" s="9" t="s">
        <v>98</v>
      </c>
      <c r="D57" s="9" t="s">
        <v>439</v>
      </c>
      <c r="E57" s="9" t="s">
        <v>60</v>
      </c>
      <c r="F57" s="9"/>
      <c r="G57" s="9"/>
      <c r="H57" s="10"/>
      <c r="I57" s="10"/>
      <c r="J57" s="10"/>
    </row>
    <row r="58" spans="1:10" ht="14.25" customHeight="1" x14ac:dyDescent="0.25">
      <c r="A58" s="9" t="s">
        <v>40</v>
      </c>
      <c r="B58" s="9" t="s">
        <v>262</v>
      </c>
      <c r="C58" s="9" t="s">
        <v>99</v>
      </c>
      <c r="D58" s="9" t="s">
        <v>439</v>
      </c>
      <c r="E58" s="9" t="s">
        <v>46</v>
      </c>
      <c r="F58" s="9"/>
      <c r="G58" s="9"/>
      <c r="H58" s="9"/>
      <c r="I58" s="10"/>
      <c r="J58" s="10"/>
    </row>
    <row r="59" spans="1:10" ht="14.25" customHeight="1" x14ac:dyDescent="0.25">
      <c r="A59" s="9" t="s">
        <v>40</v>
      </c>
      <c r="B59" s="9" t="s">
        <v>204</v>
      </c>
      <c r="C59" s="9" t="s">
        <v>99</v>
      </c>
      <c r="D59" s="9" t="s">
        <v>439</v>
      </c>
      <c r="E59" s="9" t="s">
        <v>46</v>
      </c>
      <c r="F59" s="9"/>
      <c r="G59" s="9"/>
      <c r="H59" s="10"/>
      <c r="I59" s="10">
        <v>46161</v>
      </c>
      <c r="J59" s="10">
        <v>46161</v>
      </c>
    </row>
    <row r="60" spans="1:10" ht="14.25" customHeight="1" x14ac:dyDescent="0.25">
      <c r="A60" s="9" t="s">
        <v>40</v>
      </c>
      <c r="B60" s="9" t="s">
        <v>219</v>
      </c>
      <c r="C60" s="9" t="s">
        <v>99</v>
      </c>
      <c r="D60" s="9" t="s">
        <v>439</v>
      </c>
      <c r="E60" s="9" t="s">
        <v>46</v>
      </c>
      <c r="F60" s="9"/>
      <c r="G60" s="9"/>
      <c r="H60" s="10">
        <v>46161</v>
      </c>
      <c r="I60" s="10">
        <v>46161</v>
      </c>
      <c r="J60" s="10">
        <v>46161</v>
      </c>
    </row>
    <row r="61" spans="1:10" ht="14.25" customHeight="1" x14ac:dyDescent="0.25">
      <c r="A61" s="9" t="s">
        <v>40</v>
      </c>
      <c r="B61" s="9" t="s">
        <v>182</v>
      </c>
      <c r="C61" s="9" t="s">
        <v>99</v>
      </c>
      <c r="D61" s="9" t="s">
        <v>439</v>
      </c>
      <c r="E61" s="9" t="s">
        <v>46</v>
      </c>
      <c r="F61" s="9"/>
      <c r="G61" s="9"/>
      <c r="H61" s="10">
        <v>46161</v>
      </c>
      <c r="I61" s="10"/>
      <c r="J61" s="10"/>
    </row>
    <row r="62" spans="1:10" ht="14.25" customHeight="1" x14ac:dyDescent="0.25">
      <c r="A62" s="9" t="s">
        <v>40</v>
      </c>
      <c r="B62" s="9" t="s">
        <v>42</v>
      </c>
      <c r="C62" s="9" t="s">
        <v>99</v>
      </c>
      <c r="D62" s="9" t="s">
        <v>439</v>
      </c>
      <c r="E62" s="9" t="s">
        <v>46</v>
      </c>
      <c r="F62" s="9"/>
      <c r="G62" s="9"/>
      <c r="H62" s="9"/>
      <c r="I62" s="10"/>
      <c r="J62" s="10"/>
    </row>
    <row r="63" spans="1:10" ht="14.25" customHeight="1" x14ac:dyDescent="0.25">
      <c r="A63" s="9" t="s">
        <v>40</v>
      </c>
      <c r="B63" s="9" t="s">
        <v>262</v>
      </c>
      <c r="C63" s="9" t="s">
        <v>100</v>
      </c>
      <c r="D63" s="9" t="s">
        <v>103</v>
      </c>
      <c r="E63" s="9" t="s">
        <v>46</v>
      </c>
      <c r="F63" s="9"/>
      <c r="G63" s="9"/>
      <c r="H63" s="10"/>
      <c r="I63" s="10"/>
      <c r="J63" s="10"/>
    </row>
    <row r="64" spans="1:10" ht="14.25" customHeight="1" x14ac:dyDescent="0.25">
      <c r="A64" s="9" t="s">
        <v>40</v>
      </c>
      <c r="B64" s="9" t="s">
        <v>204</v>
      </c>
      <c r="C64" s="9" t="s">
        <v>100</v>
      </c>
      <c r="D64" s="9" t="s">
        <v>103</v>
      </c>
      <c r="E64" s="9" t="s">
        <v>46</v>
      </c>
      <c r="F64" s="9"/>
      <c r="G64" s="9"/>
      <c r="H64" s="10"/>
      <c r="I64" s="10">
        <v>46175</v>
      </c>
      <c r="J64" s="10">
        <v>46175</v>
      </c>
    </row>
    <row r="65" spans="1:10" ht="14.25" customHeight="1" x14ac:dyDescent="0.25">
      <c r="A65" s="9" t="s">
        <v>40</v>
      </c>
      <c r="B65" s="9" t="s">
        <v>219</v>
      </c>
      <c r="C65" s="9" t="s">
        <v>100</v>
      </c>
      <c r="D65" s="9" t="s">
        <v>103</v>
      </c>
      <c r="E65" s="9" t="s">
        <v>46</v>
      </c>
      <c r="F65" s="9"/>
      <c r="G65" s="9"/>
      <c r="H65" s="10">
        <v>46175</v>
      </c>
      <c r="I65" s="10">
        <v>46175</v>
      </c>
      <c r="J65" s="10">
        <v>46175</v>
      </c>
    </row>
    <row r="66" spans="1:10" ht="14.25" customHeight="1" x14ac:dyDescent="0.25">
      <c r="A66" s="9" t="s">
        <v>40</v>
      </c>
      <c r="B66" s="9" t="s">
        <v>182</v>
      </c>
      <c r="C66" s="9" t="s">
        <v>100</v>
      </c>
      <c r="D66" s="9" t="s">
        <v>103</v>
      </c>
      <c r="E66" s="9" t="s">
        <v>46</v>
      </c>
      <c r="F66" s="9"/>
      <c r="G66" s="9"/>
      <c r="H66" s="10">
        <v>46175</v>
      </c>
      <c r="I66" s="10"/>
      <c r="J66" s="10"/>
    </row>
    <row r="67" spans="1:10" ht="14.25" customHeight="1" x14ac:dyDescent="0.25">
      <c r="A67" s="9" t="s">
        <v>40</v>
      </c>
      <c r="B67" s="9" t="s">
        <v>42</v>
      </c>
      <c r="C67" s="9" t="s">
        <v>100</v>
      </c>
      <c r="D67" s="9" t="s">
        <v>103</v>
      </c>
      <c r="E67" s="9" t="s">
        <v>46</v>
      </c>
      <c r="F67" s="9"/>
      <c r="G67" s="9"/>
      <c r="H67" s="10"/>
      <c r="I67" s="10">
        <v>46184</v>
      </c>
      <c r="J67" s="10">
        <v>46184</v>
      </c>
    </row>
    <row r="68" spans="1:10" ht="14.25" customHeight="1" x14ac:dyDescent="0.25">
      <c r="A68" s="9" t="s">
        <v>40</v>
      </c>
      <c r="B68" s="9" t="s">
        <v>262</v>
      </c>
      <c r="C68" s="9" t="s">
        <v>74</v>
      </c>
      <c r="D68" s="9" t="s">
        <v>76</v>
      </c>
      <c r="E68" s="9" t="s">
        <v>77</v>
      </c>
      <c r="F68" s="9"/>
      <c r="G68" s="9"/>
      <c r="H68" s="10"/>
      <c r="I68" s="10"/>
      <c r="J68" s="9"/>
    </row>
    <row r="69" spans="1:10" ht="14.25" customHeight="1" x14ac:dyDescent="0.25">
      <c r="A69" s="9" t="s">
        <v>40</v>
      </c>
      <c r="B69" s="9" t="s">
        <v>204</v>
      </c>
      <c r="C69" s="9" t="s">
        <v>74</v>
      </c>
      <c r="D69" s="9" t="s">
        <v>76</v>
      </c>
      <c r="E69" s="9" t="s">
        <v>77</v>
      </c>
      <c r="F69" s="9"/>
      <c r="G69" s="9"/>
      <c r="H69" s="9"/>
      <c r="I69" s="10">
        <v>46134</v>
      </c>
      <c r="J69" s="10">
        <v>46134</v>
      </c>
    </row>
    <row r="70" spans="1:10" ht="14.25" customHeight="1" x14ac:dyDescent="0.25">
      <c r="A70" s="9" t="s">
        <v>40</v>
      </c>
      <c r="B70" s="9" t="s">
        <v>219</v>
      </c>
      <c r="C70" s="9" t="s">
        <v>74</v>
      </c>
      <c r="D70" s="9" t="s">
        <v>76</v>
      </c>
      <c r="E70" s="9" t="s">
        <v>77</v>
      </c>
      <c r="F70" s="9"/>
      <c r="G70" s="9"/>
      <c r="H70" s="10">
        <v>46134</v>
      </c>
      <c r="I70" s="10">
        <v>46134</v>
      </c>
      <c r="J70" s="10">
        <v>46134</v>
      </c>
    </row>
    <row r="71" spans="1:10" ht="14.25" customHeight="1" x14ac:dyDescent="0.25">
      <c r="A71" s="9" t="s">
        <v>40</v>
      </c>
      <c r="B71" s="9" t="s">
        <v>182</v>
      </c>
      <c r="C71" s="9" t="s">
        <v>74</v>
      </c>
      <c r="D71" s="9" t="s">
        <v>76</v>
      </c>
      <c r="E71" s="9" t="s">
        <v>77</v>
      </c>
      <c r="F71" s="9"/>
      <c r="G71" s="9"/>
      <c r="H71" s="10">
        <v>46134</v>
      </c>
      <c r="I71" s="10"/>
      <c r="J71" s="10"/>
    </row>
    <row r="72" spans="1:10" ht="14.25" customHeight="1" x14ac:dyDescent="0.25">
      <c r="A72" s="9" t="s">
        <v>40</v>
      </c>
      <c r="B72" s="9" t="s">
        <v>42</v>
      </c>
      <c r="C72" s="9" t="s">
        <v>74</v>
      </c>
      <c r="D72" s="9" t="s">
        <v>76</v>
      </c>
      <c r="E72" s="9" t="s">
        <v>77</v>
      </c>
      <c r="F72" s="9"/>
      <c r="G72" s="9"/>
      <c r="H72" s="10"/>
      <c r="I72" s="10"/>
      <c r="J72" s="10"/>
    </row>
    <row r="73" spans="1:10" ht="14.25" customHeight="1" x14ac:dyDescent="0.25">
      <c r="A73" s="9" t="s">
        <v>40</v>
      </c>
      <c r="B73" s="9" t="s">
        <v>262</v>
      </c>
      <c r="C73" s="9" t="s">
        <v>80</v>
      </c>
      <c r="D73" s="9" t="s">
        <v>59</v>
      </c>
      <c r="E73" s="9" t="s">
        <v>77</v>
      </c>
      <c r="F73" s="9"/>
      <c r="G73" s="9"/>
      <c r="H73" s="9"/>
      <c r="I73" s="10"/>
      <c r="J73" s="10"/>
    </row>
    <row r="74" spans="1:10" ht="14.25" customHeight="1" x14ac:dyDescent="0.25">
      <c r="A74" s="9" t="s">
        <v>40</v>
      </c>
      <c r="B74" s="9" t="s">
        <v>204</v>
      </c>
      <c r="C74" s="9" t="s">
        <v>80</v>
      </c>
      <c r="D74" s="9" t="s">
        <v>59</v>
      </c>
      <c r="E74" s="9" t="s">
        <v>77</v>
      </c>
      <c r="F74" s="9"/>
      <c r="G74" s="9"/>
      <c r="H74" s="10"/>
      <c r="I74" s="10">
        <v>46139</v>
      </c>
      <c r="J74" s="10">
        <v>46139</v>
      </c>
    </row>
    <row r="75" spans="1:10" ht="14.25" customHeight="1" x14ac:dyDescent="0.25">
      <c r="A75" s="9" t="s">
        <v>40</v>
      </c>
      <c r="B75" s="9" t="s">
        <v>219</v>
      </c>
      <c r="C75" s="9" t="s">
        <v>80</v>
      </c>
      <c r="D75" s="9" t="s">
        <v>59</v>
      </c>
      <c r="E75" s="9" t="s">
        <v>77</v>
      </c>
      <c r="F75" s="9"/>
      <c r="G75" s="9"/>
      <c r="H75" s="10">
        <v>46139</v>
      </c>
      <c r="I75" s="10">
        <v>46139</v>
      </c>
      <c r="J75" s="10">
        <v>46139</v>
      </c>
    </row>
    <row r="76" spans="1:10" ht="14.25" customHeight="1" x14ac:dyDescent="0.25">
      <c r="A76" s="9" t="s">
        <v>40</v>
      </c>
      <c r="B76" s="9" t="s">
        <v>182</v>
      </c>
      <c r="C76" s="9" t="s">
        <v>80</v>
      </c>
      <c r="D76" s="9" t="s">
        <v>59</v>
      </c>
      <c r="E76" s="9" t="s">
        <v>77</v>
      </c>
      <c r="F76" s="9"/>
      <c r="G76" s="9"/>
      <c r="H76" s="10">
        <v>46139</v>
      </c>
      <c r="I76" s="10"/>
      <c r="J76" s="10"/>
    </row>
    <row r="77" spans="1:10" ht="14.25" customHeight="1" x14ac:dyDescent="0.25">
      <c r="A77" s="9" t="s">
        <v>40</v>
      </c>
      <c r="B77" s="9" t="s">
        <v>42</v>
      </c>
      <c r="C77" s="9" t="s">
        <v>80</v>
      </c>
      <c r="D77" s="9" t="s">
        <v>59</v>
      </c>
      <c r="E77" s="9" t="s">
        <v>77</v>
      </c>
      <c r="F77" s="9"/>
      <c r="G77" s="9"/>
      <c r="H77" s="9"/>
      <c r="I77" s="10"/>
      <c r="J77" s="10"/>
    </row>
    <row r="78" spans="1:10" ht="14.25" customHeight="1" x14ac:dyDescent="0.25">
      <c r="A78" s="9" t="s">
        <v>40</v>
      </c>
      <c r="B78" s="9" t="s">
        <v>262</v>
      </c>
      <c r="C78" s="9" t="s">
        <v>83</v>
      </c>
      <c r="D78" s="9" t="s">
        <v>84</v>
      </c>
      <c r="E78" s="9" t="s">
        <v>60</v>
      </c>
      <c r="F78" s="9"/>
      <c r="G78" s="9"/>
      <c r="H78" s="10"/>
      <c r="I78" s="10"/>
      <c r="J78" s="9"/>
    </row>
    <row r="79" spans="1:10" ht="14.25" customHeight="1" x14ac:dyDescent="0.25">
      <c r="A79" s="9" t="s">
        <v>40</v>
      </c>
      <c r="B79" s="9" t="s">
        <v>204</v>
      </c>
      <c r="C79" s="9" t="s">
        <v>83</v>
      </c>
      <c r="D79" s="9" t="s">
        <v>84</v>
      </c>
      <c r="E79" s="9" t="s">
        <v>60</v>
      </c>
      <c r="F79" s="9"/>
      <c r="G79" s="9"/>
      <c r="H79" s="9"/>
      <c r="I79" s="10">
        <v>46147</v>
      </c>
      <c r="J79" s="10">
        <v>46147</v>
      </c>
    </row>
    <row r="80" spans="1:10" ht="14.25" customHeight="1" x14ac:dyDescent="0.25">
      <c r="A80" s="9" t="s">
        <v>40</v>
      </c>
      <c r="B80" s="9" t="s">
        <v>219</v>
      </c>
      <c r="C80" s="9" t="s">
        <v>83</v>
      </c>
      <c r="D80" s="9" t="s">
        <v>84</v>
      </c>
      <c r="E80" s="9" t="s">
        <v>60</v>
      </c>
      <c r="F80" s="9"/>
      <c r="G80" s="9"/>
      <c r="H80" s="10">
        <v>46147</v>
      </c>
      <c r="I80" s="10">
        <v>46147</v>
      </c>
      <c r="J80" s="10">
        <v>46147</v>
      </c>
    </row>
    <row r="81" spans="1:10" ht="14.25" customHeight="1" x14ac:dyDescent="0.25">
      <c r="A81" s="9" t="s">
        <v>40</v>
      </c>
      <c r="B81" s="9" t="s">
        <v>182</v>
      </c>
      <c r="C81" s="9" t="s">
        <v>83</v>
      </c>
      <c r="D81" s="9" t="s">
        <v>84</v>
      </c>
      <c r="E81" s="9" t="s">
        <v>60</v>
      </c>
      <c r="F81" s="9"/>
      <c r="G81" s="9"/>
      <c r="H81" s="10">
        <v>46147</v>
      </c>
      <c r="I81" s="10"/>
      <c r="J81" s="10"/>
    </row>
    <row r="82" spans="1:10" ht="14.25" customHeight="1" x14ac:dyDescent="0.25">
      <c r="A82" s="9" t="s">
        <v>40</v>
      </c>
      <c r="B82" s="9" t="s">
        <v>42</v>
      </c>
      <c r="C82" s="9" t="s">
        <v>83</v>
      </c>
      <c r="D82" s="9" t="s">
        <v>84</v>
      </c>
      <c r="E82" s="9" t="s">
        <v>60</v>
      </c>
      <c r="F82" s="9"/>
      <c r="G82" s="9"/>
      <c r="H82" s="10"/>
      <c r="I82" s="10"/>
      <c r="J82" s="9"/>
    </row>
    <row r="83" spans="1:10" ht="14.25" customHeight="1" x14ac:dyDescent="0.25">
      <c r="A83" s="9" t="s">
        <v>40</v>
      </c>
      <c r="B83" s="9" t="s">
        <v>262</v>
      </c>
      <c r="C83" s="9" t="s">
        <v>87</v>
      </c>
      <c r="D83" s="9" t="s">
        <v>84</v>
      </c>
      <c r="E83" s="9" t="s">
        <v>46</v>
      </c>
      <c r="F83" s="9"/>
      <c r="G83" s="9"/>
      <c r="H83" s="9"/>
      <c r="I83" s="10"/>
      <c r="J83" s="10"/>
    </row>
    <row r="84" spans="1:10" ht="14.25" customHeight="1" x14ac:dyDescent="0.25">
      <c r="A84" s="9" t="s">
        <v>40</v>
      </c>
      <c r="B84" s="9" t="s">
        <v>204</v>
      </c>
      <c r="C84" s="9" t="s">
        <v>87</v>
      </c>
      <c r="D84" s="9" t="s">
        <v>84</v>
      </c>
      <c r="E84" s="9" t="s">
        <v>46</v>
      </c>
      <c r="F84" s="9"/>
      <c r="G84" s="9"/>
      <c r="H84" s="10"/>
      <c r="I84" s="10">
        <v>46175</v>
      </c>
      <c r="J84" s="10">
        <v>46175</v>
      </c>
    </row>
    <row r="85" spans="1:10" ht="14.25" customHeight="1" x14ac:dyDescent="0.25">
      <c r="A85" s="9" t="s">
        <v>40</v>
      </c>
      <c r="B85" s="9" t="s">
        <v>219</v>
      </c>
      <c r="C85" s="9" t="s">
        <v>87</v>
      </c>
      <c r="D85" s="9" t="s">
        <v>84</v>
      </c>
      <c r="E85" s="9" t="s">
        <v>46</v>
      </c>
      <c r="F85" s="9"/>
      <c r="G85" s="9"/>
      <c r="H85" s="10">
        <v>46175</v>
      </c>
      <c r="I85" s="10">
        <v>46179</v>
      </c>
      <c r="J85" s="10">
        <v>46179</v>
      </c>
    </row>
    <row r="86" spans="1:10" ht="14.25" customHeight="1" x14ac:dyDescent="0.25">
      <c r="A86" s="9" t="s">
        <v>40</v>
      </c>
      <c r="B86" s="9" t="s">
        <v>182</v>
      </c>
      <c r="C86" s="9" t="s">
        <v>87</v>
      </c>
      <c r="D86" s="9" t="s">
        <v>84</v>
      </c>
      <c r="E86" s="9" t="s">
        <v>46</v>
      </c>
      <c r="F86" s="9"/>
      <c r="G86" s="9"/>
      <c r="H86" s="10">
        <v>46179</v>
      </c>
      <c r="I86" s="10"/>
      <c r="J86" s="10"/>
    </row>
    <row r="87" spans="1:10" ht="14.25" customHeight="1" x14ac:dyDescent="0.25">
      <c r="A87" s="9" t="s">
        <v>40</v>
      </c>
      <c r="B87" s="9" t="s">
        <v>42</v>
      </c>
      <c r="C87" s="9" t="s">
        <v>87</v>
      </c>
      <c r="D87" s="9" t="s">
        <v>84</v>
      </c>
      <c r="E87" s="9" t="s">
        <v>46</v>
      </c>
      <c r="F87" s="9"/>
      <c r="G87" s="9"/>
      <c r="H87" s="9"/>
      <c r="I87" s="10"/>
      <c r="J87" s="10"/>
    </row>
    <row r="88" spans="1:10" ht="14.25" customHeight="1" x14ac:dyDescent="0.25">
      <c r="A88" s="9" t="s">
        <v>40</v>
      </c>
      <c r="B88" s="9" t="s">
        <v>262</v>
      </c>
      <c r="C88" s="9" t="s">
        <v>90</v>
      </c>
      <c r="D88" s="9" t="s">
        <v>44</v>
      </c>
      <c r="E88" s="9" t="s">
        <v>60</v>
      </c>
      <c r="F88" s="9"/>
      <c r="G88" s="9"/>
      <c r="H88" s="10"/>
      <c r="I88" s="10"/>
      <c r="J88" s="9"/>
    </row>
    <row r="89" spans="1:10" ht="14.25" customHeight="1" x14ac:dyDescent="0.25">
      <c r="A89" s="9" t="s">
        <v>40</v>
      </c>
      <c r="B89" s="9" t="s">
        <v>204</v>
      </c>
      <c r="C89" s="9" t="s">
        <v>90</v>
      </c>
      <c r="D89" s="9" t="s">
        <v>44</v>
      </c>
      <c r="E89" s="9" t="s">
        <v>60</v>
      </c>
      <c r="F89" s="9"/>
      <c r="G89" s="9"/>
      <c r="H89" s="9"/>
      <c r="I89" s="10">
        <v>46143</v>
      </c>
      <c r="J89" s="10">
        <v>46143</v>
      </c>
    </row>
    <row r="90" spans="1:10" ht="14.25" customHeight="1" x14ac:dyDescent="0.25">
      <c r="A90" s="9" t="s">
        <v>40</v>
      </c>
      <c r="B90" s="9" t="s">
        <v>219</v>
      </c>
      <c r="C90" s="9" t="s">
        <v>90</v>
      </c>
      <c r="D90" s="9" t="s">
        <v>44</v>
      </c>
      <c r="E90" s="9" t="s">
        <v>60</v>
      </c>
      <c r="F90" s="9"/>
      <c r="G90" s="9"/>
      <c r="H90" s="10">
        <v>46143</v>
      </c>
      <c r="I90" s="10">
        <v>46175</v>
      </c>
      <c r="J90" s="10">
        <v>46175</v>
      </c>
    </row>
    <row r="91" spans="1:10" ht="14.25" customHeight="1" x14ac:dyDescent="0.25">
      <c r="A91" s="9" t="s">
        <v>40</v>
      </c>
      <c r="B91" s="9" t="s">
        <v>182</v>
      </c>
      <c r="C91" s="9" t="s">
        <v>90</v>
      </c>
      <c r="D91" s="9" t="s">
        <v>44</v>
      </c>
      <c r="E91" s="9" t="s">
        <v>60</v>
      </c>
      <c r="F91" s="9"/>
      <c r="G91" s="9"/>
      <c r="H91" s="10">
        <v>46175</v>
      </c>
      <c r="I91" s="10"/>
      <c r="J91" s="10"/>
    </row>
    <row r="92" spans="1:10" ht="14.25" customHeight="1" x14ac:dyDescent="0.25">
      <c r="A92" s="9" t="s">
        <v>40</v>
      </c>
      <c r="B92" s="9" t="s">
        <v>42</v>
      </c>
      <c r="C92" s="9" t="s">
        <v>90</v>
      </c>
      <c r="D92" s="9" t="s">
        <v>44</v>
      </c>
      <c r="E92" s="9" t="s">
        <v>60</v>
      </c>
      <c r="F92" s="9"/>
      <c r="G92" s="9"/>
      <c r="H92" s="10"/>
      <c r="I92" s="10">
        <v>46184</v>
      </c>
      <c r="J92" s="10">
        <v>46184</v>
      </c>
    </row>
    <row r="93" spans="1:10" ht="14.25" customHeight="1" x14ac:dyDescent="0.25">
      <c r="A93" s="9" t="s">
        <v>40</v>
      </c>
      <c r="B93" s="9" t="s">
        <v>262</v>
      </c>
      <c r="C93" s="9" t="s">
        <v>93</v>
      </c>
      <c r="D93" s="9" t="s">
        <v>44</v>
      </c>
      <c r="E93" s="9" t="s">
        <v>77</v>
      </c>
      <c r="F93" s="9"/>
      <c r="G93" s="9"/>
      <c r="H93" s="9"/>
      <c r="I93" s="10">
        <v>46175</v>
      </c>
      <c r="J93" s="10">
        <v>46175</v>
      </c>
    </row>
    <row r="94" spans="1:10" ht="14.25" customHeight="1" x14ac:dyDescent="0.25">
      <c r="A94" s="9" t="s">
        <v>40</v>
      </c>
      <c r="B94" s="9" t="s">
        <v>204</v>
      </c>
      <c r="C94" s="9" t="s">
        <v>93</v>
      </c>
      <c r="D94" s="9" t="s">
        <v>44</v>
      </c>
      <c r="E94" s="9" t="s">
        <v>77</v>
      </c>
      <c r="F94" s="9"/>
      <c r="G94" s="9"/>
      <c r="H94" s="10">
        <v>46175</v>
      </c>
      <c r="I94" s="10">
        <v>46178</v>
      </c>
      <c r="J94" s="10">
        <v>46178</v>
      </c>
    </row>
    <row r="95" spans="1:10" ht="14.25" customHeight="1" x14ac:dyDescent="0.25">
      <c r="A95" s="9" t="s">
        <v>40</v>
      </c>
      <c r="B95" s="9" t="s">
        <v>219</v>
      </c>
      <c r="C95" s="9" t="s">
        <v>93</v>
      </c>
      <c r="D95" s="9" t="s">
        <v>44</v>
      </c>
      <c r="E95" s="9" t="s">
        <v>77</v>
      </c>
      <c r="F95" s="9"/>
      <c r="G95" s="9"/>
      <c r="H95" s="10">
        <v>46178</v>
      </c>
      <c r="I95" s="10">
        <v>46175</v>
      </c>
      <c r="J95" s="10">
        <v>46175</v>
      </c>
    </row>
    <row r="96" spans="1:10" ht="14.25" customHeight="1" x14ac:dyDescent="0.25">
      <c r="A96" s="9" t="s">
        <v>40</v>
      </c>
      <c r="B96" s="9" t="s">
        <v>182</v>
      </c>
      <c r="C96" s="9" t="s">
        <v>93</v>
      </c>
      <c r="D96" s="9" t="s">
        <v>44</v>
      </c>
      <c r="E96" s="9" t="s">
        <v>77</v>
      </c>
      <c r="F96" s="9"/>
      <c r="G96" s="9"/>
      <c r="H96" s="10">
        <v>46175</v>
      </c>
      <c r="I96" s="10"/>
      <c r="J96" s="10"/>
    </row>
    <row r="97" spans="1:10" ht="14.25" customHeight="1" x14ac:dyDescent="0.25">
      <c r="A97" s="9" t="s">
        <v>40</v>
      </c>
      <c r="B97" s="9" t="s">
        <v>42</v>
      </c>
      <c r="C97" s="9" t="s">
        <v>93</v>
      </c>
      <c r="D97" s="9" t="s">
        <v>44</v>
      </c>
      <c r="E97" s="9" t="s">
        <v>77</v>
      </c>
      <c r="F97" s="9"/>
      <c r="G97" s="9"/>
      <c r="H97" s="9"/>
      <c r="I97" s="10">
        <v>46192</v>
      </c>
      <c r="J97" s="10">
        <v>46192</v>
      </c>
    </row>
    <row r="98" spans="1:10" ht="14.25" customHeight="1" x14ac:dyDescent="0.25">
      <c r="A98" s="9" t="s">
        <v>40</v>
      </c>
      <c r="B98" s="9" t="s">
        <v>262</v>
      </c>
      <c r="C98" s="9" t="s">
        <v>101</v>
      </c>
      <c r="D98" s="9" t="s">
        <v>103</v>
      </c>
      <c r="E98" s="9" t="s">
        <v>60</v>
      </c>
      <c r="F98" s="9"/>
      <c r="G98" s="9"/>
      <c r="H98" s="10"/>
      <c r="I98" s="10">
        <v>46148</v>
      </c>
      <c r="J98" s="10">
        <v>46148</v>
      </c>
    </row>
    <row r="99" spans="1:10" ht="14.25" customHeight="1" x14ac:dyDescent="0.25">
      <c r="A99" s="9" t="s">
        <v>40</v>
      </c>
      <c r="B99" s="9" t="s">
        <v>204</v>
      </c>
      <c r="C99" s="9" t="s">
        <v>101</v>
      </c>
      <c r="D99" s="9" t="s">
        <v>103</v>
      </c>
      <c r="E99" s="9" t="s">
        <v>60</v>
      </c>
      <c r="F99" s="9"/>
      <c r="G99" s="9"/>
      <c r="H99" s="10">
        <v>46148</v>
      </c>
      <c r="I99" s="10">
        <v>46183</v>
      </c>
      <c r="J99" s="10">
        <v>46183</v>
      </c>
    </row>
    <row r="100" spans="1:10" ht="14.25" customHeight="1" x14ac:dyDescent="0.25">
      <c r="A100" s="9" t="s">
        <v>40</v>
      </c>
      <c r="B100" s="9" t="s">
        <v>219</v>
      </c>
      <c r="C100" s="9" t="s">
        <v>101</v>
      </c>
      <c r="D100" s="9" t="s">
        <v>103</v>
      </c>
      <c r="E100" s="9" t="s">
        <v>60</v>
      </c>
      <c r="F100" s="9"/>
      <c r="G100" s="9"/>
      <c r="H100" s="10">
        <v>46183</v>
      </c>
      <c r="I100" s="10">
        <v>46195</v>
      </c>
      <c r="J100" s="10">
        <v>46195</v>
      </c>
    </row>
    <row r="101" spans="1:10" ht="14.25" customHeight="1" x14ac:dyDescent="0.25">
      <c r="A101" s="9" t="s">
        <v>40</v>
      </c>
      <c r="B101" s="9" t="s">
        <v>182</v>
      </c>
      <c r="C101" s="9" t="s">
        <v>101</v>
      </c>
      <c r="D101" s="9" t="s">
        <v>103</v>
      </c>
      <c r="E101" s="9" t="s">
        <v>60</v>
      </c>
      <c r="F101" s="9"/>
      <c r="G101" s="9"/>
      <c r="H101" s="10">
        <v>46195</v>
      </c>
      <c r="I101" s="10"/>
      <c r="J101" s="10"/>
    </row>
    <row r="102" spans="1:10" ht="14.25" customHeight="1" x14ac:dyDescent="0.25">
      <c r="A102" s="9" t="s">
        <v>40</v>
      </c>
      <c r="B102" s="9" t="s">
        <v>42</v>
      </c>
      <c r="C102" s="9" t="s">
        <v>101</v>
      </c>
      <c r="D102" s="9" t="s">
        <v>103</v>
      </c>
      <c r="E102" s="9" t="s">
        <v>60</v>
      </c>
      <c r="F102" s="9"/>
      <c r="G102" s="9"/>
      <c r="H102" s="10"/>
      <c r="I102" s="10"/>
      <c r="J102" s="9"/>
    </row>
    <row r="103" spans="1:10" ht="14.25" customHeight="1" x14ac:dyDescent="0.25">
      <c r="A103" s="9" t="s">
        <v>40</v>
      </c>
      <c r="B103" s="9" t="s">
        <v>262</v>
      </c>
      <c r="C103" s="9" t="s">
        <v>105</v>
      </c>
      <c r="D103" s="9" t="s">
        <v>103</v>
      </c>
      <c r="E103" s="9" t="s">
        <v>77</v>
      </c>
      <c r="F103" s="9"/>
      <c r="G103" s="9"/>
      <c r="H103" s="9"/>
      <c r="I103" s="10">
        <v>46162</v>
      </c>
      <c r="J103" s="10">
        <v>46162</v>
      </c>
    </row>
    <row r="104" spans="1:10" ht="14.25" customHeight="1" x14ac:dyDescent="0.25">
      <c r="A104" s="9" t="s">
        <v>40</v>
      </c>
      <c r="B104" s="9" t="s">
        <v>204</v>
      </c>
      <c r="C104" s="9" t="s">
        <v>105</v>
      </c>
      <c r="D104" s="9" t="s">
        <v>103</v>
      </c>
      <c r="E104" s="9" t="s">
        <v>77</v>
      </c>
      <c r="F104" s="9"/>
      <c r="G104" s="9"/>
      <c r="H104" s="10">
        <v>46162</v>
      </c>
      <c r="I104" s="10">
        <v>46182</v>
      </c>
      <c r="J104" s="10">
        <v>46182</v>
      </c>
    </row>
    <row r="105" spans="1:10" ht="14.25" customHeight="1" x14ac:dyDescent="0.25">
      <c r="A105" s="9" t="s">
        <v>40</v>
      </c>
      <c r="B105" s="9" t="s">
        <v>219</v>
      </c>
      <c r="C105" s="9" t="s">
        <v>105</v>
      </c>
      <c r="D105" s="9" t="s">
        <v>103</v>
      </c>
      <c r="E105" s="9" t="s">
        <v>77</v>
      </c>
      <c r="F105" s="9"/>
      <c r="G105" s="9"/>
      <c r="H105" s="10">
        <v>46182</v>
      </c>
      <c r="I105" s="10">
        <v>46198</v>
      </c>
      <c r="J105" s="10">
        <v>46198</v>
      </c>
    </row>
    <row r="106" spans="1:10" ht="14.25" customHeight="1" x14ac:dyDescent="0.25">
      <c r="A106" s="9" t="s">
        <v>40</v>
      </c>
      <c r="B106" s="9" t="s">
        <v>182</v>
      </c>
      <c r="C106" s="9" t="s">
        <v>105</v>
      </c>
      <c r="D106" s="9" t="s">
        <v>103</v>
      </c>
      <c r="E106" s="9" t="s">
        <v>77</v>
      </c>
      <c r="F106" s="9"/>
      <c r="G106" s="9"/>
      <c r="H106" s="10">
        <v>46198</v>
      </c>
      <c r="I106" s="10"/>
      <c r="J106" s="9"/>
    </row>
    <row r="107" spans="1:10" ht="14.25" customHeight="1" x14ac:dyDescent="0.25">
      <c r="A107" s="9" t="s">
        <v>40</v>
      </c>
      <c r="B107" s="9" t="s">
        <v>42</v>
      </c>
      <c r="C107" s="9" t="s">
        <v>105</v>
      </c>
      <c r="D107" s="9" t="s">
        <v>103</v>
      </c>
      <c r="E107" s="9" t="s">
        <v>77</v>
      </c>
      <c r="F107" s="9"/>
      <c r="G107" s="9"/>
      <c r="H107" s="9"/>
      <c r="I107" s="10"/>
      <c r="J107" s="10"/>
    </row>
    <row r="108" spans="1:10" ht="14.25" customHeight="1" x14ac:dyDescent="0.25">
      <c r="A108" s="9" t="s">
        <v>40</v>
      </c>
      <c r="B108" s="9" t="s">
        <v>262</v>
      </c>
      <c r="C108" s="9" t="s">
        <v>108</v>
      </c>
      <c r="D108" s="9" t="s">
        <v>44</v>
      </c>
      <c r="E108" s="9" t="s">
        <v>60</v>
      </c>
      <c r="F108" s="9"/>
      <c r="G108" s="9"/>
      <c r="H108" s="10"/>
      <c r="I108" s="10">
        <v>46168</v>
      </c>
      <c r="J108" s="10">
        <v>46168</v>
      </c>
    </row>
    <row r="109" spans="1:10" ht="14.25" customHeight="1" x14ac:dyDescent="0.25">
      <c r="A109" s="9" t="s">
        <v>40</v>
      </c>
      <c r="B109" s="9" t="s">
        <v>204</v>
      </c>
      <c r="C109" s="9" t="s">
        <v>108</v>
      </c>
      <c r="D109" s="9" t="s">
        <v>44</v>
      </c>
      <c r="E109" s="9" t="s">
        <v>60</v>
      </c>
      <c r="F109" s="9"/>
      <c r="G109" s="9"/>
      <c r="H109" s="10">
        <v>46168</v>
      </c>
      <c r="I109" s="10">
        <v>46183</v>
      </c>
      <c r="J109" s="10">
        <v>46183</v>
      </c>
    </row>
    <row r="110" spans="1:10" ht="14.25" customHeight="1" x14ac:dyDescent="0.25">
      <c r="A110" s="9" t="s">
        <v>40</v>
      </c>
      <c r="B110" s="9" t="s">
        <v>219</v>
      </c>
      <c r="C110" s="9" t="s">
        <v>108</v>
      </c>
      <c r="D110" s="9" t="s">
        <v>44</v>
      </c>
      <c r="E110" s="9" t="s">
        <v>60</v>
      </c>
      <c r="F110" s="9"/>
      <c r="G110" s="9"/>
      <c r="H110" s="10">
        <v>46183</v>
      </c>
      <c r="I110" s="10">
        <v>46198</v>
      </c>
      <c r="J110" s="10">
        <v>46198</v>
      </c>
    </row>
    <row r="111" spans="1:10" ht="14.25" customHeight="1" x14ac:dyDescent="0.25">
      <c r="A111" s="9" t="s">
        <v>40</v>
      </c>
      <c r="B111" s="9" t="s">
        <v>182</v>
      </c>
      <c r="C111" s="9" t="s">
        <v>108</v>
      </c>
      <c r="D111" s="9" t="s">
        <v>44</v>
      </c>
      <c r="E111" s="9" t="s">
        <v>60</v>
      </c>
      <c r="F111" s="9"/>
      <c r="G111" s="9"/>
      <c r="H111" s="10">
        <v>46198</v>
      </c>
      <c r="I111" s="10"/>
      <c r="J111" s="10"/>
    </row>
    <row r="112" spans="1:10" ht="14.25" customHeight="1" x14ac:dyDescent="0.25">
      <c r="A112" s="9" t="s">
        <v>40</v>
      </c>
      <c r="B112" s="9" t="s">
        <v>42</v>
      </c>
      <c r="C112" s="9" t="s">
        <v>108</v>
      </c>
      <c r="D112" s="9" t="s">
        <v>44</v>
      </c>
      <c r="E112" s="9" t="s">
        <v>60</v>
      </c>
      <c r="F112" s="9"/>
      <c r="G112" s="9"/>
      <c r="H112" s="10"/>
      <c r="I112" s="10"/>
      <c r="J112" s="9"/>
    </row>
    <row r="113" spans="1:10" ht="14.25" customHeight="1" x14ac:dyDescent="0.25">
      <c r="A113" s="9" t="s">
        <v>40</v>
      </c>
      <c r="B113" s="9" t="s">
        <v>262</v>
      </c>
      <c r="C113" s="9" t="s">
        <v>109</v>
      </c>
      <c r="D113" s="9" t="s">
        <v>44</v>
      </c>
      <c r="E113" s="9" t="s">
        <v>60</v>
      </c>
      <c r="F113" s="9"/>
      <c r="G113" s="9"/>
      <c r="H113" s="9"/>
      <c r="I113" s="10">
        <v>46165</v>
      </c>
      <c r="J113" s="10">
        <v>46165</v>
      </c>
    </row>
    <row r="114" spans="1:10" ht="14.25" customHeight="1" x14ac:dyDescent="0.25">
      <c r="A114" s="9" t="s">
        <v>40</v>
      </c>
      <c r="B114" s="9" t="s">
        <v>204</v>
      </c>
      <c r="C114" s="9" t="s">
        <v>109</v>
      </c>
      <c r="D114" s="9" t="s">
        <v>44</v>
      </c>
      <c r="E114" s="9" t="s">
        <v>60</v>
      </c>
      <c r="F114" s="9"/>
      <c r="G114" s="9"/>
      <c r="H114" s="10">
        <v>46165</v>
      </c>
      <c r="I114" s="10">
        <v>46153</v>
      </c>
      <c r="J114" s="10">
        <v>46153</v>
      </c>
    </row>
    <row r="115" spans="1:10" ht="14.25" customHeight="1" x14ac:dyDescent="0.25">
      <c r="A115" s="9" t="s">
        <v>40</v>
      </c>
      <c r="B115" s="9" t="s">
        <v>219</v>
      </c>
      <c r="C115" s="9" t="s">
        <v>109</v>
      </c>
      <c r="D115" s="9" t="s">
        <v>44</v>
      </c>
      <c r="E115" s="9" t="s">
        <v>60</v>
      </c>
      <c r="F115" s="9"/>
      <c r="G115" s="9"/>
      <c r="H115" s="10">
        <v>46153</v>
      </c>
      <c r="I115" s="10">
        <v>46154</v>
      </c>
      <c r="J115" s="10">
        <v>46154</v>
      </c>
    </row>
    <row r="116" spans="1:10" ht="14.25" customHeight="1" x14ac:dyDescent="0.25">
      <c r="A116" s="9" t="s">
        <v>40</v>
      </c>
      <c r="B116" s="9" t="s">
        <v>182</v>
      </c>
      <c r="C116" s="9" t="s">
        <v>109</v>
      </c>
      <c r="D116" s="9" t="s">
        <v>44</v>
      </c>
      <c r="E116" s="9" t="s">
        <v>60</v>
      </c>
      <c r="F116" s="9"/>
      <c r="G116" s="9"/>
      <c r="H116" s="10">
        <v>46154</v>
      </c>
      <c r="I116" s="10"/>
      <c r="J116" s="9"/>
    </row>
    <row r="117" spans="1:10" ht="14.25" customHeight="1" x14ac:dyDescent="0.25">
      <c r="A117" s="9" t="s">
        <v>40</v>
      </c>
      <c r="B117" s="9" t="s">
        <v>42</v>
      </c>
      <c r="C117" s="9" t="s">
        <v>109</v>
      </c>
      <c r="D117" s="9" t="s">
        <v>44</v>
      </c>
      <c r="E117" s="9" t="s">
        <v>60</v>
      </c>
      <c r="F117" s="9"/>
      <c r="G117" s="9"/>
      <c r="H117" s="9"/>
      <c r="I117" s="10">
        <v>46184</v>
      </c>
      <c r="J117" s="10">
        <v>46184</v>
      </c>
    </row>
    <row r="118" spans="1:10" ht="14.25" customHeight="1" x14ac:dyDescent="0.25">
      <c r="A118" s="9" t="s">
        <v>40</v>
      </c>
      <c r="B118" s="9" t="s">
        <v>262</v>
      </c>
      <c r="C118" s="9" t="s">
        <v>113</v>
      </c>
      <c r="D118" s="9" t="s">
        <v>59</v>
      </c>
      <c r="E118" s="9" t="s">
        <v>46</v>
      </c>
      <c r="F118" s="9"/>
      <c r="G118" s="9"/>
      <c r="H118" s="10"/>
      <c r="I118" s="10">
        <v>46162</v>
      </c>
      <c r="J118" s="10">
        <v>46162</v>
      </c>
    </row>
    <row r="119" spans="1:10" ht="14.25" customHeight="1" x14ac:dyDescent="0.25">
      <c r="A119" s="9" t="s">
        <v>40</v>
      </c>
      <c r="B119" s="9" t="s">
        <v>204</v>
      </c>
      <c r="C119" s="9" t="s">
        <v>113</v>
      </c>
      <c r="D119" s="9" t="s">
        <v>59</v>
      </c>
      <c r="E119" s="9" t="s">
        <v>46</v>
      </c>
      <c r="F119" s="9"/>
      <c r="G119" s="9"/>
      <c r="H119" s="10">
        <v>46162</v>
      </c>
      <c r="I119" s="10">
        <v>46186</v>
      </c>
      <c r="J119" s="10">
        <v>46186</v>
      </c>
    </row>
    <row r="120" spans="1:10" ht="14.25" customHeight="1" x14ac:dyDescent="0.25">
      <c r="A120" s="9" t="s">
        <v>40</v>
      </c>
      <c r="B120" s="9" t="s">
        <v>219</v>
      </c>
      <c r="C120" s="9" t="s">
        <v>113</v>
      </c>
      <c r="D120" s="9" t="s">
        <v>59</v>
      </c>
      <c r="E120" s="9" t="s">
        <v>46</v>
      </c>
      <c r="F120" s="9"/>
      <c r="G120" s="9"/>
      <c r="H120" s="10">
        <v>46186</v>
      </c>
      <c r="I120" s="10">
        <v>46188</v>
      </c>
      <c r="J120" s="10">
        <v>46188</v>
      </c>
    </row>
    <row r="121" spans="1:10" ht="14.25" customHeight="1" x14ac:dyDescent="0.25">
      <c r="A121" s="9" t="s">
        <v>40</v>
      </c>
      <c r="B121" s="9" t="s">
        <v>262</v>
      </c>
      <c r="C121" s="9" t="s">
        <v>116</v>
      </c>
      <c r="D121" s="9" t="s">
        <v>59</v>
      </c>
      <c r="E121" s="9" t="s">
        <v>77</v>
      </c>
      <c r="F121" s="9"/>
      <c r="G121" s="9"/>
      <c r="H121" s="9"/>
      <c r="I121" s="10">
        <v>46162</v>
      </c>
      <c r="J121" s="10">
        <v>46162</v>
      </c>
    </row>
    <row r="122" spans="1:10" ht="14.25" customHeight="1" x14ac:dyDescent="0.25">
      <c r="A122" s="9" t="s">
        <v>40</v>
      </c>
      <c r="B122" s="9" t="s">
        <v>204</v>
      </c>
      <c r="C122" s="9" t="s">
        <v>116</v>
      </c>
      <c r="D122" s="9" t="s">
        <v>59</v>
      </c>
      <c r="E122" s="9" t="s">
        <v>77</v>
      </c>
      <c r="F122" s="9"/>
      <c r="G122" s="9"/>
      <c r="H122" s="10">
        <v>46162</v>
      </c>
      <c r="I122" s="10">
        <v>46164</v>
      </c>
      <c r="J122" s="10">
        <v>46164</v>
      </c>
    </row>
    <row r="123" spans="1:10" ht="14.25" customHeight="1" x14ac:dyDescent="0.25">
      <c r="A123" s="9" t="s">
        <v>40</v>
      </c>
      <c r="B123" s="9" t="s">
        <v>219</v>
      </c>
      <c r="C123" s="9" t="s">
        <v>116</v>
      </c>
      <c r="D123" s="9" t="s">
        <v>59</v>
      </c>
      <c r="E123" s="9" t="s">
        <v>77</v>
      </c>
      <c r="F123" s="9"/>
      <c r="G123" s="9"/>
      <c r="H123" s="10">
        <v>46164</v>
      </c>
      <c r="I123" s="10">
        <v>46204</v>
      </c>
      <c r="J123" s="10">
        <v>46204</v>
      </c>
    </row>
    <row r="124" spans="1:10" ht="14.25" customHeight="1" x14ac:dyDescent="0.25">
      <c r="A124" s="9" t="s">
        <v>40</v>
      </c>
      <c r="B124" s="9" t="s">
        <v>182</v>
      </c>
      <c r="C124" s="9" t="s">
        <v>116</v>
      </c>
      <c r="D124" s="9" t="s">
        <v>59</v>
      </c>
      <c r="E124" s="9" t="s">
        <v>77</v>
      </c>
      <c r="F124" s="9"/>
      <c r="G124" s="9"/>
      <c r="H124" s="10">
        <v>46204</v>
      </c>
      <c r="I124" s="10"/>
      <c r="J124" s="9"/>
    </row>
    <row r="125" spans="1:10" ht="14.25" customHeight="1" x14ac:dyDescent="0.25">
      <c r="A125" s="9" t="s">
        <v>40</v>
      </c>
      <c r="B125" s="9" t="s">
        <v>42</v>
      </c>
      <c r="C125" s="9" t="s">
        <v>116</v>
      </c>
      <c r="D125" s="9" t="s">
        <v>59</v>
      </c>
      <c r="E125" s="9" t="s">
        <v>77</v>
      </c>
      <c r="F125" s="9"/>
      <c r="G125" s="9"/>
      <c r="H125" s="9"/>
      <c r="I125" s="10"/>
      <c r="J125" s="10"/>
    </row>
    <row r="126" spans="1:10" ht="14.25" customHeight="1" x14ac:dyDescent="0.25">
      <c r="A126" s="9" t="s">
        <v>40</v>
      </c>
      <c r="B126" s="9" t="s">
        <v>262</v>
      </c>
      <c r="C126" s="9" t="s">
        <v>117</v>
      </c>
      <c r="D126" s="9" t="s">
        <v>65</v>
      </c>
      <c r="E126" s="9" t="s">
        <v>60</v>
      </c>
      <c r="F126" s="9"/>
      <c r="G126" s="9"/>
      <c r="H126" s="10"/>
      <c r="I126" s="10">
        <v>46169</v>
      </c>
      <c r="J126" s="10">
        <v>46169</v>
      </c>
    </row>
    <row r="127" spans="1:10" ht="14.25" customHeight="1" x14ac:dyDescent="0.25">
      <c r="A127" s="9" t="s">
        <v>40</v>
      </c>
      <c r="B127" s="9" t="s">
        <v>204</v>
      </c>
      <c r="C127" s="9" t="s">
        <v>117</v>
      </c>
      <c r="D127" s="9" t="s">
        <v>65</v>
      </c>
      <c r="E127" s="9" t="s">
        <v>60</v>
      </c>
      <c r="F127" s="9"/>
      <c r="G127" s="9"/>
      <c r="H127" s="10">
        <v>46169</v>
      </c>
      <c r="I127" s="10">
        <v>46191</v>
      </c>
      <c r="J127" s="10">
        <v>46191</v>
      </c>
    </row>
    <row r="128" spans="1:10" ht="14.25" customHeight="1" x14ac:dyDescent="0.25">
      <c r="A128" s="9" t="s">
        <v>40</v>
      </c>
      <c r="B128" s="9" t="s">
        <v>219</v>
      </c>
      <c r="C128" s="9" t="s">
        <v>117</v>
      </c>
      <c r="D128" s="9" t="s">
        <v>65</v>
      </c>
      <c r="E128" s="9" t="s">
        <v>60</v>
      </c>
      <c r="F128" s="9"/>
      <c r="G128" s="9"/>
      <c r="H128" s="10">
        <v>46191</v>
      </c>
      <c r="I128" s="10">
        <v>46196</v>
      </c>
      <c r="J128" s="10">
        <v>46196</v>
      </c>
    </row>
    <row r="129" spans="1:10" ht="14.25" customHeight="1" x14ac:dyDescent="0.25">
      <c r="A129" s="9" t="s">
        <v>40</v>
      </c>
      <c r="B129" s="9" t="s">
        <v>182</v>
      </c>
      <c r="C129" s="9" t="s">
        <v>117</v>
      </c>
      <c r="D129" s="9" t="s">
        <v>65</v>
      </c>
      <c r="E129" s="9" t="s">
        <v>60</v>
      </c>
      <c r="F129" s="9"/>
      <c r="G129" s="9"/>
      <c r="H129" s="10">
        <v>46196</v>
      </c>
      <c r="I129" s="9"/>
      <c r="J129" s="9"/>
    </row>
    <row r="130" spans="1:10" ht="14.25" customHeight="1" x14ac:dyDescent="0.25">
      <c r="A130" s="9" t="s">
        <v>40</v>
      </c>
      <c r="B130" s="9" t="s">
        <v>42</v>
      </c>
      <c r="C130" s="9" t="s">
        <v>117</v>
      </c>
      <c r="D130" s="9" t="s">
        <v>65</v>
      </c>
      <c r="E130" s="9" t="s">
        <v>60</v>
      </c>
      <c r="F130" s="9"/>
      <c r="G130" s="9"/>
      <c r="H130" s="9"/>
      <c r="I130" s="10"/>
      <c r="J130" s="9"/>
    </row>
    <row r="131" spans="1:10" ht="14.25" customHeight="1" x14ac:dyDescent="0.25">
      <c r="A131" s="9" t="s">
        <v>40</v>
      </c>
      <c r="B131" s="9" t="s">
        <v>262</v>
      </c>
      <c r="C131" s="9" t="s">
        <v>121</v>
      </c>
      <c r="D131" s="9" t="s">
        <v>103</v>
      </c>
      <c r="E131" s="9" t="s">
        <v>77</v>
      </c>
      <c r="F131" s="9"/>
      <c r="G131" s="9"/>
      <c r="H131" s="9"/>
      <c r="I131" s="10">
        <v>46168</v>
      </c>
      <c r="J131" s="10">
        <v>46168</v>
      </c>
    </row>
    <row r="132" spans="1:10" ht="14.25" customHeight="1" x14ac:dyDescent="0.25">
      <c r="A132" s="9" t="s">
        <v>40</v>
      </c>
      <c r="B132" s="9" t="s">
        <v>204</v>
      </c>
      <c r="C132" s="9" t="s">
        <v>121</v>
      </c>
      <c r="D132" s="9" t="s">
        <v>103</v>
      </c>
      <c r="E132" s="9" t="s">
        <v>77</v>
      </c>
      <c r="F132" s="9"/>
      <c r="G132" s="9"/>
      <c r="H132" s="10">
        <v>46168</v>
      </c>
      <c r="I132" s="10">
        <v>46189</v>
      </c>
      <c r="J132" s="10">
        <v>46189</v>
      </c>
    </row>
    <row r="133" spans="1:10" ht="14.25" customHeight="1" x14ac:dyDescent="0.25">
      <c r="A133" s="9" t="s">
        <v>40</v>
      </c>
      <c r="B133" s="9" t="s">
        <v>219</v>
      </c>
      <c r="C133" s="9" t="s">
        <v>121</v>
      </c>
      <c r="D133" s="9" t="s">
        <v>103</v>
      </c>
      <c r="E133" s="9" t="s">
        <v>77</v>
      </c>
      <c r="F133" s="9"/>
      <c r="G133" s="9"/>
      <c r="H133" s="10">
        <v>46189</v>
      </c>
      <c r="I133" s="10">
        <v>46189</v>
      </c>
      <c r="J133" s="10">
        <v>46189</v>
      </c>
    </row>
    <row r="134" spans="1:10" ht="14.25" customHeight="1" x14ac:dyDescent="0.25">
      <c r="A134" s="9" t="s">
        <v>40</v>
      </c>
      <c r="B134" s="9" t="s">
        <v>182</v>
      </c>
      <c r="C134" s="9" t="s">
        <v>121</v>
      </c>
      <c r="D134" s="9" t="s">
        <v>103</v>
      </c>
      <c r="E134" s="9" t="s">
        <v>77</v>
      </c>
      <c r="F134" s="9"/>
      <c r="G134" s="9"/>
      <c r="H134" s="10">
        <v>46189</v>
      </c>
      <c r="I134" s="9"/>
      <c r="J134" s="9"/>
    </row>
    <row r="135" spans="1:10" ht="14.25" customHeight="1" x14ac:dyDescent="0.25">
      <c r="A135" s="9" t="s">
        <v>40</v>
      </c>
      <c r="B135" s="9" t="s">
        <v>42</v>
      </c>
      <c r="C135" s="9" t="s">
        <v>121</v>
      </c>
      <c r="D135" s="9" t="s">
        <v>103</v>
      </c>
      <c r="E135" s="9" t="s">
        <v>77</v>
      </c>
      <c r="F135" s="9"/>
      <c r="G135" s="9"/>
      <c r="H135" s="9"/>
      <c r="I135" s="10">
        <v>46192</v>
      </c>
      <c r="J135" s="10">
        <v>46192</v>
      </c>
    </row>
    <row r="136" spans="1:10" ht="14.25" customHeight="1" x14ac:dyDescent="0.25">
      <c r="A136" s="9" t="s">
        <v>40</v>
      </c>
      <c r="B136" s="9" t="s">
        <v>262</v>
      </c>
      <c r="C136" s="9" t="s">
        <v>123</v>
      </c>
      <c r="D136" s="9" t="s">
        <v>84</v>
      </c>
      <c r="E136" s="9" t="s">
        <v>77</v>
      </c>
      <c r="F136" s="9"/>
      <c r="G136" s="9"/>
      <c r="H136" s="9"/>
      <c r="I136" s="10">
        <v>46169</v>
      </c>
      <c r="J136" s="10">
        <v>46169</v>
      </c>
    </row>
    <row r="137" spans="1:10" ht="14.25" customHeight="1" x14ac:dyDescent="0.25">
      <c r="A137" s="9" t="s">
        <v>40</v>
      </c>
      <c r="B137" s="9" t="s">
        <v>204</v>
      </c>
      <c r="C137" s="9" t="s">
        <v>123</v>
      </c>
      <c r="D137" s="9" t="s">
        <v>84</v>
      </c>
      <c r="E137" s="9" t="s">
        <v>77</v>
      </c>
      <c r="F137" s="9"/>
      <c r="G137" s="9"/>
      <c r="H137" s="10">
        <v>46169</v>
      </c>
      <c r="I137" s="10">
        <v>46195</v>
      </c>
      <c r="J137" s="10">
        <v>46195</v>
      </c>
    </row>
    <row r="138" spans="1:10" ht="14.25" customHeight="1" x14ac:dyDescent="0.25">
      <c r="A138" s="9" t="s">
        <v>40</v>
      </c>
      <c r="B138" s="9" t="s">
        <v>219</v>
      </c>
      <c r="C138" s="9" t="s">
        <v>123</v>
      </c>
      <c r="D138" s="9" t="s">
        <v>84</v>
      </c>
      <c r="E138" s="9" t="s">
        <v>77</v>
      </c>
      <c r="F138" s="9"/>
      <c r="G138" s="9"/>
      <c r="H138" s="10">
        <v>46195</v>
      </c>
      <c r="I138" s="10">
        <v>46197</v>
      </c>
      <c r="J138" s="10">
        <v>46197</v>
      </c>
    </row>
    <row r="139" spans="1:10" ht="14.25" customHeight="1" x14ac:dyDescent="0.25">
      <c r="A139" s="9" t="s">
        <v>40</v>
      </c>
      <c r="B139" s="9" t="s">
        <v>182</v>
      </c>
      <c r="C139" s="9" t="s">
        <v>123</v>
      </c>
      <c r="D139" s="9" t="s">
        <v>84</v>
      </c>
      <c r="E139" s="9" t="s">
        <v>77</v>
      </c>
      <c r="F139" s="9"/>
      <c r="G139" s="9"/>
      <c r="H139" s="10">
        <v>46197</v>
      </c>
      <c r="I139" s="9"/>
      <c r="J139" s="9"/>
    </row>
    <row r="140" spans="1:10" ht="14.25" customHeight="1" x14ac:dyDescent="0.25">
      <c r="A140" s="9" t="s">
        <v>40</v>
      </c>
      <c r="B140" s="9" t="s">
        <v>42</v>
      </c>
      <c r="C140" s="9" t="s">
        <v>123</v>
      </c>
      <c r="D140" s="9" t="s">
        <v>84</v>
      </c>
      <c r="E140" s="9" t="s">
        <v>77</v>
      </c>
      <c r="F140" s="9"/>
      <c r="G140" s="9"/>
      <c r="H140" s="9"/>
      <c r="I140" s="9"/>
      <c r="J140" s="9"/>
    </row>
    <row r="141" spans="1:10" ht="14.25" customHeight="1" x14ac:dyDescent="0.25">
      <c r="A141" s="9" t="s">
        <v>126</v>
      </c>
      <c r="B141" s="9" t="s">
        <v>262</v>
      </c>
      <c r="C141" s="9" t="s">
        <v>127</v>
      </c>
      <c r="D141" s="9" t="s">
        <v>76</v>
      </c>
      <c r="E141" s="9" t="s">
        <v>60</v>
      </c>
      <c r="F141" s="9"/>
      <c r="G141" s="9" t="s">
        <v>129</v>
      </c>
      <c r="H141" s="9"/>
      <c r="I141" s="9"/>
      <c r="J141" s="9"/>
    </row>
    <row r="142" spans="1:10" ht="14.25" customHeight="1" x14ac:dyDescent="0.25">
      <c r="A142" s="9" t="s">
        <v>126</v>
      </c>
      <c r="B142" s="9" t="s">
        <v>204</v>
      </c>
      <c r="C142" s="9" t="s">
        <v>127</v>
      </c>
      <c r="D142" s="9" t="s">
        <v>76</v>
      </c>
      <c r="E142" s="9" t="s">
        <v>60</v>
      </c>
      <c r="F142" s="9"/>
      <c r="G142" s="9" t="s">
        <v>129</v>
      </c>
      <c r="H142" s="9"/>
      <c r="I142" s="10">
        <v>46213</v>
      </c>
      <c r="J142" s="10">
        <v>46213</v>
      </c>
    </row>
    <row r="143" spans="1:10" ht="14.25" customHeight="1" x14ac:dyDescent="0.25">
      <c r="A143" s="9" t="s">
        <v>126</v>
      </c>
      <c r="B143" s="9" t="s">
        <v>219</v>
      </c>
      <c r="C143" s="9" t="s">
        <v>127</v>
      </c>
      <c r="D143" s="9" t="s">
        <v>76</v>
      </c>
      <c r="E143" s="9" t="s">
        <v>60</v>
      </c>
      <c r="F143" s="9"/>
      <c r="G143" s="9" t="s">
        <v>129</v>
      </c>
      <c r="H143" s="10">
        <v>46213</v>
      </c>
      <c r="I143" s="10">
        <v>46223</v>
      </c>
      <c r="J143" s="10">
        <v>46223</v>
      </c>
    </row>
    <row r="144" spans="1:10" ht="14.25" customHeight="1" x14ac:dyDescent="0.25">
      <c r="A144" s="9" t="s">
        <v>126</v>
      </c>
      <c r="B144" s="9" t="s">
        <v>262</v>
      </c>
      <c r="C144" s="9" t="s">
        <v>135</v>
      </c>
      <c r="D144" s="9" t="s">
        <v>65</v>
      </c>
      <c r="E144" s="9" t="s">
        <v>77</v>
      </c>
      <c r="F144" s="9"/>
      <c r="G144" s="9" t="s">
        <v>129</v>
      </c>
      <c r="H144" s="9"/>
      <c r="I144" s="9"/>
      <c r="J144" s="9"/>
    </row>
    <row r="145" spans="1:10" ht="14.25" customHeight="1" x14ac:dyDescent="0.25">
      <c r="A145" s="9" t="s">
        <v>126</v>
      </c>
      <c r="B145" s="9" t="s">
        <v>204</v>
      </c>
      <c r="C145" s="9" t="s">
        <v>135</v>
      </c>
      <c r="D145" s="9" t="s">
        <v>65</v>
      </c>
      <c r="E145" s="9" t="s">
        <v>77</v>
      </c>
      <c r="F145" s="9"/>
      <c r="G145" s="9" t="s">
        <v>129</v>
      </c>
      <c r="H145" s="9"/>
      <c r="I145" s="10">
        <v>46218</v>
      </c>
      <c r="J145" s="10">
        <v>46218</v>
      </c>
    </row>
    <row r="146" spans="1:10" ht="14.25" customHeight="1" x14ac:dyDescent="0.25">
      <c r="A146" s="9" t="s">
        <v>126</v>
      </c>
      <c r="B146" s="9" t="s">
        <v>219</v>
      </c>
      <c r="C146" s="9" t="s">
        <v>135</v>
      </c>
      <c r="D146" s="9" t="s">
        <v>65</v>
      </c>
      <c r="E146" s="9" t="s">
        <v>77</v>
      </c>
      <c r="F146" s="9"/>
      <c r="G146" s="9" t="s">
        <v>129</v>
      </c>
      <c r="H146" s="10">
        <v>46218</v>
      </c>
      <c r="I146" s="10">
        <v>46223</v>
      </c>
      <c r="J146" s="10">
        <v>46223</v>
      </c>
    </row>
    <row r="147" spans="1:10" ht="14.25" customHeight="1" x14ac:dyDescent="0.25">
      <c r="A147" s="9" t="s">
        <v>126</v>
      </c>
      <c r="B147" s="9" t="s">
        <v>262</v>
      </c>
      <c r="C147" s="9" t="s">
        <v>137</v>
      </c>
      <c r="D147" s="9" t="s">
        <v>65</v>
      </c>
      <c r="E147" s="9" t="s">
        <v>77</v>
      </c>
      <c r="F147" s="9"/>
      <c r="G147" s="9" t="s">
        <v>129</v>
      </c>
      <c r="H147" s="9"/>
      <c r="I147" s="9"/>
      <c r="J147" s="9"/>
    </row>
    <row r="148" spans="1:10" ht="14.25" customHeight="1" x14ac:dyDescent="0.25">
      <c r="A148" s="9" t="s">
        <v>126</v>
      </c>
      <c r="B148" s="9" t="s">
        <v>204</v>
      </c>
      <c r="C148" s="9" t="s">
        <v>137</v>
      </c>
      <c r="D148" s="9" t="s">
        <v>65</v>
      </c>
      <c r="E148" s="9" t="s">
        <v>77</v>
      </c>
      <c r="F148" s="9"/>
      <c r="G148" s="9" t="s">
        <v>129</v>
      </c>
      <c r="H148" s="9"/>
      <c r="I148" s="10">
        <v>46225</v>
      </c>
      <c r="J148" s="10">
        <v>46225</v>
      </c>
    </row>
    <row r="149" spans="1:10" ht="14.25" customHeight="1" x14ac:dyDescent="0.25">
      <c r="A149" s="9" t="s">
        <v>126</v>
      </c>
      <c r="B149" s="9" t="s">
        <v>219</v>
      </c>
      <c r="C149" s="9" t="s">
        <v>137</v>
      </c>
      <c r="D149" s="9" t="s">
        <v>65</v>
      </c>
      <c r="E149" s="9" t="s">
        <v>77</v>
      </c>
      <c r="F149" s="9"/>
      <c r="G149" s="9" t="s">
        <v>129</v>
      </c>
      <c r="H149" s="10">
        <v>46225</v>
      </c>
      <c r="I149" s="10">
        <v>46223</v>
      </c>
      <c r="J149" s="10">
        <v>46223</v>
      </c>
    </row>
    <row r="150" spans="1:10" ht="14.25" customHeight="1" x14ac:dyDescent="0.25">
      <c r="A150" s="9" t="s">
        <v>126</v>
      </c>
      <c r="B150" s="9" t="s">
        <v>262</v>
      </c>
      <c r="C150" s="9" t="s">
        <v>139</v>
      </c>
      <c r="D150" s="9" t="s">
        <v>59</v>
      </c>
      <c r="E150" s="9" t="s">
        <v>46</v>
      </c>
      <c r="F150" s="9"/>
      <c r="G150" s="9" t="s">
        <v>129</v>
      </c>
      <c r="H150" s="9"/>
      <c r="I150" s="9"/>
      <c r="J150" s="9"/>
    </row>
    <row r="151" spans="1:10" ht="14.25" customHeight="1" x14ac:dyDescent="0.25">
      <c r="A151" s="9" t="s">
        <v>126</v>
      </c>
      <c r="B151" s="9" t="s">
        <v>204</v>
      </c>
      <c r="C151" s="9" t="s">
        <v>139</v>
      </c>
      <c r="D151" s="9" t="s">
        <v>59</v>
      </c>
      <c r="E151" s="9" t="s">
        <v>46</v>
      </c>
      <c r="F151" s="9"/>
      <c r="G151" s="9" t="s">
        <v>129</v>
      </c>
      <c r="H151" s="9"/>
      <c r="I151" s="10">
        <v>46227</v>
      </c>
      <c r="J151" s="10">
        <v>46227</v>
      </c>
    </row>
    <row r="152" spans="1:10" ht="14.25" customHeight="1" x14ac:dyDescent="0.25">
      <c r="A152" s="9" t="s">
        <v>126</v>
      </c>
      <c r="B152" s="9" t="s">
        <v>219</v>
      </c>
      <c r="C152" s="9" t="s">
        <v>139</v>
      </c>
      <c r="D152" s="9" t="s">
        <v>59</v>
      </c>
      <c r="E152" s="9" t="s">
        <v>46</v>
      </c>
      <c r="F152" s="9"/>
      <c r="G152" s="9" t="s">
        <v>129</v>
      </c>
      <c r="H152" s="10">
        <v>46227</v>
      </c>
      <c r="I152" s="10">
        <v>46223</v>
      </c>
      <c r="J152" s="10">
        <v>46223</v>
      </c>
    </row>
    <row r="153" spans="1:10" ht="14.25" customHeight="1" x14ac:dyDescent="0.25">
      <c r="A153" s="9" t="s">
        <v>126</v>
      </c>
      <c r="B153" s="9" t="s">
        <v>262</v>
      </c>
      <c r="C153" s="9" t="s">
        <v>141</v>
      </c>
      <c r="D153" s="9" t="s">
        <v>103</v>
      </c>
      <c r="E153" s="9" t="s">
        <v>77</v>
      </c>
      <c r="F153" s="9"/>
      <c r="G153" s="9" t="s">
        <v>129</v>
      </c>
      <c r="H153" s="9"/>
      <c r="I153" s="9"/>
      <c r="J153" s="9"/>
    </row>
    <row r="154" spans="1:10" ht="14.25" customHeight="1" x14ac:dyDescent="0.25">
      <c r="A154" s="9" t="s">
        <v>126</v>
      </c>
      <c r="B154" s="9" t="s">
        <v>204</v>
      </c>
      <c r="C154" s="9" t="s">
        <v>141</v>
      </c>
      <c r="D154" s="9" t="s">
        <v>103</v>
      </c>
      <c r="E154" s="9" t="s">
        <v>77</v>
      </c>
      <c r="F154" s="9"/>
      <c r="G154" s="9" t="s">
        <v>129</v>
      </c>
      <c r="H154" s="9"/>
      <c r="I154" s="10">
        <v>46216</v>
      </c>
      <c r="J154" s="10">
        <v>46216</v>
      </c>
    </row>
    <row r="155" spans="1:10" ht="14.25" customHeight="1" x14ac:dyDescent="0.25">
      <c r="A155" s="9" t="s">
        <v>126</v>
      </c>
      <c r="B155" s="9" t="s">
        <v>219</v>
      </c>
      <c r="C155" s="9" t="s">
        <v>141</v>
      </c>
      <c r="D155" s="9" t="s">
        <v>103</v>
      </c>
      <c r="E155" s="9" t="s">
        <v>77</v>
      </c>
      <c r="F155" s="9"/>
      <c r="G155" s="9" t="s">
        <v>129</v>
      </c>
      <c r="H155" s="10">
        <v>46216</v>
      </c>
      <c r="I155" s="10">
        <v>46225</v>
      </c>
      <c r="J155" s="10">
        <v>46225</v>
      </c>
    </row>
    <row r="156" spans="1:10" ht="14.25" customHeight="1" x14ac:dyDescent="0.25">
      <c r="A156" s="9" t="s">
        <v>126</v>
      </c>
      <c r="B156" s="9" t="s">
        <v>262</v>
      </c>
      <c r="C156" s="9" t="s">
        <v>143</v>
      </c>
      <c r="D156" s="9" t="s">
        <v>84</v>
      </c>
      <c r="E156" s="9" t="s">
        <v>60</v>
      </c>
      <c r="F156" s="9"/>
      <c r="G156" s="9" t="s">
        <v>144</v>
      </c>
      <c r="H156" s="9"/>
      <c r="I156" s="9"/>
      <c r="J156" s="9"/>
    </row>
    <row r="157" spans="1:10" x14ac:dyDescent="0.25">
      <c r="A157" s="3" t="s">
        <v>126</v>
      </c>
      <c r="B157" s="3" t="s">
        <v>262</v>
      </c>
      <c r="C157" s="3" t="s">
        <v>146</v>
      </c>
      <c r="D157" s="3" t="s">
        <v>65</v>
      </c>
      <c r="E157" s="3" t="s">
        <v>46</v>
      </c>
      <c r="F157" s="3"/>
      <c r="G157" s="3" t="s">
        <v>144</v>
      </c>
      <c r="H157" s="3"/>
      <c r="I157" s="3"/>
      <c r="J157" s="3"/>
    </row>
    <row r="158" spans="1:10" x14ac:dyDescent="0.25">
      <c r="A158" s="3" t="s">
        <v>126</v>
      </c>
      <c r="B158" s="3" t="s">
        <v>262</v>
      </c>
      <c r="C158" s="3" t="s">
        <v>149</v>
      </c>
      <c r="D158" s="3" t="s">
        <v>65</v>
      </c>
      <c r="E158" s="3" t="s">
        <v>46</v>
      </c>
      <c r="F158" s="3"/>
      <c r="G158" s="3" t="s">
        <v>144</v>
      </c>
      <c r="H158" s="3"/>
      <c r="I158" s="3"/>
      <c r="J158" s="3"/>
    </row>
    <row r="159" spans="1:10" x14ac:dyDescent="0.25">
      <c r="A159" s="3" t="s">
        <v>126</v>
      </c>
      <c r="B159" s="3" t="s">
        <v>204</v>
      </c>
      <c r="C159" s="3" t="s">
        <v>149</v>
      </c>
      <c r="D159" s="3" t="s">
        <v>65</v>
      </c>
      <c r="E159" s="3" t="s">
        <v>46</v>
      </c>
      <c r="F159" s="3"/>
      <c r="G159" s="3" t="s">
        <v>144</v>
      </c>
      <c r="H159" s="3"/>
      <c r="I159" s="4">
        <v>46221</v>
      </c>
      <c r="J159" s="4">
        <v>46221</v>
      </c>
    </row>
    <row r="160" spans="1:10" x14ac:dyDescent="0.25">
      <c r="A160" s="3" t="s">
        <v>126</v>
      </c>
      <c r="B160" s="3" t="s">
        <v>219</v>
      </c>
      <c r="C160" s="3" t="s">
        <v>149</v>
      </c>
      <c r="D160" s="3" t="s">
        <v>65</v>
      </c>
      <c r="E160" s="3" t="s">
        <v>46</v>
      </c>
      <c r="F160" s="3"/>
      <c r="G160" s="3" t="s">
        <v>144</v>
      </c>
      <c r="H160" s="4">
        <v>46221</v>
      </c>
      <c r="I160" s="4">
        <v>46223</v>
      </c>
      <c r="J160" s="4">
        <v>46223</v>
      </c>
    </row>
    <row r="161" spans="1:10" x14ac:dyDescent="0.25">
      <c r="A161" s="3" t="s">
        <v>126</v>
      </c>
      <c r="B161" s="3" t="s">
        <v>262</v>
      </c>
      <c r="C161" s="3" t="s">
        <v>150</v>
      </c>
      <c r="D161" s="3" t="s">
        <v>84</v>
      </c>
      <c r="E161" s="3" t="s">
        <v>60</v>
      </c>
      <c r="F161" s="3"/>
      <c r="G161" s="3" t="s">
        <v>144</v>
      </c>
      <c r="H161" s="3"/>
      <c r="I161" s="3"/>
      <c r="J161" s="3"/>
    </row>
    <row r="162" spans="1:10" x14ac:dyDescent="0.25">
      <c r="A162" s="3" t="s">
        <v>126</v>
      </c>
      <c r="B162" s="3" t="s">
        <v>204</v>
      </c>
      <c r="C162" s="3" t="s">
        <v>150</v>
      </c>
      <c r="D162" s="3" t="s">
        <v>84</v>
      </c>
      <c r="E162" s="3" t="s">
        <v>60</v>
      </c>
      <c r="F162" s="3"/>
      <c r="G162" s="3" t="s">
        <v>144</v>
      </c>
      <c r="H162" s="3"/>
      <c r="I162" s="4">
        <v>46220</v>
      </c>
      <c r="J162" s="4">
        <v>46220</v>
      </c>
    </row>
    <row r="163" spans="1:10" x14ac:dyDescent="0.25">
      <c r="A163" s="3" t="s">
        <v>126</v>
      </c>
      <c r="B163" s="3" t="s">
        <v>219</v>
      </c>
      <c r="C163" s="3" t="s">
        <v>150</v>
      </c>
      <c r="D163" s="3" t="s">
        <v>84</v>
      </c>
      <c r="E163" s="3" t="s">
        <v>60</v>
      </c>
      <c r="F163" s="3"/>
      <c r="G163" s="3" t="s">
        <v>144</v>
      </c>
      <c r="H163" s="4">
        <v>46220</v>
      </c>
      <c r="I163" s="4">
        <v>46223</v>
      </c>
      <c r="J163" s="4">
        <v>46223</v>
      </c>
    </row>
    <row r="164" spans="1:10" x14ac:dyDescent="0.25">
      <c r="A164" s="3" t="s">
        <v>126</v>
      </c>
      <c r="B164" s="3" t="s">
        <v>262</v>
      </c>
      <c r="C164" s="3" t="s">
        <v>153</v>
      </c>
      <c r="D164" s="3" t="s">
        <v>155</v>
      </c>
      <c r="E164" s="3" t="s">
        <v>60</v>
      </c>
      <c r="F164" s="3"/>
      <c r="G164" s="3" t="s">
        <v>144</v>
      </c>
      <c r="H164" s="3"/>
      <c r="I164" s="3"/>
      <c r="J164" s="3"/>
    </row>
    <row r="165" spans="1:10" x14ac:dyDescent="0.25">
      <c r="A165" s="3" t="s">
        <v>126</v>
      </c>
      <c r="B165" s="3" t="s">
        <v>204</v>
      </c>
      <c r="C165" s="3" t="s">
        <v>153</v>
      </c>
      <c r="D165" s="3" t="s">
        <v>155</v>
      </c>
      <c r="E165" s="3" t="s">
        <v>60</v>
      </c>
      <c r="F165" s="3"/>
      <c r="G165" s="3" t="s">
        <v>144</v>
      </c>
      <c r="H165" s="3"/>
      <c r="I165" s="4">
        <v>46224</v>
      </c>
      <c r="J165" s="4">
        <v>46224</v>
      </c>
    </row>
    <row r="166" spans="1:10" x14ac:dyDescent="0.25">
      <c r="A166" s="3" t="s">
        <v>126</v>
      </c>
      <c r="B166" s="3" t="s">
        <v>219</v>
      </c>
      <c r="C166" s="3" t="s">
        <v>153</v>
      </c>
      <c r="D166" s="3" t="s">
        <v>155</v>
      </c>
      <c r="E166" s="3" t="s">
        <v>60</v>
      </c>
      <c r="F166" s="3"/>
      <c r="G166" s="3" t="s">
        <v>144</v>
      </c>
      <c r="H166" s="4">
        <v>46224</v>
      </c>
      <c r="I166" s="4">
        <v>46223</v>
      </c>
      <c r="J166" s="4">
        <v>46223</v>
      </c>
    </row>
    <row r="167" spans="1:10" x14ac:dyDescent="0.25">
      <c r="A167" s="3" t="s">
        <v>126</v>
      </c>
      <c r="B167" s="3" t="s">
        <v>262</v>
      </c>
      <c r="C167" s="3" t="s">
        <v>156</v>
      </c>
      <c r="D167" s="3" t="s">
        <v>155</v>
      </c>
      <c r="E167" s="3" t="s">
        <v>77</v>
      </c>
      <c r="F167" s="3"/>
      <c r="G167" s="3" t="s">
        <v>144</v>
      </c>
      <c r="H167" s="3"/>
      <c r="I167" s="3"/>
      <c r="J167" s="3"/>
    </row>
    <row r="168" spans="1:10" x14ac:dyDescent="0.25">
      <c r="A168" s="3" t="s">
        <v>126</v>
      </c>
      <c r="B168" s="3" t="s">
        <v>204</v>
      </c>
      <c r="C168" s="3" t="s">
        <v>156</v>
      </c>
      <c r="D168" s="3" t="s">
        <v>155</v>
      </c>
      <c r="E168" s="3" t="s">
        <v>77</v>
      </c>
      <c r="F168" s="3"/>
      <c r="G168" s="3" t="s">
        <v>144</v>
      </c>
      <c r="H168" s="3"/>
      <c r="I168" s="4">
        <v>46225</v>
      </c>
      <c r="J168" s="4">
        <v>46225</v>
      </c>
    </row>
    <row r="169" spans="1:10" x14ac:dyDescent="0.25">
      <c r="A169" s="3" t="s">
        <v>126</v>
      </c>
      <c r="B169" s="3" t="s">
        <v>219</v>
      </c>
      <c r="C169" s="3" t="s">
        <v>156</v>
      </c>
      <c r="D169" s="3" t="s">
        <v>155</v>
      </c>
      <c r="E169" s="3" t="s">
        <v>77</v>
      </c>
      <c r="F169" s="3"/>
      <c r="G169" s="3" t="s">
        <v>144</v>
      </c>
      <c r="H169" s="4">
        <v>46225</v>
      </c>
      <c r="I169" s="4">
        <v>46223</v>
      </c>
      <c r="J169" s="4">
        <v>46223</v>
      </c>
    </row>
    <row r="170" spans="1:10" x14ac:dyDescent="0.25">
      <c r="A170" s="3" t="s">
        <v>126</v>
      </c>
      <c r="B170" s="3" t="s">
        <v>262</v>
      </c>
      <c r="C170" s="3" t="s">
        <v>157</v>
      </c>
      <c r="D170" s="3" t="s">
        <v>76</v>
      </c>
      <c r="E170" s="3" t="s">
        <v>46</v>
      </c>
      <c r="F170" s="3"/>
      <c r="G170" s="3" t="s">
        <v>129</v>
      </c>
      <c r="H170" s="3"/>
      <c r="I170" s="3"/>
      <c r="J170" s="3"/>
    </row>
    <row r="171" spans="1:10" x14ac:dyDescent="0.25">
      <c r="A171" s="3" t="s">
        <v>126</v>
      </c>
      <c r="B171" s="3" t="s">
        <v>204</v>
      </c>
      <c r="C171" s="3" t="s">
        <v>157</v>
      </c>
      <c r="D171" s="3" t="s">
        <v>76</v>
      </c>
      <c r="E171" s="3" t="s">
        <v>46</v>
      </c>
      <c r="F171" s="3"/>
      <c r="G171" s="3" t="s">
        <v>129</v>
      </c>
      <c r="H171" s="3"/>
      <c r="I171" s="4">
        <v>46226</v>
      </c>
      <c r="J171" s="4">
        <v>46226</v>
      </c>
    </row>
    <row r="172" spans="1:10" x14ac:dyDescent="0.25">
      <c r="A172" s="3" t="s">
        <v>126</v>
      </c>
      <c r="B172" s="3" t="s">
        <v>219</v>
      </c>
      <c r="C172" s="3" t="s">
        <v>157</v>
      </c>
      <c r="D172" s="3" t="s">
        <v>76</v>
      </c>
      <c r="E172" s="3" t="s">
        <v>46</v>
      </c>
      <c r="F172" s="3"/>
      <c r="G172" s="3" t="s">
        <v>129</v>
      </c>
      <c r="H172" s="4">
        <v>46226</v>
      </c>
      <c r="I172" s="4">
        <v>46223</v>
      </c>
      <c r="J172" s="4">
        <v>46223</v>
      </c>
    </row>
    <row r="173" spans="1:10" x14ac:dyDescent="0.25">
      <c r="A173" s="3" t="s">
        <v>126</v>
      </c>
      <c r="B173" s="3" t="s">
        <v>262</v>
      </c>
      <c r="C173" s="3" t="s">
        <v>159</v>
      </c>
      <c r="D173" s="3" t="s">
        <v>59</v>
      </c>
      <c r="E173" s="3" t="s">
        <v>60</v>
      </c>
      <c r="F173" s="3"/>
      <c r="G173" s="3" t="s">
        <v>129</v>
      </c>
      <c r="H173" s="3"/>
      <c r="I173" s="3"/>
      <c r="J173" s="3"/>
    </row>
    <row r="174" spans="1:10" x14ac:dyDescent="0.25">
      <c r="A174" s="3" t="s">
        <v>126</v>
      </c>
      <c r="B174" s="3" t="s">
        <v>204</v>
      </c>
      <c r="C174" s="3" t="s">
        <v>159</v>
      </c>
      <c r="D174" s="3" t="s">
        <v>59</v>
      </c>
      <c r="E174" s="3" t="s">
        <v>60</v>
      </c>
      <c r="F174" s="3"/>
      <c r="G174" s="3" t="s">
        <v>129</v>
      </c>
      <c r="H174" s="3"/>
      <c r="I174" s="4">
        <v>46225</v>
      </c>
      <c r="J174" s="4">
        <v>46225</v>
      </c>
    </row>
    <row r="175" spans="1:10" x14ac:dyDescent="0.25">
      <c r="A175" s="3" t="s">
        <v>126</v>
      </c>
      <c r="B175" s="3" t="s">
        <v>219</v>
      </c>
      <c r="C175" s="3" t="s">
        <v>159</v>
      </c>
      <c r="D175" s="3" t="s">
        <v>59</v>
      </c>
      <c r="E175" s="3" t="s">
        <v>60</v>
      </c>
      <c r="F175" s="3"/>
      <c r="G175" s="3" t="s">
        <v>129</v>
      </c>
      <c r="H175" s="4">
        <v>46225</v>
      </c>
      <c r="I175" s="4">
        <v>46223</v>
      </c>
      <c r="J175" s="4">
        <v>46223</v>
      </c>
    </row>
    <row r="176" spans="1:10" x14ac:dyDescent="0.25">
      <c r="A176" s="3" t="s">
        <v>126</v>
      </c>
      <c r="B176" s="3" t="s">
        <v>262</v>
      </c>
      <c r="C176" s="3" t="s">
        <v>161</v>
      </c>
      <c r="D176" s="3" t="s">
        <v>76</v>
      </c>
      <c r="E176" s="3" t="s">
        <v>77</v>
      </c>
      <c r="F176" s="3"/>
      <c r="G176" s="3" t="s">
        <v>144</v>
      </c>
      <c r="H176" s="3"/>
      <c r="I176" s="3"/>
      <c r="J176" s="3"/>
    </row>
    <row r="177" spans="1:10" x14ac:dyDescent="0.25">
      <c r="A177" s="3" t="s">
        <v>126</v>
      </c>
      <c r="B177" s="3" t="s">
        <v>204</v>
      </c>
      <c r="C177" s="3" t="s">
        <v>161</v>
      </c>
      <c r="D177" s="3" t="s">
        <v>76</v>
      </c>
      <c r="E177" s="3" t="s">
        <v>77</v>
      </c>
      <c r="F177" s="3"/>
      <c r="G177" s="3" t="s">
        <v>144</v>
      </c>
      <c r="H177" s="3"/>
      <c r="I177" s="4">
        <v>46225</v>
      </c>
      <c r="J177" s="4">
        <v>46225</v>
      </c>
    </row>
    <row r="178" spans="1:10" x14ac:dyDescent="0.25">
      <c r="A178" s="3" t="s">
        <v>126</v>
      </c>
      <c r="B178" s="3" t="s">
        <v>219</v>
      </c>
      <c r="C178" s="3" t="s">
        <v>161</v>
      </c>
      <c r="D178" s="3" t="s">
        <v>76</v>
      </c>
      <c r="E178" s="3" t="s">
        <v>77</v>
      </c>
      <c r="F178" s="3"/>
      <c r="G178" s="3" t="s">
        <v>144</v>
      </c>
      <c r="H178" s="4">
        <v>46225</v>
      </c>
      <c r="I178" s="4">
        <v>46230</v>
      </c>
      <c r="J178" s="4">
        <v>46230</v>
      </c>
    </row>
    <row r="179" spans="1:10" x14ac:dyDescent="0.25">
      <c r="A179" s="3" t="s">
        <v>126</v>
      </c>
      <c r="B179" s="3" t="s">
        <v>262</v>
      </c>
      <c r="C179" s="3" t="s">
        <v>164</v>
      </c>
      <c r="D179" s="3" t="s">
        <v>103</v>
      </c>
      <c r="E179" s="3"/>
      <c r="F179" s="3"/>
      <c r="G179" s="3"/>
      <c r="H179" s="3"/>
      <c r="I179" s="3"/>
      <c r="J179" s="3"/>
    </row>
    <row r="180" spans="1:10" x14ac:dyDescent="0.25">
      <c r="A180" s="3" t="s">
        <v>126</v>
      </c>
      <c r="B180" s="3" t="s">
        <v>204</v>
      </c>
      <c r="C180" s="3" t="s">
        <v>164</v>
      </c>
      <c r="D180" s="3" t="s">
        <v>103</v>
      </c>
      <c r="E180" s="3"/>
      <c r="F180" s="3"/>
      <c r="G180" s="3"/>
      <c r="H180" s="3"/>
      <c r="I180" s="3"/>
      <c r="J180" s="3"/>
    </row>
    <row r="181" spans="1:10" x14ac:dyDescent="0.25">
      <c r="A181" s="3" t="s">
        <v>126</v>
      </c>
      <c r="B181" s="3" t="s">
        <v>219</v>
      </c>
      <c r="C181" s="3" t="s">
        <v>164</v>
      </c>
      <c r="D181" s="3" t="s">
        <v>103</v>
      </c>
      <c r="E181" s="3"/>
      <c r="F181" s="3"/>
      <c r="G181" s="3"/>
      <c r="H181" s="3"/>
      <c r="I181" s="3"/>
      <c r="J181" s="3"/>
    </row>
    <row r="182" spans="1:10" x14ac:dyDescent="0.25">
      <c r="A182" s="3" t="s">
        <v>126</v>
      </c>
      <c r="B182" s="3" t="s">
        <v>262</v>
      </c>
      <c r="C182" s="3" t="s">
        <v>175</v>
      </c>
      <c r="D182" s="3" t="s">
        <v>84</v>
      </c>
      <c r="E182" s="3"/>
      <c r="F182" s="3"/>
      <c r="G182" s="3"/>
      <c r="H182" s="3"/>
      <c r="I182" s="3"/>
      <c r="J182" s="3"/>
    </row>
    <row r="183" spans="1:10" x14ac:dyDescent="0.25">
      <c r="A183" s="3" t="s">
        <v>126</v>
      </c>
      <c r="B183" s="3" t="s">
        <v>204</v>
      </c>
      <c r="C183" s="3" t="s">
        <v>175</v>
      </c>
      <c r="D183" s="3" t="s">
        <v>84</v>
      </c>
      <c r="E183" s="3"/>
      <c r="F183" s="3"/>
      <c r="G183" s="3"/>
      <c r="H183" s="3"/>
      <c r="I183" s="3"/>
      <c r="J183" s="3"/>
    </row>
    <row r="184" spans="1:10" x14ac:dyDescent="0.25">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x14ac:dyDescent="0.2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x14ac:dyDescent="0.25">
      <c r="A1" s="1" t="s">
        <v>0</v>
      </c>
      <c r="B1" s="1" t="s">
        <v>9</v>
      </c>
      <c r="C1" s="1" t="s">
        <v>15</v>
      </c>
      <c r="D1" s="1" t="s">
        <v>5</v>
      </c>
      <c r="E1" s="1" t="s">
        <v>440</v>
      </c>
      <c r="F1" s="1" t="s">
        <v>338</v>
      </c>
      <c r="G1" s="5" t="s">
        <v>441</v>
      </c>
      <c r="H1" s="5" t="s">
        <v>20</v>
      </c>
      <c r="I1" t="s">
        <v>35</v>
      </c>
      <c r="J1" s="5" t="s">
        <v>442</v>
      </c>
      <c r="K1" s="5" t="s">
        <v>182</v>
      </c>
      <c r="L1" s="5" t="s">
        <v>355</v>
      </c>
      <c r="M1" s="1" t="s">
        <v>443</v>
      </c>
      <c r="N1" s="1" t="s">
        <v>444</v>
      </c>
      <c r="R1" t="s">
        <v>13</v>
      </c>
      <c r="T1" t="s">
        <v>445</v>
      </c>
    </row>
    <row r="2" spans="1:20" ht="13.5" customHeight="1" x14ac:dyDescent="0.25">
      <c r="A2" s="2" t="s">
        <v>446</v>
      </c>
      <c r="B2" s="2" t="s">
        <v>447</v>
      </c>
      <c r="C2" s="2" t="s">
        <v>448</v>
      </c>
      <c r="D2" s="2" t="s">
        <v>449</v>
      </c>
      <c r="E2" s="2" t="s">
        <v>450</v>
      </c>
      <c r="F2" s="2" t="s">
        <v>451</v>
      </c>
      <c r="G2" t="s">
        <v>452</v>
      </c>
      <c r="H2" t="s">
        <v>453</v>
      </c>
      <c r="I2" t="s">
        <v>454</v>
      </c>
      <c r="J2" s="29" t="s">
        <v>455</v>
      </c>
      <c r="K2" s="29" t="s">
        <v>456</v>
      </c>
      <c r="L2" s="29" t="s">
        <v>457</v>
      </c>
      <c r="M2" t="s">
        <v>144</v>
      </c>
      <c r="N2" t="s">
        <v>458</v>
      </c>
      <c r="R2" t="s">
        <v>256</v>
      </c>
      <c r="T2" t="s">
        <v>49</v>
      </c>
    </row>
    <row r="3" spans="1:20" ht="15" customHeight="1" x14ac:dyDescent="0.25">
      <c r="A3" t="s">
        <v>40</v>
      </c>
      <c r="B3" t="s">
        <v>44</v>
      </c>
      <c r="C3" t="s">
        <v>60</v>
      </c>
      <c r="D3" t="s">
        <v>129</v>
      </c>
      <c r="E3" t="s">
        <v>50</v>
      </c>
      <c r="F3" t="s">
        <v>233</v>
      </c>
      <c r="G3" t="s">
        <v>44</v>
      </c>
      <c r="H3" t="s">
        <v>47</v>
      </c>
      <c r="I3" t="s">
        <v>53</v>
      </c>
      <c r="J3" t="s">
        <v>262</v>
      </c>
      <c r="K3" t="s">
        <v>48</v>
      </c>
      <c r="L3" t="s">
        <v>53</v>
      </c>
      <c r="M3" t="s">
        <v>44</v>
      </c>
      <c r="N3" t="s">
        <v>459</v>
      </c>
      <c r="R3" t="s">
        <v>45</v>
      </c>
      <c r="T3" t="s">
        <v>94</v>
      </c>
    </row>
    <row r="4" spans="1:20" ht="15" customHeight="1" x14ac:dyDescent="0.25">
      <c r="A4" t="s">
        <v>126</v>
      </c>
      <c r="B4" t="s">
        <v>59</v>
      </c>
      <c r="C4" t="s">
        <v>46</v>
      </c>
      <c r="D4" t="s">
        <v>144</v>
      </c>
      <c r="E4" t="s">
        <v>53</v>
      </c>
      <c r="F4" t="s">
        <v>262</v>
      </c>
      <c r="G4" t="s">
        <v>59</v>
      </c>
      <c r="H4" t="s">
        <v>88</v>
      </c>
      <c r="I4" t="s">
        <v>205</v>
      </c>
      <c r="J4" t="s">
        <v>204</v>
      </c>
      <c r="L4" t="s">
        <v>50</v>
      </c>
      <c r="M4" t="s">
        <v>103</v>
      </c>
      <c r="N4" t="s">
        <v>460</v>
      </c>
      <c r="R4" t="s">
        <v>461</v>
      </c>
      <c r="T4" t="s">
        <v>72</v>
      </c>
    </row>
    <row r="5" spans="1:20" ht="15" customHeight="1" x14ac:dyDescent="0.25">
      <c r="A5" t="s">
        <v>430</v>
      </c>
      <c r="B5" t="s">
        <v>439</v>
      </c>
      <c r="C5" t="s">
        <v>77</v>
      </c>
      <c r="F5" t="s">
        <v>204</v>
      </c>
      <c r="G5" t="s">
        <v>439</v>
      </c>
      <c r="H5" t="s">
        <v>129</v>
      </c>
      <c r="I5" t="s">
        <v>253</v>
      </c>
      <c r="J5" t="s">
        <v>219</v>
      </c>
      <c r="L5" t="s">
        <v>462</v>
      </c>
      <c r="M5" t="s">
        <v>88</v>
      </c>
      <c r="N5" t="s">
        <v>463</v>
      </c>
    </row>
    <row r="6" spans="1:20" ht="15" customHeight="1" x14ac:dyDescent="0.25">
      <c r="A6" t="s">
        <v>310</v>
      </c>
      <c r="B6" t="s">
        <v>84</v>
      </c>
      <c r="F6" t="s">
        <v>219</v>
      </c>
      <c r="G6" t="s">
        <v>84</v>
      </c>
      <c r="H6" t="s">
        <v>144</v>
      </c>
      <c r="I6" t="s">
        <v>464</v>
      </c>
      <c r="J6" t="s">
        <v>182</v>
      </c>
      <c r="M6" t="s">
        <v>48</v>
      </c>
      <c r="N6" t="s">
        <v>463</v>
      </c>
    </row>
    <row r="7" spans="1:20" ht="15" customHeight="1" x14ac:dyDescent="0.25">
      <c r="A7" t="s">
        <v>301</v>
      </c>
      <c r="B7" t="s">
        <v>65</v>
      </c>
      <c r="F7" t="s">
        <v>182</v>
      </c>
      <c r="G7" t="s">
        <v>65</v>
      </c>
      <c r="H7" t="s">
        <v>199</v>
      </c>
      <c r="I7" t="s">
        <v>465</v>
      </c>
      <c r="M7" t="s">
        <v>129</v>
      </c>
      <c r="N7" t="s">
        <v>466</v>
      </c>
    </row>
    <row r="8" spans="1:20" ht="15" customHeight="1" x14ac:dyDescent="0.25">
      <c r="B8" t="s">
        <v>76</v>
      </c>
      <c r="F8" t="s">
        <v>128</v>
      </c>
      <c r="G8" t="s">
        <v>76</v>
      </c>
      <c r="I8" t="s">
        <v>171</v>
      </c>
      <c r="M8" t="s">
        <v>60</v>
      </c>
      <c r="N8" t="s">
        <v>467</v>
      </c>
    </row>
    <row r="9" spans="1:20" ht="15" customHeight="1" x14ac:dyDescent="0.25">
      <c r="B9" t="s">
        <v>103</v>
      </c>
      <c r="F9" t="s">
        <v>42</v>
      </c>
      <c r="G9" t="s">
        <v>103</v>
      </c>
      <c r="I9" t="s">
        <v>133</v>
      </c>
      <c r="M9" t="s">
        <v>155</v>
      </c>
      <c r="N9" t="s">
        <v>468</v>
      </c>
    </row>
    <row r="10" spans="1:20" ht="15" customHeight="1" x14ac:dyDescent="0.25">
      <c r="B10" t="s">
        <v>155</v>
      </c>
      <c r="G10" t="s">
        <v>155</v>
      </c>
      <c r="I10" t="s">
        <v>469</v>
      </c>
      <c r="M10" t="s">
        <v>47</v>
      </c>
      <c r="N10" t="s">
        <v>470</v>
      </c>
    </row>
    <row r="11" spans="1:20" x14ac:dyDescent="0.25">
      <c r="B11" t="s">
        <v>471</v>
      </c>
      <c r="G11" t="s">
        <v>60</v>
      </c>
      <c r="M11" t="s">
        <v>76</v>
      </c>
      <c r="N11" t="s">
        <v>472</v>
      </c>
    </row>
    <row r="12" spans="1:20" x14ac:dyDescent="0.25">
      <c r="B12" t="s">
        <v>473</v>
      </c>
      <c r="G12" t="s">
        <v>46</v>
      </c>
      <c r="M12" t="s">
        <v>46</v>
      </c>
      <c r="N12" t="s">
        <v>474</v>
      </c>
    </row>
    <row r="13" spans="1:20" x14ac:dyDescent="0.25">
      <c r="G13" t="s">
        <v>77</v>
      </c>
      <c r="M13" t="s">
        <v>77</v>
      </c>
      <c r="N13" t="s">
        <v>475</v>
      </c>
    </row>
    <row r="14" spans="1:20" x14ac:dyDescent="0.25">
      <c r="M14" t="s">
        <v>84</v>
      </c>
      <c r="N14" t="s">
        <v>476</v>
      </c>
    </row>
    <row r="15" spans="1:20" x14ac:dyDescent="0.25">
      <c r="M15" t="s">
        <v>59</v>
      </c>
      <c r="N15" t="s">
        <v>477</v>
      </c>
    </row>
    <row r="16" spans="1:20" x14ac:dyDescent="0.25">
      <c r="M16" t="s">
        <v>65</v>
      </c>
      <c r="N16" t="s">
        <v>478</v>
      </c>
    </row>
    <row r="17" spans="13:14" x14ac:dyDescent="0.25">
      <c r="M17" t="s">
        <v>439</v>
      </c>
      <c r="N17" t="s">
        <v>478</v>
      </c>
    </row>
    <row r="18" spans="13:14" x14ac:dyDescent="0.25">
      <c r="M18" t="s">
        <v>228</v>
      </c>
      <c r="N18" t="s">
        <v>479</v>
      </c>
    </row>
    <row r="19" spans="13:14" x14ac:dyDescent="0.25">
      <c r="M19" t="s">
        <v>199</v>
      </c>
      <c r="N19" t="s">
        <v>480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x14ac:dyDescent="0.2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x14ac:dyDescent="0.25">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x14ac:dyDescent="0.25">
      <c r="A2" s="171"/>
      <c r="B2" s="172" t="s">
        <v>481</v>
      </c>
      <c r="C2" s="171"/>
      <c r="D2" s="171"/>
      <c r="E2" s="171"/>
      <c r="F2" s="171"/>
      <c r="G2" s="171"/>
      <c r="H2" s="171"/>
      <c r="I2" s="171"/>
      <c r="J2" s="171"/>
      <c r="K2" s="171"/>
      <c r="L2" s="171"/>
      <c r="M2" s="249" t="str">
        <f ca="1">"As of "&amp;TEXT(TODAY(),"d mmm yyyy")&amp;". Live from Combined Delivery Data."</f>
        <v>As of 7 Oct 2026. Live from Combined Delivery Data.</v>
      </c>
      <c r="N2" s="249"/>
      <c r="O2" s="249"/>
      <c r="P2" s="171"/>
      <c r="Q2" s="171"/>
      <c r="R2" s="171"/>
      <c r="S2" s="171"/>
      <c r="T2" s="171"/>
      <c r="U2" s="171"/>
      <c r="V2" s="171"/>
      <c r="W2" s="171"/>
      <c r="X2" s="171"/>
      <c r="Y2" s="171"/>
      <c r="Z2" s="171"/>
    </row>
    <row r="3" spans="1:26" ht="18" customHeight="1" x14ac:dyDescent="0.25">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x14ac:dyDescent="0.25">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x14ac:dyDescent="0.25">
      <c r="A5" s="171"/>
      <c r="B5" s="174" t="str">
        <f>(C7+E7)&amp;" of "&amp;K17</f>
        <v>32 of 72</v>
      </c>
      <c r="C5" s="250" t="str">
        <f>IF(C7+E7=0,"No CMS reports are blocked.","reports are blocked. "&amp;C7&amp;" are approved and waiting for a production release, "&amp;E7&amp;" are blocked in build or QA.")</f>
        <v>reports are blocked. 27 are approved and waiting for a production release, 5 are blocked in build or QA.</v>
      </c>
      <c r="D5" s="250"/>
      <c r="E5" s="250"/>
      <c r="F5" s="250"/>
      <c r="G5" s="250"/>
      <c r="H5" s="250"/>
      <c r="I5" s="250"/>
      <c r="J5" s="250"/>
      <c r="K5" s="250"/>
      <c r="L5" s="250"/>
      <c r="M5" s="250"/>
      <c r="N5" s="250"/>
      <c r="O5" s="250"/>
      <c r="P5" s="171"/>
      <c r="Q5" s="171"/>
      <c r="R5" s="171"/>
      <c r="S5" s="171"/>
      <c r="T5" s="171"/>
      <c r="U5" s="171"/>
      <c r="V5" s="171"/>
      <c r="W5" s="171"/>
      <c r="X5" s="171"/>
      <c r="Y5" s="171"/>
      <c r="Z5" s="171"/>
    </row>
    <row r="6" spans="1:26" ht="8.25" customHeight="1" x14ac:dyDescent="0.25">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x14ac:dyDescent="0.6">
      <c r="A7" s="171"/>
      <c r="B7" s="171"/>
      <c r="C7" s="251" cm="1">
        <f t="array" ref="C7">COUNTIFS(cmsDom,"CMS",cmsStatus,"Ready for Release in Prod")</f>
        <v>27</v>
      </c>
      <c r="D7" s="252"/>
      <c r="E7" s="255" cm="1">
        <f t="array" ref="E7">COUNTIFS(cmsDom,"CMS",cmsBlocked,"Yes*",cmsStatus,"&lt;&gt;Ready for Release in Prod",cmsStatus,"&lt;&gt;RELEASED IN PROD")</f>
        <v>5</v>
      </c>
      <c r="F7" s="256"/>
      <c r="G7" s="257" cm="1">
        <f t="array" ref="G7">SUM(COUNTIFS(cmsDom,"CMS",cmsBlocked,"&lt;&gt;Yes*",cmsStatus,{"DB Dev","PBI Dev","QA","DPO Approval"}))</f>
        <v>25</v>
      </c>
      <c r="H7" s="258"/>
      <c r="I7" s="259" cm="1">
        <f t="array" ref="I7">COUNTIFS(cmsDom,"CMS",cmsBlocked,"&lt;&gt;Yes*",cmsStatus,"NOT STARTED")</f>
        <v>14</v>
      </c>
      <c r="J7" s="260"/>
      <c r="K7" s="261" cm="1">
        <f t="array" ref="K7">COUNTIFS(cmsDom,"CMS",cmsStatus,"RELEASED IN PROD")</f>
        <v>1</v>
      </c>
      <c r="L7" s="262"/>
      <c r="M7" s="263" t="s">
        <v>482</v>
      </c>
      <c r="N7" s="264"/>
      <c r="O7" s="265"/>
      <c r="P7" s="171"/>
      <c r="Q7" s="171"/>
      <c r="R7" s="171"/>
      <c r="S7" s="171"/>
      <c r="T7" s="171"/>
      <c r="U7" s="171"/>
      <c r="V7" s="171"/>
      <c r="W7" s="171"/>
      <c r="X7" s="171"/>
      <c r="Y7" s="171"/>
      <c r="Z7" s="171"/>
    </row>
    <row r="8" spans="1:26" ht="30" customHeight="1" x14ac:dyDescent="0.25">
      <c r="A8" s="171"/>
      <c r="B8" s="171"/>
      <c r="C8" s="253" t="s">
        <v>483</v>
      </c>
      <c r="D8" s="254"/>
      <c r="E8" s="253" t="s">
        <v>484</v>
      </c>
      <c r="F8" s="254"/>
      <c r="G8" s="253" t="s">
        <v>485</v>
      </c>
      <c r="H8" s="254"/>
      <c r="I8" s="253" t="s">
        <v>486</v>
      </c>
      <c r="J8" s="254"/>
      <c r="K8" s="253" t="s">
        <v>487</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4"/>
      <c r="O8" s="266"/>
      <c r="P8" s="171"/>
      <c r="Q8" s="171"/>
      <c r="R8" s="171"/>
      <c r="S8" s="171"/>
      <c r="T8" s="171"/>
      <c r="U8" s="171"/>
      <c r="V8" s="171"/>
      <c r="W8" s="171"/>
      <c r="X8" s="171"/>
      <c r="Y8" s="171"/>
      <c r="Z8" s="171"/>
    </row>
    <row r="9" spans="1:26" ht="12" customHeight="1" x14ac:dyDescent="0.25">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x14ac:dyDescent="0.25">
      <c r="A10" s="171"/>
      <c r="B10" s="183" t="s">
        <v>488</v>
      </c>
      <c r="C10" s="227" t="s">
        <v>489</v>
      </c>
      <c r="D10" s="227"/>
      <c r="E10" s="227"/>
      <c r="F10" s="227"/>
      <c r="G10" s="227"/>
      <c r="H10" s="227"/>
      <c r="I10" s="227"/>
      <c r="J10" s="227"/>
      <c r="K10" s="227"/>
      <c r="L10" s="227"/>
      <c r="M10" s="227"/>
      <c r="N10" s="227"/>
      <c r="O10" s="227"/>
      <c r="P10" s="171"/>
      <c r="Q10" s="171"/>
      <c r="R10" s="171"/>
      <c r="S10" s="171"/>
      <c r="T10" s="171"/>
      <c r="U10" s="171"/>
      <c r="V10" s="171"/>
      <c r="W10" s="171"/>
      <c r="X10" s="171"/>
      <c r="Y10" s="171"/>
      <c r="Z10" s="171"/>
    </row>
    <row r="11" spans="1:26" ht="30" customHeight="1" x14ac:dyDescent="0.25">
      <c r="A11" s="171"/>
      <c r="B11" s="188" t="s">
        <v>490</v>
      </c>
      <c r="C11" s="185" t="s">
        <v>491</v>
      </c>
      <c r="D11" s="185" t="s">
        <v>492</v>
      </c>
      <c r="E11" s="185" t="s">
        <v>182</v>
      </c>
      <c r="F11" s="185" t="s">
        <v>219</v>
      </c>
      <c r="G11" s="185" t="s">
        <v>204</v>
      </c>
      <c r="H11" s="185" t="s">
        <v>262</v>
      </c>
      <c r="I11" s="185" t="s">
        <v>486</v>
      </c>
      <c r="J11" s="185" t="s">
        <v>493</v>
      </c>
      <c r="K11" s="185" t="s">
        <v>494</v>
      </c>
      <c r="L11" s="185" t="s">
        <v>495</v>
      </c>
      <c r="M11" s="243" t="s">
        <v>496</v>
      </c>
      <c r="N11" s="244"/>
      <c r="O11" s="245"/>
      <c r="P11" s="171"/>
      <c r="Q11" s="171"/>
      <c r="R11" s="171"/>
      <c r="S11" s="171"/>
      <c r="T11" s="171"/>
      <c r="U11" s="171"/>
      <c r="V11" s="171"/>
      <c r="W11" s="171"/>
      <c r="X11" s="171"/>
      <c r="Y11" s="171"/>
      <c r="Z11" s="171"/>
    </row>
    <row r="12" spans="1:26" ht="21.75" customHeight="1" x14ac:dyDescent="0.25">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28 days past milestone, 14 of 14 not released</v>
      </c>
      <c r="N12" s="247"/>
      <c r="O12" s="248"/>
      <c r="P12" s="171"/>
      <c r="Q12" s="171"/>
      <c r="R12" s="171"/>
      <c r="S12" s="171"/>
      <c r="T12" s="171"/>
      <c r="U12" s="171"/>
      <c r="V12" s="171"/>
      <c r="W12" s="171"/>
      <c r="X12" s="171"/>
      <c r="Y12" s="171"/>
      <c r="Z12" s="171"/>
    </row>
    <row r="13" spans="1:26" ht="21.75" customHeight="1" x14ac:dyDescent="0.25">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7 days past milestone, 12 of 12 not released</v>
      </c>
      <c r="N13" s="238"/>
      <c r="O13" s="239"/>
      <c r="P13" s="171"/>
      <c r="Q13" s="171"/>
      <c r="R13" s="171"/>
      <c r="S13" s="171"/>
      <c r="T13" s="171"/>
      <c r="U13" s="171"/>
      <c r="V13" s="171"/>
      <c r="W13" s="171"/>
      <c r="X13" s="171"/>
      <c r="Y13" s="171"/>
      <c r="Z13" s="171"/>
    </row>
    <row r="14" spans="1:26" ht="21.75" customHeight="1" x14ac:dyDescent="0.25">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23 days to milestone, 3 blocked</v>
      </c>
      <c r="N14" s="238"/>
      <c r="O14" s="239"/>
      <c r="P14" s="171"/>
      <c r="Q14" s="171"/>
      <c r="R14" s="171"/>
      <c r="S14" s="171"/>
      <c r="T14" s="171"/>
      <c r="U14" s="171"/>
      <c r="V14" s="171"/>
      <c r="W14" s="171"/>
      <c r="X14" s="171"/>
      <c r="Y14" s="171"/>
      <c r="Z14" s="171"/>
    </row>
    <row r="15" spans="1:26" ht="21.75" customHeight="1" x14ac:dyDescent="0.25">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54 days to milestone, 2 blocked</v>
      </c>
      <c r="N15" s="238"/>
      <c r="O15" s="239"/>
      <c r="P15" s="171"/>
      <c r="Q15" s="171"/>
      <c r="R15" s="171"/>
      <c r="S15" s="171"/>
      <c r="T15" s="171"/>
      <c r="U15" s="171"/>
      <c r="V15" s="171"/>
      <c r="W15" s="171"/>
      <c r="X15" s="171"/>
      <c r="Y15" s="171"/>
      <c r="Z15" s="171"/>
    </row>
    <row r="16" spans="1:26" ht="21.75" customHeight="1" x14ac:dyDescent="0.25">
      <c r="A16" s="171"/>
      <c r="B16" s="192" t="s">
        <v>271</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2</v>
      </c>
      <c r="H16" s="193" cm="1">
        <f t="array" ref="H16">COUNTIFS(cmsDom,"CMS",cmsMonth,$B16,cmsBlocked,"&lt;&gt;Yes*",cmsStatus,"DB Dev")</f>
        <v>4</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85 days to milestone</v>
      </c>
      <c r="N16" s="241"/>
      <c r="O16" s="242"/>
      <c r="P16" s="171"/>
      <c r="Q16" s="171"/>
      <c r="R16" s="171"/>
      <c r="S16" s="171"/>
      <c r="T16" s="171"/>
      <c r="U16" s="171"/>
      <c r="V16" s="171"/>
      <c r="W16" s="171"/>
      <c r="X16" s="171"/>
      <c r="Y16" s="171"/>
      <c r="Z16" s="171"/>
    </row>
    <row r="17" spans="1:26" ht="24" customHeight="1" x14ac:dyDescent="0.25">
      <c r="A17" s="171"/>
      <c r="B17" s="186" t="s">
        <v>497</v>
      </c>
      <c r="C17" s="198">
        <f t="shared" ref="C17:K17" si="0">SUM(C12:C16)</f>
        <v>27</v>
      </c>
      <c r="D17" s="198">
        <f t="shared" si="0"/>
        <v>5</v>
      </c>
      <c r="E17" s="198">
        <f t="shared" si="0"/>
        <v>8</v>
      </c>
      <c r="F17" s="198">
        <f t="shared" si="0"/>
        <v>5</v>
      </c>
      <c r="G17" s="198">
        <f t="shared" si="0"/>
        <v>7</v>
      </c>
      <c r="H17" s="198">
        <f t="shared" si="0"/>
        <v>5</v>
      </c>
      <c r="I17" s="198">
        <f t="shared" si="0"/>
        <v>14</v>
      </c>
      <c r="J17" s="198">
        <f t="shared" si="0"/>
        <v>1</v>
      </c>
      <c r="K17" s="198">
        <f t="shared" si="0"/>
        <v>72</v>
      </c>
      <c r="L17" s="187"/>
      <c r="M17" s="224" t="str">
        <f>IF(SUM(C17:J17)=K17,"","Counts do not add up to the report total")</f>
        <v/>
      </c>
      <c r="N17" s="225"/>
      <c r="O17" s="226"/>
      <c r="P17" s="171"/>
      <c r="Q17" s="171"/>
      <c r="R17" s="171"/>
      <c r="S17" s="171"/>
      <c r="T17" s="171"/>
      <c r="U17" s="171"/>
      <c r="V17" s="171"/>
      <c r="W17" s="171"/>
      <c r="X17" s="171"/>
      <c r="Y17" s="171"/>
      <c r="Z17" s="171"/>
    </row>
    <row r="18" spans="1:26" ht="12" customHeight="1" x14ac:dyDescent="0.25">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x14ac:dyDescent="0.25">
      <c r="A19" s="171"/>
      <c r="B19" s="183" t="s">
        <v>498</v>
      </c>
      <c r="C19" s="227" t="s">
        <v>499</v>
      </c>
      <c r="D19" s="227"/>
      <c r="E19" s="227"/>
      <c r="F19" s="227"/>
      <c r="G19" s="227"/>
      <c r="H19" s="227"/>
      <c r="I19" s="227"/>
      <c r="J19" s="227"/>
      <c r="K19" s="227"/>
      <c r="L19" s="227"/>
      <c r="M19" s="227"/>
      <c r="N19" s="227"/>
      <c r="O19" s="227"/>
      <c r="P19" s="171"/>
      <c r="Q19" s="171"/>
      <c r="R19" s="171"/>
      <c r="S19" s="171"/>
      <c r="T19" s="171"/>
      <c r="U19" s="171"/>
      <c r="V19" s="171"/>
      <c r="W19" s="171"/>
      <c r="X19" s="171"/>
      <c r="Y19" s="171"/>
      <c r="Z19" s="171"/>
    </row>
    <row r="20" spans="1:26" ht="15" customHeight="1" x14ac:dyDescent="0.25">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x14ac:dyDescent="0.25">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x14ac:dyDescent="0.25">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x14ac:dyDescent="0.25">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x14ac:dyDescent="0.25">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x14ac:dyDescent="0.25">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x14ac:dyDescent="0.25">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x14ac:dyDescent="0.25">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x14ac:dyDescent="0.25">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x14ac:dyDescent="0.25">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x14ac:dyDescent="0.25">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x14ac:dyDescent="0.25">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x14ac:dyDescent="0.25">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x14ac:dyDescent="0.25">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x14ac:dyDescent="0.25">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x14ac:dyDescent="0.25">
      <c r="A35" s="171"/>
      <c r="B35" s="183" t="str" cm="1">
        <f t="array" ref="B35">"Status column behind the dates ("&amp;SUMPRODUCT((cmsDom="CMS")*(cmsCheck&lt;&gt;""))&amp;")"</f>
        <v>Status column behind the dates (41)</v>
      </c>
      <c r="C35" s="227" t="s">
        <v>500</v>
      </c>
      <c r="D35" s="227"/>
      <c r="E35" s="227"/>
      <c r="F35" s="227"/>
      <c r="G35" s="227"/>
      <c r="H35" s="227"/>
      <c r="I35" s="227"/>
      <c r="J35" s="227"/>
      <c r="K35" s="227"/>
      <c r="L35" s="227"/>
      <c r="M35" s="227"/>
      <c r="N35" s="227"/>
      <c r="O35" s="227"/>
      <c r="P35" s="171"/>
      <c r="Q35" s="171"/>
      <c r="R35" s="171"/>
      <c r="S35" s="171"/>
      <c r="T35" s="171"/>
      <c r="U35" s="171"/>
      <c r="V35" s="171"/>
      <c r="W35" s="171"/>
      <c r="X35" s="171"/>
      <c r="Y35" s="171"/>
      <c r="Z35" s="171"/>
    </row>
    <row r="36" spans="1:26" ht="21.75" customHeight="1" x14ac:dyDescent="0.25">
      <c r="A36" s="171"/>
      <c r="B36" s="201" t="s">
        <v>501</v>
      </c>
      <c r="C36" s="199" t="s">
        <v>490</v>
      </c>
      <c r="D36" s="199" t="s">
        <v>502</v>
      </c>
      <c r="E36" s="199" t="s">
        <v>433</v>
      </c>
      <c r="F36" s="199" t="s">
        <v>503</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x14ac:dyDescent="0.25">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x14ac:dyDescent="0.25">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x14ac:dyDescent="0.25">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x14ac:dyDescent="0.25">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x14ac:dyDescent="0.25">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x14ac:dyDescent="0.25">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x14ac:dyDescent="0.25">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x14ac:dyDescent="0.25">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x14ac:dyDescent="0.25">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x14ac:dyDescent="0.25">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x14ac:dyDescent="0.25">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x14ac:dyDescent="0.25">
      <c r="A48" s="171"/>
      <c r="B48" s="183" t="s">
        <v>494</v>
      </c>
      <c r="C48" s="227"/>
      <c r="D48" s="227"/>
      <c r="E48" s="227"/>
      <c r="F48" s="227"/>
      <c r="G48" s="227"/>
      <c r="H48" s="227"/>
      <c r="I48" s="227"/>
      <c r="J48" s="227"/>
      <c r="K48" s="227"/>
      <c r="L48" s="227"/>
      <c r="M48" s="227"/>
      <c r="N48" s="227"/>
      <c r="O48" s="227"/>
      <c r="P48" s="171"/>
      <c r="Q48" s="171"/>
      <c r="R48" s="171"/>
      <c r="S48" s="171"/>
      <c r="T48" s="171"/>
      <c r="U48" s="171"/>
      <c r="V48" s="171"/>
      <c r="W48" s="171"/>
      <c r="X48" s="171"/>
      <c r="Y48" s="171"/>
      <c r="Z48" s="171"/>
    </row>
    <row r="49" spans="1:26" ht="15.75" customHeight="1" x14ac:dyDescent="0.25">
      <c r="A49" s="171"/>
      <c r="B49" s="228"/>
      <c r="C49" s="230" t="s">
        <v>490</v>
      </c>
      <c r="D49" s="230"/>
      <c r="E49" s="230" t="s">
        <v>433</v>
      </c>
      <c r="F49" s="230"/>
      <c r="G49" s="230" t="s">
        <v>443</v>
      </c>
      <c r="H49" s="230"/>
      <c r="I49" s="176"/>
      <c r="J49" s="176"/>
      <c r="K49" s="176"/>
      <c r="L49" s="176"/>
      <c r="M49" s="176"/>
      <c r="N49" s="176"/>
      <c r="O49" s="180"/>
      <c r="P49" s="171"/>
      <c r="Q49" s="171"/>
      <c r="R49" s="171"/>
      <c r="S49" s="171"/>
      <c r="T49" s="171"/>
      <c r="U49" s="171"/>
      <c r="V49" s="171"/>
      <c r="W49" s="171"/>
      <c r="X49" s="171"/>
      <c r="Y49" s="171"/>
      <c r="Z49" s="171"/>
    </row>
    <row r="50" spans="1:26" ht="26.25" customHeight="1" x14ac:dyDescent="0.25">
      <c r="A50" s="171"/>
      <c r="B50" s="229"/>
      <c r="C50" s="231" t="s">
        <v>504</v>
      </c>
      <c r="D50" s="232"/>
      <c r="E50" s="231" t="s">
        <v>504</v>
      </c>
      <c r="F50" s="232"/>
      <c r="G50" s="231" t="s">
        <v>504</v>
      </c>
      <c r="H50" s="233"/>
      <c r="I50" s="234" t="str">
        <f>IF(ISTEXT(B53),"No reports match",IF(ROWS(_xlfn.ANCHORARRAY(B53))=1,"1 report","" &amp; ROWS(_xlfn.ANCHORARRAY(B53)) &amp; " reports"))</f>
        <v>No reports match</v>
      </c>
      <c r="J50" s="235"/>
      <c r="K50" s="235"/>
      <c r="L50" s="235"/>
      <c r="M50" s="235"/>
      <c r="N50" s="235"/>
      <c r="O50" s="236"/>
      <c r="P50" s="171"/>
      <c r="Q50" s="171"/>
      <c r="R50" s="171"/>
      <c r="S50" s="171"/>
      <c r="T50" s="171"/>
      <c r="U50" s="171"/>
      <c r="V50" s="171"/>
      <c r="W50" s="171"/>
      <c r="X50" s="171"/>
      <c r="Y50" s="171"/>
      <c r="Z50" s="171"/>
    </row>
    <row r="51" spans="1:26" ht="8.25" customHeight="1" x14ac:dyDescent="0.25">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x14ac:dyDescent="0.25">
      <c r="A52" s="171"/>
      <c r="B52" s="209" t="s">
        <v>501</v>
      </c>
      <c r="C52" s="208" t="s">
        <v>490</v>
      </c>
      <c r="D52" s="208" t="s">
        <v>502</v>
      </c>
      <c r="E52" s="208" t="s">
        <v>35</v>
      </c>
      <c r="F52" s="208" t="s">
        <v>505</v>
      </c>
      <c r="G52" s="208" t="s">
        <v>506</v>
      </c>
      <c r="H52" s="208" t="s">
        <v>507</v>
      </c>
      <c r="I52" s="208" t="s">
        <v>508</v>
      </c>
      <c r="J52" s="210" t="s">
        <v>509</v>
      </c>
      <c r="K52" s="210" t="s">
        <v>510</v>
      </c>
      <c r="L52" s="210" t="s">
        <v>511</v>
      </c>
      <c r="M52" s="210" t="s">
        <v>512</v>
      </c>
      <c r="N52" s="210" t="s">
        <v>513</v>
      </c>
      <c r="O52" s="208" t="s">
        <v>514</v>
      </c>
      <c r="P52" s="171"/>
      <c r="Q52" s="171"/>
      <c r="R52" s="171"/>
      <c r="S52" s="171"/>
      <c r="T52" s="171"/>
      <c r="U52" s="171"/>
      <c r="V52" s="171"/>
      <c r="W52" s="171"/>
      <c r="X52" s="171"/>
      <c r="Y52" s="171"/>
      <c r="Z52" s="171"/>
    </row>
    <row r="53" spans="1:26" ht="18" customHeight="1" x14ac:dyDescent="0.25">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x14ac:dyDescent="0.25">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x14ac:dyDescent="0.25">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x14ac:dyDescent="0.25">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x14ac:dyDescent="0.25">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x14ac:dyDescent="0.25">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x14ac:dyDescent="0.25">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x14ac:dyDescent="0.25">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x14ac:dyDescent="0.25">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x14ac:dyDescent="0.25">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x14ac:dyDescent="0.25">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x14ac:dyDescent="0.25">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x14ac:dyDescent="0.25">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x14ac:dyDescent="0.25">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x14ac:dyDescent="0.25">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x14ac:dyDescent="0.25">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x14ac:dyDescent="0.25">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x14ac:dyDescent="0.25">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x14ac:dyDescent="0.25">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x14ac:dyDescent="0.25">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x14ac:dyDescent="0.25">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x14ac:dyDescent="0.25">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x14ac:dyDescent="0.25">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x14ac:dyDescent="0.25">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x14ac:dyDescent="0.25">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x14ac:dyDescent="0.25">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x14ac:dyDescent="0.25">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x14ac:dyDescent="0.25">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x14ac:dyDescent="0.25">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x14ac:dyDescent="0.25">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x14ac:dyDescent="0.25">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x14ac:dyDescent="0.25">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x14ac:dyDescent="0.25">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x14ac:dyDescent="0.25">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x14ac:dyDescent="0.25">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x14ac:dyDescent="0.25">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x14ac:dyDescent="0.25">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x14ac:dyDescent="0.25">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x14ac:dyDescent="0.25">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x14ac:dyDescent="0.25">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x14ac:dyDescent="0.25">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x14ac:dyDescent="0.25">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x14ac:dyDescent="0.25">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x14ac:dyDescent="0.25">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x14ac:dyDescent="0.25">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x14ac:dyDescent="0.25">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x14ac:dyDescent="0.25">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x14ac:dyDescent="0.25">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x14ac:dyDescent="0.25">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x14ac:dyDescent="0.25">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x14ac:dyDescent="0.25">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x14ac:dyDescent="0.25">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x14ac:dyDescent="0.25">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x14ac:dyDescent="0.25">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x14ac:dyDescent="0.25">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x14ac:dyDescent="0.25">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x14ac:dyDescent="0.25">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x14ac:dyDescent="0.25">
      <c r="A110" s="171"/>
      <c r="B110" s="212" t="str">
        <v>RPT_02_Fixed Factor Mismatch</v>
      </c>
      <c r="C110" s="202" t="str">
        <v>November</v>
      </c>
      <c r="D110" s="202" t="str">
        <v>NOT STARTED</v>
      </c>
      <c r="E110" s="202" t="str">
        <v/>
      </c>
      <c r="F110" s="202" t="str">
        <v>Siddu</v>
      </c>
      <c r="G110" s="202" t="str">
        <v>Navya</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x14ac:dyDescent="0.25">
      <c r="A111" s="171"/>
      <c r="B111" s="212" t="str">
        <v>RPT_02_Light Up Orders</v>
      </c>
      <c r="C111" s="202" t="str">
        <v>November</v>
      </c>
      <c r="D111" s="202" t="str">
        <v>NOT STARTED</v>
      </c>
      <c r="E111" s="202" t="str">
        <v/>
      </c>
      <c r="F111" s="202" t="str">
        <v>Siva</v>
      </c>
      <c r="G111" s="202" t="str">
        <v>Navya</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x14ac:dyDescent="0.25">
      <c r="A112" s="171"/>
      <c r="B112" s="212" t="str">
        <v>RPT_02_Meter To Billing Report</v>
      </c>
      <c r="C112" s="202" t="str">
        <v>November</v>
      </c>
      <c r="D112" s="202" t="str">
        <v>NOT STARTED</v>
      </c>
      <c r="E112" s="202" t="str">
        <v/>
      </c>
      <c r="F112" s="202" t="str">
        <v>Siva</v>
      </c>
      <c r="G112" s="202" t="str">
        <v>Shraddha</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x14ac:dyDescent="0.25">
      <c r="A113" s="171"/>
      <c r="B113" s="212" t="str">
        <v>RPT_02_Install Meter Orders</v>
      </c>
      <c r="C113" s="202" t="str">
        <v>November</v>
      </c>
      <c r="D113" s="202" t="str">
        <v>NOT STARTED</v>
      </c>
      <c r="E113" s="202" t="str">
        <v/>
      </c>
      <c r="F113" s="202" t="str">
        <v>Michael</v>
      </c>
      <c r="G113" s="202" t="str">
        <v>Shraddha</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x14ac:dyDescent="0.25">
      <c r="A114" s="171"/>
      <c r="B114" s="212" t="str">
        <v>RPT_02_Non Emergency Orders</v>
      </c>
      <c r="C114" s="202" t="str">
        <v>November</v>
      </c>
      <c r="D114" s="202" t="str">
        <v>NOT STARTED</v>
      </c>
      <c r="E114" s="202" t="str">
        <v/>
      </c>
      <c r="F114" s="202" t="str">
        <v>Michael</v>
      </c>
      <c r="G114" s="202" t="str">
        <v>Navya</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x14ac:dyDescent="0.25">
      <c r="A115" s="171"/>
      <c r="B115" s="212" t="str">
        <v>RPT_02_Carbon Monoxide</v>
      </c>
      <c r="C115" s="202" t="str">
        <v>November</v>
      </c>
      <c r="D115" s="202" t="str">
        <v>NOT STARTED</v>
      </c>
      <c r="E115" s="202" t="str">
        <v/>
      </c>
      <c r="F115" s="202" t="str">
        <v>Sree</v>
      </c>
      <c r="G115" s="202" t="str">
        <v>Navya</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x14ac:dyDescent="0.25">
      <c r="A116" s="171"/>
      <c r="B116" s="212" t="str">
        <v>RPT_02_All Jobs</v>
      </c>
      <c r="C116" s="202" t="str">
        <v>November</v>
      </c>
      <c r="D116" s="202" t="str">
        <v>NOT STARTED</v>
      </c>
      <c r="E116" s="202" t="str">
        <v/>
      </c>
      <c r="F116" s="202" t="str">
        <v>Siddu</v>
      </c>
      <c r="G116" s="202" t="str">
        <v>Shraddha</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x14ac:dyDescent="0.25">
      <c r="A117" s="171"/>
      <c r="B117" s="212" t="str">
        <v>RPT_02_BCP Service Appointment WOs</v>
      </c>
      <c r="C117" s="202" t="str">
        <v>November</v>
      </c>
      <c r="D117" s="202" t="str">
        <v>DB Dev</v>
      </c>
      <c r="E117" s="202" t="str">
        <v/>
      </c>
      <c r="F117" s="202" t="str">
        <v>Nick</v>
      </c>
      <c r="G117" s="202" t="str">
        <v>Navya</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x14ac:dyDescent="0.25">
      <c r="A118" s="171"/>
      <c r="B118" s="212" t="str">
        <v>RPT_02_Meter Order Tracking</v>
      </c>
      <c r="C118" s="202" t="str">
        <v>November</v>
      </c>
      <c r="D118" s="202" t="str">
        <v>DB Dev</v>
      </c>
      <c r="E118" s="202" t="str">
        <v/>
      </c>
      <c r="F118" s="202" t="str">
        <v>Nick</v>
      </c>
      <c r="G118" s="202" t="str">
        <v>Shraddha</v>
      </c>
      <c r="H118" s="202" t="str">
        <v/>
      </c>
      <c r="I118" s="202" t="str">
        <v>Oneil Lashley</v>
      </c>
      <c r="J118" s="213">
        <v>46301</v>
      </c>
      <c r="K118" s="213" t="str">
        <v/>
      </c>
      <c r="L118" s="213" t="str">
        <v/>
      </c>
      <c r="M118" s="213" t="str">
        <v/>
      </c>
      <c r="N118" s="214">
        <v>0</v>
      </c>
      <c r="O118" s="202" t="str">
        <v>Move status to PBI Dev</v>
      </c>
      <c r="P118" s="171"/>
      <c r="Q118" s="171"/>
      <c r="R118" s="171"/>
      <c r="S118" s="171"/>
      <c r="T118" s="171"/>
      <c r="U118" s="171"/>
      <c r="V118" s="171"/>
      <c r="W118" s="171"/>
      <c r="X118" s="171"/>
      <c r="Y118" s="171"/>
      <c r="Z118" s="171"/>
    </row>
    <row r="119" spans="1:26" ht="18" customHeight="1" x14ac:dyDescent="0.25">
      <c r="A119" s="171"/>
      <c r="B119" s="212" t="str">
        <v>RPT_02_Tech Availability, Utilization &amp; Absence</v>
      </c>
      <c r="C119" s="202" t="str">
        <v>November</v>
      </c>
      <c r="D119" s="202" t="str">
        <v>DB Dev</v>
      </c>
      <c r="E119" s="211" t="str">
        <v/>
      </c>
      <c r="F119" s="202" t="str">
        <v>Rupa</v>
      </c>
      <c r="G119" s="202" t="str">
        <v>Shraddha</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x14ac:dyDescent="0.25">
      <c r="A120" s="171"/>
      <c r="B120" s="212" t="str">
        <v>RPT_02_Job Productivity</v>
      </c>
      <c r="C120" s="202" t="str">
        <v>November</v>
      </c>
      <c r="D120" s="211" t="str">
        <v>PBI Dev</v>
      </c>
      <c r="E120" s="202" t="str">
        <v/>
      </c>
      <c r="F120" s="202" t="str">
        <v>Rupa</v>
      </c>
      <c r="G120" s="202" t="str">
        <v>Navya</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x14ac:dyDescent="0.25">
      <c r="A121" s="171"/>
      <c r="B121" s="212" t="str">
        <v>RPT_02_Post Capacity Service Appointments</v>
      </c>
      <c r="C121" s="202" t="str">
        <v>November</v>
      </c>
      <c r="D121" s="202" t="str">
        <v>DB Dev</v>
      </c>
      <c r="E121" s="202" t="str">
        <v/>
      </c>
      <c r="F121" s="202" t="str">
        <v>Greeta</v>
      </c>
      <c r="G121" s="202" t="str">
        <v>Shraddha</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x14ac:dyDescent="0.25">
      <c r="A122" s="171"/>
      <c r="B122" s="212" t="str">
        <v>RPT_02_Check Estimate</v>
      </c>
      <c r="C122" s="202" t="str">
        <v>November</v>
      </c>
      <c r="D122" s="202" t="str">
        <v>PBI Dev</v>
      </c>
      <c r="E122" s="202" t="str">
        <v/>
      </c>
      <c r="F122" s="202" t="str">
        <v>Greeta</v>
      </c>
      <c r="G122" s="202" t="str">
        <v>Navya</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x14ac:dyDescent="0.25">
      <c r="A123" s="171"/>
      <c r="B123" s="212" t="str">
        <v>RPT_02_Service Appointments (5 sub reports)</v>
      </c>
      <c r="C123" s="202" t="str">
        <v>November</v>
      </c>
      <c r="D123" s="202" t="str">
        <v>NOT STARTED</v>
      </c>
      <c r="E123" s="202" t="str">
        <v/>
      </c>
      <c r="F123" s="202" t="str">
        <v>Sree</v>
      </c>
      <c r="G123" s="202" t="str">
        <v>Navya</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x14ac:dyDescent="0.25">
      <c r="A124" s="171"/>
      <c r="B124" s="212" t="str">
        <v>RPT_02_Job Unit Count</v>
      </c>
      <c r="C124" s="202" t="str">
        <v>November</v>
      </c>
      <c r="D124" s="202" t="str">
        <v>NOT STARTED</v>
      </c>
      <c r="E124" s="202" t="str">
        <v/>
      </c>
      <c r="F124" s="202" t="str">
        <v>Siddu</v>
      </c>
      <c r="G124" s="202" t="str">
        <v>Shraddha</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x14ac:dyDescent="0.25">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x14ac:dyDescent="0.25">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x14ac:dyDescent="0.25">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x14ac:dyDescent="0.25">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x14ac:dyDescent="0.25">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x14ac:dyDescent="0.25">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x14ac:dyDescent="0.25">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x14ac:dyDescent="0.25">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x14ac:dyDescent="0.25">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x14ac:dyDescent="0.25">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x14ac:dyDescent="0.25">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x14ac:dyDescent="0.25">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x14ac:dyDescent="0.25">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x14ac:dyDescent="0.25">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x14ac:dyDescent="0.25">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x14ac:dyDescent="0.25">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x14ac:dyDescent="0.25">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x14ac:dyDescent="0.25">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x14ac:dyDescent="0.25">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x14ac:dyDescent="0.25">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x14ac:dyDescent="0.25">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x14ac:dyDescent="0.25">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x14ac:dyDescent="0.25">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x14ac:dyDescent="0.25">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x14ac:dyDescent="0.25">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x14ac:dyDescent="0.25">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x14ac:dyDescent="0.25">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x14ac:dyDescent="0.25">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x14ac:dyDescent="0.25">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x14ac:dyDescent="0.25">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x14ac:dyDescent="0.25">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x14ac:dyDescent="0.25">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x14ac:dyDescent="0.25">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x14ac:dyDescent="0.25">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x14ac:dyDescent="0.25">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x14ac:dyDescent="0.25">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x14ac:dyDescent="0.25">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x14ac:dyDescent="0.25">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x14ac:dyDescent="0.25">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x14ac:dyDescent="0.25">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x14ac:dyDescent="0.25">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x14ac:dyDescent="0.25">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x14ac:dyDescent="0.25">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x14ac:dyDescent="0.25">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x14ac:dyDescent="0.25">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x14ac:dyDescent="0.25">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x14ac:dyDescent="0.25">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x14ac:dyDescent="0.25">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x14ac:dyDescent="0.25">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x14ac:dyDescent="0.25">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x14ac:dyDescent="0.25">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x14ac:dyDescent="0.25">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x14ac:dyDescent="0.25">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x14ac:dyDescent="0.25">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x14ac:dyDescent="0.25">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x14ac:dyDescent="0.25">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x14ac:dyDescent="0.25">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x14ac:dyDescent="0.25">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x14ac:dyDescent="0.25">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x14ac:dyDescent="0.25">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x14ac:dyDescent="0.25">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x14ac:dyDescent="0.25">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x14ac:dyDescent="0.25">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x14ac:dyDescent="0.25">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x14ac:dyDescent="0.25">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x14ac:dyDescent="0.25">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x14ac:dyDescent="0.25">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x14ac:dyDescent="0.25">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x14ac:dyDescent="0.25">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x14ac:dyDescent="0.25">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x14ac:dyDescent="0.25">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x14ac:dyDescent="0.25">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x14ac:dyDescent="0.25">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x14ac:dyDescent="0.25">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x14ac:dyDescent="0.25">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x14ac:dyDescent="0.25">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x14ac:dyDescent="0.2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x14ac:dyDescent="0.25">
      <c r="A1" t="s">
        <v>1</v>
      </c>
      <c r="B1" t="s">
        <v>515</v>
      </c>
      <c r="C1" t="s">
        <v>516</v>
      </c>
      <c r="D1" t="s">
        <v>35</v>
      </c>
      <c r="E1" t="s">
        <v>517</v>
      </c>
    </row>
    <row r="2" spans="1:5" x14ac:dyDescent="0.25">
      <c r="A2" t="s">
        <v>127</v>
      </c>
      <c r="B2" t="s">
        <v>130</v>
      </c>
      <c r="C2" t="s">
        <v>128</v>
      </c>
      <c r="D2" t="s">
        <v>133</v>
      </c>
      <c r="E2" t="str">
        <f t="shared" ref="E2:E33" si="0">IF(C2="Ready for Release in Prod","Blocked in Prod",IF(C2="RELEASED IN PROD","Released",IF(LEFT(D2,3)="Yes","Blocked - Build/QA",IF(C2="NOT STARTED","Not Started",C2))))</f>
        <v>Blocked in Prod</v>
      </c>
    </row>
    <row r="3" spans="1:5" x14ac:dyDescent="0.25">
      <c r="A3" t="s">
        <v>135</v>
      </c>
      <c r="B3" t="s">
        <v>130</v>
      </c>
      <c r="C3" t="s">
        <v>128</v>
      </c>
      <c r="D3" t="s">
        <v>133</v>
      </c>
      <c r="E3" t="str">
        <f t="shared" si="0"/>
        <v>Blocked in Prod</v>
      </c>
    </row>
    <row r="4" spans="1:5" x14ac:dyDescent="0.25">
      <c r="A4" t="s">
        <v>137</v>
      </c>
      <c r="B4" t="s">
        <v>130</v>
      </c>
      <c r="C4" t="s">
        <v>128</v>
      </c>
      <c r="D4" t="s">
        <v>133</v>
      </c>
      <c r="E4" t="str">
        <f t="shared" si="0"/>
        <v>Blocked in Prod</v>
      </c>
    </row>
    <row r="5" spans="1:5" x14ac:dyDescent="0.25">
      <c r="A5" t="s">
        <v>139</v>
      </c>
      <c r="B5" t="s">
        <v>130</v>
      </c>
      <c r="C5" t="s">
        <v>128</v>
      </c>
      <c r="D5" t="s">
        <v>133</v>
      </c>
      <c r="E5" t="str">
        <f t="shared" si="0"/>
        <v>Blocked in Prod</v>
      </c>
    </row>
    <row r="6" spans="1:5" x14ac:dyDescent="0.25">
      <c r="A6" t="s">
        <v>141</v>
      </c>
      <c r="B6" t="s">
        <v>130</v>
      </c>
      <c r="C6" t="s">
        <v>128</v>
      </c>
      <c r="D6" t="s">
        <v>133</v>
      </c>
      <c r="E6" t="str">
        <f t="shared" si="0"/>
        <v>Blocked in Prod</v>
      </c>
    </row>
    <row r="7" spans="1:5" x14ac:dyDescent="0.25">
      <c r="A7" t="s">
        <v>143</v>
      </c>
      <c r="B7" t="s">
        <v>130</v>
      </c>
      <c r="C7" t="s">
        <v>128</v>
      </c>
      <c r="D7" t="s">
        <v>133</v>
      </c>
      <c r="E7" t="str">
        <f t="shared" si="0"/>
        <v>Blocked in Prod</v>
      </c>
    </row>
    <row r="8" spans="1:5" x14ac:dyDescent="0.25">
      <c r="A8" t="s">
        <v>146</v>
      </c>
      <c r="B8" t="s">
        <v>130</v>
      </c>
      <c r="C8" t="s">
        <v>128</v>
      </c>
      <c r="D8" t="s">
        <v>133</v>
      </c>
      <c r="E8" t="str">
        <f t="shared" si="0"/>
        <v>Blocked in Prod</v>
      </c>
    </row>
    <row r="9" spans="1:5" x14ac:dyDescent="0.25">
      <c r="A9" t="s">
        <v>149</v>
      </c>
      <c r="B9" t="s">
        <v>130</v>
      </c>
      <c r="C9" t="s">
        <v>128</v>
      </c>
      <c r="D9" t="s">
        <v>133</v>
      </c>
      <c r="E9" t="str">
        <f t="shared" si="0"/>
        <v>Blocked in Prod</v>
      </c>
    </row>
    <row r="10" spans="1:5" x14ac:dyDescent="0.25">
      <c r="A10" t="s">
        <v>150</v>
      </c>
      <c r="B10" t="s">
        <v>130</v>
      </c>
      <c r="C10" t="s">
        <v>128</v>
      </c>
      <c r="D10" t="s">
        <v>133</v>
      </c>
      <c r="E10" t="str">
        <f t="shared" si="0"/>
        <v>Blocked in Prod</v>
      </c>
    </row>
    <row r="11" spans="1:5" x14ac:dyDescent="0.25">
      <c r="A11" t="s">
        <v>153</v>
      </c>
      <c r="B11" t="s">
        <v>130</v>
      </c>
      <c r="C11" t="s">
        <v>128</v>
      </c>
      <c r="D11" t="s">
        <v>133</v>
      </c>
      <c r="E11" t="str">
        <f t="shared" si="0"/>
        <v>Blocked in Prod</v>
      </c>
    </row>
    <row r="12" spans="1:5" x14ac:dyDescent="0.25">
      <c r="A12" t="s">
        <v>156</v>
      </c>
      <c r="B12" t="s">
        <v>130</v>
      </c>
      <c r="C12" t="s">
        <v>128</v>
      </c>
      <c r="D12" t="s">
        <v>133</v>
      </c>
      <c r="E12" t="str">
        <f t="shared" si="0"/>
        <v>Blocked in Prod</v>
      </c>
    </row>
    <row r="13" spans="1:5" x14ac:dyDescent="0.25">
      <c r="A13" t="s">
        <v>157</v>
      </c>
      <c r="B13" t="s">
        <v>130</v>
      </c>
      <c r="C13" t="s">
        <v>128</v>
      </c>
      <c r="D13" t="s">
        <v>133</v>
      </c>
      <c r="E13" t="str">
        <f t="shared" si="0"/>
        <v>Blocked in Prod</v>
      </c>
    </row>
    <row r="14" spans="1:5" x14ac:dyDescent="0.25">
      <c r="A14" t="s">
        <v>159</v>
      </c>
      <c r="B14" t="s">
        <v>130</v>
      </c>
      <c r="C14" t="s">
        <v>128</v>
      </c>
      <c r="D14" t="s">
        <v>133</v>
      </c>
      <c r="E14" t="str">
        <f t="shared" si="0"/>
        <v>Blocked in Prod</v>
      </c>
    </row>
    <row r="15" spans="1:5" x14ac:dyDescent="0.25">
      <c r="A15" t="s">
        <v>161</v>
      </c>
      <c r="B15" t="s">
        <v>130</v>
      </c>
      <c r="C15" t="s">
        <v>128</v>
      </c>
      <c r="D15" t="s">
        <v>133</v>
      </c>
      <c r="E15" t="str">
        <f t="shared" si="0"/>
        <v>Blocked in Prod</v>
      </c>
    </row>
    <row r="16" spans="1:5" x14ac:dyDescent="0.25">
      <c r="A16" t="s">
        <v>164</v>
      </c>
      <c r="B16" t="s">
        <v>166</v>
      </c>
      <c r="C16" t="s">
        <v>204</v>
      </c>
      <c r="D16" t="s">
        <v>464</v>
      </c>
      <c r="E16" t="str">
        <f t="shared" si="0"/>
        <v>Blocked - Build/QA</v>
      </c>
    </row>
    <row r="17" spans="1:5" x14ac:dyDescent="0.25">
      <c r="A17" t="s">
        <v>169</v>
      </c>
      <c r="B17" t="s">
        <v>166</v>
      </c>
      <c r="C17" t="s">
        <v>128</v>
      </c>
      <c r="D17" t="s">
        <v>133</v>
      </c>
      <c r="E17" t="str">
        <f t="shared" si="0"/>
        <v>Blocked in Prod</v>
      </c>
    </row>
    <row r="18" spans="1:5" x14ac:dyDescent="0.25">
      <c r="A18" t="s">
        <v>173</v>
      </c>
      <c r="B18" t="s">
        <v>166</v>
      </c>
      <c r="C18" t="s">
        <v>128</v>
      </c>
      <c r="D18" t="s">
        <v>133</v>
      </c>
      <c r="E18" t="str">
        <f t="shared" si="0"/>
        <v>Blocked in Prod</v>
      </c>
    </row>
    <row r="19" spans="1:5" x14ac:dyDescent="0.25">
      <c r="A19" t="s">
        <v>175</v>
      </c>
      <c r="B19" t="s">
        <v>166</v>
      </c>
      <c r="C19" t="s">
        <v>128</v>
      </c>
      <c r="D19" t="s">
        <v>133</v>
      </c>
      <c r="E19" t="str">
        <f t="shared" si="0"/>
        <v>Blocked in Prod</v>
      </c>
    </row>
    <row r="20" spans="1:5" x14ac:dyDescent="0.25">
      <c r="A20" t="s">
        <v>177</v>
      </c>
      <c r="B20" t="s">
        <v>166</v>
      </c>
      <c r="C20" t="s">
        <v>128</v>
      </c>
      <c r="D20" t="s">
        <v>133</v>
      </c>
      <c r="E20" t="str">
        <f t="shared" si="0"/>
        <v>Blocked in Prod</v>
      </c>
    </row>
    <row r="21" spans="1:5" x14ac:dyDescent="0.25">
      <c r="A21" t="s">
        <v>179</v>
      </c>
      <c r="B21" t="s">
        <v>166</v>
      </c>
      <c r="C21" t="s">
        <v>128</v>
      </c>
      <c r="D21" t="s">
        <v>133</v>
      </c>
      <c r="E21" t="str">
        <f t="shared" si="0"/>
        <v>Blocked in Prod</v>
      </c>
    </row>
    <row r="22" spans="1:5" x14ac:dyDescent="0.25">
      <c r="A22" t="s">
        <v>181</v>
      </c>
      <c r="B22" t="s">
        <v>166</v>
      </c>
      <c r="C22" t="s">
        <v>182</v>
      </c>
      <c r="D22" t="s">
        <v>53</v>
      </c>
      <c r="E22" t="str">
        <f t="shared" si="0"/>
        <v>DPO Approval</v>
      </c>
    </row>
    <row r="23" spans="1:5" x14ac:dyDescent="0.25">
      <c r="A23" t="s">
        <v>183</v>
      </c>
      <c r="B23" t="s">
        <v>166</v>
      </c>
      <c r="C23" t="s">
        <v>128</v>
      </c>
      <c r="D23" t="s">
        <v>133</v>
      </c>
      <c r="E23" t="str">
        <f t="shared" si="0"/>
        <v>Blocked in Prod</v>
      </c>
    </row>
    <row r="24" spans="1:5" x14ac:dyDescent="0.25">
      <c r="A24" t="s">
        <v>184</v>
      </c>
      <c r="B24" t="s">
        <v>166</v>
      </c>
      <c r="C24" t="s">
        <v>128</v>
      </c>
      <c r="D24" t="s">
        <v>133</v>
      </c>
      <c r="E24" t="str">
        <f t="shared" si="0"/>
        <v>Blocked in Prod</v>
      </c>
    </row>
    <row r="25" spans="1:5" x14ac:dyDescent="0.25">
      <c r="A25" t="s">
        <v>186</v>
      </c>
      <c r="B25" t="s">
        <v>166</v>
      </c>
      <c r="C25" t="s">
        <v>182</v>
      </c>
      <c r="D25" t="s">
        <v>53</v>
      </c>
      <c r="E25" t="str">
        <f t="shared" si="0"/>
        <v>DPO Approval</v>
      </c>
    </row>
    <row r="26" spans="1:5" x14ac:dyDescent="0.25">
      <c r="A26" t="s">
        <v>189</v>
      </c>
      <c r="B26" t="s">
        <v>166</v>
      </c>
      <c r="C26" t="s">
        <v>128</v>
      </c>
      <c r="D26" t="s">
        <v>133</v>
      </c>
      <c r="E26" t="str">
        <f t="shared" si="0"/>
        <v>Blocked in Prod</v>
      </c>
    </row>
    <row r="27" spans="1:5" x14ac:dyDescent="0.25">
      <c r="A27" t="s">
        <v>190</v>
      </c>
      <c r="B27" t="s">
        <v>166</v>
      </c>
      <c r="C27" t="s">
        <v>128</v>
      </c>
      <c r="D27" t="s">
        <v>133</v>
      </c>
      <c r="E27" t="str">
        <f t="shared" si="0"/>
        <v>Blocked in Prod</v>
      </c>
    </row>
    <row r="28" spans="1:5" x14ac:dyDescent="0.25">
      <c r="A28" t="s">
        <v>192</v>
      </c>
      <c r="B28" t="s">
        <v>193</v>
      </c>
      <c r="C28" t="s">
        <v>182</v>
      </c>
      <c r="D28" t="s">
        <v>53</v>
      </c>
      <c r="E28" t="str">
        <f t="shared" si="0"/>
        <v>DPO Approval</v>
      </c>
    </row>
    <row r="29" spans="1:5" x14ac:dyDescent="0.25">
      <c r="A29" t="s">
        <v>198</v>
      </c>
      <c r="B29" t="s">
        <v>193</v>
      </c>
      <c r="C29" t="s">
        <v>182</v>
      </c>
      <c r="D29" t="s">
        <v>53</v>
      </c>
      <c r="E29" t="str">
        <f t="shared" si="0"/>
        <v>DPO Approval</v>
      </c>
    </row>
    <row r="30" spans="1:5" x14ac:dyDescent="0.25">
      <c r="A30" t="s">
        <v>202</v>
      </c>
      <c r="B30" t="s">
        <v>193</v>
      </c>
      <c r="C30" t="s">
        <v>128</v>
      </c>
      <c r="D30" t="s">
        <v>133</v>
      </c>
      <c r="E30" t="str">
        <f t="shared" si="0"/>
        <v>Blocked in Prod</v>
      </c>
    </row>
    <row r="31" spans="1:5" x14ac:dyDescent="0.25">
      <c r="A31" t="s">
        <v>203</v>
      </c>
      <c r="B31" t="s">
        <v>193</v>
      </c>
      <c r="C31" t="s">
        <v>204</v>
      </c>
      <c r="D31" t="s">
        <v>205</v>
      </c>
      <c r="E31" t="str">
        <f t="shared" si="0"/>
        <v>Blocked - Build/QA</v>
      </c>
    </row>
    <row r="32" spans="1:5" x14ac:dyDescent="0.25">
      <c r="A32" t="s">
        <v>207</v>
      </c>
      <c r="B32" t="s">
        <v>193</v>
      </c>
      <c r="C32" t="s">
        <v>182</v>
      </c>
      <c r="D32" t="s">
        <v>53</v>
      </c>
      <c r="E32" t="str">
        <f t="shared" si="0"/>
        <v>DPO Approval</v>
      </c>
    </row>
    <row r="33" spans="1:5" x14ac:dyDescent="0.25">
      <c r="A33" t="s">
        <v>209</v>
      </c>
      <c r="B33" t="s">
        <v>193</v>
      </c>
      <c r="C33" t="s">
        <v>128</v>
      </c>
      <c r="D33" t="s">
        <v>133</v>
      </c>
      <c r="E33" t="str">
        <f t="shared" si="0"/>
        <v>Blocked in Prod</v>
      </c>
    </row>
    <row r="34" spans="1:5" x14ac:dyDescent="0.2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x14ac:dyDescent="0.25">
      <c r="A35" t="s">
        <v>214</v>
      </c>
      <c r="B35" t="s">
        <v>193</v>
      </c>
      <c r="C35" t="s">
        <v>182</v>
      </c>
      <c r="D35" t="s">
        <v>53</v>
      </c>
      <c r="E35" t="str">
        <f t="shared" si="1"/>
        <v>DPO Approval</v>
      </c>
    </row>
    <row r="36" spans="1:5" x14ac:dyDescent="0.25">
      <c r="A36" t="s">
        <v>216</v>
      </c>
      <c r="B36" t="s">
        <v>193</v>
      </c>
      <c r="C36" t="s">
        <v>219</v>
      </c>
      <c r="D36" t="s">
        <v>53</v>
      </c>
      <c r="E36" t="str">
        <f t="shared" si="1"/>
        <v>QA</v>
      </c>
    </row>
    <row r="37" spans="1:5" x14ac:dyDescent="0.25">
      <c r="A37" t="s">
        <v>218</v>
      </c>
      <c r="B37" t="s">
        <v>193</v>
      </c>
      <c r="C37" t="s">
        <v>219</v>
      </c>
      <c r="D37" t="s">
        <v>53</v>
      </c>
      <c r="E37" t="str">
        <f t="shared" si="1"/>
        <v>QA</v>
      </c>
    </row>
    <row r="38" spans="1:5" x14ac:dyDescent="0.25">
      <c r="A38" t="s">
        <v>221</v>
      </c>
      <c r="B38" t="s">
        <v>193</v>
      </c>
      <c r="C38" t="s">
        <v>182</v>
      </c>
      <c r="D38" t="s">
        <v>53</v>
      </c>
      <c r="E38" t="str">
        <f t="shared" si="1"/>
        <v>DPO Approval</v>
      </c>
    </row>
    <row r="39" spans="1:5" x14ac:dyDescent="0.25">
      <c r="A39" t="s">
        <v>222</v>
      </c>
      <c r="B39" t="s">
        <v>193</v>
      </c>
      <c r="C39" t="s">
        <v>204</v>
      </c>
      <c r="D39" t="s">
        <v>53</v>
      </c>
      <c r="E39" t="str">
        <f t="shared" si="1"/>
        <v>PBI Dev</v>
      </c>
    </row>
    <row r="40" spans="1:5" x14ac:dyDescent="0.25">
      <c r="A40" t="s">
        <v>223</v>
      </c>
      <c r="B40" t="s">
        <v>193</v>
      </c>
      <c r="C40" t="s">
        <v>262</v>
      </c>
      <c r="D40" t="s">
        <v>53</v>
      </c>
      <c r="E40" t="str">
        <f t="shared" si="1"/>
        <v>DB Dev</v>
      </c>
    </row>
    <row r="41" spans="1:5" x14ac:dyDescent="0.25">
      <c r="A41" t="s">
        <v>227</v>
      </c>
      <c r="B41" t="s">
        <v>193</v>
      </c>
      <c r="C41" t="s">
        <v>204</v>
      </c>
      <c r="D41" t="s">
        <v>53</v>
      </c>
      <c r="E41" t="str">
        <f t="shared" si="1"/>
        <v>PBI Dev</v>
      </c>
    </row>
    <row r="42" spans="1:5" x14ac:dyDescent="0.25">
      <c r="A42" t="s">
        <v>232</v>
      </c>
      <c r="B42" t="s">
        <v>193</v>
      </c>
      <c r="C42" t="s">
        <v>233</v>
      </c>
      <c r="D42" t="s">
        <v>53</v>
      </c>
      <c r="E42" t="str">
        <f t="shared" si="1"/>
        <v>Not Started</v>
      </c>
    </row>
    <row r="43" spans="1:5" x14ac:dyDescent="0.25">
      <c r="A43" t="s">
        <v>236</v>
      </c>
      <c r="B43" t="s">
        <v>193</v>
      </c>
      <c r="C43" t="s">
        <v>204</v>
      </c>
      <c r="D43" t="s">
        <v>205</v>
      </c>
      <c r="E43" t="str">
        <f t="shared" si="1"/>
        <v>Blocked - Build/QA</v>
      </c>
    </row>
    <row r="44" spans="1:5" x14ac:dyDescent="0.25">
      <c r="A44" t="s">
        <v>238</v>
      </c>
      <c r="B44" t="s">
        <v>193</v>
      </c>
      <c r="C44" t="s">
        <v>182</v>
      </c>
      <c r="D44" t="s">
        <v>53</v>
      </c>
      <c r="E44" t="str">
        <f t="shared" si="1"/>
        <v>DPO Approval</v>
      </c>
    </row>
    <row r="45" spans="1:5" x14ac:dyDescent="0.25">
      <c r="A45" t="s">
        <v>241</v>
      </c>
      <c r="B45" t="s">
        <v>193</v>
      </c>
      <c r="C45" t="s">
        <v>204</v>
      </c>
      <c r="D45" t="s">
        <v>53</v>
      </c>
      <c r="E45" t="str">
        <f t="shared" si="1"/>
        <v>PBI Dev</v>
      </c>
    </row>
    <row r="46" spans="1:5" x14ac:dyDescent="0.25">
      <c r="A46" t="s">
        <v>242</v>
      </c>
      <c r="B46" t="s">
        <v>243</v>
      </c>
      <c r="C46" t="s">
        <v>219</v>
      </c>
      <c r="E46" t="str">
        <f t="shared" si="1"/>
        <v>QA</v>
      </c>
    </row>
    <row r="47" spans="1:5" x14ac:dyDescent="0.25">
      <c r="A47" t="s">
        <v>246</v>
      </c>
      <c r="B47" t="s">
        <v>243</v>
      </c>
      <c r="C47" t="s">
        <v>204</v>
      </c>
      <c r="E47" t="str">
        <f t="shared" si="1"/>
        <v>PBI Dev</v>
      </c>
    </row>
    <row r="48" spans="1:5" x14ac:dyDescent="0.25">
      <c r="A48" t="s">
        <v>247</v>
      </c>
      <c r="B48" t="s">
        <v>243</v>
      </c>
      <c r="C48" t="s">
        <v>233</v>
      </c>
      <c r="E48" t="str">
        <f t="shared" si="1"/>
        <v>Not Started</v>
      </c>
    </row>
    <row r="49" spans="1:5" x14ac:dyDescent="0.25">
      <c r="A49" t="s">
        <v>249</v>
      </c>
      <c r="B49" t="s">
        <v>243</v>
      </c>
      <c r="C49" t="s">
        <v>233</v>
      </c>
      <c r="E49" t="str">
        <f t="shared" si="1"/>
        <v>Not Started</v>
      </c>
    </row>
    <row r="50" spans="1:5" x14ac:dyDescent="0.25">
      <c r="A50" t="s">
        <v>250</v>
      </c>
      <c r="B50" t="s">
        <v>243</v>
      </c>
      <c r="C50" t="s">
        <v>233</v>
      </c>
      <c r="E50" t="str">
        <f t="shared" si="1"/>
        <v>Not Started</v>
      </c>
    </row>
    <row r="51" spans="1:5" x14ac:dyDescent="0.25">
      <c r="A51" t="s">
        <v>251</v>
      </c>
      <c r="B51" t="s">
        <v>243</v>
      </c>
      <c r="C51" t="s">
        <v>204</v>
      </c>
      <c r="D51" t="s">
        <v>253</v>
      </c>
      <c r="E51" t="str">
        <f t="shared" si="1"/>
        <v>Blocked - Build/QA</v>
      </c>
    </row>
    <row r="52" spans="1:5" x14ac:dyDescent="0.25">
      <c r="A52" t="s">
        <v>255</v>
      </c>
      <c r="B52" t="s">
        <v>243</v>
      </c>
      <c r="C52" t="s">
        <v>204</v>
      </c>
      <c r="E52" t="str">
        <f t="shared" si="1"/>
        <v>PBI Dev</v>
      </c>
    </row>
    <row r="53" spans="1:5" x14ac:dyDescent="0.25">
      <c r="A53" t="s">
        <v>259</v>
      </c>
      <c r="B53" t="s">
        <v>243</v>
      </c>
      <c r="C53" t="s">
        <v>233</v>
      </c>
      <c r="E53" t="str">
        <f t="shared" si="1"/>
        <v>Not Started</v>
      </c>
    </row>
    <row r="54" spans="1:5" x14ac:dyDescent="0.25">
      <c r="A54" t="s">
        <v>260</v>
      </c>
      <c r="B54" t="s">
        <v>243</v>
      </c>
      <c r="C54" t="s">
        <v>233</v>
      </c>
      <c r="E54" t="str">
        <f t="shared" si="1"/>
        <v>Not Started</v>
      </c>
    </row>
    <row r="55" spans="1:5" x14ac:dyDescent="0.25">
      <c r="A55" t="s">
        <v>261</v>
      </c>
      <c r="B55" t="s">
        <v>243</v>
      </c>
      <c r="C55" t="s">
        <v>262</v>
      </c>
      <c r="E55" t="str">
        <f t="shared" si="1"/>
        <v>DB Dev</v>
      </c>
    </row>
    <row r="56" spans="1:5" x14ac:dyDescent="0.25">
      <c r="A56" t="s">
        <v>265</v>
      </c>
      <c r="B56" t="s">
        <v>243</v>
      </c>
      <c r="C56" t="s">
        <v>204</v>
      </c>
      <c r="E56" t="str">
        <f t="shared" si="1"/>
        <v>PBI Dev</v>
      </c>
    </row>
    <row r="57" spans="1:5" x14ac:dyDescent="0.25">
      <c r="A57" t="s">
        <v>267</v>
      </c>
      <c r="B57" t="s">
        <v>243</v>
      </c>
      <c r="C57" t="s">
        <v>204</v>
      </c>
      <c r="E57" t="str">
        <f t="shared" si="1"/>
        <v>PBI Dev</v>
      </c>
    </row>
    <row r="58" spans="1:5" x14ac:dyDescent="0.25">
      <c r="A58" t="s">
        <v>268</v>
      </c>
      <c r="B58" t="s">
        <v>243</v>
      </c>
      <c r="C58" t="s">
        <v>233</v>
      </c>
      <c r="E58" t="str">
        <f t="shared" si="1"/>
        <v>Not Started</v>
      </c>
    </row>
    <row r="59" spans="1:5" x14ac:dyDescent="0.25">
      <c r="A59" t="s">
        <v>270</v>
      </c>
      <c r="B59" t="s">
        <v>271</v>
      </c>
      <c r="C59" t="s">
        <v>233</v>
      </c>
      <c r="E59" t="str">
        <f t="shared" si="1"/>
        <v>Not Started</v>
      </c>
    </row>
    <row r="60" spans="1:5" x14ac:dyDescent="0.25">
      <c r="A60" t="s">
        <v>274</v>
      </c>
      <c r="B60" t="s">
        <v>271</v>
      </c>
      <c r="C60" t="s">
        <v>233</v>
      </c>
      <c r="E60" t="str">
        <f t="shared" si="1"/>
        <v>Not Started</v>
      </c>
    </row>
    <row r="61" spans="1:5" x14ac:dyDescent="0.25">
      <c r="A61" t="s">
        <v>275</v>
      </c>
      <c r="B61" t="s">
        <v>271</v>
      </c>
      <c r="C61" t="s">
        <v>233</v>
      </c>
      <c r="E61" t="str">
        <f t="shared" si="1"/>
        <v>Not Started</v>
      </c>
    </row>
    <row r="62" spans="1:5" x14ac:dyDescent="0.25">
      <c r="A62" t="s">
        <v>277</v>
      </c>
      <c r="B62" t="s">
        <v>271</v>
      </c>
      <c r="C62" t="s">
        <v>233</v>
      </c>
      <c r="E62" t="str">
        <f t="shared" si="1"/>
        <v>Not Started</v>
      </c>
    </row>
    <row r="63" spans="1:5" x14ac:dyDescent="0.25">
      <c r="A63" t="s">
        <v>278</v>
      </c>
      <c r="B63" t="s">
        <v>271</v>
      </c>
      <c r="C63" t="s">
        <v>233</v>
      </c>
      <c r="E63" t="str">
        <f t="shared" si="1"/>
        <v>Not Started</v>
      </c>
    </row>
    <row r="64" spans="1:5" x14ac:dyDescent="0.25">
      <c r="A64" t="s">
        <v>280</v>
      </c>
      <c r="B64" t="s">
        <v>271</v>
      </c>
      <c r="C64" t="s">
        <v>233</v>
      </c>
      <c r="E64" t="str">
        <f t="shared" si="1"/>
        <v>Not Started</v>
      </c>
    </row>
    <row r="65" spans="1:5" x14ac:dyDescent="0.25">
      <c r="A65" t="s">
        <v>282</v>
      </c>
      <c r="B65" t="s">
        <v>271</v>
      </c>
      <c r="C65" t="s">
        <v>233</v>
      </c>
      <c r="E65" t="str">
        <f t="shared" si="1"/>
        <v>Not Started</v>
      </c>
    </row>
    <row r="66" spans="1:5" x14ac:dyDescent="0.25">
      <c r="A66" t="s">
        <v>284</v>
      </c>
      <c r="B66" t="s">
        <v>271</v>
      </c>
      <c r="C66" t="s">
        <v>233</v>
      </c>
      <c r="E66" t="str">
        <f t="shared" ref="E66:E73" si="2">IF(C66="Ready for Release in Prod","Blocked in Prod",IF(C66="RELEASED IN PROD","Released",IF(LEFT(D66,3)="Yes","Blocked - Build/QA",IF(C66="NOT STARTED","Not Started",C66))))</f>
        <v>Not Started</v>
      </c>
    </row>
    <row r="67" spans="1:5" x14ac:dyDescent="0.25">
      <c r="A67" t="s">
        <v>286</v>
      </c>
      <c r="B67" t="s">
        <v>271</v>
      </c>
      <c r="C67" t="s">
        <v>233</v>
      </c>
      <c r="E67" t="str">
        <f t="shared" si="2"/>
        <v>Not Started</v>
      </c>
    </row>
    <row r="68" spans="1:5" x14ac:dyDescent="0.25">
      <c r="A68" t="s">
        <v>287</v>
      </c>
      <c r="B68" t="s">
        <v>271</v>
      </c>
      <c r="C68" t="s">
        <v>233</v>
      </c>
      <c r="E68" t="str">
        <f t="shared" si="2"/>
        <v>Not Started</v>
      </c>
    </row>
    <row r="69" spans="1:5" x14ac:dyDescent="0.25">
      <c r="A69" t="s">
        <v>290</v>
      </c>
      <c r="B69" t="s">
        <v>271</v>
      </c>
      <c r="C69" t="s">
        <v>233</v>
      </c>
      <c r="E69" t="str">
        <f t="shared" si="2"/>
        <v>Not Started</v>
      </c>
    </row>
    <row r="70" spans="1:5" x14ac:dyDescent="0.25">
      <c r="A70" t="s">
        <v>292</v>
      </c>
      <c r="B70" t="s">
        <v>271</v>
      </c>
      <c r="C70" t="s">
        <v>233</v>
      </c>
      <c r="E70" t="str">
        <f t="shared" si="2"/>
        <v>Not Started</v>
      </c>
    </row>
    <row r="71" spans="1:5" x14ac:dyDescent="0.25">
      <c r="A71" t="s">
        <v>295</v>
      </c>
      <c r="B71" t="s">
        <v>271</v>
      </c>
      <c r="C71" t="s">
        <v>233</v>
      </c>
      <c r="E71" t="str">
        <f t="shared" si="2"/>
        <v>Not Started</v>
      </c>
    </row>
    <row r="72" spans="1:5" x14ac:dyDescent="0.25">
      <c r="A72" t="s">
        <v>296</v>
      </c>
      <c r="B72" t="s">
        <v>271</v>
      </c>
      <c r="C72" t="s">
        <v>233</v>
      </c>
      <c r="E72" t="str">
        <f t="shared" si="2"/>
        <v>Not Started</v>
      </c>
    </row>
    <row r="73" spans="1:5" x14ac:dyDescent="0.25">
      <c r="A73" t="s">
        <v>299</v>
      </c>
      <c r="B73" t="s">
        <v>271</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x14ac:dyDescent="0.25"/>
  <sheetData>
    <row r="1" spans="1:3" x14ac:dyDescent="0.25">
      <c r="A1" t="s">
        <v>518</v>
      </c>
      <c r="B1" t="s">
        <v>519</v>
      </c>
      <c r="C1" t="s">
        <v>520</v>
      </c>
    </row>
    <row r="2" spans="1:3" x14ac:dyDescent="0.25">
      <c r="A2" t="s">
        <v>504</v>
      </c>
      <c r="B2" t="s">
        <v>504</v>
      </c>
      <c r="C2" t="s">
        <v>504</v>
      </c>
    </row>
    <row r="3" spans="1:3" x14ac:dyDescent="0.25">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x14ac:dyDescent="0.25">
      <c r="A4" t="str">
        <v>August</v>
      </c>
      <c r="B4" t="s">
        <v>492</v>
      </c>
      <c r="C4" t="str">
        <v>Fetwi</v>
      </c>
    </row>
    <row r="5" spans="1:3" x14ac:dyDescent="0.25">
      <c r="A5" t="str">
        <v>September</v>
      </c>
      <c r="B5" t="s">
        <v>182</v>
      </c>
      <c r="C5" t="str">
        <v>Geetha</v>
      </c>
    </row>
    <row r="6" spans="1:3" x14ac:dyDescent="0.25">
      <c r="A6" t="str">
        <v>October</v>
      </c>
      <c r="B6" t="s">
        <v>219</v>
      </c>
      <c r="C6" t="str">
        <v>Greeta</v>
      </c>
    </row>
    <row r="7" spans="1:3" x14ac:dyDescent="0.25">
      <c r="A7" t="str">
        <v>November</v>
      </c>
      <c r="B7" t="s">
        <v>204</v>
      </c>
      <c r="C7" t="str">
        <v>Kushal</v>
      </c>
    </row>
    <row r="8" spans="1:3" x14ac:dyDescent="0.25">
      <c r="B8" t="s">
        <v>262</v>
      </c>
      <c r="C8" t="str">
        <v>Michael</v>
      </c>
    </row>
    <row r="9" spans="1:3" x14ac:dyDescent="0.25">
      <c r="B9" t="s">
        <v>486</v>
      </c>
      <c r="C9" t="str">
        <v>Navya</v>
      </c>
    </row>
    <row r="10" spans="1:3" x14ac:dyDescent="0.25">
      <c r="B10" t="s">
        <v>493</v>
      </c>
      <c r="C10" t="str">
        <v>Nick</v>
      </c>
    </row>
    <row r="11" spans="1:3" x14ac:dyDescent="0.25">
      <c r="C11" t="str">
        <v>Olu</v>
      </c>
    </row>
    <row r="12" spans="1:3" x14ac:dyDescent="0.25">
      <c r="C12" t="str">
        <v>Preety</v>
      </c>
    </row>
    <row r="13" spans="1:3" x14ac:dyDescent="0.25">
      <c r="C13" t="str">
        <v>Rupa</v>
      </c>
    </row>
    <row r="14" spans="1:3" x14ac:dyDescent="0.25">
      <c r="C14" t="str">
        <v>Sarath</v>
      </c>
    </row>
    <row r="15" spans="1:3" x14ac:dyDescent="0.25">
      <c r="C15" t="str">
        <v>Shraddha</v>
      </c>
    </row>
    <row r="16" spans="1:3" x14ac:dyDescent="0.25">
      <c r="C16" t="str">
        <v>Siddu</v>
      </c>
    </row>
    <row r="17" spans="3:3" x14ac:dyDescent="0.25">
      <c r="C17" t="str">
        <v>Siva</v>
      </c>
    </row>
    <row r="18" spans="3:3" x14ac:dyDescent="0.25">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ds:schemaRefs>
    <ds:schemaRef ds:uri="http://schemas.microsoft.com/sharepoint/v3/contenttype/forms"/>
  </ds:schemaRefs>
</ds:datastoreItem>
</file>

<file path=customXml/itemProps2.xml><?xml version="1.0" encoding="utf-8"?>
<ds:datastoreItem xmlns:ds="http://schemas.openxmlformats.org/officeDocument/2006/customXml" ds:itemID="{24BA0970-9A29-4941-880B-66A3542696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9cbbf0-fbbf-4687-be4c-62cb1159071c"/>
    <ds:schemaRef ds:uri="6d32ee4e-79d4-4fe0-ad34-1cbae873c51e"/>
    <ds:schemaRef ds:uri="cadce026-d35b-4a62-a2ee-1436bb44fb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D565648-A6A0-41BF-86C3-DCBEA404F718}">
  <ds:schemaRefs>
    <ds:schemaRef ds:uri="http://schemas.microsoft.com/sharepoint/events"/>
  </ds:schemaRefs>
</ds:datastoreItem>
</file>

<file path=customXml/itemProps4.xml><?xml version="1.0" encoding="utf-8"?>
<ds:datastoreItem xmlns:ds="http://schemas.openxmlformats.org/officeDocument/2006/customXml" ds:itemID="{AD54C7CB-11A4-40CF-B95E-1D5833A38355}">
  <ds:schemaRefs>
    <ds:schemaRef ds:uri="http://purl.org/dc/dcmitype/"/>
    <ds:schemaRef ds:uri="5b9cbbf0-fbbf-4687-be4c-62cb1159071c"/>
    <ds:schemaRef ds:uri="http://schemas.microsoft.com/office/2006/documentManagement/types"/>
    <ds:schemaRef ds:uri="cadce026-d35b-4a62-a2ee-1436bb44fb55"/>
    <ds:schemaRef ds:uri="http://schemas.microsoft.com/office/2006/metadata/properties"/>
    <ds:schemaRef ds:uri="http://purl.org/dc/elements/1.1/"/>
    <ds:schemaRef ds:uri="http://schemas.microsoft.com/office/infopath/2007/PartnerControls"/>
    <ds:schemaRef ds:uri="http://schemas.openxmlformats.org/package/2006/metadata/core-properties"/>
    <ds:schemaRef ds:uri="6d32ee4e-79d4-4fe0-ad34-1cbae873c51e"/>
    <ds:schemaRef ds:uri="http://www.w3.org/XML/1998/namespace"/>
    <ds:schemaRef ds:uri="http://purl.org/dc/terms/"/>
  </ds:schemaRefs>
</ds:datastoreItem>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vt:i4>
      </vt:variant>
    </vt:vector>
  </HeadingPairs>
  <TitlesOfParts>
    <vt:vector size="31" baseType="lpstr">
      <vt:lpstr>Combined Delivery Data</vt:lpstr>
      <vt:lpstr>Find a Report</vt:lpstr>
      <vt:lpstr>Rework Log</vt:lpstr>
      <vt:lpstr>Dim Table</vt:lpstr>
      <vt:lpstr>Fact Table</vt:lpstr>
      <vt:lpstr>Data Validation</vt:lpstr>
      <vt:lpstr>Dashboard</vt:lpstr>
      <vt:lpstr>Data</vt:lpstr>
      <vt:lpstr>Dashboard Lists</vt:lpstr>
      <vt:lpstr>A73A73</vt:lpstr>
      <vt:lpstr>B49B81</vt:lpstr>
      <vt:lpstr>cmsBlocked</vt:lpstr>
      <vt:lpstr>cmsCheck</vt:lpstr>
      <vt:lpstr>cmsDBDev</vt:lpstr>
      <vt:lpstr>cmsDBDone</vt:lpstr>
      <vt:lpstr>cmsDom</vt:lpstr>
      <vt:lpstr>cmsDPO</vt:lpstr>
      <vt:lpstr>cmsDPODone</vt:lpstr>
      <vt:lpstr>cmsMonth</vt:lpstr>
      <vt:lpstr>cmsName</vt:lpstr>
      <vt:lpstr>cmsPBIDev</vt:lpstr>
      <vt:lpstr>cmsPBIDone</vt:lpstr>
      <vt:lpstr>cmsQA</vt:lpstr>
      <vt:lpstr>cmsQADone</vt:lpstr>
      <vt:lpstr>cmsStatus</vt:lpstr>
      <vt:lpstr>DB_Dev_List</vt:lpstr>
      <vt:lpstr>DPO_Approval_List</vt:lpstr>
      <vt:lpstr>L2T2</vt:lpstr>
      <vt:lpstr>PBI_Dev_List</vt:lpstr>
      <vt:lpstr>Dashboard!Print_Area</vt:lpstr>
      <vt:lpstr>QA_List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Robert DiNuccio</cp:lastModifiedBy>
  <cp:revision>0</cp:revision>
  <dcterms:created xsi:type="dcterms:W3CDTF">2026-07-21T14:32:59Z</dcterms:created>
  <dcterms:modified xsi:type="dcterms:W3CDTF">2026-10-07T13:29:31Z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