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464" documentId="13_ncr:1_{52745E9B-3AA1-4770-AAD3-E6166BFC13AE}" xr6:coauthVersionLast="47" xr6:coauthVersionMax="47" xr10:uidLastSave="{7327AE49-7404-4BD5-AFC0-0646AF2046F8}"/>
  <bookViews>
    <workbookView minimized="1" xWindow="-21540" yWindow="4485" windowWidth="17280" windowHeight="888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s="1"/>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<sst xmlns="http://schemas.openxmlformats.org/spreadsheetml/2006/main" count="3212" uniqueCount="470">
  <si>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</si>
  <si>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</si>
  <si>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</si>
  <si>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</si>
  <si>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</si>
  <si>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</si>
  <si>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</si>
  <si>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</si>
  <si>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</si>
  <si>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</si>
  <si>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</si>
  <si>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</si>
  <si>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</si>
  <si>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</si>
  <si>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</si>
  <si>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</si>
  <si>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</si>
  <si>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</si>
  <si>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</si>
  <si>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</si>
  <si>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</si>
  <si>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</si>
  <si>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</si>
  <si>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</si>
  <si>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</si>
  <si>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</si>
  <si>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</si>
  <si>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</si>
  <si>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</si>
  <si>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</si>
  <si>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</si>
  <si>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</si>
  <si>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</si>
  <si>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</si>
  <si>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</si>
  <si>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</si>
  <si>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</si>
  <si>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</si>
  <si>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</si>
  <si>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</si>
  <si>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</si>
  <si>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</si>
  <si>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</si>
  <si>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</si>
  <si>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</si>
  <si>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</si>
  <si>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</si>
  <si>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</si>
  <si>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</si>
  <si>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</si>
  <si>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</si>
  <si>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</si>
  <si>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</si>
  <si>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</si>
  <si>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</si>
  <si>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</si>
  <si>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</si>
  <si>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</si>
  <si>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</si>
  <si>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</si>
  <si>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</si>
  <si>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</si>
  <si>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</si>
  <si>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</si>
  <si>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</si>
  <si>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</si>
  <si>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</si>
  <si>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</si>
  <si>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</si>
  <si>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</si>
  <si>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</si>
  <si>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</si>
  <si>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</si>
  <si>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</si>
  <si>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</si>
  <si>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</si>
  <si>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</si>
  <si>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</si>
  <si>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</si>
  <si>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</si>
  <si>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</si>
  <si>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</si>
  <si>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</si>
  <si>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</si>
  <si>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</si>
  <si>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</si>
  <si>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</si>
  <si>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</si>
  <si>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</si>
  <si>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</si>
  <si>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</si>
  <si>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</si>
  <si>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</si>
  <si>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</si>
  <si>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</si>
  <si>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</si>
  <si>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</si>
  <si>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</si>
  <si>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</si>
  <si>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</si>
  <si>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</si>
  <si>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</si>
  <si>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</si>
  <si>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</si>
  <si>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</si>
  <si>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</si>
  <si>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</si>
  <si>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</si>
  <si>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</si>
  <si>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</si>
  <si>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</si>
  <si>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</si>
  <si>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</si>
  <si>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</si>
  <si>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</si>
  <si>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</si>
  <si>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</si>
  <si>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</si>
  <si>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</si>
  <si>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</si>
  <si>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</si>
  <si>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</si>
  <si>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</si>
  <si>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</si>
  <si>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</si>
  <si>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</si>
  <si>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</si>
  <si>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</si>
  <si>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</si>
  <si>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</si>
  <si>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</si>
  <si>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</si>
  <si>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</si>
  <si>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</si>
  <si>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</si>
  <si>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</si>
  <si>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</si>
  <si>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</si>
  <si>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</si>
  <si>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</si>
  <si>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</si>
  <si>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</si>
  <si>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</si>
  <si>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</si>
  <si>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</si>
  <si>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</si>
  <si>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</si>
  <si>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</si>
  <si>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</si>
  <si>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</si>
  <si>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</si>
  <si>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</si>
  <si>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</si>
  <si>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</si>
  <si>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</si>
  <si>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</si>
  <si>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</si>
  <si>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</si>
  <si>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</si>
  <si>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</si>
  <si>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</si>
  <si>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</si>
  <si>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</si>
  <si>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</si>
  <si>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</si>
  <si>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</si>
  <si>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</si>
  <si>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</si>
  <si>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</si>
  <si>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</si>
  <si>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</si>
  <si>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</si>
  <si>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</si>
  <si>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</si>
  <si>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</si>
  <si>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QA</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</si>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</sst>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S1" activePane="topRight" state="frozen"/>
      <selection pane="topRight" activeCell="Y61" sqref="Y6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175</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194</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Move status to Ready for Release in Prod</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195</v>
      </c>
      <c r="C55" s="33" t="s">
        <v>175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175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t="s">
        <v>129</v>
      </c>
      <c r="V58" s="58">
        <v>46276</v>
      </c>
      <c r="W58" s="36"/>
      <c r="X58" s="36"/>
      <c r="Y58" s="36"/>
      <c r="Z58" s="36"/>
      <c r="AA58" s="51">
        <v>46290</v>
      </c>
      <c r="AB58" s="36"/>
      <c r="AC58" s="36"/>
      <c r="AD58" s="33" t="s">
        <v>132</v>
      </c>
      <c r="AE58" s="33" t="s">
        <v>49</v>
      </c>
      <c r="AF58" s="38"/>
      <c r="AG58" s="36"/>
      <c r="AH58" s="39"/>
      <c r="AI58" s="33"/>
      <c r="AJ58" s="40" t="s">
        <v>183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210</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v>46281</v>
      </c>
      <c r="X59" s="36">
        <v>46282</v>
      </c>
      <c r="Y59" s="36">
        <v>46281</v>
      </c>
      <c r="Z59" s="36"/>
      <c r="AA59" s="51">
        <v>46290</v>
      </c>
      <c r="AB59" s="36"/>
      <c r="AC59" s="36"/>
      <c r="AD59" s="33" t="s">
        <v>124</v>
      </c>
      <c r="AE59" s="33" t="s">
        <v>49</v>
      </c>
      <c r="AF59" s="38"/>
      <c r="AG59" s="36"/>
      <c r="AH59" s="39"/>
      <c r="AI59" s="33"/>
      <c r="AJ59" s="40" t="s">
        <v>211</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212</v>
      </c>
      <c r="C60" s="33" t="s">
        <v>175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210</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213</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214</v>
      </c>
      <c r="C61" s="33" t="s">
        <v>175</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v>46255</v>
      </c>
      <c r="N61" s="36"/>
      <c r="O61" s="36" t="s">
        <v>197</v>
      </c>
      <c r="P61" s="62" t="s">
        <v>60</v>
      </c>
      <c r="Q61" s="4">
        <v>46269</v>
      </c>
      <c r="R61" s="36">
        <v>46268</v>
      </c>
      <c r="S61" s="36">
        <v>46268</v>
      </c>
      <c r="T61" s="68" t="s">
        <v>198</v>
      </c>
      <c r="U61" s="33" t="s">
        <v>47</v>
      </c>
      <c r="V61" s="58">
        <v>46276</v>
      </c>
      <c r="W61" s="36">
        <v>46283</v>
      </c>
      <c r="X61" s="36">
        <v>46281</v>
      </c>
      <c r="Y61" s="36"/>
      <c r="Z61" s="36"/>
      <c r="AA61" s="51">
        <v>46290</v>
      </c>
      <c r="AB61" s="36"/>
      <c r="AC61" s="36"/>
      <c r="AD61" s="33" t="s">
        <v>215</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216</v>
      </c>
      <c r="C62" s="33" t="s">
        <v>175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t="s">
        <v>202</v>
      </c>
      <c r="V62" s="58">
        <v>46276</v>
      </c>
      <c r="W62" s="36"/>
      <c r="X62" s="36"/>
      <c r="Y62" s="36"/>
      <c r="Z62" s="36"/>
      <c r="AA62" s="51">
        <v>46290</v>
      </c>
      <c r="AB62" s="36"/>
      <c r="AC62" s="36"/>
      <c r="AD62" s="33" t="s">
        <v>217</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218</v>
      </c>
      <c r="C63" s="33" t="s">
        <v>175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219</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220</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221</v>
      </c>
      <c r="C64" s="116" t="s">
        <v>175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196</v>
      </c>
      <c r="J64" s="116" t="s">
        <v>103</v>
      </c>
      <c r="K64" s="121">
        <v>46276</v>
      </c>
      <c r="L64" s="122">
        <v>46265</v>
      </c>
      <c r="M64" s="122">
        <v>46266</v>
      </c>
      <c r="N64" s="122" t="s">
        <v>146</v>
      </c>
      <c r="O64" s="122" t="s">
        <v>197</v>
      </c>
      <c r="P64" s="123" t="s">
        <v>60</v>
      </c>
      <c r="Q64" s="121">
        <v>46286</v>
      </c>
      <c r="R64" s="122">
        <v>46269</v>
      </c>
      <c r="S64" s="122">
        <v>46269</v>
      </c>
      <c r="T64" s="124" t="s">
        <v>198</v>
      </c>
      <c r="U64" s="116"/>
      <c r="V64" s="125">
        <v>46290</v>
      </c>
      <c r="W64" s="122"/>
      <c r="X64" s="122"/>
      <c r="Y64" s="122"/>
      <c r="Z64" s="122"/>
      <c r="AA64" s="126">
        <v>46295</v>
      </c>
      <c r="AB64" s="122"/>
      <c r="AC64" s="122"/>
      <c r="AD64" s="116" t="s">
        <v>222</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223</v>
      </c>
      <c r="C65" s="33" t="s">
        <v>175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224</v>
      </c>
      <c r="C66" s="155" t="s">
        <v>182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196</v>
      </c>
      <c r="J66" s="155" t="s">
        <v>44</v>
      </c>
      <c r="K66" s="158">
        <v>46276</v>
      </c>
      <c r="L66" s="143">
        <v>46276</v>
      </c>
      <c r="M66" s="143">
        <v>46282</v>
      </c>
      <c r="N66" s="143"/>
      <c r="O66" s="143" t="s">
        <v>197</v>
      </c>
      <c r="P66" s="159" t="s">
        <v>46</v>
      </c>
      <c r="Q66" s="158">
        <v>46286</v>
      </c>
      <c r="R66" s="143">
        <v>46273</v>
      </c>
      <c r="S66" s="143"/>
      <c r="T66" s="160" t="s">
        <v>198</v>
      </c>
      <c r="U66" s="155"/>
      <c r="V66" s="142">
        <v>46290</v>
      </c>
      <c r="W66" s="143"/>
      <c r="X66" s="143"/>
      <c r="Y66" s="143"/>
      <c r="Z66" s="143"/>
      <c r="AA66" s="161">
        <v>46295</v>
      </c>
      <c r="AB66" s="143"/>
      <c r="AC66" s="143"/>
      <c r="AD66" s="155" t="s">
        <v>222</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225</v>
      </c>
      <c r="C67" s="33" t="s">
        <v>175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t="s">
        <v>129</v>
      </c>
      <c r="V67" s="58">
        <v>46290</v>
      </c>
      <c r="W67" s="36">
        <v>46259</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228</v>
      </c>
      <c r="K68" s="85">
        <v>46276</v>
      </c>
      <c r="L68" s="86">
        <v>46258</v>
      </c>
      <c r="M68" s="86">
        <v>46258</v>
      </c>
      <c r="N68" s="86"/>
      <c r="O68" s="86" t="s">
        <v>197</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196</v>
      </c>
      <c r="J69" s="97" t="s">
        <v>59</v>
      </c>
      <c r="K69" s="101">
        <v>46276</v>
      </c>
      <c r="L69" s="102"/>
      <c r="M69" s="102"/>
      <c r="N69" s="102"/>
      <c r="O69" s="102" t="s">
        <v>197</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210</v>
      </c>
      <c r="G70" s="33"/>
      <c r="H70" s="49">
        <v>46295</v>
      </c>
      <c r="I70" s="54" t="s">
        <v>196</v>
      </c>
      <c r="J70" s="33" t="s">
        <v>65</v>
      </c>
      <c r="K70" s="4">
        <v>46276</v>
      </c>
      <c r="L70" s="36">
        <v>46262</v>
      </c>
      <c r="M70" s="36">
        <v>46276</v>
      </c>
      <c r="N70" s="46" t="s">
        <v>146</v>
      </c>
      <c r="O70" s="36" t="s">
        <v>197</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237</v>
      </c>
      <c r="C71" s="33" t="s">
        <v>175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196</v>
      </c>
      <c r="J71" s="33" t="s">
        <v>44</v>
      </c>
      <c r="K71" s="4">
        <v>46276</v>
      </c>
      <c r="L71" s="36">
        <v>46259</v>
      </c>
      <c r="M71" s="36">
        <v>46259</v>
      </c>
      <c r="N71" s="36"/>
      <c r="O71" s="36" t="s">
        <v>197</v>
      </c>
      <c r="P71" s="62" t="s">
        <v>60</v>
      </c>
      <c r="Q71" s="4">
        <v>46286</v>
      </c>
      <c r="R71" s="36">
        <v>46281</v>
      </c>
      <c r="S71" s="36">
        <v>46281</v>
      </c>
      <c r="T71" s="68" t="s">
        <v>229</v>
      </c>
      <c r="U71" s="33" t="s">
        <v>47</v>
      </c>
      <c r="V71" s="58">
        <v>46290</v>
      </c>
      <c r="W71" s="36"/>
      <c r="X71" s="36"/>
      <c r="Y71" s="36"/>
      <c r="Z71" s="36"/>
      <c r="AA71" s="51">
        <v>46295</v>
      </c>
      <c r="AB71" s="36"/>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242</v>
      </c>
      <c r="J73" s="31" t="s">
        <v>76</v>
      </c>
      <c r="K73" s="43">
        <v>46304</v>
      </c>
      <c r="L73" s="43">
        <v>46259</v>
      </c>
      <c r="M73" s="46">
        <v>46259</v>
      </c>
      <c r="N73" s="44" t="s">
        <v>45</v>
      </c>
      <c r="O73" s="44" t="s">
        <v>197</v>
      </c>
      <c r="P73" s="65" t="s">
        <v>77</v>
      </c>
      <c r="Q73" s="43">
        <v>46313</v>
      </c>
      <c r="R73" s="43"/>
      <c r="S73" s="44"/>
      <c r="T73" s="69" t="s">
        <v>243</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242</v>
      </c>
      <c r="J74" s="53" t="s">
        <v>228</v>
      </c>
      <c r="K74" s="43">
        <v>46304</v>
      </c>
      <c r="L74" s="43">
        <v>46269</v>
      </c>
      <c r="M74" s="44">
        <v>46269</v>
      </c>
      <c r="N74" s="44"/>
      <c r="O74" s="44" t="s">
        <v>197</v>
      </c>
      <c r="P74" s="74" t="s">
        <v>77</v>
      </c>
      <c r="Q74" s="43">
        <v>46313</v>
      </c>
      <c r="R74" s="43"/>
      <c r="S74" s="44"/>
      <c r="T74" s="69" t="s">
        <v>243</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197</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197</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197</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175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c r="S78" s="149"/>
      <c r="T78" s="151" t="s">
        <v>243</v>
      </c>
      <c r="U78" s="152"/>
      <c r="V78" s="153">
        <v>46316</v>
      </c>
      <c r="W78" s="148"/>
      <c r="X78" s="144"/>
      <c r="Y78" s="144"/>
      <c r="Z78" s="154"/>
      <c r="AA78" s="153">
        <v>46325</v>
      </c>
      <c r="AB78" s="148"/>
      <c r="AC78" s="148"/>
      <c r="AD78" s="144" t="s">
        <v>189</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252</v>
      </c>
      <c r="O79" s="44" t="s">
        <v>197</v>
      </c>
      <c r="P79" s="74" t="s">
        <v>46</v>
      </c>
      <c r="Q79" s="43">
        <v>46313</v>
      </c>
      <c r="R79" s="43"/>
      <c r="S79" s="44"/>
      <c r="T79" s="69" t="s">
        <v>243</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c r="V80" s="28">
        <v>46316</v>
      </c>
      <c r="W80" s="43"/>
      <c r="X80" s="31"/>
      <c r="Y80" s="31"/>
      <c r="Z80" s="36"/>
      <c r="AA80" s="28">
        <v>46325</v>
      </c>
      <c r="AB80" s="43"/>
      <c r="AC80" s="43"/>
      <c r="AD80" s="31" t="s">
        <v>213</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c r="M81" s="149"/>
      <c r="N81" s="149"/>
      <c r="O81" s="149" t="s">
        <v>250</v>
      </c>
      <c r="P81" s="150" t="s">
        <v>60</v>
      </c>
      <c r="Q81" s="148">
        <v>46313</v>
      </c>
      <c r="R81" s="148"/>
      <c r="S81" s="149"/>
      <c r="T81" s="167" t="s">
        <v>256</v>
      </c>
      <c r="U81" s="152"/>
      <c r="V81" s="153">
        <v>46316</v>
      </c>
      <c r="W81" s="148"/>
      <c r="X81" s="144"/>
      <c r="Y81" s="144"/>
      <c r="Z81" s="154"/>
      <c r="AA81" s="153">
        <v>46325</v>
      </c>
      <c r="AB81" s="148"/>
      <c r="AC81" s="148"/>
      <c r="AD81" s="144" t="s">
        <v>222</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46</v>
      </c>
      <c r="Q82" s="43">
        <v>46313</v>
      </c>
      <c r="R82" s="43"/>
      <c r="S82" s="44"/>
      <c r="T82" s="68" t="s">
        <v>256</v>
      </c>
      <c r="U82" s="46"/>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252</v>
      </c>
      <c r="O83" s="44" t="s">
        <v>250</v>
      </c>
      <c r="P83" s="74" t="s">
        <v>77</v>
      </c>
      <c r="Q83" s="43">
        <v>46313</v>
      </c>
      <c r="R83" s="43"/>
      <c r="S83" s="44"/>
      <c r="T83" s="68" t="s">
        <v>256</v>
      </c>
      <c r="U83" s="46"/>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242</v>
      </c>
      <c r="J84" s="53" t="s">
        <v>76</v>
      </c>
      <c r="K84" s="43">
        <v>46304</v>
      </c>
      <c r="L84" s="43"/>
      <c r="M84" s="44"/>
      <c r="N84" s="44" t="s">
        <v>252</v>
      </c>
      <c r="O84" s="44" t="s">
        <v>250</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210</v>
      </c>
      <c r="G85" s="31"/>
      <c r="H85" s="49">
        <v>46325</v>
      </c>
      <c r="I85" s="55" t="s">
        <v>242</v>
      </c>
      <c r="J85" s="53" t="s">
        <v>44</v>
      </c>
      <c r="K85" s="43">
        <v>46304</v>
      </c>
      <c r="L85" s="43">
        <v>46276</v>
      </c>
      <c r="M85" s="44"/>
      <c r="N85" s="44"/>
      <c r="O85" s="44" t="s">
        <v>250</v>
      </c>
      <c r="P85" s="74" t="s">
        <v>60</v>
      </c>
      <c r="Q85" s="43">
        <v>46313</v>
      </c>
      <c r="R85" s="43"/>
      <c r="S85" s="44"/>
      <c r="T85" s="68" t="s">
        <v>256</v>
      </c>
      <c r="U85" s="46"/>
      <c r="V85" s="28">
        <v>46316</v>
      </c>
      <c r="W85" s="43"/>
      <c r="X85" s="31"/>
      <c r="Y85" s="31"/>
      <c r="Z85" s="36"/>
      <c r="AA85" s="28">
        <v>46325</v>
      </c>
      <c r="AB85" s="43"/>
      <c r="AC85" s="43"/>
      <c r="AD85" s="31" t="s">
        <v>189</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265</v>
      </c>
      <c r="J86" s="53" t="s">
        <v>84</v>
      </c>
      <c r="K86" s="49">
        <v>46332</v>
      </c>
      <c r="L86" s="43"/>
      <c r="M86" s="44"/>
      <c r="N86" s="44"/>
      <c r="O86" s="44" t="s">
        <v>250</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267</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265</v>
      </c>
      <c r="J87" s="53" t="s">
        <v>59</v>
      </c>
      <c r="K87" s="49">
        <v>46332</v>
      </c>
      <c r="L87" s="43"/>
      <c r="M87" s="44"/>
      <c r="N87" s="44"/>
      <c r="O87" s="44" t="s">
        <v>250</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268</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265</v>
      </c>
      <c r="J88" s="53" t="s">
        <v>59</v>
      </c>
      <c r="K88" s="49">
        <v>46332</v>
      </c>
      <c r="L88" s="43"/>
      <c r="M88" s="44"/>
      <c r="N88" s="44"/>
      <c r="O88" s="44" t="s">
        <v>250</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270</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265</v>
      </c>
      <c r="J89" s="53" t="s">
        <v>228</v>
      </c>
      <c r="K89" s="49">
        <v>46332</v>
      </c>
      <c r="L89" s="43">
        <v>46282</v>
      </c>
      <c r="M89" s="44">
        <v>46282</v>
      </c>
      <c r="N89" s="44"/>
      <c r="O89" s="44" t="s">
        <v>250</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271</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265</v>
      </c>
      <c r="J90" s="53"/>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273</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250</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276</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265</v>
      </c>
      <c r="J92" s="53" t="s">
        <v>84</v>
      </c>
      <c r="K92" s="49">
        <v>46332</v>
      </c>
      <c r="L92" s="43">
        <v>46332</v>
      </c>
      <c r="M92" s="44">
        <v>46275</v>
      </c>
      <c r="N92" s="44"/>
      <c r="O92" s="44" t="s">
        <v>250</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278</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c r="K93" s="49">
        <v>46332</v>
      </c>
      <c r="L93" s="43"/>
      <c r="M93" s="44"/>
      <c r="N93" s="44"/>
      <c r="O93" s="36" t="s">
        <v>279</v>
      </c>
      <c r="P93" s="74"/>
      <c r="Q93" s="49">
        <v>46339</v>
      </c>
      <c r="R93" s="43"/>
      <c r="S93" s="44"/>
      <c r="T93" s="68" t="s">
        <v>269</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265</v>
      </c>
      <c r="J94" s="53"/>
      <c r="K94" s="49">
        <v>46332</v>
      </c>
      <c r="L94" s="43"/>
      <c r="M94" s="44"/>
      <c r="N94" s="44"/>
      <c r="O94" s="36" t="s">
        <v>279</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265</v>
      </c>
      <c r="J95" s="53" t="s">
        <v>76</v>
      </c>
      <c r="K95" s="49">
        <v>46332</v>
      </c>
      <c r="L95" s="43"/>
      <c r="M95" s="44"/>
      <c r="N95" s="44"/>
      <c r="O95" s="36" t="s">
        <v>272</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272</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279</v>
      </c>
      <c r="P97" s="74"/>
      <c r="Q97" s="49">
        <v>46339</v>
      </c>
      <c r="R97" s="43"/>
      <c r="S97" s="44"/>
      <c r="T97" s="68" t="s">
        <v>283</v>
      </c>
      <c r="U97" s="46"/>
      <c r="V97" s="28">
        <v>46344</v>
      </c>
      <c r="W97" s="43"/>
      <c r="X97" s="31"/>
      <c r="Y97" s="31"/>
      <c r="Z97" s="36"/>
      <c r="AA97" s="28">
        <v>46356</v>
      </c>
      <c r="AB97" s="43"/>
      <c r="AC97" s="43"/>
      <c r="AD97" s="31" t="s">
        <v>288</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289</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265</v>
      </c>
      <c r="J98" s="53"/>
      <c r="K98" s="49">
        <v>46332</v>
      </c>
      <c r="L98" s="43"/>
      <c r="M98" s="44"/>
      <c r="N98" s="44"/>
      <c r="O98" s="36" t="s">
        <v>279</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290</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250</v>
      </c>
      <c r="P99" s="74"/>
      <c r="Q99" s="49">
        <v>46339</v>
      </c>
      <c r="R99" s="43"/>
      <c r="S99" s="44"/>
      <c r="T99" s="68" t="s">
        <v>283</v>
      </c>
      <c r="U99" s="46"/>
      <c r="V99" s="28">
        <v>46344</v>
      </c>
      <c r="W99" s="43"/>
      <c r="X99" s="31"/>
      <c r="Y99" s="31"/>
      <c r="Z99" s="36"/>
      <c r="AA99" s="28">
        <v>46356</v>
      </c>
      <c r="AB99" s="43"/>
      <c r="AC99" s="43"/>
      <c r="AD99" s="31" t="s">
        <v>292</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293</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279</v>
      </c>
      <c r="P100" s="74"/>
      <c r="Q100" s="49">
        <v>46339</v>
      </c>
      <c r="R100" s="43"/>
      <c r="S100" s="44"/>
      <c r="T100" s="68" t="s">
        <v>283</v>
      </c>
      <c r="U100" s="46"/>
      <c r="V100" s="28">
        <v>46344</v>
      </c>
      <c r="W100" s="43"/>
      <c r="X100" s="31"/>
      <c r="Y100" s="31"/>
      <c r="Z100" s="36"/>
      <c r="AA100" s="28">
        <v>46356</v>
      </c>
      <c r="AB100" s="43"/>
      <c r="AC100" s="43"/>
      <c r="AD100" s="31" t="s">
        <v>294</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295</v>
      </c>
      <c r="B101" s="31" t="s">
        <v>296</v>
      </c>
      <c r="C101" s="31" t="s">
        <v>233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295</v>
      </c>
      <c r="B102" s="31" t="s">
        <v>300</v>
      </c>
      <c r="C102" s="31" t="s">
        <v>233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295</v>
      </c>
      <c r="B103" s="31" t="s">
        <v>303</v>
      </c>
      <c r="C103" s="31" t="s">
        <v>233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295</v>
      </c>
      <c r="B105" s="31" t="s">
        <v>308</v>
      </c>
      <c r="C105" s="31" t="s">
        <v>233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295</v>
      </c>
      <c r="B106" s="31" t="s">
        <v>310</v>
      </c>
      <c r="C106" s="31" t="s">
        <v>233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295</v>
      </c>
      <c r="B107" s="31" t="s">
        <v>312</v>
      </c>
      <c r="C107" s="31" t="s">
        <v>233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295</v>
      </c>
      <c r="B108" s="31" t="s">
        <v>314</v>
      </c>
      <c r="C108" s="31" t="s">
        <v>233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317</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295</v>
      </c>
      <c r="B110" s="31" t="s">
        <v>320</v>
      </c>
      <c r="C110" s="31" t="s">
        <v>233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322</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324</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325</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326</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328</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G65:Q65 Z48:AL72 Z73:AH100 G43:V64 G66:V73 A2:F87 A74:V527 W2:Y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c r="A6" s="42" t="s">
        <v>0</v>
      </c>
      <c r="B6" s="173" t="str">
        <f>IF($B$4="","",IFERROR(INDEX('Combined Delivery Data'!$A:$A,MATCH($B$4,'Combined Delivery Data'!$B:$B,0)),""))</f>
        <v/>
      </c>
      <c r="C6" s="176"/>
      <c r="D6" s="176"/>
      <c r="E6" s="177"/>
    </row>
    <row r="7" spans="1:5">
      <c r="A7" s="42" t="s">
        <v>332</v>
      </c>
      <c r="B7" s="173" t="str">
        <f>IF($B$4="","",IFERROR(INDEX('Combined Delivery Data'!$C:$C,MATCH($B$4,'Combined Delivery Data'!$B:$B,0)),""))</f>
        <v/>
      </c>
      <c r="C7" s="176"/>
      <c r="D7" s="176"/>
      <c r="E7" s="177"/>
    </row>
    <row r="8" spans="1:5">
      <c r="A8" s="42" t="s">
        <v>3</v>
      </c>
      <c r="B8" s="173" t="str">
        <f>IF($B$4="","",IFERROR(INDEX('Combined Delivery Data'!$D:$D,MATCH($B$4,'Combined Delivery Data'!$B:$B,0)),""))</f>
        <v/>
      </c>
      <c r="C8" s="176"/>
      <c r="D8" s="176"/>
      <c r="E8" s="177"/>
    </row>
    <row r="9" spans="1:5">
      <c r="A9" s="42" t="s">
        <v>4</v>
      </c>
      <c r="B9" s="173" t="str">
        <f>IF($B$4="","",IFERROR(INDEX('Combined Delivery Data'!$E:$E,MATCH($B$4,'Combined Delivery Data'!$B:$B,0)),""))</f>
        <v/>
      </c>
      <c r="C9" s="176"/>
      <c r="D9" s="176"/>
      <c r="E9" s="177"/>
    </row>
    <row r="10" spans="1:5">
      <c r="A10" s="42" t="s">
        <v>5</v>
      </c>
      <c r="B10" s="173" t="str">
        <f>IF($B$4="","",IFERROR(INDEX('Combined Delivery Data'!$F:$F,MATCH($B$4,'Combined Delivery Data'!$B:$B,0)),""))</f>
        <v/>
      </c>
      <c r="C10" s="176"/>
      <c r="D10" s="176"/>
      <c r="E10" s="177"/>
    </row>
    <row r="11" spans="1:5">
      <c r="A11" s="42" t="s">
        <v>9</v>
      </c>
      <c r="B11" s="173" t="str">
        <f>IF($B$4="","",IFERROR(INDEX('Combined Delivery Data'!$J:$J,MATCH($B$4,'Combined Delivery Data'!$B:$B,0)),""))</f>
        <v/>
      </c>
      <c r="C11" s="176"/>
      <c r="D11" s="176"/>
      <c r="E11" s="177"/>
    </row>
    <row r="12" spans="1:5">
      <c r="A12" s="42" t="s">
        <v>15</v>
      </c>
      <c r="B12" s="173" t="str">
        <f>IF($B$4="","",IFERROR(INDEX('Combined Delivery Data'!$P:$P,MATCH($B$4,'Combined Delivery Data'!$B:$B,0)),""))</f>
        <v/>
      </c>
      <c r="C12" s="176"/>
      <c r="D12" s="176"/>
      <c r="E12" s="177"/>
    </row>
    <row r="13" spans="1:5">
      <c r="A13" s="42" t="s">
        <v>20</v>
      </c>
      <c r="B13" s="173" t="str">
        <f>IF($B$4="","",IFERROR(INDEX('Combined Delivery Data'!$U:$U,MATCH($B$4,'Combined Delivery Data'!$B:$B,0)),""))</f>
        <v/>
      </c>
      <c r="C13" s="176"/>
      <c r="D13" s="176"/>
      <c r="E13" s="177"/>
    </row>
    <row r="14" spans="1:5">
      <c r="A14" s="42" t="s">
        <v>333</v>
      </c>
      <c r="B14" s="172" t="str">
        <f>IF($B$4="","",IFERROR(INDEX('Combined Delivery Data'!$K:$K,MATCH($B$4,'Combined Delivery Data'!$B:$B,0)),""))</f>
        <v/>
      </c>
      <c r="C14" s="176"/>
      <c r="D14" s="176"/>
      <c r="E14" s="177"/>
    </row>
    <row r="15" spans="1:5">
      <c r="A15" s="42" t="s">
        <v>334</v>
      </c>
      <c r="B15" s="172" t="str">
        <f>IF($B$4="","",IFERROR(INDEX('Combined Delivery Data'!$L:$L,MATCH($B$4,'Combined Delivery Data'!$B:$B,0)),""))</f>
        <v/>
      </c>
      <c r="C15" s="176"/>
      <c r="D15" s="176"/>
      <c r="E15" s="177"/>
    </row>
    <row r="16" spans="1:5">
      <c r="A16" s="42" t="s">
        <v>335</v>
      </c>
      <c r="B16" s="172" t="str">
        <f>IF($B$4="","",IFERROR(INDEX('Combined Delivery Data'!$M:$M,MATCH($B$4,'Combined Delivery Data'!$B:$B,0)),""))</f>
        <v/>
      </c>
      <c r="C16" s="176"/>
      <c r="D16" s="176"/>
      <c r="E16" s="177"/>
    </row>
    <row r="17" spans="1:5">
      <c r="A17" s="42" t="s">
        <v>336</v>
      </c>
      <c r="B17" s="172" t="str">
        <f>IF($B$4="","",IFERROR(INDEX('Combined Delivery Data'!$O:$O,MATCH($B$4,'Combined Delivery Data'!$B:$B,0)),""))</f>
        <v/>
      </c>
      <c r="C17" s="176"/>
      <c r="D17" s="176"/>
      <c r="E17" s="177"/>
    </row>
    <row r="18" spans="1:5">
      <c r="A18" s="42" t="s">
        <v>337</v>
      </c>
      <c r="B18" s="172" t="str">
        <f>IF($B$4="","",IFERROR(INDEX('Combined Delivery Data'!$Q:$Q,MATCH($B$4,'Combined Delivery Data'!$B:$B,0)),""))</f>
        <v/>
      </c>
      <c r="C18" s="176"/>
      <c r="D18" s="176"/>
      <c r="E18" s="177"/>
    </row>
    <row r="19" spans="1:5">
      <c r="A19" s="42" t="s">
        <v>338</v>
      </c>
      <c r="B19" s="172" t="str">
        <f>IF($B$4="","",IFERROR(INDEX('Combined Delivery Data'!$R:$R,MATCH($B$4,'Combined Delivery Data'!$B:$B,0)),""))</f>
        <v/>
      </c>
      <c r="C19" s="176"/>
      <c r="D19" s="176"/>
      <c r="E19" s="177"/>
    </row>
    <row r="20" spans="1:5">
      <c r="A20" s="42" t="s">
        <v>339</v>
      </c>
      <c r="B20" s="172" t="str">
        <f>IF($B$4="","",IFERROR(INDEX('Combined Delivery Data'!$S:$S,MATCH($B$4,'Combined Delivery Data'!$B:$B,0)),""))</f>
        <v/>
      </c>
      <c r="C20" s="176"/>
      <c r="D20" s="176"/>
      <c r="E20" s="177"/>
    </row>
    <row r="21" spans="1:5">
      <c r="A21" s="42" t="s">
        <v>29</v>
      </c>
      <c r="B21" s="173" t="str">
        <f>IF($B$4="","",IFERROR(INDEX('Combined Delivery Data'!$T:$T,MATCH($B$4,'Combined Delivery Data'!$B:$B,0)),""))</f>
        <v/>
      </c>
      <c r="C21" s="176"/>
      <c r="D21" s="176"/>
      <c r="E21" s="177"/>
    </row>
    <row r="22" spans="1:5">
      <c r="A22" s="42" t="s">
        <v>31</v>
      </c>
      <c r="B22" s="173" t="str">
        <f>IF($B$4="","",IFERROR(INDEX('Combined Delivery Data'!$V:$V,MATCH($B$4,'Combined Delivery Data'!$B:$B,0)),""))</f>
        <v/>
      </c>
      <c r="C22" s="176"/>
      <c r="D22" s="176"/>
      <c r="E22" s="177"/>
    </row>
    <row r="23" spans="1:5">
      <c r="A23" s="42" t="s">
        <v>32</v>
      </c>
      <c r="B23" s="172" t="str">
        <f>IF($B$4="","",IFERROR(INDEX('Combined Delivery Data'!$W:$W,MATCH($B$4,'Combined Delivery Data'!$B:$B,0)),""))</f>
        <v/>
      </c>
      <c r="C23" s="176"/>
      <c r="D23" s="176"/>
      <c r="E23" s="177"/>
    </row>
    <row r="24" spans="1:5">
      <c r="A24" s="42" t="s">
        <v>35</v>
      </c>
      <c r="B24" s="173" t="str">
        <f>IF($B$4="","",IFERROR(INDEX('Combined Delivery Data'!$X:$X,MATCH($B$4,'Combined Delivery Data'!$B:$B,0)),""))</f>
        <v/>
      </c>
      <c r="C24" s="176"/>
      <c r="D24" s="176"/>
      <c r="E24" s="177"/>
    </row>
    <row r="25" spans="1:5">
      <c r="A25" s="42" t="s">
        <v>36</v>
      </c>
      <c r="B25" s="173" t="str">
        <f>IF($B$4="","",IFERROR(INDEX('Combined Delivery Data'!$Z:$Z,MATCH($B$4,'Combined Delivery Data'!$B:$B,0)),""))</f>
        <v/>
      </c>
      <c r="C25" s="176"/>
      <c r="D25" s="176"/>
      <c r="E25" s="177"/>
    </row>
    <row r="26" spans="1:5">
      <c r="A26" s="42" t="s">
        <v>340</v>
      </c>
      <c r="B26" s="173" t="str">
        <f>IF($B$4="","",IFERROR(INDEX('Rework Log'!$Q:$Q,MATCH($B$4,'Rework Log'!$P:$P,0)),""))</f>
        <v/>
      </c>
      <c r="C26" s="176"/>
      <c r="D26" s="176"/>
      <c r="E26" s="177"/>
    </row>
    <row r="27" spans="1:5">
      <c r="A27" s="42" t="s">
        <v>341</v>
      </c>
      <c r="B27" s="173" t="str">
        <f>IF($B$4="","",IFERROR(INDEX('Rework Log'!$R:$R,MATCH($B$4,'Rework Log'!$P:$P,0)),""))</f>
        <v/>
      </c>
      <c r="C27" s="176"/>
      <c r="D27" s="176"/>
      <c r="E27" s="177"/>
    </row>
    <row r="28" spans="1:5">
      <c r="A28" s="42" t="s">
        <v>342</v>
      </c>
      <c r="B28" s="173" t="str">
        <f>IF($B$4="","",IFERROR(INDEX('Rework Log'!$S:$S,MATCH($B$4,'Rework Log'!$P:$P,0)),""))</f>
        <v/>
      </c>
      <c r="C28" s="176"/>
      <c r="D28" s="176"/>
      <c r="E28" s="177"/>
    </row>
    <row r="29" spans="1:5">
      <c r="A29" s="42" t="s">
        <v>343</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B31" activePane="bottomLeft" state="frozen"/>
      <selection pane="bottomLeft" activeCell="L45" sqref="L4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344</v>
      </c>
      <c r="B1" s="171"/>
      <c r="C1" s="171"/>
      <c r="D1" s="171"/>
      <c r="E1" s="171"/>
      <c r="F1" s="171"/>
      <c r="G1" s="171"/>
      <c r="H1" s="171"/>
      <c r="I1" s="171"/>
      <c r="J1" s="171"/>
      <c r="K1" s="171"/>
      <c r="L1" s="171"/>
      <c r="M1" s="171"/>
      <c r="P1" s="179" t="s">
        <v>345</v>
      </c>
      <c r="Q1" s="179"/>
      <c r="R1" s="179"/>
      <c r="S1" s="179"/>
      <c r="T1" s="179"/>
    </row>
    <row r="2" spans="1:20" ht="30" customHeight="1">
      <c r="A2" s="17" t="s">
        <v>1</v>
      </c>
      <c r="B2" s="17" t="s">
        <v>346</v>
      </c>
      <c r="C2" s="17" t="s">
        <v>347</v>
      </c>
      <c r="D2" s="17" t="s">
        <v>348</v>
      </c>
      <c r="E2" s="17" t="s">
        <v>349</v>
      </c>
      <c r="F2" s="17" t="s">
        <v>350</v>
      </c>
      <c r="G2" s="17" t="s">
        <v>351</v>
      </c>
      <c r="H2" s="56"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175</v>
      </c>
      <c r="D3" s="33" t="s">
        <v>182</v>
      </c>
      <c r="E3" s="33" t="s">
        <v>143</v>
      </c>
      <c r="F3" s="33" t="s">
        <v>359</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175</v>
      </c>
      <c r="D4" s="31" t="s">
        <v>182</v>
      </c>
      <c r="E4" s="31" t="s">
        <v>143</v>
      </c>
      <c r="F4" s="31" t="s">
        <v>360</v>
      </c>
      <c r="G4" s="31" t="s">
        <v>50</v>
      </c>
      <c r="H4" s="32" t="s">
        <v>154</v>
      </c>
      <c r="I4" s="32"/>
      <c r="J4" s="32">
        <v>46247</v>
      </c>
      <c r="K4" s="31" t="s">
        <v>60</v>
      </c>
      <c r="L4" s="31" t="s">
        <v>361</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175</v>
      </c>
      <c r="D5" s="31" t="s">
        <v>182</v>
      </c>
      <c r="E5" s="31" t="s">
        <v>129</v>
      </c>
      <c r="F5" s="31" t="s">
        <v>362</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175</v>
      </c>
      <c r="D6" s="31" t="s">
        <v>182</v>
      </c>
      <c r="E6" s="31" t="s">
        <v>129</v>
      </c>
      <c r="F6" s="31" t="s">
        <v>363</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175</v>
      </c>
      <c r="D7" s="31" t="s">
        <v>182</v>
      </c>
      <c r="E7" s="31" t="s">
        <v>129</v>
      </c>
      <c r="F7" s="31" t="s">
        <v>364</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175</v>
      </c>
      <c r="D8" s="31" t="s">
        <v>182</v>
      </c>
      <c r="E8" s="31" t="s">
        <v>129</v>
      </c>
      <c r="F8" s="31" t="s">
        <v>365</v>
      </c>
      <c r="G8" s="31" t="s">
        <v>50</v>
      </c>
      <c r="H8" s="32" t="s">
        <v>65</v>
      </c>
      <c r="I8" s="32"/>
      <c r="J8" s="32">
        <v>46251</v>
      </c>
      <c r="K8" s="31"/>
      <c r="L8" s="31"/>
      <c r="M8" s="3" t="str">
        <f t="shared" ca="1" si="4"/>
        <v>Fixed</v>
      </c>
      <c r="N8" t="s">
        <v>366</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175</v>
      </c>
      <c r="D9" s="31" t="s">
        <v>182</v>
      </c>
      <c r="E9" s="31" t="s">
        <v>143</v>
      </c>
      <c r="F9" s="31" t="s">
        <v>367</v>
      </c>
      <c r="G9" s="31" t="s">
        <v>50</v>
      </c>
      <c r="H9" s="32" t="s">
        <v>154</v>
      </c>
      <c r="I9" s="32"/>
      <c r="J9" s="32">
        <v>46254</v>
      </c>
      <c r="K9" s="31"/>
      <c r="L9" s="31"/>
      <c r="M9" s="3" t="str">
        <f t="shared" ca="1" si="4"/>
        <v>Fixed</v>
      </c>
      <c r="N9" t="s">
        <v>366</v>
      </c>
      <c r="P9" t="str">
        <f>'Combined Delivery Data'!B11</f>
        <v>RPT_04_SEI Leak Activity</v>
      </c>
      <c r="Q9">
        <f t="shared" si="0"/>
        <v>0</v>
      </c>
      <c r="R9">
        <f t="shared" si="1"/>
        <v>0</v>
      </c>
      <c r="S9" s="28" t="str">
        <f t="shared" si="2"/>
        <v/>
      </c>
      <c r="T9" t="str">
        <f t="shared" si="3"/>
        <v/>
      </c>
    </row>
    <row r="10" spans="1:20">
      <c r="A10" s="31" t="s">
        <v>142</v>
      </c>
      <c r="B10" s="32">
        <v>46237</v>
      </c>
      <c r="C10" s="31" t="s">
        <v>175</v>
      </c>
      <c r="D10" s="31" t="s">
        <v>182</v>
      </c>
      <c r="E10" s="31" t="s">
        <v>143</v>
      </c>
      <c r="F10" s="31" t="s">
        <v>360</v>
      </c>
      <c r="G10" s="31" t="s">
        <v>50</v>
      </c>
      <c r="H10" s="32" t="s">
        <v>84</v>
      </c>
      <c r="I10" s="32"/>
      <c r="J10" s="32">
        <v>46252</v>
      </c>
      <c r="K10" s="31"/>
      <c r="L10" s="31"/>
      <c r="M10" s="3" t="str">
        <f t="shared" ca="1" si="4"/>
        <v>Fixed</v>
      </c>
      <c r="N10" t="s">
        <v>366</v>
      </c>
      <c r="P10" t="str">
        <f>'Combined Delivery Data'!B12</f>
        <v>RPT_04_CMS Leak Productivity</v>
      </c>
      <c r="Q10">
        <f t="shared" si="0"/>
        <v>0</v>
      </c>
      <c r="R10">
        <f t="shared" si="1"/>
        <v>0</v>
      </c>
      <c r="S10" s="28" t="str">
        <f t="shared" si="2"/>
        <v/>
      </c>
      <c r="T10" t="str">
        <f t="shared" si="3"/>
        <v/>
      </c>
    </row>
    <row r="11" spans="1:20">
      <c r="A11" s="53" t="s">
        <v>134</v>
      </c>
      <c r="B11" s="32">
        <v>46254</v>
      </c>
      <c r="C11" s="31" t="s">
        <v>175</v>
      </c>
      <c r="D11" s="31" t="s">
        <v>182</v>
      </c>
      <c r="E11" s="31" t="s">
        <v>129</v>
      </c>
      <c r="F11" s="31" t="s">
        <v>362</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175</v>
      </c>
      <c r="D12" s="31" t="s">
        <v>182</v>
      </c>
      <c r="E12" s="31" t="s">
        <v>143</v>
      </c>
      <c r="F12" s="31" t="s">
        <v>368</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 t="shared" si="0"/>
        <v>0</v>
      </c>
      <c r="R12">
        <f t="shared" si="1"/>
        <v>0</v>
      </c>
      <c r="S12" s="28" t="str">
        <f t="shared" si="2"/>
        <v/>
      </c>
      <c r="T12" t="str">
        <f t="shared" si="3"/>
        <v/>
      </c>
    </row>
    <row r="13" spans="1:20">
      <c r="A13" s="53" t="s">
        <v>138</v>
      </c>
      <c r="B13" s="32">
        <v>46258</v>
      </c>
      <c r="C13" s="31" t="s">
        <v>175</v>
      </c>
      <c r="D13" s="31" t="s">
        <v>182</v>
      </c>
      <c r="E13" s="31" t="s">
        <v>129</v>
      </c>
      <c r="F13" s="31" t="s">
        <v>370</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175</v>
      </c>
      <c r="D14" s="31" t="s">
        <v>188</v>
      </c>
      <c r="E14" s="31" t="s">
        <v>143</v>
      </c>
      <c r="F14" s="31" t="s">
        <v>371</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175</v>
      </c>
      <c r="D15" s="31" t="s">
        <v>188</v>
      </c>
      <c r="E15" s="31" t="s">
        <v>143</v>
      </c>
      <c r="F15" s="31" t="s">
        <v>372</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175</v>
      </c>
      <c r="D16" s="31" t="s">
        <v>182</v>
      </c>
      <c r="E16" s="31" t="s">
        <v>143</v>
      </c>
      <c r="F16" s="31" t="s">
        <v>373</v>
      </c>
      <c r="G16" s="31" t="s">
        <v>50</v>
      </c>
      <c r="H16" s="32" t="s">
        <v>65</v>
      </c>
      <c r="I16" s="32"/>
      <c r="J16" s="32">
        <v>46258</v>
      </c>
      <c r="K16" s="31"/>
      <c r="L16" s="31"/>
      <c r="M16" s="3" t="str">
        <f t="shared" ca="1" si="4"/>
        <v>Fixed</v>
      </c>
      <c r="N16" t="s">
        <v>369</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175</v>
      </c>
      <c r="D17" s="31" t="s">
        <v>188</v>
      </c>
      <c r="E17" s="31" t="s">
        <v>143</v>
      </c>
      <c r="F17" s="31" t="s">
        <v>374</v>
      </c>
      <c r="G17" s="31" t="s">
        <v>50</v>
      </c>
      <c r="H17" s="32" t="s">
        <v>46</v>
      </c>
      <c r="I17" s="32"/>
      <c r="J17" s="32"/>
      <c r="K17" s="31"/>
      <c r="L17" s="31"/>
      <c r="M17" s="3"/>
      <c r="S17" s="28"/>
    </row>
    <row r="18" spans="1:20">
      <c r="A18" s="33" t="s">
        <v>181</v>
      </c>
      <c r="B18" s="32">
        <v>46261</v>
      </c>
      <c r="C18" s="31" t="s">
        <v>175</v>
      </c>
      <c r="D18" s="31" t="s">
        <v>182</v>
      </c>
      <c r="E18" s="31" t="s">
        <v>129</v>
      </c>
      <c r="F18" s="31" t="s">
        <v>375</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175</v>
      </c>
      <c r="D19" s="31" t="s">
        <v>188</v>
      </c>
      <c r="E19" s="31" t="s">
        <v>143</v>
      </c>
      <c r="F19" s="31" t="s">
        <v>376</v>
      </c>
      <c r="G19" s="31" t="s">
        <v>50</v>
      </c>
      <c r="H19" s="32" t="s">
        <v>46</v>
      </c>
      <c r="I19" s="32"/>
      <c r="J19" s="32">
        <v>46266</v>
      </c>
      <c r="K19" s="31"/>
      <c r="L19" s="31"/>
      <c r="M19" s="3" t="str">
        <f t="shared" ca="1" si="4"/>
        <v>Fixed</v>
      </c>
      <c r="N19" t="s">
        <v>366</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175</v>
      </c>
      <c r="D20" s="31" t="s">
        <v>188</v>
      </c>
      <c r="E20" s="31" t="s">
        <v>47</v>
      </c>
      <c r="F20" s="31" t="s">
        <v>377</v>
      </c>
      <c r="G20" s="31" t="s">
        <v>50</v>
      </c>
      <c r="H20" s="32" t="s">
        <v>77</v>
      </c>
      <c r="I20" s="32">
        <v>46265</v>
      </c>
      <c r="J20" s="32">
        <v>46265</v>
      </c>
      <c r="K20" s="31" t="s">
        <v>77</v>
      </c>
      <c r="L20" s="31" t="s">
        <v>378</v>
      </c>
      <c r="M20" s="3" t="str">
        <f t="shared" ca="1" si="4"/>
        <v>Fixed</v>
      </c>
      <c r="N20" t="s">
        <v>369</v>
      </c>
      <c r="P20" t="str">
        <f>'Combined Delivery Data'!B14</f>
        <v>RPT_04_Leak Summary Status</v>
      </c>
      <c r="Q20">
        <f t="shared" si="5"/>
        <v>0</v>
      </c>
      <c r="R20">
        <f t="shared" si="6"/>
        <v>0</v>
      </c>
      <c r="S20" s="28" t="str">
        <f t="shared" si="7"/>
        <v/>
      </c>
      <c r="T20" t="str">
        <f t="shared" si="8"/>
        <v/>
      </c>
    </row>
    <row r="21" spans="1:20">
      <c r="A21" s="31" t="s">
        <v>174</v>
      </c>
      <c r="B21" s="32">
        <v>46265</v>
      </c>
      <c r="C21" s="31" t="s">
        <v>175</v>
      </c>
      <c r="D21" s="31" t="s">
        <v>182</v>
      </c>
      <c r="E21" s="31" t="s">
        <v>47</v>
      </c>
      <c r="F21" s="31" t="s">
        <v>379</v>
      </c>
      <c r="G21" s="31" t="s">
        <v>50</v>
      </c>
      <c r="H21" s="32" t="s">
        <v>84</v>
      </c>
      <c r="I21" s="32">
        <v>46266</v>
      </c>
      <c r="J21" s="32">
        <v>46266</v>
      </c>
      <c r="K21" s="31"/>
      <c r="L21" s="31" t="s">
        <v>380</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175</v>
      </c>
      <c r="D22" s="31" t="s">
        <v>182</v>
      </c>
      <c r="E22" s="31" t="s">
        <v>129</v>
      </c>
      <c r="F22" s="31" t="s">
        <v>381</v>
      </c>
      <c r="G22" s="31" t="s">
        <v>50</v>
      </c>
      <c r="H22" s="32" t="s">
        <v>59</v>
      </c>
      <c r="I22" s="32"/>
      <c r="J22" s="32">
        <v>46266</v>
      </c>
      <c r="K22" s="31" t="s">
        <v>59</v>
      </c>
      <c r="L22" s="31"/>
      <c r="M22" s="3" t="str">
        <f t="shared" ca="1" si="4"/>
        <v>Fixed</v>
      </c>
      <c r="N22" t="s">
        <v>369</v>
      </c>
      <c r="P22" t="str">
        <f>'Combined Delivery Data'!B21</f>
        <v>RPT_04_Leak Life Cycle</v>
      </c>
      <c r="Q22">
        <f t="shared" si="5"/>
        <v>0</v>
      </c>
      <c r="R22">
        <f t="shared" si="6"/>
        <v>0</v>
      </c>
      <c r="S22" s="28" t="str">
        <f t="shared" si="7"/>
        <v/>
      </c>
      <c r="T22" t="str">
        <f t="shared" si="8"/>
        <v/>
      </c>
    </row>
    <row r="23" spans="1:20">
      <c r="A23" s="31" t="s">
        <v>169</v>
      </c>
      <c r="B23" s="32">
        <v>46266</v>
      </c>
      <c r="C23" s="31" t="s">
        <v>175</v>
      </c>
      <c r="D23" s="31" t="s">
        <v>188</v>
      </c>
      <c r="E23" s="31" t="s">
        <v>47</v>
      </c>
      <c r="F23" s="31" t="s">
        <v>382</v>
      </c>
      <c r="G23" s="31" t="s">
        <v>50</v>
      </c>
      <c r="H23" s="32" t="s">
        <v>46</v>
      </c>
      <c r="I23" s="32">
        <v>46267</v>
      </c>
      <c r="J23" s="32">
        <v>46268</v>
      </c>
      <c r="K23" s="31" t="s">
        <v>46</v>
      </c>
      <c r="L23" s="31" t="s">
        <v>380</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175</v>
      </c>
      <c r="D24" s="31" t="s">
        <v>188</v>
      </c>
      <c r="E24" s="31" t="s">
        <v>47</v>
      </c>
      <c r="F24" s="31" t="s">
        <v>383</v>
      </c>
      <c r="G24" s="31" t="s">
        <v>50</v>
      </c>
      <c r="H24" s="32" t="s">
        <v>46</v>
      </c>
      <c r="I24" s="168">
        <v>46267</v>
      </c>
      <c r="J24" s="32">
        <v>46268</v>
      </c>
      <c r="K24" s="31" t="s">
        <v>46</v>
      </c>
      <c r="L24" s="31" t="s">
        <v>380</v>
      </c>
      <c r="M24" s="3" t="str">
        <f t="shared" ca="1" si="4"/>
        <v>Fixed</v>
      </c>
      <c r="N24" t="s">
        <v>369</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175</v>
      </c>
      <c r="D25" s="31" t="s">
        <v>188</v>
      </c>
      <c r="E25" s="31" t="s">
        <v>47</v>
      </c>
      <c r="F25" s="76" t="s">
        <v>384</v>
      </c>
      <c r="G25" s="31" t="s">
        <v>50</v>
      </c>
      <c r="H25" s="32" t="s">
        <v>46</v>
      </c>
      <c r="I25" s="32">
        <v>46267</v>
      </c>
      <c r="J25" s="32">
        <v>46268</v>
      </c>
      <c r="K25" s="31" t="s">
        <v>46</v>
      </c>
      <c r="L25" s="31" t="s">
        <v>380</v>
      </c>
      <c r="M25" s="3" t="str">
        <f t="shared" ca="1" si="4"/>
        <v>Fixed</v>
      </c>
      <c r="N25" s="33" t="s">
        <v>369</v>
      </c>
      <c r="P25" t="str">
        <f>'Combined Delivery Data'!B24</f>
        <v>Leak 360 Dashboard</v>
      </c>
      <c r="Q25">
        <f t="shared" si="5"/>
        <v>0</v>
      </c>
      <c r="R25">
        <f t="shared" si="6"/>
        <v>0</v>
      </c>
      <c r="S25" s="28" t="str">
        <f t="shared" si="7"/>
        <v/>
      </c>
      <c r="T25" t="str">
        <f t="shared" si="8"/>
        <v/>
      </c>
    </row>
    <row r="26" spans="1:20">
      <c r="A26" s="53" t="s">
        <v>187</v>
      </c>
      <c r="B26" s="32">
        <v>46267</v>
      </c>
      <c r="C26" s="31" t="s">
        <v>175</v>
      </c>
      <c r="D26" s="31" t="s">
        <v>188</v>
      </c>
      <c r="E26" s="31" t="s">
        <v>129</v>
      </c>
      <c r="F26" s="31" t="s">
        <v>385</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16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175</v>
      </c>
      <c r="D27" s="31" t="s">
        <v>182</v>
      </c>
      <c r="E27" s="31" t="s">
        <v>129</v>
      </c>
      <c r="F27" s="31" t="s">
        <v>375</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 t="shared" si="5"/>
        <v>0</v>
      </c>
      <c r="R27">
        <f t="shared" si="6"/>
        <v>0</v>
      </c>
      <c r="S27" s="28" t="str">
        <f t="shared" si="7"/>
        <v/>
      </c>
      <c r="T27" t="str">
        <f t="shared" si="8"/>
        <v/>
      </c>
    </row>
    <row r="28" spans="1:20">
      <c r="A28" s="31" t="s">
        <v>155</v>
      </c>
      <c r="B28" s="32">
        <v>46267</v>
      </c>
      <c r="C28" s="31" t="s">
        <v>175</v>
      </c>
      <c r="D28" s="31" t="s">
        <v>188</v>
      </c>
      <c r="E28" s="31" t="s">
        <v>143</v>
      </c>
      <c r="F28" s="31" t="s">
        <v>386</v>
      </c>
      <c r="G28" s="31" t="s">
        <v>50</v>
      </c>
      <c r="H28" s="32" t="s">
        <v>77</v>
      </c>
      <c r="I28" s="32"/>
      <c r="J28" s="32">
        <v>46267</v>
      </c>
      <c r="K28" s="31" t="s">
        <v>77</v>
      </c>
      <c r="L28" s="31" t="s">
        <v>387</v>
      </c>
      <c r="M28" s="3" t="str">
        <f t="shared" ca="1" si="4"/>
        <v>Fixed</v>
      </c>
      <c r="N28" t="s">
        <v>369</v>
      </c>
      <c r="P28" t="str">
        <f>'Combined Delivery Data'!B27</f>
        <v>New Report: Leak Repair Exception</v>
      </c>
      <c r="Q28">
        <f t="shared" si="5"/>
        <v>0</v>
      </c>
      <c r="R28">
        <f t="shared" si="6"/>
        <v>0</v>
      </c>
      <c r="S28" s="28" t="str">
        <f t="shared" si="7"/>
        <v/>
      </c>
      <c r="T28" t="str">
        <f t="shared" si="8"/>
        <v/>
      </c>
    </row>
    <row r="29" spans="1:20">
      <c r="A29" s="31" t="s">
        <v>136</v>
      </c>
      <c r="B29" s="32">
        <v>46267</v>
      </c>
      <c r="C29" s="31" t="s">
        <v>175</v>
      </c>
      <c r="D29" s="31" t="s">
        <v>188</v>
      </c>
      <c r="E29" s="31" t="s">
        <v>129</v>
      </c>
      <c r="F29" s="31" t="s">
        <v>386</v>
      </c>
      <c r="G29" s="31" t="s">
        <v>50</v>
      </c>
      <c r="H29" s="32" t="s">
        <v>77</v>
      </c>
      <c r="I29" s="32"/>
      <c r="J29" s="32">
        <v>46267</v>
      </c>
      <c r="K29" s="31" t="s">
        <v>77</v>
      </c>
      <c r="L29" s="113" t="s">
        <v>387</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175</v>
      </c>
      <c r="D30" s="31" t="s">
        <v>188</v>
      </c>
      <c r="E30" s="31" t="s">
        <v>129</v>
      </c>
      <c r="F30" s="31" t="s">
        <v>386</v>
      </c>
      <c r="G30" s="31" t="s">
        <v>50</v>
      </c>
      <c r="H30" s="32" t="s">
        <v>77</v>
      </c>
      <c r="I30" s="32"/>
      <c r="J30" s="32">
        <v>46267</v>
      </c>
      <c r="K30" s="31" t="s">
        <v>77</v>
      </c>
      <c r="L30" s="113" t="s">
        <v>387</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175</v>
      </c>
      <c r="D31" s="31" t="s">
        <v>182</v>
      </c>
      <c r="E31" s="31" t="s">
        <v>129</v>
      </c>
      <c r="F31" s="31" t="s">
        <v>388</v>
      </c>
      <c r="G31" s="31" t="s">
        <v>50</v>
      </c>
      <c r="H31" s="32" t="s">
        <v>154</v>
      </c>
      <c r="I31" s="32"/>
      <c r="J31" s="32">
        <v>46267</v>
      </c>
      <c r="K31" s="31" t="s">
        <v>154</v>
      </c>
      <c r="L31" s="31"/>
      <c r="M31" s="3" t="str">
        <f t="shared" ca="1" si="4"/>
        <v>Fixed</v>
      </c>
      <c r="N31" t="s">
        <v>369</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175</v>
      </c>
      <c r="D32" s="31" t="s">
        <v>182</v>
      </c>
      <c r="E32" s="31" t="s">
        <v>47</v>
      </c>
      <c r="F32" s="31" t="s">
        <v>389</v>
      </c>
      <c r="G32" s="31" t="s">
        <v>50</v>
      </c>
      <c r="H32" s="32" t="s">
        <v>103</v>
      </c>
      <c r="I32" s="32">
        <v>46269</v>
      </c>
      <c r="J32" s="32">
        <v>46269</v>
      </c>
      <c r="K32" s="31"/>
      <c r="L32" s="31" t="s">
        <v>380</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175</v>
      </c>
      <c r="D33" s="31" t="s">
        <v>182</v>
      </c>
      <c r="E33" s="31" t="s">
        <v>202</v>
      </c>
      <c r="F33" s="31" t="s">
        <v>390</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175</v>
      </c>
      <c r="D34" s="31" t="s">
        <v>182</v>
      </c>
      <c r="E34" s="31" t="s">
        <v>47</v>
      </c>
      <c r="F34" s="31" t="s">
        <v>391</v>
      </c>
      <c r="G34" s="31" t="s">
        <v>50</v>
      </c>
      <c r="H34" s="32" t="s">
        <v>103</v>
      </c>
      <c r="I34" s="32">
        <v>46274</v>
      </c>
      <c r="J34" s="32">
        <v>46274</v>
      </c>
      <c r="K34" s="31"/>
      <c r="L34" s="31" t="s">
        <v>380</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175</v>
      </c>
      <c r="D35" s="31" t="s">
        <v>188</v>
      </c>
      <c r="E35" s="31" t="s">
        <v>47</v>
      </c>
      <c r="F35" s="76" t="s">
        <v>392</v>
      </c>
      <c r="G35" s="31" t="s">
        <v>50</v>
      </c>
      <c r="H35" s="32" t="s">
        <v>77</v>
      </c>
      <c r="I35" s="32">
        <v>46275</v>
      </c>
      <c r="J35" s="32">
        <v>46275</v>
      </c>
      <c r="K35" s="31" t="s">
        <v>77</v>
      </c>
      <c r="L35" s="31" t="s">
        <v>393</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175</v>
      </c>
      <c r="D36" s="31" t="s">
        <v>182</v>
      </c>
      <c r="E36" s="31" t="s">
        <v>129</v>
      </c>
      <c r="F36" s="31" t="s">
        <v>394</v>
      </c>
      <c r="G36" s="31" t="s">
        <v>50</v>
      </c>
      <c r="H36" s="32" t="s">
        <v>154</v>
      </c>
      <c r="I36" s="32"/>
      <c r="J36" s="32">
        <v>46276</v>
      </c>
      <c r="K36" s="31" t="s">
        <v>154</v>
      </c>
      <c r="L36" s="31"/>
      <c r="M36" s="3" t="str">
        <f t="shared" ca="1" si="4"/>
        <v>Fixed</v>
      </c>
      <c r="N36" t="s">
        <v>369</v>
      </c>
      <c r="P36" t="str">
        <f>'Combined Delivery Data'!B36</f>
        <v>RPT_02_Service Regulator Inspection Printout</v>
      </c>
      <c r="Q36">
        <f t="shared" si="5"/>
        <v>1</v>
      </c>
      <c r="R36">
        <f t="shared" si="6"/>
        <v>0</v>
      </c>
      <c r="S36" s="28">
        <f t="shared" si="7"/>
        <v>46258</v>
      </c>
      <c r="T36" t="str">
        <f t="shared" si="8"/>
        <v>QA -&gt; DB Dev</v>
      </c>
    </row>
    <row r="37" spans="1:20">
      <c r="A37" s="33" t="s">
        <v>187</v>
      </c>
      <c r="B37" s="32">
        <v>46275</v>
      </c>
      <c r="C37" s="31" t="s">
        <v>175</v>
      </c>
      <c r="D37" s="31" t="s">
        <v>182</v>
      </c>
      <c r="E37" s="31" t="s">
        <v>129</v>
      </c>
      <c r="F37" s="31" t="s">
        <v>395</v>
      </c>
      <c r="G37" s="31" t="s">
        <v>53</v>
      </c>
      <c r="H37" s="32" t="s">
        <v>65</v>
      </c>
      <c r="I37" s="32"/>
      <c r="J37" s="32"/>
      <c r="K37" s="31"/>
      <c r="L37" s="31"/>
      <c r="M37" s="3" t="str">
        <f t="shared" ca="1" si="4"/>
        <v>UNCLAIMED 8 d</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175</v>
      </c>
      <c r="D38" s="31" t="s">
        <v>182</v>
      </c>
      <c r="E38" s="31" t="s">
        <v>129</v>
      </c>
      <c r="F38" s="31" t="s">
        <v>396</v>
      </c>
      <c r="G38" s="31" t="s">
        <v>53</v>
      </c>
      <c r="H38" s="32" t="s">
        <v>154</v>
      </c>
      <c r="I38" s="32">
        <v>46282</v>
      </c>
      <c r="J38" s="32">
        <v>46282</v>
      </c>
      <c r="K38" s="31" t="s">
        <v>154</v>
      </c>
      <c r="L38" s="31" t="s">
        <v>397</v>
      </c>
      <c r="M38" s="3" t="str">
        <f t="shared" ca="1" si="4"/>
        <v>Fixed</v>
      </c>
      <c r="N38" t="s">
        <v>369</v>
      </c>
      <c r="P38" t="str">
        <f>'Combined Delivery Data'!B38</f>
        <v>RPT_02_Fixed Factor</v>
      </c>
      <c r="Q38">
        <f t="shared" si="5"/>
        <v>2</v>
      </c>
      <c r="R38">
        <f t="shared" si="6"/>
        <v>0</v>
      </c>
      <c r="S38" s="28">
        <f t="shared" si="7"/>
        <v>46251</v>
      </c>
      <c r="T38" t="str">
        <f t="shared" si="8"/>
        <v>QA -&gt; DB Dev</v>
      </c>
    </row>
    <row r="39" spans="1:20">
      <c r="A39" s="31" t="s">
        <v>192</v>
      </c>
      <c r="B39" s="32">
        <v>46279</v>
      </c>
      <c r="C39" s="31" t="s">
        <v>175</v>
      </c>
      <c r="D39" s="31" t="s">
        <v>188</v>
      </c>
      <c r="E39" s="31" t="s">
        <v>143</v>
      </c>
      <c r="F39" s="31" t="s">
        <v>398</v>
      </c>
      <c r="G39" s="31" t="s">
        <v>50</v>
      </c>
      <c r="H39" s="32" t="s">
        <v>77</v>
      </c>
      <c r="I39" s="32">
        <v>46281</v>
      </c>
      <c r="J39" s="32">
        <v>46281</v>
      </c>
      <c r="K39" s="31" t="s">
        <v>77</v>
      </c>
      <c r="L39" s="31" t="s">
        <v>399</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175</v>
      </c>
      <c r="D40" s="31" t="s">
        <v>182</v>
      </c>
      <c r="E40" s="31" t="s">
        <v>47</v>
      </c>
      <c r="F40" s="31" t="s">
        <v>400</v>
      </c>
      <c r="G40" s="31" t="s">
        <v>53</v>
      </c>
      <c r="H40" s="32" t="s">
        <v>44</v>
      </c>
      <c r="I40" s="32"/>
      <c r="J40" s="32"/>
      <c r="K40" s="31"/>
      <c r="L40" s="31"/>
      <c r="M40" s="3" t="str">
        <f t="shared" ca="1" si="4"/>
        <v>UNCLAIMED 3 d</v>
      </c>
      <c r="N40" t="s">
        <v>50</v>
      </c>
      <c r="P40" t="str">
        <f>'Combined Delivery Data'!B40</f>
        <v>RPT_02_Work Order Completion Printout</v>
      </c>
      <c r="Q40">
        <f t="shared" si="5"/>
        <v>1</v>
      </c>
      <c r="R40">
        <f t="shared" si="6"/>
        <v>0</v>
      </c>
      <c r="S40" s="28">
        <f t="shared" si="7"/>
        <v>46267</v>
      </c>
      <c r="T40" t="str">
        <f t="shared" si="8"/>
        <v>QA -&gt; PBI Dev</v>
      </c>
    </row>
    <row r="41" spans="1:20">
      <c r="A41" s="31" t="s">
        <v>205</v>
      </c>
      <c r="B41" s="32">
        <v>46281</v>
      </c>
      <c r="C41" s="31" t="s">
        <v>175</v>
      </c>
      <c r="D41" s="31" t="s">
        <v>188</v>
      </c>
      <c r="E41" s="31" t="s">
        <v>202</v>
      </c>
      <c r="F41" s="31" t="s">
        <v>401</v>
      </c>
      <c r="G41" s="31" t="s">
        <v>50</v>
      </c>
      <c r="H41" s="32" t="s">
        <v>46</v>
      </c>
      <c r="I41" s="32"/>
      <c r="J41" s="32"/>
      <c r="K41" s="31"/>
      <c r="L41" s="31"/>
      <c r="M41" s="3" t="str">
        <f t="shared" ca="1" si="4"/>
        <v>UNCLAIMED 2 d</v>
      </c>
      <c r="P41" t="str">
        <f>'Combined Delivery Data'!B41</f>
        <v>RPT_02_GRO Control</v>
      </c>
      <c r="Q41">
        <f t="shared" si="5"/>
        <v>0</v>
      </c>
      <c r="R41">
        <f t="shared" si="6"/>
        <v>0</v>
      </c>
      <c r="S41" s="28" t="str">
        <f t="shared" si="7"/>
        <v/>
      </c>
      <c r="T41" t="str">
        <f t="shared" si="8"/>
        <v/>
      </c>
    </row>
    <row r="42" spans="1:20">
      <c r="A42" s="31" t="s">
        <v>212</v>
      </c>
      <c r="B42" s="32">
        <v>46282</v>
      </c>
      <c r="C42" s="31" t="s">
        <v>175</v>
      </c>
      <c r="D42" s="31" t="s">
        <v>182</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c r="A43" s="31"/>
      <c r="B43" s="32"/>
      <c r="C43" s="31" t="s">
        <v>175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175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175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175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175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175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175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175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175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175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175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175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175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175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175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175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175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c r="A60" s="31"/>
      <c r="B60" s="32"/>
      <c r="C60" s="31" t="s">
        <v>175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175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175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175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175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175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175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175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175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175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175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175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175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175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175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175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175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175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175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175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175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175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175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175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175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175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175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175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175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175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175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175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175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175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175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175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175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175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175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175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175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175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175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175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175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175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175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175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175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175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175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175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175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175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175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175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175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175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175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175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175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175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175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175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175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175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175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175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175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175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175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175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175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175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175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175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175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175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175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175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175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175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175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175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175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175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175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175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175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175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175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175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175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175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175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175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175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175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175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175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175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175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175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175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175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175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175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175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175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175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175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175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175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175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175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175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175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175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175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175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175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175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175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175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175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175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175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175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175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175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175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175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175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175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175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175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175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175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175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427</v>
      </c>
      <c r="D13" s="9" t="s">
        <v>428</v>
      </c>
      <c r="E13" s="9" t="s">
        <v>46</v>
      </c>
      <c r="F13" s="9"/>
      <c r="G13" s="9"/>
      <c r="H13" s="10"/>
      <c r="I13" s="10">
        <v>46115</v>
      </c>
      <c r="J13" s="10">
        <v>46115</v>
      </c>
    </row>
    <row r="14" spans="1:10" ht="14.25" customHeight="1">
      <c r="A14" s="9" t="s">
        <v>40</v>
      </c>
      <c r="B14" s="9" t="s">
        <v>188</v>
      </c>
      <c r="C14" s="9" t="s">
        <v>427</v>
      </c>
      <c r="D14" s="9" t="s">
        <v>428</v>
      </c>
      <c r="E14" s="9" t="s">
        <v>46</v>
      </c>
      <c r="F14" s="9"/>
      <c r="G14" s="9"/>
      <c r="H14" s="10">
        <v>46115</v>
      </c>
      <c r="I14" s="10">
        <v>46120</v>
      </c>
      <c r="J14" s="10">
        <v>46120</v>
      </c>
    </row>
    <row r="15" spans="1:10" ht="14.25" customHeight="1">
      <c r="A15" s="9" t="s">
        <v>40</v>
      </c>
      <c r="B15" s="9" t="s">
        <v>175</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428</v>
      </c>
      <c r="E23" s="9" t="s">
        <v>46</v>
      </c>
      <c r="F23" s="9"/>
      <c r="G23" s="9"/>
      <c r="H23" s="10"/>
      <c r="I23" s="10">
        <v>46115</v>
      </c>
      <c r="J23" s="10">
        <v>46115</v>
      </c>
    </row>
    <row r="24" spans="1:10" ht="14.25" customHeight="1">
      <c r="A24" s="9" t="s">
        <v>40</v>
      </c>
      <c r="B24" s="9" t="s">
        <v>188</v>
      </c>
      <c r="C24" s="9" t="s">
        <v>64</v>
      </c>
      <c r="D24" s="9" t="s">
        <v>428</v>
      </c>
      <c r="E24" s="9" t="s">
        <v>46</v>
      </c>
      <c r="F24" s="9"/>
      <c r="G24" s="9"/>
      <c r="H24" s="10">
        <v>46115</v>
      </c>
      <c r="I24" s="10">
        <v>46120</v>
      </c>
      <c r="J24" s="10">
        <v>46120</v>
      </c>
    </row>
    <row r="25" spans="1:10" ht="14.25" customHeight="1">
      <c r="A25" s="9" t="s">
        <v>40</v>
      </c>
      <c r="B25" s="9" t="s">
        <v>175</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428</v>
      </c>
      <c r="E33" s="9" t="s">
        <v>60</v>
      </c>
      <c r="F33" s="9"/>
      <c r="G33" s="9"/>
      <c r="H33" s="10"/>
      <c r="I33" s="10">
        <v>46122</v>
      </c>
      <c r="J33" s="10">
        <v>46122</v>
      </c>
    </row>
    <row r="34" spans="1:10" ht="14.25" customHeight="1">
      <c r="A34" s="9" t="s">
        <v>40</v>
      </c>
      <c r="B34" s="9" t="s">
        <v>188</v>
      </c>
      <c r="C34" s="9" t="s">
        <v>70</v>
      </c>
      <c r="D34" s="9" t="s">
        <v>428</v>
      </c>
      <c r="E34" s="9" t="s">
        <v>60</v>
      </c>
      <c r="F34" s="9"/>
      <c r="G34" s="9"/>
      <c r="H34" s="10">
        <v>46122</v>
      </c>
      <c r="I34" s="10">
        <v>46126</v>
      </c>
      <c r="J34" s="10">
        <v>46126</v>
      </c>
    </row>
    <row r="35" spans="1:10" ht="14.25" customHeight="1">
      <c r="A35" s="9" t="s">
        <v>40</v>
      </c>
      <c r="B35" s="9" t="s">
        <v>175</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428</v>
      </c>
      <c r="E48" s="9" t="s">
        <v>60</v>
      </c>
      <c r="F48" s="9"/>
      <c r="G48" s="9"/>
      <c r="H48" s="10"/>
      <c r="I48" s="10"/>
      <c r="J48" s="10"/>
    </row>
    <row r="49" spans="1:10" ht="14.25" customHeight="1">
      <c r="A49" s="9" t="s">
        <v>40</v>
      </c>
      <c r="B49" s="9" t="s">
        <v>188</v>
      </c>
      <c r="C49" s="9" t="s">
        <v>97</v>
      </c>
      <c r="D49" s="9" t="s">
        <v>428</v>
      </c>
      <c r="E49" s="9" t="s">
        <v>60</v>
      </c>
      <c r="F49" s="9"/>
      <c r="G49" s="9"/>
      <c r="H49" s="10"/>
      <c r="I49" s="10">
        <v>46139</v>
      </c>
      <c r="J49" s="10">
        <v>46139</v>
      </c>
    </row>
    <row r="50" spans="1:10" ht="14.25" customHeight="1">
      <c r="A50" s="9" t="s">
        <v>40</v>
      </c>
      <c r="B50" s="9" t="s">
        <v>175</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182</v>
      </c>
      <c r="C53" s="9" t="s">
        <v>98</v>
      </c>
      <c r="D53" s="9" t="s">
        <v>428</v>
      </c>
      <c r="E53" s="9" t="s">
        <v>60</v>
      </c>
      <c r="F53" s="9"/>
      <c r="G53" s="9"/>
      <c r="H53" s="10"/>
      <c r="I53" s="10"/>
      <c r="J53" s="10"/>
    </row>
    <row r="54" spans="1:10" ht="14.25" customHeight="1">
      <c r="A54" s="9" t="s">
        <v>40</v>
      </c>
      <c r="B54" s="9" t="s">
        <v>188</v>
      </c>
      <c r="C54" s="9" t="s">
        <v>98</v>
      </c>
      <c r="D54" s="9" t="s">
        <v>428</v>
      </c>
      <c r="E54" s="9" t="s">
        <v>60</v>
      </c>
      <c r="F54" s="9"/>
      <c r="G54" s="9"/>
      <c r="H54" s="9"/>
      <c r="I54" s="10">
        <v>46141</v>
      </c>
      <c r="J54" s="10">
        <v>46141</v>
      </c>
    </row>
    <row r="55" spans="1:10" ht="14.25" customHeight="1">
      <c r="A55" s="9" t="s">
        <v>40</v>
      </c>
      <c r="B55" s="9" t="s">
        <v>175</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182</v>
      </c>
      <c r="C58" s="9" t="s">
        <v>99</v>
      </c>
      <c r="D58" s="9" t="s">
        <v>428</v>
      </c>
      <c r="E58" s="9" t="s">
        <v>46</v>
      </c>
      <c r="F58" s="9"/>
      <c r="G58" s="9"/>
      <c r="H58" s="9"/>
      <c r="I58" s="10"/>
      <c r="J58" s="10"/>
    </row>
    <row r="59" spans="1:10" ht="14.25" customHeight="1">
      <c r="A59" s="9" t="s">
        <v>40</v>
      </c>
      <c r="B59" s="9" t="s">
        <v>188</v>
      </c>
      <c r="C59" s="9" t="s">
        <v>99</v>
      </c>
      <c r="D59" s="9" t="s">
        <v>428</v>
      </c>
      <c r="E59" s="9" t="s">
        <v>46</v>
      </c>
      <c r="F59" s="9"/>
      <c r="G59" s="9"/>
      <c r="H59" s="10"/>
      <c r="I59" s="10">
        <v>46161</v>
      </c>
      <c r="J59" s="10">
        <v>46161</v>
      </c>
    </row>
    <row r="60" spans="1:10" ht="14.25" customHeight="1">
      <c r="A60" s="9" t="s">
        <v>40</v>
      </c>
      <c r="B60" s="9" t="s">
        <v>175</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175</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175</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175</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175</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175</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175</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175</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175</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175</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175</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175</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175</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175</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175</v>
      </c>
      <c r="C181" s="3" t="s">
        <v>163</v>
      </c>
      <c r="D181" s="3" t="s">
        <v>103</v>
      </c>
      <c r="E181" s="3"/>
      <c r="F181" s="3"/>
      <c r="G181" s="3"/>
      <c r="H181" s="3"/>
      <c r="I181" s="3"/>
      <c r="J181" s="3"/>
    </row>
    <row r="182" spans="1:10">
      <c r="A182" s="3" t="s">
        <v>126</v>
      </c>
      <c r="B182" s="3" t="s">
        <v>182</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175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332</v>
      </c>
      <c r="G1" s="5" t="s">
        <v>430</v>
      </c>
      <c r="H1" s="5" t="s">
        <v>20</v>
      </c>
      <c r="I1" t="s">
        <v>35</v>
      </c>
      <c r="J1" s="5" t="s">
        <v>431</v>
      </c>
      <c r="K1" s="5" t="s">
        <v>164</v>
      </c>
      <c r="L1" s="5" t="s">
        <v>351</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252</v>
      </c>
      <c r="T2" t="s">
        <v>49</v>
      </c>
    </row>
    <row r="3" spans="1:20" ht="15" customHeight="1">
      <c r="A3" t="s">
        <v>40</v>
      </c>
      <c r="B3" t="s">
        <v>44</v>
      </c>
      <c r="C3" t="s">
        <v>60</v>
      </c>
      <c r="D3" t="s">
        <v>129</v>
      </c>
      <c r="E3" t="s">
        <v>50</v>
      </c>
      <c r="F3" t="s">
        <v>233</v>
      </c>
      <c r="G3" t="s">
        <v>44</v>
      </c>
      <c r="H3" t="s">
        <v>47</v>
      </c>
      <c r="I3" t="s">
        <v>53</v>
      </c>
      <c r="J3" t="s">
        <v>182</v>
      </c>
      <c r="K3" t="s">
        <v>48</v>
      </c>
      <c r="L3" t="s">
        <v>53</v>
      </c>
      <c r="M3" t="s">
        <v>44</v>
      </c>
      <c r="N3" t="s">
        <v>448</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449</v>
      </c>
      <c r="R4" t="s">
        <v>450</v>
      </c>
      <c r="T4" t="s">
        <v>72</v>
      </c>
    </row>
    <row r="5" spans="1:20" ht="15" customHeight="1">
      <c r="A5" t="s">
        <v>419</v>
      </c>
      <c r="B5" t="s">
        <v>428</v>
      </c>
      <c r="C5" t="s">
        <v>77</v>
      </c>
      <c r="F5" t="s">
        <v>188</v>
      </c>
      <c r="G5" t="s">
        <v>428</v>
      </c>
      <c r="H5" t="s">
        <v>129</v>
      </c>
      <c r="I5" t="s">
        <v>211</v>
      </c>
      <c r="J5" t="s">
        <v>175</v>
      </c>
      <c r="L5" t="s">
        <v>451</v>
      </c>
      <c r="M5" t="s">
        <v>88</v>
      </c>
      <c r="N5" t="s">
        <v>452</v>
      </c>
    </row>
    <row r="6" spans="1:20" ht="15" customHeight="1">
      <c r="A6" t="s">
        <v>305</v>
      </c>
      <c r="B6" t="s">
        <v>84</v>
      </c>
      <c r="F6" t="s">
        <v>175</v>
      </c>
      <c r="G6" t="s">
        <v>84</v>
      </c>
      <c r="H6" t="s">
        <v>143</v>
      </c>
      <c r="I6" t="s">
        <v>190</v>
      </c>
      <c r="J6" t="s">
        <v>164</v>
      </c>
      <c r="M6" t="s">
        <v>48</v>
      </c>
      <c r="N6" t="s">
        <v>452</v>
      </c>
    </row>
    <row r="7" spans="1:20" ht="15" customHeight="1">
      <c r="A7" t="s">
        <v>295</v>
      </c>
      <c r="B7" t="s">
        <v>65</v>
      </c>
      <c r="F7" t="s">
        <v>164</v>
      </c>
      <c r="G7" t="s">
        <v>65</v>
      </c>
      <c r="H7" t="s">
        <v>202</v>
      </c>
      <c r="I7" t="s">
        <v>453</v>
      </c>
      <c r="M7" t="s">
        <v>129</v>
      </c>
      <c r="N7" t="s">
        <v>454</v>
      </c>
    </row>
    <row r="8" spans="1:20" ht="15" customHeight="1">
      <c r="B8" t="s">
        <v>76</v>
      </c>
      <c r="F8" t="s">
        <v>128</v>
      </c>
      <c r="G8" t="s">
        <v>76</v>
      </c>
      <c r="I8" t="s">
        <v>455</v>
      </c>
      <c r="M8" t="s">
        <v>60</v>
      </c>
      <c r="N8" t="s">
        <v>456</v>
      </c>
    </row>
    <row r="9" spans="1:20" ht="15" customHeight="1">
      <c r="B9" t="s">
        <v>103</v>
      </c>
      <c r="F9" t="s">
        <v>42</v>
      </c>
      <c r="G9" t="s">
        <v>103</v>
      </c>
      <c r="I9" t="s">
        <v>457</v>
      </c>
      <c r="M9" t="s">
        <v>154</v>
      </c>
      <c r="N9" t="s">
        <v>458</v>
      </c>
    </row>
    <row r="10" spans="1:20" ht="15" customHeight="1">
      <c r="B10" t="s">
        <v>154</v>
      </c>
      <c r="G10" t="s">
        <v>154</v>
      </c>
      <c r="M10" t="s">
        <v>47</v>
      </c>
      <c r="N10" t="s">
        <v>459</v>
      </c>
    </row>
    <row r="11" spans="1:20">
      <c r="B11" t="s">
        <v>460</v>
      </c>
      <c r="G11" t="s">
        <v>60</v>
      </c>
      <c r="M11" t="s">
        <v>76</v>
      </c>
      <c r="N11" t="s">
        <v>461</v>
      </c>
    </row>
    <row r="12" spans="1:20">
      <c r="B12" t="s">
        <v>462</v>
      </c>
      <c r="G12" t="s">
        <v>46</v>
      </c>
      <c r="M12" t="s">
        <v>46</v>
      </c>
      <c r="N12" t="s">
        <v>463</v>
      </c>
    </row>
    <row r="13" spans="1:20">
      <c r="G13" t="s">
        <v>77</v>
      </c>
      <c r="M13" t="s">
        <v>77</v>
      </c>
      <c r="N13" t="s">
        <v>464</v>
      </c>
    </row>
    <row r="14" spans="1:20">
      <c r="M14" t="s">
        <v>84</v>
      </c>
      <c r="N14" t="s">
        <v>465</v>
      </c>
    </row>
    <row r="15" spans="1:20">
      <c r="M15" t="s">
        <v>59</v>
      </c>
      <c r="N15" t="s">
        <v>466</v>
      </c>
    </row>
    <row r="16" spans="1:20">
      <c r="M16" t="s">
        <v>65</v>
      </c>
      <c r="N16" t="s">
        <v>467</v>
      </c>
    </row>
    <row r="17" spans="13:14">
      <c r="M17" t="s">
        <v>428</v>
      </c>
      <c r="N17" t="s">
        <v>467</v>
      </c>
    </row>
    <row r="18" spans="13:14">
      <c r="M18" t="s">
        <v>228</v>
      </c>
      <c r="N18" t="s">
        <v>468</v>
      </c>
    </row>
    <row r="19" spans="13:14">
      <c r="M19" t="s">
        <v>202</v>
      </c>
      <c r="N19" t="s">
        <v>469</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2026-09-18T15:49:49Z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