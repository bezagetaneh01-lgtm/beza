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615" documentId="13_ncr:1_{52745E9B-3AA1-4770-AAD3-E6166BFC13AE}" xr6:coauthVersionLast="47" xr6:coauthVersionMax="47" xr10:uidLastSave="{D46217EF-FE56-4420-903B-0278D5C6335A}"/>
  <bookViews>
    <workbookView minimized="1" xWindow="-25125" yWindow="2790" windowWidth="21600" windowHeight="111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<sst xmlns="http://schemas.openxmlformats.org/spreadsheetml/2006/main" count="2194" uniqueCount="261">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</sst>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theme="4"/>
      </right>
      <top/>
      <bottom/>
      <diagonal/>
    </border>
    <border>
      <left/>
      <right style="thick">
        <color rgb="FF00B050"/>
      </right>
      <top/>
      <bottom/>
      <diagonal/>
    </border>
    <border>
      <left/>
      <right style="thick">
        <color rgb="FF00B050"/>
      </right>
      <top/>
      <bottom style="thin">
        <color rgb="FF000000"/>
      </bottom>
      <diagonal/>
    </border>
    <border>
      <left style="medium">
        <color rgb="FF148F77"/>
      </left>
      <right style="thick">
        <color rgb="FF00B050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15" fillId="0" borderId="0" xfId="0" applyFont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0" fillId="15" borderId="0" xfId="0" applyFont="1" applyFill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  <xf numFmtId="0" fontId="2" fillId="6" borderId="15" xfId="0" applyFont="1" applyFill="1" applyBorder="1" applyAlignment="1">
      <alignment vertical="center" wrapText="1"/>
    </xf>
    <xf numFmtId="0" fontId="20" fillId="0" borderId="15" xfId="0" applyFont="1" applyBorder="1"/>
    <xf numFmtId="0" fontId="0" fillId="0" borderId="15" xfId="0" applyBorder="1"/>
    <xf numFmtId="0" fontId="11" fillId="7" borderId="0" xfId="0" applyFont="1" applyFill="1" applyBorder="1" applyAlignment="1">
      <alignment vertical="center" wrapText="1"/>
    </xf>
    <xf numFmtId="14" fontId="6" fillId="0" borderId="0" xfId="0" applyNumberFormat="1" applyFont="1" applyBorder="1"/>
    <xf numFmtId="0" fontId="6" fillId="0" borderId="0" xfId="0" applyFont="1" applyBorder="1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/>
    <xf numFmtId="0" fontId="2" fillId="7" borderId="0" xfId="0" applyFont="1" applyFill="1" applyAlignment="1">
      <alignment vertical="center" wrapText="1"/>
    </xf>
    <xf numFmtId="0" fontId="2" fillId="8" borderId="0" xfId="0" applyFont="1" applyFill="1" applyBorder="1" applyAlignment="1">
      <alignment vertical="center" wrapText="1"/>
    </xf>
    <xf numFmtId="0" fontId="11" fillId="7" borderId="17" xfId="0" applyFont="1" applyFill="1" applyBorder="1" applyAlignment="1">
      <alignment vertical="center" wrapText="1"/>
    </xf>
    <xf numFmtId="14" fontId="6" fillId="0" borderId="18" xfId="0" applyNumberFormat="1" applyFont="1" applyBorder="1" applyProtection="1">
      <protection locked="0"/>
    </xf>
    <xf numFmtId="14" fontId="6" fillId="0" borderId="16" xfId="0" applyNumberFormat="1" applyFont="1" applyBorder="1" applyProtection="1">
      <protection locked="0"/>
    </xf>
    <xf numFmtId="14" fontId="6" fillId="0" borderId="17" xfId="0" applyNumberFormat="1" applyFon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11" fillId="8" borderId="0" xfId="0" applyFont="1" applyFill="1" applyBorder="1" applyAlignment="1">
      <alignment vertical="center" wrapText="1"/>
    </xf>
    <xf numFmtId="0" fontId="20" fillId="0" borderId="0" xfId="0" applyFont="1" applyBorder="1" applyProtection="1">
      <protection locked="0"/>
    </xf>
    <xf numFmtId="0" fontId="2" fillId="9" borderId="8" xfId="0" applyFont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102"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34">
  <autoFilter ref="A1:AH73" xr:uid="{00000000-0009-0000-0100-000001000000}">
    <filterColumn colId="0">
      <filters>
        <filter val="CMS"/>
      </filters>
    </filterColumn>
    <filterColumn colId="8">
      <filters>
        <filter val="August"/>
        <filter val="July"/>
      </filters>
    </filterColumn>
  </autoFilter>
  <tableColumns count="34">
    <tableColumn id="1" xr3:uid="{00000000-0010-0000-0000-000001000000}" name="Domain" dataDxfId="33"/>
    <tableColumn id="2" xr3:uid="{00000000-0010-0000-0000-000002000000}" name="Report Name" dataDxfId="32"/>
    <tableColumn id="3" xr3:uid="{00000000-0010-0000-0000-000003000000}" name="Current Status" dataDxfId="31"/>
    <tableColumn id="4" xr3:uid="{00000000-0010-0000-0000-000004000000}" name="Status Flag" dataDxfId="30"/>
    <tableColumn id="5" xr3:uid="{00000000-0010-0000-0000-000005000000}" name="Business Value Rank" dataDxfId="29"/>
    <tableColumn id="6" xr3:uid="{00000000-0010-0000-0000-000006000000}" name="PO" dataDxfId="28"/>
    <tableColumn id="10" xr3:uid="{00000000-0010-0000-0000-00000A000000}" name="Schema" dataDxfId="27"/>
    <tableColumn id="11" xr3:uid="{00000000-0010-0000-0000-00000B000000}" name="Plan Delivery Date" dataDxfId="26"/>
    <tableColumn id="12" xr3:uid="{00000000-0010-0000-0000-00000C000000}" name="Plan Delivery Month" dataDxfId="25"/>
    <tableColumn id="7" xr3:uid="{00000000-0010-0000-0000-000007000000}" name="DB Developer" dataDxfId="24"/>
    <tableColumn id="13" xr3:uid="{00000000-0010-0000-0000-00000D000000}" name="DB Dev Baseline Completion Date" dataDxfId="23"/>
    <tableColumn id="30" xr3:uid="{00000000-0010-0000-0000-00001E000000}" name="DB Dev Reforecast Completion Date" dataDxfId="22"/>
    <tableColumn id="14" xr3:uid="{00000000-0010-0000-0000-00000E000000}" name="DB Dev Actual Completion Date" dataDxfId="21"/>
    <tableColumn id="28" xr3:uid="{EFCDFAEE-1B00-42CE-9649-7541F5DDC136}" name="Sprint DB" dataDxfId="20"/>
    <tableColumn id="8" xr3:uid="{00000000-0010-0000-0000-000008000000}" name="PBI Developer" dataDxfId="19"/>
    <tableColumn id="15" xr3:uid="{00000000-0010-0000-0000-00000F000000}" name="PBI Dev Baseline Completion Date" dataDxfId="18"/>
    <tableColumn id="31" xr3:uid="{00000000-0010-0000-0000-00001F000000}" name="PBI Dev Reforecast Completion Date" dataDxfId="17"/>
    <tableColumn id="16" xr3:uid="{00000000-0010-0000-0000-000010000000}" name="PBI Dev Actual Completion Date" dataDxfId="16"/>
    <tableColumn id="29" xr3:uid="{4630D178-9B47-4360-A40B-22C7384DB9C9}" name="Sprint PBI" dataDxfId="15"/>
    <tableColumn id="9" xr3:uid="{00000000-0010-0000-0000-000009000000}" name="QA Tester" dataDxfId="14"/>
    <tableColumn id="17" xr3:uid="{00000000-0010-0000-0000-000011000000}" name="QA Baseline Completion Date" dataDxfId="13"/>
    <tableColumn id="32" xr3:uid="{00000000-0010-0000-0000-000020000000}" name="QA Reforecast Completion Date" dataDxfId="12"/>
    <tableColumn id="18" xr3:uid="{00000000-0010-0000-0000-000012000000}" name="QA Actual Completion Date" dataDxfId="11"/>
    <tableColumn id="34" xr3:uid="{70C5E8CB-08B0-4A84-9B68-89630FC3C5C7}" name="Sprint QA" dataDxfId="10"/>
    <tableColumn id="19" xr3:uid="{00000000-0010-0000-0000-000013000000}" name="DPO Approval Baseline Completion Date" dataDxfId="9"/>
    <tableColumn id="33" xr3:uid="{00000000-0010-0000-0000-000021000000}" name="DPO Approval Reforecast Completion Date" dataDxfId="8"/>
    <tableColumn id="20" xr3:uid="{00000000-0010-0000-0000-000014000000}" name="DPO Approval Reviewer" dataDxfId="7"/>
    <tableColumn id="21" xr3:uid="{00000000-0010-0000-0000-000015000000}" name="Confirmed Deployed?" dataDxfId="6"/>
    <tableColumn id="22" xr3:uid="{00000000-0010-0000-0000-000016000000}" name="Confirmed Deployed Date" dataDxfId="5"/>
    <tableColumn id="23" xr3:uid="{00000000-0010-0000-0000-000017000000}" name="UAT Report URL" dataDxfId="4"/>
    <tableColumn id="24" xr3:uid="{00000000-0010-0000-0000-000018000000}" name="Production URL" dataDxfId="3"/>
    <tableColumn id="25" xr3:uid="{00000000-0010-0000-0000-000019000000}" name="Blocked?" dataDxfId="2"/>
    <tableColumn id="26" xr3:uid="{00000000-0010-0000-0000-00001A000000}" name="Data Check" dataDxfId="1"/>
    <tableColumn id="27" xr3:uid="{00000000-0010-0000-0000-00001B000000}" name="Comments" dataDxfId="0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C29" activePane="bottomRight" state="frozen"/>
      <selection activeCell="S78" sqref="S78"/>
      <selection pane="topRight" activeCell="C1" sqref="C1"/>
      <selection pane="bottomLeft" activeCell="A29" sqref="A29"/>
      <selection pane="bottomRight" activeCell="T78" sqref="T78"/>
    </sheetView>
  </sheetViews>
  <sheetFormatPr defaultRowHeight="15" customHeight="1" x14ac:dyDescent="0.3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8671875" style="73" customWidth="1"/>
    <col min="10" max="10" width="13" style="78" customWidth="1"/>
    <col min="11" max="11" width="17" customWidth="1"/>
    <col min="12" max="12" width="15" customWidth="1"/>
    <col min="13" max="13" width="17" customWidth="1"/>
    <col min="14" max="14" width="15" style="86" customWidth="1"/>
    <col min="15" max="15" width="13" style="78" customWidth="1"/>
    <col min="16" max="16" width="17" customWidth="1"/>
    <col min="17" max="17" width="15" customWidth="1"/>
    <col min="18" max="18" width="19" customWidth="1"/>
    <col min="19" max="19" width="16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9</v>
      </c>
      <c r="H1" s="49" t="s">
        <v>10</v>
      </c>
      <c r="I1" s="71" t="s">
        <v>11</v>
      </c>
      <c r="J1" s="79" t="s">
        <v>6</v>
      </c>
      <c r="K1" s="74" t="s">
        <v>12</v>
      </c>
      <c r="L1" s="15" t="s">
        <v>13</v>
      </c>
      <c r="M1" s="15" t="s">
        <v>14</v>
      </c>
      <c r="N1" s="81" t="s">
        <v>15</v>
      </c>
      <c r="O1" s="80" t="s">
        <v>7</v>
      </c>
      <c r="P1" s="87" t="s">
        <v>16</v>
      </c>
      <c r="Q1" s="16" t="s">
        <v>17</v>
      </c>
      <c r="R1" s="16" t="s">
        <v>18</v>
      </c>
      <c r="S1" s="16" t="s">
        <v>19</v>
      </c>
      <c r="T1" s="89" t="s">
        <v>8</v>
      </c>
      <c r="U1" s="53" t="s">
        <v>20</v>
      </c>
      <c r="V1" s="17" t="s">
        <v>21</v>
      </c>
      <c r="W1" s="17" t="s">
        <v>22</v>
      </c>
      <c r="X1" s="17" t="s">
        <v>23</v>
      </c>
      <c r="Y1" s="55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" hidden="1" x14ac:dyDescent="0.3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3" t="s">
        <v>40</v>
      </c>
      <c r="J2" s="33" t="s">
        <v>37</v>
      </c>
      <c r="K2" s="57">
        <v>46122</v>
      </c>
      <c r="L2" s="36"/>
      <c r="M2" s="36">
        <v>46115</v>
      </c>
      <c r="N2" s="36"/>
      <c r="O2" s="33" t="s">
        <v>38</v>
      </c>
      <c r="P2" s="52">
        <v>46129</v>
      </c>
      <c r="Q2" s="36"/>
      <c r="R2" s="36">
        <v>46114</v>
      </c>
      <c r="S2" s="36"/>
      <c r="T2" s="33" t="s">
        <v>39</v>
      </c>
      <c r="U2" s="54">
        <v>46136</v>
      </c>
      <c r="V2" s="36"/>
      <c r="W2" s="36">
        <v>46122</v>
      </c>
      <c r="X2" s="36"/>
      <c r="Y2" s="56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" hidden="1" x14ac:dyDescent="0.3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3" t="s">
        <v>40</v>
      </c>
      <c r="J3" s="33" t="s">
        <v>37</v>
      </c>
      <c r="K3" s="57">
        <v>46122</v>
      </c>
      <c r="L3" s="36"/>
      <c r="M3" s="36">
        <v>46115</v>
      </c>
      <c r="N3" s="36"/>
      <c r="O3" s="33" t="s">
        <v>38</v>
      </c>
      <c r="P3" s="52">
        <v>46129</v>
      </c>
      <c r="Q3" s="36"/>
      <c r="R3" s="36">
        <v>46114</v>
      </c>
      <c r="S3" s="36"/>
      <c r="T3" s="33" t="s">
        <v>39</v>
      </c>
      <c r="U3" s="54">
        <v>46136</v>
      </c>
      <c r="V3" s="36"/>
      <c r="W3" s="36">
        <v>46122</v>
      </c>
      <c r="X3" s="36"/>
      <c r="Y3" s="56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" hidden="1" x14ac:dyDescent="0.3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3" t="s">
        <v>40</v>
      </c>
      <c r="J4" s="33" t="s">
        <v>51</v>
      </c>
      <c r="K4" s="57">
        <v>46122</v>
      </c>
      <c r="L4" s="36"/>
      <c r="M4" s="36">
        <v>46115</v>
      </c>
      <c r="N4" s="36"/>
      <c r="O4" s="33" t="s">
        <v>52</v>
      </c>
      <c r="P4" s="52">
        <v>46129</v>
      </c>
      <c r="Q4" s="36"/>
      <c r="R4" s="36">
        <v>46126</v>
      </c>
      <c r="S4" s="36"/>
      <c r="T4" s="33" t="s">
        <v>39</v>
      </c>
      <c r="U4" s="54">
        <v>46136</v>
      </c>
      <c r="V4" s="36"/>
      <c r="W4" s="36">
        <v>46122</v>
      </c>
      <c r="X4" s="36"/>
      <c r="Y4" s="56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" hidden="1" x14ac:dyDescent="0.3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3" t="s">
        <v>40</v>
      </c>
      <c r="J5" s="33" t="s">
        <v>57</v>
      </c>
      <c r="K5" s="57">
        <v>46122</v>
      </c>
      <c r="L5" s="36"/>
      <c r="M5" s="36">
        <v>46115</v>
      </c>
      <c r="N5" s="36"/>
      <c r="O5" s="33" t="s">
        <v>38</v>
      </c>
      <c r="P5" s="52">
        <v>46129</v>
      </c>
      <c r="Q5" s="36"/>
      <c r="R5" s="36">
        <v>46120</v>
      </c>
      <c r="S5" s="36"/>
      <c r="T5" s="33" t="s">
        <v>39</v>
      </c>
      <c r="U5" s="54">
        <v>46136</v>
      </c>
      <c r="V5" s="36"/>
      <c r="W5" s="36">
        <v>46122</v>
      </c>
      <c r="X5" s="36"/>
      <c r="Y5" s="56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" hidden="1" x14ac:dyDescent="0.3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3" t="s">
        <v>40</v>
      </c>
      <c r="J6" s="33"/>
      <c r="K6" s="57"/>
      <c r="L6" s="47"/>
      <c r="M6" s="36"/>
      <c r="N6" s="36"/>
      <c r="O6" s="33"/>
      <c r="P6" s="4"/>
      <c r="Q6" s="43"/>
      <c r="R6" s="36"/>
      <c r="S6" s="36"/>
      <c r="T6" s="33"/>
      <c r="U6" s="4"/>
      <c r="V6" s="43"/>
      <c r="W6" s="36"/>
      <c r="X6" s="36"/>
      <c r="Y6" s="56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" hidden="1" x14ac:dyDescent="0.3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3" t="s">
        <v>40</v>
      </c>
      <c r="J7" s="33"/>
      <c r="K7" s="57"/>
      <c r="L7" s="47"/>
      <c r="M7" s="36"/>
      <c r="N7" s="36"/>
      <c r="O7" s="33"/>
      <c r="P7" s="4"/>
      <c r="Q7" s="43"/>
      <c r="R7" s="36"/>
      <c r="S7" s="36"/>
      <c r="T7" s="33"/>
      <c r="U7" s="4"/>
      <c r="V7" s="43"/>
      <c r="W7" s="36"/>
      <c r="X7" s="36"/>
      <c r="Y7" s="56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" hidden="1" x14ac:dyDescent="0.3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3" t="s">
        <v>40</v>
      </c>
      <c r="J8" s="33"/>
      <c r="K8" s="57"/>
      <c r="L8" s="47"/>
      <c r="M8" s="36"/>
      <c r="N8" s="36"/>
      <c r="O8" s="33"/>
      <c r="P8" s="4"/>
      <c r="Q8" s="43"/>
      <c r="R8" s="36"/>
      <c r="S8" s="36"/>
      <c r="T8" s="33"/>
      <c r="U8" s="4"/>
      <c r="V8" s="43"/>
      <c r="W8" s="36"/>
      <c r="X8" s="36"/>
      <c r="Y8" s="56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" hidden="1" x14ac:dyDescent="0.3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3" t="s">
        <v>40</v>
      </c>
      <c r="J9" s="33"/>
      <c r="K9" s="57"/>
      <c r="L9" s="47"/>
      <c r="M9" s="36"/>
      <c r="N9" s="36"/>
      <c r="O9" s="33"/>
      <c r="P9" s="4"/>
      <c r="Q9" s="43"/>
      <c r="R9" s="36"/>
      <c r="S9" s="36"/>
      <c r="T9" s="33"/>
      <c r="U9" s="4"/>
      <c r="V9" s="43"/>
      <c r="W9" s="36"/>
      <c r="X9" s="36"/>
      <c r="Y9" s="56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" hidden="1" x14ac:dyDescent="0.3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3" t="s">
        <v>69</v>
      </c>
      <c r="J10" s="33" t="s">
        <v>67</v>
      </c>
      <c r="K10" s="57">
        <v>46150</v>
      </c>
      <c r="L10" s="36"/>
      <c r="M10" s="36">
        <v>46157</v>
      </c>
      <c r="N10" s="36"/>
      <c r="O10" s="33" t="s">
        <v>68</v>
      </c>
      <c r="P10" s="4">
        <v>46157</v>
      </c>
      <c r="Q10" s="36"/>
      <c r="R10" s="36">
        <v>46134</v>
      </c>
      <c r="S10" s="36"/>
      <c r="T10" s="33" t="s">
        <v>39</v>
      </c>
      <c r="U10" s="52">
        <v>46164</v>
      </c>
      <c r="V10" s="36"/>
      <c r="W10" s="36">
        <v>46134</v>
      </c>
      <c r="X10" s="36"/>
      <c r="Y10" s="56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" hidden="1" x14ac:dyDescent="0.3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3" t="s">
        <v>69</v>
      </c>
      <c r="J11" s="33" t="s">
        <v>51</v>
      </c>
      <c r="K11" s="57">
        <v>46150</v>
      </c>
      <c r="L11" s="36"/>
      <c r="M11" s="36">
        <v>46157</v>
      </c>
      <c r="N11" s="36"/>
      <c r="O11" s="3" t="s">
        <v>68</v>
      </c>
      <c r="P11" s="4">
        <v>46157</v>
      </c>
      <c r="Q11" s="36"/>
      <c r="R11" s="36">
        <v>46139</v>
      </c>
      <c r="S11" s="36"/>
      <c r="T11" s="33" t="s">
        <v>39</v>
      </c>
      <c r="U11" s="52">
        <v>46164</v>
      </c>
      <c r="V11" s="36"/>
      <c r="W11" s="36">
        <v>46139</v>
      </c>
      <c r="X11" s="36"/>
      <c r="Y11" s="56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" hidden="1" x14ac:dyDescent="0.3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3" t="s">
        <v>69</v>
      </c>
      <c r="J12" s="33" t="s">
        <v>76</v>
      </c>
      <c r="K12" s="57">
        <v>46150</v>
      </c>
      <c r="L12" s="36"/>
      <c r="M12" s="36">
        <v>46157</v>
      </c>
      <c r="N12" s="36"/>
      <c r="O12" s="33" t="s">
        <v>52</v>
      </c>
      <c r="P12" s="4">
        <v>46157</v>
      </c>
      <c r="Q12" s="36"/>
      <c r="R12" s="36">
        <v>46147</v>
      </c>
      <c r="S12" s="36"/>
      <c r="T12" s="33" t="s">
        <v>39</v>
      </c>
      <c r="U12" s="52">
        <v>46164</v>
      </c>
      <c r="V12" s="36"/>
      <c r="W12" s="36">
        <v>46147</v>
      </c>
      <c r="X12" s="36"/>
      <c r="Y12" s="56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" hidden="1" x14ac:dyDescent="0.3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3" t="s">
        <v>69</v>
      </c>
      <c r="J13" s="33" t="s">
        <v>76</v>
      </c>
      <c r="K13" s="57">
        <v>46150</v>
      </c>
      <c r="L13" s="36"/>
      <c r="M13" s="36">
        <v>46157</v>
      </c>
      <c r="N13" s="36"/>
      <c r="O13" s="33" t="s">
        <v>38</v>
      </c>
      <c r="P13" s="4">
        <v>46157</v>
      </c>
      <c r="Q13" s="36"/>
      <c r="R13" s="36">
        <v>46175</v>
      </c>
      <c r="S13" s="36"/>
      <c r="T13" s="33" t="s">
        <v>80</v>
      </c>
      <c r="U13" s="52">
        <v>46164</v>
      </c>
      <c r="V13" s="36"/>
      <c r="W13" s="36">
        <v>46179</v>
      </c>
      <c r="X13" s="36"/>
      <c r="Y13" s="56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" hidden="1" x14ac:dyDescent="0.3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3" t="s">
        <v>69</v>
      </c>
      <c r="J14" s="33" t="s">
        <v>37</v>
      </c>
      <c r="K14" s="57">
        <v>46150</v>
      </c>
      <c r="L14" s="36"/>
      <c r="M14" s="36">
        <v>46157</v>
      </c>
      <c r="N14" s="36"/>
      <c r="O14" s="33" t="s">
        <v>52</v>
      </c>
      <c r="P14" s="4">
        <v>46157</v>
      </c>
      <c r="Q14" s="36"/>
      <c r="R14" s="36">
        <v>46143</v>
      </c>
      <c r="S14" s="36"/>
      <c r="T14" s="33" t="s">
        <v>80</v>
      </c>
      <c r="U14" s="52">
        <v>46164</v>
      </c>
      <c r="V14" s="36"/>
      <c r="W14" s="36">
        <v>46175</v>
      </c>
      <c r="X14" s="36"/>
      <c r="Y14" s="56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" hidden="1" x14ac:dyDescent="0.3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3" t="s">
        <v>69</v>
      </c>
      <c r="J15" s="33" t="s">
        <v>37</v>
      </c>
      <c r="K15" s="57">
        <v>46150</v>
      </c>
      <c r="L15" s="36"/>
      <c r="M15" s="36">
        <v>46157</v>
      </c>
      <c r="N15" s="36"/>
      <c r="O15" s="33" t="s">
        <v>68</v>
      </c>
      <c r="P15" s="4">
        <v>46157</v>
      </c>
      <c r="Q15" s="36"/>
      <c r="R15" s="36">
        <v>46178</v>
      </c>
      <c r="S15" s="36"/>
      <c r="T15" s="33" t="s">
        <v>39</v>
      </c>
      <c r="U15" s="52">
        <v>46164</v>
      </c>
      <c r="V15" s="36"/>
      <c r="W15" s="36">
        <v>46175</v>
      </c>
      <c r="X15" s="36"/>
      <c r="Y15" s="56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" hidden="1" x14ac:dyDescent="0.3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3" t="s">
        <v>69</v>
      </c>
      <c r="J16" s="33"/>
      <c r="K16" s="57"/>
      <c r="L16" s="43"/>
      <c r="M16" s="36"/>
      <c r="N16" s="36"/>
      <c r="O16" s="33"/>
      <c r="P16" s="4"/>
      <c r="Q16" s="43"/>
      <c r="R16" s="36"/>
      <c r="S16" s="36"/>
      <c r="T16" s="33"/>
      <c r="U16" s="4"/>
      <c r="V16" s="43"/>
      <c r="W16" s="36"/>
      <c r="X16" s="36"/>
      <c r="Y16" s="56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" hidden="1" x14ac:dyDescent="0.3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3" t="s">
        <v>69</v>
      </c>
      <c r="J17" s="33"/>
      <c r="K17" s="57"/>
      <c r="L17" s="43"/>
      <c r="M17" s="36"/>
      <c r="N17" s="36"/>
      <c r="O17" s="33"/>
      <c r="P17" s="4"/>
      <c r="Q17" s="43"/>
      <c r="R17" s="36"/>
      <c r="S17" s="36"/>
      <c r="T17" s="33"/>
      <c r="U17" s="4"/>
      <c r="V17" s="43"/>
      <c r="W17" s="36"/>
      <c r="X17" s="36"/>
      <c r="Y17" s="56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" hidden="1" x14ac:dyDescent="0.3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3" t="s">
        <v>69</v>
      </c>
      <c r="J18" s="33"/>
      <c r="K18" s="57"/>
      <c r="L18" s="43"/>
      <c r="M18" s="36"/>
      <c r="N18" s="36"/>
      <c r="O18" s="33"/>
      <c r="P18" s="4"/>
      <c r="Q18" s="43"/>
      <c r="R18" s="36"/>
      <c r="S18" s="36"/>
      <c r="T18" s="33"/>
      <c r="U18" s="4"/>
      <c r="V18" s="43"/>
      <c r="W18" s="36"/>
      <c r="X18" s="36"/>
      <c r="Y18" s="56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" hidden="1" x14ac:dyDescent="0.3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3" t="s">
        <v>69</v>
      </c>
      <c r="J19" s="33"/>
      <c r="K19" s="57"/>
      <c r="L19" s="43"/>
      <c r="M19" s="36"/>
      <c r="N19" s="36"/>
      <c r="O19" s="33"/>
      <c r="P19" s="4"/>
      <c r="Q19" s="43"/>
      <c r="R19" s="36"/>
      <c r="S19" s="36"/>
      <c r="T19" s="33"/>
      <c r="U19" s="4"/>
      <c r="V19" s="43"/>
      <c r="W19" s="36"/>
      <c r="X19" s="36"/>
      <c r="Y19" s="56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" hidden="1" x14ac:dyDescent="0.3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3" t="s">
        <v>94</v>
      </c>
      <c r="J20" s="33" t="s">
        <v>93</v>
      </c>
      <c r="K20" s="57">
        <v>46185</v>
      </c>
      <c r="L20" s="36"/>
      <c r="M20" s="36">
        <v>46148</v>
      </c>
      <c r="N20" s="36"/>
      <c r="O20" s="33" t="s">
        <v>52</v>
      </c>
      <c r="P20" s="52">
        <v>46192</v>
      </c>
      <c r="Q20" s="36"/>
      <c r="R20" s="36">
        <v>46183</v>
      </c>
      <c r="S20" s="36"/>
      <c r="T20" s="33" t="s">
        <v>39</v>
      </c>
      <c r="U20" s="54">
        <v>46199</v>
      </c>
      <c r="V20" s="36"/>
      <c r="W20" s="36">
        <v>46195</v>
      </c>
      <c r="X20" s="36"/>
      <c r="Y20" s="56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" hidden="1" x14ac:dyDescent="0.3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3" t="s">
        <v>94</v>
      </c>
      <c r="J21" s="33" t="s">
        <v>93</v>
      </c>
      <c r="K21" s="57">
        <v>46185</v>
      </c>
      <c r="L21" s="36"/>
      <c r="M21" s="36">
        <v>46162</v>
      </c>
      <c r="N21" s="36"/>
      <c r="O21" s="33" t="s">
        <v>68</v>
      </c>
      <c r="P21" s="52">
        <v>46192</v>
      </c>
      <c r="Q21" s="36"/>
      <c r="R21" s="36">
        <v>46182</v>
      </c>
      <c r="S21" s="36"/>
      <c r="T21" s="33" t="s">
        <v>39</v>
      </c>
      <c r="U21" s="54">
        <v>46199</v>
      </c>
      <c r="V21" s="36"/>
      <c r="W21" s="36">
        <v>46198</v>
      </c>
      <c r="X21" s="36"/>
      <c r="Y21" s="56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" hidden="1" x14ac:dyDescent="0.3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3" t="s">
        <v>94</v>
      </c>
      <c r="J22" s="33" t="s">
        <v>37</v>
      </c>
      <c r="K22" s="57">
        <v>46185</v>
      </c>
      <c r="L22" s="36"/>
      <c r="M22" s="36">
        <v>46168</v>
      </c>
      <c r="N22" s="36"/>
      <c r="O22" s="33" t="s">
        <v>52</v>
      </c>
      <c r="P22" s="52">
        <v>46192</v>
      </c>
      <c r="Q22" s="36"/>
      <c r="R22" s="36">
        <v>46183</v>
      </c>
      <c r="S22" s="36"/>
      <c r="T22" s="33" t="s">
        <v>39</v>
      </c>
      <c r="U22" s="54">
        <v>46199</v>
      </c>
      <c r="V22" s="36"/>
      <c r="W22" s="36">
        <v>46198</v>
      </c>
      <c r="X22" s="36"/>
      <c r="Y22" s="56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" hidden="1" x14ac:dyDescent="0.3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3" t="s">
        <v>94</v>
      </c>
      <c r="J23" s="33" t="s">
        <v>37</v>
      </c>
      <c r="K23" s="57">
        <v>46185</v>
      </c>
      <c r="L23" s="36"/>
      <c r="M23" s="36">
        <v>46165</v>
      </c>
      <c r="N23" s="36"/>
      <c r="O23" s="33" t="s">
        <v>52</v>
      </c>
      <c r="P23" s="52">
        <v>46192</v>
      </c>
      <c r="Q23" s="36"/>
      <c r="R23" s="36">
        <v>46153</v>
      </c>
      <c r="S23" s="36"/>
      <c r="T23" s="33" t="s">
        <v>39</v>
      </c>
      <c r="U23" s="54">
        <v>46199</v>
      </c>
      <c r="V23" s="36"/>
      <c r="W23" s="36">
        <v>46154</v>
      </c>
      <c r="X23" s="36"/>
      <c r="Y23" s="56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" hidden="1" x14ac:dyDescent="0.3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3" t="s">
        <v>94</v>
      </c>
      <c r="J24" s="33" t="s">
        <v>51</v>
      </c>
      <c r="K24" s="57">
        <v>46185</v>
      </c>
      <c r="L24" s="36"/>
      <c r="M24" s="36">
        <v>46162</v>
      </c>
      <c r="N24" s="36"/>
      <c r="O24" s="33" t="s">
        <v>38</v>
      </c>
      <c r="P24" s="52">
        <v>46192</v>
      </c>
      <c r="Q24" s="36"/>
      <c r="R24" s="36">
        <v>46186</v>
      </c>
      <c r="S24" s="36"/>
      <c r="T24" s="33" t="s">
        <v>80</v>
      </c>
      <c r="U24" s="54">
        <v>46199</v>
      </c>
      <c r="V24" s="36"/>
      <c r="W24" s="36"/>
      <c r="X24" s="36"/>
      <c r="Y24" s="56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" hidden="1" x14ac:dyDescent="0.3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3" t="s">
        <v>94</v>
      </c>
      <c r="J25" s="33" t="s">
        <v>51</v>
      </c>
      <c r="K25" s="57">
        <v>46185</v>
      </c>
      <c r="L25" s="36"/>
      <c r="M25" s="36">
        <v>46162</v>
      </c>
      <c r="N25" s="36"/>
      <c r="O25" s="33" t="s">
        <v>68</v>
      </c>
      <c r="P25" s="52">
        <v>46192</v>
      </c>
      <c r="Q25" s="36"/>
      <c r="R25" s="36">
        <v>46164</v>
      </c>
      <c r="S25" s="36"/>
      <c r="T25" s="33" t="s">
        <v>39</v>
      </c>
      <c r="U25" s="54">
        <v>46199</v>
      </c>
      <c r="V25" s="36"/>
      <c r="W25" s="36">
        <v>46204</v>
      </c>
      <c r="X25" s="36"/>
      <c r="Y25" s="56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" hidden="1" x14ac:dyDescent="0.3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3" t="s">
        <v>94</v>
      </c>
      <c r="J26" s="33" t="s">
        <v>105</v>
      </c>
      <c r="K26" s="57">
        <v>46185</v>
      </c>
      <c r="L26" s="36"/>
      <c r="M26" s="36">
        <v>46169</v>
      </c>
      <c r="N26" s="36"/>
      <c r="O26" s="33" t="s">
        <v>52</v>
      </c>
      <c r="P26" s="52">
        <v>46192</v>
      </c>
      <c r="Q26" s="36"/>
      <c r="R26" s="36">
        <v>46191</v>
      </c>
      <c r="S26" s="36"/>
      <c r="T26" s="33" t="s">
        <v>80</v>
      </c>
      <c r="U26" s="54">
        <v>46199</v>
      </c>
      <c r="V26" s="36"/>
      <c r="W26" s="36">
        <v>46196</v>
      </c>
      <c r="X26" s="36"/>
      <c r="Y26" s="56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" hidden="1" x14ac:dyDescent="0.3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3" t="s">
        <v>94</v>
      </c>
      <c r="J27" s="33" t="s">
        <v>93</v>
      </c>
      <c r="K27" s="57">
        <v>46185</v>
      </c>
      <c r="L27" s="36"/>
      <c r="M27" s="36">
        <v>46168</v>
      </c>
      <c r="N27" s="36"/>
      <c r="O27" s="33" t="s">
        <v>68</v>
      </c>
      <c r="P27" s="52">
        <v>46192</v>
      </c>
      <c r="Q27" s="36"/>
      <c r="R27" s="36">
        <v>46189</v>
      </c>
      <c r="S27" s="36"/>
      <c r="T27" s="33" t="s">
        <v>80</v>
      </c>
      <c r="U27" s="54">
        <v>46199</v>
      </c>
      <c r="V27" s="36"/>
      <c r="W27" s="36">
        <v>46189</v>
      </c>
      <c r="X27" s="36"/>
      <c r="Y27" s="56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" hidden="1" x14ac:dyDescent="0.3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3" t="s">
        <v>94</v>
      </c>
      <c r="J28" s="33" t="s">
        <v>76</v>
      </c>
      <c r="K28" s="57">
        <v>46185</v>
      </c>
      <c r="L28" s="36"/>
      <c r="M28" s="36">
        <v>46169</v>
      </c>
      <c r="N28" s="36"/>
      <c r="O28" s="33" t="s">
        <v>68</v>
      </c>
      <c r="P28" s="52">
        <v>46192</v>
      </c>
      <c r="Q28" s="36"/>
      <c r="R28" s="36">
        <v>46195</v>
      </c>
      <c r="S28" s="36"/>
      <c r="T28" s="33"/>
      <c r="U28" s="54">
        <v>46199</v>
      </c>
      <c r="V28" s="36"/>
      <c r="W28" s="36">
        <v>46197</v>
      </c>
      <c r="X28" s="36"/>
      <c r="Y28" s="56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" x14ac:dyDescent="0.3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72" t="s">
        <v>116</v>
      </c>
      <c r="J29" s="76" t="s">
        <v>67</v>
      </c>
      <c r="K29" s="75">
        <v>46213</v>
      </c>
      <c r="L29" s="36">
        <v>46244</v>
      </c>
      <c r="M29" s="37"/>
      <c r="N29" s="82" t="s">
        <v>117</v>
      </c>
      <c r="O29" s="88" t="s">
        <v>52</v>
      </c>
      <c r="P29" s="75">
        <v>46220</v>
      </c>
      <c r="Q29" s="36">
        <v>46244</v>
      </c>
      <c r="R29" s="36"/>
      <c r="S29" s="36"/>
      <c r="T29" s="33" t="s">
        <v>115</v>
      </c>
      <c r="U29" s="54">
        <v>46227</v>
      </c>
      <c r="V29" s="36">
        <v>46247</v>
      </c>
      <c r="W29" s="36"/>
      <c r="X29" s="36"/>
      <c r="Y29" s="56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" x14ac:dyDescent="0.3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72" t="s">
        <v>116</v>
      </c>
      <c r="J30" s="76" t="s">
        <v>105</v>
      </c>
      <c r="K30" s="75">
        <v>46213</v>
      </c>
      <c r="L30" s="36">
        <v>46244</v>
      </c>
      <c r="M30" s="35"/>
      <c r="N30" s="83" t="s">
        <v>117</v>
      </c>
      <c r="O30" s="88" t="s">
        <v>68</v>
      </c>
      <c r="P30" s="75">
        <v>46220</v>
      </c>
      <c r="Q30" s="36">
        <v>46245</v>
      </c>
      <c r="R30" s="36"/>
      <c r="S30" s="36"/>
      <c r="T30" s="33" t="s">
        <v>115</v>
      </c>
      <c r="U30" s="54">
        <v>46227</v>
      </c>
      <c r="V30" s="36">
        <v>46247</v>
      </c>
      <c r="W30" s="36"/>
      <c r="X30" s="36"/>
      <c r="Y30" s="56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" x14ac:dyDescent="0.3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72" t="s">
        <v>116</v>
      </c>
      <c r="J31" s="76" t="s">
        <v>105</v>
      </c>
      <c r="K31" s="75">
        <v>46213</v>
      </c>
      <c r="L31" s="36">
        <v>46244</v>
      </c>
      <c r="M31" s="35"/>
      <c r="N31" s="83" t="s">
        <v>117</v>
      </c>
      <c r="O31" s="88" t="s">
        <v>68</v>
      </c>
      <c r="P31" s="75">
        <v>46220</v>
      </c>
      <c r="Q31" s="36">
        <v>46246</v>
      </c>
      <c r="R31" s="36"/>
      <c r="S31" s="36"/>
      <c r="T31" s="33" t="s">
        <v>115</v>
      </c>
      <c r="U31" s="54">
        <v>46227</v>
      </c>
      <c r="V31" s="36">
        <v>46248</v>
      </c>
      <c r="W31" s="36"/>
      <c r="X31" s="36"/>
      <c r="Y31" s="56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" x14ac:dyDescent="0.3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72" t="s">
        <v>116</v>
      </c>
      <c r="J32" s="76" t="s">
        <v>51</v>
      </c>
      <c r="K32" s="75">
        <v>46213</v>
      </c>
      <c r="L32" s="36">
        <v>46248</v>
      </c>
      <c r="M32" s="37"/>
      <c r="N32" s="82" t="s">
        <v>117</v>
      </c>
      <c r="O32" s="88" t="s">
        <v>38</v>
      </c>
      <c r="P32" s="75">
        <v>46220</v>
      </c>
      <c r="Q32" s="36">
        <v>46247</v>
      </c>
      <c r="R32" s="36"/>
      <c r="S32" s="36"/>
      <c r="T32" s="33" t="s">
        <v>39</v>
      </c>
      <c r="U32" s="54">
        <v>46227</v>
      </c>
      <c r="V32" s="36">
        <v>46251</v>
      </c>
      <c r="W32" s="36"/>
      <c r="X32" s="36"/>
      <c r="Y32" s="56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" x14ac:dyDescent="0.3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72" t="s">
        <v>116</v>
      </c>
      <c r="J33" s="76" t="s">
        <v>93</v>
      </c>
      <c r="K33" s="75">
        <v>46213</v>
      </c>
      <c r="L33" s="36">
        <v>46246</v>
      </c>
      <c r="M33" s="37"/>
      <c r="N33" s="82" t="s">
        <v>117</v>
      </c>
      <c r="O33" s="88" t="s">
        <v>68</v>
      </c>
      <c r="P33" s="75">
        <v>46220</v>
      </c>
      <c r="Q33" s="36">
        <v>46246</v>
      </c>
      <c r="R33" s="36"/>
      <c r="S33" s="36"/>
      <c r="T33" s="33" t="s">
        <v>39</v>
      </c>
      <c r="U33" s="54">
        <v>46227</v>
      </c>
      <c r="V33" s="36">
        <v>46251</v>
      </c>
      <c r="W33" s="36"/>
      <c r="X33" s="36"/>
      <c r="Y33" s="56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" x14ac:dyDescent="0.3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/>
      <c r="H34" s="50">
        <v>46234</v>
      </c>
      <c r="I34" s="72" t="s">
        <v>116</v>
      </c>
      <c r="J34" s="76" t="s">
        <v>76</v>
      </c>
      <c r="K34" s="75">
        <v>46213</v>
      </c>
      <c r="L34" s="36">
        <v>46246</v>
      </c>
      <c r="M34" s="36"/>
      <c r="N34" s="83" t="s">
        <v>117</v>
      </c>
      <c r="O34" s="88" t="s">
        <v>52</v>
      </c>
      <c r="P34" s="75">
        <v>46220</v>
      </c>
      <c r="Q34" s="36">
        <v>46220</v>
      </c>
      <c r="R34" s="36"/>
      <c r="S34" s="36"/>
      <c r="T34" s="33" t="s">
        <v>129</v>
      </c>
      <c r="U34" s="54">
        <v>46227</v>
      </c>
      <c r="V34" s="36">
        <v>46225</v>
      </c>
      <c r="W34" s="36"/>
      <c r="X34" s="36"/>
      <c r="Y34" s="56">
        <v>46232</v>
      </c>
      <c r="Z34" s="36">
        <v>46266</v>
      </c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" x14ac:dyDescent="0.3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72" t="s">
        <v>116</v>
      </c>
      <c r="J35" s="76" t="s">
        <v>105</v>
      </c>
      <c r="K35" s="75">
        <v>46213</v>
      </c>
      <c r="L35" s="36">
        <v>46244</v>
      </c>
      <c r="M35" s="35"/>
      <c r="N35" s="83" t="s">
        <v>117</v>
      </c>
      <c r="O35" s="88" t="s">
        <v>38</v>
      </c>
      <c r="P35" s="75">
        <v>46220</v>
      </c>
      <c r="Q35" s="36">
        <v>46245</v>
      </c>
      <c r="R35" s="36"/>
      <c r="S35" s="36"/>
      <c r="T35" s="33" t="s">
        <v>129</v>
      </c>
      <c r="U35" s="54">
        <v>46227</v>
      </c>
      <c r="V35" s="36">
        <v>46248</v>
      </c>
      <c r="W35" s="36"/>
      <c r="X35" s="36"/>
      <c r="Y35" s="56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133</v>
      </c>
    </row>
    <row r="36" spans="1:34" ht="14.4" x14ac:dyDescent="0.3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72" t="s">
        <v>116</v>
      </c>
      <c r="J36" s="76" t="s">
        <v>105</v>
      </c>
      <c r="K36" s="75">
        <v>46213</v>
      </c>
      <c r="L36" s="36">
        <v>46244</v>
      </c>
      <c r="M36" s="36"/>
      <c r="N36" s="83" t="s">
        <v>117</v>
      </c>
      <c r="O36" s="88" t="s">
        <v>68</v>
      </c>
      <c r="P36" s="75">
        <v>46220</v>
      </c>
      <c r="Q36" s="36">
        <v>46246</v>
      </c>
      <c r="R36" s="36"/>
      <c r="S36" s="36"/>
      <c r="T36" s="33" t="s">
        <v>129</v>
      </c>
      <c r="U36" s="54">
        <v>46227</v>
      </c>
      <c r="V36" s="36">
        <v>46248</v>
      </c>
      <c r="W36" s="36"/>
      <c r="X36" s="36"/>
      <c r="Y36" s="56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135</v>
      </c>
    </row>
    <row r="37" spans="1:34" ht="14.4" x14ac:dyDescent="0.3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72" t="s">
        <v>116</v>
      </c>
      <c r="J37" s="76" t="s">
        <v>76</v>
      </c>
      <c r="K37" s="75">
        <v>46213</v>
      </c>
      <c r="L37" s="36">
        <v>46246</v>
      </c>
      <c r="M37" s="36"/>
      <c r="N37" s="83" t="s">
        <v>117</v>
      </c>
      <c r="O37" s="88" t="s">
        <v>52</v>
      </c>
      <c r="P37" s="75">
        <v>46220</v>
      </c>
      <c r="Q37" s="36">
        <v>46247</v>
      </c>
      <c r="R37" s="36"/>
      <c r="S37" s="36"/>
      <c r="T37" s="33" t="s">
        <v>129</v>
      </c>
      <c r="U37" s="54">
        <v>46227</v>
      </c>
      <c r="V37" s="36">
        <v>46252</v>
      </c>
      <c r="W37" s="36"/>
      <c r="X37" s="36"/>
      <c r="Y37" s="56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137</v>
      </c>
    </row>
    <row r="38" spans="1:34" ht="14.4" x14ac:dyDescent="0.3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/>
      <c r="H38" s="50">
        <v>46234</v>
      </c>
      <c r="I38" s="72" t="s">
        <v>116</v>
      </c>
      <c r="J38" s="76" t="s">
        <v>140</v>
      </c>
      <c r="K38" s="75">
        <v>46213</v>
      </c>
      <c r="L38" s="36">
        <v>46246</v>
      </c>
      <c r="M38" s="35"/>
      <c r="N38" s="83" t="s">
        <v>117</v>
      </c>
      <c r="O38" s="88" t="s">
        <v>52</v>
      </c>
      <c r="P38" s="75">
        <v>46220</v>
      </c>
      <c r="Q38" s="36">
        <v>46244</v>
      </c>
      <c r="R38" s="36"/>
      <c r="S38" s="36"/>
      <c r="T38" s="33" t="s">
        <v>129</v>
      </c>
      <c r="U38" s="54">
        <v>46227</v>
      </c>
      <c r="V38" s="36">
        <v>46247</v>
      </c>
      <c r="W38" s="36"/>
      <c r="X38" s="36"/>
      <c r="Y38" s="56">
        <v>46232</v>
      </c>
      <c r="Z38" s="36">
        <v>46258</v>
      </c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" x14ac:dyDescent="0.3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72" t="s">
        <v>116</v>
      </c>
      <c r="J39" s="76" t="s">
        <v>140</v>
      </c>
      <c r="K39" s="75">
        <v>46213</v>
      </c>
      <c r="L39" s="36">
        <v>46246</v>
      </c>
      <c r="M39" s="36"/>
      <c r="N39" s="83" t="s">
        <v>117</v>
      </c>
      <c r="O39" s="88" t="s">
        <v>68</v>
      </c>
      <c r="P39" s="75">
        <v>46220</v>
      </c>
      <c r="Q39" s="36">
        <v>46247</v>
      </c>
      <c r="R39" s="36"/>
      <c r="S39" s="36"/>
      <c r="T39" s="33" t="s">
        <v>39</v>
      </c>
      <c r="U39" s="54">
        <v>46227</v>
      </c>
      <c r="V39" s="36">
        <v>46247</v>
      </c>
      <c r="W39" s="36"/>
      <c r="X39" s="36"/>
      <c r="Y39" s="56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142</v>
      </c>
    </row>
    <row r="40" spans="1:34" ht="14.4" x14ac:dyDescent="0.3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/>
      <c r="H40" s="50">
        <v>46234</v>
      </c>
      <c r="I40" s="72" t="s">
        <v>116</v>
      </c>
      <c r="J40" s="76" t="s">
        <v>67</v>
      </c>
      <c r="K40" s="75">
        <v>46213</v>
      </c>
      <c r="L40" s="36">
        <v>46249</v>
      </c>
      <c r="M40" s="37"/>
      <c r="N40" s="82" t="s">
        <v>117</v>
      </c>
      <c r="O40" s="88" t="s">
        <v>68</v>
      </c>
      <c r="P40" s="75">
        <v>46220</v>
      </c>
      <c r="Q40" s="36">
        <v>46251</v>
      </c>
      <c r="R40" s="36"/>
      <c r="S40" s="36"/>
      <c r="T40" s="33" t="s">
        <v>39</v>
      </c>
      <c r="U40" s="54">
        <v>46227</v>
      </c>
      <c r="V40" s="36">
        <v>46254</v>
      </c>
      <c r="W40" s="36"/>
      <c r="X40" s="36"/>
      <c r="Y40" s="56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" x14ac:dyDescent="0.3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72" t="s">
        <v>116</v>
      </c>
      <c r="J41" s="76" t="s">
        <v>51</v>
      </c>
      <c r="K41" s="75">
        <v>46213</v>
      </c>
      <c r="L41" s="35">
        <v>46248</v>
      </c>
      <c r="M41" s="37"/>
      <c r="N41" s="82" t="s">
        <v>117</v>
      </c>
      <c r="O41" s="88" t="s">
        <v>52</v>
      </c>
      <c r="P41" s="75">
        <v>46220</v>
      </c>
      <c r="Q41" s="36">
        <v>46246</v>
      </c>
      <c r="R41" s="36"/>
      <c r="S41" s="36"/>
      <c r="T41" s="33" t="s">
        <v>39</v>
      </c>
      <c r="U41" s="54">
        <v>46227</v>
      </c>
      <c r="V41" s="36">
        <v>46253</v>
      </c>
      <c r="W41" s="36"/>
      <c r="X41" s="36"/>
      <c r="Y41" s="56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" x14ac:dyDescent="0.3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72" t="s">
        <v>116</v>
      </c>
      <c r="J42" s="76" t="s">
        <v>67</v>
      </c>
      <c r="K42" s="75">
        <v>46213</v>
      </c>
      <c r="L42" s="36">
        <v>46245</v>
      </c>
      <c r="M42" s="36">
        <v>46238</v>
      </c>
      <c r="N42" s="83" t="s">
        <v>149</v>
      </c>
      <c r="O42" s="88" t="s">
        <v>38</v>
      </c>
      <c r="P42" s="75">
        <v>46220</v>
      </c>
      <c r="Q42" s="36">
        <v>46251</v>
      </c>
      <c r="R42" s="36"/>
      <c r="S42" s="36"/>
      <c r="T42" s="33" t="s">
        <v>39</v>
      </c>
      <c r="U42" s="54">
        <v>46227</v>
      </c>
      <c r="V42" s="36">
        <v>46258</v>
      </c>
      <c r="W42" s="36"/>
      <c r="X42" s="36"/>
      <c r="Y42" s="56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" x14ac:dyDescent="0.3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/>
      <c r="H43" s="50">
        <v>46265</v>
      </c>
      <c r="I43" s="72" t="s">
        <v>152</v>
      </c>
      <c r="J43" s="76" t="s">
        <v>93</v>
      </c>
      <c r="K43" s="75">
        <v>46234</v>
      </c>
      <c r="L43" s="36">
        <v>46251</v>
      </c>
      <c r="M43" s="36"/>
      <c r="N43" s="83" t="s">
        <v>153</v>
      </c>
      <c r="O43" s="88" t="s">
        <v>52</v>
      </c>
      <c r="P43" s="75">
        <v>46241</v>
      </c>
      <c r="Q43" s="36"/>
      <c r="R43" s="36"/>
      <c r="S43" s="36"/>
      <c r="T43" s="33"/>
      <c r="U43" s="54">
        <v>46255</v>
      </c>
      <c r="V43" s="36"/>
      <c r="W43" s="36"/>
      <c r="X43" s="36"/>
      <c r="Y43" s="56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" x14ac:dyDescent="0.3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72" t="s">
        <v>152</v>
      </c>
      <c r="J44" s="76" t="s">
        <v>51</v>
      </c>
      <c r="K44" s="75">
        <v>46234</v>
      </c>
      <c r="L44" s="36">
        <v>46255</v>
      </c>
      <c r="M44" s="36"/>
      <c r="N44" s="83" t="s">
        <v>153</v>
      </c>
      <c r="O44" s="88" t="s">
        <v>38</v>
      </c>
      <c r="P44" s="75">
        <v>46241</v>
      </c>
      <c r="Q44" s="36"/>
      <c r="R44" s="36"/>
      <c r="S44" s="36"/>
      <c r="T44" s="33"/>
      <c r="U44" s="54">
        <v>46255</v>
      </c>
      <c r="V44" s="36"/>
      <c r="W44" s="36"/>
      <c r="X44" s="36"/>
      <c r="Y44" s="56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" x14ac:dyDescent="0.3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72" t="s">
        <v>152</v>
      </c>
      <c r="J45" s="76" t="s">
        <v>37</v>
      </c>
      <c r="K45" s="75">
        <v>46234</v>
      </c>
      <c r="L45" s="36"/>
      <c r="M45" s="36"/>
      <c r="N45" s="83" t="s">
        <v>153</v>
      </c>
      <c r="O45" s="88" t="s">
        <v>68</v>
      </c>
      <c r="P45" s="75">
        <v>46241</v>
      </c>
      <c r="Q45" s="36"/>
      <c r="R45" s="36"/>
      <c r="S45" s="36"/>
      <c r="T45" s="33"/>
      <c r="U45" s="54">
        <v>46255</v>
      </c>
      <c r="V45" s="36"/>
      <c r="W45" s="36"/>
      <c r="X45" s="36"/>
      <c r="Y45" s="56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" x14ac:dyDescent="0.3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72" t="s">
        <v>152</v>
      </c>
      <c r="J46" s="76" t="s">
        <v>76</v>
      </c>
      <c r="K46" s="75">
        <v>46234</v>
      </c>
      <c r="L46" s="36">
        <v>46213</v>
      </c>
      <c r="M46" s="36">
        <v>46213</v>
      </c>
      <c r="N46" s="83" t="s">
        <v>158</v>
      </c>
      <c r="O46" s="88" t="s">
        <v>52</v>
      </c>
      <c r="P46" s="75">
        <v>46241</v>
      </c>
      <c r="Q46" s="36"/>
      <c r="R46" s="36"/>
      <c r="S46" s="36"/>
      <c r="T46" s="33"/>
      <c r="U46" s="54">
        <v>46255</v>
      </c>
      <c r="V46" s="36"/>
      <c r="W46" s="36"/>
      <c r="X46" s="36"/>
      <c r="Y46" s="56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" x14ac:dyDescent="0.3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72" t="s">
        <v>152</v>
      </c>
      <c r="J47" s="76" t="s">
        <v>140</v>
      </c>
      <c r="K47" s="75">
        <v>46234</v>
      </c>
      <c r="L47" s="36">
        <v>46246</v>
      </c>
      <c r="M47" s="36"/>
      <c r="N47" s="83" t="s">
        <v>160</v>
      </c>
      <c r="O47" s="88" t="s">
        <v>68</v>
      </c>
      <c r="P47" s="75">
        <v>46241</v>
      </c>
      <c r="Q47" s="36"/>
      <c r="R47" s="36"/>
      <c r="S47" s="36"/>
      <c r="T47" s="33"/>
      <c r="U47" s="54">
        <v>46255</v>
      </c>
      <c r="V47" s="36"/>
      <c r="W47" s="36"/>
      <c r="X47" s="36"/>
      <c r="Y47" s="56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" x14ac:dyDescent="0.3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72" t="s">
        <v>152</v>
      </c>
      <c r="J48" s="76" t="s">
        <v>51</v>
      </c>
      <c r="K48" s="75">
        <v>46234</v>
      </c>
      <c r="L48" s="36">
        <v>46259</v>
      </c>
      <c r="M48" s="36"/>
      <c r="N48" s="83" t="s">
        <v>160</v>
      </c>
      <c r="O48" s="88" t="s">
        <v>38</v>
      </c>
      <c r="P48" s="75">
        <v>46241</v>
      </c>
      <c r="Q48" s="36"/>
      <c r="R48" s="36"/>
      <c r="S48" s="36"/>
      <c r="T48" s="33"/>
      <c r="U48" s="54">
        <v>46255</v>
      </c>
      <c r="V48" s="36"/>
      <c r="W48" s="36"/>
      <c r="X48" s="36"/>
      <c r="Y48" s="56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" x14ac:dyDescent="0.3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72" t="s">
        <v>152</v>
      </c>
      <c r="J49" s="76" t="s">
        <v>140</v>
      </c>
      <c r="K49" s="75">
        <v>46234</v>
      </c>
      <c r="L49" s="36">
        <v>46253</v>
      </c>
      <c r="M49" s="36"/>
      <c r="N49" s="83" t="s">
        <v>117</v>
      </c>
      <c r="O49" s="88" t="s">
        <v>38</v>
      </c>
      <c r="P49" s="75">
        <v>46241</v>
      </c>
      <c r="Q49" s="36"/>
      <c r="R49" s="36"/>
      <c r="S49" s="36"/>
      <c r="T49" s="33"/>
      <c r="U49" s="54">
        <v>46255</v>
      </c>
      <c r="V49" s="36"/>
      <c r="W49" s="36"/>
      <c r="X49" s="36"/>
      <c r="Y49" s="56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" x14ac:dyDescent="0.3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72" t="s">
        <v>152</v>
      </c>
      <c r="J50" s="76" t="s">
        <v>37</v>
      </c>
      <c r="K50" s="75">
        <v>46234</v>
      </c>
      <c r="L50" s="36"/>
      <c r="M50" s="36"/>
      <c r="N50" s="83" t="s">
        <v>160</v>
      </c>
      <c r="O50" s="88" t="s">
        <v>52</v>
      </c>
      <c r="P50" s="75">
        <v>46241</v>
      </c>
      <c r="Q50" s="36"/>
      <c r="R50" s="36"/>
      <c r="S50" s="36"/>
      <c r="T50" s="33"/>
      <c r="U50" s="54">
        <v>46255</v>
      </c>
      <c r="V50" s="36"/>
      <c r="W50" s="36"/>
      <c r="X50" s="36"/>
      <c r="Y50" s="56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" x14ac:dyDescent="0.3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72" t="s">
        <v>152</v>
      </c>
      <c r="J51" s="76" t="s">
        <v>76</v>
      </c>
      <c r="K51" s="75">
        <v>46234</v>
      </c>
      <c r="L51" s="36">
        <v>46255</v>
      </c>
      <c r="M51" s="36">
        <v>46255</v>
      </c>
      <c r="N51" s="83" t="s">
        <v>160</v>
      </c>
      <c r="O51" s="88" t="s">
        <v>68</v>
      </c>
      <c r="P51" s="75">
        <v>46241</v>
      </c>
      <c r="Q51" s="36"/>
      <c r="R51" s="36"/>
      <c r="S51" s="36"/>
      <c r="T51" s="33"/>
      <c r="U51" s="54">
        <v>46255</v>
      </c>
      <c r="V51" s="36"/>
      <c r="W51" s="36"/>
      <c r="X51" s="36"/>
      <c r="Y51" s="56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" x14ac:dyDescent="0.3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72" t="s">
        <v>152</v>
      </c>
      <c r="J52" s="76" t="s">
        <v>105</v>
      </c>
      <c r="K52" s="75">
        <v>46234</v>
      </c>
      <c r="L52" s="36">
        <v>46253</v>
      </c>
      <c r="M52" s="36"/>
      <c r="N52" s="83" t="s">
        <v>160</v>
      </c>
      <c r="O52" s="88" t="s">
        <v>38</v>
      </c>
      <c r="P52" s="75">
        <v>46241</v>
      </c>
      <c r="Q52" s="36"/>
      <c r="R52" s="36"/>
      <c r="S52" s="36"/>
      <c r="T52" s="33"/>
      <c r="U52" s="54">
        <v>46255</v>
      </c>
      <c r="V52" s="36"/>
      <c r="W52" s="36"/>
      <c r="X52" s="36"/>
      <c r="Y52" s="56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" x14ac:dyDescent="0.3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72" t="s">
        <v>152</v>
      </c>
      <c r="J53" s="76" t="s">
        <v>67</v>
      </c>
      <c r="K53" s="75">
        <v>46234</v>
      </c>
      <c r="L53" s="36"/>
      <c r="M53" s="36"/>
      <c r="N53" s="83" t="s">
        <v>117</v>
      </c>
      <c r="O53" s="88" t="s">
        <v>68</v>
      </c>
      <c r="P53" s="75">
        <v>46241</v>
      </c>
      <c r="Q53" s="36"/>
      <c r="R53" s="36"/>
      <c r="S53" s="36"/>
      <c r="T53" s="33"/>
      <c r="U53" s="54">
        <v>46255</v>
      </c>
      <c r="V53" s="36"/>
      <c r="W53" s="36"/>
      <c r="X53" s="36"/>
      <c r="Y53" s="56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" x14ac:dyDescent="0.3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72" t="s">
        <v>152</v>
      </c>
      <c r="J54" s="76"/>
      <c r="K54" s="75">
        <v>46234</v>
      </c>
      <c r="L54" s="36"/>
      <c r="M54" s="36"/>
      <c r="N54" s="84"/>
      <c r="O54" s="88" t="s">
        <v>52</v>
      </c>
      <c r="P54" s="75">
        <v>46241</v>
      </c>
      <c r="Q54" s="36"/>
      <c r="R54" s="36"/>
      <c r="S54" s="36"/>
      <c r="T54" s="33"/>
      <c r="U54" s="54">
        <v>46255</v>
      </c>
      <c r="V54" s="36"/>
      <c r="W54" s="36"/>
      <c r="X54" s="36"/>
      <c r="Y54" s="56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" hidden="1" x14ac:dyDescent="0.3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3" t="s">
        <v>169</v>
      </c>
      <c r="J55" s="33"/>
      <c r="K55" s="57">
        <v>46262</v>
      </c>
      <c r="L55" s="36"/>
      <c r="M55" s="36"/>
      <c r="N55" s="36"/>
      <c r="O55" s="33"/>
      <c r="P55" s="52">
        <v>46269</v>
      </c>
      <c r="Q55" s="36"/>
      <c r="R55" s="36"/>
      <c r="S55" s="36"/>
      <c r="T55" s="33"/>
      <c r="U55" s="54">
        <v>46276</v>
      </c>
      <c r="V55" s="36"/>
      <c r="W55" s="36"/>
      <c r="X55" s="36"/>
      <c r="Y55" s="56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" hidden="1" x14ac:dyDescent="0.3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3" t="s">
        <v>169</v>
      </c>
      <c r="J56" s="33"/>
      <c r="K56" s="57">
        <v>46262</v>
      </c>
      <c r="L56" s="36"/>
      <c r="M56" s="36"/>
      <c r="N56" s="36"/>
      <c r="O56" s="33"/>
      <c r="P56" s="52">
        <v>46269</v>
      </c>
      <c r="Q56" s="36"/>
      <c r="R56" s="36"/>
      <c r="S56" s="36"/>
      <c r="T56" s="33"/>
      <c r="U56" s="54">
        <v>46276</v>
      </c>
      <c r="V56" s="36"/>
      <c r="W56" s="36"/>
      <c r="X56" s="36"/>
      <c r="Y56" s="56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" hidden="1" x14ac:dyDescent="0.3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3" t="s">
        <v>169</v>
      </c>
      <c r="J57" s="33"/>
      <c r="K57" s="57">
        <v>46262</v>
      </c>
      <c r="L57" s="36"/>
      <c r="M57" s="36"/>
      <c r="N57" s="36"/>
      <c r="O57" s="33"/>
      <c r="P57" s="52">
        <v>46269</v>
      </c>
      <c r="Q57" s="36"/>
      <c r="R57" s="36"/>
      <c r="S57" s="36"/>
      <c r="T57" s="33"/>
      <c r="U57" s="54">
        <v>46276</v>
      </c>
      <c r="V57" s="36"/>
      <c r="W57" s="36"/>
      <c r="X57" s="36"/>
      <c r="Y57" s="56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" hidden="1" x14ac:dyDescent="0.3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3" t="s">
        <v>169</v>
      </c>
      <c r="J58" s="33"/>
      <c r="K58" s="57">
        <v>46262</v>
      </c>
      <c r="L58" s="36"/>
      <c r="M58" s="36"/>
      <c r="N58" s="36"/>
      <c r="O58" s="33"/>
      <c r="P58" s="52">
        <v>46269</v>
      </c>
      <c r="Q58" s="36"/>
      <c r="R58" s="36"/>
      <c r="S58" s="36"/>
      <c r="T58" s="33"/>
      <c r="U58" s="54">
        <v>46276</v>
      </c>
      <c r="V58" s="36"/>
      <c r="W58" s="36"/>
      <c r="X58" s="36"/>
      <c r="Y58" s="56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" hidden="1" x14ac:dyDescent="0.3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3" t="s">
        <v>169</v>
      </c>
      <c r="J59" s="33"/>
      <c r="K59" s="57">
        <v>46262</v>
      </c>
      <c r="L59" s="36"/>
      <c r="M59" s="36"/>
      <c r="N59" s="36"/>
      <c r="O59" s="33"/>
      <c r="P59" s="52">
        <v>46269</v>
      </c>
      <c r="Q59" s="36"/>
      <c r="R59" s="36"/>
      <c r="S59" s="36"/>
      <c r="T59" s="33"/>
      <c r="U59" s="54">
        <v>46276</v>
      </c>
      <c r="V59" s="36"/>
      <c r="W59" s="36"/>
      <c r="X59" s="36"/>
      <c r="Y59" s="56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" hidden="1" x14ac:dyDescent="0.3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3" t="s">
        <v>169</v>
      </c>
      <c r="J60" s="33"/>
      <c r="K60" s="57">
        <v>46262</v>
      </c>
      <c r="L60" s="36"/>
      <c r="M60" s="36"/>
      <c r="N60" s="36"/>
      <c r="O60" s="33"/>
      <c r="P60" s="52">
        <v>46269</v>
      </c>
      <c r="Q60" s="36"/>
      <c r="R60" s="36"/>
      <c r="S60" s="36"/>
      <c r="T60" s="33"/>
      <c r="U60" s="54">
        <v>46276</v>
      </c>
      <c r="V60" s="36"/>
      <c r="W60" s="36"/>
      <c r="X60" s="36"/>
      <c r="Y60" s="56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" hidden="1" x14ac:dyDescent="0.3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3" t="s">
        <v>169</v>
      </c>
      <c r="J61" s="33"/>
      <c r="K61" s="57">
        <v>46262</v>
      </c>
      <c r="L61" s="36"/>
      <c r="M61" s="36"/>
      <c r="N61" s="36"/>
      <c r="O61" s="33"/>
      <c r="P61" s="52">
        <v>46269</v>
      </c>
      <c r="Q61" s="36"/>
      <c r="R61" s="36"/>
      <c r="S61" s="36"/>
      <c r="T61" s="33"/>
      <c r="U61" s="54">
        <v>46276</v>
      </c>
      <c r="V61" s="36"/>
      <c r="W61" s="36"/>
      <c r="X61" s="36"/>
      <c r="Y61" s="56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" hidden="1" x14ac:dyDescent="0.3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3" t="s">
        <v>169</v>
      </c>
      <c r="J62" s="33"/>
      <c r="K62" s="57">
        <v>46262</v>
      </c>
      <c r="L62" s="36"/>
      <c r="M62" s="36"/>
      <c r="N62" s="36"/>
      <c r="O62" s="33"/>
      <c r="P62" s="52">
        <v>46269</v>
      </c>
      <c r="Q62" s="36"/>
      <c r="R62" s="36"/>
      <c r="S62" s="36"/>
      <c r="T62" s="33"/>
      <c r="U62" s="54">
        <v>46276</v>
      </c>
      <c r="V62" s="36"/>
      <c r="W62" s="36"/>
      <c r="X62" s="36"/>
      <c r="Y62" s="56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" hidden="1" x14ac:dyDescent="0.3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3" t="s">
        <v>169</v>
      </c>
      <c r="J63" s="33"/>
      <c r="K63" s="57">
        <v>46276</v>
      </c>
      <c r="L63" s="36"/>
      <c r="M63" s="36"/>
      <c r="N63" s="36"/>
      <c r="O63" s="33"/>
      <c r="P63" s="52">
        <v>46286</v>
      </c>
      <c r="Q63" s="36"/>
      <c r="R63" s="36"/>
      <c r="S63" s="36"/>
      <c r="T63" s="33"/>
      <c r="U63" s="54">
        <v>46290</v>
      </c>
      <c r="V63" s="36"/>
      <c r="W63" s="36"/>
      <c r="X63" s="36"/>
      <c r="Y63" s="56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" hidden="1" x14ac:dyDescent="0.3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3" t="s">
        <v>169</v>
      </c>
      <c r="J64" s="33"/>
      <c r="K64" s="57">
        <v>46276</v>
      </c>
      <c r="L64" s="36"/>
      <c r="M64" s="36"/>
      <c r="N64" s="36"/>
      <c r="O64" s="33"/>
      <c r="P64" s="52">
        <v>46286</v>
      </c>
      <c r="Q64" s="36"/>
      <c r="R64" s="36"/>
      <c r="S64" s="36"/>
      <c r="T64" s="33"/>
      <c r="U64" s="54">
        <v>46290</v>
      </c>
      <c r="V64" s="36"/>
      <c r="W64" s="36"/>
      <c r="X64" s="36"/>
      <c r="Y64" s="56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" hidden="1" x14ac:dyDescent="0.3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3" t="s">
        <v>169</v>
      </c>
      <c r="J65" s="33"/>
      <c r="K65" s="57">
        <v>46276</v>
      </c>
      <c r="L65" s="36"/>
      <c r="M65" s="36"/>
      <c r="N65" s="36"/>
      <c r="O65" s="33"/>
      <c r="P65" s="52">
        <v>46286</v>
      </c>
      <c r="Q65" s="36"/>
      <c r="R65" s="36"/>
      <c r="S65" s="36"/>
      <c r="T65" s="33"/>
      <c r="U65" s="54">
        <v>46290</v>
      </c>
      <c r="V65" s="36"/>
      <c r="W65" s="36"/>
      <c r="X65" s="36"/>
      <c r="Y65" s="56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" hidden="1" x14ac:dyDescent="0.3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3" t="s">
        <v>169</v>
      </c>
      <c r="J66" s="33"/>
      <c r="K66" s="57">
        <v>46276</v>
      </c>
      <c r="L66" s="36"/>
      <c r="M66" s="36"/>
      <c r="N66" s="36"/>
      <c r="O66" s="33"/>
      <c r="P66" s="52">
        <v>46286</v>
      </c>
      <c r="Q66" s="36"/>
      <c r="R66" s="36"/>
      <c r="S66" s="36"/>
      <c r="T66" s="33"/>
      <c r="U66" s="54">
        <v>46290</v>
      </c>
      <c r="V66" s="36"/>
      <c r="W66" s="36"/>
      <c r="X66" s="36"/>
      <c r="Y66" s="56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" hidden="1" x14ac:dyDescent="0.3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3" t="s">
        <v>169</v>
      </c>
      <c r="J67" s="33"/>
      <c r="K67" s="57">
        <v>46276</v>
      </c>
      <c r="L67" s="36"/>
      <c r="M67" s="36"/>
      <c r="N67" s="36"/>
      <c r="O67" s="33"/>
      <c r="P67" s="52">
        <v>46286</v>
      </c>
      <c r="Q67" s="36"/>
      <c r="R67" s="36"/>
      <c r="S67" s="36"/>
      <c r="T67" s="33"/>
      <c r="U67" s="54">
        <v>46290</v>
      </c>
      <c r="V67" s="36"/>
      <c r="W67" s="36"/>
      <c r="X67" s="36"/>
      <c r="Y67" s="56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" hidden="1" x14ac:dyDescent="0.3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3" t="s">
        <v>169</v>
      </c>
      <c r="J68" s="33"/>
      <c r="K68" s="57">
        <v>46276</v>
      </c>
      <c r="L68" s="36"/>
      <c r="M68" s="36"/>
      <c r="N68" s="36"/>
      <c r="O68" s="33"/>
      <c r="P68" s="52">
        <v>46286</v>
      </c>
      <c r="Q68" s="36"/>
      <c r="R68" s="36"/>
      <c r="S68" s="36"/>
      <c r="T68" s="33"/>
      <c r="U68" s="54">
        <v>46290</v>
      </c>
      <c r="V68" s="36"/>
      <c r="W68" s="36"/>
      <c r="X68" s="36"/>
      <c r="Y68" s="56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" hidden="1" x14ac:dyDescent="0.3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3" t="s">
        <v>169</v>
      </c>
      <c r="J69" s="33"/>
      <c r="K69" s="57">
        <v>46276</v>
      </c>
      <c r="L69" s="36"/>
      <c r="M69" s="36"/>
      <c r="N69" s="36"/>
      <c r="O69" s="33"/>
      <c r="P69" s="52">
        <v>46286</v>
      </c>
      <c r="Q69" s="36"/>
      <c r="R69" s="36"/>
      <c r="S69" s="36"/>
      <c r="T69" s="33"/>
      <c r="U69" s="54">
        <v>46290</v>
      </c>
      <c r="V69" s="36"/>
      <c r="W69" s="36"/>
      <c r="X69" s="36"/>
      <c r="Y69" s="56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" hidden="1" x14ac:dyDescent="0.3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3" t="s">
        <v>169</v>
      </c>
      <c r="J70" s="33"/>
      <c r="K70" s="57">
        <v>46276</v>
      </c>
      <c r="L70" s="36"/>
      <c r="M70" s="36"/>
      <c r="N70" s="36"/>
      <c r="O70" s="33"/>
      <c r="P70" s="52">
        <v>46286</v>
      </c>
      <c r="Q70" s="36"/>
      <c r="R70" s="36"/>
      <c r="S70" s="36"/>
      <c r="T70" s="33"/>
      <c r="U70" s="54">
        <v>46290</v>
      </c>
      <c r="V70" s="36"/>
      <c r="W70" s="36"/>
      <c r="X70" s="36"/>
      <c r="Y70" s="56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" hidden="1" x14ac:dyDescent="0.3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3" t="s">
        <v>169</v>
      </c>
      <c r="J71" s="33"/>
      <c r="K71" s="57">
        <v>46276</v>
      </c>
      <c r="L71" s="36"/>
      <c r="M71" s="36"/>
      <c r="N71" s="36"/>
      <c r="O71" s="33"/>
      <c r="P71" s="52">
        <v>46286</v>
      </c>
      <c r="Q71" s="36"/>
      <c r="R71" s="36"/>
      <c r="S71" s="36"/>
      <c r="T71" s="33"/>
      <c r="U71" s="54">
        <v>46290</v>
      </c>
      <c r="V71" s="36"/>
      <c r="W71" s="36"/>
      <c r="X71" s="36"/>
      <c r="Y71" s="56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" hidden="1" x14ac:dyDescent="0.3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3" t="s">
        <v>169</v>
      </c>
      <c r="J72" s="33"/>
      <c r="K72" s="57">
        <v>46276</v>
      </c>
      <c r="L72" s="36"/>
      <c r="M72" s="36"/>
      <c r="N72" s="36"/>
      <c r="O72" s="33"/>
      <c r="P72" s="52">
        <v>46286</v>
      </c>
      <c r="Q72" s="36"/>
      <c r="R72" s="36"/>
      <c r="S72" s="36"/>
      <c r="T72" s="33"/>
      <c r="U72" s="54">
        <v>46290</v>
      </c>
      <c r="V72" s="36"/>
      <c r="W72" s="36"/>
      <c r="X72" s="36"/>
      <c r="Y72" s="56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" hidden="1" x14ac:dyDescent="0.3">
      <c r="A73" s="31" t="s">
        <v>112</v>
      </c>
      <c r="B73" s="31"/>
      <c r="C73" s="31"/>
      <c r="D73" s="3"/>
      <c r="E73" s="31"/>
      <c r="F73" s="31"/>
      <c r="G73" s="31"/>
      <c r="H73" s="51"/>
      <c r="I73"/>
      <c r="J73" s="31"/>
      <c r="K73" s="51"/>
      <c r="L73" s="43"/>
      <c r="M73" s="44"/>
      <c r="N73" s="44"/>
      <c r="O73" s="31"/>
      <c r="P73" s="51"/>
      <c r="Q73" s="43"/>
      <c r="R73" s="44"/>
      <c r="S73" s="44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" x14ac:dyDescent="0.3">
      <c r="A74" s="31"/>
      <c r="B74" s="31"/>
      <c r="C74" s="31"/>
      <c r="E74" s="31"/>
      <c r="F74" s="31"/>
      <c r="G74" s="31"/>
      <c r="J74" s="77"/>
      <c r="L74" s="31"/>
      <c r="M74" s="31"/>
      <c r="N74" s="85"/>
      <c r="O74" s="77"/>
      <c r="Q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" x14ac:dyDescent="0.3">
      <c r="A75" s="31"/>
      <c r="B75" s="31"/>
      <c r="C75" s="31"/>
      <c r="E75" s="31"/>
      <c r="F75" s="31"/>
      <c r="G75" s="31"/>
      <c r="J75" s="77"/>
      <c r="L75" s="31"/>
      <c r="M75" s="31"/>
      <c r="N75" s="85"/>
      <c r="O75" s="77"/>
      <c r="Q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" x14ac:dyDescent="0.3">
      <c r="A76" s="31"/>
      <c r="B76" s="31"/>
      <c r="C76" s="31"/>
      <c r="E76" s="31"/>
      <c r="F76" s="31"/>
      <c r="G76" s="31"/>
      <c r="J76" s="77"/>
      <c r="L76" s="31"/>
      <c r="M76" s="31"/>
      <c r="N76" s="85"/>
      <c r="O76" s="77"/>
      <c r="Q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" x14ac:dyDescent="0.3">
      <c r="A77" s="31"/>
      <c r="B77" s="31"/>
      <c r="C77" s="31"/>
      <c r="E77" s="31"/>
      <c r="F77" s="31"/>
      <c r="G77" s="31"/>
      <c r="J77" s="77"/>
      <c r="L77" s="31"/>
      <c r="M77" s="31"/>
      <c r="N77" s="85"/>
      <c r="O77" s="77"/>
      <c r="Q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" x14ac:dyDescent="0.3">
      <c r="A78" s="31"/>
      <c r="B78" s="31"/>
      <c r="C78" s="31"/>
      <c r="E78" s="31"/>
      <c r="F78" s="31"/>
      <c r="G78" s="31"/>
      <c r="J78" s="77"/>
      <c r="L78" s="31"/>
      <c r="M78" s="31"/>
      <c r="N78" s="85"/>
      <c r="O78" s="77"/>
      <c r="Q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" x14ac:dyDescent="0.3">
      <c r="A79" s="31"/>
      <c r="B79" s="31"/>
      <c r="C79" s="31"/>
      <c r="E79" s="31"/>
      <c r="F79" s="31"/>
      <c r="G79" s="31"/>
      <c r="J79" s="77"/>
      <c r="L79" s="31"/>
      <c r="M79" s="31"/>
      <c r="N79" s="85"/>
      <c r="O79" s="77"/>
      <c r="Q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" x14ac:dyDescent="0.3">
      <c r="A80" s="31"/>
      <c r="B80" s="31"/>
      <c r="C80" s="31"/>
      <c r="E80" s="31"/>
      <c r="F80" s="31"/>
      <c r="G80" s="31"/>
      <c r="J80" s="77"/>
      <c r="L80" s="31"/>
      <c r="M80" s="31"/>
      <c r="N80" s="85"/>
      <c r="O80" s="77"/>
      <c r="Q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" x14ac:dyDescent="0.3">
      <c r="A81" s="31"/>
      <c r="B81" s="31"/>
      <c r="C81" s="31"/>
      <c r="E81" s="31"/>
      <c r="F81" s="31"/>
      <c r="G81" s="31"/>
      <c r="J81" s="77"/>
      <c r="L81" s="31"/>
      <c r="M81" s="31"/>
      <c r="N81" s="85"/>
      <c r="O81" s="77"/>
      <c r="Q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" x14ac:dyDescent="0.3">
      <c r="A82" s="31"/>
      <c r="B82" s="31"/>
      <c r="C82" s="31"/>
      <c r="E82" s="31"/>
      <c r="F82" s="31"/>
      <c r="G82" s="31"/>
      <c r="J82" s="77"/>
      <c r="L82" s="31"/>
      <c r="M82" s="31"/>
      <c r="N82" s="85"/>
      <c r="O82" s="77"/>
      <c r="Q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" x14ac:dyDescent="0.3">
      <c r="A83" s="31"/>
      <c r="B83" s="31"/>
      <c r="C83" s="31"/>
      <c r="E83" s="31"/>
      <c r="F83" s="31"/>
      <c r="G83" s="31"/>
      <c r="J83" s="77"/>
      <c r="L83" s="31"/>
      <c r="M83" s="31"/>
      <c r="N83" s="85"/>
      <c r="O83" s="77"/>
      <c r="Q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" x14ac:dyDescent="0.3">
      <c r="A84" s="31"/>
      <c r="B84" s="31"/>
      <c r="C84" s="31"/>
      <c r="E84" s="31"/>
      <c r="F84" s="31"/>
      <c r="G84" s="31"/>
      <c r="J84" s="77"/>
      <c r="L84" s="31"/>
      <c r="M84" s="31"/>
      <c r="N84" s="85"/>
      <c r="O84" s="77"/>
      <c r="Q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" x14ac:dyDescent="0.3">
      <c r="A85" s="31"/>
      <c r="B85" s="31"/>
      <c r="C85" s="31"/>
      <c r="E85" s="31"/>
      <c r="F85" s="31"/>
      <c r="G85" s="31"/>
      <c r="J85" s="77"/>
      <c r="L85" s="31"/>
      <c r="M85" s="31"/>
      <c r="N85" s="85"/>
      <c r="O85" s="77"/>
      <c r="Q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" x14ac:dyDescent="0.3">
      <c r="A86" s="31"/>
      <c r="B86" s="31"/>
      <c r="C86" s="31"/>
      <c r="E86" s="31"/>
      <c r="F86" s="31"/>
      <c r="G86" s="31"/>
      <c r="J86" s="77"/>
      <c r="L86" s="31"/>
      <c r="M86" s="31"/>
      <c r="N86" s="85"/>
      <c r="O86" s="77"/>
      <c r="Q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" x14ac:dyDescent="0.3">
      <c r="A87" s="31"/>
      <c r="B87" s="31"/>
      <c r="C87" s="31"/>
      <c r="E87" s="31"/>
      <c r="F87" s="31"/>
      <c r="G87" s="31"/>
      <c r="J87" s="77"/>
      <c r="L87" s="31"/>
      <c r="M87" s="31"/>
      <c r="N87" s="85"/>
      <c r="O87" s="77"/>
      <c r="Q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" x14ac:dyDescent="0.3">
      <c r="A88" s="31"/>
      <c r="B88" s="31"/>
      <c r="C88" s="31"/>
      <c r="E88" s="31"/>
      <c r="F88" s="31"/>
      <c r="G88" s="31"/>
      <c r="J88" s="77"/>
      <c r="L88" s="31"/>
      <c r="M88" s="31"/>
      <c r="N88" s="85"/>
      <c r="O88" s="77"/>
      <c r="Q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" x14ac:dyDescent="0.3">
      <c r="A89" s="31"/>
      <c r="B89" s="31"/>
      <c r="C89" s="31"/>
      <c r="E89" s="31"/>
      <c r="F89" s="31"/>
      <c r="G89" s="31"/>
      <c r="J89" s="77"/>
      <c r="L89" s="31"/>
      <c r="M89" s="31"/>
      <c r="N89" s="85"/>
      <c r="O89" s="77"/>
      <c r="Q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" x14ac:dyDescent="0.3">
      <c r="A90" s="31"/>
      <c r="B90" s="31"/>
      <c r="C90" s="31"/>
      <c r="E90" s="31"/>
      <c r="F90" s="31"/>
      <c r="G90" s="31"/>
      <c r="J90" s="77"/>
      <c r="L90" s="31"/>
      <c r="M90" s="31"/>
      <c r="N90" s="85"/>
      <c r="O90" s="77"/>
      <c r="Q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" x14ac:dyDescent="0.3">
      <c r="A91" s="31"/>
      <c r="B91" s="31"/>
      <c r="C91" s="31"/>
      <c r="E91" s="31"/>
      <c r="F91" s="31"/>
      <c r="G91" s="31"/>
      <c r="J91" s="77"/>
      <c r="L91" s="31"/>
      <c r="M91" s="31"/>
      <c r="N91" s="85"/>
      <c r="O91" s="77"/>
      <c r="Q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" x14ac:dyDescent="0.3">
      <c r="A92" s="31"/>
      <c r="B92" s="31"/>
      <c r="C92" s="31"/>
      <c r="E92" s="31"/>
      <c r="F92" s="31"/>
      <c r="G92" s="31"/>
      <c r="J92" s="77"/>
      <c r="L92" s="31"/>
      <c r="M92" s="31"/>
      <c r="N92" s="85"/>
      <c r="O92" s="77"/>
      <c r="Q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" x14ac:dyDescent="0.3">
      <c r="A93" s="31"/>
      <c r="B93" s="31"/>
      <c r="C93" s="31"/>
      <c r="E93" s="31"/>
      <c r="F93" s="31"/>
      <c r="G93" s="31"/>
      <c r="J93" s="77"/>
      <c r="L93" s="31"/>
      <c r="M93" s="31"/>
      <c r="N93" s="85"/>
      <c r="O93" s="77"/>
      <c r="Q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" x14ac:dyDescent="0.3">
      <c r="A94" s="31"/>
      <c r="B94" s="31"/>
      <c r="C94" s="31"/>
      <c r="E94" s="31"/>
      <c r="F94" s="31"/>
      <c r="G94" s="31"/>
      <c r="J94" s="77"/>
      <c r="L94" s="31"/>
      <c r="M94" s="31"/>
      <c r="N94" s="85"/>
      <c r="O94" s="77"/>
      <c r="Q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" x14ac:dyDescent="0.3">
      <c r="A95" s="31"/>
      <c r="B95" s="31"/>
      <c r="C95" s="31"/>
      <c r="E95" s="31"/>
      <c r="F95" s="31"/>
      <c r="G95" s="31"/>
      <c r="J95" s="77"/>
      <c r="L95" s="31"/>
      <c r="M95" s="31"/>
      <c r="N95" s="85"/>
      <c r="O95" s="77"/>
      <c r="Q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" x14ac:dyDescent="0.3">
      <c r="A96" s="31"/>
      <c r="B96" s="31"/>
      <c r="C96" s="31"/>
      <c r="E96" s="31"/>
      <c r="F96" s="31"/>
      <c r="G96" s="31"/>
      <c r="J96" s="77"/>
      <c r="L96" s="31"/>
      <c r="M96" s="31"/>
      <c r="N96" s="85"/>
      <c r="O96" s="77"/>
      <c r="Q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" x14ac:dyDescent="0.3">
      <c r="A97" s="31"/>
      <c r="B97" s="31"/>
      <c r="C97" s="31"/>
      <c r="E97" s="31"/>
      <c r="F97" s="31"/>
      <c r="G97" s="31"/>
      <c r="J97" s="77"/>
      <c r="L97" s="31"/>
      <c r="M97" s="31"/>
      <c r="N97" s="85"/>
      <c r="O97" s="77"/>
      <c r="Q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" x14ac:dyDescent="0.3">
      <c r="A98" s="31"/>
      <c r="B98" s="31"/>
      <c r="C98" s="31"/>
      <c r="E98" s="31"/>
      <c r="F98" s="31"/>
      <c r="G98" s="31"/>
      <c r="J98" s="77"/>
      <c r="L98" s="31"/>
      <c r="M98" s="31"/>
      <c r="N98" s="85"/>
      <c r="O98" s="77"/>
      <c r="Q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" x14ac:dyDescent="0.3">
      <c r="A99" s="31"/>
      <c r="B99" s="31"/>
      <c r="C99" s="31"/>
      <c r="E99" s="31"/>
      <c r="F99" s="31"/>
      <c r="G99" s="31"/>
      <c r="J99" s="77"/>
      <c r="L99" s="31"/>
      <c r="M99" s="31"/>
      <c r="N99" s="85"/>
      <c r="O99" s="77"/>
      <c r="Q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" x14ac:dyDescent="0.3">
      <c r="A100" s="31"/>
      <c r="B100" s="31"/>
      <c r="C100" s="31"/>
      <c r="E100" s="31"/>
      <c r="F100" s="31"/>
      <c r="G100" s="31"/>
      <c r="J100" s="77"/>
      <c r="L100" s="31"/>
      <c r="M100" s="31"/>
      <c r="N100" s="85"/>
      <c r="O100" s="77"/>
      <c r="Q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" x14ac:dyDescent="0.3">
      <c r="A101" s="31"/>
      <c r="B101" s="31"/>
      <c r="C101" s="31"/>
      <c r="E101" s="31"/>
      <c r="F101" s="31"/>
      <c r="G101" s="31"/>
      <c r="J101" s="77"/>
      <c r="L101" s="31"/>
      <c r="M101" s="31"/>
      <c r="N101" s="85"/>
      <c r="O101" s="77"/>
      <c r="Q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" x14ac:dyDescent="0.3">
      <c r="A102" s="31"/>
      <c r="B102" s="31"/>
      <c r="C102" s="31"/>
      <c r="E102" s="31"/>
      <c r="F102" s="31"/>
      <c r="G102" s="31"/>
      <c r="J102" s="77"/>
      <c r="L102" s="31"/>
      <c r="M102" s="31"/>
      <c r="N102" s="85"/>
      <c r="O102" s="77"/>
      <c r="Q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" x14ac:dyDescent="0.3">
      <c r="A103" s="31"/>
      <c r="B103" s="31"/>
      <c r="C103" s="31"/>
      <c r="E103" s="31"/>
      <c r="F103" s="31"/>
      <c r="G103" s="31"/>
      <c r="J103" s="77"/>
      <c r="L103" s="31"/>
      <c r="M103" s="31"/>
      <c r="N103" s="85"/>
      <c r="O103" s="77"/>
      <c r="Q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" x14ac:dyDescent="0.3">
      <c r="A104" s="31"/>
      <c r="B104" s="31"/>
      <c r="C104" s="31"/>
      <c r="E104" s="31"/>
      <c r="F104" s="31"/>
      <c r="G104" s="31"/>
      <c r="J104" s="77"/>
      <c r="L104" s="31"/>
      <c r="M104" s="31"/>
      <c r="N104" s="85"/>
      <c r="O104" s="77"/>
      <c r="Q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" x14ac:dyDescent="0.3">
      <c r="A105" s="31"/>
      <c r="B105" s="31"/>
      <c r="C105" s="31"/>
      <c r="E105" s="31"/>
      <c r="F105" s="31"/>
      <c r="G105" s="31"/>
      <c r="J105" s="77"/>
      <c r="L105" s="31"/>
      <c r="M105" s="31"/>
      <c r="N105" s="85"/>
      <c r="O105" s="77"/>
      <c r="Q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" x14ac:dyDescent="0.3">
      <c r="A106" s="31"/>
      <c r="B106" s="31"/>
      <c r="C106" s="31"/>
      <c r="E106" s="31"/>
      <c r="F106" s="31"/>
      <c r="G106" s="31"/>
      <c r="J106" s="77"/>
      <c r="L106" s="31"/>
      <c r="M106" s="31"/>
      <c r="N106" s="85"/>
      <c r="O106" s="77"/>
      <c r="Q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" x14ac:dyDescent="0.3">
      <c r="A107" s="31"/>
      <c r="B107" s="31"/>
      <c r="C107" s="31"/>
      <c r="E107" s="31"/>
      <c r="F107" s="31"/>
      <c r="G107" s="31"/>
      <c r="J107" s="77"/>
      <c r="L107" s="31"/>
      <c r="M107" s="31"/>
      <c r="N107" s="85"/>
      <c r="O107" s="77"/>
      <c r="Q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" x14ac:dyDescent="0.3">
      <c r="A108" s="31"/>
      <c r="B108" s="31"/>
      <c r="C108" s="31"/>
      <c r="E108" s="31"/>
      <c r="F108" s="31"/>
      <c r="G108" s="31"/>
      <c r="J108" s="77"/>
      <c r="L108" s="31"/>
      <c r="M108" s="31"/>
      <c r="N108" s="85"/>
      <c r="O108" s="77"/>
      <c r="Q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" x14ac:dyDescent="0.3">
      <c r="A109" s="31"/>
      <c r="B109" s="31"/>
      <c r="C109" s="31"/>
      <c r="E109" s="31"/>
      <c r="F109" s="31"/>
      <c r="G109" s="31"/>
      <c r="J109" s="77"/>
      <c r="L109" s="31"/>
      <c r="M109" s="31"/>
      <c r="N109" s="85"/>
      <c r="O109" s="77"/>
      <c r="Q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" x14ac:dyDescent="0.3">
      <c r="A110" s="31"/>
      <c r="B110" s="31"/>
      <c r="C110" s="31"/>
      <c r="E110" s="31"/>
      <c r="F110" s="31"/>
      <c r="G110" s="31"/>
      <c r="J110" s="77"/>
      <c r="L110" s="31"/>
      <c r="M110" s="31"/>
      <c r="N110" s="85"/>
      <c r="O110" s="77"/>
      <c r="Q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" x14ac:dyDescent="0.3">
      <c r="A111" s="31"/>
      <c r="B111" s="31"/>
      <c r="C111" s="31"/>
      <c r="E111" s="31"/>
      <c r="F111" s="31"/>
      <c r="G111" s="31"/>
      <c r="J111" s="77"/>
      <c r="L111" s="31"/>
      <c r="M111" s="31"/>
      <c r="N111" s="85"/>
      <c r="O111" s="77"/>
      <c r="Q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" x14ac:dyDescent="0.3">
      <c r="A112" s="31"/>
      <c r="B112" s="31"/>
      <c r="C112" s="31"/>
      <c r="E112" s="31"/>
      <c r="F112" s="31"/>
      <c r="G112" s="31"/>
      <c r="J112" s="77"/>
      <c r="L112" s="31"/>
      <c r="M112" s="31"/>
      <c r="N112" s="85"/>
      <c r="O112" s="77"/>
      <c r="Q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" x14ac:dyDescent="0.3">
      <c r="A113" s="31"/>
      <c r="B113" s="31"/>
      <c r="C113" s="31"/>
      <c r="E113" s="31"/>
      <c r="F113" s="31"/>
      <c r="G113" s="31"/>
      <c r="J113" s="77"/>
      <c r="L113" s="31"/>
      <c r="M113" s="31"/>
      <c r="N113" s="85"/>
      <c r="O113" s="77"/>
      <c r="Q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" x14ac:dyDescent="0.3">
      <c r="A114" s="31"/>
      <c r="B114" s="31"/>
      <c r="C114" s="31"/>
      <c r="E114" s="31"/>
      <c r="F114" s="31"/>
      <c r="G114" s="31"/>
      <c r="J114" s="77"/>
      <c r="L114" s="31"/>
      <c r="M114" s="31"/>
      <c r="N114" s="85"/>
      <c r="O114" s="77"/>
      <c r="Q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" x14ac:dyDescent="0.3">
      <c r="A115" s="31"/>
      <c r="B115" s="31"/>
      <c r="C115" s="31"/>
      <c r="E115" s="31"/>
      <c r="F115" s="31"/>
      <c r="G115" s="31"/>
      <c r="J115" s="77"/>
      <c r="L115" s="31"/>
      <c r="M115" s="31"/>
      <c r="N115" s="85"/>
      <c r="O115" s="77"/>
      <c r="Q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" x14ac:dyDescent="0.3">
      <c r="A116" s="31"/>
      <c r="B116" s="31"/>
      <c r="C116" s="31"/>
      <c r="E116" s="31"/>
      <c r="F116" s="31"/>
      <c r="G116" s="31"/>
      <c r="J116" s="77"/>
      <c r="L116" s="31"/>
      <c r="M116" s="31"/>
      <c r="N116" s="85"/>
      <c r="O116" s="77"/>
      <c r="Q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" x14ac:dyDescent="0.3">
      <c r="A117" s="31"/>
      <c r="B117" s="31"/>
      <c r="C117" s="31"/>
      <c r="E117" s="31"/>
      <c r="F117" s="31"/>
      <c r="G117" s="31"/>
      <c r="J117" s="77"/>
      <c r="L117" s="31"/>
      <c r="M117" s="31"/>
      <c r="N117" s="85"/>
      <c r="O117" s="77"/>
      <c r="Q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" x14ac:dyDescent="0.3">
      <c r="A118" s="31"/>
      <c r="B118" s="31"/>
      <c r="C118" s="31"/>
      <c r="E118" s="31"/>
      <c r="F118" s="31"/>
      <c r="G118" s="31"/>
      <c r="J118" s="77"/>
      <c r="L118" s="31"/>
      <c r="M118" s="31"/>
      <c r="N118" s="85"/>
      <c r="O118" s="77"/>
      <c r="Q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" x14ac:dyDescent="0.3">
      <c r="A119" s="31"/>
      <c r="B119" s="31"/>
      <c r="C119" s="31"/>
      <c r="E119" s="31"/>
      <c r="F119" s="31"/>
      <c r="G119" s="31"/>
      <c r="J119" s="77"/>
      <c r="L119" s="31"/>
      <c r="M119" s="31"/>
      <c r="N119" s="85"/>
      <c r="O119" s="77"/>
      <c r="Q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" x14ac:dyDescent="0.3">
      <c r="A120" s="31"/>
      <c r="B120" s="31"/>
      <c r="C120" s="31"/>
      <c r="E120" s="31"/>
      <c r="F120" s="31"/>
      <c r="G120" s="31"/>
      <c r="J120" s="77"/>
      <c r="L120" s="31"/>
      <c r="M120" s="31"/>
      <c r="N120" s="85"/>
      <c r="O120" s="77"/>
      <c r="Q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" x14ac:dyDescent="0.3">
      <c r="A121" s="31"/>
      <c r="B121" s="31"/>
      <c r="C121" s="31"/>
      <c r="E121" s="31"/>
      <c r="F121" s="31"/>
      <c r="G121" s="31"/>
      <c r="J121" s="77"/>
      <c r="L121" s="31"/>
      <c r="M121" s="31"/>
      <c r="N121" s="85"/>
      <c r="O121" s="77"/>
      <c r="Q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" x14ac:dyDescent="0.3">
      <c r="A122" s="31"/>
      <c r="B122" s="31"/>
      <c r="C122" s="31"/>
      <c r="E122" s="31"/>
      <c r="F122" s="31"/>
      <c r="G122" s="31"/>
      <c r="J122" s="77"/>
      <c r="L122" s="31"/>
      <c r="M122" s="31"/>
      <c r="N122" s="85"/>
      <c r="O122" s="77"/>
      <c r="Q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" x14ac:dyDescent="0.3">
      <c r="A123" s="31"/>
      <c r="B123" s="31"/>
      <c r="C123" s="31"/>
      <c r="E123" s="31"/>
      <c r="F123" s="31"/>
      <c r="G123" s="31"/>
      <c r="J123" s="77"/>
      <c r="L123" s="31"/>
      <c r="M123" s="31"/>
      <c r="N123" s="85"/>
      <c r="O123" s="77"/>
      <c r="Q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" x14ac:dyDescent="0.3">
      <c r="A124" s="31"/>
      <c r="B124" s="31"/>
      <c r="C124" s="31"/>
      <c r="E124" s="31"/>
      <c r="F124" s="31"/>
      <c r="G124" s="31"/>
      <c r="J124" s="77"/>
      <c r="L124" s="31"/>
      <c r="M124" s="31"/>
      <c r="N124" s="85"/>
      <c r="O124" s="77"/>
      <c r="Q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" x14ac:dyDescent="0.3">
      <c r="A125" s="31"/>
      <c r="B125" s="31"/>
      <c r="C125" s="31"/>
      <c r="E125" s="31"/>
      <c r="F125" s="31"/>
      <c r="G125" s="31"/>
      <c r="J125" s="77"/>
      <c r="L125" s="31"/>
      <c r="M125" s="31"/>
      <c r="N125" s="85"/>
      <c r="O125" s="77"/>
      <c r="Q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" x14ac:dyDescent="0.3">
      <c r="A126" s="31"/>
      <c r="B126" s="31"/>
      <c r="C126" s="31"/>
      <c r="E126" s="31"/>
      <c r="F126" s="31"/>
      <c r="G126" s="31"/>
      <c r="J126" s="77"/>
      <c r="L126" s="31"/>
      <c r="M126" s="31"/>
      <c r="N126" s="85"/>
      <c r="O126" s="77"/>
      <c r="Q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" x14ac:dyDescent="0.3">
      <c r="A127" s="31"/>
      <c r="B127" s="31"/>
      <c r="C127" s="31"/>
      <c r="E127" s="31"/>
      <c r="F127" s="31"/>
      <c r="G127" s="31"/>
      <c r="J127" s="77"/>
      <c r="L127" s="31"/>
      <c r="M127" s="31"/>
      <c r="N127" s="85"/>
      <c r="O127" s="77"/>
      <c r="Q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" x14ac:dyDescent="0.3">
      <c r="A128" s="31"/>
      <c r="B128" s="31"/>
      <c r="C128" s="31"/>
      <c r="E128" s="31"/>
      <c r="F128" s="31"/>
      <c r="G128" s="31"/>
      <c r="J128" s="77"/>
      <c r="L128" s="31"/>
      <c r="M128" s="31"/>
      <c r="N128" s="85"/>
      <c r="O128" s="77"/>
      <c r="Q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" x14ac:dyDescent="0.3">
      <c r="A129" s="31"/>
      <c r="B129" s="31"/>
      <c r="C129" s="31"/>
      <c r="E129" s="31"/>
      <c r="F129" s="31"/>
      <c r="G129" s="31"/>
      <c r="J129" s="77"/>
      <c r="L129" s="31"/>
      <c r="M129" s="31"/>
      <c r="N129" s="85"/>
      <c r="O129" s="77"/>
      <c r="Q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" x14ac:dyDescent="0.3">
      <c r="A130" s="31"/>
      <c r="B130" s="31"/>
      <c r="C130" s="31"/>
      <c r="E130" s="31"/>
      <c r="F130" s="31"/>
      <c r="G130" s="31"/>
      <c r="J130" s="77"/>
      <c r="L130" s="31"/>
      <c r="M130" s="31"/>
      <c r="N130" s="85"/>
      <c r="O130" s="77"/>
      <c r="Q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" x14ac:dyDescent="0.3">
      <c r="A131" s="31"/>
      <c r="B131" s="31"/>
      <c r="C131" s="31"/>
      <c r="E131" s="31"/>
      <c r="F131" s="31"/>
      <c r="G131" s="31"/>
      <c r="J131" s="77"/>
      <c r="L131" s="31"/>
      <c r="M131" s="31"/>
      <c r="N131" s="85"/>
      <c r="O131" s="77"/>
      <c r="Q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" x14ac:dyDescent="0.3">
      <c r="A132" s="31"/>
      <c r="B132" s="31"/>
      <c r="C132" s="31"/>
      <c r="E132" s="31"/>
      <c r="F132" s="31"/>
      <c r="G132" s="31"/>
      <c r="J132" s="77"/>
      <c r="L132" s="31"/>
      <c r="M132" s="31"/>
      <c r="N132" s="85"/>
      <c r="O132" s="77"/>
      <c r="Q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" x14ac:dyDescent="0.3">
      <c r="A133" s="31"/>
      <c r="B133" s="31"/>
      <c r="C133" s="31"/>
      <c r="E133" s="31"/>
      <c r="F133" s="31"/>
      <c r="G133" s="31"/>
      <c r="J133" s="77"/>
      <c r="L133" s="31"/>
      <c r="M133" s="31"/>
      <c r="N133" s="85"/>
      <c r="O133" s="77"/>
      <c r="Q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" x14ac:dyDescent="0.3">
      <c r="A134" s="31"/>
      <c r="B134" s="31"/>
      <c r="C134" s="31"/>
      <c r="E134" s="31"/>
      <c r="F134" s="31"/>
      <c r="G134" s="31"/>
      <c r="J134" s="77"/>
      <c r="L134" s="31"/>
      <c r="M134" s="31"/>
      <c r="N134" s="85"/>
      <c r="O134" s="77"/>
      <c r="Q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" x14ac:dyDescent="0.3">
      <c r="A135" s="31"/>
      <c r="B135" s="31"/>
      <c r="C135" s="31"/>
      <c r="E135" s="31"/>
      <c r="F135" s="31"/>
      <c r="G135" s="31"/>
      <c r="J135" s="77"/>
      <c r="L135" s="31"/>
      <c r="M135" s="31"/>
      <c r="N135" s="85"/>
      <c r="O135" s="77"/>
      <c r="Q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" x14ac:dyDescent="0.3">
      <c r="A136" s="31"/>
      <c r="B136" s="31"/>
      <c r="C136" s="31"/>
      <c r="E136" s="31"/>
      <c r="F136" s="31"/>
      <c r="G136" s="31"/>
      <c r="J136" s="77"/>
      <c r="L136" s="31"/>
      <c r="M136" s="31"/>
      <c r="N136" s="85"/>
      <c r="O136" s="77"/>
      <c r="Q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" x14ac:dyDescent="0.3">
      <c r="A137" s="31"/>
      <c r="B137" s="31"/>
      <c r="C137" s="31"/>
      <c r="E137" s="31"/>
      <c r="F137" s="31"/>
      <c r="G137" s="31"/>
      <c r="J137" s="77"/>
      <c r="L137" s="31"/>
      <c r="M137" s="31"/>
      <c r="N137" s="85"/>
      <c r="O137" s="77"/>
      <c r="Q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" x14ac:dyDescent="0.3">
      <c r="A138" s="31"/>
      <c r="B138" s="31"/>
      <c r="C138" s="31"/>
      <c r="E138" s="31"/>
      <c r="F138" s="31"/>
      <c r="G138" s="31"/>
      <c r="J138" s="77"/>
      <c r="L138" s="31"/>
      <c r="M138" s="31"/>
      <c r="N138" s="85"/>
      <c r="O138" s="77"/>
      <c r="Q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" x14ac:dyDescent="0.3">
      <c r="A139" s="31"/>
      <c r="B139" s="31"/>
      <c r="C139" s="31"/>
      <c r="E139" s="31"/>
      <c r="F139" s="31"/>
      <c r="G139" s="31"/>
      <c r="J139" s="77"/>
      <c r="L139" s="31"/>
      <c r="M139" s="31"/>
      <c r="N139" s="85"/>
      <c r="O139" s="77"/>
      <c r="Q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" x14ac:dyDescent="0.3">
      <c r="A140" s="31"/>
      <c r="B140" s="31"/>
      <c r="C140" s="31"/>
      <c r="E140" s="31"/>
      <c r="F140" s="31"/>
      <c r="G140" s="31"/>
      <c r="J140" s="77"/>
      <c r="L140" s="31"/>
      <c r="M140" s="31"/>
      <c r="N140" s="85"/>
      <c r="O140" s="77"/>
      <c r="Q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" x14ac:dyDescent="0.3">
      <c r="A141" s="31"/>
      <c r="B141" s="31"/>
      <c r="C141" s="31"/>
      <c r="E141" s="31"/>
      <c r="F141" s="31"/>
      <c r="G141" s="31"/>
      <c r="J141" s="77"/>
      <c r="L141" s="31"/>
      <c r="M141" s="31"/>
      <c r="N141" s="85"/>
      <c r="O141" s="77"/>
      <c r="Q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" x14ac:dyDescent="0.3">
      <c r="A142" s="31"/>
      <c r="B142" s="31"/>
      <c r="C142" s="31"/>
      <c r="E142" s="31"/>
      <c r="F142" s="31"/>
      <c r="G142" s="31"/>
      <c r="J142" s="77"/>
      <c r="L142" s="31"/>
      <c r="M142" s="31"/>
      <c r="N142" s="85"/>
      <c r="O142" s="77"/>
      <c r="Q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" x14ac:dyDescent="0.3">
      <c r="A143" s="31"/>
      <c r="B143" s="31"/>
      <c r="C143" s="31"/>
      <c r="E143" s="31"/>
      <c r="F143" s="31"/>
      <c r="G143" s="31"/>
      <c r="J143" s="77"/>
      <c r="L143" s="31"/>
      <c r="M143" s="31"/>
      <c r="N143" s="85"/>
      <c r="O143" s="77"/>
      <c r="Q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" x14ac:dyDescent="0.3">
      <c r="A144" s="31"/>
      <c r="B144" s="31"/>
      <c r="C144" s="31"/>
      <c r="E144" s="31"/>
      <c r="F144" s="31"/>
      <c r="G144" s="31"/>
      <c r="J144" s="77"/>
      <c r="L144" s="31"/>
      <c r="M144" s="31"/>
      <c r="N144" s="85"/>
      <c r="O144" s="77"/>
      <c r="Q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" x14ac:dyDescent="0.3">
      <c r="A145" s="31"/>
      <c r="B145" s="31"/>
      <c r="C145" s="31"/>
      <c r="E145" s="31"/>
      <c r="F145" s="31"/>
      <c r="G145" s="31"/>
      <c r="J145" s="77"/>
      <c r="L145" s="31"/>
      <c r="M145" s="31"/>
      <c r="N145" s="85"/>
      <c r="O145" s="77"/>
      <c r="Q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" x14ac:dyDescent="0.3">
      <c r="A146" s="31"/>
      <c r="B146" s="31"/>
      <c r="C146" s="31"/>
      <c r="E146" s="31"/>
      <c r="F146" s="31"/>
      <c r="G146" s="31"/>
      <c r="J146" s="77"/>
      <c r="L146" s="31"/>
      <c r="M146" s="31"/>
      <c r="N146" s="85"/>
      <c r="O146" s="77"/>
      <c r="Q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" x14ac:dyDescent="0.3">
      <c r="A147" s="31"/>
      <c r="B147" s="31"/>
      <c r="C147" s="31"/>
      <c r="E147" s="31"/>
      <c r="F147" s="31"/>
      <c r="G147" s="31"/>
      <c r="J147" s="77"/>
      <c r="L147" s="31"/>
      <c r="M147" s="31"/>
      <c r="N147" s="85"/>
      <c r="O147" s="77"/>
      <c r="Q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" x14ac:dyDescent="0.3">
      <c r="A148" s="31"/>
      <c r="B148" s="31"/>
      <c r="C148" s="31"/>
      <c r="E148" s="31"/>
      <c r="F148" s="31"/>
      <c r="G148" s="31"/>
      <c r="J148" s="77"/>
      <c r="L148" s="31"/>
      <c r="M148" s="31"/>
      <c r="N148" s="85"/>
      <c r="O148" s="77"/>
      <c r="Q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" x14ac:dyDescent="0.3">
      <c r="A149" s="31"/>
      <c r="B149" s="31"/>
      <c r="C149" s="31"/>
      <c r="E149" s="31"/>
      <c r="F149" s="31"/>
      <c r="G149" s="31"/>
      <c r="J149" s="77"/>
      <c r="L149" s="31"/>
      <c r="M149" s="31"/>
      <c r="N149" s="85"/>
      <c r="O149" s="77"/>
      <c r="Q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" x14ac:dyDescent="0.3">
      <c r="A150" s="31"/>
      <c r="B150" s="31"/>
      <c r="C150" s="31"/>
      <c r="E150" s="31"/>
      <c r="F150" s="31"/>
      <c r="G150" s="31"/>
      <c r="J150" s="77"/>
      <c r="L150" s="31"/>
      <c r="M150" s="31"/>
      <c r="N150" s="85"/>
      <c r="O150" s="77"/>
      <c r="Q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" x14ac:dyDescent="0.3">
      <c r="A151" s="31"/>
      <c r="B151" s="31"/>
      <c r="C151" s="31"/>
      <c r="E151" s="31"/>
      <c r="F151" s="31"/>
      <c r="G151" s="31"/>
      <c r="J151" s="77"/>
      <c r="L151" s="31"/>
      <c r="M151" s="31"/>
      <c r="N151" s="85"/>
      <c r="O151" s="77"/>
      <c r="Q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" x14ac:dyDescent="0.3">
      <c r="A152" s="31"/>
      <c r="B152" s="31"/>
      <c r="C152" s="31"/>
      <c r="E152" s="31"/>
      <c r="F152" s="31"/>
      <c r="G152" s="31"/>
      <c r="J152" s="77"/>
      <c r="L152" s="31"/>
      <c r="M152" s="31"/>
      <c r="N152" s="85"/>
      <c r="O152" s="77"/>
      <c r="Q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" x14ac:dyDescent="0.3">
      <c r="A153" s="31"/>
      <c r="B153" s="31"/>
      <c r="C153" s="31"/>
      <c r="E153" s="31"/>
      <c r="F153" s="31"/>
      <c r="G153" s="31"/>
      <c r="J153" s="77"/>
      <c r="L153" s="31"/>
      <c r="M153" s="31"/>
      <c r="N153" s="85"/>
      <c r="O153" s="77"/>
      <c r="Q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" x14ac:dyDescent="0.3">
      <c r="A154" s="31"/>
      <c r="B154" s="31"/>
      <c r="C154" s="31"/>
      <c r="E154" s="31"/>
      <c r="F154" s="31"/>
      <c r="G154" s="31"/>
      <c r="J154" s="77"/>
      <c r="L154" s="31"/>
      <c r="M154" s="31"/>
      <c r="N154" s="85"/>
      <c r="O154" s="77"/>
      <c r="Q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" x14ac:dyDescent="0.3">
      <c r="A155" s="31"/>
      <c r="B155" s="31"/>
      <c r="C155" s="31"/>
      <c r="E155" s="31"/>
      <c r="F155" s="31"/>
      <c r="G155" s="31"/>
      <c r="J155" s="77"/>
      <c r="L155" s="31"/>
      <c r="M155" s="31"/>
      <c r="N155" s="85"/>
      <c r="O155" s="77"/>
      <c r="Q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" x14ac:dyDescent="0.3">
      <c r="A156" s="31"/>
      <c r="B156" s="31"/>
      <c r="C156" s="31"/>
      <c r="E156" s="31"/>
      <c r="F156" s="31"/>
      <c r="G156" s="31"/>
      <c r="J156" s="77"/>
      <c r="L156" s="31"/>
      <c r="M156" s="31"/>
      <c r="N156" s="85"/>
      <c r="O156" s="77"/>
      <c r="Q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" x14ac:dyDescent="0.3">
      <c r="A157" s="31"/>
      <c r="B157" s="31"/>
      <c r="C157" s="31"/>
      <c r="E157" s="31"/>
      <c r="F157" s="31"/>
      <c r="G157" s="31"/>
      <c r="J157" s="77"/>
      <c r="L157" s="31"/>
      <c r="M157" s="31"/>
      <c r="N157" s="85"/>
      <c r="O157" s="77"/>
      <c r="Q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" x14ac:dyDescent="0.3">
      <c r="A158" s="31"/>
      <c r="B158" s="31"/>
      <c r="C158" s="31"/>
      <c r="E158" s="31"/>
      <c r="F158" s="31"/>
      <c r="G158" s="31"/>
      <c r="J158" s="77"/>
      <c r="L158" s="31"/>
      <c r="M158" s="31"/>
      <c r="N158" s="85"/>
      <c r="O158" s="77"/>
      <c r="Q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" x14ac:dyDescent="0.3">
      <c r="A159" s="31"/>
      <c r="B159" s="31"/>
      <c r="C159" s="31"/>
      <c r="E159" s="31"/>
      <c r="F159" s="31"/>
      <c r="G159" s="31"/>
      <c r="J159" s="77"/>
      <c r="L159" s="31"/>
      <c r="M159" s="31"/>
      <c r="N159" s="85"/>
      <c r="O159" s="77"/>
      <c r="Q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" x14ac:dyDescent="0.3">
      <c r="A160" s="31"/>
      <c r="B160" s="31"/>
      <c r="C160" s="31"/>
      <c r="E160" s="31"/>
      <c r="F160" s="31"/>
      <c r="G160" s="31"/>
      <c r="J160" s="77"/>
      <c r="L160" s="31"/>
      <c r="M160" s="31"/>
      <c r="N160" s="85"/>
      <c r="O160" s="77"/>
      <c r="Q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" x14ac:dyDescent="0.3">
      <c r="A161" s="31"/>
      <c r="B161" s="31"/>
      <c r="C161" s="31"/>
      <c r="E161" s="31"/>
      <c r="F161" s="31"/>
      <c r="G161" s="31"/>
      <c r="J161" s="77"/>
      <c r="L161" s="31"/>
      <c r="M161" s="31"/>
      <c r="N161" s="85"/>
      <c r="O161" s="77"/>
      <c r="Q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" x14ac:dyDescent="0.3">
      <c r="A162" s="31"/>
      <c r="B162" s="31"/>
      <c r="C162" s="31"/>
      <c r="E162" s="31"/>
      <c r="F162" s="31"/>
      <c r="G162" s="31"/>
      <c r="J162" s="77"/>
      <c r="L162" s="31"/>
      <c r="M162" s="31"/>
      <c r="N162" s="85"/>
      <c r="O162" s="77"/>
      <c r="Q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" x14ac:dyDescent="0.3">
      <c r="A163" s="31"/>
      <c r="B163" s="31"/>
      <c r="C163" s="31"/>
      <c r="E163" s="31"/>
      <c r="F163" s="31"/>
      <c r="G163" s="31"/>
      <c r="J163" s="77"/>
      <c r="L163" s="31"/>
      <c r="M163" s="31"/>
      <c r="N163" s="85"/>
      <c r="O163" s="77"/>
      <c r="Q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" x14ac:dyDescent="0.3">
      <c r="A164" s="31"/>
      <c r="B164" s="31"/>
      <c r="C164" s="31"/>
      <c r="E164" s="31"/>
      <c r="F164" s="31"/>
      <c r="G164" s="31"/>
      <c r="J164" s="77"/>
      <c r="L164" s="31"/>
      <c r="M164" s="31"/>
      <c r="N164" s="85"/>
      <c r="O164" s="77"/>
      <c r="Q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" x14ac:dyDescent="0.3">
      <c r="A165" s="31"/>
      <c r="B165" s="31"/>
      <c r="C165" s="31"/>
      <c r="E165" s="31"/>
      <c r="F165" s="31"/>
      <c r="G165" s="31"/>
      <c r="J165" s="77"/>
      <c r="L165" s="31"/>
      <c r="M165" s="31"/>
      <c r="N165" s="85"/>
      <c r="O165" s="77"/>
      <c r="Q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" x14ac:dyDescent="0.3">
      <c r="A166" s="31"/>
      <c r="B166" s="31"/>
      <c r="C166" s="31"/>
      <c r="E166" s="31"/>
      <c r="F166" s="31"/>
      <c r="G166" s="31"/>
      <c r="J166" s="77"/>
      <c r="L166" s="31"/>
      <c r="M166" s="31"/>
      <c r="N166" s="85"/>
      <c r="O166" s="77"/>
      <c r="Q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" x14ac:dyDescent="0.3">
      <c r="A167" s="31"/>
      <c r="B167" s="31"/>
      <c r="C167" s="31"/>
      <c r="E167" s="31"/>
      <c r="F167" s="31"/>
      <c r="G167" s="31"/>
      <c r="J167" s="77"/>
      <c r="L167" s="31"/>
      <c r="M167" s="31"/>
      <c r="N167" s="85"/>
      <c r="O167" s="77"/>
      <c r="Q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" x14ac:dyDescent="0.3">
      <c r="A168" s="31"/>
      <c r="B168" s="31"/>
      <c r="C168" s="31"/>
      <c r="E168" s="31"/>
      <c r="F168" s="31"/>
      <c r="G168" s="31"/>
      <c r="J168" s="77"/>
      <c r="L168" s="31"/>
      <c r="M168" s="31"/>
      <c r="N168" s="85"/>
      <c r="O168" s="77"/>
      <c r="Q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" x14ac:dyDescent="0.3">
      <c r="A169" s="31"/>
      <c r="B169" s="31"/>
      <c r="C169" s="31"/>
      <c r="E169" s="31"/>
      <c r="F169" s="31"/>
      <c r="G169" s="31"/>
      <c r="J169" s="77"/>
      <c r="L169" s="31"/>
      <c r="M169" s="31"/>
      <c r="N169" s="85"/>
      <c r="O169" s="77"/>
      <c r="Q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" x14ac:dyDescent="0.3">
      <c r="A170" s="31"/>
      <c r="B170" s="31"/>
      <c r="C170" s="31"/>
      <c r="E170" s="31"/>
      <c r="F170" s="31"/>
      <c r="G170" s="31"/>
      <c r="J170" s="77"/>
      <c r="L170" s="31"/>
      <c r="M170" s="31"/>
      <c r="N170" s="85"/>
      <c r="O170" s="77"/>
      <c r="Q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" x14ac:dyDescent="0.3">
      <c r="A171" s="31"/>
      <c r="B171" s="31"/>
      <c r="C171" s="31"/>
      <c r="E171" s="31"/>
      <c r="F171" s="31"/>
      <c r="G171" s="31"/>
      <c r="J171" s="77"/>
      <c r="L171" s="31"/>
      <c r="M171" s="31"/>
      <c r="N171" s="85"/>
      <c r="O171" s="77"/>
      <c r="Q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" x14ac:dyDescent="0.3">
      <c r="A172" s="31"/>
      <c r="B172" s="31"/>
      <c r="C172" s="31"/>
      <c r="E172" s="31"/>
      <c r="F172" s="31"/>
      <c r="G172" s="31"/>
      <c r="J172" s="77"/>
      <c r="L172" s="31"/>
      <c r="M172" s="31"/>
      <c r="N172" s="85"/>
      <c r="O172" s="77"/>
      <c r="Q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" x14ac:dyDescent="0.3">
      <c r="A173" s="31"/>
      <c r="B173" s="31"/>
      <c r="C173" s="31"/>
      <c r="E173" s="31"/>
      <c r="F173" s="31"/>
      <c r="G173" s="31"/>
      <c r="J173" s="77"/>
      <c r="L173" s="31"/>
      <c r="M173" s="31"/>
      <c r="N173" s="85"/>
      <c r="O173" s="77"/>
      <c r="Q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" x14ac:dyDescent="0.3">
      <c r="A174" s="31"/>
      <c r="B174" s="31"/>
      <c r="C174" s="31"/>
      <c r="E174" s="31"/>
      <c r="F174" s="31"/>
      <c r="G174" s="31"/>
      <c r="J174" s="77"/>
      <c r="L174" s="31"/>
      <c r="M174" s="31"/>
      <c r="N174" s="85"/>
      <c r="O174" s="77"/>
      <c r="Q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" x14ac:dyDescent="0.3">
      <c r="A175" s="31"/>
      <c r="B175" s="31"/>
      <c r="C175" s="31"/>
      <c r="E175" s="31"/>
      <c r="F175" s="31"/>
      <c r="G175" s="31"/>
      <c r="J175" s="77"/>
      <c r="L175" s="31"/>
      <c r="M175" s="31"/>
      <c r="N175" s="85"/>
      <c r="O175" s="77"/>
      <c r="Q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" x14ac:dyDescent="0.3">
      <c r="A176" s="31"/>
      <c r="B176" s="31"/>
      <c r="C176" s="31"/>
      <c r="E176" s="31"/>
      <c r="F176" s="31"/>
      <c r="G176" s="31"/>
      <c r="J176" s="77"/>
      <c r="L176" s="31"/>
      <c r="M176" s="31"/>
      <c r="N176" s="85"/>
      <c r="O176" s="77"/>
      <c r="Q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" x14ac:dyDescent="0.3">
      <c r="A177" s="31"/>
      <c r="B177" s="31"/>
      <c r="C177" s="31"/>
      <c r="E177" s="31"/>
      <c r="F177" s="31"/>
      <c r="G177" s="31"/>
      <c r="J177" s="77"/>
      <c r="L177" s="31"/>
      <c r="M177" s="31"/>
      <c r="N177" s="85"/>
      <c r="O177" s="77"/>
      <c r="Q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" x14ac:dyDescent="0.3">
      <c r="A178" s="31"/>
      <c r="B178" s="31"/>
      <c r="C178" s="31"/>
      <c r="E178" s="31"/>
      <c r="F178" s="31"/>
      <c r="G178" s="31"/>
      <c r="J178" s="77"/>
      <c r="L178" s="31"/>
      <c r="M178" s="31"/>
      <c r="N178" s="85"/>
      <c r="O178" s="77"/>
      <c r="Q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" x14ac:dyDescent="0.3">
      <c r="A179" s="31"/>
      <c r="B179" s="31"/>
      <c r="C179" s="31"/>
      <c r="E179" s="31"/>
      <c r="F179" s="31"/>
      <c r="G179" s="31"/>
      <c r="J179" s="77"/>
      <c r="L179" s="31"/>
      <c r="M179" s="31"/>
      <c r="N179" s="85"/>
      <c r="O179" s="77"/>
      <c r="Q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" x14ac:dyDescent="0.3">
      <c r="A180" s="31"/>
      <c r="B180" s="31"/>
      <c r="C180" s="31"/>
      <c r="E180" s="31"/>
      <c r="F180" s="31"/>
      <c r="G180" s="31"/>
      <c r="J180" s="77"/>
      <c r="L180" s="31"/>
      <c r="M180" s="31"/>
      <c r="N180" s="85"/>
      <c r="O180" s="77"/>
      <c r="Q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" x14ac:dyDescent="0.3">
      <c r="A181" s="31"/>
      <c r="B181" s="31"/>
      <c r="C181" s="31"/>
      <c r="E181" s="31"/>
      <c r="F181" s="31"/>
      <c r="G181" s="31"/>
      <c r="J181" s="77"/>
      <c r="L181" s="31"/>
      <c r="M181" s="31"/>
      <c r="N181" s="85"/>
      <c r="O181" s="77"/>
      <c r="Q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" x14ac:dyDescent="0.3">
      <c r="A182" s="31"/>
      <c r="B182" s="31"/>
      <c r="C182" s="31"/>
      <c r="E182" s="31"/>
      <c r="F182" s="31"/>
      <c r="G182" s="31"/>
      <c r="J182" s="77"/>
      <c r="L182" s="31"/>
      <c r="M182" s="31"/>
      <c r="N182" s="85"/>
      <c r="O182" s="77"/>
      <c r="Q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" x14ac:dyDescent="0.3">
      <c r="A183" s="31"/>
      <c r="B183" s="31"/>
      <c r="C183" s="31"/>
      <c r="E183" s="31"/>
      <c r="F183" s="31"/>
      <c r="G183" s="31"/>
      <c r="J183" s="77"/>
      <c r="L183" s="31"/>
      <c r="M183" s="31"/>
      <c r="N183" s="85"/>
      <c r="O183" s="77"/>
      <c r="Q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" x14ac:dyDescent="0.3">
      <c r="A184" s="31"/>
      <c r="B184" s="31"/>
      <c r="C184" s="31"/>
      <c r="E184" s="31"/>
      <c r="F184" s="31"/>
      <c r="G184" s="31"/>
      <c r="J184" s="77"/>
      <c r="L184" s="31"/>
      <c r="M184" s="31"/>
      <c r="N184" s="85"/>
      <c r="O184" s="77"/>
      <c r="Q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" x14ac:dyDescent="0.3">
      <c r="A185" s="31"/>
      <c r="B185" s="31"/>
      <c r="C185" s="31"/>
      <c r="E185" s="31"/>
      <c r="F185" s="31"/>
      <c r="G185" s="31"/>
      <c r="J185" s="77"/>
      <c r="L185" s="31"/>
      <c r="M185" s="31"/>
      <c r="N185" s="85"/>
      <c r="O185" s="77"/>
      <c r="Q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" x14ac:dyDescent="0.3">
      <c r="A186" s="31"/>
      <c r="B186" s="31"/>
      <c r="C186" s="31"/>
      <c r="E186" s="31"/>
      <c r="F186" s="31"/>
      <c r="G186" s="31"/>
      <c r="J186" s="77"/>
      <c r="L186" s="31"/>
      <c r="M186" s="31"/>
      <c r="N186" s="85"/>
      <c r="O186" s="77"/>
      <c r="Q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" x14ac:dyDescent="0.3">
      <c r="A187" s="31"/>
      <c r="B187" s="31"/>
      <c r="C187" s="31"/>
      <c r="E187" s="31"/>
      <c r="F187" s="31"/>
      <c r="G187" s="31"/>
      <c r="J187" s="77"/>
      <c r="L187" s="31"/>
      <c r="M187" s="31"/>
      <c r="N187" s="85"/>
      <c r="O187" s="77"/>
      <c r="Q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" x14ac:dyDescent="0.3">
      <c r="A188" s="31"/>
      <c r="B188" s="31"/>
      <c r="C188" s="31"/>
      <c r="E188" s="31"/>
      <c r="F188" s="31"/>
      <c r="G188" s="31"/>
      <c r="J188" s="77"/>
      <c r="L188" s="31"/>
      <c r="M188" s="31"/>
      <c r="N188" s="85"/>
      <c r="O188" s="77"/>
      <c r="Q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" x14ac:dyDescent="0.3">
      <c r="A189" s="31"/>
      <c r="B189" s="31"/>
      <c r="C189" s="31"/>
      <c r="E189" s="31"/>
      <c r="F189" s="31"/>
      <c r="G189" s="31"/>
      <c r="J189" s="77"/>
      <c r="L189" s="31"/>
      <c r="M189" s="31"/>
      <c r="N189" s="85"/>
      <c r="O189" s="77"/>
      <c r="Q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" x14ac:dyDescent="0.3">
      <c r="A190" s="31"/>
      <c r="B190" s="31"/>
      <c r="C190" s="31"/>
      <c r="E190" s="31"/>
      <c r="F190" s="31"/>
      <c r="G190" s="31"/>
      <c r="J190" s="77"/>
      <c r="L190" s="31"/>
      <c r="M190" s="31"/>
      <c r="N190" s="85"/>
      <c r="O190" s="77"/>
      <c r="Q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" x14ac:dyDescent="0.3">
      <c r="A191" s="31"/>
      <c r="B191" s="31"/>
      <c r="C191" s="31"/>
      <c r="E191" s="31"/>
      <c r="F191" s="31"/>
      <c r="G191" s="31"/>
      <c r="J191" s="77"/>
      <c r="L191" s="31"/>
      <c r="M191" s="31"/>
      <c r="N191" s="85"/>
      <c r="O191" s="77"/>
      <c r="Q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" x14ac:dyDescent="0.3">
      <c r="A192" s="31"/>
      <c r="B192" s="31"/>
      <c r="C192" s="31"/>
      <c r="E192" s="31"/>
      <c r="F192" s="31"/>
      <c r="G192" s="31"/>
      <c r="J192" s="77"/>
      <c r="L192" s="31"/>
      <c r="M192" s="31"/>
      <c r="N192" s="85"/>
      <c r="O192" s="77"/>
      <c r="Q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" x14ac:dyDescent="0.3">
      <c r="A193" s="31"/>
      <c r="B193" s="31"/>
      <c r="C193" s="31"/>
      <c r="E193" s="31"/>
      <c r="F193" s="31"/>
      <c r="G193" s="31"/>
      <c r="J193" s="77"/>
      <c r="L193" s="31"/>
      <c r="M193" s="31"/>
      <c r="N193" s="85"/>
      <c r="O193" s="77"/>
      <c r="Q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" x14ac:dyDescent="0.3">
      <c r="A194" s="31"/>
      <c r="B194" s="31"/>
      <c r="C194" s="31"/>
      <c r="E194" s="31"/>
      <c r="F194" s="31"/>
      <c r="G194" s="31"/>
      <c r="J194" s="77"/>
      <c r="L194" s="31"/>
      <c r="M194" s="31"/>
      <c r="N194" s="85"/>
      <c r="O194" s="77"/>
      <c r="Q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" x14ac:dyDescent="0.3">
      <c r="A195" s="31"/>
      <c r="B195" s="31"/>
      <c r="C195" s="31"/>
      <c r="E195" s="31"/>
      <c r="F195" s="31"/>
      <c r="G195" s="31"/>
      <c r="J195" s="77"/>
      <c r="L195" s="31"/>
      <c r="M195" s="31"/>
      <c r="N195" s="85"/>
      <c r="O195" s="77"/>
      <c r="Q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" x14ac:dyDescent="0.3">
      <c r="A196" s="31"/>
      <c r="B196" s="31"/>
      <c r="C196" s="31"/>
      <c r="E196" s="31"/>
      <c r="F196" s="31"/>
      <c r="G196" s="31"/>
      <c r="J196" s="77"/>
      <c r="L196" s="31"/>
      <c r="M196" s="31"/>
      <c r="N196" s="85"/>
      <c r="O196" s="77"/>
      <c r="Q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" x14ac:dyDescent="0.3">
      <c r="A197" s="31"/>
      <c r="B197" s="31"/>
      <c r="C197" s="31"/>
      <c r="E197" s="31"/>
      <c r="F197" s="31"/>
      <c r="G197" s="31"/>
      <c r="J197" s="77"/>
      <c r="L197" s="31"/>
      <c r="M197" s="31"/>
      <c r="N197" s="85"/>
      <c r="O197" s="77"/>
      <c r="Q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" x14ac:dyDescent="0.3">
      <c r="A198" s="31"/>
      <c r="B198" s="31"/>
      <c r="C198" s="31"/>
      <c r="E198" s="31"/>
      <c r="F198" s="31"/>
      <c r="G198" s="31"/>
      <c r="J198" s="77"/>
      <c r="L198" s="31"/>
      <c r="M198" s="31"/>
      <c r="N198" s="85"/>
      <c r="O198" s="77"/>
      <c r="Q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" x14ac:dyDescent="0.3">
      <c r="A199" s="31"/>
      <c r="B199" s="31"/>
      <c r="C199" s="31"/>
      <c r="E199" s="31"/>
      <c r="F199" s="31"/>
      <c r="G199" s="31"/>
      <c r="J199" s="77"/>
      <c r="L199" s="31"/>
      <c r="M199" s="31"/>
      <c r="N199" s="85"/>
      <c r="O199" s="77"/>
      <c r="Q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" x14ac:dyDescent="0.3">
      <c r="A200" s="31"/>
      <c r="B200" s="31"/>
      <c r="C200" s="31"/>
      <c r="E200" s="31"/>
      <c r="F200" s="31"/>
      <c r="G200" s="31"/>
      <c r="J200" s="77"/>
      <c r="L200" s="31"/>
      <c r="M200" s="31"/>
      <c r="N200" s="85"/>
      <c r="O200" s="77"/>
      <c r="Q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" x14ac:dyDescent="0.3">
      <c r="A201" s="31"/>
      <c r="B201" s="31"/>
      <c r="C201" s="31"/>
      <c r="E201" s="31"/>
      <c r="F201" s="31"/>
      <c r="G201" s="31"/>
      <c r="J201" s="77"/>
      <c r="L201" s="31"/>
      <c r="M201" s="31"/>
      <c r="N201" s="85"/>
      <c r="O201" s="77"/>
      <c r="Q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" x14ac:dyDescent="0.3">
      <c r="A202" s="31"/>
      <c r="B202" s="31"/>
      <c r="C202" s="31"/>
      <c r="E202" s="31"/>
      <c r="F202" s="31"/>
      <c r="G202" s="31"/>
      <c r="J202" s="77"/>
      <c r="L202" s="31"/>
      <c r="M202" s="31"/>
      <c r="N202" s="85"/>
      <c r="O202" s="77"/>
      <c r="Q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" x14ac:dyDescent="0.3">
      <c r="A203" s="31"/>
      <c r="B203" s="31"/>
      <c r="C203" s="31"/>
      <c r="E203" s="31"/>
      <c r="F203" s="31"/>
      <c r="G203" s="31"/>
      <c r="J203" s="77"/>
      <c r="L203" s="31"/>
      <c r="M203" s="31"/>
      <c r="N203" s="85"/>
      <c r="O203" s="77"/>
      <c r="Q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" x14ac:dyDescent="0.3">
      <c r="A204" s="31"/>
      <c r="B204" s="31"/>
      <c r="C204" s="31"/>
      <c r="E204" s="31"/>
      <c r="F204" s="31"/>
      <c r="G204" s="31"/>
      <c r="J204" s="77"/>
      <c r="L204" s="31"/>
      <c r="M204" s="31"/>
      <c r="N204" s="85"/>
      <c r="O204" s="77"/>
      <c r="Q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" x14ac:dyDescent="0.3">
      <c r="A205" s="31"/>
      <c r="B205" s="31"/>
      <c r="C205" s="31"/>
      <c r="E205" s="31"/>
      <c r="F205" s="31"/>
      <c r="G205" s="31"/>
      <c r="J205" s="77"/>
      <c r="L205" s="31"/>
      <c r="M205" s="31"/>
      <c r="N205" s="85"/>
      <c r="O205" s="77"/>
      <c r="Q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" x14ac:dyDescent="0.3">
      <c r="A206" s="31"/>
      <c r="B206" s="31"/>
      <c r="C206" s="31"/>
      <c r="E206" s="31"/>
      <c r="F206" s="31"/>
      <c r="G206" s="31"/>
      <c r="J206" s="77"/>
      <c r="L206" s="31"/>
      <c r="M206" s="31"/>
      <c r="N206" s="85"/>
      <c r="O206" s="77"/>
      <c r="Q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" x14ac:dyDescent="0.3">
      <c r="A207" s="31"/>
      <c r="B207" s="31"/>
      <c r="C207" s="31"/>
      <c r="E207" s="31"/>
      <c r="F207" s="31"/>
      <c r="G207" s="31"/>
      <c r="J207" s="77"/>
      <c r="L207" s="31"/>
      <c r="M207" s="31"/>
      <c r="N207" s="85"/>
      <c r="O207" s="77"/>
      <c r="Q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" x14ac:dyDescent="0.3">
      <c r="A208" s="31"/>
      <c r="B208" s="31"/>
      <c r="C208" s="31"/>
      <c r="E208" s="31"/>
      <c r="F208" s="31"/>
      <c r="G208" s="31"/>
      <c r="J208" s="77"/>
      <c r="L208" s="31"/>
      <c r="M208" s="31"/>
      <c r="N208" s="85"/>
      <c r="O208" s="77"/>
      <c r="Q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" x14ac:dyDescent="0.3">
      <c r="A209" s="31"/>
      <c r="B209" s="31"/>
      <c r="C209" s="31"/>
      <c r="E209" s="31"/>
      <c r="F209" s="31"/>
      <c r="G209" s="31"/>
      <c r="J209" s="77"/>
      <c r="L209" s="31"/>
      <c r="M209" s="31"/>
      <c r="N209" s="85"/>
      <c r="O209" s="77"/>
      <c r="Q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" x14ac:dyDescent="0.3">
      <c r="A210" s="31"/>
      <c r="B210" s="31"/>
      <c r="C210" s="31"/>
      <c r="E210" s="31"/>
      <c r="F210" s="31"/>
      <c r="G210" s="31"/>
      <c r="J210" s="77"/>
      <c r="L210" s="31"/>
      <c r="M210" s="31"/>
      <c r="N210" s="85"/>
      <c r="O210" s="77"/>
      <c r="Q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" x14ac:dyDescent="0.3">
      <c r="A211" s="31"/>
      <c r="B211" s="31"/>
      <c r="C211" s="31"/>
      <c r="E211" s="31"/>
      <c r="F211" s="31"/>
      <c r="G211" s="31"/>
      <c r="J211" s="77"/>
      <c r="L211" s="31"/>
      <c r="M211" s="31"/>
      <c r="N211" s="85"/>
      <c r="O211" s="77"/>
      <c r="Q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" x14ac:dyDescent="0.3">
      <c r="A212" s="31"/>
      <c r="B212" s="31"/>
      <c r="C212" s="31"/>
      <c r="E212" s="31"/>
      <c r="F212" s="31"/>
      <c r="G212" s="31"/>
      <c r="J212" s="77"/>
      <c r="L212" s="31"/>
      <c r="M212" s="31"/>
      <c r="N212" s="85"/>
      <c r="O212" s="77"/>
      <c r="Q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" x14ac:dyDescent="0.3">
      <c r="A213" s="31"/>
      <c r="B213" s="31"/>
      <c r="C213" s="31"/>
      <c r="E213" s="31"/>
      <c r="F213" s="31"/>
      <c r="G213" s="31"/>
      <c r="J213" s="77"/>
      <c r="L213" s="31"/>
      <c r="M213" s="31"/>
      <c r="N213" s="85"/>
      <c r="O213" s="77"/>
      <c r="Q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" x14ac:dyDescent="0.3">
      <c r="A214" s="31"/>
      <c r="B214" s="31"/>
      <c r="C214" s="31"/>
      <c r="E214" s="31"/>
      <c r="F214" s="31"/>
      <c r="G214" s="31"/>
      <c r="J214" s="77"/>
      <c r="L214" s="31"/>
      <c r="M214" s="31"/>
      <c r="N214" s="85"/>
      <c r="O214" s="77"/>
      <c r="Q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" x14ac:dyDescent="0.3">
      <c r="A215" s="31"/>
      <c r="B215" s="31"/>
      <c r="C215" s="31"/>
      <c r="E215" s="31"/>
      <c r="F215" s="31"/>
      <c r="G215" s="31"/>
      <c r="J215" s="77"/>
      <c r="L215" s="31"/>
      <c r="M215" s="31"/>
      <c r="N215" s="85"/>
      <c r="O215" s="77"/>
      <c r="Q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" x14ac:dyDescent="0.3">
      <c r="A216" s="31"/>
      <c r="B216" s="31"/>
      <c r="C216" s="31"/>
      <c r="E216" s="31"/>
      <c r="F216" s="31"/>
      <c r="G216" s="31"/>
      <c r="J216" s="77"/>
      <c r="L216" s="31"/>
      <c r="M216" s="31"/>
      <c r="N216" s="85"/>
      <c r="O216" s="77"/>
      <c r="Q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" x14ac:dyDescent="0.3">
      <c r="A217" s="31"/>
      <c r="B217" s="31"/>
      <c r="C217" s="31"/>
      <c r="E217" s="31"/>
      <c r="F217" s="31"/>
      <c r="G217" s="31"/>
      <c r="J217" s="77"/>
      <c r="L217" s="31"/>
      <c r="M217" s="31"/>
      <c r="N217" s="85"/>
      <c r="O217" s="77"/>
      <c r="Q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" x14ac:dyDescent="0.3">
      <c r="A218" s="31"/>
      <c r="B218" s="31"/>
      <c r="C218" s="31"/>
      <c r="E218" s="31"/>
      <c r="F218" s="31"/>
      <c r="G218" s="31"/>
      <c r="J218" s="77"/>
      <c r="L218" s="31"/>
      <c r="M218" s="31"/>
      <c r="N218" s="85"/>
      <c r="O218" s="77"/>
      <c r="Q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" x14ac:dyDescent="0.3">
      <c r="A219" s="31"/>
      <c r="B219" s="31"/>
      <c r="C219" s="31"/>
      <c r="E219" s="31"/>
      <c r="F219" s="31"/>
      <c r="G219" s="31"/>
      <c r="J219" s="77"/>
      <c r="L219" s="31"/>
      <c r="M219" s="31"/>
      <c r="N219" s="85"/>
      <c r="O219" s="77"/>
      <c r="Q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" x14ac:dyDescent="0.3">
      <c r="A220" s="31"/>
      <c r="B220" s="31"/>
      <c r="C220" s="31"/>
      <c r="E220" s="31"/>
      <c r="F220" s="31"/>
      <c r="G220" s="31"/>
      <c r="J220" s="77"/>
      <c r="L220" s="31"/>
      <c r="M220" s="31"/>
      <c r="N220" s="85"/>
      <c r="O220" s="77"/>
      <c r="Q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" x14ac:dyDescent="0.3">
      <c r="A221" s="31"/>
      <c r="B221" s="31"/>
      <c r="C221" s="31"/>
      <c r="E221" s="31"/>
      <c r="F221" s="31"/>
      <c r="G221" s="31"/>
      <c r="J221" s="77"/>
      <c r="L221" s="31"/>
      <c r="M221" s="31"/>
      <c r="N221" s="85"/>
      <c r="O221" s="77"/>
      <c r="Q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" x14ac:dyDescent="0.3">
      <c r="A222" s="31"/>
      <c r="B222" s="31"/>
      <c r="C222" s="31"/>
      <c r="E222" s="31"/>
      <c r="F222" s="31"/>
      <c r="G222" s="31"/>
      <c r="J222" s="77"/>
      <c r="L222" s="31"/>
      <c r="M222" s="31"/>
      <c r="N222" s="85"/>
      <c r="O222" s="77"/>
      <c r="Q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" x14ac:dyDescent="0.3">
      <c r="A223" s="31"/>
      <c r="B223" s="31"/>
      <c r="C223" s="31"/>
      <c r="E223" s="31"/>
      <c r="F223" s="31"/>
      <c r="G223" s="31"/>
      <c r="J223" s="77"/>
      <c r="L223" s="31"/>
      <c r="M223" s="31"/>
      <c r="N223" s="85"/>
      <c r="O223" s="77"/>
      <c r="Q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" x14ac:dyDescent="0.3">
      <c r="A224" s="31"/>
      <c r="B224" s="31"/>
      <c r="C224" s="31"/>
      <c r="E224" s="31"/>
      <c r="F224" s="31"/>
      <c r="G224" s="31"/>
      <c r="J224" s="77"/>
      <c r="L224" s="31"/>
      <c r="M224" s="31"/>
      <c r="N224" s="85"/>
      <c r="O224" s="77"/>
      <c r="Q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" x14ac:dyDescent="0.3">
      <c r="A225" s="31"/>
      <c r="B225" s="31"/>
      <c r="C225" s="31"/>
      <c r="E225" s="31"/>
      <c r="F225" s="31"/>
      <c r="G225" s="31"/>
      <c r="J225" s="77"/>
      <c r="L225" s="31"/>
      <c r="M225" s="31"/>
      <c r="N225" s="85"/>
      <c r="O225" s="77"/>
      <c r="Q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" x14ac:dyDescent="0.3">
      <c r="A226" s="31"/>
      <c r="B226" s="31"/>
      <c r="C226" s="31"/>
      <c r="E226" s="31"/>
      <c r="F226" s="31"/>
      <c r="G226" s="31"/>
      <c r="J226" s="77"/>
      <c r="L226" s="31"/>
      <c r="M226" s="31"/>
      <c r="N226" s="85"/>
      <c r="O226" s="77"/>
      <c r="Q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" x14ac:dyDescent="0.3">
      <c r="A227" s="31"/>
      <c r="B227" s="31"/>
      <c r="C227" s="31"/>
      <c r="E227" s="31"/>
      <c r="F227" s="31"/>
      <c r="G227" s="31"/>
      <c r="J227" s="77"/>
      <c r="L227" s="31"/>
      <c r="M227" s="31"/>
      <c r="N227" s="85"/>
      <c r="O227" s="77"/>
      <c r="Q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" x14ac:dyDescent="0.3">
      <c r="A228" s="31"/>
      <c r="B228" s="31"/>
      <c r="C228" s="31"/>
      <c r="E228" s="31"/>
      <c r="F228" s="31"/>
      <c r="G228" s="31"/>
      <c r="J228" s="77"/>
      <c r="L228" s="31"/>
      <c r="M228" s="31"/>
      <c r="N228" s="85"/>
      <c r="O228" s="77"/>
      <c r="Q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" x14ac:dyDescent="0.3">
      <c r="A229" s="31"/>
      <c r="B229" s="31"/>
      <c r="C229" s="31"/>
      <c r="E229" s="31"/>
      <c r="F229" s="31"/>
      <c r="G229" s="31"/>
      <c r="J229" s="77"/>
      <c r="L229" s="31"/>
      <c r="M229" s="31"/>
      <c r="N229" s="85"/>
      <c r="O229" s="77"/>
      <c r="Q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" x14ac:dyDescent="0.3">
      <c r="A230" s="31"/>
      <c r="B230" s="31"/>
      <c r="C230" s="31"/>
      <c r="E230" s="31"/>
      <c r="F230" s="31"/>
      <c r="G230" s="31"/>
      <c r="J230" s="77"/>
      <c r="L230" s="31"/>
      <c r="M230" s="31"/>
      <c r="N230" s="85"/>
      <c r="O230" s="77"/>
      <c r="Q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" x14ac:dyDescent="0.3">
      <c r="A231" s="31"/>
      <c r="B231" s="31"/>
      <c r="C231" s="31"/>
      <c r="E231" s="31"/>
      <c r="F231" s="31"/>
      <c r="G231" s="31"/>
      <c r="J231" s="77"/>
      <c r="L231" s="31"/>
      <c r="M231" s="31"/>
      <c r="N231" s="85"/>
      <c r="O231" s="77"/>
      <c r="Q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" x14ac:dyDescent="0.3">
      <c r="A232" s="31"/>
      <c r="B232" s="31"/>
      <c r="C232" s="31"/>
      <c r="E232" s="31"/>
      <c r="F232" s="31"/>
      <c r="G232" s="31"/>
      <c r="J232" s="77"/>
      <c r="L232" s="31"/>
      <c r="M232" s="31"/>
      <c r="N232" s="85"/>
      <c r="O232" s="77"/>
      <c r="Q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" x14ac:dyDescent="0.3">
      <c r="A233" s="31"/>
      <c r="B233" s="31"/>
      <c r="C233" s="31"/>
      <c r="E233" s="31"/>
      <c r="F233" s="31"/>
      <c r="G233" s="31"/>
      <c r="J233" s="77"/>
      <c r="L233" s="31"/>
      <c r="M233" s="31"/>
      <c r="N233" s="85"/>
      <c r="O233" s="77"/>
      <c r="Q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" x14ac:dyDescent="0.3">
      <c r="A234" s="31"/>
      <c r="B234" s="31"/>
      <c r="C234" s="31"/>
      <c r="E234" s="31"/>
      <c r="F234" s="31"/>
      <c r="G234" s="31"/>
      <c r="J234" s="77"/>
      <c r="L234" s="31"/>
      <c r="M234" s="31"/>
      <c r="N234" s="85"/>
      <c r="O234" s="77"/>
      <c r="Q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" x14ac:dyDescent="0.3">
      <c r="A235" s="31"/>
      <c r="B235" s="31"/>
      <c r="C235" s="31"/>
      <c r="E235" s="31"/>
      <c r="F235" s="31"/>
      <c r="G235" s="31"/>
      <c r="J235" s="77"/>
      <c r="L235" s="31"/>
      <c r="M235" s="31"/>
      <c r="N235" s="85"/>
      <c r="O235" s="77"/>
      <c r="Q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" x14ac:dyDescent="0.3">
      <c r="A236" s="31"/>
      <c r="B236" s="31"/>
      <c r="C236" s="31"/>
      <c r="E236" s="31"/>
      <c r="F236" s="31"/>
      <c r="G236" s="31"/>
      <c r="J236" s="77"/>
      <c r="L236" s="31"/>
      <c r="M236" s="31"/>
      <c r="N236" s="85"/>
      <c r="O236" s="77"/>
      <c r="Q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" x14ac:dyDescent="0.3">
      <c r="A237" s="31"/>
      <c r="B237" s="31"/>
      <c r="C237" s="31"/>
      <c r="E237" s="31"/>
      <c r="F237" s="31"/>
      <c r="G237" s="31"/>
      <c r="J237" s="77"/>
      <c r="L237" s="31"/>
      <c r="M237" s="31"/>
      <c r="N237" s="85"/>
      <c r="O237" s="77"/>
      <c r="Q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" x14ac:dyDescent="0.3">
      <c r="A238" s="31"/>
      <c r="B238" s="31"/>
      <c r="C238" s="31"/>
      <c r="E238" s="31"/>
      <c r="F238" s="31"/>
      <c r="G238" s="31"/>
      <c r="J238" s="77"/>
      <c r="L238" s="31"/>
      <c r="M238" s="31"/>
      <c r="N238" s="85"/>
      <c r="O238" s="77"/>
      <c r="Q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" x14ac:dyDescent="0.3">
      <c r="A239" s="31"/>
      <c r="B239" s="31"/>
      <c r="C239" s="31"/>
      <c r="E239" s="31"/>
      <c r="F239" s="31"/>
      <c r="G239" s="31"/>
      <c r="J239" s="77"/>
      <c r="L239" s="31"/>
      <c r="M239" s="31"/>
      <c r="N239" s="85"/>
      <c r="O239" s="77"/>
      <c r="Q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" x14ac:dyDescent="0.3">
      <c r="A240" s="31"/>
      <c r="B240" s="31"/>
      <c r="C240" s="31"/>
      <c r="E240" s="31"/>
      <c r="F240" s="31"/>
      <c r="G240" s="31"/>
      <c r="J240" s="77"/>
      <c r="L240" s="31"/>
      <c r="M240" s="31"/>
      <c r="N240" s="85"/>
      <c r="O240" s="77"/>
      <c r="Q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" x14ac:dyDescent="0.3">
      <c r="A241" s="31"/>
      <c r="B241" s="31"/>
      <c r="C241" s="31"/>
      <c r="E241" s="31"/>
      <c r="F241" s="31"/>
      <c r="G241" s="31"/>
      <c r="J241" s="77"/>
      <c r="L241" s="31"/>
      <c r="M241" s="31"/>
      <c r="N241" s="85"/>
      <c r="O241" s="77"/>
      <c r="Q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" x14ac:dyDescent="0.3">
      <c r="A242" s="31"/>
      <c r="B242" s="31"/>
      <c r="C242" s="31"/>
      <c r="E242" s="31"/>
      <c r="F242" s="31"/>
      <c r="G242" s="31"/>
      <c r="J242" s="77"/>
      <c r="L242" s="31"/>
      <c r="M242" s="31"/>
      <c r="N242" s="85"/>
      <c r="O242" s="77"/>
      <c r="Q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" x14ac:dyDescent="0.3">
      <c r="A243" s="31"/>
      <c r="B243" s="31"/>
      <c r="C243" s="31"/>
      <c r="E243" s="31"/>
      <c r="F243" s="31"/>
      <c r="G243" s="31"/>
      <c r="J243" s="77"/>
      <c r="L243" s="31"/>
      <c r="M243" s="31"/>
      <c r="N243" s="85"/>
      <c r="O243" s="77"/>
      <c r="Q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" x14ac:dyDescent="0.3">
      <c r="A244" s="31"/>
      <c r="B244" s="31"/>
      <c r="C244" s="31"/>
      <c r="E244" s="31"/>
      <c r="F244" s="31"/>
      <c r="G244" s="31"/>
      <c r="J244" s="77"/>
      <c r="L244" s="31"/>
      <c r="M244" s="31"/>
      <c r="N244" s="85"/>
      <c r="O244" s="77"/>
      <c r="Q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" x14ac:dyDescent="0.3">
      <c r="A245" s="31"/>
      <c r="B245" s="31"/>
      <c r="C245" s="31"/>
      <c r="E245" s="31"/>
      <c r="F245" s="31"/>
      <c r="G245" s="31"/>
      <c r="J245" s="77"/>
      <c r="L245" s="31"/>
      <c r="M245" s="31"/>
      <c r="N245" s="85"/>
      <c r="O245" s="77"/>
      <c r="Q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" x14ac:dyDescent="0.3">
      <c r="A246" s="31"/>
      <c r="B246" s="31"/>
      <c r="C246" s="31"/>
      <c r="E246" s="31"/>
      <c r="F246" s="31"/>
      <c r="G246" s="31"/>
      <c r="J246" s="77"/>
      <c r="L246" s="31"/>
      <c r="M246" s="31"/>
      <c r="N246" s="85"/>
      <c r="O246" s="77"/>
      <c r="Q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" x14ac:dyDescent="0.3">
      <c r="A247" s="31"/>
      <c r="B247" s="31"/>
      <c r="C247" s="31"/>
      <c r="E247" s="31"/>
      <c r="F247" s="31"/>
      <c r="G247" s="31"/>
      <c r="J247" s="77"/>
      <c r="L247" s="31"/>
      <c r="M247" s="31"/>
      <c r="N247" s="85"/>
      <c r="O247" s="77"/>
      <c r="Q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" x14ac:dyDescent="0.3">
      <c r="A248" s="31"/>
      <c r="B248" s="31"/>
      <c r="C248" s="31"/>
      <c r="E248" s="31"/>
      <c r="F248" s="31"/>
      <c r="G248" s="31"/>
      <c r="J248" s="77"/>
      <c r="L248" s="31"/>
      <c r="M248" s="31"/>
      <c r="N248" s="85"/>
      <c r="O248" s="77"/>
      <c r="Q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" x14ac:dyDescent="0.3">
      <c r="A249" s="31"/>
      <c r="B249" s="31"/>
      <c r="C249" s="31"/>
      <c r="E249" s="31"/>
      <c r="F249" s="31"/>
      <c r="G249" s="31"/>
      <c r="J249" s="77"/>
      <c r="L249" s="31"/>
      <c r="M249" s="31"/>
      <c r="N249" s="85"/>
      <c r="O249" s="77"/>
      <c r="Q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" x14ac:dyDescent="0.3">
      <c r="A250" s="31"/>
      <c r="B250" s="31"/>
      <c r="C250" s="31"/>
      <c r="E250" s="31"/>
      <c r="F250" s="31"/>
      <c r="G250" s="31"/>
      <c r="J250" s="77"/>
      <c r="L250" s="31"/>
      <c r="M250" s="31"/>
      <c r="N250" s="85"/>
      <c r="O250" s="77"/>
      <c r="Q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" x14ac:dyDescent="0.3">
      <c r="A251" s="31"/>
      <c r="B251" s="31"/>
      <c r="C251" s="31"/>
      <c r="E251" s="31"/>
      <c r="F251" s="31"/>
      <c r="G251" s="31"/>
      <c r="J251" s="77"/>
      <c r="L251" s="31"/>
      <c r="M251" s="31"/>
      <c r="N251" s="85"/>
      <c r="O251" s="77"/>
      <c r="Q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" x14ac:dyDescent="0.3">
      <c r="A252" s="31"/>
      <c r="B252" s="31"/>
      <c r="C252" s="31"/>
      <c r="E252" s="31"/>
      <c r="F252" s="31"/>
      <c r="G252" s="31"/>
      <c r="J252" s="77"/>
      <c r="L252" s="31"/>
      <c r="M252" s="31"/>
      <c r="N252" s="85"/>
      <c r="O252" s="77"/>
      <c r="Q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" x14ac:dyDescent="0.3">
      <c r="A253" s="31"/>
      <c r="B253" s="31"/>
      <c r="C253" s="31"/>
      <c r="E253" s="31"/>
      <c r="F253" s="31"/>
      <c r="G253" s="31"/>
      <c r="J253" s="77"/>
      <c r="L253" s="31"/>
      <c r="M253" s="31"/>
      <c r="N253" s="85"/>
      <c r="O253" s="77"/>
      <c r="Q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" x14ac:dyDescent="0.3">
      <c r="A254" s="31"/>
      <c r="B254" s="31"/>
      <c r="C254" s="31"/>
      <c r="E254" s="31"/>
      <c r="F254" s="31"/>
      <c r="G254" s="31"/>
      <c r="J254" s="77"/>
      <c r="L254" s="31"/>
      <c r="M254" s="31"/>
      <c r="N254" s="85"/>
      <c r="O254" s="77"/>
      <c r="Q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" x14ac:dyDescent="0.3">
      <c r="A255" s="31"/>
      <c r="B255" s="31"/>
      <c r="C255" s="31"/>
      <c r="E255" s="31"/>
      <c r="F255" s="31"/>
      <c r="G255" s="31"/>
      <c r="J255" s="77"/>
      <c r="L255" s="31"/>
      <c r="M255" s="31"/>
      <c r="N255" s="85"/>
      <c r="O255" s="77"/>
      <c r="Q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" x14ac:dyDescent="0.3">
      <c r="A256" s="31"/>
      <c r="B256" s="31"/>
      <c r="C256" s="31"/>
      <c r="E256" s="31"/>
      <c r="F256" s="31"/>
      <c r="G256" s="31"/>
      <c r="J256" s="77"/>
      <c r="L256" s="31"/>
      <c r="M256" s="31"/>
      <c r="N256" s="85"/>
      <c r="O256" s="77"/>
      <c r="Q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" x14ac:dyDescent="0.3">
      <c r="A257" s="31"/>
      <c r="B257" s="31"/>
      <c r="C257" s="31"/>
      <c r="E257" s="31"/>
      <c r="F257" s="31"/>
      <c r="G257" s="31"/>
      <c r="J257" s="77"/>
      <c r="L257" s="31"/>
      <c r="M257" s="31"/>
      <c r="N257" s="85"/>
      <c r="O257" s="77"/>
      <c r="Q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" x14ac:dyDescent="0.3">
      <c r="A258" s="31"/>
      <c r="B258" s="31"/>
      <c r="C258" s="31"/>
      <c r="E258" s="31"/>
      <c r="F258" s="31"/>
      <c r="G258" s="31"/>
      <c r="J258" s="77"/>
      <c r="L258" s="31"/>
      <c r="M258" s="31"/>
      <c r="N258" s="85"/>
      <c r="O258" s="77"/>
      <c r="Q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" x14ac:dyDescent="0.3">
      <c r="A259" s="31"/>
      <c r="B259" s="31"/>
      <c r="C259" s="31"/>
      <c r="E259" s="31"/>
      <c r="F259" s="31"/>
      <c r="G259" s="31"/>
      <c r="J259" s="77"/>
      <c r="L259" s="31"/>
      <c r="M259" s="31"/>
      <c r="N259" s="85"/>
      <c r="O259" s="77"/>
      <c r="Q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" x14ac:dyDescent="0.3">
      <c r="A260" s="31"/>
      <c r="B260" s="31"/>
      <c r="C260" s="31"/>
      <c r="E260" s="31"/>
      <c r="F260" s="31"/>
      <c r="G260" s="31"/>
      <c r="J260" s="77"/>
      <c r="L260" s="31"/>
      <c r="M260" s="31"/>
      <c r="N260" s="85"/>
      <c r="O260" s="77"/>
      <c r="Q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" x14ac:dyDescent="0.3">
      <c r="A261" s="31"/>
      <c r="B261" s="31"/>
      <c r="C261" s="31"/>
      <c r="E261" s="31"/>
      <c r="F261" s="31"/>
      <c r="G261" s="31"/>
      <c r="J261" s="77"/>
      <c r="L261" s="31"/>
      <c r="M261" s="31"/>
      <c r="N261" s="85"/>
      <c r="O261" s="77"/>
      <c r="Q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" x14ac:dyDescent="0.3">
      <c r="A262" s="31"/>
      <c r="B262" s="31"/>
      <c r="C262" s="31"/>
      <c r="E262" s="31"/>
      <c r="F262" s="31"/>
      <c r="G262" s="31"/>
      <c r="J262" s="77"/>
      <c r="L262" s="31"/>
      <c r="M262" s="31"/>
      <c r="N262" s="85"/>
      <c r="O262" s="77"/>
      <c r="Q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" x14ac:dyDescent="0.3">
      <c r="A263" s="31"/>
      <c r="B263" s="31"/>
      <c r="C263" s="31"/>
      <c r="E263" s="31"/>
      <c r="F263" s="31"/>
      <c r="G263" s="31"/>
      <c r="J263" s="77"/>
      <c r="L263" s="31"/>
      <c r="M263" s="31"/>
      <c r="N263" s="85"/>
      <c r="O263" s="77"/>
      <c r="Q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" x14ac:dyDescent="0.3">
      <c r="A264" s="31"/>
      <c r="B264" s="31"/>
      <c r="C264" s="31"/>
      <c r="E264" s="31"/>
      <c r="F264" s="31"/>
      <c r="G264" s="31"/>
      <c r="J264" s="77"/>
      <c r="L264" s="31"/>
      <c r="M264" s="31"/>
      <c r="N264" s="85"/>
      <c r="O264" s="77"/>
      <c r="Q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" x14ac:dyDescent="0.3">
      <c r="A265" s="31"/>
      <c r="B265" s="31"/>
      <c r="C265" s="31"/>
      <c r="E265" s="31"/>
      <c r="F265" s="31"/>
      <c r="G265" s="31"/>
      <c r="J265" s="77"/>
      <c r="L265" s="31"/>
      <c r="M265" s="31"/>
      <c r="N265" s="85"/>
      <c r="O265" s="77"/>
      <c r="Q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" x14ac:dyDescent="0.3">
      <c r="A266" s="31"/>
      <c r="B266" s="31"/>
      <c r="C266" s="31"/>
      <c r="E266" s="31"/>
      <c r="F266" s="31"/>
      <c r="G266" s="31"/>
      <c r="J266" s="77"/>
      <c r="L266" s="31"/>
      <c r="M266" s="31"/>
      <c r="N266" s="85"/>
      <c r="O266" s="77"/>
      <c r="Q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" x14ac:dyDescent="0.3">
      <c r="A267" s="31"/>
      <c r="B267" s="31"/>
      <c r="C267" s="31"/>
      <c r="E267" s="31"/>
      <c r="F267" s="31"/>
      <c r="G267" s="31"/>
      <c r="J267" s="77"/>
      <c r="L267" s="31"/>
      <c r="M267" s="31"/>
      <c r="N267" s="85"/>
      <c r="O267" s="77"/>
      <c r="Q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" x14ac:dyDescent="0.3">
      <c r="A268" s="31"/>
      <c r="B268" s="31"/>
      <c r="C268" s="31"/>
      <c r="E268" s="31"/>
      <c r="F268" s="31"/>
      <c r="G268" s="31"/>
      <c r="J268" s="77"/>
      <c r="L268" s="31"/>
      <c r="M268" s="31"/>
      <c r="N268" s="85"/>
      <c r="O268" s="77"/>
      <c r="Q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" x14ac:dyDescent="0.3">
      <c r="A269" s="31"/>
      <c r="B269" s="31"/>
      <c r="C269" s="31"/>
      <c r="E269" s="31"/>
      <c r="F269" s="31"/>
      <c r="G269" s="31"/>
      <c r="J269" s="77"/>
      <c r="L269" s="31"/>
      <c r="M269" s="31"/>
      <c r="N269" s="85"/>
      <c r="O269" s="77"/>
      <c r="Q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" x14ac:dyDescent="0.3">
      <c r="A270" s="31"/>
      <c r="B270" s="31"/>
      <c r="C270" s="31"/>
      <c r="E270" s="31"/>
      <c r="F270" s="31"/>
      <c r="G270" s="31"/>
      <c r="J270" s="77"/>
      <c r="L270" s="31"/>
      <c r="M270" s="31"/>
      <c r="N270" s="85"/>
      <c r="O270" s="77"/>
      <c r="Q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" x14ac:dyDescent="0.3">
      <c r="A271" s="31"/>
      <c r="B271" s="31"/>
      <c r="C271" s="31"/>
      <c r="E271" s="31"/>
      <c r="F271" s="31"/>
      <c r="G271" s="31"/>
      <c r="J271" s="77"/>
      <c r="L271" s="31"/>
      <c r="M271" s="31"/>
      <c r="N271" s="85"/>
      <c r="O271" s="77"/>
      <c r="Q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" x14ac:dyDescent="0.3">
      <c r="A272" s="31"/>
      <c r="B272" s="31"/>
      <c r="C272" s="31"/>
      <c r="E272" s="31"/>
      <c r="F272" s="31"/>
      <c r="G272" s="31"/>
      <c r="J272" s="77"/>
      <c r="L272" s="31"/>
      <c r="M272" s="31"/>
      <c r="N272" s="85"/>
      <c r="O272" s="77"/>
      <c r="Q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" x14ac:dyDescent="0.3">
      <c r="A273" s="31"/>
      <c r="B273" s="31"/>
      <c r="C273" s="31"/>
      <c r="E273" s="31"/>
      <c r="F273" s="31"/>
      <c r="G273" s="31"/>
      <c r="J273" s="77"/>
      <c r="L273" s="31"/>
      <c r="M273" s="31"/>
      <c r="N273" s="85"/>
      <c r="O273" s="77"/>
      <c r="Q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" x14ac:dyDescent="0.3">
      <c r="A274" s="31"/>
      <c r="B274" s="31"/>
      <c r="C274" s="31"/>
      <c r="E274" s="31"/>
      <c r="F274" s="31"/>
      <c r="G274" s="31"/>
      <c r="J274" s="77"/>
      <c r="L274" s="31"/>
      <c r="M274" s="31"/>
      <c r="N274" s="85"/>
      <c r="O274" s="77"/>
      <c r="Q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" x14ac:dyDescent="0.3">
      <c r="A275" s="31"/>
      <c r="B275" s="31"/>
      <c r="C275" s="31"/>
      <c r="E275" s="31"/>
      <c r="F275" s="31"/>
      <c r="G275" s="31"/>
      <c r="J275" s="77"/>
      <c r="L275" s="31"/>
      <c r="M275" s="31"/>
      <c r="N275" s="85"/>
      <c r="O275" s="77"/>
      <c r="Q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" x14ac:dyDescent="0.3">
      <c r="A276" s="31"/>
      <c r="B276" s="31"/>
      <c r="C276" s="31"/>
      <c r="E276" s="31"/>
      <c r="F276" s="31"/>
      <c r="G276" s="31"/>
      <c r="J276" s="77"/>
      <c r="L276" s="31"/>
      <c r="M276" s="31"/>
      <c r="N276" s="85"/>
      <c r="O276" s="77"/>
      <c r="Q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" x14ac:dyDescent="0.3">
      <c r="A277" s="31"/>
      <c r="B277" s="31"/>
      <c r="C277" s="31"/>
      <c r="E277" s="31"/>
      <c r="F277" s="31"/>
      <c r="G277" s="31"/>
      <c r="J277" s="77"/>
      <c r="L277" s="31"/>
      <c r="M277" s="31"/>
      <c r="N277" s="85"/>
      <c r="O277" s="77"/>
      <c r="Q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" x14ac:dyDescent="0.3">
      <c r="A278" s="31"/>
      <c r="B278" s="31"/>
      <c r="C278" s="31"/>
      <c r="E278" s="31"/>
      <c r="F278" s="31"/>
      <c r="G278" s="31"/>
      <c r="J278" s="77"/>
      <c r="L278" s="31"/>
      <c r="M278" s="31"/>
      <c r="N278" s="85"/>
      <c r="O278" s="77"/>
      <c r="Q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" x14ac:dyDescent="0.3">
      <c r="A279" s="31"/>
      <c r="B279" s="31"/>
      <c r="C279" s="31"/>
      <c r="E279" s="31"/>
      <c r="F279" s="31"/>
      <c r="G279" s="31"/>
      <c r="J279" s="77"/>
      <c r="L279" s="31"/>
      <c r="M279" s="31"/>
      <c r="N279" s="85"/>
      <c r="O279" s="77"/>
      <c r="Q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" x14ac:dyDescent="0.3">
      <c r="A280" s="31"/>
      <c r="B280" s="31"/>
      <c r="C280" s="31"/>
      <c r="E280" s="31"/>
      <c r="F280" s="31"/>
      <c r="G280" s="31"/>
      <c r="J280" s="77"/>
      <c r="L280" s="31"/>
      <c r="M280" s="31"/>
      <c r="N280" s="85"/>
      <c r="O280" s="77"/>
      <c r="Q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" x14ac:dyDescent="0.3">
      <c r="A281" s="31"/>
      <c r="B281" s="31"/>
      <c r="C281" s="31"/>
      <c r="E281" s="31"/>
      <c r="F281" s="31"/>
      <c r="G281" s="31"/>
      <c r="J281" s="77"/>
      <c r="L281" s="31"/>
      <c r="M281" s="31"/>
      <c r="N281" s="85"/>
      <c r="O281" s="77"/>
      <c r="Q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" x14ac:dyDescent="0.3">
      <c r="A282" s="31"/>
      <c r="B282" s="31"/>
      <c r="C282" s="31"/>
      <c r="E282" s="31"/>
      <c r="F282" s="31"/>
      <c r="G282" s="31"/>
      <c r="J282" s="77"/>
      <c r="L282" s="31"/>
      <c r="M282" s="31"/>
      <c r="N282" s="85"/>
      <c r="O282" s="77"/>
      <c r="Q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" x14ac:dyDescent="0.3">
      <c r="A283" s="31"/>
      <c r="B283" s="31"/>
      <c r="C283" s="31"/>
      <c r="E283" s="31"/>
      <c r="F283" s="31"/>
      <c r="G283" s="31"/>
      <c r="J283" s="77"/>
      <c r="L283" s="31"/>
      <c r="M283" s="31"/>
      <c r="N283" s="85"/>
      <c r="O283" s="77"/>
      <c r="Q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" x14ac:dyDescent="0.3">
      <c r="A284" s="31"/>
      <c r="B284" s="31"/>
      <c r="C284" s="31"/>
      <c r="E284" s="31"/>
      <c r="F284" s="31"/>
      <c r="G284" s="31"/>
      <c r="J284" s="77"/>
      <c r="L284" s="31"/>
      <c r="M284" s="31"/>
      <c r="N284" s="85"/>
      <c r="O284" s="77"/>
      <c r="Q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" x14ac:dyDescent="0.3">
      <c r="A285" s="31"/>
      <c r="B285" s="31"/>
      <c r="C285" s="31"/>
      <c r="E285" s="31"/>
      <c r="F285" s="31"/>
      <c r="G285" s="31"/>
      <c r="J285" s="77"/>
      <c r="L285" s="31"/>
      <c r="M285" s="31"/>
      <c r="N285" s="85"/>
      <c r="O285" s="77"/>
      <c r="Q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" x14ac:dyDescent="0.3">
      <c r="A286" s="31"/>
      <c r="B286" s="31"/>
      <c r="C286" s="31"/>
      <c r="E286" s="31"/>
      <c r="F286" s="31"/>
      <c r="G286" s="31"/>
      <c r="J286" s="77"/>
      <c r="L286" s="31"/>
      <c r="M286" s="31"/>
      <c r="N286" s="85"/>
      <c r="O286" s="77"/>
      <c r="Q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" x14ac:dyDescent="0.3">
      <c r="A287" s="31"/>
      <c r="B287" s="31"/>
      <c r="C287" s="31"/>
      <c r="E287" s="31"/>
      <c r="F287" s="31"/>
      <c r="G287" s="31"/>
      <c r="J287" s="77"/>
      <c r="L287" s="31"/>
      <c r="M287" s="31"/>
      <c r="N287" s="85"/>
      <c r="O287" s="77"/>
      <c r="Q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" x14ac:dyDescent="0.3">
      <c r="A288" s="31"/>
      <c r="B288" s="31"/>
      <c r="C288" s="31"/>
      <c r="E288" s="31"/>
      <c r="F288" s="31"/>
      <c r="G288" s="31"/>
      <c r="J288" s="77"/>
      <c r="L288" s="31"/>
      <c r="M288" s="31"/>
      <c r="N288" s="85"/>
      <c r="O288" s="77"/>
      <c r="Q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" x14ac:dyDescent="0.3">
      <c r="A289" s="31"/>
      <c r="B289" s="31"/>
      <c r="C289" s="31"/>
      <c r="E289" s="31"/>
      <c r="F289" s="31"/>
      <c r="G289" s="31"/>
      <c r="J289" s="77"/>
      <c r="L289" s="31"/>
      <c r="M289" s="31"/>
      <c r="N289" s="85"/>
      <c r="O289" s="77"/>
      <c r="Q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" x14ac:dyDescent="0.3">
      <c r="A290" s="31"/>
      <c r="B290" s="31"/>
      <c r="C290" s="31"/>
      <c r="E290" s="31"/>
      <c r="F290" s="31"/>
      <c r="G290" s="31"/>
      <c r="J290" s="77"/>
      <c r="L290" s="31"/>
      <c r="M290" s="31"/>
      <c r="N290" s="85"/>
      <c r="O290" s="77"/>
      <c r="Q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" x14ac:dyDescent="0.3">
      <c r="A291" s="31"/>
      <c r="B291" s="31"/>
      <c r="C291" s="31"/>
      <c r="E291" s="31"/>
      <c r="F291" s="31"/>
      <c r="G291" s="31"/>
      <c r="J291" s="77"/>
      <c r="L291" s="31"/>
      <c r="M291" s="31"/>
      <c r="N291" s="85"/>
      <c r="O291" s="77"/>
      <c r="Q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" x14ac:dyDescent="0.3">
      <c r="A292" s="31"/>
      <c r="B292" s="31"/>
      <c r="C292" s="31"/>
      <c r="E292" s="31"/>
      <c r="F292" s="31"/>
      <c r="G292" s="31"/>
      <c r="J292" s="77"/>
      <c r="L292" s="31"/>
      <c r="M292" s="31"/>
      <c r="N292" s="85"/>
      <c r="O292" s="77"/>
      <c r="Q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" x14ac:dyDescent="0.3">
      <c r="A293" s="31"/>
      <c r="B293" s="31"/>
      <c r="C293" s="31"/>
      <c r="E293" s="31"/>
      <c r="F293" s="31"/>
      <c r="G293" s="31"/>
      <c r="J293" s="77"/>
      <c r="L293" s="31"/>
      <c r="M293" s="31"/>
      <c r="N293" s="85"/>
      <c r="O293" s="77"/>
      <c r="Q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" x14ac:dyDescent="0.3">
      <c r="A294" s="31"/>
      <c r="B294" s="31"/>
      <c r="C294" s="31"/>
      <c r="E294" s="31"/>
      <c r="F294" s="31"/>
      <c r="G294" s="31"/>
      <c r="J294" s="77"/>
      <c r="L294" s="31"/>
      <c r="M294" s="31"/>
      <c r="N294" s="85"/>
      <c r="O294" s="77"/>
      <c r="Q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" x14ac:dyDescent="0.3">
      <c r="A295" s="31"/>
      <c r="B295" s="31"/>
      <c r="C295" s="31"/>
      <c r="E295" s="31"/>
      <c r="F295" s="31"/>
      <c r="G295" s="31"/>
      <c r="J295" s="77"/>
      <c r="L295" s="31"/>
      <c r="M295" s="31"/>
      <c r="N295" s="85"/>
      <c r="O295" s="77"/>
      <c r="Q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" x14ac:dyDescent="0.3">
      <c r="A296" s="31"/>
      <c r="B296" s="31"/>
      <c r="C296" s="31"/>
      <c r="E296" s="31"/>
      <c r="F296" s="31"/>
      <c r="G296" s="31"/>
      <c r="J296" s="77"/>
      <c r="L296" s="31"/>
      <c r="M296" s="31"/>
      <c r="N296" s="85"/>
      <c r="O296" s="77"/>
      <c r="Q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" x14ac:dyDescent="0.3">
      <c r="A297" s="31"/>
      <c r="B297" s="31"/>
      <c r="C297" s="31"/>
      <c r="E297" s="31"/>
      <c r="F297" s="31"/>
      <c r="G297" s="31"/>
      <c r="J297" s="77"/>
      <c r="L297" s="31"/>
      <c r="M297" s="31"/>
      <c r="N297" s="85"/>
      <c r="O297" s="77"/>
      <c r="Q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" x14ac:dyDescent="0.3">
      <c r="A298" s="31"/>
      <c r="B298" s="31"/>
      <c r="C298" s="31"/>
      <c r="E298" s="31"/>
      <c r="F298" s="31"/>
      <c r="G298" s="31"/>
      <c r="J298" s="77"/>
      <c r="L298" s="31"/>
      <c r="M298" s="31"/>
      <c r="N298" s="85"/>
      <c r="O298" s="77"/>
      <c r="Q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" x14ac:dyDescent="0.3">
      <c r="A299" s="31"/>
      <c r="B299" s="31"/>
      <c r="C299" s="31"/>
      <c r="E299" s="31"/>
      <c r="F299" s="31"/>
      <c r="G299" s="31"/>
      <c r="J299" s="77"/>
      <c r="L299" s="31"/>
      <c r="M299" s="31"/>
      <c r="N299" s="85"/>
      <c r="O299" s="77"/>
      <c r="Q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" x14ac:dyDescent="0.3">
      <c r="A300" s="31"/>
      <c r="B300" s="31"/>
      <c r="C300" s="31"/>
      <c r="E300" s="31"/>
      <c r="F300" s="31"/>
      <c r="G300" s="31"/>
      <c r="J300" s="77"/>
      <c r="L300" s="31"/>
      <c r="M300" s="31"/>
      <c r="N300" s="85"/>
      <c r="O300" s="77"/>
      <c r="Q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" x14ac:dyDescent="0.3">
      <c r="A301" s="31"/>
      <c r="B301" s="31"/>
      <c r="C301" s="31"/>
      <c r="E301" s="31"/>
      <c r="F301" s="31"/>
      <c r="G301" s="31"/>
      <c r="J301" s="77"/>
      <c r="L301" s="31"/>
      <c r="M301" s="31"/>
      <c r="N301" s="85"/>
      <c r="O301" s="77"/>
      <c r="Q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" x14ac:dyDescent="0.3">
      <c r="A302" s="31"/>
      <c r="B302" s="31"/>
      <c r="C302" s="31"/>
      <c r="E302" s="31"/>
      <c r="F302" s="31"/>
      <c r="G302" s="31"/>
      <c r="J302" s="77"/>
      <c r="L302" s="31"/>
      <c r="M302" s="31"/>
      <c r="N302" s="85"/>
      <c r="O302" s="77"/>
      <c r="Q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" x14ac:dyDescent="0.3">
      <c r="A303" s="31"/>
      <c r="B303" s="31"/>
      <c r="C303" s="31"/>
      <c r="E303" s="31"/>
      <c r="F303" s="31"/>
      <c r="G303" s="31"/>
      <c r="J303" s="77"/>
      <c r="L303" s="31"/>
      <c r="M303" s="31"/>
      <c r="N303" s="85"/>
      <c r="O303" s="77"/>
      <c r="Q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" x14ac:dyDescent="0.3">
      <c r="A304" s="31"/>
      <c r="B304" s="31"/>
      <c r="C304" s="31"/>
      <c r="E304" s="31"/>
      <c r="F304" s="31"/>
      <c r="G304" s="31"/>
      <c r="J304" s="77"/>
      <c r="L304" s="31"/>
      <c r="M304" s="31"/>
      <c r="N304" s="85"/>
      <c r="O304" s="77"/>
      <c r="Q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" x14ac:dyDescent="0.3">
      <c r="A305" s="31"/>
      <c r="B305" s="31"/>
      <c r="C305" s="31"/>
      <c r="E305" s="31"/>
      <c r="F305" s="31"/>
      <c r="G305" s="31"/>
      <c r="J305" s="77"/>
      <c r="L305" s="31"/>
      <c r="M305" s="31"/>
      <c r="N305" s="85"/>
      <c r="O305" s="77"/>
      <c r="Q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" x14ac:dyDescent="0.3">
      <c r="A306" s="31"/>
      <c r="B306" s="31"/>
      <c r="C306" s="31"/>
      <c r="E306" s="31"/>
      <c r="F306" s="31"/>
      <c r="G306" s="31"/>
      <c r="J306" s="77"/>
      <c r="L306" s="31"/>
      <c r="M306" s="31"/>
      <c r="N306" s="85"/>
      <c r="O306" s="77"/>
      <c r="Q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" x14ac:dyDescent="0.3">
      <c r="A307" s="31"/>
      <c r="B307" s="31"/>
      <c r="C307" s="31"/>
      <c r="E307" s="31"/>
      <c r="F307" s="31"/>
      <c r="G307" s="31"/>
      <c r="J307" s="77"/>
      <c r="L307" s="31"/>
      <c r="M307" s="31"/>
      <c r="N307" s="85"/>
      <c r="O307" s="77"/>
      <c r="Q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" x14ac:dyDescent="0.3">
      <c r="A308" s="31"/>
      <c r="B308" s="31"/>
      <c r="C308" s="31"/>
      <c r="E308" s="31"/>
      <c r="F308" s="31"/>
      <c r="G308" s="31"/>
      <c r="J308" s="77"/>
      <c r="L308" s="31"/>
      <c r="M308" s="31"/>
      <c r="N308" s="85"/>
      <c r="O308" s="77"/>
      <c r="Q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" x14ac:dyDescent="0.3">
      <c r="A309" s="31"/>
      <c r="B309" s="31"/>
      <c r="C309" s="31"/>
      <c r="E309" s="31"/>
      <c r="F309" s="31"/>
      <c r="G309" s="31"/>
      <c r="J309" s="77"/>
      <c r="L309" s="31"/>
      <c r="M309" s="31"/>
      <c r="N309" s="85"/>
      <c r="O309" s="77"/>
      <c r="Q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" x14ac:dyDescent="0.3">
      <c r="A310" s="31"/>
      <c r="B310" s="31"/>
      <c r="C310" s="31"/>
      <c r="E310" s="31"/>
      <c r="F310" s="31"/>
      <c r="G310" s="31"/>
      <c r="J310" s="77"/>
      <c r="L310" s="31"/>
      <c r="M310" s="31"/>
      <c r="N310" s="85"/>
      <c r="O310" s="77"/>
      <c r="Q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" x14ac:dyDescent="0.3">
      <c r="A311" s="31"/>
      <c r="B311" s="31"/>
      <c r="C311" s="31"/>
      <c r="E311" s="31"/>
      <c r="F311" s="31"/>
      <c r="G311" s="31"/>
      <c r="J311" s="77"/>
      <c r="L311" s="31"/>
      <c r="M311" s="31"/>
      <c r="N311" s="85"/>
      <c r="O311" s="77"/>
      <c r="Q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" x14ac:dyDescent="0.3">
      <c r="A312" s="31"/>
      <c r="B312" s="31"/>
      <c r="C312" s="31"/>
      <c r="E312" s="31"/>
      <c r="F312" s="31"/>
      <c r="G312" s="31"/>
      <c r="J312" s="77"/>
      <c r="L312" s="31"/>
      <c r="M312" s="31"/>
      <c r="N312" s="85"/>
      <c r="O312" s="77"/>
      <c r="Q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" x14ac:dyDescent="0.3">
      <c r="A313" s="31"/>
      <c r="B313" s="31"/>
      <c r="C313" s="31"/>
      <c r="E313" s="31"/>
      <c r="F313" s="31"/>
      <c r="G313" s="31"/>
      <c r="J313" s="77"/>
      <c r="L313" s="31"/>
      <c r="M313" s="31"/>
      <c r="N313" s="85"/>
      <c r="O313" s="77"/>
      <c r="Q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" x14ac:dyDescent="0.3">
      <c r="A314" s="31"/>
      <c r="B314" s="31"/>
      <c r="C314" s="31"/>
      <c r="E314" s="31"/>
      <c r="F314" s="31"/>
      <c r="G314" s="31"/>
      <c r="J314" s="77"/>
      <c r="L314" s="31"/>
      <c r="M314" s="31"/>
      <c r="N314" s="85"/>
      <c r="O314" s="77"/>
      <c r="Q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" x14ac:dyDescent="0.3">
      <c r="A315" s="31"/>
      <c r="B315" s="31"/>
      <c r="C315" s="31"/>
      <c r="E315" s="31"/>
      <c r="F315" s="31"/>
      <c r="G315" s="31"/>
      <c r="J315" s="77"/>
      <c r="L315" s="31"/>
      <c r="M315" s="31"/>
      <c r="N315" s="85"/>
      <c r="O315" s="77"/>
      <c r="Q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" x14ac:dyDescent="0.3">
      <c r="A316" s="31"/>
      <c r="B316" s="31"/>
      <c r="C316" s="31"/>
      <c r="E316" s="31"/>
      <c r="F316" s="31"/>
      <c r="G316" s="31"/>
      <c r="J316" s="77"/>
      <c r="L316" s="31"/>
      <c r="M316" s="31"/>
      <c r="N316" s="85"/>
      <c r="O316" s="77"/>
      <c r="Q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" x14ac:dyDescent="0.3">
      <c r="A317" s="31"/>
      <c r="B317" s="31"/>
      <c r="C317" s="31"/>
      <c r="E317" s="31"/>
      <c r="F317" s="31"/>
      <c r="G317" s="31"/>
      <c r="J317" s="77"/>
      <c r="L317" s="31"/>
      <c r="M317" s="31"/>
      <c r="N317" s="85"/>
      <c r="O317" s="77"/>
      <c r="Q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" x14ac:dyDescent="0.3">
      <c r="A318" s="31"/>
      <c r="B318" s="31"/>
      <c r="C318" s="31"/>
      <c r="E318" s="31"/>
      <c r="F318" s="31"/>
      <c r="G318" s="31"/>
      <c r="J318" s="77"/>
      <c r="L318" s="31"/>
      <c r="M318" s="31"/>
      <c r="N318" s="85"/>
      <c r="O318" s="77"/>
      <c r="Q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" x14ac:dyDescent="0.3">
      <c r="A319" s="31"/>
      <c r="B319" s="31"/>
      <c r="C319" s="31"/>
      <c r="E319" s="31"/>
      <c r="F319" s="31"/>
      <c r="G319" s="31"/>
      <c r="J319" s="77"/>
      <c r="L319" s="31"/>
      <c r="M319" s="31"/>
      <c r="N319" s="85"/>
      <c r="O319" s="77"/>
      <c r="Q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" x14ac:dyDescent="0.3">
      <c r="A320" s="31"/>
      <c r="B320" s="31"/>
      <c r="C320" s="31"/>
      <c r="E320" s="31"/>
      <c r="F320" s="31"/>
      <c r="G320" s="31"/>
      <c r="J320" s="77"/>
      <c r="L320" s="31"/>
      <c r="M320" s="31"/>
      <c r="N320" s="85"/>
      <c r="O320" s="77"/>
      <c r="Q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" x14ac:dyDescent="0.3">
      <c r="A321" s="31"/>
      <c r="B321" s="31"/>
      <c r="C321" s="31"/>
      <c r="E321" s="31"/>
      <c r="F321" s="31"/>
      <c r="G321" s="31"/>
      <c r="J321" s="77"/>
      <c r="L321" s="31"/>
      <c r="M321" s="31"/>
      <c r="N321" s="85"/>
      <c r="O321" s="77"/>
      <c r="Q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" x14ac:dyDescent="0.3">
      <c r="A322" s="31"/>
      <c r="B322" s="31"/>
      <c r="C322" s="31"/>
      <c r="E322" s="31"/>
      <c r="F322" s="31"/>
      <c r="G322" s="31"/>
      <c r="J322" s="77"/>
      <c r="L322" s="31"/>
      <c r="M322" s="31"/>
      <c r="N322" s="85"/>
      <c r="O322" s="77"/>
      <c r="Q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" x14ac:dyDescent="0.3">
      <c r="A323" s="31"/>
      <c r="B323" s="31"/>
      <c r="C323" s="31"/>
      <c r="E323" s="31"/>
      <c r="F323" s="31"/>
      <c r="G323" s="31"/>
      <c r="J323" s="77"/>
      <c r="L323" s="31"/>
      <c r="M323" s="31"/>
      <c r="N323" s="85"/>
      <c r="O323" s="77"/>
      <c r="Q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" x14ac:dyDescent="0.3">
      <c r="A324" s="31"/>
      <c r="B324" s="31"/>
      <c r="C324" s="31"/>
      <c r="E324" s="31"/>
      <c r="F324" s="31"/>
      <c r="G324" s="31"/>
      <c r="J324" s="77"/>
      <c r="L324" s="31"/>
      <c r="M324" s="31"/>
      <c r="N324" s="85"/>
      <c r="O324" s="77"/>
      <c r="Q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" x14ac:dyDescent="0.3">
      <c r="A325" s="31"/>
      <c r="B325" s="31"/>
      <c r="C325" s="31"/>
      <c r="E325" s="31"/>
      <c r="F325" s="31"/>
      <c r="G325" s="31"/>
      <c r="J325" s="77"/>
      <c r="L325" s="31"/>
      <c r="M325" s="31"/>
      <c r="N325" s="85"/>
      <c r="O325" s="77"/>
      <c r="Q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" x14ac:dyDescent="0.3">
      <c r="A326" s="31"/>
      <c r="B326" s="31"/>
      <c r="C326" s="31"/>
      <c r="E326" s="31"/>
      <c r="F326" s="31"/>
      <c r="G326" s="31"/>
      <c r="J326" s="77"/>
      <c r="L326" s="31"/>
      <c r="M326" s="31"/>
      <c r="N326" s="85"/>
      <c r="O326" s="77"/>
      <c r="Q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" x14ac:dyDescent="0.3">
      <c r="A327" s="31"/>
      <c r="B327" s="31"/>
      <c r="C327" s="31"/>
      <c r="E327" s="31"/>
      <c r="F327" s="31"/>
      <c r="G327" s="31"/>
      <c r="J327" s="77"/>
      <c r="L327" s="31"/>
      <c r="M327" s="31"/>
      <c r="N327" s="85"/>
      <c r="O327" s="77"/>
      <c r="Q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" x14ac:dyDescent="0.3">
      <c r="A328" s="31"/>
      <c r="B328" s="31"/>
      <c r="C328" s="31"/>
      <c r="E328" s="31"/>
      <c r="F328" s="31"/>
      <c r="G328" s="31"/>
      <c r="J328" s="77"/>
      <c r="L328" s="31"/>
      <c r="M328" s="31"/>
      <c r="N328" s="85"/>
      <c r="O328" s="77"/>
      <c r="Q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" x14ac:dyDescent="0.3">
      <c r="A329" s="31"/>
      <c r="B329" s="31"/>
      <c r="C329" s="31"/>
      <c r="E329" s="31"/>
      <c r="F329" s="31"/>
      <c r="G329" s="31"/>
      <c r="J329" s="77"/>
      <c r="L329" s="31"/>
      <c r="M329" s="31"/>
      <c r="N329" s="85"/>
      <c r="O329" s="77"/>
      <c r="Q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" x14ac:dyDescent="0.3">
      <c r="A330" s="31"/>
      <c r="B330" s="31"/>
      <c r="C330" s="31"/>
      <c r="E330" s="31"/>
      <c r="F330" s="31"/>
      <c r="G330" s="31"/>
      <c r="J330" s="77"/>
      <c r="L330" s="31"/>
      <c r="M330" s="31"/>
      <c r="N330" s="85"/>
      <c r="O330" s="77"/>
      <c r="Q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" x14ac:dyDescent="0.3">
      <c r="A331" s="31"/>
      <c r="B331" s="31"/>
      <c r="C331" s="31"/>
      <c r="E331" s="31"/>
      <c r="F331" s="31"/>
      <c r="G331" s="31"/>
      <c r="J331" s="77"/>
      <c r="L331" s="31"/>
      <c r="M331" s="31"/>
      <c r="N331" s="85"/>
      <c r="O331" s="77"/>
      <c r="Q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" x14ac:dyDescent="0.3">
      <c r="A332" s="31"/>
      <c r="B332" s="31"/>
      <c r="C332" s="31"/>
      <c r="E332" s="31"/>
      <c r="F332" s="31"/>
      <c r="G332" s="31"/>
      <c r="J332" s="77"/>
      <c r="L332" s="31"/>
      <c r="M332" s="31"/>
      <c r="N332" s="85"/>
      <c r="O332" s="77"/>
      <c r="Q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" x14ac:dyDescent="0.3">
      <c r="A333" s="31"/>
      <c r="B333" s="31"/>
      <c r="C333" s="31"/>
      <c r="E333" s="31"/>
      <c r="F333" s="31"/>
      <c r="G333" s="31"/>
      <c r="J333" s="77"/>
      <c r="L333" s="31"/>
      <c r="M333" s="31"/>
      <c r="N333" s="85"/>
      <c r="O333" s="77"/>
      <c r="Q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" x14ac:dyDescent="0.3">
      <c r="A334" s="31"/>
      <c r="B334" s="31"/>
      <c r="C334" s="31"/>
      <c r="E334" s="31"/>
      <c r="F334" s="31"/>
      <c r="G334" s="31"/>
      <c r="J334" s="77"/>
      <c r="L334" s="31"/>
      <c r="M334" s="31"/>
      <c r="N334" s="85"/>
      <c r="O334" s="77"/>
      <c r="Q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" x14ac:dyDescent="0.3">
      <c r="A335" s="31"/>
      <c r="B335" s="31"/>
      <c r="C335" s="31"/>
      <c r="E335" s="31"/>
      <c r="F335" s="31"/>
      <c r="G335" s="31"/>
      <c r="J335" s="77"/>
      <c r="L335" s="31"/>
      <c r="M335" s="31"/>
      <c r="N335" s="85"/>
      <c r="O335" s="77"/>
      <c r="Q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" x14ac:dyDescent="0.3">
      <c r="A336" s="31"/>
      <c r="B336" s="31"/>
      <c r="C336" s="31"/>
      <c r="E336" s="31"/>
      <c r="F336" s="31"/>
      <c r="G336" s="31"/>
      <c r="J336" s="77"/>
      <c r="L336" s="31"/>
      <c r="M336" s="31"/>
      <c r="N336" s="85"/>
      <c r="O336" s="77"/>
      <c r="Q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" x14ac:dyDescent="0.3">
      <c r="A337" s="31"/>
      <c r="B337" s="31"/>
      <c r="C337" s="31"/>
      <c r="E337" s="31"/>
      <c r="F337" s="31"/>
      <c r="G337" s="31"/>
      <c r="J337" s="77"/>
      <c r="L337" s="31"/>
      <c r="M337" s="31"/>
      <c r="N337" s="85"/>
      <c r="O337" s="77"/>
      <c r="Q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" x14ac:dyDescent="0.3">
      <c r="A338" s="31"/>
      <c r="B338" s="31"/>
      <c r="C338" s="31"/>
      <c r="E338" s="31"/>
      <c r="F338" s="31"/>
      <c r="G338" s="31"/>
      <c r="J338" s="77"/>
      <c r="L338" s="31"/>
      <c r="M338" s="31"/>
      <c r="N338" s="85"/>
      <c r="O338" s="77"/>
      <c r="Q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" x14ac:dyDescent="0.3">
      <c r="A339" s="31"/>
      <c r="B339" s="31"/>
      <c r="C339" s="31"/>
      <c r="E339" s="31"/>
      <c r="F339" s="31"/>
      <c r="G339" s="31"/>
      <c r="J339" s="77"/>
      <c r="L339" s="31"/>
      <c r="M339" s="31"/>
      <c r="N339" s="85"/>
      <c r="O339" s="77"/>
      <c r="Q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" x14ac:dyDescent="0.3">
      <c r="A340" s="31"/>
      <c r="B340" s="31"/>
      <c r="C340" s="31"/>
      <c r="E340" s="31"/>
      <c r="F340" s="31"/>
      <c r="G340" s="31"/>
      <c r="J340" s="77"/>
      <c r="L340" s="31"/>
      <c r="M340" s="31"/>
      <c r="N340" s="85"/>
      <c r="O340" s="77"/>
      <c r="Q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" x14ac:dyDescent="0.3">
      <c r="A341" s="31"/>
      <c r="B341" s="31"/>
      <c r="C341" s="31"/>
      <c r="E341" s="31"/>
      <c r="F341" s="31"/>
      <c r="G341" s="31"/>
      <c r="J341" s="77"/>
      <c r="L341" s="31"/>
      <c r="M341" s="31"/>
      <c r="N341" s="85"/>
      <c r="O341" s="77"/>
      <c r="Q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" x14ac:dyDescent="0.3">
      <c r="A342" s="31"/>
      <c r="B342" s="31"/>
      <c r="C342" s="31"/>
      <c r="E342" s="31"/>
      <c r="F342" s="31"/>
      <c r="G342" s="31"/>
      <c r="J342" s="77"/>
      <c r="L342" s="31"/>
      <c r="M342" s="31"/>
      <c r="N342" s="85"/>
      <c r="O342" s="77"/>
      <c r="Q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" x14ac:dyDescent="0.3">
      <c r="A343" s="31"/>
      <c r="B343" s="31"/>
      <c r="C343" s="31"/>
      <c r="E343" s="31"/>
      <c r="F343" s="31"/>
      <c r="G343" s="31"/>
      <c r="J343" s="77"/>
      <c r="L343" s="31"/>
      <c r="M343" s="31"/>
      <c r="N343" s="85"/>
      <c r="O343" s="77"/>
      <c r="Q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" x14ac:dyDescent="0.3">
      <c r="A344" s="31"/>
      <c r="B344" s="31"/>
      <c r="C344" s="31"/>
      <c r="E344" s="31"/>
      <c r="F344" s="31"/>
      <c r="G344" s="31"/>
      <c r="J344" s="77"/>
      <c r="L344" s="31"/>
      <c r="M344" s="31"/>
      <c r="N344" s="85"/>
      <c r="O344" s="77"/>
      <c r="Q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" x14ac:dyDescent="0.3">
      <c r="A345" s="31"/>
      <c r="B345" s="31"/>
      <c r="C345" s="31"/>
      <c r="E345" s="31"/>
      <c r="F345" s="31"/>
      <c r="G345" s="31"/>
      <c r="J345" s="77"/>
      <c r="L345" s="31"/>
      <c r="M345" s="31"/>
      <c r="N345" s="85"/>
      <c r="O345" s="77"/>
      <c r="Q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" x14ac:dyDescent="0.3">
      <c r="A346" s="31"/>
      <c r="B346" s="31"/>
      <c r="C346" s="31"/>
      <c r="E346" s="31"/>
      <c r="F346" s="31"/>
      <c r="G346" s="31"/>
      <c r="J346" s="77"/>
      <c r="L346" s="31"/>
      <c r="M346" s="31"/>
      <c r="N346" s="85"/>
      <c r="O346" s="77"/>
      <c r="Q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" x14ac:dyDescent="0.3">
      <c r="A347" s="31"/>
      <c r="B347" s="31"/>
      <c r="C347" s="31"/>
      <c r="E347" s="31"/>
      <c r="F347" s="31"/>
      <c r="G347" s="31"/>
      <c r="J347" s="77"/>
      <c r="L347" s="31"/>
      <c r="M347" s="31"/>
      <c r="N347" s="85"/>
      <c r="O347" s="77"/>
      <c r="Q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" x14ac:dyDescent="0.3">
      <c r="A348" s="31"/>
      <c r="B348" s="31"/>
      <c r="C348" s="31"/>
      <c r="E348" s="31"/>
      <c r="F348" s="31"/>
      <c r="G348" s="31"/>
      <c r="J348" s="77"/>
      <c r="L348" s="31"/>
      <c r="M348" s="31"/>
      <c r="N348" s="85"/>
      <c r="O348" s="77"/>
      <c r="Q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" x14ac:dyDescent="0.3">
      <c r="A349" s="31"/>
      <c r="B349" s="31"/>
      <c r="C349" s="31"/>
      <c r="E349" s="31"/>
      <c r="F349" s="31"/>
      <c r="G349" s="31"/>
      <c r="J349" s="77"/>
      <c r="L349" s="31"/>
      <c r="M349" s="31"/>
      <c r="N349" s="85"/>
      <c r="O349" s="77"/>
      <c r="Q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" x14ac:dyDescent="0.3">
      <c r="A350" s="31"/>
      <c r="B350" s="31"/>
      <c r="C350" s="31"/>
      <c r="E350" s="31"/>
      <c r="F350" s="31"/>
      <c r="G350" s="31"/>
      <c r="J350" s="77"/>
      <c r="L350" s="31"/>
      <c r="M350" s="31"/>
      <c r="N350" s="85"/>
      <c r="O350" s="77"/>
      <c r="Q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" x14ac:dyDescent="0.3">
      <c r="A351" s="31"/>
      <c r="B351" s="31"/>
      <c r="C351" s="31"/>
      <c r="E351" s="31"/>
      <c r="F351" s="31"/>
      <c r="G351" s="31"/>
      <c r="J351" s="77"/>
      <c r="L351" s="31"/>
      <c r="M351" s="31"/>
      <c r="N351" s="85"/>
      <c r="O351" s="77"/>
      <c r="Q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" x14ac:dyDescent="0.3">
      <c r="A352" s="31"/>
      <c r="B352" s="31"/>
      <c r="C352" s="31"/>
      <c r="E352" s="31"/>
      <c r="F352" s="31"/>
      <c r="G352" s="31"/>
      <c r="J352" s="77"/>
      <c r="L352" s="31"/>
      <c r="M352" s="31"/>
      <c r="N352" s="85"/>
      <c r="O352" s="77"/>
      <c r="Q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" x14ac:dyDescent="0.3">
      <c r="A353" s="31"/>
      <c r="B353" s="31"/>
      <c r="C353" s="31"/>
      <c r="E353" s="31"/>
      <c r="F353" s="31"/>
      <c r="G353" s="31"/>
      <c r="J353" s="77"/>
      <c r="L353" s="31"/>
      <c r="M353" s="31"/>
      <c r="N353" s="85"/>
      <c r="O353" s="77"/>
      <c r="Q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" x14ac:dyDescent="0.3">
      <c r="A354" s="31"/>
      <c r="B354" s="31"/>
      <c r="C354" s="31"/>
      <c r="E354" s="31"/>
      <c r="F354" s="31"/>
      <c r="G354" s="31"/>
      <c r="J354" s="77"/>
      <c r="L354" s="31"/>
      <c r="M354" s="31"/>
      <c r="N354" s="85"/>
      <c r="O354" s="77"/>
      <c r="Q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" x14ac:dyDescent="0.3">
      <c r="A355" s="31"/>
      <c r="B355" s="31"/>
      <c r="C355" s="31"/>
      <c r="E355" s="31"/>
      <c r="F355" s="31"/>
      <c r="G355" s="31"/>
      <c r="J355" s="77"/>
      <c r="L355" s="31"/>
      <c r="M355" s="31"/>
      <c r="N355" s="85"/>
      <c r="O355" s="77"/>
      <c r="Q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" x14ac:dyDescent="0.3">
      <c r="A356" s="31"/>
      <c r="B356" s="31"/>
      <c r="C356" s="31"/>
      <c r="E356" s="31"/>
      <c r="F356" s="31"/>
      <c r="G356" s="31"/>
      <c r="J356" s="77"/>
      <c r="L356" s="31"/>
      <c r="M356" s="31"/>
      <c r="N356" s="85"/>
      <c r="O356" s="77"/>
      <c r="Q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" x14ac:dyDescent="0.3">
      <c r="A357" s="31"/>
      <c r="B357" s="31"/>
      <c r="C357" s="31"/>
      <c r="E357" s="31"/>
      <c r="F357" s="31"/>
      <c r="G357" s="31"/>
      <c r="J357" s="77"/>
      <c r="L357" s="31"/>
      <c r="M357" s="31"/>
      <c r="N357" s="85"/>
      <c r="O357" s="77"/>
      <c r="Q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" x14ac:dyDescent="0.3">
      <c r="A358" s="31"/>
      <c r="B358" s="31"/>
      <c r="C358" s="31"/>
      <c r="E358" s="31"/>
      <c r="F358" s="31"/>
      <c r="G358" s="31"/>
      <c r="J358" s="77"/>
      <c r="L358" s="31"/>
      <c r="M358" s="31"/>
      <c r="N358" s="85"/>
      <c r="O358" s="77"/>
      <c r="Q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" x14ac:dyDescent="0.3">
      <c r="A359" s="31"/>
      <c r="B359" s="31"/>
      <c r="C359" s="31"/>
      <c r="E359" s="31"/>
      <c r="F359" s="31"/>
      <c r="G359" s="31"/>
      <c r="J359" s="77"/>
      <c r="L359" s="31"/>
      <c r="M359" s="31"/>
      <c r="N359" s="85"/>
      <c r="O359" s="77"/>
      <c r="Q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" x14ac:dyDescent="0.3">
      <c r="A360" s="31"/>
      <c r="B360" s="31"/>
      <c r="C360" s="31"/>
      <c r="E360" s="31"/>
      <c r="F360" s="31"/>
      <c r="G360" s="31"/>
      <c r="J360" s="77"/>
      <c r="L360" s="31"/>
      <c r="M360" s="31"/>
      <c r="N360" s="85"/>
      <c r="O360" s="77"/>
      <c r="Q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" x14ac:dyDescent="0.3">
      <c r="A361" s="31"/>
      <c r="B361" s="31"/>
      <c r="C361" s="31"/>
      <c r="E361" s="31"/>
      <c r="F361" s="31"/>
      <c r="G361" s="31"/>
      <c r="J361" s="77"/>
      <c r="L361" s="31"/>
      <c r="M361" s="31"/>
      <c r="N361" s="85"/>
      <c r="O361" s="77"/>
      <c r="Q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" x14ac:dyDescent="0.3">
      <c r="A362" s="31"/>
      <c r="B362" s="31"/>
      <c r="C362" s="31"/>
      <c r="E362" s="31"/>
      <c r="F362" s="31"/>
      <c r="G362" s="31"/>
      <c r="J362" s="77"/>
      <c r="L362" s="31"/>
      <c r="M362" s="31"/>
      <c r="N362" s="85"/>
      <c r="O362" s="77"/>
      <c r="Q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" x14ac:dyDescent="0.3">
      <c r="A363" s="31"/>
      <c r="B363" s="31"/>
      <c r="C363" s="31"/>
      <c r="E363" s="31"/>
      <c r="F363" s="31"/>
      <c r="G363" s="31"/>
      <c r="J363" s="77"/>
      <c r="L363" s="31"/>
      <c r="M363" s="31"/>
      <c r="N363" s="85"/>
      <c r="O363" s="77"/>
      <c r="Q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" x14ac:dyDescent="0.3">
      <c r="A364" s="31"/>
      <c r="B364" s="31"/>
      <c r="C364" s="31"/>
      <c r="E364" s="31"/>
      <c r="F364" s="31"/>
      <c r="G364" s="31"/>
      <c r="J364" s="77"/>
      <c r="L364" s="31"/>
      <c r="M364" s="31"/>
      <c r="N364" s="85"/>
      <c r="O364" s="77"/>
      <c r="Q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" x14ac:dyDescent="0.3">
      <c r="A365" s="31"/>
      <c r="B365" s="31"/>
      <c r="C365" s="31"/>
      <c r="E365" s="31"/>
      <c r="F365" s="31"/>
      <c r="G365" s="31"/>
      <c r="J365" s="77"/>
      <c r="L365" s="31"/>
      <c r="M365" s="31"/>
      <c r="N365" s="85"/>
      <c r="O365" s="77"/>
      <c r="Q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" x14ac:dyDescent="0.3">
      <c r="A366" s="31"/>
      <c r="B366" s="31"/>
      <c r="C366" s="31"/>
      <c r="E366" s="31"/>
      <c r="F366" s="31"/>
      <c r="G366" s="31"/>
      <c r="J366" s="77"/>
      <c r="L366" s="31"/>
      <c r="M366" s="31"/>
      <c r="N366" s="85"/>
      <c r="O366" s="77"/>
      <c r="Q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" x14ac:dyDescent="0.3">
      <c r="A367" s="31"/>
      <c r="B367" s="31"/>
      <c r="C367" s="31"/>
      <c r="E367" s="31"/>
      <c r="F367" s="31"/>
      <c r="G367" s="31"/>
      <c r="J367" s="77"/>
      <c r="L367" s="31"/>
      <c r="M367" s="31"/>
      <c r="N367" s="85"/>
      <c r="O367" s="77"/>
      <c r="Q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" x14ac:dyDescent="0.3">
      <c r="A368" s="31"/>
      <c r="B368" s="31"/>
      <c r="C368" s="31"/>
      <c r="E368" s="31"/>
      <c r="F368" s="31"/>
      <c r="G368" s="31"/>
      <c r="J368" s="77"/>
      <c r="L368" s="31"/>
      <c r="M368" s="31"/>
      <c r="N368" s="85"/>
      <c r="O368" s="77"/>
      <c r="Q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" x14ac:dyDescent="0.3">
      <c r="A369" s="31"/>
      <c r="B369" s="31"/>
      <c r="C369" s="31"/>
      <c r="E369" s="31"/>
      <c r="F369" s="31"/>
      <c r="G369" s="31"/>
      <c r="J369" s="77"/>
      <c r="L369" s="31"/>
      <c r="M369" s="31"/>
      <c r="N369" s="85"/>
      <c r="O369" s="77"/>
      <c r="Q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" x14ac:dyDescent="0.3">
      <c r="A370" s="31"/>
      <c r="B370" s="31"/>
      <c r="C370" s="31"/>
      <c r="E370" s="31"/>
      <c r="F370" s="31"/>
      <c r="G370" s="31"/>
      <c r="J370" s="77"/>
      <c r="L370" s="31"/>
      <c r="M370" s="31"/>
      <c r="N370" s="85"/>
      <c r="O370" s="77"/>
      <c r="Q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" x14ac:dyDescent="0.3">
      <c r="A371" s="31"/>
      <c r="B371" s="31"/>
      <c r="C371" s="31"/>
      <c r="E371" s="31"/>
      <c r="F371" s="31"/>
      <c r="G371" s="31"/>
      <c r="J371" s="77"/>
      <c r="L371" s="31"/>
      <c r="M371" s="31"/>
      <c r="N371" s="85"/>
      <c r="O371" s="77"/>
      <c r="Q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" x14ac:dyDescent="0.3">
      <c r="A372" s="31"/>
      <c r="B372" s="31"/>
      <c r="C372" s="31"/>
      <c r="E372" s="31"/>
      <c r="F372" s="31"/>
      <c r="G372" s="31"/>
      <c r="J372" s="77"/>
      <c r="L372" s="31"/>
      <c r="M372" s="31"/>
      <c r="N372" s="85"/>
      <c r="O372" s="77"/>
      <c r="Q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" x14ac:dyDescent="0.3">
      <c r="A373" s="31"/>
      <c r="B373" s="31"/>
      <c r="C373" s="31"/>
      <c r="E373" s="31"/>
      <c r="F373" s="31"/>
      <c r="G373" s="31"/>
      <c r="J373" s="77"/>
      <c r="L373" s="31"/>
      <c r="M373" s="31"/>
      <c r="N373" s="85"/>
      <c r="O373" s="77"/>
      <c r="Q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" x14ac:dyDescent="0.3">
      <c r="A374" s="31"/>
      <c r="B374" s="31"/>
      <c r="C374" s="31"/>
      <c r="E374" s="31"/>
      <c r="F374" s="31"/>
      <c r="G374" s="31"/>
      <c r="J374" s="77"/>
      <c r="L374" s="31"/>
      <c r="M374" s="31"/>
      <c r="N374" s="85"/>
      <c r="O374" s="77"/>
      <c r="Q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" x14ac:dyDescent="0.3">
      <c r="A375" s="31"/>
      <c r="B375" s="31"/>
      <c r="C375" s="31"/>
      <c r="E375" s="31"/>
      <c r="F375" s="31"/>
      <c r="G375" s="31"/>
      <c r="J375" s="77"/>
      <c r="L375" s="31"/>
      <c r="M375" s="31"/>
      <c r="N375" s="85"/>
      <c r="O375" s="77"/>
      <c r="Q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" x14ac:dyDescent="0.3">
      <c r="A376" s="31"/>
      <c r="B376" s="31"/>
      <c r="C376" s="31"/>
      <c r="E376" s="31"/>
      <c r="F376" s="31"/>
      <c r="G376" s="31"/>
      <c r="J376" s="77"/>
      <c r="L376" s="31"/>
      <c r="M376" s="31"/>
      <c r="N376" s="85"/>
      <c r="O376" s="77"/>
      <c r="Q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" x14ac:dyDescent="0.3">
      <c r="A377" s="31"/>
      <c r="B377" s="31"/>
      <c r="C377" s="31"/>
      <c r="E377" s="31"/>
      <c r="F377" s="31"/>
      <c r="G377" s="31"/>
      <c r="J377" s="77"/>
      <c r="L377" s="31"/>
      <c r="M377" s="31"/>
      <c r="N377" s="85"/>
      <c r="O377" s="77"/>
      <c r="Q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" x14ac:dyDescent="0.3">
      <c r="A378" s="31"/>
      <c r="B378" s="31"/>
      <c r="C378" s="31"/>
      <c r="E378" s="31"/>
      <c r="F378" s="31"/>
      <c r="G378" s="31"/>
      <c r="J378" s="77"/>
      <c r="L378" s="31"/>
      <c r="M378" s="31"/>
      <c r="N378" s="85"/>
      <c r="O378" s="77"/>
      <c r="Q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" x14ac:dyDescent="0.3">
      <c r="A379" s="31"/>
      <c r="B379" s="31"/>
      <c r="C379" s="31"/>
      <c r="E379" s="31"/>
      <c r="F379" s="31"/>
      <c r="G379" s="31"/>
      <c r="J379" s="77"/>
      <c r="L379" s="31"/>
      <c r="M379" s="31"/>
      <c r="N379" s="85"/>
      <c r="O379" s="77"/>
      <c r="Q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" x14ac:dyDescent="0.3">
      <c r="A380" s="31"/>
      <c r="B380" s="31"/>
      <c r="C380" s="31"/>
      <c r="E380" s="31"/>
      <c r="F380" s="31"/>
      <c r="G380" s="31"/>
      <c r="J380" s="77"/>
      <c r="L380" s="31"/>
      <c r="M380" s="31"/>
      <c r="N380" s="85"/>
      <c r="O380" s="77"/>
      <c r="Q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" x14ac:dyDescent="0.3">
      <c r="A381" s="31"/>
      <c r="B381" s="31"/>
      <c r="C381" s="31"/>
      <c r="E381" s="31"/>
      <c r="F381" s="31"/>
      <c r="G381" s="31"/>
      <c r="J381" s="77"/>
      <c r="L381" s="31"/>
      <c r="M381" s="31"/>
      <c r="N381" s="85"/>
      <c r="O381" s="77"/>
      <c r="Q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" x14ac:dyDescent="0.3">
      <c r="A382" s="31"/>
      <c r="B382" s="31"/>
      <c r="C382" s="31"/>
      <c r="E382" s="31"/>
      <c r="F382" s="31"/>
      <c r="G382" s="31"/>
      <c r="J382" s="77"/>
      <c r="L382" s="31"/>
      <c r="M382" s="31"/>
      <c r="N382" s="85"/>
      <c r="O382" s="77"/>
      <c r="Q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" x14ac:dyDescent="0.3">
      <c r="A383" s="31"/>
      <c r="B383" s="31"/>
      <c r="C383" s="31"/>
      <c r="E383" s="31"/>
      <c r="F383" s="31"/>
      <c r="G383" s="31"/>
      <c r="J383" s="77"/>
      <c r="L383" s="31"/>
      <c r="M383" s="31"/>
      <c r="N383" s="85"/>
      <c r="O383" s="77"/>
      <c r="Q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" x14ac:dyDescent="0.3">
      <c r="A384" s="31"/>
      <c r="B384" s="31"/>
      <c r="C384" s="31"/>
      <c r="E384" s="31"/>
      <c r="F384" s="31"/>
      <c r="G384" s="31"/>
      <c r="J384" s="77"/>
      <c r="L384" s="31"/>
      <c r="M384" s="31"/>
      <c r="N384" s="85"/>
      <c r="O384" s="77"/>
      <c r="Q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" x14ac:dyDescent="0.3">
      <c r="A385" s="31"/>
      <c r="B385" s="31"/>
      <c r="C385" s="31"/>
      <c r="E385" s="31"/>
      <c r="F385" s="31"/>
      <c r="G385" s="31"/>
      <c r="J385" s="77"/>
      <c r="L385" s="31"/>
      <c r="M385" s="31"/>
      <c r="N385" s="85"/>
      <c r="O385" s="77"/>
      <c r="Q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" x14ac:dyDescent="0.3">
      <c r="A386" s="31"/>
      <c r="B386" s="31"/>
      <c r="C386" s="31"/>
      <c r="E386" s="31"/>
      <c r="F386" s="31"/>
      <c r="G386" s="31"/>
      <c r="J386" s="77"/>
      <c r="L386" s="31"/>
      <c r="M386" s="31"/>
      <c r="N386" s="85"/>
      <c r="O386" s="77"/>
      <c r="Q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" x14ac:dyDescent="0.3">
      <c r="A387" s="31"/>
      <c r="B387" s="31"/>
      <c r="C387" s="31"/>
      <c r="E387" s="31"/>
      <c r="F387" s="31"/>
      <c r="G387" s="31"/>
      <c r="J387" s="77"/>
      <c r="L387" s="31"/>
      <c r="M387" s="31"/>
      <c r="N387" s="85"/>
      <c r="O387" s="77"/>
      <c r="Q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" x14ac:dyDescent="0.3">
      <c r="A388" s="31"/>
      <c r="B388" s="31"/>
      <c r="C388" s="31"/>
      <c r="E388" s="31"/>
      <c r="F388" s="31"/>
      <c r="G388" s="31"/>
      <c r="J388" s="77"/>
      <c r="L388" s="31"/>
      <c r="M388" s="31"/>
      <c r="N388" s="85"/>
      <c r="O388" s="77"/>
      <c r="Q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" x14ac:dyDescent="0.3">
      <c r="A389" s="31"/>
      <c r="B389" s="31"/>
      <c r="C389" s="31"/>
      <c r="E389" s="31"/>
      <c r="F389" s="31"/>
      <c r="G389" s="31"/>
      <c r="J389" s="77"/>
      <c r="L389" s="31"/>
      <c r="M389" s="31"/>
      <c r="N389" s="85"/>
      <c r="O389" s="77"/>
      <c r="Q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" x14ac:dyDescent="0.3">
      <c r="A390" s="31"/>
      <c r="B390" s="31"/>
      <c r="C390" s="31"/>
      <c r="E390" s="31"/>
      <c r="F390" s="31"/>
      <c r="G390" s="31"/>
      <c r="J390" s="77"/>
      <c r="L390" s="31"/>
      <c r="M390" s="31"/>
      <c r="N390" s="85"/>
      <c r="O390" s="77"/>
      <c r="Q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" x14ac:dyDescent="0.3">
      <c r="A391" s="31"/>
      <c r="B391" s="31"/>
      <c r="C391" s="31"/>
      <c r="E391" s="31"/>
      <c r="F391" s="31"/>
      <c r="G391" s="31"/>
      <c r="J391" s="77"/>
      <c r="L391" s="31"/>
      <c r="M391" s="31"/>
      <c r="N391" s="85"/>
      <c r="O391" s="77"/>
      <c r="Q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" x14ac:dyDescent="0.3">
      <c r="A392" s="31"/>
      <c r="B392" s="31"/>
      <c r="C392" s="31"/>
      <c r="E392" s="31"/>
      <c r="F392" s="31"/>
      <c r="G392" s="31"/>
      <c r="J392" s="77"/>
      <c r="L392" s="31"/>
      <c r="M392" s="31"/>
      <c r="N392" s="85"/>
      <c r="O392" s="77"/>
      <c r="Q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" x14ac:dyDescent="0.3">
      <c r="A393" s="31"/>
      <c r="B393" s="31"/>
      <c r="C393" s="31"/>
      <c r="E393" s="31"/>
      <c r="F393" s="31"/>
      <c r="G393" s="31"/>
      <c r="J393" s="77"/>
      <c r="L393" s="31"/>
      <c r="M393" s="31"/>
      <c r="N393" s="85"/>
      <c r="O393" s="77"/>
      <c r="Q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" x14ac:dyDescent="0.3">
      <c r="A394" s="31"/>
      <c r="B394" s="31"/>
      <c r="C394" s="31"/>
      <c r="E394" s="31"/>
      <c r="F394" s="31"/>
      <c r="G394" s="31"/>
      <c r="J394" s="77"/>
      <c r="L394" s="31"/>
      <c r="M394" s="31"/>
      <c r="N394" s="85"/>
      <c r="O394" s="77"/>
      <c r="Q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" x14ac:dyDescent="0.3">
      <c r="A395" s="31"/>
      <c r="B395" s="31"/>
      <c r="C395" s="31"/>
      <c r="E395" s="31"/>
      <c r="F395" s="31"/>
      <c r="G395" s="31"/>
      <c r="J395" s="77"/>
      <c r="L395" s="31"/>
      <c r="M395" s="31"/>
      <c r="N395" s="85"/>
      <c r="O395" s="77"/>
      <c r="Q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" x14ac:dyDescent="0.3">
      <c r="A396" s="31"/>
      <c r="B396" s="31"/>
      <c r="C396" s="31"/>
      <c r="E396" s="31"/>
      <c r="F396" s="31"/>
      <c r="G396" s="31"/>
      <c r="J396" s="77"/>
      <c r="L396" s="31"/>
      <c r="M396" s="31"/>
      <c r="N396" s="85"/>
      <c r="O396" s="77"/>
      <c r="Q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" x14ac:dyDescent="0.3">
      <c r="A397" s="31"/>
      <c r="B397" s="31"/>
      <c r="C397" s="31"/>
      <c r="E397" s="31"/>
      <c r="F397" s="31"/>
      <c r="G397" s="31"/>
      <c r="J397" s="77"/>
      <c r="L397" s="31"/>
      <c r="M397" s="31"/>
      <c r="N397" s="85"/>
      <c r="O397" s="77"/>
      <c r="Q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" x14ac:dyDescent="0.3">
      <c r="A398" s="31"/>
      <c r="B398" s="31"/>
      <c r="C398" s="31"/>
      <c r="E398" s="31"/>
      <c r="F398" s="31"/>
      <c r="G398" s="31"/>
      <c r="J398" s="77"/>
      <c r="L398" s="31"/>
      <c r="M398" s="31"/>
      <c r="N398" s="85"/>
      <c r="O398" s="77"/>
      <c r="Q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" x14ac:dyDescent="0.3">
      <c r="A399" s="31"/>
      <c r="B399" s="31"/>
      <c r="C399" s="31"/>
      <c r="E399" s="31"/>
      <c r="F399" s="31"/>
      <c r="G399" s="31"/>
      <c r="J399" s="77"/>
      <c r="L399" s="31"/>
      <c r="M399" s="31"/>
      <c r="N399" s="85"/>
      <c r="O399" s="77"/>
      <c r="Q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" x14ac:dyDescent="0.3">
      <c r="A400" s="31"/>
      <c r="B400" s="31"/>
      <c r="C400" s="31"/>
      <c r="E400" s="31"/>
      <c r="F400" s="31"/>
      <c r="G400" s="31"/>
      <c r="J400" s="77"/>
      <c r="L400" s="31"/>
      <c r="M400" s="31"/>
      <c r="N400" s="85"/>
      <c r="O400" s="77"/>
      <c r="Q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" x14ac:dyDescent="0.3">
      <c r="A401" s="31"/>
      <c r="B401" s="31"/>
      <c r="C401" s="31"/>
      <c r="E401" s="31"/>
      <c r="F401" s="31"/>
      <c r="G401" s="31"/>
      <c r="J401" s="77"/>
      <c r="L401" s="31"/>
      <c r="M401" s="31"/>
      <c r="N401" s="85"/>
      <c r="O401" s="77"/>
      <c r="Q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" x14ac:dyDescent="0.3">
      <c r="A402" s="31"/>
      <c r="B402" s="31"/>
      <c r="C402" s="31"/>
      <c r="E402" s="31"/>
      <c r="F402" s="31"/>
      <c r="G402" s="31"/>
      <c r="J402" s="77"/>
      <c r="L402" s="31"/>
      <c r="M402" s="31"/>
      <c r="N402" s="85"/>
      <c r="O402" s="77"/>
      <c r="Q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" x14ac:dyDescent="0.3">
      <c r="A403" s="31"/>
      <c r="B403" s="31"/>
      <c r="C403" s="31"/>
      <c r="E403" s="31"/>
      <c r="F403" s="31"/>
      <c r="G403" s="31"/>
      <c r="J403" s="77"/>
      <c r="L403" s="31"/>
      <c r="M403" s="31"/>
      <c r="N403" s="85"/>
      <c r="O403" s="77"/>
      <c r="Q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" x14ac:dyDescent="0.3">
      <c r="A404" s="31"/>
      <c r="B404" s="31"/>
      <c r="C404" s="31"/>
      <c r="E404" s="31"/>
      <c r="F404" s="31"/>
      <c r="G404" s="31"/>
      <c r="J404" s="77"/>
      <c r="L404" s="31"/>
      <c r="M404" s="31"/>
      <c r="N404" s="85"/>
      <c r="O404" s="77"/>
      <c r="Q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" x14ac:dyDescent="0.3">
      <c r="A405" s="31"/>
      <c r="B405" s="31"/>
      <c r="C405" s="31"/>
      <c r="E405" s="31"/>
      <c r="F405" s="31"/>
      <c r="G405" s="31"/>
      <c r="J405" s="77"/>
      <c r="L405" s="31"/>
      <c r="M405" s="31"/>
      <c r="N405" s="85"/>
      <c r="O405" s="77"/>
      <c r="Q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" x14ac:dyDescent="0.3">
      <c r="A406" s="31"/>
      <c r="B406" s="31"/>
      <c r="C406" s="31"/>
      <c r="E406" s="31"/>
      <c r="F406" s="31"/>
      <c r="G406" s="31"/>
      <c r="J406" s="77"/>
      <c r="L406" s="31"/>
      <c r="M406" s="31"/>
      <c r="N406" s="85"/>
      <c r="O406" s="77"/>
      <c r="Q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" x14ac:dyDescent="0.3">
      <c r="A407" s="31"/>
      <c r="B407" s="31"/>
      <c r="C407" s="31"/>
      <c r="E407" s="31"/>
      <c r="F407" s="31"/>
      <c r="G407" s="31"/>
      <c r="J407" s="77"/>
      <c r="L407" s="31"/>
      <c r="M407" s="31"/>
      <c r="N407" s="85"/>
      <c r="O407" s="77"/>
      <c r="Q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" x14ac:dyDescent="0.3">
      <c r="A408" s="31"/>
      <c r="B408" s="31"/>
      <c r="C408" s="31"/>
      <c r="E408" s="31"/>
      <c r="F408" s="31"/>
      <c r="G408" s="31"/>
      <c r="J408" s="77"/>
      <c r="L408" s="31"/>
      <c r="M408" s="31"/>
      <c r="N408" s="85"/>
      <c r="O408" s="77"/>
      <c r="Q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" x14ac:dyDescent="0.3">
      <c r="A409" s="31"/>
      <c r="B409" s="31"/>
      <c r="C409" s="31"/>
      <c r="E409" s="31"/>
      <c r="F409" s="31"/>
      <c r="G409" s="31"/>
      <c r="J409" s="77"/>
      <c r="L409" s="31"/>
      <c r="M409" s="31"/>
      <c r="N409" s="85"/>
      <c r="O409" s="77"/>
      <c r="Q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" x14ac:dyDescent="0.3">
      <c r="A410" s="31"/>
      <c r="B410" s="31"/>
      <c r="C410" s="31"/>
      <c r="E410" s="31"/>
      <c r="F410" s="31"/>
      <c r="G410" s="31"/>
      <c r="J410" s="77"/>
      <c r="L410" s="31"/>
      <c r="M410" s="31"/>
      <c r="N410" s="85"/>
      <c r="O410" s="77"/>
      <c r="Q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" x14ac:dyDescent="0.3">
      <c r="A411" s="31"/>
      <c r="B411" s="31"/>
      <c r="C411" s="31"/>
      <c r="E411" s="31"/>
      <c r="F411" s="31"/>
      <c r="G411" s="31"/>
      <c r="J411" s="77"/>
      <c r="L411" s="31"/>
      <c r="M411" s="31"/>
      <c r="N411" s="85"/>
      <c r="O411" s="77"/>
      <c r="Q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" x14ac:dyDescent="0.3">
      <c r="A412" s="31"/>
      <c r="B412" s="31"/>
      <c r="C412" s="31"/>
      <c r="E412" s="31"/>
      <c r="F412" s="31"/>
      <c r="G412" s="31"/>
      <c r="J412" s="77"/>
      <c r="L412" s="31"/>
      <c r="M412" s="31"/>
      <c r="N412" s="85"/>
      <c r="O412" s="77"/>
      <c r="Q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" x14ac:dyDescent="0.3">
      <c r="A413" s="31"/>
      <c r="B413" s="31"/>
      <c r="C413" s="31"/>
      <c r="E413" s="31"/>
      <c r="F413" s="31"/>
      <c r="G413" s="31"/>
      <c r="J413" s="77"/>
      <c r="L413" s="31"/>
      <c r="M413" s="31"/>
      <c r="N413" s="85"/>
      <c r="O413" s="77"/>
      <c r="Q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" x14ac:dyDescent="0.3">
      <c r="A414" s="31"/>
      <c r="B414" s="31"/>
      <c r="C414" s="31"/>
      <c r="E414" s="31"/>
      <c r="F414" s="31"/>
      <c r="G414" s="31"/>
      <c r="J414" s="77"/>
      <c r="L414" s="31"/>
      <c r="M414" s="31"/>
      <c r="N414" s="85"/>
      <c r="O414" s="77"/>
      <c r="Q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" x14ac:dyDescent="0.3">
      <c r="A415" s="31"/>
      <c r="B415" s="31"/>
      <c r="C415" s="31"/>
      <c r="E415" s="31"/>
      <c r="F415" s="31"/>
      <c r="G415" s="31"/>
      <c r="J415" s="77"/>
      <c r="L415" s="31"/>
      <c r="M415" s="31"/>
      <c r="N415" s="85"/>
      <c r="O415" s="77"/>
      <c r="Q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" x14ac:dyDescent="0.3">
      <c r="A416" s="31"/>
      <c r="B416" s="31"/>
      <c r="C416" s="31"/>
      <c r="E416" s="31"/>
      <c r="F416" s="31"/>
      <c r="G416" s="31"/>
      <c r="J416" s="77"/>
      <c r="L416" s="31"/>
      <c r="M416" s="31"/>
      <c r="N416" s="85"/>
      <c r="O416" s="77"/>
      <c r="Q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" x14ac:dyDescent="0.3">
      <c r="A417" s="31"/>
      <c r="B417" s="31"/>
      <c r="C417" s="31"/>
      <c r="E417" s="31"/>
      <c r="F417" s="31"/>
      <c r="G417" s="31"/>
      <c r="J417" s="77"/>
      <c r="L417" s="31"/>
      <c r="M417" s="31"/>
      <c r="N417" s="85"/>
      <c r="O417" s="77"/>
      <c r="Q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" x14ac:dyDescent="0.3">
      <c r="A418" s="31"/>
      <c r="B418" s="31"/>
      <c r="C418" s="31"/>
      <c r="E418" s="31"/>
      <c r="F418" s="31"/>
      <c r="G418" s="31"/>
      <c r="J418" s="77"/>
      <c r="L418" s="31"/>
      <c r="M418" s="31"/>
      <c r="N418" s="85"/>
      <c r="O418" s="77"/>
      <c r="Q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" x14ac:dyDescent="0.3">
      <c r="A419" s="31"/>
      <c r="B419" s="31"/>
      <c r="C419" s="31"/>
      <c r="E419" s="31"/>
      <c r="F419" s="31"/>
      <c r="G419" s="31"/>
      <c r="J419" s="77"/>
      <c r="L419" s="31"/>
      <c r="M419" s="31"/>
      <c r="N419" s="85"/>
      <c r="O419" s="77"/>
      <c r="Q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" x14ac:dyDescent="0.3">
      <c r="A420" s="31"/>
      <c r="B420" s="31"/>
      <c r="C420" s="31"/>
      <c r="E420" s="31"/>
      <c r="F420" s="31"/>
      <c r="G420" s="31"/>
      <c r="J420" s="77"/>
      <c r="L420" s="31"/>
      <c r="M420" s="31"/>
      <c r="N420" s="85"/>
      <c r="O420" s="77"/>
      <c r="Q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" x14ac:dyDescent="0.3">
      <c r="A421" s="31"/>
      <c r="B421" s="31"/>
      <c r="C421" s="31"/>
      <c r="E421" s="31"/>
      <c r="F421" s="31"/>
      <c r="G421" s="31"/>
      <c r="J421" s="77"/>
      <c r="L421" s="31"/>
      <c r="M421" s="31"/>
      <c r="N421" s="85"/>
      <c r="O421" s="77"/>
      <c r="Q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" x14ac:dyDescent="0.3">
      <c r="A422" s="31"/>
      <c r="B422" s="31"/>
      <c r="C422" s="31"/>
      <c r="E422" s="31"/>
      <c r="F422" s="31"/>
      <c r="G422" s="31"/>
      <c r="J422" s="77"/>
      <c r="L422" s="31"/>
      <c r="M422" s="31"/>
      <c r="N422" s="85"/>
      <c r="O422" s="77"/>
      <c r="Q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" x14ac:dyDescent="0.3">
      <c r="A423" s="31"/>
      <c r="B423" s="31"/>
      <c r="C423" s="31"/>
      <c r="E423" s="31"/>
      <c r="F423" s="31"/>
      <c r="G423" s="31"/>
      <c r="J423" s="77"/>
      <c r="L423" s="31"/>
      <c r="M423" s="31"/>
      <c r="N423" s="85"/>
      <c r="O423" s="77"/>
      <c r="Q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" x14ac:dyDescent="0.3">
      <c r="A424" s="31"/>
      <c r="B424" s="31"/>
      <c r="C424" s="31"/>
      <c r="E424" s="31"/>
      <c r="F424" s="31"/>
      <c r="G424" s="31"/>
      <c r="J424" s="77"/>
      <c r="L424" s="31"/>
      <c r="M424" s="31"/>
      <c r="N424" s="85"/>
      <c r="O424" s="77"/>
      <c r="Q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" x14ac:dyDescent="0.3">
      <c r="A425" s="31"/>
      <c r="B425" s="31"/>
      <c r="C425" s="31"/>
      <c r="E425" s="31"/>
      <c r="F425" s="31"/>
      <c r="G425" s="31"/>
      <c r="J425" s="77"/>
      <c r="L425" s="31"/>
      <c r="M425" s="31"/>
      <c r="N425" s="85"/>
      <c r="O425" s="77"/>
      <c r="Q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" x14ac:dyDescent="0.3">
      <c r="A426" s="31"/>
      <c r="B426" s="31"/>
      <c r="C426" s="31"/>
      <c r="E426" s="31"/>
      <c r="F426" s="31"/>
      <c r="G426" s="31"/>
      <c r="J426" s="77"/>
      <c r="L426" s="31"/>
      <c r="M426" s="31"/>
      <c r="N426" s="85"/>
      <c r="O426" s="77"/>
      <c r="Q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" x14ac:dyDescent="0.3">
      <c r="A427" s="31"/>
      <c r="B427" s="31"/>
      <c r="C427" s="31"/>
      <c r="E427" s="31"/>
      <c r="F427" s="31"/>
      <c r="G427" s="31"/>
      <c r="J427" s="77"/>
      <c r="L427" s="31"/>
      <c r="M427" s="31"/>
      <c r="N427" s="85"/>
      <c r="O427" s="77"/>
      <c r="Q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" x14ac:dyDescent="0.3">
      <c r="A428" s="31"/>
      <c r="B428" s="31"/>
      <c r="C428" s="31"/>
      <c r="E428" s="31"/>
      <c r="F428" s="31"/>
      <c r="G428" s="31"/>
      <c r="J428" s="77"/>
      <c r="L428" s="31"/>
      <c r="M428" s="31"/>
      <c r="N428" s="85"/>
      <c r="O428" s="77"/>
      <c r="Q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" x14ac:dyDescent="0.3">
      <c r="A429" s="31"/>
      <c r="B429" s="31"/>
      <c r="C429" s="31"/>
      <c r="E429" s="31"/>
      <c r="F429" s="31"/>
      <c r="G429" s="31"/>
      <c r="J429" s="77"/>
      <c r="L429" s="31"/>
      <c r="M429" s="31"/>
      <c r="N429" s="85"/>
      <c r="O429" s="77"/>
      <c r="Q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" x14ac:dyDescent="0.3">
      <c r="A430" s="31"/>
      <c r="B430" s="31"/>
      <c r="C430" s="31"/>
      <c r="E430" s="31"/>
      <c r="F430" s="31"/>
      <c r="G430" s="31"/>
      <c r="J430" s="77"/>
      <c r="L430" s="31"/>
      <c r="M430" s="31"/>
      <c r="N430" s="85"/>
      <c r="O430" s="77"/>
      <c r="Q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" x14ac:dyDescent="0.3">
      <c r="A431" s="31"/>
      <c r="B431" s="31"/>
      <c r="C431" s="31"/>
      <c r="E431" s="31"/>
      <c r="F431" s="31"/>
      <c r="G431" s="31"/>
      <c r="J431" s="77"/>
      <c r="L431" s="31"/>
      <c r="M431" s="31"/>
      <c r="N431" s="85"/>
      <c r="O431" s="77"/>
      <c r="Q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" x14ac:dyDescent="0.3">
      <c r="A432" s="31"/>
      <c r="B432" s="31"/>
      <c r="C432" s="31"/>
      <c r="E432" s="31"/>
      <c r="F432" s="31"/>
      <c r="G432" s="31"/>
      <c r="J432" s="77"/>
      <c r="L432" s="31"/>
      <c r="M432" s="31"/>
      <c r="N432" s="85"/>
      <c r="O432" s="77"/>
      <c r="Q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" x14ac:dyDescent="0.3">
      <c r="A433" s="31"/>
      <c r="B433" s="31"/>
      <c r="C433" s="31"/>
      <c r="E433" s="31"/>
      <c r="F433" s="31"/>
      <c r="G433" s="31"/>
      <c r="J433" s="77"/>
      <c r="L433" s="31"/>
      <c r="M433" s="31"/>
      <c r="N433" s="85"/>
      <c r="O433" s="77"/>
      <c r="Q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" x14ac:dyDescent="0.3">
      <c r="A434" s="31"/>
      <c r="B434" s="31"/>
      <c r="C434" s="31"/>
      <c r="E434" s="31"/>
      <c r="F434" s="31"/>
      <c r="G434" s="31"/>
      <c r="J434" s="77"/>
      <c r="L434" s="31"/>
      <c r="M434" s="31"/>
      <c r="N434" s="85"/>
      <c r="O434" s="77"/>
      <c r="Q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" x14ac:dyDescent="0.3">
      <c r="A435" s="31"/>
      <c r="B435" s="31"/>
      <c r="C435" s="31"/>
      <c r="E435" s="31"/>
      <c r="F435" s="31"/>
      <c r="G435" s="31"/>
      <c r="J435" s="77"/>
      <c r="L435" s="31"/>
      <c r="M435" s="31"/>
      <c r="N435" s="85"/>
      <c r="O435" s="77"/>
      <c r="Q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" x14ac:dyDescent="0.3">
      <c r="A436" s="31"/>
      <c r="B436" s="31"/>
      <c r="C436" s="31"/>
      <c r="E436" s="31"/>
      <c r="F436" s="31"/>
      <c r="G436" s="31"/>
      <c r="J436" s="77"/>
      <c r="L436" s="31"/>
      <c r="M436" s="31"/>
      <c r="N436" s="85"/>
      <c r="O436" s="77"/>
      <c r="Q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" x14ac:dyDescent="0.3">
      <c r="A437" s="31"/>
      <c r="B437" s="31"/>
      <c r="C437" s="31"/>
      <c r="E437" s="31"/>
      <c r="F437" s="31"/>
      <c r="G437" s="31"/>
      <c r="J437" s="77"/>
      <c r="L437" s="31"/>
      <c r="M437" s="31"/>
      <c r="N437" s="85"/>
      <c r="O437" s="77"/>
      <c r="Q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" x14ac:dyDescent="0.3">
      <c r="A438" s="31"/>
      <c r="B438" s="31"/>
      <c r="C438" s="31"/>
      <c r="E438" s="31"/>
      <c r="F438" s="31"/>
      <c r="G438" s="31"/>
      <c r="J438" s="77"/>
      <c r="L438" s="31"/>
      <c r="M438" s="31"/>
      <c r="N438" s="85"/>
      <c r="O438" s="77"/>
      <c r="Q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" x14ac:dyDescent="0.3">
      <c r="A439" s="31"/>
      <c r="B439" s="31"/>
      <c r="C439" s="31"/>
      <c r="E439" s="31"/>
      <c r="F439" s="31"/>
      <c r="G439" s="31"/>
      <c r="J439" s="77"/>
      <c r="L439" s="31"/>
      <c r="M439" s="31"/>
      <c r="N439" s="85"/>
      <c r="O439" s="77"/>
      <c r="Q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" x14ac:dyDescent="0.3">
      <c r="A440" s="31"/>
      <c r="B440" s="31"/>
      <c r="C440" s="31"/>
      <c r="E440" s="31"/>
      <c r="F440" s="31"/>
      <c r="G440" s="31"/>
      <c r="J440" s="77"/>
      <c r="L440" s="31"/>
      <c r="M440" s="31"/>
      <c r="N440" s="85"/>
      <c r="O440" s="77"/>
      <c r="Q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" x14ac:dyDescent="0.3">
      <c r="A441" s="31"/>
      <c r="B441" s="31"/>
      <c r="C441" s="31"/>
      <c r="E441" s="31"/>
      <c r="F441" s="31"/>
      <c r="G441" s="31"/>
      <c r="J441" s="77"/>
      <c r="L441" s="31"/>
      <c r="M441" s="31"/>
      <c r="N441" s="85"/>
      <c r="O441" s="77"/>
      <c r="Q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" x14ac:dyDescent="0.3">
      <c r="A442" s="31"/>
      <c r="B442" s="31"/>
      <c r="C442" s="31"/>
      <c r="E442" s="31"/>
      <c r="F442" s="31"/>
      <c r="G442" s="31"/>
      <c r="J442" s="77"/>
      <c r="L442" s="31"/>
      <c r="M442" s="31"/>
      <c r="N442" s="85"/>
      <c r="O442" s="77"/>
      <c r="Q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" x14ac:dyDescent="0.3">
      <c r="A443" s="31"/>
      <c r="B443" s="31"/>
      <c r="C443" s="31"/>
      <c r="E443" s="31"/>
      <c r="F443" s="31"/>
      <c r="G443" s="31"/>
      <c r="J443" s="77"/>
      <c r="L443" s="31"/>
      <c r="M443" s="31"/>
      <c r="N443" s="85"/>
      <c r="O443" s="77"/>
      <c r="Q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" x14ac:dyDescent="0.3">
      <c r="A444" s="31"/>
      <c r="B444" s="31"/>
      <c r="C444" s="31"/>
      <c r="E444" s="31"/>
      <c r="F444" s="31"/>
      <c r="G444" s="31"/>
      <c r="J444" s="77"/>
      <c r="L444" s="31"/>
      <c r="M444" s="31"/>
      <c r="N444" s="85"/>
      <c r="O444" s="77"/>
      <c r="Q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" x14ac:dyDescent="0.3">
      <c r="A445" s="31"/>
      <c r="B445" s="31"/>
      <c r="C445" s="31"/>
      <c r="E445" s="31"/>
      <c r="F445" s="31"/>
      <c r="G445" s="31"/>
      <c r="J445" s="77"/>
      <c r="L445" s="31"/>
      <c r="M445" s="31"/>
      <c r="N445" s="85"/>
      <c r="O445" s="77"/>
      <c r="Q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" x14ac:dyDescent="0.3">
      <c r="A446" s="31"/>
      <c r="B446" s="31"/>
      <c r="C446" s="31"/>
      <c r="E446" s="31"/>
      <c r="F446" s="31"/>
      <c r="G446" s="31"/>
      <c r="J446" s="77"/>
      <c r="L446" s="31"/>
      <c r="M446" s="31"/>
      <c r="N446" s="85"/>
      <c r="O446" s="77"/>
      <c r="Q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" x14ac:dyDescent="0.3">
      <c r="A447" s="31"/>
      <c r="B447" s="31"/>
      <c r="C447" s="31"/>
      <c r="E447" s="31"/>
      <c r="F447" s="31"/>
      <c r="G447" s="31"/>
      <c r="J447" s="77"/>
      <c r="L447" s="31"/>
      <c r="M447" s="31"/>
      <c r="N447" s="85"/>
      <c r="O447" s="77"/>
      <c r="Q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" x14ac:dyDescent="0.3">
      <c r="A448" s="31"/>
      <c r="B448" s="31"/>
      <c r="C448" s="31"/>
      <c r="E448" s="31"/>
      <c r="F448" s="31"/>
      <c r="G448" s="31"/>
      <c r="J448" s="77"/>
      <c r="L448" s="31"/>
      <c r="M448" s="31"/>
      <c r="N448" s="85"/>
      <c r="O448" s="77"/>
      <c r="Q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" x14ac:dyDescent="0.3">
      <c r="A449" s="31"/>
      <c r="B449" s="31"/>
      <c r="C449" s="31"/>
      <c r="E449" s="31"/>
      <c r="F449" s="31"/>
      <c r="G449" s="31"/>
      <c r="J449" s="77"/>
      <c r="L449" s="31"/>
      <c r="M449" s="31"/>
      <c r="N449" s="85"/>
      <c r="O449" s="77"/>
      <c r="Q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" x14ac:dyDescent="0.3">
      <c r="A450" s="31"/>
      <c r="B450" s="31"/>
      <c r="C450" s="31"/>
      <c r="E450" s="31"/>
      <c r="F450" s="31"/>
      <c r="G450" s="31"/>
      <c r="J450" s="77"/>
      <c r="L450" s="31"/>
      <c r="M450" s="31"/>
      <c r="N450" s="85"/>
      <c r="O450" s="77"/>
      <c r="Q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" x14ac:dyDescent="0.3">
      <c r="A451" s="31"/>
      <c r="B451" s="31"/>
      <c r="C451" s="31"/>
      <c r="E451" s="31"/>
      <c r="F451" s="31"/>
      <c r="G451" s="31"/>
      <c r="J451" s="77"/>
      <c r="L451" s="31"/>
      <c r="M451" s="31"/>
      <c r="N451" s="85"/>
      <c r="O451" s="77"/>
      <c r="Q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" x14ac:dyDescent="0.3">
      <c r="A452" s="31"/>
      <c r="B452" s="31"/>
      <c r="C452" s="31"/>
      <c r="E452" s="31"/>
      <c r="F452" s="31"/>
      <c r="G452" s="31"/>
      <c r="J452" s="77"/>
      <c r="L452" s="31"/>
      <c r="M452" s="31"/>
      <c r="N452" s="85"/>
      <c r="O452" s="77"/>
      <c r="Q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" x14ac:dyDescent="0.3">
      <c r="A453" s="31"/>
      <c r="B453" s="31"/>
      <c r="C453" s="31"/>
      <c r="E453" s="31"/>
      <c r="F453" s="31"/>
      <c r="G453" s="31"/>
      <c r="J453" s="77"/>
      <c r="L453" s="31"/>
      <c r="M453" s="31"/>
      <c r="N453" s="85"/>
      <c r="O453" s="77"/>
      <c r="Q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" x14ac:dyDescent="0.3">
      <c r="A454" s="31"/>
      <c r="B454" s="31"/>
      <c r="C454" s="31"/>
      <c r="E454" s="31"/>
      <c r="F454" s="31"/>
      <c r="G454" s="31"/>
      <c r="J454" s="77"/>
      <c r="L454" s="31"/>
      <c r="M454" s="31"/>
      <c r="N454" s="85"/>
      <c r="O454" s="77"/>
      <c r="Q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" x14ac:dyDescent="0.3">
      <c r="A455" s="31"/>
      <c r="B455" s="31"/>
      <c r="C455" s="31"/>
      <c r="E455" s="31"/>
      <c r="F455" s="31"/>
      <c r="G455" s="31"/>
      <c r="J455" s="77"/>
      <c r="L455" s="31"/>
      <c r="M455" s="31"/>
      <c r="N455" s="85"/>
      <c r="O455" s="77"/>
      <c r="Q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" x14ac:dyDescent="0.3">
      <c r="A456" s="31"/>
      <c r="B456" s="31"/>
      <c r="C456" s="31"/>
      <c r="E456" s="31"/>
      <c r="F456" s="31"/>
      <c r="G456" s="31"/>
      <c r="J456" s="77"/>
      <c r="L456" s="31"/>
      <c r="M456" s="31"/>
      <c r="N456" s="85"/>
      <c r="O456" s="77"/>
      <c r="Q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" x14ac:dyDescent="0.3">
      <c r="A457" s="31"/>
      <c r="B457" s="31"/>
      <c r="C457" s="31"/>
      <c r="E457" s="31"/>
      <c r="F457" s="31"/>
      <c r="G457" s="31"/>
      <c r="J457" s="77"/>
      <c r="L457" s="31"/>
      <c r="M457" s="31"/>
      <c r="N457" s="85"/>
      <c r="O457" s="77"/>
      <c r="Q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" x14ac:dyDescent="0.3">
      <c r="A458" s="31"/>
      <c r="B458" s="31"/>
      <c r="C458" s="31"/>
      <c r="E458" s="31"/>
      <c r="F458" s="31"/>
      <c r="G458" s="31"/>
      <c r="J458" s="77"/>
      <c r="L458" s="31"/>
      <c r="M458" s="31"/>
      <c r="N458" s="85"/>
      <c r="O458" s="77"/>
      <c r="Q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" x14ac:dyDescent="0.3">
      <c r="A459" s="31"/>
      <c r="B459" s="31"/>
      <c r="C459" s="31"/>
      <c r="E459" s="31"/>
      <c r="F459" s="31"/>
      <c r="G459" s="31"/>
      <c r="J459" s="77"/>
      <c r="L459" s="31"/>
      <c r="M459" s="31"/>
      <c r="N459" s="85"/>
      <c r="O459" s="77"/>
      <c r="Q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" x14ac:dyDescent="0.3">
      <c r="A460" s="31"/>
      <c r="B460" s="31"/>
      <c r="C460" s="31"/>
      <c r="E460" s="31"/>
      <c r="F460" s="31"/>
      <c r="G460" s="31"/>
      <c r="J460" s="77"/>
      <c r="L460" s="31"/>
      <c r="M460" s="31"/>
      <c r="N460" s="85"/>
      <c r="O460" s="77"/>
      <c r="Q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" x14ac:dyDescent="0.3">
      <c r="A461" s="31"/>
      <c r="B461" s="31"/>
      <c r="C461" s="31"/>
      <c r="E461" s="31"/>
      <c r="F461" s="31"/>
      <c r="G461" s="31"/>
      <c r="J461" s="77"/>
      <c r="L461" s="31"/>
      <c r="M461" s="31"/>
      <c r="N461" s="85"/>
      <c r="O461" s="77"/>
      <c r="Q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" x14ac:dyDescent="0.3">
      <c r="A462" s="31"/>
      <c r="B462" s="31"/>
      <c r="C462" s="31"/>
      <c r="E462" s="31"/>
      <c r="F462" s="31"/>
      <c r="G462" s="31"/>
      <c r="J462" s="77"/>
      <c r="L462" s="31"/>
      <c r="M462" s="31"/>
      <c r="N462" s="85"/>
      <c r="O462" s="77"/>
      <c r="Q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" x14ac:dyDescent="0.3">
      <c r="A463" s="31"/>
      <c r="B463" s="31"/>
      <c r="C463" s="31"/>
      <c r="E463" s="31"/>
      <c r="F463" s="31"/>
      <c r="G463" s="31"/>
      <c r="J463" s="77"/>
      <c r="L463" s="31"/>
      <c r="M463" s="31"/>
      <c r="N463" s="85"/>
      <c r="O463" s="77"/>
      <c r="Q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" x14ac:dyDescent="0.3">
      <c r="A464" s="31"/>
      <c r="B464" s="31"/>
      <c r="C464" s="31"/>
      <c r="E464" s="31"/>
      <c r="F464" s="31"/>
      <c r="G464" s="31"/>
      <c r="J464" s="77"/>
      <c r="L464" s="31"/>
      <c r="M464" s="31"/>
      <c r="N464" s="85"/>
      <c r="O464" s="77"/>
      <c r="Q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" x14ac:dyDescent="0.3">
      <c r="A465" s="31"/>
      <c r="B465" s="31"/>
      <c r="C465" s="31"/>
      <c r="E465" s="31"/>
      <c r="F465" s="31"/>
      <c r="G465" s="31"/>
      <c r="J465" s="77"/>
      <c r="L465" s="31"/>
      <c r="M465" s="31"/>
      <c r="N465" s="85"/>
      <c r="O465" s="77"/>
      <c r="Q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" x14ac:dyDescent="0.3">
      <c r="A466" s="31"/>
      <c r="B466" s="31"/>
      <c r="C466" s="31"/>
      <c r="E466" s="31"/>
      <c r="F466" s="31"/>
      <c r="G466" s="31"/>
      <c r="J466" s="77"/>
      <c r="L466" s="31"/>
      <c r="M466" s="31"/>
      <c r="N466" s="85"/>
      <c r="O466" s="77"/>
      <c r="Q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" x14ac:dyDescent="0.3">
      <c r="A467" s="31"/>
      <c r="B467" s="31"/>
      <c r="C467" s="31"/>
      <c r="E467" s="31"/>
      <c r="F467" s="31"/>
      <c r="G467" s="31"/>
      <c r="J467" s="77"/>
      <c r="L467" s="31"/>
      <c r="M467" s="31"/>
      <c r="N467" s="85"/>
      <c r="O467" s="77"/>
      <c r="Q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" x14ac:dyDescent="0.3">
      <c r="A468" s="31"/>
      <c r="B468" s="31"/>
      <c r="C468" s="31"/>
      <c r="E468" s="31"/>
      <c r="F468" s="31"/>
      <c r="G468" s="31"/>
      <c r="J468" s="77"/>
      <c r="L468" s="31"/>
      <c r="M468" s="31"/>
      <c r="N468" s="85"/>
      <c r="O468" s="77"/>
      <c r="Q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" x14ac:dyDescent="0.3">
      <c r="A469" s="31"/>
      <c r="B469" s="31"/>
      <c r="C469" s="31"/>
      <c r="E469" s="31"/>
      <c r="F469" s="31"/>
      <c r="G469" s="31"/>
      <c r="J469" s="77"/>
      <c r="L469" s="31"/>
      <c r="M469" s="31"/>
      <c r="N469" s="85"/>
      <c r="O469" s="77"/>
      <c r="Q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" x14ac:dyDescent="0.3">
      <c r="A470" s="31"/>
      <c r="B470" s="31"/>
      <c r="C470" s="31"/>
      <c r="E470" s="31"/>
      <c r="F470" s="31"/>
      <c r="G470" s="31"/>
      <c r="J470" s="77"/>
      <c r="L470" s="31"/>
      <c r="M470" s="31"/>
      <c r="N470" s="85"/>
      <c r="O470" s="77"/>
      <c r="Q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" x14ac:dyDescent="0.3">
      <c r="A471" s="31"/>
      <c r="B471" s="31"/>
      <c r="C471" s="31"/>
      <c r="E471" s="31"/>
      <c r="F471" s="31"/>
      <c r="G471" s="31"/>
      <c r="J471" s="77"/>
      <c r="L471" s="31"/>
      <c r="M471" s="31"/>
      <c r="N471" s="85"/>
      <c r="O471" s="77"/>
      <c r="Q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" x14ac:dyDescent="0.3">
      <c r="A472" s="31"/>
      <c r="B472" s="31"/>
      <c r="C472" s="31"/>
      <c r="E472" s="31"/>
      <c r="F472" s="31"/>
      <c r="G472" s="31"/>
      <c r="J472" s="77"/>
      <c r="L472" s="31"/>
      <c r="M472" s="31"/>
      <c r="N472" s="85"/>
      <c r="O472" s="77"/>
      <c r="Q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" x14ac:dyDescent="0.3">
      <c r="A473" s="31"/>
      <c r="B473" s="31"/>
      <c r="C473" s="31"/>
      <c r="E473" s="31"/>
      <c r="F473" s="31"/>
      <c r="G473" s="31"/>
      <c r="J473" s="77"/>
      <c r="L473" s="31"/>
      <c r="M473" s="31"/>
      <c r="N473" s="85"/>
      <c r="O473" s="77"/>
      <c r="Q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" x14ac:dyDescent="0.3">
      <c r="A474" s="31"/>
      <c r="B474" s="31"/>
      <c r="C474" s="31"/>
      <c r="E474" s="31"/>
      <c r="F474" s="31"/>
      <c r="G474" s="31"/>
      <c r="J474" s="77"/>
      <c r="L474" s="31"/>
      <c r="M474" s="31"/>
      <c r="N474" s="85"/>
      <c r="O474" s="77"/>
      <c r="Q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" x14ac:dyDescent="0.3">
      <c r="A475" s="31"/>
      <c r="B475" s="31"/>
      <c r="C475" s="31"/>
      <c r="E475" s="31"/>
      <c r="F475" s="31"/>
      <c r="G475" s="31"/>
      <c r="J475" s="77"/>
      <c r="L475" s="31"/>
      <c r="M475" s="31"/>
      <c r="N475" s="85"/>
      <c r="O475" s="77"/>
      <c r="Q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" x14ac:dyDescent="0.3">
      <c r="A476" s="31"/>
      <c r="B476" s="31"/>
      <c r="C476" s="31"/>
      <c r="E476" s="31"/>
      <c r="F476" s="31"/>
      <c r="G476" s="31"/>
      <c r="J476" s="77"/>
      <c r="L476" s="31"/>
      <c r="M476" s="31"/>
      <c r="N476" s="85"/>
      <c r="O476" s="77"/>
      <c r="Q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" x14ac:dyDescent="0.3">
      <c r="A477" s="31"/>
      <c r="B477" s="31"/>
      <c r="C477" s="31"/>
      <c r="E477" s="31"/>
      <c r="F477" s="31"/>
      <c r="G477" s="31"/>
      <c r="J477" s="77"/>
      <c r="L477" s="31"/>
      <c r="M477" s="31"/>
      <c r="N477" s="85"/>
      <c r="O477" s="77"/>
      <c r="Q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" x14ac:dyDescent="0.3">
      <c r="A478" s="31"/>
      <c r="B478" s="31"/>
      <c r="C478" s="31"/>
      <c r="E478" s="31"/>
      <c r="F478" s="31"/>
      <c r="G478" s="31"/>
      <c r="J478" s="77"/>
      <c r="L478" s="31"/>
      <c r="M478" s="31"/>
      <c r="N478" s="85"/>
      <c r="O478" s="77"/>
      <c r="Q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" x14ac:dyDescent="0.3">
      <c r="A479" s="31"/>
      <c r="B479" s="31"/>
      <c r="C479" s="31"/>
      <c r="E479" s="31"/>
      <c r="F479" s="31"/>
      <c r="G479" s="31"/>
      <c r="J479" s="77"/>
      <c r="L479" s="31"/>
      <c r="M479" s="31"/>
      <c r="N479" s="85"/>
      <c r="O479" s="77"/>
      <c r="Q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" x14ac:dyDescent="0.3">
      <c r="A480" s="31"/>
      <c r="B480" s="31"/>
      <c r="C480" s="31"/>
      <c r="E480" s="31"/>
      <c r="F480" s="31"/>
      <c r="G480" s="31"/>
      <c r="J480" s="77"/>
      <c r="L480" s="31"/>
      <c r="M480" s="31"/>
      <c r="N480" s="85"/>
      <c r="O480" s="77"/>
      <c r="Q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" x14ac:dyDescent="0.3">
      <c r="A481" s="31"/>
      <c r="B481" s="31"/>
      <c r="C481" s="31"/>
      <c r="E481" s="31"/>
      <c r="F481" s="31"/>
      <c r="G481" s="31"/>
      <c r="J481" s="77"/>
      <c r="L481" s="31"/>
      <c r="M481" s="31"/>
      <c r="N481" s="85"/>
      <c r="O481" s="77"/>
      <c r="Q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" x14ac:dyDescent="0.3">
      <c r="A482" s="31"/>
      <c r="B482" s="31"/>
      <c r="C482" s="31"/>
      <c r="E482" s="31"/>
      <c r="F482" s="31"/>
      <c r="G482" s="31"/>
      <c r="J482" s="77"/>
      <c r="L482" s="31"/>
      <c r="M482" s="31"/>
      <c r="N482" s="85"/>
      <c r="O482" s="77"/>
      <c r="Q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" x14ac:dyDescent="0.3">
      <c r="A483" s="31"/>
      <c r="B483" s="31"/>
      <c r="C483" s="31"/>
      <c r="E483" s="31"/>
      <c r="F483" s="31"/>
      <c r="G483" s="31"/>
      <c r="J483" s="77"/>
      <c r="L483" s="31"/>
      <c r="M483" s="31"/>
      <c r="N483" s="85"/>
      <c r="O483" s="77"/>
      <c r="Q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" x14ac:dyDescent="0.3">
      <c r="A484" s="31"/>
      <c r="B484" s="31"/>
      <c r="C484" s="31"/>
      <c r="E484" s="31"/>
      <c r="F484" s="31"/>
      <c r="G484" s="31"/>
      <c r="J484" s="77"/>
      <c r="L484" s="31"/>
      <c r="M484" s="31"/>
      <c r="N484" s="85"/>
      <c r="O484" s="77"/>
      <c r="Q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" x14ac:dyDescent="0.3">
      <c r="A485" s="31"/>
      <c r="B485" s="31"/>
      <c r="C485" s="31"/>
      <c r="E485" s="31"/>
      <c r="F485" s="31"/>
      <c r="G485" s="31"/>
      <c r="J485" s="77"/>
      <c r="L485" s="31"/>
      <c r="M485" s="31"/>
      <c r="N485" s="85"/>
      <c r="O485" s="77"/>
      <c r="Q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" x14ac:dyDescent="0.3">
      <c r="A486" s="31"/>
      <c r="B486" s="31"/>
      <c r="C486" s="31"/>
      <c r="E486" s="31"/>
      <c r="F486" s="31"/>
      <c r="G486" s="31"/>
      <c r="J486" s="77"/>
      <c r="L486" s="31"/>
      <c r="M486" s="31"/>
      <c r="N486" s="85"/>
      <c r="O486" s="77"/>
      <c r="Q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" x14ac:dyDescent="0.3">
      <c r="A487" s="31"/>
      <c r="B487" s="31"/>
      <c r="C487" s="31"/>
      <c r="E487" s="31"/>
      <c r="F487" s="31"/>
      <c r="G487" s="31"/>
      <c r="J487" s="77"/>
      <c r="L487" s="31"/>
      <c r="M487" s="31"/>
      <c r="N487" s="85"/>
      <c r="O487" s="77"/>
      <c r="Q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" x14ac:dyDescent="0.3">
      <c r="A488" s="31"/>
      <c r="B488" s="31"/>
      <c r="C488" s="31"/>
      <c r="E488" s="31"/>
      <c r="F488" s="31"/>
      <c r="G488" s="31"/>
      <c r="J488" s="77"/>
      <c r="L488" s="31"/>
      <c r="M488" s="31"/>
      <c r="N488" s="85"/>
      <c r="O488" s="77"/>
      <c r="Q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" x14ac:dyDescent="0.3">
      <c r="A489" s="31"/>
      <c r="B489" s="31"/>
      <c r="C489" s="31"/>
      <c r="E489" s="31"/>
      <c r="F489" s="31"/>
      <c r="G489" s="31"/>
      <c r="J489" s="77"/>
      <c r="L489" s="31"/>
      <c r="M489" s="31"/>
      <c r="N489" s="85"/>
      <c r="O489" s="77"/>
      <c r="Q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" x14ac:dyDescent="0.3">
      <c r="A490" s="31"/>
      <c r="B490" s="31"/>
      <c r="C490" s="31"/>
      <c r="E490" s="31"/>
      <c r="F490" s="31"/>
      <c r="G490" s="31"/>
      <c r="J490" s="77"/>
      <c r="L490" s="31"/>
      <c r="M490" s="31"/>
      <c r="N490" s="85"/>
      <c r="O490" s="77"/>
      <c r="Q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" x14ac:dyDescent="0.3">
      <c r="A491" s="31"/>
      <c r="B491" s="31"/>
      <c r="C491" s="31"/>
      <c r="E491" s="31"/>
      <c r="F491" s="31"/>
      <c r="G491" s="31"/>
      <c r="J491" s="77"/>
      <c r="L491" s="31"/>
      <c r="M491" s="31"/>
      <c r="N491" s="85"/>
      <c r="O491" s="77"/>
      <c r="Q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" x14ac:dyDescent="0.3">
      <c r="A492" s="31"/>
      <c r="B492" s="31"/>
      <c r="C492" s="31"/>
      <c r="E492" s="31"/>
      <c r="F492" s="31"/>
      <c r="G492" s="31"/>
      <c r="J492" s="77"/>
      <c r="L492" s="31"/>
      <c r="M492" s="31"/>
      <c r="N492" s="85"/>
      <c r="O492" s="77"/>
      <c r="Q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" x14ac:dyDescent="0.3">
      <c r="A493" s="31"/>
      <c r="B493" s="31"/>
      <c r="C493" s="31"/>
      <c r="E493" s="31"/>
      <c r="F493" s="31"/>
      <c r="G493" s="31"/>
      <c r="J493" s="77"/>
      <c r="L493" s="31"/>
      <c r="M493" s="31"/>
      <c r="N493" s="85"/>
      <c r="O493" s="77"/>
      <c r="Q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" x14ac:dyDescent="0.3">
      <c r="A494" s="31"/>
      <c r="B494" s="31"/>
      <c r="C494" s="31"/>
      <c r="E494" s="31"/>
      <c r="F494" s="31"/>
      <c r="G494" s="31"/>
      <c r="J494" s="77"/>
      <c r="L494" s="31"/>
      <c r="M494" s="31"/>
      <c r="N494" s="85"/>
      <c r="O494" s="77"/>
      <c r="Q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" x14ac:dyDescent="0.3">
      <c r="A495" s="31"/>
      <c r="B495" s="31"/>
      <c r="C495" s="31"/>
      <c r="E495" s="31"/>
      <c r="F495" s="31"/>
      <c r="G495" s="31"/>
      <c r="J495" s="77"/>
      <c r="L495" s="31"/>
      <c r="M495" s="31"/>
      <c r="N495" s="85"/>
      <c r="O495" s="77"/>
      <c r="Q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" x14ac:dyDescent="0.3">
      <c r="A496" s="31"/>
      <c r="B496" s="31"/>
      <c r="C496" s="31"/>
      <c r="E496" s="31"/>
      <c r="F496" s="31"/>
      <c r="G496" s="31"/>
      <c r="J496" s="77"/>
      <c r="L496" s="31"/>
      <c r="M496" s="31"/>
      <c r="N496" s="85"/>
      <c r="O496" s="77"/>
      <c r="Q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" x14ac:dyDescent="0.3">
      <c r="A497" s="31"/>
      <c r="B497" s="31"/>
      <c r="C497" s="31"/>
      <c r="E497" s="31"/>
      <c r="F497" s="31"/>
      <c r="G497" s="31"/>
      <c r="J497" s="77"/>
      <c r="L497" s="31"/>
      <c r="M497" s="31"/>
      <c r="N497" s="85"/>
      <c r="O497" s="77"/>
      <c r="Q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" x14ac:dyDescent="0.3">
      <c r="A498" s="31"/>
      <c r="B498" s="31"/>
      <c r="C498" s="31"/>
      <c r="E498" s="31"/>
      <c r="F498" s="31"/>
      <c r="G498" s="31"/>
      <c r="J498" s="77"/>
      <c r="L498" s="31"/>
      <c r="M498" s="31"/>
      <c r="N498" s="85"/>
      <c r="O498" s="77"/>
      <c r="Q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" x14ac:dyDescent="0.3">
      <c r="A499" s="31"/>
      <c r="B499" s="31"/>
      <c r="C499" s="31"/>
      <c r="E499" s="31"/>
      <c r="F499" s="31"/>
      <c r="G499" s="31"/>
      <c r="J499" s="77"/>
      <c r="L499" s="31"/>
      <c r="M499" s="31"/>
      <c r="N499" s="85"/>
      <c r="O499" s="77"/>
      <c r="Q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L41:U42 V74:AA499 G43:U499 V2:AH2 G2:U40 V4:AH72 V73:AD73 V3:X3">
    <cfRule type="expression" dxfId="101" priority="34">
      <formula>AND($B2&lt;&gt;"",MOD(ROW(),2)=0)</formula>
    </cfRule>
  </conditionalFormatting>
  <conditionalFormatting sqref="D2:D499">
    <cfRule type="expression" dxfId="100" priority="18">
      <formula>ISNUMBER(SEARCH("Blocked",$D2))</formula>
    </cfRule>
    <cfRule type="expression" dxfId="99" priority="19">
      <formula>ISNUMBER(SEARCH("overdue",$D2))</formula>
    </cfRule>
    <cfRule type="expression" dxfId="98" priority="20">
      <formula>ISNUMBER(SEARCH("no target",$D2))</formula>
    </cfRule>
    <cfRule type="expression" dxfId="97" priority="21">
      <formula>ISNUMBER(SEARCH("Review",$D2))</formula>
    </cfRule>
    <cfRule type="expression" dxfId="96" priority="22">
      <formula>OR($D2="On track",$D2="Delivered")</formula>
    </cfRule>
  </conditionalFormatting>
  <conditionalFormatting sqref="K32:K33 K29 T10:U19">
    <cfRule type="expression" dxfId="95" priority="17">
      <formula>$AF10="Yes – needs PBI Dev to fix"</formula>
    </cfRule>
  </conditionalFormatting>
  <conditionalFormatting sqref="K40:K41">
    <cfRule type="expression" dxfId="94" priority="8">
      <formula>$AF40="Yes – needs PBI Dev to fix"</formula>
    </cfRule>
  </conditionalFormatting>
  <conditionalFormatting sqref="K73:L73">
    <cfRule type="expression" dxfId="93" priority="93">
      <formula>$AB73="Yes – needs DB Dev to fix"</formula>
    </cfRule>
  </conditionalFormatting>
  <conditionalFormatting sqref="K74:L499">
    <cfRule type="expression" dxfId="92" priority="27">
      <formula>$Y74="Yes – needs DB Dev to fix"</formula>
    </cfRule>
  </conditionalFormatting>
  <conditionalFormatting sqref="K2:O40 L41:O42 K43:O72">
    <cfRule type="expression" dxfId="91" priority="66">
      <formula>$AF2="Yes – needs DB Dev to fix"</formula>
    </cfRule>
  </conditionalFormatting>
  <conditionalFormatting sqref="M29:O29">
    <cfRule type="expression" dxfId="90" priority="14">
      <formula>$AF29="Yes – needs PBI Dev to fix"</formula>
    </cfRule>
  </conditionalFormatting>
  <conditionalFormatting sqref="M32:O33">
    <cfRule type="expression" dxfId="89" priority="11">
      <formula>$AF32="Yes – needs PBI Dev to fix"</formula>
    </cfRule>
  </conditionalFormatting>
  <conditionalFormatting sqref="M40:O41">
    <cfRule type="expression" dxfId="88" priority="7">
      <formula>$AF40="Yes – needs PBI Dev to fix"</formula>
    </cfRule>
  </conditionalFormatting>
  <conditionalFormatting sqref="M73:O73">
    <cfRule type="expression" dxfId="87" priority="127">
      <formula>$AA73="Yes – needs PBI Dev to fix"</formula>
    </cfRule>
  </conditionalFormatting>
  <conditionalFormatting sqref="M74:O499">
    <cfRule type="expression" dxfId="86" priority="28">
      <formula>$Y74="Yes – needs PBI Dev to fix"</formula>
    </cfRule>
  </conditionalFormatting>
  <conditionalFormatting sqref="P10:P19">
    <cfRule type="expression" dxfId="85" priority="1">
      <formula>$AF10="Yes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K41">
    <cfRule type="expression" dxfId="40" priority="236">
      <formula>AND($B41&lt;&gt;"",MOD(ROW(),2)=0)</formula>
    </cfRule>
    <cfRule type="expression" dxfId="39" priority="237">
      <formula>$AF41="Yes – needs DB Dev to fix"</formula>
    </cfRule>
  </conditionalFormatting>
  <conditionalFormatting sqref="K42">
    <cfRule type="expression" dxfId="38" priority="238">
      <formula>AND($B41&lt;&gt;"",MOD(ROW(),2)=0)</formula>
    </cfRule>
    <cfRule type="expression" dxfId="37" priority="239">
      <formula>$AF41="Yes – needs DB Dev to fix"</formula>
    </cfRule>
  </conditionalFormatting>
  <conditionalFormatting sqref="Y3">
    <cfRule type="expression" dxfId="36" priority="240">
      <formula>AND($B3&lt;&gt;"",MOD(ROW(),2)=0)</formula>
    </cfRule>
    <cfRule type="expression" dxfId="35" priority="241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187</v>
      </c>
    </row>
    <row r="2" spans="1:5" x14ac:dyDescent="0.3">
      <c r="A2" s="6" t="s">
        <v>188</v>
      </c>
    </row>
    <row r="4" spans="1:5" ht="21.9" customHeight="1" x14ac:dyDescent="0.3">
      <c r="A4" s="5" t="s">
        <v>189</v>
      </c>
      <c r="B4" s="66"/>
      <c r="C4" s="61"/>
      <c r="D4" s="61"/>
      <c r="E4" s="61"/>
    </row>
    <row r="6" spans="1:5" x14ac:dyDescent="0.3">
      <c r="A6" s="42" t="s">
        <v>0</v>
      </c>
      <c r="B6" s="65" t="str">
        <f>IF($B$4="","",IFERROR(INDEX('Combined Delivery Data'!$A:$A,MATCH($B$4,'Combined Delivery Data'!$B:$B,0)),""))</f>
        <v/>
      </c>
      <c r="C6" s="63"/>
      <c r="D6" s="63"/>
      <c r="E6" s="64"/>
    </row>
    <row r="7" spans="1:5" x14ac:dyDescent="0.3">
      <c r="A7" s="42" t="s">
        <v>2</v>
      </c>
      <c r="B7" s="65" t="str">
        <f>IF($B$4="","",IFERROR(INDEX('Combined Delivery Data'!$C:$C,MATCH($B$4,'Combined Delivery Data'!$B:$B,0)),""))</f>
        <v/>
      </c>
      <c r="C7" s="63"/>
      <c r="D7" s="63"/>
      <c r="E7" s="64"/>
    </row>
    <row r="8" spans="1:5" x14ac:dyDescent="0.3">
      <c r="A8" s="42" t="s">
        <v>3</v>
      </c>
      <c r="B8" s="65" t="str">
        <f>IF($B$4="","",IFERROR(INDEX('Combined Delivery Data'!$D:$D,MATCH($B$4,'Combined Delivery Data'!$B:$B,0)),""))</f>
        <v/>
      </c>
      <c r="C8" s="63"/>
      <c r="D8" s="63"/>
      <c r="E8" s="64"/>
    </row>
    <row r="9" spans="1:5" x14ac:dyDescent="0.3">
      <c r="A9" s="42" t="s">
        <v>4</v>
      </c>
      <c r="B9" s="65" t="str">
        <f>IF($B$4="","",IFERROR(INDEX('Combined Delivery Data'!$E:$E,MATCH($B$4,'Combined Delivery Data'!$B:$B,0)),""))</f>
        <v/>
      </c>
      <c r="C9" s="63"/>
      <c r="D9" s="63"/>
      <c r="E9" s="64"/>
    </row>
    <row r="10" spans="1:5" x14ac:dyDescent="0.3">
      <c r="A10" s="42" t="s">
        <v>5</v>
      </c>
      <c r="B10" s="65" t="str">
        <f>IF($B$4="","",IFERROR(INDEX('Combined Delivery Data'!$F:$F,MATCH($B$4,'Combined Delivery Data'!$B:$B,0)),""))</f>
        <v/>
      </c>
      <c r="C10" s="63"/>
      <c r="D10" s="63"/>
      <c r="E10" s="64"/>
    </row>
    <row r="11" spans="1:5" x14ac:dyDescent="0.3">
      <c r="A11" s="42" t="s">
        <v>6</v>
      </c>
      <c r="B11" s="65" t="str">
        <f>IF($B$4="","",IFERROR(INDEX('Combined Delivery Data'!$J:$J,MATCH($B$4,'Combined Delivery Data'!$B:$B,0)),""))</f>
        <v/>
      </c>
      <c r="C11" s="63"/>
      <c r="D11" s="63"/>
      <c r="E11" s="64"/>
    </row>
    <row r="12" spans="1:5" x14ac:dyDescent="0.3">
      <c r="A12" s="42" t="s">
        <v>7</v>
      </c>
      <c r="B12" s="65" t="str">
        <f>IF($B$4="","",IFERROR(INDEX('Combined Delivery Data'!$O:$O,MATCH($B$4,'Combined Delivery Data'!$B:$B,0)),""))</f>
        <v/>
      </c>
      <c r="C12" s="63"/>
      <c r="D12" s="63"/>
      <c r="E12" s="64"/>
    </row>
    <row r="13" spans="1:5" x14ac:dyDescent="0.3">
      <c r="A13" s="42" t="s">
        <v>8</v>
      </c>
      <c r="B13" s="65" t="str">
        <f>IF($B$4="","",IFERROR(INDEX('Combined Delivery Data'!$T:$T,MATCH($B$4,'Combined Delivery Data'!$B:$B,0)),""))</f>
        <v/>
      </c>
      <c r="C13" s="63"/>
      <c r="D13" s="63"/>
      <c r="E13" s="64"/>
    </row>
    <row r="14" spans="1:5" x14ac:dyDescent="0.3">
      <c r="A14" s="42" t="s">
        <v>190</v>
      </c>
      <c r="B14" s="62" t="str">
        <f>IF($B$4="","",IFERROR(INDEX('Combined Delivery Data'!$K:$K,MATCH($B$4,'Combined Delivery Data'!$B:$B,0)),""))</f>
        <v/>
      </c>
      <c r="C14" s="63"/>
      <c r="D14" s="63"/>
      <c r="E14" s="64"/>
    </row>
    <row r="15" spans="1:5" x14ac:dyDescent="0.3">
      <c r="A15" s="42" t="s">
        <v>191</v>
      </c>
      <c r="B15" s="62" t="str">
        <f>IF($B$4="","",IFERROR(INDEX('Combined Delivery Data'!$L:$L,MATCH($B$4,'Combined Delivery Data'!$B:$B,0)),""))</f>
        <v/>
      </c>
      <c r="C15" s="63"/>
      <c r="D15" s="63"/>
      <c r="E15" s="64"/>
    </row>
    <row r="16" spans="1:5" x14ac:dyDescent="0.3">
      <c r="A16" s="42" t="s">
        <v>192</v>
      </c>
      <c r="B16" s="62" t="str">
        <f>IF($B$4="","",IFERROR(INDEX('Combined Delivery Data'!$M:$M,MATCH($B$4,'Combined Delivery Data'!$B:$B,0)),""))</f>
        <v/>
      </c>
      <c r="C16" s="63"/>
      <c r="D16" s="63"/>
      <c r="E16" s="64"/>
    </row>
    <row r="17" spans="1:5" x14ac:dyDescent="0.3">
      <c r="A17" s="42" t="s">
        <v>193</v>
      </c>
      <c r="B17" s="62" t="str">
        <f>IF($B$4="","",IFERROR(INDEX('Combined Delivery Data'!$N:$N,MATCH($B$4,'Combined Delivery Data'!$B:$B,0)),""))</f>
        <v/>
      </c>
      <c r="C17" s="63"/>
      <c r="D17" s="63"/>
      <c r="E17" s="64"/>
    </row>
    <row r="18" spans="1:5" x14ac:dyDescent="0.3">
      <c r="A18" s="42" t="s">
        <v>194</v>
      </c>
      <c r="B18" s="62" t="str">
        <f>IF($B$4="","",IFERROR(INDEX('Combined Delivery Data'!$P:$P,MATCH($B$4,'Combined Delivery Data'!$B:$B,0)),""))</f>
        <v/>
      </c>
      <c r="C18" s="63"/>
      <c r="D18" s="63"/>
      <c r="E18" s="64"/>
    </row>
    <row r="19" spans="1:5" x14ac:dyDescent="0.3">
      <c r="A19" s="42" t="s">
        <v>195</v>
      </c>
      <c r="B19" s="62" t="str">
        <f>IF($B$4="","",IFERROR(INDEX('Combined Delivery Data'!$Q:$Q,MATCH($B$4,'Combined Delivery Data'!$B:$B,0)),""))</f>
        <v/>
      </c>
      <c r="C19" s="63"/>
      <c r="D19" s="63"/>
      <c r="E19" s="64"/>
    </row>
    <row r="20" spans="1:5" x14ac:dyDescent="0.3">
      <c r="A20" s="42" t="s">
        <v>196</v>
      </c>
      <c r="B20" s="62" t="str">
        <f>IF($B$4="","",IFERROR(INDEX('Combined Delivery Data'!$R:$R,MATCH($B$4,'Combined Delivery Data'!$B:$B,0)),""))</f>
        <v/>
      </c>
      <c r="C20" s="63"/>
      <c r="D20" s="63"/>
      <c r="E20" s="64"/>
    </row>
    <row r="21" spans="1:5" x14ac:dyDescent="0.3">
      <c r="A21" s="42" t="s">
        <v>26</v>
      </c>
      <c r="B21" s="65" t="str">
        <f>IF($B$4="","",IFERROR(INDEX('Combined Delivery Data'!$S:$S,MATCH($B$4,'Combined Delivery Data'!$B:$B,0)),""))</f>
        <v/>
      </c>
      <c r="C21" s="63"/>
      <c r="D21" s="63"/>
      <c r="E21" s="64"/>
    </row>
    <row r="22" spans="1:5" x14ac:dyDescent="0.3">
      <c r="A22" s="42" t="s">
        <v>27</v>
      </c>
      <c r="B22" s="65" t="str">
        <f>IF($B$4="","",IFERROR(INDEX('Combined Delivery Data'!$U:$U,MATCH($B$4,'Combined Delivery Data'!$B:$B,0)),""))</f>
        <v/>
      </c>
      <c r="C22" s="63"/>
      <c r="D22" s="63"/>
      <c r="E22" s="64"/>
    </row>
    <row r="23" spans="1:5" x14ac:dyDescent="0.3">
      <c r="A23" s="42" t="s">
        <v>28</v>
      </c>
      <c r="B23" s="62" t="str">
        <f>IF($B$4="","",IFERROR(INDEX('Combined Delivery Data'!$V:$V,MATCH($B$4,'Combined Delivery Data'!$B:$B,0)),""))</f>
        <v/>
      </c>
      <c r="C23" s="63"/>
      <c r="D23" s="63"/>
      <c r="E23" s="64"/>
    </row>
    <row r="24" spans="1:5" x14ac:dyDescent="0.3">
      <c r="A24" s="42" t="s">
        <v>31</v>
      </c>
      <c r="B24" s="65" t="str">
        <f>IF($B$4="","",IFERROR(INDEX('Combined Delivery Data'!$Y:$Y,MATCH($B$4,'Combined Delivery Data'!$B:$B,0)),""))</f>
        <v/>
      </c>
      <c r="C24" s="63"/>
      <c r="D24" s="63"/>
      <c r="E24" s="64"/>
    </row>
    <row r="25" spans="1:5" x14ac:dyDescent="0.3">
      <c r="A25" s="42" t="s">
        <v>32</v>
      </c>
      <c r="B25" s="65" t="str">
        <f>IF($B$4="","",IFERROR(INDEX('Combined Delivery Data'!$Z:$Z,MATCH($B$4,'Combined Delivery Data'!$B:$B,0)),""))</f>
        <v/>
      </c>
      <c r="C25" s="63"/>
      <c r="D25" s="63"/>
      <c r="E25" s="64"/>
    </row>
    <row r="26" spans="1:5" x14ac:dyDescent="0.3">
      <c r="A26" s="42" t="s">
        <v>197</v>
      </c>
      <c r="B26" s="65" t="str">
        <f>IF($B$4="","",IFERROR(INDEX('Rework Log'!$Q:$Q,MATCH($B$4,'Rework Log'!$P:$P,0)),""))</f>
        <v/>
      </c>
      <c r="C26" s="63"/>
      <c r="D26" s="63"/>
      <c r="E26" s="64"/>
    </row>
    <row r="27" spans="1:5" x14ac:dyDescent="0.3">
      <c r="A27" s="42" t="s">
        <v>198</v>
      </c>
      <c r="B27" s="65" t="str">
        <f>IF($B$4="","",IFERROR(INDEX('Rework Log'!$R:$R,MATCH($B$4,'Rework Log'!$P:$P,0)),""))</f>
        <v/>
      </c>
      <c r="C27" s="63"/>
      <c r="D27" s="63"/>
      <c r="E27" s="64"/>
    </row>
    <row r="28" spans="1:5" x14ac:dyDescent="0.3">
      <c r="A28" s="42" t="s">
        <v>199</v>
      </c>
      <c r="B28" s="65" t="str">
        <f>IF($B$4="","",IFERROR(INDEX('Rework Log'!$S:$S,MATCH($B$4,'Rework Log'!$P:$P,0)),""))</f>
        <v/>
      </c>
      <c r="C28" s="63"/>
      <c r="D28" s="63"/>
      <c r="E28" s="64"/>
    </row>
    <row r="29" spans="1:5" x14ac:dyDescent="0.3">
      <c r="A29" s="42" t="s">
        <v>200</v>
      </c>
      <c r="B29" s="65" t="str">
        <f>IF($B$4="","",IFERROR(INDEX('Rework Log'!$T:$T,MATCH($B$4,'Rework Log'!$P:$P,0)),""))</f>
        <v/>
      </c>
      <c r="C29" s="63"/>
      <c r="D29" s="63"/>
      <c r="E29" s="64"/>
    </row>
    <row r="30" spans="1:5" ht="15.6" customHeight="1" x14ac:dyDescent="0.3">
      <c r="A30" s="42"/>
      <c r="B30" s="65"/>
      <c r="C30" s="63"/>
      <c r="D30" s="63"/>
      <c r="E30" s="64"/>
    </row>
    <row r="31" spans="1:5" ht="15.6" customHeight="1" x14ac:dyDescent="0.3">
      <c r="A31" s="5" t="s">
        <v>33</v>
      </c>
      <c r="B31" s="60" t="str">
        <f>IF($B$4="","",IFERROR(INDEX('Combined Delivery Data'!$AA:$AA,MATCH($B$4,'Combined Delivery Data'!$B:$B,0)),""))</f>
        <v/>
      </c>
      <c r="C31" s="61"/>
      <c r="D31" s="61"/>
      <c r="E31" s="61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" x14ac:dyDescent="0.3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6640625" customWidth="1"/>
    <col min="8" max="8" width="23.109375" customWidth="1"/>
    <col min="9" max="9" width="17.6640625" customWidth="1"/>
    <col min="10" max="11" width="12" customWidth="1"/>
    <col min="12" max="12" width="36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67" t="s">
        <v>201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P1" s="68" t="s">
        <v>202</v>
      </c>
      <c r="Q1" s="61"/>
      <c r="R1" s="61"/>
      <c r="S1" s="61"/>
      <c r="T1" s="61"/>
    </row>
    <row r="2" spans="1:20" ht="30" customHeight="1" x14ac:dyDescent="0.3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 x14ac:dyDescent="0.3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58"/>
      <c r="J3" s="58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14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7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 x14ac:dyDescent="0.3">
      <c r="A5" s="59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6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 x14ac:dyDescent="0.3">
      <c r="A6" s="59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10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 x14ac:dyDescent="0.3">
      <c r="A7" s="59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5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 x14ac:dyDescent="0.3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 x14ac:dyDescent="0.3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 x14ac:dyDescent="0.3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 x14ac:dyDescent="0.3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 x14ac:dyDescent="0.3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 x14ac:dyDescent="0.3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 x14ac:dyDescent="0.3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 x14ac:dyDescent="0.3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 x14ac:dyDescent="0.3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 x14ac:dyDescent="0.3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 x14ac:dyDescent="0.3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 x14ac:dyDescent="0.3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 x14ac:dyDescent="0.3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 x14ac:dyDescent="0.3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 x14ac:dyDescent="0.3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 x14ac:dyDescent="0.3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 x14ac:dyDescent="0.3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 x14ac:dyDescent="0.3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 x14ac:dyDescent="0.3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 x14ac:dyDescent="0.3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 x14ac:dyDescent="0.3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 x14ac:dyDescent="0.3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 x14ac:dyDescent="0.3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 x14ac:dyDescent="0.3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 x14ac:dyDescent="0.3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 x14ac:dyDescent="0.3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 x14ac:dyDescent="0.3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 x14ac:dyDescent="0.3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 x14ac:dyDescent="0.3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 x14ac:dyDescent="0.3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 x14ac:dyDescent="0.3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 x14ac:dyDescent="0.3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 x14ac:dyDescent="0.3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 x14ac:dyDescent="0.3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 x14ac:dyDescent="0.3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 x14ac:dyDescent="0.3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 x14ac:dyDescent="0.3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 x14ac:dyDescent="0.3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 x14ac:dyDescent="0.3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 x14ac:dyDescent="0.3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 x14ac:dyDescent="0.3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 x14ac:dyDescent="0.3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 x14ac:dyDescent="0.3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 x14ac:dyDescent="0.3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 x14ac:dyDescent="0.3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 x14ac:dyDescent="0.3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 x14ac:dyDescent="0.3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 x14ac:dyDescent="0.3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 x14ac:dyDescent="0.3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 x14ac:dyDescent="0.3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 x14ac:dyDescent="0.3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 x14ac:dyDescent="0.3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 x14ac:dyDescent="0.3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 x14ac:dyDescent="0.3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 x14ac:dyDescent="0.3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 x14ac:dyDescent="0.3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 x14ac:dyDescent="0.3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 x14ac:dyDescent="0.3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 x14ac:dyDescent="0.3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 x14ac:dyDescent="0.3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 x14ac:dyDescent="0.3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 x14ac:dyDescent="0.3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 x14ac:dyDescent="0.3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 x14ac:dyDescent="0.3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 x14ac:dyDescent="0.3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 x14ac:dyDescent="0.3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 x14ac:dyDescent="0.3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 x14ac:dyDescent="0.3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 x14ac:dyDescent="0.3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 x14ac:dyDescent="0.3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 x14ac:dyDescent="0.3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 x14ac:dyDescent="0.3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 x14ac:dyDescent="0.3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 x14ac:dyDescent="0.3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 x14ac:dyDescent="0.3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 x14ac:dyDescent="0.3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 x14ac:dyDescent="0.3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 x14ac:dyDescent="0.3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 x14ac:dyDescent="0.3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 x14ac:dyDescent="0.3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 x14ac:dyDescent="0.3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 x14ac:dyDescent="0.3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 x14ac:dyDescent="0.3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 x14ac:dyDescent="0.3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 x14ac:dyDescent="0.3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 x14ac:dyDescent="0.3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 x14ac:dyDescent="0.3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 x14ac:dyDescent="0.3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 x14ac:dyDescent="0.3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 x14ac:dyDescent="0.3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 x14ac:dyDescent="0.3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 x14ac:dyDescent="0.3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 x14ac:dyDescent="0.3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 x14ac:dyDescent="0.3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 x14ac:dyDescent="0.3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 x14ac:dyDescent="0.3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 x14ac:dyDescent="0.3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 x14ac:dyDescent="0.3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 x14ac:dyDescent="0.3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 x14ac:dyDescent="0.3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 x14ac:dyDescent="0.3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 x14ac:dyDescent="0.3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 x14ac:dyDescent="0.3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 x14ac:dyDescent="0.3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 x14ac:dyDescent="0.3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 x14ac:dyDescent="0.3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 x14ac:dyDescent="0.3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 x14ac:dyDescent="0.3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 x14ac:dyDescent="0.3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 x14ac:dyDescent="0.3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 x14ac:dyDescent="0.3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 x14ac:dyDescent="0.3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 x14ac:dyDescent="0.3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 x14ac:dyDescent="0.3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 x14ac:dyDescent="0.3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 x14ac:dyDescent="0.3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 x14ac:dyDescent="0.3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 x14ac:dyDescent="0.3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 x14ac:dyDescent="0.3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 x14ac:dyDescent="0.3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 x14ac:dyDescent="0.3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 x14ac:dyDescent="0.3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 x14ac:dyDescent="0.3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 x14ac:dyDescent="0.3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 x14ac:dyDescent="0.3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 x14ac:dyDescent="0.3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 x14ac:dyDescent="0.3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 x14ac:dyDescent="0.3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 x14ac:dyDescent="0.3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 x14ac:dyDescent="0.3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 x14ac:dyDescent="0.3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 x14ac:dyDescent="0.3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 x14ac:dyDescent="0.3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 x14ac:dyDescent="0.3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 x14ac:dyDescent="0.3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 x14ac:dyDescent="0.3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 x14ac:dyDescent="0.3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 x14ac:dyDescent="0.3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 x14ac:dyDescent="0.3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 x14ac:dyDescent="0.3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 x14ac:dyDescent="0.3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 x14ac:dyDescent="0.3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 x14ac:dyDescent="0.3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 x14ac:dyDescent="0.3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 x14ac:dyDescent="0.3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 x14ac:dyDescent="0.3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 x14ac:dyDescent="0.3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 x14ac:dyDescent="0.3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 x14ac:dyDescent="0.3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 x14ac:dyDescent="0.3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 x14ac:dyDescent="0.3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 x14ac:dyDescent="0.3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 x14ac:dyDescent="0.3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 x14ac:dyDescent="0.3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 x14ac:dyDescent="0.3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 x14ac:dyDescent="0.3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 x14ac:dyDescent="0.3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 x14ac:dyDescent="0.3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 x14ac:dyDescent="0.3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 x14ac:dyDescent="0.3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 x14ac:dyDescent="0.3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 x14ac:dyDescent="0.3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 x14ac:dyDescent="0.3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 x14ac:dyDescent="0.3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 x14ac:dyDescent="0.3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 x14ac:dyDescent="0.3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 x14ac:dyDescent="0.3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 x14ac:dyDescent="0.3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 x14ac:dyDescent="0.3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 x14ac:dyDescent="0.3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 x14ac:dyDescent="0.3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 x14ac:dyDescent="0.3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 x14ac:dyDescent="0.3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 x14ac:dyDescent="0.3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 x14ac:dyDescent="0.3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 x14ac:dyDescent="0.3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 x14ac:dyDescent="0.3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 x14ac:dyDescent="0.3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 x14ac:dyDescent="0.3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 x14ac:dyDescent="0.3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 x14ac:dyDescent="0.3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 x14ac:dyDescent="0.3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 x14ac:dyDescent="0.3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 x14ac:dyDescent="0.3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 x14ac:dyDescent="0.3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 x14ac:dyDescent="0.3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 x14ac:dyDescent="0.3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 x14ac:dyDescent="0.3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 x14ac:dyDescent="0.3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 x14ac:dyDescent="0.3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 x14ac:dyDescent="0.3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 x14ac:dyDescent="0.3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 x14ac:dyDescent="0.3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 x14ac:dyDescent="0.3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 x14ac:dyDescent="0.3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 x14ac:dyDescent="0.3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 x14ac:dyDescent="0.3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 x14ac:dyDescent="0.3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 x14ac:dyDescent="0.3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 x14ac:dyDescent="0.3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 x14ac:dyDescent="0.3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 x14ac:dyDescent="0.3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 x14ac:dyDescent="0.3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 x14ac:dyDescent="0.3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 x14ac:dyDescent="0.3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 x14ac:dyDescent="0.3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 x14ac:dyDescent="0.3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 x14ac:dyDescent="0.3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 x14ac:dyDescent="0.3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 x14ac:dyDescent="0.3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 x14ac:dyDescent="0.3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 x14ac:dyDescent="0.3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 x14ac:dyDescent="0.3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 x14ac:dyDescent="0.3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 x14ac:dyDescent="0.3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 x14ac:dyDescent="0.3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 x14ac:dyDescent="0.3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 x14ac:dyDescent="0.3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 x14ac:dyDescent="0.3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 x14ac:dyDescent="0.3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 x14ac:dyDescent="0.3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 x14ac:dyDescent="0.3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 x14ac:dyDescent="0.3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 x14ac:dyDescent="0.3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 x14ac:dyDescent="0.3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 x14ac:dyDescent="0.3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 x14ac:dyDescent="0.3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 x14ac:dyDescent="0.3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 x14ac:dyDescent="0.3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 x14ac:dyDescent="0.3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 x14ac:dyDescent="0.3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 x14ac:dyDescent="0.3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 x14ac:dyDescent="0.3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 x14ac:dyDescent="0.3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 x14ac:dyDescent="0.3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 x14ac:dyDescent="0.3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 x14ac:dyDescent="0.3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 x14ac:dyDescent="0.3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 x14ac:dyDescent="0.3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 x14ac:dyDescent="0.3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 x14ac:dyDescent="0.3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 x14ac:dyDescent="0.3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 x14ac:dyDescent="0.3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 x14ac:dyDescent="0.3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 x14ac:dyDescent="0.3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 x14ac:dyDescent="0.3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 x14ac:dyDescent="0.3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 x14ac:dyDescent="0.3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 x14ac:dyDescent="0.3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 x14ac:dyDescent="0.3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 x14ac:dyDescent="0.3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 x14ac:dyDescent="0.3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 x14ac:dyDescent="0.3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 x14ac:dyDescent="0.3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 x14ac:dyDescent="0.3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 x14ac:dyDescent="0.3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 x14ac:dyDescent="0.3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 x14ac:dyDescent="0.3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 x14ac:dyDescent="0.3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 x14ac:dyDescent="0.3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 x14ac:dyDescent="0.3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 x14ac:dyDescent="0.3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 x14ac:dyDescent="0.3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 x14ac:dyDescent="0.3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 x14ac:dyDescent="0.3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 x14ac:dyDescent="0.3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 x14ac:dyDescent="0.3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 x14ac:dyDescent="0.3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 x14ac:dyDescent="0.3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 x14ac:dyDescent="0.3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 x14ac:dyDescent="0.3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 x14ac:dyDescent="0.3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 x14ac:dyDescent="0.3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 x14ac:dyDescent="0.3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 x14ac:dyDescent="0.3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 x14ac:dyDescent="0.3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 x14ac:dyDescent="0.3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 x14ac:dyDescent="0.3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 x14ac:dyDescent="0.3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 x14ac:dyDescent="0.3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 x14ac:dyDescent="0.3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 x14ac:dyDescent="0.3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 x14ac:dyDescent="0.3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 x14ac:dyDescent="0.3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 x14ac:dyDescent="0.3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 x14ac:dyDescent="0.3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 x14ac:dyDescent="0.3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 x14ac:dyDescent="0.3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 x14ac:dyDescent="0.3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 x14ac:dyDescent="0.3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 x14ac:dyDescent="0.3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 x14ac:dyDescent="0.3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 x14ac:dyDescent="0.3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 x14ac:dyDescent="0.3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 x14ac:dyDescent="0.3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 x14ac:dyDescent="0.3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 x14ac:dyDescent="0.3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 x14ac:dyDescent="0.3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 x14ac:dyDescent="0.3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 x14ac:dyDescent="0.3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 x14ac:dyDescent="0.3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 x14ac:dyDescent="0.3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 x14ac:dyDescent="0.3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 x14ac:dyDescent="0.3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 x14ac:dyDescent="0.3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 x14ac:dyDescent="0.3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 x14ac:dyDescent="0.3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 x14ac:dyDescent="0.3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 x14ac:dyDescent="0.3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 x14ac:dyDescent="0.3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 x14ac:dyDescent="0.3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 x14ac:dyDescent="0.3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 x14ac:dyDescent="0.3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 x14ac:dyDescent="0.3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 x14ac:dyDescent="0.3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 x14ac:dyDescent="0.3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 x14ac:dyDescent="0.3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 x14ac:dyDescent="0.3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 x14ac:dyDescent="0.3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 x14ac:dyDescent="0.3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 x14ac:dyDescent="0.3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 x14ac:dyDescent="0.3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 x14ac:dyDescent="0.3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 x14ac:dyDescent="0.3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 x14ac:dyDescent="0.3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 x14ac:dyDescent="0.3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 x14ac:dyDescent="0.3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 x14ac:dyDescent="0.3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 x14ac:dyDescent="0.3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 x14ac:dyDescent="0.3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 x14ac:dyDescent="0.3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 x14ac:dyDescent="0.3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 x14ac:dyDescent="0.3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 x14ac:dyDescent="0.3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 x14ac:dyDescent="0.3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 x14ac:dyDescent="0.3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 x14ac:dyDescent="0.3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 x14ac:dyDescent="0.3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 x14ac:dyDescent="0.3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 x14ac:dyDescent="0.3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 x14ac:dyDescent="0.3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 x14ac:dyDescent="0.3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 x14ac:dyDescent="0.3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 x14ac:dyDescent="0.3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 x14ac:dyDescent="0.3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 x14ac:dyDescent="0.3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 x14ac:dyDescent="0.3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 x14ac:dyDescent="0.3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 x14ac:dyDescent="0.3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 x14ac:dyDescent="0.3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 x14ac:dyDescent="0.3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 x14ac:dyDescent="0.3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 x14ac:dyDescent="0.3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 x14ac:dyDescent="0.3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 x14ac:dyDescent="0.3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 x14ac:dyDescent="0.3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 x14ac:dyDescent="0.3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 x14ac:dyDescent="0.3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 x14ac:dyDescent="0.3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 x14ac:dyDescent="0.3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 x14ac:dyDescent="0.3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 x14ac:dyDescent="0.3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 x14ac:dyDescent="0.3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 x14ac:dyDescent="0.3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 x14ac:dyDescent="0.3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 x14ac:dyDescent="0.3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 x14ac:dyDescent="0.3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 x14ac:dyDescent="0.3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 x14ac:dyDescent="0.3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 x14ac:dyDescent="0.3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 x14ac:dyDescent="0.3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 x14ac:dyDescent="0.3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 x14ac:dyDescent="0.3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 x14ac:dyDescent="0.3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 x14ac:dyDescent="0.3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 x14ac:dyDescent="0.3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 x14ac:dyDescent="0.3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 x14ac:dyDescent="0.3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 x14ac:dyDescent="0.3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 x14ac:dyDescent="0.3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 x14ac:dyDescent="0.3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 x14ac:dyDescent="0.3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 x14ac:dyDescent="0.3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 x14ac:dyDescent="0.3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 x14ac:dyDescent="0.3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 x14ac:dyDescent="0.3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 x14ac:dyDescent="0.3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 x14ac:dyDescent="0.3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 x14ac:dyDescent="0.3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 x14ac:dyDescent="0.3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 x14ac:dyDescent="0.3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 x14ac:dyDescent="0.3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 x14ac:dyDescent="0.3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 x14ac:dyDescent="0.3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 x14ac:dyDescent="0.3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 x14ac:dyDescent="0.3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 x14ac:dyDescent="0.3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 x14ac:dyDescent="0.3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 x14ac:dyDescent="0.3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 x14ac:dyDescent="0.3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 x14ac:dyDescent="0.3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 x14ac:dyDescent="0.3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 x14ac:dyDescent="0.3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 x14ac:dyDescent="0.3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 x14ac:dyDescent="0.3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 x14ac:dyDescent="0.3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 x14ac:dyDescent="0.3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 x14ac:dyDescent="0.3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 x14ac:dyDescent="0.3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 x14ac:dyDescent="0.3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 x14ac:dyDescent="0.3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 x14ac:dyDescent="0.3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 x14ac:dyDescent="0.3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 x14ac:dyDescent="0.3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 x14ac:dyDescent="0.3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 x14ac:dyDescent="0.3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 x14ac:dyDescent="0.3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 x14ac:dyDescent="0.3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 x14ac:dyDescent="0.3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 x14ac:dyDescent="0.3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 x14ac:dyDescent="0.3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 x14ac:dyDescent="0.3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 x14ac:dyDescent="0.3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 x14ac:dyDescent="0.3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 x14ac:dyDescent="0.3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 x14ac:dyDescent="0.3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 x14ac:dyDescent="0.3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 x14ac:dyDescent="0.3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 x14ac:dyDescent="0.3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 x14ac:dyDescent="0.3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 x14ac:dyDescent="0.3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 x14ac:dyDescent="0.3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 x14ac:dyDescent="0.3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 x14ac:dyDescent="0.3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 x14ac:dyDescent="0.3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 x14ac:dyDescent="0.3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 x14ac:dyDescent="0.3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 x14ac:dyDescent="0.3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 x14ac:dyDescent="0.3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 x14ac:dyDescent="0.3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 x14ac:dyDescent="0.3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 x14ac:dyDescent="0.3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 x14ac:dyDescent="0.3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 x14ac:dyDescent="0.3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 x14ac:dyDescent="0.3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 x14ac:dyDescent="0.3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 x14ac:dyDescent="0.3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 x14ac:dyDescent="0.3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 x14ac:dyDescent="0.3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 x14ac:dyDescent="0.3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 x14ac:dyDescent="0.3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 x14ac:dyDescent="0.3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 x14ac:dyDescent="0.3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 x14ac:dyDescent="0.3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 x14ac:dyDescent="0.3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 x14ac:dyDescent="0.3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 x14ac:dyDescent="0.3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 x14ac:dyDescent="0.3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 x14ac:dyDescent="0.3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 x14ac:dyDescent="0.3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 x14ac:dyDescent="0.3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 x14ac:dyDescent="0.3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 x14ac:dyDescent="0.3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 x14ac:dyDescent="0.3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 x14ac:dyDescent="0.3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 x14ac:dyDescent="0.3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 x14ac:dyDescent="0.3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 x14ac:dyDescent="0.3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 x14ac:dyDescent="0.3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 x14ac:dyDescent="0.3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 x14ac:dyDescent="0.3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 x14ac:dyDescent="0.3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 x14ac:dyDescent="0.3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 x14ac:dyDescent="0.3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 x14ac:dyDescent="0.3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 x14ac:dyDescent="0.3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 x14ac:dyDescent="0.3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 x14ac:dyDescent="0.3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 x14ac:dyDescent="0.3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 x14ac:dyDescent="0.3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 x14ac:dyDescent="0.3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 x14ac:dyDescent="0.3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 x14ac:dyDescent="0.3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 x14ac:dyDescent="0.3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 x14ac:dyDescent="0.3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 x14ac:dyDescent="0.3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55" priority="10">
      <formula>AND($A3&lt;&gt;"",$G3="Did not pass re-test")</formula>
    </cfRule>
    <cfRule type="expression" dxfId="54" priority="11">
      <formula>AND($A3&lt;&gt;"",$G3="Yes")</formula>
    </cfRule>
    <cfRule type="expression" dxfId="53" priority="12">
      <formula>AND($A3&lt;&gt;"",$J3&lt;&gt;"")</formula>
    </cfRule>
    <cfRule type="expression" dxfId="52" priority="13">
      <formula>$A3&lt;&gt;""</formula>
    </cfRule>
  </conditionalFormatting>
  <conditionalFormatting sqref="C3:C200">
    <cfRule type="expression" dxfId="51" priority="14">
      <formula>$A3=""</formula>
    </cfRule>
  </conditionalFormatting>
  <conditionalFormatting sqref="G3:G200">
    <cfRule type="expression" dxfId="50" priority="15">
      <formula>$A3=""</formula>
    </cfRule>
  </conditionalFormatting>
  <conditionalFormatting sqref="M3:M500">
    <cfRule type="expression" dxfId="49" priority="4">
      <formula>ISNUMBER(SEARCH("Sent back again",$M3))</formula>
    </cfRule>
    <cfRule type="expression" dxfId="48" priority="5">
      <formula>ISNUMBER(SEARCH("LATE",$M3))</formula>
    </cfRule>
    <cfRule type="expression" dxfId="47" priority="6">
      <formula>ISNUMBER(SEARCH("UNCLAIMED",$M3))</formula>
    </cfRule>
    <cfRule type="expression" dxfId="46" priority="7">
      <formula>ISNUMBER(SEARCH("Missing",$M3))</formula>
    </cfRule>
    <cfRule type="expression" dxfId="45" priority="8">
      <formula>ISNUMBER(SEARCH("Fixed in",$M3))</formula>
    </cfRule>
    <cfRule type="expression" dxfId="44" priority="9">
      <formula>ISNUMBER(SEARCH("Open",$M3))</formula>
    </cfRule>
  </conditionalFormatting>
  <conditionalFormatting sqref="A5">
    <cfRule type="expression" dxfId="43" priority="3">
      <formula>AND($B5&lt;&gt;"",MOD(ROW(),2)=0)</formula>
    </cfRule>
  </conditionalFormatting>
  <conditionalFormatting sqref="A6">
    <cfRule type="expression" dxfId="42" priority="2">
      <formula>AND($B6&lt;&gt;"",MOD(ROW(),2)=0)</formula>
    </cfRule>
  </conditionalFormatting>
  <conditionalFormatting sqref="A7">
    <cfRule type="expression" dxfId="41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69" t="s">
        <v>223</v>
      </c>
      <c r="B1" s="61"/>
      <c r="C1" s="61"/>
      <c r="D1" s="61"/>
      <c r="E1" s="61"/>
      <c r="F1" s="61"/>
      <c r="G1" s="61"/>
      <c r="H1" s="61"/>
      <c r="I1" s="61"/>
      <c r="J1" s="61"/>
    </row>
    <row r="2" spans="1:10" ht="27" customHeight="1" x14ac:dyDescent="0.3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 x14ac:dyDescent="0.3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 x14ac:dyDescent="0.3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 x14ac:dyDescent="0.3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 x14ac:dyDescent="0.3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 x14ac:dyDescent="0.3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 x14ac:dyDescent="0.3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 x14ac:dyDescent="0.3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 x14ac:dyDescent="0.3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 x14ac:dyDescent="0.3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 x14ac:dyDescent="0.3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 x14ac:dyDescent="0.3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 x14ac:dyDescent="0.3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 x14ac:dyDescent="0.3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 x14ac:dyDescent="0.3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 x14ac:dyDescent="0.3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 x14ac:dyDescent="0.3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 x14ac:dyDescent="0.3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 x14ac:dyDescent="0.3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 x14ac:dyDescent="0.3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 x14ac:dyDescent="0.3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 x14ac:dyDescent="0.3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 x14ac:dyDescent="0.3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 x14ac:dyDescent="0.3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 x14ac:dyDescent="0.3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 x14ac:dyDescent="0.3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 x14ac:dyDescent="0.3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 x14ac:dyDescent="0.3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 x14ac:dyDescent="0.3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 x14ac:dyDescent="0.3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 x14ac:dyDescent="0.3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 x14ac:dyDescent="0.3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 x14ac:dyDescent="0.3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 x14ac:dyDescent="0.3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 x14ac:dyDescent="0.3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 x14ac:dyDescent="0.3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 x14ac:dyDescent="0.3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 x14ac:dyDescent="0.3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 x14ac:dyDescent="0.3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 x14ac:dyDescent="0.3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 x14ac:dyDescent="0.3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 x14ac:dyDescent="0.3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 x14ac:dyDescent="0.3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 x14ac:dyDescent="0.3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 x14ac:dyDescent="0.3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 x14ac:dyDescent="0.3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 x14ac:dyDescent="0.3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 x14ac:dyDescent="0.3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 x14ac:dyDescent="0.3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 x14ac:dyDescent="0.3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 x14ac:dyDescent="0.3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 x14ac:dyDescent="0.3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 x14ac:dyDescent="0.3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70" t="s">
        <v>232</v>
      </c>
      <c r="B1" s="61"/>
      <c r="C1" s="61"/>
    </row>
    <row r="2" spans="1:3" ht="14.25" customHeight="1" x14ac:dyDescent="0.3">
      <c r="A2" s="8" t="s">
        <v>0</v>
      </c>
      <c r="B2" s="8" t="s">
        <v>233</v>
      </c>
      <c r="C2" s="8" t="s">
        <v>228</v>
      </c>
    </row>
    <row r="3" spans="1:3" ht="14.25" customHeight="1" x14ac:dyDescent="0.3">
      <c r="A3" s="11" t="s">
        <v>34</v>
      </c>
      <c r="B3" s="11">
        <v>8</v>
      </c>
      <c r="C3" s="12">
        <v>46142</v>
      </c>
    </row>
    <row r="4" spans="1:3" ht="14.25" customHeight="1" x14ac:dyDescent="0.3">
      <c r="A4" s="11" t="s">
        <v>34</v>
      </c>
      <c r="B4" s="11">
        <v>10</v>
      </c>
      <c r="C4" s="12">
        <v>46172</v>
      </c>
    </row>
    <row r="5" spans="1:3" ht="14.25" customHeight="1" x14ac:dyDescent="0.3">
      <c r="A5" s="11" t="s">
        <v>34</v>
      </c>
      <c r="B5" s="11">
        <v>9</v>
      </c>
      <c r="C5" s="12">
        <v>46203</v>
      </c>
    </row>
    <row r="6" spans="1:3" ht="14.25" customHeight="1" x14ac:dyDescent="0.3">
      <c r="A6" s="11" t="s">
        <v>112</v>
      </c>
      <c r="B6" s="11">
        <v>15</v>
      </c>
      <c r="C6" s="12">
        <v>46233</v>
      </c>
    </row>
    <row r="7" spans="1:3" ht="14.25" customHeight="1" x14ac:dyDescent="0.3">
      <c r="A7" s="11" t="s">
        <v>112</v>
      </c>
      <c r="B7" s="11">
        <v>15</v>
      </c>
      <c r="C7" s="12">
        <v>46264</v>
      </c>
    </row>
    <row r="8" spans="1:3" ht="14.25" customHeight="1" x14ac:dyDescent="0.3">
      <c r="A8" s="11" t="s">
        <v>112</v>
      </c>
      <c r="B8" s="11">
        <v>17</v>
      </c>
      <c r="C8" s="12">
        <v>46295</v>
      </c>
    </row>
    <row r="9" spans="1:3" ht="14.25" customHeight="1" x14ac:dyDescent="0.3">
      <c r="A9" s="11" t="s">
        <v>112</v>
      </c>
      <c r="B9" s="11">
        <v>20</v>
      </c>
      <c r="C9" s="12">
        <v>46325</v>
      </c>
    </row>
    <row r="10" spans="1:3" ht="14.25" customHeight="1" x14ac:dyDescent="0.3">
      <c r="A10" s="11" t="s">
        <v>112</v>
      </c>
      <c r="B10" s="11">
        <v>20</v>
      </c>
      <c r="C10" s="12">
        <v>46356</v>
      </c>
    </row>
    <row r="11" spans="1:3" ht="14.25" customHeight="1" x14ac:dyDescent="0.3">
      <c r="A11" s="11" t="s">
        <v>234</v>
      </c>
      <c r="B11" s="11">
        <v>18</v>
      </c>
      <c r="C11" s="12">
        <v>46386</v>
      </c>
    </row>
    <row r="12" spans="1:3" ht="14.25" customHeight="1" x14ac:dyDescent="0.3">
      <c r="A12" s="11" t="s">
        <v>234</v>
      </c>
      <c r="B12" s="11">
        <v>18</v>
      </c>
      <c r="C12" s="12">
        <v>46417</v>
      </c>
    </row>
    <row r="13" spans="1:3" ht="14.25" customHeight="1" x14ac:dyDescent="0.3">
      <c r="A13" s="11" t="s">
        <v>234</v>
      </c>
      <c r="B13" s="11">
        <v>19</v>
      </c>
      <c r="C13" s="12">
        <v>46446</v>
      </c>
    </row>
    <row r="14" spans="1:3" ht="14.25" customHeight="1" x14ac:dyDescent="0.3">
      <c r="A14" s="11" t="s">
        <v>235</v>
      </c>
      <c r="B14" s="11">
        <v>9</v>
      </c>
      <c r="C14" s="12">
        <v>46476</v>
      </c>
    </row>
    <row r="15" spans="1:3" ht="14.25" customHeight="1" x14ac:dyDescent="0.3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 x14ac:dyDescent="0.3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 x14ac:dyDescent="0.3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 x14ac:dyDescent="0.3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 x14ac:dyDescent="0.3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 x14ac:dyDescent="0.3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 x14ac:dyDescent="0.3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 x14ac:dyDescent="0.3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 x14ac:dyDescent="0.3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 x14ac:dyDescent="0.3">
      <c r="B10" t="s">
        <v>140</v>
      </c>
      <c r="G10" t="s">
        <v>140</v>
      </c>
      <c r="M10" t="s">
        <v>39</v>
      </c>
      <c r="N10" s="45" t="s">
        <v>255</v>
      </c>
    </row>
    <row r="11" spans="1:14" x14ac:dyDescent="0.3">
      <c r="G11" t="s">
        <v>52</v>
      </c>
      <c r="M11" t="s">
        <v>67</v>
      </c>
      <c r="N11" s="45" t="s">
        <v>255</v>
      </c>
    </row>
    <row r="12" spans="1:14" x14ac:dyDescent="0.3">
      <c r="G12" t="s">
        <v>38</v>
      </c>
      <c r="M12" t="s">
        <v>38</v>
      </c>
      <c r="N12" s="45" t="s">
        <v>255</v>
      </c>
    </row>
    <row r="13" spans="1:14" x14ac:dyDescent="0.3">
      <c r="G13" t="s">
        <v>68</v>
      </c>
      <c r="M13" t="s">
        <v>68</v>
      </c>
      <c r="N13" s="45" t="s">
        <v>255</v>
      </c>
    </row>
    <row r="14" spans="1:14" x14ac:dyDescent="0.3">
      <c r="M14" t="s">
        <v>76</v>
      </c>
      <c r="N14" s="45" t="s">
        <v>260</v>
      </c>
    </row>
    <row r="15" spans="1:14" x14ac:dyDescent="0.3">
      <c r="M15" t="s">
        <v>51</v>
      </c>
      <c r="N15" s="45" t="s">
        <v>255</v>
      </c>
    </row>
    <row r="16" spans="1:14" x14ac:dyDescent="0.3">
      <c r="M16" t="s">
        <v>105</v>
      </c>
      <c r="N16" s="45" t="s">
        <v>255</v>
      </c>
    </row>
    <row r="17" spans="13:14" x14ac:dyDescent="0.3">
      <c r="M17" t="s">
        <v>57</v>
      </c>
      <c r="N17" s="45" t="s">
        <v>255</v>
      </c>
    </row>
    <row r="18" spans="13:14" x14ac:dyDescent="0.3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AD54C7CB-11A4-40CF-B95E-1D5833A38355}">
  <ds:schemaRefs>
    <ds:schemaRef ds:uri="http://schemas.openxmlformats.org/package/2006/metadata/core-properties"/>
    <ds:schemaRef ds:uri="6d32ee4e-79d4-4fe0-ad34-1cbae873c51e"/>
    <ds:schemaRef ds:uri="http://schemas.microsoft.com/office/2006/documentManagement/types"/>
    <ds:schemaRef ds:uri="5b9cbbf0-fbbf-4687-be4c-62cb1159071c"/>
    <ds:schemaRef ds:uri="cadce026-d35b-4a62-a2ee-1436bb44fb55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www.w3.org/XML/1998/namespace"/>
    <ds:schemaRef ds:uri="http://purl.org/dc/terms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2026-08-10T12:32:20Z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