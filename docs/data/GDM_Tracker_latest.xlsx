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63" documentId="13_ncr:1_{52745E9B-3AA1-4770-AAD3-E6166BFC13AE}" xr6:coauthVersionLast="47" xr6:coauthVersionMax="47" xr10:uidLastSave="{427A5E25-B003-44D3-99BC-3BBCF1E54B8A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AG55" i="2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<sst xmlns="http://schemas.openxmlformats.org/spreadsheetml/2006/main" count="2198" uniqueCount="261">
  <si>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</si>
  <si>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</si>
  <si>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</si>
  <si>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</si>
  <si>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</si>
  <si>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</si>
  <si>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</si>
  <si>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</si>
  <si>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</si>
  <si>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</si>
  <si>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</si>
  <si>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</si>
  <si>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</si>
  <si>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</si>
  <si>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</si>
  <si>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</si>
  <si>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</si>
  <si>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</si>
  <si>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</si>
  <si>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</si>
  <si>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</si>
  <si>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</si>
  <si>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</si>
  <si>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</si>
  <si>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</si>
  <si>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</si>
  <si>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</si>
  <si>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</si>
  <si>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</si>
  <si>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</si>
  <si>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</si>
  <si>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</si>
  <si>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</si>
  <si>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</si>
  <si>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</si>
  <si>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</si>
  <si>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</si>
  <si>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</si>
  <si>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</si>
  <si>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</si>
  <si>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</si>
  <si>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</si>
  <si>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</si>
  <si>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</si>
  <si>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</si>
  <si>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</si>
  <si>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</si>
  <si>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</si>
  <si>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</si>
  <si>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</si>
  <si>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</si>
  <si>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</si>
  <si>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</si>
  <si>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</si>
  <si>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</si>
  <si>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</si>
  <si>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</si>
  <si>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</si>
  <si>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</si>
  <si>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</si>
  <si>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</si>
  <si>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</si>
  <si>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</si>
  <si>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</si>
  <si>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</si>
  <si>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</si>
  <si>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</si>
  <si>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</si>
  <si>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</si>
  <si>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</si>
  <si>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</si>
  <si>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</si>
  <si>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</si>
  <si>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</si>
  <si>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</si>
  <si>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</si>
  <si>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</si>
  <si>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</si>
  <si>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</si>
  <si>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</si>
  <si>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</si>
  <si>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</si>
  <si>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</si>
  <si>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</si>
  <si>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</si>
  <si>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</si>
  <si>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</si>
  <si>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</si>
  <si>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</si>
  <si>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</si>
  <si>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</si>
  <si>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</si>
  <si>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</si>
  <si>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</si>
  <si>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</si>
  <si>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</si>
  <si>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</si>
  <si>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</si>
  <si>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</si>
  <si>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</si>
  <si>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</si>
  <si>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</si>
  <si>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</si>
  <si>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</si>
  <si>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</si>
  <si>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</si>
  <si>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</si>
  <si>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</si>
  <si>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</si>
  <si>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</si>
  <si>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</si>
  <si>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</si>
  <si>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</si>
  <si>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</si>
  <si>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</si>
  <si>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</si>
  <si>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</si>
  <si>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</si>
  <si>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</si>
  <si>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</si>
  <si>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</si>
  <si>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</si>
  <si>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</si>
  <si>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</si>
  <si>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</si>
  <si>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</si>
  <si>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</si>
  <si>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</si>
  <si>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Yes – other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</si>
  <si>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</si>
  <si>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</si>
  <si>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</si>
  <si>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</si>
  <si>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Available for PBI with one know issue will be presenting to business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</si>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</sst>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C43" activePane="bottomRight" state="frozen"/>
      <selection pane="bottomRight" activeCell="C51" sqref="C51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61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46245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5" t="s">
        <v>69</v>
      </c>
      <c r="P30" s="4">
        <v>46220</v>
      </c>
      <c r="Q30" s="36">
        <v>46245</v>
      </c>
      <c r="R30" s="36">
        <v>46246</v>
      </c>
      <c r="S30" s="69"/>
      <c r="T30" s="55" t="s">
        <v>115</v>
      </c>
      <c r="U30" s="4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122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123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122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123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other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128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5" t="s">
        <v>52</v>
      </c>
      <c r="P34" s="4">
        <v>46220</v>
      </c>
      <c r="Q34" s="36">
        <v>46247</v>
      </c>
      <c r="R34" s="36"/>
      <c r="S34" s="69"/>
      <c r="T34" s="55" t="s">
        <v>132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122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132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>
        <v>46247</v>
      </c>
      <c r="S35" s="69"/>
      <c r="T35" s="55" t="s">
        <v>132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123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5" t="s">
        <v>69</v>
      </c>
      <c r="P36" s="4">
        <v>46220</v>
      </c>
      <c r="Q36" s="36">
        <v>46246</v>
      </c>
      <c r="R36" s="36">
        <v>46246</v>
      </c>
      <c r="S36" s="69"/>
      <c r="T36" s="55" t="s">
        <v>132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131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132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131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140</v>
      </c>
      <c r="F38" s="34" t="s">
        <v>132</v>
      </c>
      <c r="G38" s="33"/>
      <c r="H38" s="50">
        <v>46234</v>
      </c>
      <c r="I38" s="60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5" t="s">
        <v>52</v>
      </c>
      <c r="P38" s="4">
        <v>46220</v>
      </c>
      <c r="Q38" s="36">
        <v>46247</v>
      </c>
      <c r="R38" s="36"/>
      <c r="S38" s="69"/>
      <c r="T38" s="55" t="s">
        <v>132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142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/>
      <c r="H39" s="50">
        <v>46234</v>
      </c>
      <c r="I39" s="60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5" t="s">
        <v>69</v>
      </c>
      <c r="P39" s="4">
        <v>46220</v>
      </c>
      <c r="Q39" s="36">
        <v>46247</v>
      </c>
      <c r="R39" s="36">
        <v>46246</v>
      </c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122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123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122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123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131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122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0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122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0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157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131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0" t="s">
        <v>151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159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131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0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159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122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Overdue</v>
      </c>
      <c r="E49" s="33">
        <v>23</v>
      </c>
      <c r="F49" s="34"/>
      <c r="G49" s="33"/>
      <c r="H49" s="50">
        <v>46265</v>
      </c>
      <c r="I49" s="60" t="s">
        <v>151</v>
      </c>
      <c r="J49" s="33" t="s">
        <v>141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114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114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151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159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131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0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159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122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0" t="s">
        <v>151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151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167</v>
      </c>
      <c r="C55" s="33" t="s">
        <v>154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168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169</v>
      </c>
      <c r="C56" s="33" t="s">
        <v>154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168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170</v>
      </c>
      <c r="C57" s="33" t="s">
        <v>154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168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171</v>
      </c>
      <c r="C58" s="33" t="s">
        <v>154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168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172</v>
      </c>
      <c r="C59" s="33" t="s">
        <v>154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174</v>
      </c>
      <c r="C60" s="33" t="s">
        <v>154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168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175</v>
      </c>
      <c r="C61" s="33" t="s">
        <v>154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176</v>
      </c>
      <c r="C62" s="33" t="s">
        <v>154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168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177</v>
      </c>
      <c r="C63" s="33" t="s">
        <v>154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168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178</v>
      </c>
      <c r="C64" s="33" t="s">
        <v>154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168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179</v>
      </c>
      <c r="C65" s="33" t="s">
        <v>154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168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180</v>
      </c>
      <c r="C66" s="33" t="s">
        <v>154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168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181</v>
      </c>
      <c r="C67" s="33" t="s">
        <v>154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168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182</v>
      </c>
      <c r="C68" s="33" t="s">
        <v>154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168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183</v>
      </c>
      <c r="C69" s="33" t="s">
        <v>154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168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184</v>
      </c>
      <c r="C70" s="33" t="s">
        <v>154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168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185</v>
      </c>
      <c r="C71" s="33" t="s">
        <v>154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168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186</v>
      </c>
      <c r="C72" s="33" t="s">
        <v>154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168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190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191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192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193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194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195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196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197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198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199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200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M4" sqref="M4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201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202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 ht="15">
      <c r="A3" s="33" t="s">
        <v>130</v>
      </c>
      <c r="B3" s="36">
        <v>46230</v>
      </c>
      <c r="C3" s="33" t="s">
        <v>114</v>
      </c>
      <c r="D3" s="33" t="s">
        <v>122</v>
      </c>
      <c r="E3" s="33" t="s">
        <v>132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17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139</v>
      </c>
      <c r="B4" s="32">
        <v>46237</v>
      </c>
      <c r="C4" s="31" t="s">
        <v>114</v>
      </c>
      <c r="D4" s="31" t="s">
        <v>122</v>
      </c>
      <c r="E4" s="31" t="s">
        <v>132</v>
      </c>
      <c r="F4" s="31" t="s">
        <v>217</v>
      </c>
      <c r="G4" s="31" t="s">
        <v>45</v>
      </c>
      <c r="H4" s="32"/>
      <c r="I4" s="32"/>
      <c r="J4" s="32">
        <v>46247</v>
      </c>
      <c r="K4" s="31"/>
      <c r="L4" s="31"/>
      <c r="M4" s="3" t="str">
        <f t="shared" ca="1" si="0"/>
        <v>Fixed in 10 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114</v>
      </c>
      <c r="D5" s="31" t="s">
        <v>122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9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127</v>
      </c>
      <c r="B6" s="32">
        <v>46234</v>
      </c>
      <c r="C6" s="31" t="s">
        <v>114</v>
      </c>
      <c r="D6" s="31" t="s">
        <v>122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13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119</v>
      </c>
      <c r="B7" s="32">
        <v>46239</v>
      </c>
      <c r="C7" s="31" t="s">
        <v>114</v>
      </c>
      <c r="D7" s="31" t="s">
        <v>122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8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222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122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131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122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131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122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131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122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131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122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131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122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131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122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131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122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131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122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131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122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131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122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131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122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131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122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131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122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131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122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131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122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131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122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131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122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131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122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131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122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131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122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131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122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131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122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131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122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131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122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131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122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131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122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131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122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131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122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131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122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131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122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131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122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131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122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131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122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122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122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131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122</v>
      </c>
      <c r="C161" s="3" t="s">
        <v>137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131</v>
      </c>
      <c r="C162" s="3" t="s">
        <v>137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137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122</v>
      </c>
      <c r="C164" s="3" t="s">
        <v>139</v>
      </c>
      <c r="D164" s="3" t="s">
        <v>141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131</v>
      </c>
      <c r="C165" s="3" t="s">
        <v>139</v>
      </c>
      <c r="D165" s="3" t="s">
        <v>141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139</v>
      </c>
      <c r="D166" s="3" t="s">
        <v>141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122</v>
      </c>
      <c r="C167" s="3" t="s">
        <v>142</v>
      </c>
      <c r="D167" s="3" t="s">
        <v>141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131</v>
      </c>
      <c r="C168" s="3" t="s">
        <v>142</v>
      </c>
      <c r="D168" s="3" t="s">
        <v>141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142</v>
      </c>
      <c r="D169" s="3" t="s">
        <v>141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122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131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122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131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122</v>
      </c>
      <c r="C176" s="3" t="s">
        <v>147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131</v>
      </c>
      <c r="C177" s="3" t="s">
        <v>147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122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131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122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131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231</v>
      </c>
      <c r="B1" s="77"/>
      <c r="C1" s="77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208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132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154</v>
      </c>
      <c r="G3" t="s">
        <v>38</v>
      </c>
      <c r="H3" t="s">
        <v>40</v>
      </c>
      <c r="I3" t="s">
        <v>45</v>
      </c>
      <c r="J3" t="s">
        <v>122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122</v>
      </c>
      <c r="G4" t="s">
        <v>51</v>
      </c>
      <c r="H4" t="s">
        <v>80</v>
      </c>
      <c r="I4" t="s">
        <v>128</v>
      </c>
      <c r="J4" t="s">
        <v>131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131</v>
      </c>
      <c r="G5" t="s">
        <v>57</v>
      </c>
      <c r="H5" t="s">
        <v>115</v>
      </c>
      <c r="I5" t="s">
        <v>123</v>
      </c>
      <c r="J5" t="s">
        <v>114</v>
      </c>
      <c r="L5" t="s">
        <v>255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114</v>
      </c>
      <c r="G6" t="s">
        <v>76</v>
      </c>
      <c r="H6" t="s">
        <v>132</v>
      </c>
      <c r="I6" t="s">
        <v>256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257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258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259</v>
      </c>
      <c r="M9" t="s">
        <v>141</v>
      </c>
      <c r="N9" s="45" t="s">
        <v>254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2026-08-13T12:13:37Z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