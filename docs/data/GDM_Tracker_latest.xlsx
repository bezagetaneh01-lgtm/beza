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319" documentId="13_ncr:1_{52745E9B-3AA1-4770-AAD3-E6166BFC13AE}" xr6:coauthVersionLast="47" xr6:coauthVersionMax="47" xr10:uidLastSave="{4A780A4C-9425-4AF8-813F-A629DE6CC0BB}"/>
  <bookViews>
    <workbookView xWindow="-110" yWindow="-110" windowWidth="19420" windowHeight="10300" tabRatio="500" firstSheet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3" l="1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12" i="4"/>
  <c r="M4" i="4"/>
  <c r="M5" i="4"/>
  <c r="M6" i="4"/>
  <c r="M7" i="4"/>
  <c r="M8" i="4"/>
  <c r="M9" i="4"/>
  <c r="M10" i="4"/>
  <c r="M11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29" i="3"/>
  <c r="B28" i="3"/>
  <c r="B27" i="3"/>
  <c r="B2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<sst xmlns="http://schemas.openxmlformats.org/spreadsheetml/2006/main" count="2519" uniqueCount="328">
  <si>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</si>
  <si>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</si>
  <si>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</si>
  <si>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</si>
  <si>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</si>
  <si>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</si>
  <si>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</si>
  <si>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</si>
  <si>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</si>
  <si>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</si>
  <si>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</si>
  <si>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</si>
  <si>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</si>
  <si>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</si>
  <si>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</si>
  <si>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</si>
  <si>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</si>
  <si>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</si>
  <si>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</si>
  <si>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</si>
  <si>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</si>
  <si>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</si>
  <si>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</si>
  <si>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</si>
  <si>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</si>
  <si>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</si>
  <si>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</si>
  <si>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</si>
  <si>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</si>
  <si>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</si>
  <si>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</si>
  <si>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</si>
  <si>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</si>
  <si>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</si>
  <si>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</si>
  <si>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</si>
  <si>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</si>
  <si>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</si>
  <si>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</si>
  <si>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</si>
  <si>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</si>
  <si>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</si>
  <si>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</si>
  <si>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</si>
  <si>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</si>
  <si>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</si>
  <si>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</si>
  <si>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</si>
  <si>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</si>
  <si>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</si>
  <si>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</si>
  <si>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</si>
  <si>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</si>
  <si>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</si>
  <si>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</si>
  <si>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</si>
  <si>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</si>
  <si>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</si>
  <si>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</si>
  <si>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</si>
  <si>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</si>
  <si>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</si>
  <si>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</si>
  <si>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</si>
  <si>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</si>
  <si>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</si>
  <si>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</si>
  <si>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</si>
  <si>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</si>
  <si>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</si>
  <si>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</si>
  <si>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</si>
  <si>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</si>
  <si>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</si>
  <si>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</si>
  <si>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</si>
  <si>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</si>
  <si>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</si>
  <si>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</si>
  <si>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</si>
  <si>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</si>
  <si>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</si>
  <si>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</si>
  <si>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</si>
  <si>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</si>
  <si>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</si>
  <si>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</si>
  <si>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</si>
  <si>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</si>
  <si>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</si>
  <si>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</si>
  <si>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</si>
  <si>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</si>
  <si>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</si>
  <si>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</si>
  <si>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</si>
  <si>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</si>
  <si>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</si>
  <si>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</si>
  <si>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</si>
  <si>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</si>
  <si>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</si>
  <si>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</si>
  <si>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</si>
  <si>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</si>
  <si>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</si>
  <si>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</si>
  <si>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</si>
  <si>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</si>
  <si>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</si>
  <si>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</si>
  <si>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</si>
  <si>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</si>
  <si>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</si>
  <si>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</si>
  <si>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</si>
  <si>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</si>
  <si>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</si>
  <si>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</si>
  <si>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</si>
  <si>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</si>
  <si>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</si>
  <si>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</si>
  <si>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</si>
  <si>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</si>
  <si>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</si>
  <si>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</si>
  <si>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</si>
  <si>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</si>
  <si>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</si>
  <si>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</si>
  <si>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</si>
  <si>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</si>
  <si>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</si>
  <si>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Yes – needs PBI Dev to fix</t>
  </si>
  <si>
    <t>Available for PBI</t>
  </si>
  <si>
    <t>RPT_02_Service Regulator Inspection Printout</t>
  </si>
  <si>
    <t>RPT_02_20 Year Regulator Inspection</t>
  </si>
  <si>
    <t>Added Customer Details to Mandated tab</t>
  </si>
  <si>
    <t>RPT_02_Fixed Factor</t>
  </si>
  <si>
    <t>10,12</t>
  </si>
  <si>
    <t>Nick</t>
  </si>
  <si>
    <t>Fixed the Avg Barometric pressure column values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</si>
  <si>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</si>
  <si>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</si>
  <si>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</si>
  <si>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</si>
  <si>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</si>
  <si>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</si>
  <si>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</si>
  <si>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</si>
  <si>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</si>
  <si>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RPT_02_Public Buildings Inspection</t>
  </si>
  <si>
    <t>16,17,24, 28</t>
  </si>
  <si>
    <t>August</t>
  </si>
  <si>
    <t>PI2, S2, S4</t>
  </si>
  <si>
    <t>Views need to be fixed</t>
  </si>
  <si>
    <t>RPT_02_Investigate Wall Check and Service Check</t>
  </si>
  <si>
    <t>DB Dev</t>
  </si>
  <si>
    <t>Sarath- waiting for QA view to deploy PBI report to QA for testing</t>
  </si>
  <si>
    <t>RPT_02_Cut Out Orders</t>
  </si>
  <si>
    <t>RPT_02_Gas Trouble</t>
  </si>
  <si>
    <t>PI2, S2, S3</t>
  </si>
  <si>
    <t>RPT_02_Wall Check Control</t>
  </si>
  <si>
    <t>PI2, S3, S4</t>
  </si>
  <si>
    <t>View Slowness observed, Nick to check on it.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</si>
  <si>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</si>
  <si>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</si>
  <si>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</si>
  <si>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</si>
  <si>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</si>
  <si>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</si>
  <si>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</si>
  <si>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RPT_02_Incentive Management</t>
  </si>
  <si>
    <t>RPT_02_UTC Report</t>
  </si>
  <si>
    <t>NOT STARTED</t>
  </si>
  <si>
    <t>September</t>
  </si>
  <si>
    <t>PI2, S5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</si>
  <si>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</si>
  <si>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</si>
  <si>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</si>
  <si>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</si>
  <si>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</si>
  <si>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</si>
  <si>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</si>
  <si>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</si>
  <si>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</si>
  <si>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</si>
  <si>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</si>
  <si>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</si>
  <si>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</si>
  <si>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Michael</t>
  </si>
  <si>
    <t>RPT_02_Collection Statistic</t>
  </si>
  <si>
    <t>RPT_02_First and Last Job</t>
  </si>
  <si>
    <t>RPT_02_Rate Class</t>
  </si>
  <si>
    <t>RPT_04_Leak Recheck Times</t>
  </si>
  <si>
    <t>RPT_02_Service Resource Activity</t>
  </si>
  <si>
    <t>October</t>
  </si>
  <si>
    <t>RPT_02_Incomplete Service Appointments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</si>
  <si>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</si>
  <si>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</si>
  <si>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</si>
  <si>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</si>
  <si>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</si>
  <si>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</si>
  <si>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</si>
  <si>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RPT_02_Service Appointment Life Cycle</t>
  </si>
  <si>
    <t>RPT_02_PSC Inactive Account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</si>
  <si>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</si>
  <si>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</si>
  <si>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</si>
  <si>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</si>
  <si>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</si>
  <si>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RPT_02_Light Up Orders</t>
  </si>
  <si>
    <t>RPT_02_Meter To Billing Report</t>
  </si>
  <si>
    <t>RPT_02_Install Meter Orders</t>
  </si>
  <si>
    <t>RPT_02_Non Emergency Orders</t>
  </si>
  <si>
    <t>RPT_02_Carbon Monoxide</t>
  </si>
  <si>
    <t>RPT_02_All Jobs</t>
  </si>
  <si>
    <t>RPT_02_BCP Service Appointment WOs</t>
  </si>
  <si>
    <t>RPT_02_Meter Order Tracking</t>
  </si>
  <si>
    <t>RPT_02_Tech Availability, Utilization &amp; Absence</t>
  </si>
  <si>
    <t>RPT_02_Job Productivity</t>
  </si>
  <si>
    <t>RPT_02_Post Capacity Service Appointments</t>
  </si>
  <si>
    <t>RPT_02_Check Estimate</t>
  </si>
  <si>
    <t>RPT_02_Service Appointments (5 sub reports)</t>
  </si>
  <si>
    <t>75,76,77,78,79</t>
  </si>
  <si>
    <t>RPT_02_Job Unit Count</t>
  </si>
  <si>
    <t>Assets and Engineering</t>
  </si>
  <si>
    <t>RPT_05_Department of Transportation</t>
  </si>
  <si>
    <t>December</t>
  </si>
  <si>
    <t>RPT_05_ Inside Meter Relocation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</si>
  <si>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</si>
  <si>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</si>
  <si>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</si>
  <si>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</si>
  <si>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</si>
  <si>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</si>
  <si>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</si>
  <si>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RPT_06_ERT List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</si>
  <si>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</si>
  <si>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</si>
  <si>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</si>
  <si>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</si>
  <si>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</si>
  <si>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RPT_06_Random Meter Sampling Testing Results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</si>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</sst>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9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13" fillId="0" borderId="0" xfId="0" applyFont="1" applyAlignment="1">
      <alignment vertical="center" wrapText="1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9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115" dataDxfId="49">
  <autoFilter ref="A1:AH115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8"/>
    <tableColumn id="2" xr3:uid="{00000000-0010-0000-0000-000002000000}" name="Report Name" dataDxfId="47"/>
    <tableColumn id="3" xr3:uid="{00000000-0010-0000-0000-000003000000}" name="Current Status" dataDxfId="46"/>
    <tableColumn id="4" xr3:uid="{00000000-0010-0000-0000-000004000000}" name="Status Flag" dataDxfId="45"/>
    <tableColumn id="5" xr3:uid="{00000000-0010-0000-0000-000005000000}" name="Business Value Rank" dataDxfId="44"/>
    <tableColumn id="6" xr3:uid="{00000000-0010-0000-0000-000006000000}" name="PO" dataDxfId="43"/>
    <tableColumn id="10" xr3:uid="{00000000-0010-0000-0000-00000A000000}" name="Schema" dataDxfId="42"/>
    <tableColumn id="11" xr3:uid="{00000000-0010-0000-0000-00000B000000}" name="Plan Delivery Date" dataDxfId="41"/>
    <tableColumn id="12" xr3:uid="{00000000-0010-0000-0000-00000C000000}" name="Plan Delivery Month" dataDxfId="40"/>
    <tableColumn id="7" xr3:uid="{00000000-0010-0000-0000-000007000000}" name="DB Developer" dataDxfId="39"/>
    <tableColumn id="13" xr3:uid="{00000000-0010-0000-0000-00000D000000}" name="DB Dev Baseline Completion Date" dataDxfId="38"/>
    <tableColumn id="30" xr3:uid="{00000000-0010-0000-0000-00001E000000}" name="DB Dev Reforecast Completion Date" dataDxfId="37"/>
    <tableColumn id="14" xr3:uid="{00000000-0010-0000-0000-00000E000000}" name="DB Dev Actual Completion Date" dataDxfId="36"/>
    <tableColumn id="28" xr3:uid="{EFCDFAEE-1B00-42CE-9649-7541F5DDC136}" name="Sprint DB" dataDxfId="35"/>
    <tableColumn id="8" xr3:uid="{00000000-0010-0000-0000-000008000000}" name="PBI Developer" dataDxfId="34"/>
    <tableColumn id="15" xr3:uid="{00000000-0010-0000-0000-00000F000000}" name="PBI Dev Baseline Completion Date" dataDxfId="33"/>
    <tableColumn id="31" xr3:uid="{00000000-0010-0000-0000-00001F000000}" name="PBI Dev Reforecast Completion Date" dataDxfId="32"/>
    <tableColumn id="16" xr3:uid="{00000000-0010-0000-0000-000010000000}" name="PBI Dev Actual Completion Date" dataDxfId="31"/>
    <tableColumn id="29" xr3:uid="{4630D178-9B47-4360-A40B-22C7384DB9C9}" name="Sprint PBI" dataDxfId="30"/>
    <tableColumn id="9" xr3:uid="{00000000-0010-0000-0000-000009000000}" name="QA Tester" dataDxfId="29"/>
    <tableColumn id="17" xr3:uid="{00000000-0010-0000-0000-000011000000}" name="QA Baseline Completion Date" dataDxfId="28"/>
    <tableColumn id="32" xr3:uid="{00000000-0010-0000-0000-000020000000}" name="QA Reforecast Completion Date" dataDxfId="27"/>
    <tableColumn id="18" xr3:uid="{00000000-0010-0000-0000-000012000000}" name="QA Actual Completion Date" dataDxfId="26"/>
    <tableColumn id="34" xr3:uid="{70C5E8CB-08B0-4A84-9B68-89630FC3C5C7}" name="Sprint QA" dataDxfId="25"/>
    <tableColumn id="19" xr3:uid="{00000000-0010-0000-0000-000013000000}" name="DPO Approval Baseline Completion Date" dataDxfId="24"/>
    <tableColumn id="33" xr3:uid="{00000000-0010-0000-0000-000021000000}" name="DPO Approval Reforecast Completion Date" dataDxfId="23"/>
    <tableColumn id="20" xr3:uid="{00000000-0010-0000-0000-000014000000}" name="DPO Approval Reviewer" dataDxfId="22"/>
    <tableColumn id="21" xr3:uid="{00000000-0010-0000-0000-000015000000}" name="Confirmed Deployed?" dataDxfId="21"/>
    <tableColumn id="22" xr3:uid="{00000000-0010-0000-0000-000016000000}" name="Confirmed Deployed Date" dataDxfId="20"/>
    <tableColumn id="23" xr3:uid="{00000000-0010-0000-0000-000017000000}" name="UAT Report URL" dataDxfId="19"/>
    <tableColumn id="24" xr3:uid="{00000000-0010-0000-0000-000018000000}" name="Production URL" dataDxfId="18"/>
    <tableColumn id="25" xr3:uid="{00000000-0010-0000-0000-000019000000}" name="Blocked?" dataDxfId="17"/>
    <tableColumn id="26" xr3:uid="{00000000-0010-0000-0000-00001A000000}" name="Data Check" dataDxfId="16"/>
    <tableColumn id="27" xr3:uid="{00000000-0010-0000-0000-00001B000000}" name="Comments" dataDxfId="15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526"/>
  <sheetViews>
    <sheetView tabSelected="1" zoomScale="80" zoomScaleNormal="80" workbookViewId="0">
      <pane xSplit="2" topLeftCell="N41" activePane="topRight" state="frozen"/>
      <selection pane="topRight" activeCell="Q52" sqref="Q52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9.2851562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8515625" customWidth="1"/>
    <col min="34" max="34" width="25.8554687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75">
        <v>46245</v>
      </c>
      <c r="S29" s="70"/>
      <c r="T29" s="55" t="s">
        <v>115</v>
      </c>
      <c r="U29" s="60">
        <v>46227</v>
      </c>
      <c r="V29" s="36">
        <v>46252</v>
      </c>
      <c r="W29" s="36">
        <v>46252</v>
      </c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114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>
        <v>46254</v>
      </c>
      <c r="W30" s="36">
        <v>46255</v>
      </c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120</v>
      </c>
    </row>
    <row r="31" spans="1:34" ht="14.45">
      <c r="A31" s="33" t="s">
        <v>112</v>
      </c>
      <c r="B31" s="33" t="s">
        <v>121</v>
      </c>
      <c r="C31" s="33" t="s">
        <v>114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46251</v>
      </c>
      <c r="S31" s="70"/>
      <c r="T31" s="55" t="s">
        <v>115</v>
      </c>
      <c r="U31" s="60">
        <v>46227</v>
      </c>
      <c r="V31" s="36">
        <v>46253</v>
      </c>
      <c r="W31" s="36">
        <v>46258</v>
      </c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122</v>
      </c>
    </row>
    <row r="32" spans="1:34" ht="14.45">
      <c r="A32" s="33" t="s">
        <v>112</v>
      </c>
      <c r="B32" s="33" t="s">
        <v>123</v>
      </c>
      <c r="C32" s="33" t="s">
        <v>124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 - unclaimed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>
        <v>46248</v>
      </c>
      <c r="N32" s="36" t="s">
        <v>117</v>
      </c>
      <c r="O32" s="66" t="s">
        <v>39</v>
      </c>
      <c r="P32" s="4">
        <v>46220</v>
      </c>
      <c r="Q32" s="36">
        <v>46251</v>
      </c>
      <c r="R32" s="36">
        <v>46253</v>
      </c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125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126</v>
      </c>
    </row>
    <row r="33" spans="1:34" ht="14.45">
      <c r="A33" s="33" t="s">
        <v>112</v>
      </c>
      <c r="B33" s="33" t="s">
        <v>127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46244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46254</v>
      </c>
      <c r="W33" s="36">
        <v>46254</v>
      </c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74"/>
      <c r="AH33" s="41" t="s">
        <v>128</v>
      </c>
    </row>
    <row r="34" spans="1:34" ht="14.45">
      <c r="A34" s="33" t="s">
        <v>112</v>
      </c>
      <c r="B34" s="33" t="s">
        <v>129</v>
      </c>
      <c r="C34" s="33" t="s">
        <v>124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On track</v>
      </c>
      <c r="E34" s="33">
        <v>6</v>
      </c>
      <c r="F34" s="34" t="s">
        <v>130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>
        <v>46251</v>
      </c>
      <c r="S34" s="70"/>
      <c r="T34" s="55" t="s">
        <v>130</v>
      </c>
      <c r="U34" s="60">
        <v>46227</v>
      </c>
      <c r="V34" s="36">
        <v>46255</v>
      </c>
      <c r="W34" s="36">
        <v>46255</v>
      </c>
      <c r="X34" s="36"/>
      <c r="Y34" s="53">
        <v>46232</v>
      </c>
      <c r="Z34" s="36">
        <v>46259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131</v>
      </c>
    </row>
    <row r="35" spans="1:34" ht="14.45">
      <c r="A35" s="33" t="s">
        <v>112</v>
      </c>
      <c r="B35" s="33" t="s">
        <v>132</v>
      </c>
      <c r="C35" s="33" t="s">
        <v>133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PBI Dev to fix - unclaimed</v>
      </c>
      <c r="E35" s="33">
        <v>7</v>
      </c>
      <c r="F35" s="34" t="s">
        <v>130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46251</v>
      </c>
      <c r="R35" s="36">
        <v>46251</v>
      </c>
      <c r="S35" s="70"/>
      <c r="T35" s="55" t="s">
        <v>130</v>
      </c>
      <c r="U35" s="60">
        <v>46227</v>
      </c>
      <c r="V35" s="36">
        <v>46258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134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135</v>
      </c>
    </row>
    <row r="36" spans="1:34" ht="14.45">
      <c r="A36" s="33" t="s">
        <v>112</v>
      </c>
      <c r="B36" s="33" t="s">
        <v>136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Blocked - needs DB Dev to fix - unclaimed</v>
      </c>
      <c r="E36" s="33">
        <v>8</v>
      </c>
      <c r="F36" s="34" t="s">
        <v>130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130</v>
      </c>
      <c r="U36" s="60">
        <v>46227</v>
      </c>
      <c r="V36" s="36"/>
      <c r="W36" s="36"/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125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120</v>
      </c>
    </row>
    <row r="37" spans="1:34" ht="14.45">
      <c r="A37" s="33" t="s">
        <v>112</v>
      </c>
      <c r="B37" s="33" t="s">
        <v>137</v>
      </c>
      <c r="C37" s="33" t="s">
        <v>124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On track</v>
      </c>
      <c r="E37" s="33">
        <v>9</v>
      </c>
      <c r="F37" s="34" t="s">
        <v>130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46255</v>
      </c>
      <c r="R37" s="36">
        <v>46255</v>
      </c>
      <c r="S37" s="70"/>
      <c r="T37" s="55" t="s">
        <v>130</v>
      </c>
      <c r="U37" s="60">
        <v>46227</v>
      </c>
      <c r="V37" s="36">
        <v>46255</v>
      </c>
      <c r="W37" s="36">
        <v>46255</v>
      </c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138</v>
      </c>
    </row>
    <row r="38" spans="1:34" ht="14.45">
      <c r="A38" s="33" t="s">
        <v>112</v>
      </c>
      <c r="B38" s="33" t="s">
        <v>139</v>
      </c>
      <c r="C38" s="33" t="s">
        <v>124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On track</v>
      </c>
      <c r="E38" s="33" t="s">
        <v>140</v>
      </c>
      <c r="F38" s="34" t="s">
        <v>130</v>
      </c>
      <c r="G38" s="33"/>
      <c r="H38" s="50">
        <v>46234</v>
      </c>
      <c r="I38" s="62" t="s">
        <v>116</v>
      </c>
      <c r="J38" s="33" t="s">
        <v>141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46254</v>
      </c>
      <c r="R38" s="36">
        <v>46254</v>
      </c>
      <c r="S38" s="70"/>
      <c r="T38" s="55" t="s">
        <v>130</v>
      </c>
      <c r="U38" s="60">
        <v>46227</v>
      </c>
      <c r="V38" s="36">
        <v>46254</v>
      </c>
      <c r="W38" s="36">
        <v>46254</v>
      </c>
      <c r="X38" s="36"/>
      <c r="Y38" s="53">
        <v>46232</v>
      </c>
      <c r="Z38" s="36">
        <v>46259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 t="s">
        <v>142</v>
      </c>
    </row>
    <row r="39" spans="1:34" ht="14.45">
      <c r="A39" s="33" t="s">
        <v>112</v>
      </c>
      <c r="B39" s="33" t="s">
        <v>143</v>
      </c>
      <c r="C39" s="33" t="s">
        <v>124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Blocked - needs PBI Dev to fix - unclaimed</v>
      </c>
      <c r="E39" s="33">
        <v>11</v>
      </c>
      <c r="F39" s="34" t="s">
        <v>130</v>
      </c>
      <c r="G39" s="33"/>
      <c r="H39" s="50">
        <v>46234</v>
      </c>
      <c r="I39" s="62" t="s">
        <v>116</v>
      </c>
      <c r="J39" s="33" t="s">
        <v>141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46259</v>
      </c>
      <c r="AA39" s="33"/>
      <c r="AB39" s="38"/>
      <c r="AC39" s="36"/>
      <c r="AD39" s="39"/>
      <c r="AE39" s="33"/>
      <c r="AF39" s="40" t="s">
        <v>134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144</v>
      </c>
    </row>
    <row r="40" spans="1:34" ht="14.45">
      <c r="A40" s="33" t="s">
        <v>112</v>
      </c>
      <c r="B40" s="33" t="s">
        <v>145</v>
      </c>
      <c r="C40" s="33" t="s">
        <v>114</v>
      </c>
      <c r="D40" s="3" t="s">
        <v>146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46251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>
        <v>46255</v>
      </c>
      <c r="S40" s="70"/>
      <c r="T40" s="55" t="s">
        <v>40</v>
      </c>
      <c r="U40" s="60">
        <v>46227</v>
      </c>
      <c r="V40" s="36">
        <v>46254</v>
      </c>
      <c r="W40" s="36">
        <v>46258</v>
      </c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45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41" t="s">
        <v>147</v>
      </c>
    </row>
    <row r="41" spans="1:34" ht="14.45">
      <c r="A41" s="33" t="s">
        <v>112</v>
      </c>
      <c r="B41" s="33" t="s">
        <v>148</v>
      </c>
      <c r="C41" s="33" t="s">
        <v>114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>
        <v>46248</v>
      </c>
      <c r="N41" s="36" t="s">
        <v>117</v>
      </c>
      <c r="O41" s="66" t="s">
        <v>52</v>
      </c>
      <c r="P41" s="4">
        <v>46220</v>
      </c>
      <c r="Q41" s="36">
        <v>46251</v>
      </c>
      <c r="R41" s="36">
        <v>46251</v>
      </c>
      <c r="S41" s="70"/>
      <c r="T41" s="55" t="s">
        <v>40</v>
      </c>
      <c r="U41" s="60">
        <v>46227</v>
      </c>
      <c r="V41" s="36">
        <v>46258</v>
      </c>
      <c r="W41" s="36">
        <v>46258</v>
      </c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45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 t="s">
        <v>149</v>
      </c>
    </row>
    <row r="42" spans="1:34" ht="14.45">
      <c r="A42" s="33" t="s">
        <v>112</v>
      </c>
      <c r="B42" s="33" t="s">
        <v>150</v>
      </c>
      <c r="C42" s="33" t="s">
        <v>124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Blocked - needs DB Dev to fix</v>
      </c>
      <c r="E42" s="33">
        <v>15</v>
      </c>
      <c r="F42" s="34" t="s">
        <v>130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151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46255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125</v>
      </c>
      <c r="AG42" s="48"/>
      <c r="AH42" s="41"/>
    </row>
    <row r="43" spans="1:34" ht="14.45">
      <c r="A43" s="33" t="s">
        <v>112</v>
      </c>
      <c r="B43" s="33" t="s">
        <v>152</v>
      </c>
      <c r="C43" s="33" t="s">
        <v>133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Blocked - needs DB Dev to fix</v>
      </c>
      <c r="E43" s="33" t="s">
        <v>153</v>
      </c>
      <c r="F43" s="34" t="s">
        <v>130</v>
      </c>
      <c r="G43" s="33"/>
      <c r="H43" s="50">
        <v>46265</v>
      </c>
      <c r="I43" s="62" t="s">
        <v>154</v>
      </c>
      <c r="J43" s="33" t="s">
        <v>94</v>
      </c>
      <c r="K43" s="4">
        <v>46234</v>
      </c>
      <c r="L43" s="36">
        <v>46251</v>
      </c>
      <c r="M43" s="36">
        <v>46252</v>
      </c>
      <c r="N43" s="36" t="s">
        <v>155</v>
      </c>
      <c r="O43" s="66" t="s">
        <v>52</v>
      </c>
      <c r="P43" s="4">
        <v>46241</v>
      </c>
      <c r="Q43" s="36">
        <v>46259</v>
      </c>
      <c r="R43" s="36"/>
      <c r="S43" s="70"/>
      <c r="T43" s="55" t="s">
        <v>40</v>
      </c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125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>Blocked - log it on Rework Log</v>
      </c>
      <c r="AH43" s="41" t="s">
        <v>156</v>
      </c>
    </row>
    <row r="44" spans="1:34" ht="14.45">
      <c r="A44" s="33" t="s">
        <v>112</v>
      </c>
      <c r="B44" s="33" t="s">
        <v>157</v>
      </c>
      <c r="C44" s="33" t="s">
        <v>158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 t="s">
        <v>130</v>
      </c>
      <c r="G44" s="33"/>
      <c r="H44" s="50">
        <v>46265</v>
      </c>
      <c r="I44" s="62" t="s">
        <v>154</v>
      </c>
      <c r="J44" s="33" t="s">
        <v>51</v>
      </c>
      <c r="K44" s="4">
        <v>46234</v>
      </c>
      <c r="L44" s="36">
        <v>46255</v>
      </c>
      <c r="M44" s="36"/>
      <c r="N44" s="36" t="s">
        <v>155</v>
      </c>
      <c r="O44" s="66" t="s">
        <v>39</v>
      </c>
      <c r="P44" s="4">
        <v>46241</v>
      </c>
      <c r="Q44" s="36">
        <v>46258</v>
      </c>
      <c r="R44" s="36">
        <v>46258</v>
      </c>
      <c r="S44" s="70"/>
      <c r="T44" s="55" t="s">
        <v>130</v>
      </c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 t="s">
        <v>159</v>
      </c>
    </row>
    <row r="45" spans="1:34" ht="14.45">
      <c r="A45" s="33" t="s">
        <v>112</v>
      </c>
      <c r="B45" s="33" t="s">
        <v>160</v>
      </c>
      <c r="C45" s="33" t="s">
        <v>124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Overdue</v>
      </c>
      <c r="E45" s="33">
        <v>19</v>
      </c>
      <c r="F45" s="34" t="s">
        <v>115</v>
      </c>
      <c r="G45" s="33"/>
      <c r="H45" s="50">
        <v>46265</v>
      </c>
      <c r="I45" s="62" t="s">
        <v>154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155</v>
      </c>
      <c r="O45" s="66" t="s">
        <v>69</v>
      </c>
      <c r="P45" s="4">
        <v>46241</v>
      </c>
      <c r="Q45" s="36">
        <v>46252</v>
      </c>
      <c r="R45" s="36">
        <v>46251</v>
      </c>
      <c r="S45" s="70"/>
      <c r="T45" s="55" t="s">
        <v>115</v>
      </c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161</v>
      </c>
      <c r="C46" s="33" t="s">
        <v>133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 t="s">
        <v>115</v>
      </c>
      <c r="G46" s="33"/>
      <c r="H46" s="50">
        <v>46265</v>
      </c>
      <c r="I46" s="62" t="s">
        <v>154</v>
      </c>
      <c r="J46" s="33" t="s">
        <v>76</v>
      </c>
      <c r="K46" s="4">
        <v>46234</v>
      </c>
      <c r="L46" s="36">
        <v>46213</v>
      </c>
      <c r="M46" s="36">
        <v>46244</v>
      </c>
      <c r="N46" s="36" t="s">
        <v>162</v>
      </c>
      <c r="O46" s="66" t="s">
        <v>52</v>
      </c>
      <c r="P46" s="4">
        <v>46241</v>
      </c>
      <c r="Q46" s="36">
        <v>46259</v>
      </c>
      <c r="R46" s="36"/>
      <c r="S46" s="70"/>
      <c r="T46" s="55" t="s">
        <v>115</v>
      </c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>
      <c r="A47" s="33" t="s">
        <v>112</v>
      </c>
      <c r="B47" s="33" t="s">
        <v>163</v>
      </c>
      <c r="C47" s="33" t="s">
        <v>133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 t="s">
        <v>115</v>
      </c>
      <c r="G47" s="33"/>
      <c r="H47" s="50">
        <v>46265</v>
      </c>
      <c r="I47" s="62" t="s">
        <v>154</v>
      </c>
      <c r="J47" s="33" t="s">
        <v>141</v>
      </c>
      <c r="K47" s="4">
        <v>46234</v>
      </c>
      <c r="L47" s="36">
        <v>46246</v>
      </c>
      <c r="M47" s="36">
        <v>46246</v>
      </c>
      <c r="N47" s="36" t="s">
        <v>164</v>
      </c>
      <c r="O47" s="66" t="s">
        <v>69</v>
      </c>
      <c r="P47" s="4">
        <v>46241</v>
      </c>
      <c r="Q47" s="36"/>
      <c r="R47" s="36"/>
      <c r="S47" s="70"/>
      <c r="T47" s="55" t="s">
        <v>115</v>
      </c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 t="s">
        <v>165</v>
      </c>
    </row>
    <row r="48" spans="1:34" ht="14.45">
      <c r="A48" s="33" t="s">
        <v>112</v>
      </c>
      <c r="B48" s="33" t="s">
        <v>166</v>
      </c>
      <c r="C48" s="33" t="s">
        <v>158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 t="s">
        <v>130</v>
      </c>
      <c r="G48" s="33"/>
      <c r="H48" s="50">
        <v>46265</v>
      </c>
      <c r="I48" s="62" t="s">
        <v>154</v>
      </c>
      <c r="J48" s="33" t="s">
        <v>94</v>
      </c>
      <c r="K48" s="4">
        <v>46234</v>
      </c>
      <c r="L48" s="36">
        <v>46255</v>
      </c>
      <c r="M48" s="36">
        <v>46253</v>
      </c>
      <c r="N48" s="36" t="s">
        <v>164</v>
      </c>
      <c r="O48" s="66" t="s">
        <v>39</v>
      </c>
      <c r="P48" s="4">
        <v>46241</v>
      </c>
      <c r="Q48" s="36">
        <v>46255</v>
      </c>
      <c r="R48" s="36">
        <v>46255</v>
      </c>
      <c r="S48" s="70"/>
      <c r="T48" s="55" t="s">
        <v>130</v>
      </c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167</v>
      </c>
      <c r="C49" s="33" t="s">
        <v>158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 t="s">
        <v>115</v>
      </c>
      <c r="G49" s="33"/>
      <c r="H49" s="50">
        <v>46265</v>
      </c>
      <c r="I49" s="62" t="s">
        <v>154</v>
      </c>
      <c r="J49" s="33" t="s">
        <v>141</v>
      </c>
      <c r="K49" s="4">
        <v>46234</v>
      </c>
      <c r="L49" s="36">
        <v>46253</v>
      </c>
      <c r="M49" s="36">
        <v>46252</v>
      </c>
      <c r="N49" s="36" t="s">
        <v>117</v>
      </c>
      <c r="O49" s="66" t="s">
        <v>39</v>
      </c>
      <c r="P49" s="4">
        <v>46241</v>
      </c>
      <c r="Q49" s="36">
        <v>46259</v>
      </c>
      <c r="R49" s="36"/>
      <c r="S49" s="70"/>
      <c r="T49" s="55" t="s">
        <v>115</v>
      </c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5" customHeight="1">
      <c r="A50" s="33" t="s">
        <v>112</v>
      </c>
      <c r="B50" s="33" t="s">
        <v>168</v>
      </c>
      <c r="C50" s="33" t="s">
        <v>133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 t="s">
        <v>130</v>
      </c>
      <c r="G50" s="33"/>
      <c r="H50" s="50">
        <v>46265</v>
      </c>
      <c r="I50" s="62" t="s">
        <v>154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164</v>
      </c>
      <c r="O50" s="66" t="s">
        <v>52</v>
      </c>
      <c r="P50" s="4">
        <v>46241</v>
      </c>
      <c r="Q50" s="36">
        <v>46252</v>
      </c>
      <c r="R50" s="36">
        <v>46252</v>
      </c>
      <c r="S50" s="70"/>
      <c r="T50" s="55" t="s">
        <v>130</v>
      </c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>
      <c r="A51" s="33" t="s">
        <v>112</v>
      </c>
      <c r="B51" s="33" t="s">
        <v>169</v>
      </c>
      <c r="C51" s="33" t="s">
        <v>133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 t="s">
        <v>130</v>
      </c>
      <c r="G51" s="33"/>
      <c r="H51" s="50">
        <v>46265</v>
      </c>
      <c r="I51" s="62" t="s">
        <v>154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164</v>
      </c>
      <c r="O51" s="66" t="s">
        <v>69</v>
      </c>
      <c r="P51" s="4">
        <v>46241</v>
      </c>
      <c r="Q51" s="36">
        <v>46255</v>
      </c>
      <c r="R51" s="36"/>
      <c r="S51" s="70"/>
      <c r="T51" s="55" t="s">
        <v>130</v>
      </c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31"/>
    </row>
    <row r="52" spans="1:34" ht="14.45">
      <c r="A52" s="33" t="s">
        <v>112</v>
      </c>
      <c r="B52" s="33" t="s">
        <v>170</v>
      </c>
      <c r="C52" s="33" t="s">
        <v>158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 t="s">
        <v>115</v>
      </c>
      <c r="G52" s="33"/>
      <c r="H52" s="50">
        <v>46265</v>
      </c>
      <c r="I52" s="62" t="s">
        <v>154</v>
      </c>
      <c r="J52" s="33" t="s">
        <v>105</v>
      </c>
      <c r="K52" s="4">
        <v>46234</v>
      </c>
      <c r="L52" s="36">
        <v>46253</v>
      </c>
      <c r="M52" s="36">
        <v>46252</v>
      </c>
      <c r="N52" s="36" t="s">
        <v>164</v>
      </c>
      <c r="O52" s="66" t="s">
        <v>39</v>
      </c>
      <c r="P52" s="4">
        <v>46241</v>
      </c>
      <c r="Q52" s="36"/>
      <c r="R52" s="36"/>
      <c r="S52" s="70"/>
      <c r="T52" s="55" t="s">
        <v>40</v>
      </c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 t="s">
        <v>171</v>
      </c>
    </row>
    <row r="53" spans="1:34" ht="14.45">
      <c r="A53" s="33" t="s">
        <v>112</v>
      </c>
      <c r="B53" s="33" t="s">
        <v>172</v>
      </c>
      <c r="C53" s="33" t="s">
        <v>133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 t="s">
        <v>130</v>
      </c>
      <c r="G53" s="33"/>
      <c r="H53" s="50">
        <v>46265</v>
      </c>
      <c r="I53" s="62" t="s">
        <v>154</v>
      </c>
      <c r="J53" s="33" t="s">
        <v>68</v>
      </c>
      <c r="K53" s="4">
        <v>46234</v>
      </c>
      <c r="L53" s="36">
        <v>46251</v>
      </c>
      <c r="M53" s="36">
        <v>46251</v>
      </c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 t="s">
        <v>40</v>
      </c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173</v>
      </c>
      <c r="C54" s="33" t="s">
        <v>133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Overdue</v>
      </c>
      <c r="E54" s="33">
        <v>30</v>
      </c>
      <c r="F54" s="34" t="s">
        <v>115</v>
      </c>
      <c r="G54" s="33"/>
      <c r="H54" s="50">
        <v>46265</v>
      </c>
      <c r="I54" s="62" t="s">
        <v>154</v>
      </c>
      <c r="J54" s="33" t="s">
        <v>76</v>
      </c>
      <c r="K54" s="4">
        <v>46234</v>
      </c>
      <c r="L54" s="36">
        <v>46255</v>
      </c>
      <c r="M54" s="36">
        <v>46253</v>
      </c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 t="s">
        <v>40</v>
      </c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174</v>
      </c>
      <c r="C55" s="33" t="s">
        <v>175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 t="s">
        <v>130</v>
      </c>
      <c r="G55" s="33"/>
      <c r="H55" s="50">
        <v>46295</v>
      </c>
      <c r="I55" s="56" t="s">
        <v>176</v>
      </c>
      <c r="J55" s="33" t="s">
        <v>68</v>
      </c>
      <c r="K55" s="4">
        <v>46262</v>
      </c>
      <c r="L55" s="36">
        <v>46253</v>
      </c>
      <c r="M55" s="36">
        <v>46253</v>
      </c>
      <c r="N55" s="36" t="s">
        <v>177</v>
      </c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178</v>
      </c>
      <c r="C56" s="33" t="s">
        <v>175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 t="s">
        <v>115</v>
      </c>
      <c r="G56" s="33"/>
      <c r="H56" s="50">
        <v>46295</v>
      </c>
      <c r="I56" s="56" t="s">
        <v>176</v>
      </c>
      <c r="J56" s="33" t="s">
        <v>68</v>
      </c>
      <c r="K56" s="4">
        <v>46262</v>
      </c>
      <c r="L56" s="36">
        <v>46253</v>
      </c>
      <c r="M56" s="36">
        <v>46253</v>
      </c>
      <c r="N56" s="36" t="s">
        <v>177</v>
      </c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 t="s">
        <v>171</v>
      </c>
    </row>
    <row r="57" spans="1:34" ht="14.45">
      <c r="A57" s="33" t="s">
        <v>112</v>
      </c>
      <c r="B57" s="33" t="s">
        <v>179</v>
      </c>
      <c r="C57" s="33" t="s">
        <v>175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 t="s">
        <v>130</v>
      </c>
      <c r="G57" s="33"/>
      <c r="H57" s="50">
        <v>46295</v>
      </c>
      <c r="I57" s="56" t="s">
        <v>176</v>
      </c>
      <c r="J57" s="33" t="s">
        <v>105</v>
      </c>
      <c r="K57" s="4">
        <v>46262</v>
      </c>
      <c r="L57" s="36">
        <v>46254</v>
      </c>
      <c r="M57" s="36"/>
      <c r="N57" s="36" t="s">
        <v>177</v>
      </c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 t="s">
        <v>171</v>
      </c>
    </row>
    <row r="58" spans="1:34" ht="14.45">
      <c r="A58" s="33" t="s">
        <v>112</v>
      </c>
      <c r="B58" s="33" t="s">
        <v>180</v>
      </c>
      <c r="C58" s="33" t="s">
        <v>175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 t="s">
        <v>115</v>
      </c>
      <c r="G58" s="33"/>
      <c r="H58" s="50">
        <v>46295</v>
      </c>
      <c r="I58" s="56" t="s">
        <v>176</v>
      </c>
      <c r="J58" s="33" t="s">
        <v>105</v>
      </c>
      <c r="K58" s="4">
        <v>46262</v>
      </c>
      <c r="L58" s="36">
        <v>46254</v>
      </c>
      <c r="M58" s="36"/>
      <c r="N58" s="36" t="s">
        <v>177</v>
      </c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181</v>
      </c>
      <c r="C59" s="33" t="s">
        <v>124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 t="s">
        <v>130</v>
      </c>
      <c r="G59" s="33"/>
      <c r="H59" s="50">
        <v>46295</v>
      </c>
      <c r="I59" s="56" t="s">
        <v>176</v>
      </c>
      <c r="J59" s="33" t="s">
        <v>38</v>
      </c>
      <c r="K59" s="4">
        <v>46262</v>
      </c>
      <c r="L59" s="36">
        <v>46253</v>
      </c>
      <c r="M59" s="36">
        <v>46253</v>
      </c>
      <c r="N59" s="36" t="s">
        <v>177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182</v>
      </c>
      <c r="C60" s="33" t="s">
        <v>158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 t="s">
        <v>130</v>
      </c>
      <c r="G60" s="33"/>
      <c r="H60" s="50">
        <v>46295</v>
      </c>
      <c r="I60" s="56" t="s">
        <v>176</v>
      </c>
      <c r="J60" s="33" t="s">
        <v>141</v>
      </c>
      <c r="K60" s="4">
        <v>46262</v>
      </c>
      <c r="L60" s="36">
        <v>46255</v>
      </c>
      <c r="M60" s="36">
        <v>46255</v>
      </c>
      <c r="N60" s="36" t="s">
        <v>177</v>
      </c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183</v>
      </c>
      <c r="C61" s="33" t="s">
        <v>124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 t="s">
        <v>115</v>
      </c>
      <c r="G61" s="33"/>
      <c r="H61" s="50">
        <v>46295</v>
      </c>
      <c r="I61" s="56" t="s">
        <v>176</v>
      </c>
      <c r="J61" s="33" t="s">
        <v>38</v>
      </c>
      <c r="K61" s="4">
        <v>46262</v>
      </c>
      <c r="L61" s="36">
        <v>46255</v>
      </c>
      <c r="M61" s="36"/>
      <c r="N61" s="36" t="s">
        <v>177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184</v>
      </c>
      <c r="C62" s="33" t="s">
        <v>175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 t="s">
        <v>130</v>
      </c>
      <c r="G62" s="33"/>
      <c r="H62" s="50">
        <v>46295</v>
      </c>
      <c r="I62" s="56" t="s">
        <v>176</v>
      </c>
      <c r="J62" s="33" t="s">
        <v>76</v>
      </c>
      <c r="K62" s="4">
        <v>46262</v>
      </c>
      <c r="L62" s="36">
        <v>46260</v>
      </c>
      <c r="M62" s="36"/>
      <c r="N62" s="36" t="s">
        <v>177</v>
      </c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185</v>
      </c>
      <c r="C63" s="33" t="s">
        <v>175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 t="s">
        <v>130</v>
      </c>
      <c r="G63" s="33"/>
      <c r="H63" s="50">
        <v>46295</v>
      </c>
      <c r="I63" s="56" t="s">
        <v>176</v>
      </c>
      <c r="J63" s="33" t="s">
        <v>76</v>
      </c>
      <c r="K63" s="4">
        <v>46276</v>
      </c>
      <c r="L63" s="36">
        <v>46276</v>
      </c>
      <c r="M63" s="36"/>
      <c r="N63" s="36" t="s">
        <v>177</v>
      </c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186</v>
      </c>
      <c r="C64" s="33" t="s">
        <v>175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 t="s">
        <v>115</v>
      </c>
      <c r="G64" s="33"/>
      <c r="H64" s="50">
        <v>46295</v>
      </c>
      <c r="I64" s="56" t="s">
        <v>176</v>
      </c>
      <c r="J64" s="33" t="s">
        <v>94</v>
      </c>
      <c r="K64" s="4">
        <v>46276</v>
      </c>
      <c r="L64" s="36"/>
      <c r="M64" s="36"/>
      <c r="N64" s="36" t="s">
        <v>177</v>
      </c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187</v>
      </c>
      <c r="C65" s="33" t="s">
        <v>158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 t="s">
        <v>115</v>
      </c>
      <c r="G65" s="33"/>
      <c r="H65" s="50">
        <v>46295</v>
      </c>
      <c r="I65" s="56" t="s">
        <v>176</v>
      </c>
      <c r="J65" s="33" t="s">
        <v>141</v>
      </c>
      <c r="K65" s="4">
        <v>46276</v>
      </c>
      <c r="L65" s="36"/>
      <c r="M65" s="36"/>
      <c r="N65" s="36" t="s">
        <v>177</v>
      </c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188</v>
      </c>
      <c r="C66" s="33" t="s">
        <v>175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 t="s">
        <v>115</v>
      </c>
      <c r="G66" s="33"/>
      <c r="H66" s="50">
        <v>46295</v>
      </c>
      <c r="I66" s="56" t="s">
        <v>176</v>
      </c>
      <c r="J66" s="33" t="s">
        <v>38</v>
      </c>
      <c r="K66" s="4">
        <v>46276</v>
      </c>
      <c r="L66" s="36"/>
      <c r="M66" s="36"/>
      <c r="N66" s="36" t="s">
        <v>177</v>
      </c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189</v>
      </c>
      <c r="C67" s="33" t="s">
        <v>175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 t="s">
        <v>115</v>
      </c>
      <c r="G67" s="33"/>
      <c r="H67" s="50">
        <v>46295</v>
      </c>
      <c r="I67" s="56" t="s">
        <v>176</v>
      </c>
      <c r="J67" s="33" t="s">
        <v>38</v>
      </c>
      <c r="K67" s="4">
        <v>46276</v>
      </c>
      <c r="L67" s="36"/>
      <c r="M67" s="36"/>
      <c r="N67" s="36" t="s">
        <v>177</v>
      </c>
      <c r="O67" s="64" t="s">
        <v>52</v>
      </c>
      <c r="P67" s="4">
        <v>46286</v>
      </c>
      <c r="Q67" s="36">
        <v>46254</v>
      </c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190</v>
      </c>
      <c r="C68" s="33" t="s">
        <v>175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 t="s">
        <v>115</v>
      </c>
      <c r="G68" s="33"/>
      <c r="H68" s="50">
        <v>46295</v>
      </c>
      <c r="I68" s="56" t="s">
        <v>176</v>
      </c>
      <c r="J68" s="33" t="s">
        <v>191</v>
      </c>
      <c r="K68" s="4">
        <v>46276</v>
      </c>
      <c r="L68" s="36">
        <v>46258</v>
      </c>
      <c r="M68" s="36">
        <v>46258</v>
      </c>
      <c r="N68" s="36" t="s">
        <v>177</v>
      </c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192</v>
      </c>
      <c r="C69" s="33" t="s">
        <v>175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 t="s">
        <v>130</v>
      </c>
      <c r="G69" s="33"/>
      <c r="H69" s="50">
        <v>46295</v>
      </c>
      <c r="I69" s="56" t="s">
        <v>176</v>
      </c>
      <c r="J69" s="33" t="s">
        <v>51</v>
      </c>
      <c r="K69" s="4">
        <v>46276</v>
      </c>
      <c r="L69" s="36"/>
      <c r="M69" s="36"/>
      <c r="N69" s="36" t="s">
        <v>177</v>
      </c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193</v>
      </c>
      <c r="C70" s="33" t="s">
        <v>175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 t="s">
        <v>130</v>
      </c>
      <c r="G70" s="33"/>
      <c r="H70" s="50">
        <v>46295</v>
      </c>
      <c r="I70" s="56" t="s">
        <v>176</v>
      </c>
      <c r="J70" s="33" t="s">
        <v>105</v>
      </c>
      <c r="K70" s="4">
        <v>46276</v>
      </c>
      <c r="L70" s="36">
        <v>46262</v>
      </c>
      <c r="M70" s="36"/>
      <c r="N70" s="36" t="s">
        <v>177</v>
      </c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194</v>
      </c>
      <c r="C71" s="33" t="s">
        <v>175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 t="s">
        <v>130</v>
      </c>
      <c r="G71" s="33"/>
      <c r="H71" s="50">
        <v>46295</v>
      </c>
      <c r="I71" s="56" t="s">
        <v>176</v>
      </c>
      <c r="J71" s="33" t="s">
        <v>38</v>
      </c>
      <c r="K71" s="4">
        <v>46276</v>
      </c>
      <c r="L71" s="36"/>
      <c r="M71" s="36"/>
      <c r="N71" s="36" t="s">
        <v>177</v>
      </c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195</v>
      </c>
      <c r="C72" s="33" t="s">
        <v>175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 t="s">
        <v>115</v>
      </c>
      <c r="G72" s="33"/>
      <c r="H72" s="50">
        <v>46295</v>
      </c>
      <c r="I72" s="56" t="s">
        <v>176</v>
      </c>
      <c r="J72" s="33" t="s">
        <v>68</v>
      </c>
      <c r="K72" s="4">
        <v>46276</v>
      </c>
      <c r="L72" s="36">
        <v>46258</v>
      </c>
      <c r="M72" s="36">
        <v>46258</v>
      </c>
      <c r="N72" s="36" t="s">
        <v>177</v>
      </c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>
      <c r="A73" s="31" t="s">
        <v>112</v>
      </c>
      <c r="B73" s="31" t="s">
        <v>196</v>
      </c>
      <c r="C73" s="31" t="s">
        <v>175</v>
      </c>
      <c r="D73" s="3"/>
      <c r="E73" s="31">
        <v>49</v>
      </c>
      <c r="F73" s="31"/>
      <c r="G73" s="31"/>
      <c r="H73" s="50">
        <v>46325</v>
      </c>
      <c r="I73" s="57" t="s">
        <v>197</v>
      </c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>
      <c r="A74" s="31" t="s">
        <v>112</v>
      </c>
      <c r="B74" s="31" t="s">
        <v>198</v>
      </c>
      <c r="C74" s="31" t="s">
        <v>175</v>
      </c>
      <c r="D74" s="3"/>
      <c r="E74" s="31">
        <v>50</v>
      </c>
      <c r="F74" s="31"/>
      <c r="G74" s="31"/>
      <c r="H74" s="50">
        <v>46325</v>
      </c>
      <c r="I74" s="57" t="s">
        <v>197</v>
      </c>
      <c r="J74" s="55"/>
      <c r="K74" s="51"/>
      <c r="L74" s="43"/>
      <c r="M74" s="44"/>
      <c r="N74" s="36"/>
      <c r="O74" s="76"/>
      <c r="P74" s="51"/>
      <c r="Q74" s="43"/>
      <c r="R74" s="44"/>
      <c r="S74" s="70"/>
      <c r="T74" s="47"/>
      <c r="V74" s="43"/>
      <c r="W74" s="31"/>
      <c r="X74" s="36"/>
      <c r="Z74" s="43"/>
      <c r="AA74" s="31"/>
      <c r="AB74" s="31"/>
      <c r="AC74" s="31"/>
      <c r="AD74" s="31"/>
      <c r="AE74" s="31"/>
      <c r="AF74" s="31"/>
      <c r="AG74" s="31"/>
      <c r="AH74" s="31"/>
    </row>
    <row r="75" spans="1:34">
      <c r="A75" s="31" t="s">
        <v>112</v>
      </c>
      <c r="B75" s="31" t="s">
        <v>199</v>
      </c>
      <c r="C75" s="31" t="s">
        <v>175</v>
      </c>
      <c r="D75" s="3"/>
      <c r="E75" s="31">
        <v>51</v>
      </c>
      <c r="F75" s="31"/>
      <c r="G75" s="31"/>
      <c r="H75" s="50">
        <v>46325</v>
      </c>
      <c r="I75" s="57" t="s">
        <v>197</v>
      </c>
      <c r="J75" s="55"/>
      <c r="K75" s="51"/>
      <c r="L75" s="43"/>
      <c r="M75" s="44"/>
      <c r="N75" s="36"/>
      <c r="O75" s="76"/>
      <c r="P75" s="51"/>
      <c r="Q75" s="43"/>
      <c r="R75" s="44"/>
      <c r="S75" s="70"/>
      <c r="T75" s="47"/>
      <c r="V75" s="43"/>
      <c r="W75" s="31"/>
      <c r="X75" s="36"/>
      <c r="Z75" s="43"/>
      <c r="AA75" s="31"/>
      <c r="AB75" s="31"/>
      <c r="AC75" s="31"/>
      <c r="AD75" s="31"/>
      <c r="AE75" s="31"/>
      <c r="AF75" s="31"/>
      <c r="AG75" s="31"/>
      <c r="AH75" s="31"/>
    </row>
    <row r="76" spans="1:34">
      <c r="A76" s="31" t="s">
        <v>112</v>
      </c>
      <c r="B76" s="31" t="s">
        <v>200</v>
      </c>
      <c r="C76" s="31" t="s">
        <v>175</v>
      </c>
      <c r="D76" s="3"/>
      <c r="E76" s="31">
        <v>52</v>
      </c>
      <c r="F76" s="31"/>
      <c r="G76" s="31"/>
      <c r="H76" s="50">
        <v>46325</v>
      </c>
      <c r="I76" s="57" t="s">
        <v>197</v>
      </c>
      <c r="J76" s="55"/>
      <c r="K76" s="51"/>
      <c r="L76" s="43"/>
      <c r="M76" s="44"/>
      <c r="N76" s="36"/>
      <c r="O76" s="76"/>
      <c r="P76" s="51"/>
      <c r="Q76" s="43"/>
      <c r="R76" s="44"/>
      <c r="S76" s="70"/>
      <c r="T76" s="47"/>
      <c r="V76" s="43"/>
      <c r="W76" s="31"/>
      <c r="X76" s="36"/>
      <c r="Z76" s="43"/>
      <c r="AA76" s="31"/>
      <c r="AB76" s="31"/>
      <c r="AC76" s="31"/>
      <c r="AD76" s="31"/>
      <c r="AE76" s="31"/>
      <c r="AF76" s="31"/>
      <c r="AG76" s="31"/>
      <c r="AH76" s="31"/>
    </row>
    <row r="77" spans="1:34">
      <c r="A77" s="31" t="s">
        <v>112</v>
      </c>
      <c r="B77" s="31" t="s">
        <v>201</v>
      </c>
      <c r="C77" s="31" t="s">
        <v>175</v>
      </c>
      <c r="D77" s="3"/>
      <c r="E77" s="31">
        <v>53</v>
      </c>
      <c r="F77" s="31"/>
      <c r="G77" s="31"/>
      <c r="H77" s="50">
        <v>46325</v>
      </c>
      <c r="I77" s="57" t="s">
        <v>197</v>
      </c>
      <c r="J77" s="55"/>
      <c r="K77" s="51"/>
      <c r="L77" s="43"/>
      <c r="M77" s="44"/>
      <c r="N77" s="36"/>
      <c r="O77" s="76"/>
      <c r="P77" s="51"/>
      <c r="Q77" s="43"/>
      <c r="R77" s="44"/>
      <c r="S77" s="70"/>
      <c r="T77" s="47"/>
      <c r="V77" s="43"/>
      <c r="W77" s="31"/>
      <c r="X77" s="36"/>
      <c r="Z77" s="43"/>
      <c r="AA77" s="31"/>
      <c r="AB77" s="31"/>
      <c r="AC77" s="31"/>
      <c r="AD77" s="31"/>
      <c r="AE77" s="31"/>
      <c r="AF77" s="31"/>
      <c r="AG77" s="31"/>
      <c r="AH77" s="31"/>
    </row>
    <row r="78" spans="1:34">
      <c r="A78" s="31" t="s">
        <v>112</v>
      </c>
      <c r="B78" s="31" t="s">
        <v>202</v>
      </c>
      <c r="C78" s="31" t="s">
        <v>175</v>
      </c>
      <c r="D78" s="3"/>
      <c r="E78" s="31">
        <v>54</v>
      </c>
      <c r="F78" s="31"/>
      <c r="G78" s="31"/>
      <c r="H78" s="50">
        <v>46325</v>
      </c>
      <c r="I78" s="57" t="s">
        <v>197</v>
      </c>
      <c r="J78" s="55"/>
      <c r="K78" s="51"/>
      <c r="L78" s="43"/>
      <c r="M78" s="44"/>
      <c r="N78" s="36"/>
      <c r="O78" s="76"/>
      <c r="P78" s="51"/>
      <c r="Q78" s="43"/>
      <c r="R78" s="44"/>
      <c r="S78" s="70"/>
      <c r="T78" s="47"/>
      <c r="V78" s="43"/>
      <c r="W78" s="31"/>
      <c r="X78" s="36"/>
      <c r="Z78" s="43"/>
      <c r="AA78" s="31"/>
      <c r="AB78" s="31"/>
      <c r="AC78" s="31"/>
      <c r="AD78" s="31"/>
      <c r="AE78" s="31"/>
      <c r="AF78" s="31"/>
      <c r="AG78" s="31"/>
      <c r="AH78" s="31"/>
    </row>
    <row r="79" spans="1:34">
      <c r="A79" s="31" t="s">
        <v>112</v>
      </c>
      <c r="B79" s="31" t="s">
        <v>203</v>
      </c>
      <c r="C79" s="31" t="s">
        <v>175</v>
      </c>
      <c r="D79" s="3"/>
      <c r="E79" s="31">
        <v>55</v>
      </c>
      <c r="F79" s="31"/>
      <c r="G79" s="31"/>
      <c r="H79" s="50">
        <v>46325</v>
      </c>
      <c r="I79" s="57" t="s">
        <v>197</v>
      </c>
      <c r="J79" s="55"/>
      <c r="K79" s="51"/>
      <c r="L79" s="43"/>
      <c r="M79" s="44"/>
      <c r="N79" s="36"/>
      <c r="O79" s="76"/>
      <c r="P79" s="51"/>
      <c r="Q79" s="43"/>
      <c r="R79" s="44"/>
      <c r="S79" s="70"/>
      <c r="T79" s="47"/>
      <c r="V79" s="43"/>
      <c r="W79" s="31"/>
      <c r="X79" s="36"/>
      <c r="Z79" s="43"/>
      <c r="AA79" s="31"/>
      <c r="AB79" s="31"/>
      <c r="AC79" s="31"/>
      <c r="AD79" s="31"/>
      <c r="AE79" s="31"/>
      <c r="AF79" s="31"/>
      <c r="AG79" s="31"/>
      <c r="AH79" s="31"/>
    </row>
    <row r="80" spans="1:34">
      <c r="A80" s="31" t="s">
        <v>112</v>
      </c>
      <c r="B80" s="31" t="s">
        <v>204</v>
      </c>
      <c r="C80" s="31" t="s">
        <v>175</v>
      </c>
      <c r="D80" s="3"/>
      <c r="E80" s="31">
        <v>56</v>
      </c>
      <c r="F80" s="31"/>
      <c r="G80" s="31"/>
      <c r="H80" s="50">
        <v>46325</v>
      </c>
      <c r="I80" s="57" t="s">
        <v>197</v>
      </c>
      <c r="J80" s="55"/>
      <c r="K80" s="51"/>
      <c r="L80" s="43"/>
      <c r="M80" s="44"/>
      <c r="N80" s="36"/>
      <c r="O80" s="76"/>
      <c r="P80" s="51"/>
      <c r="Q80" s="43"/>
      <c r="R80" s="44"/>
      <c r="S80" s="70"/>
      <c r="T80" s="47"/>
      <c r="V80" s="43"/>
      <c r="W80" s="31"/>
      <c r="X80" s="36"/>
      <c r="Z80" s="43"/>
      <c r="AA80" s="31"/>
      <c r="AB80" s="31"/>
      <c r="AC80" s="31"/>
      <c r="AD80" s="31"/>
      <c r="AE80" s="31"/>
      <c r="AF80" s="31"/>
      <c r="AG80" s="31"/>
      <c r="AH80" s="31"/>
    </row>
    <row r="81" spans="1:34">
      <c r="A81" s="31" t="s">
        <v>112</v>
      </c>
      <c r="B81" s="31" t="s">
        <v>205</v>
      </c>
      <c r="C81" s="31" t="s">
        <v>175</v>
      </c>
      <c r="D81" s="3"/>
      <c r="E81" s="31">
        <v>57</v>
      </c>
      <c r="F81" s="31"/>
      <c r="G81" s="31"/>
      <c r="H81" s="50">
        <v>46325</v>
      </c>
      <c r="I81" s="57" t="s">
        <v>197</v>
      </c>
      <c r="J81" s="55"/>
      <c r="K81" s="51"/>
      <c r="L81" s="43"/>
      <c r="M81" s="44"/>
      <c r="N81" s="36"/>
      <c r="O81" s="76"/>
      <c r="P81" s="51"/>
      <c r="Q81" s="43"/>
      <c r="R81" s="44"/>
      <c r="S81" s="70"/>
      <c r="T81" s="47"/>
      <c r="V81" s="43"/>
      <c r="W81" s="31"/>
      <c r="X81" s="36"/>
      <c r="Z81" s="43"/>
      <c r="AA81" s="31"/>
      <c r="AB81" s="31"/>
      <c r="AC81" s="31"/>
      <c r="AD81" s="31"/>
      <c r="AE81" s="31"/>
      <c r="AF81" s="31"/>
      <c r="AG81" s="31"/>
      <c r="AH81" s="31"/>
    </row>
    <row r="82" spans="1:34">
      <c r="A82" s="31" t="s">
        <v>112</v>
      </c>
      <c r="B82" s="31" t="s">
        <v>206</v>
      </c>
      <c r="C82" s="31" t="s">
        <v>175</v>
      </c>
      <c r="D82" s="3"/>
      <c r="E82" s="31">
        <v>58</v>
      </c>
      <c r="F82" s="31"/>
      <c r="G82" s="31"/>
      <c r="H82" s="50">
        <v>46325</v>
      </c>
      <c r="I82" s="57" t="s">
        <v>197</v>
      </c>
      <c r="J82" s="55"/>
      <c r="K82" s="51"/>
      <c r="L82" s="43"/>
      <c r="M82" s="44"/>
      <c r="N82" s="36"/>
      <c r="O82" s="76"/>
      <c r="P82" s="51"/>
      <c r="Q82" s="43"/>
      <c r="R82" s="44"/>
      <c r="S82" s="70"/>
      <c r="T82" s="47"/>
      <c r="V82" s="43"/>
      <c r="W82" s="31"/>
      <c r="X82" s="36"/>
      <c r="Z82" s="43"/>
      <c r="AA82" s="31"/>
      <c r="AB82" s="31"/>
      <c r="AC82" s="31"/>
      <c r="AD82" s="31"/>
      <c r="AE82" s="31"/>
      <c r="AF82" s="31"/>
      <c r="AG82" s="31"/>
      <c r="AH82" s="31"/>
    </row>
    <row r="83" spans="1:34">
      <c r="A83" s="31" t="s">
        <v>112</v>
      </c>
      <c r="B83" s="31" t="s">
        <v>207</v>
      </c>
      <c r="C83" s="31" t="s">
        <v>175</v>
      </c>
      <c r="D83" s="3"/>
      <c r="E83" s="31">
        <v>59</v>
      </c>
      <c r="F83" s="31"/>
      <c r="G83" s="31"/>
      <c r="H83" s="50">
        <v>46325</v>
      </c>
      <c r="I83" s="57" t="s">
        <v>197</v>
      </c>
      <c r="J83" s="55"/>
      <c r="K83" s="51"/>
      <c r="L83" s="43"/>
      <c r="M83" s="44"/>
      <c r="N83" s="36"/>
      <c r="O83" s="76"/>
      <c r="P83" s="51"/>
      <c r="Q83" s="43"/>
      <c r="R83" s="44"/>
      <c r="S83" s="70"/>
      <c r="T83" s="47"/>
      <c r="V83" s="43"/>
      <c r="W83" s="31"/>
      <c r="X83" s="36"/>
      <c r="Z83" s="43"/>
      <c r="AA83" s="31"/>
      <c r="AB83" s="31"/>
      <c r="AC83" s="31"/>
      <c r="AD83" s="31"/>
      <c r="AE83" s="31"/>
      <c r="AF83" s="31"/>
      <c r="AG83" s="31"/>
      <c r="AH83" s="31"/>
    </row>
    <row r="84" spans="1:34">
      <c r="A84" s="31" t="s">
        <v>112</v>
      </c>
      <c r="B84" s="31" t="s">
        <v>208</v>
      </c>
      <c r="C84" s="31" t="s">
        <v>175</v>
      </c>
      <c r="D84" s="3"/>
      <c r="E84" s="31">
        <v>60</v>
      </c>
      <c r="F84" s="31"/>
      <c r="G84" s="31"/>
      <c r="H84" s="50">
        <v>46325</v>
      </c>
      <c r="I84" s="57" t="s">
        <v>197</v>
      </c>
      <c r="J84" s="55"/>
      <c r="K84" s="51"/>
      <c r="L84" s="43"/>
      <c r="M84" s="44"/>
      <c r="N84" s="36"/>
      <c r="O84" s="76"/>
      <c r="P84" s="51"/>
      <c r="Q84" s="43"/>
      <c r="R84" s="44"/>
      <c r="S84" s="70"/>
      <c r="T84" s="47"/>
      <c r="V84" s="43"/>
      <c r="W84" s="31"/>
      <c r="X84" s="36"/>
      <c r="Z84" s="43"/>
      <c r="AA84" s="31"/>
      <c r="AB84" s="31"/>
      <c r="AC84" s="31"/>
      <c r="AD84" s="31"/>
      <c r="AE84" s="31"/>
      <c r="AF84" s="31"/>
      <c r="AG84" s="31"/>
      <c r="AH84" s="31"/>
    </row>
    <row r="85" spans="1:34">
      <c r="A85" s="31" t="s">
        <v>112</v>
      </c>
      <c r="B85" s="31" t="s">
        <v>209</v>
      </c>
      <c r="C85" s="31" t="s">
        <v>175</v>
      </c>
      <c r="D85" s="3"/>
      <c r="E85" s="31" t="s">
        <v>210</v>
      </c>
      <c r="F85" s="31"/>
      <c r="G85" s="31"/>
      <c r="H85" s="50">
        <v>46325</v>
      </c>
      <c r="I85" s="57" t="s">
        <v>197</v>
      </c>
      <c r="J85" s="55"/>
      <c r="K85" s="51"/>
      <c r="L85" s="43"/>
      <c r="M85" s="44"/>
      <c r="N85" s="36"/>
      <c r="O85" s="76"/>
      <c r="P85" s="51"/>
      <c r="Q85" s="43"/>
      <c r="R85" s="44"/>
      <c r="S85" s="70"/>
      <c r="T85" s="47"/>
      <c r="V85" s="43"/>
      <c r="W85" s="31"/>
      <c r="X85" s="36"/>
      <c r="Z85" s="43"/>
      <c r="AA85" s="31"/>
      <c r="AB85" s="31"/>
      <c r="AC85" s="31"/>
      <c r="AD85" s="31"/>
      <c r="AE85" s="31"/>
      <c r="AF85" s="31"/>
      <c r="AG85" s="31"/>
      <c r="AH85" s="31"/>
    </row>
    <row r="86" spans="1:34">
      <c r="A86" s="31" t="s">
        <v>112</v>
      </c>
      <c r="B86" s="31" t="s">
        <v>211</v>
      </c>
      <c r="C86" s="31" t="s">
        <v>175</v>
      </c>
      <c r="D86" s="77"/>
      <c r="E86" s="31">
        <v>67</v>
      </c>
      <c r="F86" s="31"/>
      <c r="G86" s="31"/>
      <c r="H86" s="50">
        <v>46356</v>
      </c>
      <c r="I86" s="57" t="s">
        <v>212</v>
      </c>
      <c r="J86" s="55"/>
      <c r="K86" s="51"/>
      <c r="L86" s="43"/>
      <c r="M86" s="44"/>
      <c r="N86" s="36"/>
      <c r="O86" s="76"/>
      <c r="P86" s="51"/>
      <c r="Q86" s="43"/>
      <c r="R86" s="44"/>
      <c r="S86" s="70"/>
      <c r="T86" s="47"/>
      <c r="V86" s="43"/>
      <c r="W86" s="31"/>
      <c r="X86" s="36"/>
      <c r="Z86" s="43"/>
      <c r="AA86" s="31"/>
      <c r="AB86" s="31"/>
      <c r="AC86" s="31"/>
      <c r="AD86" s="31"/>
      <c r="AE86" s="31"/>
      <c r="AF86" s="31"/>
      <c r="AG86" s="31"/>
      <c r="AH86" s="31"/>
    </row>
    <row r="87" spans="1:34">
      <c r="A87" s="31" t="s">
        <v>112</v>
      </c>
      <c r="B87" s="31" t="s">
        <v>213</v>
      </c>
      <c r="C87" s="31" t="s">
        <v>175</v>
      </c>
      <c r="D87" s="77"/>
      <c r="E87" s="31">
        <v>68</v>
      </c>
      <c r="F87" s="31"/>
      <c r="G87" s="31"/>
      <c r="H87" s="50">
        <v>46356</v>
      </c>
      <c r="I87" s="57" t="s">
        <v>212</v>
      </c>
      <c r="J87" s="55"/>
      <c r="K87" s="51"/>
      <c r="L87" s="43"/>
      <c r="M87" s="44"/>
      <c r="N87" s="36"/>
      <c r="O87" s="76"/>
      <c r="P87" s="51"/>
      <c r="Q87" s="43"/>
      <c r="R87" s="44"/>
      <c r="S87" s="70"/>
      <c r="T87" s="47"/>
      <c r="V87" s="43"/>
      <c r="W87" s="31"/>
      <c r="X87" s="36"/>
      <c r="Z87" s="43"/>
      <c r="AA87" s="31"/>
      <c r="AB87" s="31"/>
      <c r="AC87" s="31"/>
      <c r="AD87" s="31"/>
      <c r="AE87" s="31"/>
      <c r="AF87" s="31"/>
      <c r="AG87" s="31"/>
      <c r="AH87" s="31"/>
    </row>
    <row r="88" spans="1:34">
      <c r="A88" s="31" t="s">
        <v>112</v>
      </c>
      <c r="B88" s="31" t="s">
        <v>214</v>
      </c>
      <c r="C88" s="31" t="s">
        <v>175</v>
      </c>
      <c r="D88" s="77"/>
      <c r="E88" s="31">
        <v>69</v>
      </c>
      <c r="F88" s="31"/>
      <c r="G88" s="31"/>
      <c r="H88" s="50">
        <v>46356</v>
      </c>
      <c r="I88" s="57" t="s">
        <v>212</v>
      </c>
      <c r="J88" s="55"/>
      <c r="K88" s="51"/>
      <c r="L88" s="43"/>
      <c r="M88" s="44"/>
      <c r="N88" s="36"/>
      <c r="O88" s="76"/>
      <c r="P88" s="51"/>
      <c r="Q88" s="43"/>
      <c r="R88" s="44"/>
      <c r="S88" s="70"/>
      <c r="T88" s="47"/>
      <c r="V88" s="43"/>
      <c r="W88" s="31"/>
      <c r="X88" s="36"/>
      <c r="Z88" s="43"/>
      <c r="AA88" s="31"/>
      <c r="AB88" s="31"/>
      <c r="AC88" s="31"/>
      <c r="AD88" s="31"/>
      <c r="AE88" s="31"/>
      <c r="AF88" s="31"/>
      <c r="AG88" s="31"/>
      <c r="AH88" s="31"/>
    </row>
    <row r="89" spans="1:34">
      <c r="A89" s="31" t="s">
        <v>112</v>
      </c>
      <c r="B89" s="31" t="s">
        <v>215</v>
      </c>
      <c r="C89" s="31" t="s">
        <v>175</v>
      </c>
      <c r="D89" s="77"/>
      <c r="E89" s="31">
        <v>70</v>
      </c>
      <c r="F89" s="31"/>
      <c r="G89" s="31"/>
      <c r="H89" s="50">
        <v>46356</v>
      </c>
      <c r="I89" s="57" t="s">
        <v>212</v>
      </c>
      <c r="J89" s="55"/>
      <c r="K89" s="51"/>
      <c r="L89" s="43"/>
      <c r="M89" s="44"/>
      <c r="N89" s="36"/>
      <c r="O89" s="76"/>
      <c r="P89" s="51"/>
      <c r="Q89" s="43"/>
      <c r="R89" s="44"/>
      <c r="S89" s="70"/>
      <c r="T89" s="47"/>
      <c r="V89" s="43"/>
      <c r="W89" s="31"/>
      <c r="X89" s="36"/>
      <c r="Z89" s="43"/>
      <c r="AA89" s="31"/>
      <c r="AB89" s="31"/>
      <c r="AC89" s="31"/>
      <c r="AD89" s="31"/>
      <c r="AE89" s="31"/>
      <c r="AF89" s="31"/>
      <c r="AG89" s="31"/>
      <c r="AH89" s="31"/>
    </row>
    <row r="90" spans="1:34">
      <c r="A90" s="31" t="s">
        <v>112</v>
      </c>
      <c r="B90" s="31" t="s">
        <v>216</v>
      </c>
      <c r="C90" s="31" t="s">
        <v>175</v>
      </c>
      <c r="D90" s="77"/>
      <c r="E90" s="31">
        <v>71</v>
      </c>
      <c r="F90" s="31"/>
      <c r="G90" s="31"/>
      <c r="H90" s="50">
        <v>46356</v>
      </c>
      <c r="I90" s="57" t="s">
        <v>212</v>
      </c>
      <c r="J90" s="55"/>
      <c r="K90" s="51"/>
      <c r="L90" s="43"/>
      <c r="M90" s="44"/>
      <c r="N90" s="36"/>
      <c r="O90" s="76"/>
      <c r="P90" s="51"/>
      <c r="Q90" s="43"/>
      <c r="R90" s="44"/>
      <c r="S90" s="70"/>
      <c r="T90" s="47"/>
      <c r="V90" s="43"/>
      <c r="W90" s="31"/>
      <c r="X90" s="36"/>
      <c r="Z90" s="43"/>
      <c r="AA90" s="31"/>
      <c r="AB90" s="31"/>
      <c r="AC90" s="31"/>
      <c r="AD90" s="31"/>
      <c r="AE90" s="31"/>
      <c r="AF90" s="31"/>
      <c r="AG90" s="31"/>
      <c r="AH90" s="31"/>
    </row>
    <row r="91" spans="1:34">
      <c r="A91" s="31" t="s">
        <v>112</v>
      </c>
      <c r="B91" s="31" t="s">
        <v>217</v>
      </c>
      <c r="C91" s="31" t="s">
        <v>175</v>
      </c>
      <c r="D91" s="77"/>
      <c r="E91" s="31">
        <v>72</v>
      </c>
      <c r="F91" s="31"/>
      <c r="G91" s="31"/>
      <c r="H91" s="50">
        <v>46356</v>
      </c>
      <c r="I91" s="57" t="s">
        <v>212</v>
      </c>
      <c r="J91" s="55"/>
      <c r="K91" s="51"/>
      <c r="L91" s="43"/>
      <c r="M91" s="44"/>
      <c r="N91" s="36"/>
      <c r="O91" s="76"/>
      <c r="P91" s="51"/>
      <c r="Q91" s="43"/>
      <c r="R91" s="44"/>
      <c r="S91" s="70"/>
      <c r="T91" s="47"/>
      <c r="V91" s="43"/>
      <c r="W91" s="31"/>
      <c r="X91" s="36"/>
      <c r="Z91" s="43"/>
      <c r="AA91" s="31"/>
      <c r="AB91" s="31"/>
      <c r="AC91" s="31"/>
      <c r="AD91" s="31"/>
      <c r="AE91" s="31"/>
      <c r="AF91" s="31"/>
      <c r="AG91" s="31"/>
      <c r="AH91" s="31"/>
    </row>
    <row r="92" spans="1:34">
      <c r="A92" s="31" t="s">
        <v>112</v>
      </c>
      <c r="B92" s="31" t="s">
        <v>218</v>
      </c>
      <c r="C92" s="31" t="s">
        <v>175</v>
      </c>
      <c r="D92" s="77"/>
      <c r="E92" s="31">
        <v>73</v>
      </c>
      <c r="F92" s="31"/>
      <c r="G92" s="31"/>
      <c r="H92" s="50">
        <v>46356</v>
      </c>
      <c r="I92" s="57" t="s">
        <v>212</v>
      </c>
      <c r="J92" s="55"/>
      <c r="K92" s="51"/>
      <c r="L92" s="43"/>
      <c r="M92" s="44"/>
      <c r="N92" s="36"/>
      <c r="O92" s="76"/>
      <c r="P92" s="51"/>
      <c r="Q92" s="43"/>
      <c r="R92" s="44"/>
      <c r="S92" s="70"/>
      <c r="T92" s="47"/>
      <c r="V92" s="43"/>
      <c r="W92" s="31"/>
      <c r="X92" s="36"/>
      <c r="Z92" s="43"/>
      <c r="AA92" s="31"/>
      <c r="AB92" s="31"/>
      <c r="AC92" s="31"/>
      <c r="AD92" s="31"/>
      <c r="AE92" s="31"/>
      <c r="AF92" s="31"/>
      <c r="AG92" s="31"/>
      <c r="AH92" s="31"/>
    </row>
    <row r="93" spans="1:34">
      <c r="A93" s="31" t="s">
        <v>112</v>
      </c>
      <c r="B93" s="31" t="s">
        <v>219</v>
      </c>
      <c r="C93" s="31" t="s">
        <v>175</v>
      </c>
      <c r="D93" s="77"/>
      <c r="E93" s="31">
        <v>74</v>
      </c>
      <c r="F93" s="31"/>
      <c r="G93" s="31"/>
      <c r="H93" s="50">
        <v>46356</v>
      </c>
      <c r="I93" s="57" t="s">
        <v>212</v>
      </c>
      <c r="J93" s="55"/>
      <c r="K93" s="51"/>
      <c r="L93" s="43"/>
      <c r="M93" s="44"/>
      <c r="N93" s="36"/>
      <c r="O93" s="76"/>
      <c r="P93" s="51"/>
      <c r="Q93" s="43"/>
      <c r="R93" s="44"/>
      <c r="S93" s="70"/>
      <c r="T93" s="47"/>
      <c r="V93" s="43"/>
      <c r="W93" s="31"/>
      <c r="X93" s="36"/>
      <c r="Z93" s="43"/>
      <c r="AA93" s="31"/>
      <c r="AB93" s="31"/>
      <c r="AC93" s="31"/>
      <c r="AD93" s="31"/>
      <c r="AE93" s="31"/>
      <c r="AF93" s="31"/>
      <c r="AG93" s="31"/>
      <c r="AH93" s="31"/>
    </row>
    <row r="94" spans="1:34">
      <c r="A94" s="31" t="s">
        <v>112</v>
      </c>
      <c r="B94" s="31" t="s">
        <v>220</v>
      </c>
      <c r="C94" s="31" t="s">
        <v>175</v>
      </c>
      <c r="D94" s="77"/>
      <c r="E94" s="31">
        <v>80</v>
      </c>
      <c r="F94" s="31"/>
      <c r="G94" s="31"/>
      <c r="H94" s="50">
        <v>46356</v>
      </c>
      <c r="I94" s="57" t="s">
        <v>212</v>
      </c>
      <c r="J94" s="55"/>
      <c r="K94" s="51"/>
      <c r="L94" s="43"/>
      <c r="M94" s="44"/>
      <c r="N94" s="36"/>
      <c r="O94" s="76"/>
      <c r="P94" s="51"/>
      <c r="Q94" s="43"/>
      <c r="R94" s="44"/>
      <c r="S94" s="70"/>
      <c r="T94" s="47"/>
      <c r="V94" s="43"/>
      <c r="W94" s="31"/>
      <c r="X94" s="36"/>
      <c r="Z94" s="43"/>
      <c r="AA94" s="31"/>
      <c r="AB94" s="31"/>
      <c r="AC94" s="31"/>
      <c r="AD94" s="31"/>
      <c r="AE94" s="31"/>
      <c r="AF94" s="31"/>
      <c r="AG94" s="31"/>
      <c r="AH94" s="31"/>
    </row>
    <row r="95" spans="1:34">
      <c r="A95" s="31" t="s">
        <v>112</v>
      </c>
      <c r="B95" s="31" t="s">
        <v>221</v>
      </c>
      <c r="C95" s="31" t="s">
        <v>175</v>
      </c>
      <c r="D95" s="77"/>
      <c r="E95" s="31">
        <v>81</v>
      </c>
      <c r="F95" s="31"/>
      <c r="G95" s="31"/>
      <c r="H95" s="50">
        <v>46356</v>
      </c>
      <c r="I95" s="57" t="s">
        <v>212</v>
      </c>
      <c r="J95" s="55"/>
      <c r="K95" s="51"/>
      <c r="L95" s="43"/>
      <c r="M95" s="44"/>
      <c r="N95" s="36"/>
      <c r="O95" s="76"/>
      <c r="P95" s="51"/>
      <c r="Q95" s="43"/>
      <c r="R95" s="44"/>
      <c r="S95" s="70"/>
      <c r="T95" s="47"/>
      <c r="V95" s="43"/>
      <c r="W95" s="31"/>
      <c r="X95" s="36"/>
      <c r="Z95" s="43"/>
      <c r="AA95" s="31"/>
      <c r="AB95" s="31"/>
      <c r="AC95" s="31"/>
      <c r="AD95" s="31"/>
      <c r="AE95" s="31"/>
      <c r="AF95" s="31"/>
      <c r="AG95" s="31"/>
      <c r="AH95" s="31"/>
    </row>
    <row r="96" spans="1:34">
      <c r="A96" s="31" t="s">
        <v>112</v>
      </c>
      <c r="B96" s="31" t="s">
        <v>222</v>
      </c>
      <c r="C96" s="31" t="s">
        <v>175</v>
      </c>
      <c r="D96" s="77"/>
      <c r="E96" s="31">
        <v>82</v>
      </c>
      <c r="F96" s="31"/>
      <c r="G96" s="31"/>
      <c r="H96" s="50">
        <v>46356</v>
      </c>
      <c r="I96" s="57" t="s">
        <v>212</v>
      </c>
      <c r="J96" s="55"/>
      <c r="K96" s="51"/>
      <c r="L96" s="43"/>
      <c r="M96" s="44"/>
      <c r="N96" s="36"/>
      <c r="O96" s="76"/>
      <c r="P96" s="51"/>
      <c r="Q96" s="43"/>
      <c r="R96" s="44"/>
      <c r="S96" s="70"/>
      <c r="T96" s="47"/>
      <c r="V96" s="43"/>
      <c r="W96" s="31"/>
      <c r="X96" s="36"/>
      <c r="Z96" s="43"/>
      <c r="AA96" s="31"/>
      <c r="AB96" s="31"/>
      <c r="AC96" s="31"/>
      <c r="AD96" s="31"/>
      <c r="AE96" s="31"/>
      <c r="AF96" s="31"/>
      <c r="AG96" s="31"/>
      <c r="AH96" s="31"/>
    </row>
    <row r="97" spans="1:34">
      <c r="A97" s="31" t="s">
        <v>112</v>
      </c>
      <c r="B97" s="31" t="s">
        <v>223</v>
      </c>
      <c r="C97" s="31" t="s">
        <v>175</v>
      </c>
      <c r="D97" s="77"/>
      <c r="E97" s="31">
        <v>83</v>
      </c>
      <c r="F97" s="31"/>
      <c r="G97" s="31"/>
      <c r="H97" s="50">
        <v>46356</v>
      </c>
      <c r="I97" s="57" t="s">
        <v>212</v>
      </c>
      <c r="J97" s="55"/>
      <c r="K97" s="51"/>
      <c r="L97" s="43"/>
      <c r="M97" s="44"/>
      <c r="N97" s="36"/>
      <c r="O97" s="76"/>
      <c r="P97" s="51"/>
      <c r="Q97" s="43"/>
      <c r="R97" s="44"/>
      <c r="S97" s="70"/>
      <c r="T97" s="47"/>
      <c r="V97" s="43"/>
      <c r="W97" s="31"/>
      <c r="X97" s="36"/>
      <c r="Z97" s="43"/>
      <c r="AA97" s="31"/>
      <c r="AB97" s="31"/>
      <c r="AC97" s="31"/>
      <c r="AD97" s="31"/>
      <c r="AE97" s="31"/>
      <c r="AF97" s="31"/>
      <c r="AG97" s="31"/>
      <c r="AH97" s="31"/>
    </row>
    <row r="98" spans="1:34">
      <c r="A98" s="31" t="s">
        <v>112</v>
      </c>
      <c r="B98" s="31" t="s">
        <v>224</v>
      </c>
      <c r="C98" s="31" t="s">
        <v>175</v>
      </c>
      <c r="D98" s="77"/>
      <c r="E98" s="31">
        <v>84</v>
      </c>
      <c r="F98" s="31"/>
      <c r="G98" s="31"/>
      <c r="H98" s="50">
        <v>46356</v>
      </c>
      <c r="I98" s="57" t="s">
        <v>212</v>
      </c>
      <c r="J98" s="55"/>
      <c r="K98" s="51"/>
      <c r="L98" s="43"/>
      <c r="M98" s="44"/>
      <c r="N98" s="36"/>
      <c r="O98" s="76"/>
      <c r="P98" s="51"/>
      <c r="Q98" s="43"/>
      <c r="R98" s="44"/>
      <c r="S98" s="70"/>
      <c r="T98" s="47"/>
      <c r="V98" s="43"/>
      <c r="W98" s="31"/>
      <c r="X98" s="36"/>
      <c r="Z98" s="43"/>
      <c r="AA98" s="31"/>
      <c r="AB98" s="31"/>
      <c r="AC98" s="31"/>
      <c r="AD98" s="31"/>
      <c r="AE98" s="31"/>
      <c r="AF98" s="31"/>
      <c r="AG98" s="31"/>
      <c r="AH98" s="31"/>
    </row>
    <row r="99" spans="1:34">
      <c r="A99" s="31" t="s">
        <v>112</v>
      </c>
      <c r="B99" s="31" t="s">
        <v>225</v>
      </c>
      <c r="C99" s="31" t="s">
        <v>175</v>
      </c>
      <c r="D99" s="77"/>
      <c r="E99" s="31" t="s">
        <v>226</v>
      </c>
      <c r="F99" s="31"/>
      <c r="G99" s="31"/>
      <c r="H99" s="50">
        <v>46356</v>
      </c>
      <c r="I99" s="57" t="s">
        <v>212</v>
      </c>
      <c r="J99" s="55"/>
      <c r="K99" s="51"/>
      <c r="L99" s="43"/>
      <c r="M99" s="44"/>
      <c r="N99" s="36"/>
      <c r="O99" s="76"/>
      <c r="P99" s="51"/>
      <c r="Q99" s="43"/>
      <c r="R99" s="44"/>
      <c r="S99" s="70"/>
      <c r="T99" s="47"/>
      <c r="V99" s="43"/>
      <c r="W99" s="31"/>
      <c r="X99" s="36"/>
      <c r="Z99" s="43"/>
      <c r="AA99" s="31"/>
      <c r="AB99" s="31"/>
      <c r="AC99" s="31"/>
      <c r="AD99" s="31"/>
      <c r="AE99" s="31"/>
      <c r="AF99" s="31"/>
      <c r="AG99" s="31"/>
      <c r="AH99" s="31"/>
    </row>
    <row r="100" spans="1:34">
      <c r="A100" s="31" t="s">
        <v>112</v>
      </c>
      <c r="B100" s="31" t="s">
        <v>227</v>
      </c>
      <c r="C100" s="31" t="s">
        <v>175</v>
      </c>
      <c r="D100" s="77"/>
      <c r="E100" s="31">
        <v>85</v>
      </c>
      <c r="F100" s="31"/>
      <c r="G100" s="31"/>
      <c r="H100" s="50">
        <v>46356</v>
      </c>
      <c r="I100" s="57" t="s">
        <v>212</v>
      </c>
      <c r="J100" s="55"/>
      <c r="K100" s="51"/>
      <c r="L100" s="43"/>
      <c r="M100" s="44"/>
      <c r="N100" s="36"/>
      <c r="O100" s="76"/>
      <c r="P100" s="51"/>
      <c r="Q100" s="43"/>
      <c r="R100" s="44"/>
      <c r="S100" s="70"/>
      <c r="T100" s="47"/>
      <c r="V100" s="43"/>
      <c r="W100" s="31"/>
      <c r="X100" s="36"/>
      <c r="Z100" s="43"/>
      <c r="AA100" s="31"/>
      <c r="AB100" s="31"/>
      <c r="AC100" s="31"/>
      <c r="AD100" s="31"/>
      <c r="AE100" s="31"/>
      <c r="AF100" s="31"/>
      <c r="AG100" s="31"/>
      <c r="AH100" s="31"/>
    </row>
    <row r="101" spans="1:34">
      <c r="A101" s="31" t="s">
        <v>228</v>
      </c>
      <c r="B101" s="31" t="s">
        <v>229</v>
      </c>
      <c r="C101" s="31" t="s">
        <v>175</v>
      </c>
      <c r="E101" s="31">
        <v>1</v>
      </c>
      <c r="F101" s="31" t="s">
        <v>115</v>
      </c>
      <c r="G101" s="31"/>
      <c r="H101" s="28">
        <v>46387</v>
      </c>
      <c r="I101" s="57" t="s">
        <v>230</v>
      </c>
      <c r="J101" s="55"/>
      <c r="L101" s="43"/>
      <c r="M101" s="31"/>
      <c r="N101" s="36"/>
      <c r="O101" s="76"/>
      <c r="Q101" s="43"/>
      <c r="R101" s="31"/>
      <c r="S101" s="70"/>
      <c r="T101" s="47"/>
      <c r="V101" s="43"/>
      <c r="W101" s="31"/>
      <c r="X101" s="36"/>
      <c r="Z101" s="43"/>
      <c r="AA101" s="31"/>
      <c r="AB101" s="31"/>
      <c r="AC101" s="31"/>
      <c r="AD101" s="31"/>
      <c r="AE101" s="31"/>
      <c r="AF101" s="31"/>
      <c r="AG101" s="31"/>
      <c r="AH101" s="31"/>
    </row>
    <row r="102" spans="1:34">
      <c r="A102" s="31" t="s">
        <v>228</v>
      </c>
      <c r="B102" s="31" t="s">
        <v>231</v>
      </c>
      <c r="C102" s="31" t="s">
        <v>175</v>
      </c>
      <c r="E102" s="31">
        <v>2</v>
      </c>
      <c r="F102" s="31" t="s">
        <v>115</v>
      </c>
      <c r="G102" s="31"/>
      <c r="H102" s="28">
        <v>46387</v>
      </c>
      <c r="I102" s="57" t="s">
        <v>230</v>
      </c>
      <c r="J102" s="55"/>
      <c r="L102" s="43"/>
      <c r="M102" s="31"/>
      <c r="N102" s="36"/>
      <c r="O102" s="76"/>
      <c r="Q102" s="43"/>
      <c r="R102" s="31"/>
      <c r="S102" s="70"/>
      <c r="T102" s="47"/>
      <c r="V102" s="43"/>
      <c r="W102" s="31"/>
      <c r="X102" s="36"/>
      <c r="Z102" s="43"/>
      <c r="AA102" s="31"/>
      <c r="AB102" s="31"/>
      <c r="AC102" s="31"/>
      <c r="AD102" s="31"/>
      <c r="AE102" s="31"/>
      <c r="AF102" s="31"/>
      <c r="AG102" s="31"/>
      <c r="AH102" s="31"/>
    </row>
    <row r="103" spans="1:34">
      <c r="A103" s="31" t="s">
        <v>228</v>
      </c>
      <c r="B103" s="31" t="s">
        <v>232</v>
      </c>
      <c r="C103" s="31" t="s">
        <v>175</v>
      </c>
      <c r="E103" s="31">
        <v>3</v>
      </c>
      <c r="F103" s="31" t="s">
        <v>115</v>
      </c>
      <c r="G103" s="31"/>
      <c r="H103" s="28">
        <v>46387</v>
      </c>
      <c r="I103" s="57" t="s">
        <v>230</v>
      </c>
      <c r="J103" s="55"/>
      <c r="L103" s="43"/>
      <c r="M103" s="31"/>
      <c r="N103" s="36"/>
      <c r="O103" s="76"/>
      <c r="Q103" s="43"/>
      <c r="R103" s="31"/>
      <c r="S103" s="70"/>
      <c r="T103" s="47"/>
      <c r="V103" s="43"/>
      <c r="W103" s="31"/>
      <c r="X103" s="36"/>
      <c r="Z103" s="43"/>
      <c r="AA103" s="31"/>
      <c r="AB103" s="31"/>
      <c r="AC103" s="31"/>
      <c r="AD103" s="31"/>
      <c r="AE103" s="31"/>
      <c r="AF103" s="31"/>
      <c r="AG103" s="31"/>
      <c r="AH103" s="31"/>
    </row>
    <row r="104" spans="1:34">
      <c r="A104" s="31" t="s">
        <v>233</v>
      </c>
      <c r="B104" s="31" t="s">
        <v>234</v>
      </c>
      <c r="C104" s="31" t="s">
        <v>175</v>
      </c>
      <c r="E104" s="31">
        <v>4</v>
      </c>
      <c r="F104" s="31" t="s">
        <v>130</v>
      </c>
      <c r="G104" s="31"/>
      <c r="H104" s="28">
        <v>46387</v>
      </c>
      <c r="I104" s="57" t="s">
        <v>230</v>
      </c>
      <c r="J104" s="55"/>
      <c r="L104" s="43"/>
      <c r="M104" s="31"/>
      <c r="N104" s="36"/>
      <c r="O104" s="76"/>
      <c r="Q104" s="43"/>
      <c r="R104" s="31"/>
      <c r="S104" s="70"/>
      <c r="T104" s="47"/>
      <c r="V104" s="43"/>
      <c r="W104" s="31"/>
      <c r="X104" s="36"/>
      <c r="Z104" s="43"/>
      <c r="AA104" s="31"/>
      <c r="AB104" s="31"/>
      <c r="AC104" s="31"/>
      <c r="AD104" s="31"/>
      <c r="AE104" s="31"/>
      <c r="AF104" s="31"/>
      <c r="AG104" s="31"/>
      <c r="AH104" s="31"/>
    </row>
    <row r="105" spans="1:34">
      <c r="A105" s="31" t="s">
        <v>228</v>
      </c>
      <c r="B105" s="31" t="s">
        <v>235</v>
      </c>
      <c r="C105" s="31" t="s">
        <v>175</v>
      </c>
      <c r="E105" s="31">
        <v>5</v>
      </c>
      <c r="F105" s="31" t="s">
        <v>115</v>
      </c>
      <c r="G105" s="31"/>
      <c r="H105" s="28">
        <v>46387</v>
      </c>
      <c r="I105" s="57" t="s">
        <v>230</v>
      </c>
      <c r="J105" s="55"/>
      <c r="L105" s="43"/>
      <c r="M105" s="31"/>
      <c r="N105" s="36"/>
      <c r="O105" s="76"/>
      <c r="Q105" s="43"/>
      <c r="R105" s="31"/>
      <c r="S105" s="70"/>
      <c r="T105" s="47"/>
      <c r="V105" s="43"/>
      <c r="W105" s="31"/>
      <c r="X105" s="36"/>
      <c r="Z105" s="43"/>
      <c r="AA105" s="31"/>
      <c r="AB105" s="31"/>
      <c r="AC105" s="31"/>
      <c r="AD105" s="31"/>
      <c r="AE105" s="31"/>
      <c r="AF105" s="31"/>
      <c r="AG105" s="31"/>
      <c r="AH105" s="31"/>
    </row>
    <row r="106" spans="1:34">
      <c r="A106" s="31" t="s">
        <v>228</v>
      </c>
      <c r="B106" s="31" t="s">
        <v>236</v>
      </c>
      <c r="C106" s="31" t="s">
        <v>175</v>
      </c>
      <c r="E106" s="31">
        <v>6</v>
      </c>
      <c r="F106" s="31" t="s">
        <v>115</v>
      </c>
      <c r="G106" s="31"/>
      <c r="H106" s="28">
        <v>46387</v>
      </c>
      <c r="I106" s="57" t="s">
        <v>230</v>
      </c>
      <c r="J106" s="55"/>
      <c r="L106" s="43"/>
      <c r="M106" s="31"/>
      <c r="N106" s="36"/>
      <c r="O106" s="76"/>
      <c r="Q106" s="43"/>
      <c r="R106" s="31"/>
      <c r="S106" s="70"/>
      <c r="T106" s="47"/>
      <c r="V106" s="43"/>
      <c r="W106" s="31"/>
      <c r="X106" s="36"/>
      <c r="Z106" s="43"/>
      <c r="AA106" s="31"/>
      <c r="AB106" s="31"/>
      <c r="AC106" s="31"/>
      <c r="AD106" s="31"/>
      <c r="AE106" s="31"/>
      <c r="AF106" s="31"/>
      <c r="AG106" s="31"/>
      <c r="AH106" s="31"/>
    </row>
    <row r="107" spans="1:34">
      <c r="A107" s="31" t="s">
        <v>228</v>
      </c>
      <c r="B107" s="31" t="s">
        <v>237</v>
      </c>
      <c r="C107" s="31" t="s">
        <v>175</v>
      </c>
      <c r="E107" s="31">
        <v>7</v>
      </c>
      <c r="F107" s="31" t="s">
        <v>115</v>
      </c>
      <c r="G107" s="31"/>
      <c r="H107" s="28">
        <v>46387</v>
      </c>
      <c r="I107" s="57" t="s">
        <v>230</v>
      </c>
      <c r="J107" s="55"/>
      <c r="L107" s="43"/>
      <c r="M107" s="31"/>
      <c r="N107" s="36"/>
      <c r="O107" s="76"/>
      <c r="Q107" s="43"/>
      <c r="R107" s="31"/>
      <c r="S107" s="70"/>
      <c r="T107" s="47"/>
      <c r="V107" s="43"/>
      <c r="W107" s="31"/>
      <c r="X107" s="36"/>
      <c r="Z107" s="43"/>
      <c r="AA107" s="31"/>
      <c r="AB107" s="31"/>
      <c r="AC107" s="31"/>
      <c r="AD107" s="31"/>
      <c r="AE107" s="31"/>
      <c r="AF107" s="31"/>
      <c r="AG107" s="31"/>
      <c r="AH107" s="31"/>
    </row>
    <row r="108" spans="1:34">
      <c r="A108" s="31" t="s">
        <v>228</v>
      </c>
      <c r="B108" s="31" t="s">
        <v>238</v>
      </c>
      <c r="C108" s="31" t="s">
        <v>175</v>
      </c>
      <c r="E108" s="31">
        <v>8</v>
      </c>
      <c r="F108" s="31" t="s">
        <v>115</v>
      </c>
      <c r="G108" s="31"/>
      <c r="H108" s="28">
        <v>46387</v>
      </c>
      <c r="I108" s="57" t="s">
        <v>230</v>
      </c>
      <c r="J108" s="55"/>
      <c r="L108" s="43"/>
      <c r="M108" s="31"/>
      <c r="N108" s="36"/>
      <c r="O108" s="76"/>
      <c r="Q108" s="43"/>
      <c r="R108" s="31"/>
      <c r="S108" s="70"/>
      <c r="T108" s="47"/>
      <c r="V108" s="43"/>
      <c r="W108" s="31"/>
      <c r="X108" s="36"/>
      <c r="Z108" s="43"/>
      <c r="AA108" s="31"/>
      <c r="AB108" s="31"/>
      <c r="AC108" s="31"/>
      <c r="AD108" s="31"/>
      <c r="AE108" s="31"/>
      <c r="AF108" s="31"/>
      <c r="AG108" s="31"/>
      <c r="AH108" s="31"/>
    </row>
    <row r="109" spans="1:34">
      <c r="A109" s="31" t="s">
        <v>233</v>
      </c>
      <c r="B109" s="31" t="s">
        <v>239</v>
      </c>
      <c r="C109" s="31" t="s">
        <v>175</v>
      </c>
      <c r="E109" s="31">
        <v>9</v>
      </c>
      <c r="F109" s="31" t="s">
        <v>130</v>
      </c>
      <c r="G109" s="31"/>
      <c r="H109" s="28">
        <v>46387</v>
      </c>
      <c r="I109" s="57" t="s">
        <v>230</v>
      </c>
      <c r="J109" s="55"/>
      <c r="L109" s="43"/>
      <c r="M109" s="31"/>
      <c r="N109" s="36"/>
      <c r="O109" s="76"/>
      <c r="Q109" s="43"/>
      <c r="R109" s="31"/>
      <c r="S109" s="70"/>
      <c r="T109" s="47"/>
      <c r="V109" s="43"/>
      <c r="W109" s="31"/>
      <c r="X109" s="36"/>
      <c r="Z109" s="43"/>
      <c r="AA109" s="31"/>
      <c r="AB109" s="31"/>
      <c r="AC109" s="31"/>
      <c r="AD109" s="31"/>
      <c r="AE109" s="31"/>
      <c r="AF109" s="31"/>
      <c r="AG109" s="31"/>
      <c r="AH109" s="31"/>
    </row>
    <row r="110" spans="1:34">
      <c r="A110" s="31" t="s">
        <v>228</v>
      </c>
      <c r="B110" s="31" t="s">
        <v>240</v>
      </c>
      <c r="C110" s="31" t="s">
        <v>175</v>
      </c>
      <c r="E110" s="31">
        <v>10</v>
      </c>
      <c r="F110" s="31" t="s">
        <v>115</v>
      </c>
      <c r="G110" s="31"/>
      <c r="H110" s="28">
        <v>46387</v>
      </c>
      <c r="I110" s="57" t="s">
        <v>230</v>
      </c>
      <c r="J110" s="55"/>
      <c r="L110" s="43"/>
      <c r="M110" s="31"/>
      <c r="N110" s="36"/>
      <c r="O110" s="76"/>
      <c r="Q110" s="43"/>
      <c r="R110" s="31"/>
      <c r="S110" s="70"/>
      <c r="T110" s="47"/>
      <c r="V110" s="43"/>
      <c r="W110" s="31"/>
      <c r="X110" s="36"/>
      <c r="Z110" s="43"/>
      <c r="AA110" s="31"/>
      <c r="AB110" s="31"/>
      <c r="AC110" s="31"/>
      <c r="AD110" s="31"/>
      <c r="AE110" s="31"/>
      <c r="AF110" s="31"/>
      <c r="AG110" s="31"/>
      <c r="AH110" s="31"/>
    </row>
    <row r="111" spans="1:34">
      <c r="A111" s="31" t="s">
        <v>233</v>
      </c>
      <c r="B111" s="31" t="s">
        <v>241</v>
      </c>
      <c r="C111" s="31" t="s">
        <v>175</v>
      </c>
      <c r="E111" s="31">
        <v>11</v>
      </c>
      <c r="F111" s="31" t="s">
        <v>130</v>
      </c>
      <c r="G111" s="31"/>
      <c r="H111" s="28">
        <v>46387</v>
      </c>
      <c r="I111" s="57" t="s">
        <v>230</v>
      </c>
      <c r="J111" s="55"/>
      <c r="L111" s="43"/>
      <c r="M111" s="31"/>
      <c r="N111" s="36"/>
      <c r="O111" s="76"/>
      <c r="Q111" s="43"/>
      <c r="R111" s="31"/>
      <c r="S111" s="70"/>
      <c r="T111" s="47"/>
      <c r="V111" s="43"/>
      <c r="W111" s="31"/>
      <c r="X111" s="36"/>
      <c r="Z111" s="43"/>
      <c r="AA111" s="31"/>
      <c r="AB111" s="31"/>
      <c r="AC111" s="31"/>
      <c r="AD111" s="31"/>
      <c r="AE111" s="31"/>
      <c r="AF111" s="31"/>
      <c r="AG111" s="31"/>
      <c r="AH111" s="31"/>
    </row>
    <row r="112" spans="1:34">
      <c r="A112" s="31" t="s">
        <v>233</v>
      </c>
      <c r="B112" s="31" t="s">
        <v>242</v>
      </c>
      <c r="C112" s="31" t="s">
        <v>175</v>
      </c>
      <c r="E112" s="31">
        <v>12</v>
      </c>
      <c r="F112" s="31" t="s">
        <v>130</v>
      </c>
      <c r="G112" s="31"/>
      <c r="H112" s="28">
        <v>46387</v>
      </c>
      <c r="I112" s="57" t="s">
        <v>230</v>
      </c>
      <c r="J112" s="55"/>
      <c r="L112" s="43"/>
      <c r="M112" s="31"/>
      <c r="N112" s="36"/>
      <c r="O112" s="76"/>
      <c r="Q112" s="43"/>
      <c r="R112" s="31"/>
      <c r="S112" s="70"/>
      <c r="T112" s="47"/>
      <c r="V112" s="43"/>
      <c r="W112" s="31"/>
      <c r="X112" s="36"/>
      <c r="Z112" s="43"/>
      <c r="AA112" s="31"/>
      <c r="AB112" s="31"/>
      <c r="AC112" s="31"/>
      <c r="AD112" s="31"/>
      <c r="AE112" s="31"/>
      <c r="AF112" s="31"/>
      <c r="AG112" s="31"/>
      <c r="AH112" s="31"/>
    </row>
    <row r="113" spans="1:34">
      <c r="A113" s="31" t="s">
        <v>233</v>
      </c>
      <c r="B113" s="31" t="s">
        <v>243</v>
      </c>
      <c r="C113" s="31" t="s">
        <v>175</v>
      </c>
      <c r="E113" s="31">
        <v>13</v>
      </c>
      <c r="F113" s="31" t="s">
        <v>130</v>
      </c>
      <c r="G113" s="31"/>
      <c r="H113" s="28">
        <v>46387</v>
      </c>
      <c r="I113" s="57" t="s">
        <v>230</v>
      </c>
      <c r="J113" s="55"/>
      <c r="L113" s="43"/>
      <c r="M113" s="31"/>
      <c r="N113" s="36"/>
      <c r="O113" s="76"/>
      <c r="Q113" s="43"/>
      <c r="R113" s="31"/>
      <c r="S113" s="70"/>
      <c r="T113" s="47"/>
      <c r="V113" s="43"/>
      <c r="W113" s="31"/>
      <c r="X113" s="36"/>
      <c r="Z113" s="43"/>
      <c r="AA113" s="31"/>
      <c r="AB113" s="31"/>
      <c r="AC113" s="31"/>
      <c r="AD113" s="31"/>
      <c r="AE113" s="31"/>
      <c r="AF113" s="31"/>
      <c r="AG113" s="31"/>
      <c r="AH113" s="31"/>
    </row>
    <row r="114" spans="1:34">
      <c r="A114" s="31" t="s">
        <v>233</v>
      </c>
      <c r="B114" s="31" t="s">
        <v>244</v>
      </c>
      <c r="C114" s="31" t="s">
        <v>175</v>
      </c>
      <c r="E114" s="31">
        <v>14</v>
      </c>
      <c r="F114" s="31" t="s">
        <v>130</v>
      </c>
      <c r="G114" s="31"/>
      <c r="H114" s="28">
        <v>46387</v>
      </c>
      <c r="I114" s="57" t="s">
        <v>230</v>
      </c>
      <c r="J114" s="55"/>
      <c r="L114" s="43"/>
      <c r="M114" s="31"/>
      <c r="N114" s="36"/>
      <c r="O114" s="76"/>
      <c r="Q114" s="43"/>
      <c r="R114" s="31"/>
      <c r="S114" s="70"/>
      <c r="T114" s="47"/>
      <c r="V114" s="43"/>
      <c r="W114" s="31"/>
      <c r="X114" s="36"/>
      <c r="Z114" s="43"/>
      <c r="AA114" s="31"/>
      <c r="AB114" s="31"/>
      <c r="AC114" s="31"/>
      <c r="AD114" s="31"/>
      <c r="AE114" s="31"/>
      <c r="AF114" s="31"/>
      <c r="AG114" s="31"/>
      <c r="AH114" s="31"/>
    </row>
    <row r="115" spans="1:34">
      <c r="A115" s="31" t="s">
        <v>233</v>
      </c>
      <c r="B115" s="31" t="s">
        <v>245</v>
      </c>
      <c r="C115" s="31" t="s">
        <v>175</v>
      </c>
      <c r="E115" s="31">
        <v>15</v>
      </c>
      <c r="F115" s="31" t="s">
        <v>130</v>
      </c>
      <c r="G115" s="31"/>
      <c r="H115" s="28">
        <v>46387</v>
      </c>
      <c r="I115" s="57" t="s">
        <v>230</v>
      </c>
      <c r="J115" s="55"/>
      <c r="L115" s="43"/>
      <c r="M115" s="31"/>
      <c r="N115" s="36"/>
      <c r="O115" s="76"/>
      <c r="Q115" s="43"/>
      <c r="R115" s="31"/>
      <c r="S115" s="70"/>
      <c r="T115" s="47"/>
      <c r="V115" s="43"/>
      <c r="W115" s="31"/>
      <c r="X115" s="36"/>
      <c r="Z115" s="43"/>
      <c r="AA115" s="31"/>
      <c r="AB115" s="31"/>
      <c r="AC115" s="31"/>
      <c r="AD115" s="31"/>
      <c r="AE115" s="31"/>
      <c r="AF115" s="31"/>
      <c r="AG115" s="31"/>
      <c r="AH115" s="31"/>
    </row>
    <row r="116" spans="1:34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4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4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4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4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4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4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4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4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4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4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4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4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  <row r="500" spans="1:31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67"/>
      <c r="Q500" s="31"/>
      <c r="R500" s="31"/>
      <c r="S500" s="72"/>
      <c r="T500" s="31"/>
      <c r="V500" s="31"/>
      <c r="W500" s="31"/>
      <c r="X500" s="31"/>
      <c r="Z500" s="31"/>
      <c r="AA500" s="31"/>
      <c r="AB500" s="31"/>
      <c r="AC500" s="31"/>
      <c r="AE500" s="31"/>
    </row>
    <row r="501" spans="1:31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67"/>
      <c r="Q501" s="31"/>
      <c r="R501" s="31"/>
      <c r="S501" s="72"/>
      <c r="T501" s="31"/>
      <c r="V501" s="31"/>
      <c r="W501" s="31"/>
      <c r="X501" s="31"/>
      <c r="Z501" s="31"/>
      <c r="AA501" s="31"/>
      <c r="AB501" s="31"/>
      <c r="AC501" s="31"/>
      <c r="AE501" s="31"/>
    </row>
    <row r="502" spans="1:31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67"/>
      <c r="Q502" s="31"/>
      <c r="R502" s="31"/>
      <c r="S502" s="72"/>
      <c r="T502" s="31"/>
      <c r="V502" s="31"/>
      <c r="W502" s="31"/>
      <c r="X502" s="31"/>
      <c r="Z502" s="31"/>
      <c r="AA502" s="31"/>
      <c r="AB502" s="31"/>
      <c r="AC502" s="31"/>
      <c r="AE502" s="31"/>
    </row>
    <row r="503" spans="1:31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67"/>
      <c r="Q503" s="31"/>
      <c r="R503" s="31"/>
      <c r="S503" s="72"/>
      <c r="T503" s="31"/>
      <c r="V503" s="31"/>
      <c r="W503" s="31"/>
      <c r="X503" s="31"/>
      <c r="Z503" s="31"/>
      <c r="AA503" s="31"/>
      <c r="AB503" s="31"/>
      <c r="AC503" s="31"/>
      <c r="AE503" s="31"/>
    </row>
    <row r="504" spans="1:31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67"/>
      <c r="Q504" s="31"/>
      <c r="R504" s="31"/>
      <c r="S504" s="72"/>
      <c r="T504" s="31"/>
      <c r="V504" s="31"/>
      <c r="W504" s="31"/>
      <c r="X504" s="31"/>
      <c r="Z504" s="31"/>
      <c r="AA504" s="31"/>
      <c r="AB504" s="31"/>
      <c r="AC504" s="31"/>
      <c r="AE504" s="31"/>
    </row>
    <row r="505" spans="1:31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67"/>
      <c r="Q505" s="31"/>
      <c r="R505" s="31"/>
      <c r="S505" s="72"/>
      <c r="T505" s="31"/>
      <c r="V505" s="31"/>
      <c r="W505" s="31"/>
      <c r="X505" s="31"/>
      <c r="Z505" s="31"/>
      <c r="AA505" s="31"/>
      <c r="AB505" s="31"/>
      <c r="AC505" s="31"/>
      <c r="AE505" s="31"/>
    </row>
    <row r="506" spans="1:31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67"/>
      <c r="Q506" s="31"/>
      <c r="R506" s="31"/>
      <c r="S506" s="72"/>
      <c r="T506" s="31"/>
      <c r="V506" s="31"/>
      <c r="W506" s="31"/>
      <c r="X506" s="31"/>
      <c r="Z506" s="31"/>
      <c r="AA506" s="31"/>
      <c r="AB506" s="31"/>
      <c r="AC506" s="31"/>
      <c r="AE506" s="31"/>
    </row>
    <row r="507" spans="1:31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67"/>
      <c r="Q507" s="31"/>
      <c r="R507" s="31"/>
      <c r="S507" s="72"/>
      <c r="T507" s="31"/>
      <c r="V507" s="31"/>
      <c r="W507" s="31"/>
      <c r="X507" s="31"/>
      <c r="Z507" s="31"/>
      <c r="AA507" s="31"/>
      <c r="AB507" s="31"/>
      <c r="AC507" s="31"/>
      <c r="AE507" s="31"/>
    </row>
    <row r="508" spans="1:31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67"/>
      <c r="Q508" s="31"/>
      <c r="R508" s="31"/>
      <c r="S508" s="72"/>
      <c r="T508" s="31"/>
      <c r="V508" s="31"/>
      <c r="W508" s="31"/>
      <c r="X508" s="31"/>
      <c r="Z508" s="31"/>
      <c r="AA508" s="31"/>
      <c r="AB508" s="31"/>
      <c r="AC508" s="31"/>
      <c r="AE508" s="31"/>
    </row>
    <row r="509" spans="1:31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67"/>
      <c r="Q509" s="31"/>
      <c r="R509" s="31"/>
      <c r="S509" s="72"/>
      <c r="T509" s="31"/>
      <c r="V509" s="31"/>
      <c r="W509" s="31"/>
      <c r="X509" s="31"/>
      <c r="Z509" s="31"/>
      <c r="AA509" s="31"/>
      <c r="AB509" s="31"/>
      <c r="AC509" s="31"/>
      <c r="AE509" s="31"/>
    </row>
    <row r="510" spans="1:31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67"/>
      <c r="Q510" s="31"/>
      <c r="R510" s="31"/>
      <c r="S510" s="72"/>
      <c r="T510" s="31"/>
      <c r="V510" s="31"/>
      <c r="W510" s="31"/>
      <c r="X510" s="31"/>
      <c r="Z510" s="31"/>
      <c r="AA510" s="31"/>
      <c r="AB510" s="31"/>
      <c r="AC510" s="31"/>
      <c r="AE510" s="31"/>
    </row>
    <row r="511" spans="1:31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67"/>
      <c r="Q511" s="31"/>
      <c r="R511" s="31"/>
      <c r="S511" s="72"/>
      <c r="T511" s="31"/>
      <c r="V511" s="31"/>
      <c r="W511" s="31"/>
      <c r="X511" s="31"/>
      <c r="Z511" s="31"/>
      <c r="AA511" s="31"/>
      <c r="AB511" s="31"/>
      <c r="AC511" s="31"/>
      <c r="AE511" s="31"/>
    </row>
    <row r="512" spans="1:31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67"/>
      <c r="Q512" s="31"/>
      <c r="R512" s="31"/>
      <c r="S512" s="72"/>
      <c r="T512" s="31"/>
      <c r="V512" s="31"/>
      <c r="W512" s="31"/>
      <c r="X512" s="31"/>
      <c r="Z512" s="31"/>
      <c r="AA512" s="31"/>
      <c r="AB512" s="31"/>
      <c r="AC512" s="31"/>
      <c r="AE512" s="31"/>
    </row>
    <row r="513" spans="1:31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67"/>
      <c r="Q513" s="31"/>
      <c r="R513" s="31"/>
      <c r="S513" s="72"/>
      <c r="T513" s="31"/>
      <c r="V513" s="31"/>
      <c r="W513" s="31"/>
      <c r="X513" s="31"/>
      <c r="Z513" s="31"/>
      <c r="AA513" s="31"/>
      <c r="AB513" s="31"/>
      <c r="AC513" s="31"/>
      <c r="AE513" s="31"/>
    </row>
    <row r="514" spans="1:31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67"/>
      <c r="Q514" s="31"/>
      <c r="R514" s="31"/>
      <c r="S514" s="72"/>
      <c r="T514" s="31"/>
      <c r="V514" s="31"/>
      <c r="W514" s="31"/>
      <c r="X514" s="31"/>
      <c r="Z514" s="31"/>
      <c r="AA514" s="31"/>
      <c r="AB514" s="31"/>
      <c r="AC514" s="31"/>
      <c r="AE514" s="31"/>
    </row>
    <row r="515" spans="1:31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67"/>
      <c r="Q515" s="31"/>
      <c r="R515" s="31"/>
      <c r="S515" s="72"/>
      <c r="T515" s="31"/>
      <c r="V515" s="31"/>
      <c r="W515" s="31"/>
      <c r="X515" s="31"/>
      <c r="Z515" s="31"/>
      <c r="AA515" s="31"/>
      <c r="AB515" s="31"/>
      <c r="AC515" s="31"/>
      <c r="AE515" s="31"/>
    </row>
    <row r="516" spans="1:31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67"/>
      <c r="Q516" s="31"/>
      <c r="R516" s="31"/>
      <c r="S516" s="72"/>
      <c r="T516" s="31"/>
      <c r="V516" s="31"/>
      <c r="W516" s="31"/>
      <c r="X516" s="31"/>
      <c r="Z516" s="31"/>
      <c r="AA516" s="31"/>
      <c r="AB516" s="31"/>
      <c r="AC516" s="31"/>
      <c r="AE516" s="31"/>
    </row>
    <row r="517" spans="1:31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67"/>
      <c r="Q517" s="31"/>
      <c r="R517" s="31"/>
      <c r="S517" s="72"/>
      <c r="T517" s="31"/>
      <c r="V517" s="31"/>
      <c r="W517" s="31"/>
      <c r="X517" s="31"/>
      <c r="Z517" s="31"/>
      <c r="AA517" s="31"/>
      <c r="AB517" s="31"/>
      <c r="AC517" s="31"/>
      <c r="AE517" s="31"/>
    </row>
    <row r="518" spans="1:31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67"/>
      <c r="Q518" s="31"/>
      <c r="R518" s="31"/>
      <c r="S518" s="72"/>
      <c r="T518" s="31"/>
      <c r="V518" s="31"/>
      <c r="W518" s="31"/>
      <c r="X518" s="31"/>
      <c r="Z518" s="31"/>
      <c r="AA518" s="31"/>
      <c r="AB518" s="31"/>
      <c r="AC518" s="31"/>
      <c r="AE518" s="31"/>
    </row>
    <row r="519" spans="1:31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67"/>
      <c r="Q519" s="31"/>
      <c r="R519" s="31"/>
      <c r="S519" s="72"/>
      <c r="T519" s="31"/>
      <c r="V519" s="31"/>
      <c r="W519" s="31"/>
      <c r="X519" s="31"/>
      <c r="Z519" s="31"/>
      <c r="AA519" s="31"/>
      <c r="AB519" s="31"/>
      <c r="AC519" s="31"/>
      <c r="AE519" s="31"/>
    </row>
    <row r="520" spans="1:31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67"/>
      <c r="Q520" s="31"/>
      <c r="R520" s="31"/>
      <c r="S520" s="72"/>
      <c r="T520" s="31"/>
      <c r="V520" s="31"/>
      <c r="W520" s="31"/>
      <c r="X520" s="31"/>
      <c r="Z520" s="31"/>
      <c r="AA520" s="31"/>
      <c r="AB520" s="31"/>
      <c r="AC520" s="31"/>
      <c r="AE520" s="31"/>
    </row>
    <row r="521" spans="1:31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67"/>
      <c r="Q521" s="31"/>
      <c r="R521" s="31"/>
      <c r="S521" s="72"/>
      <c r="T521" s="31"/>
      <c r="V521" s="31"/>
      <c r="W521" s="31"/>
      <c r="X521" s="31"/>
      <c r="Z521" s="31"/>
      <c r="AA521" s="31"/>
      <c r="AB521" s="31"/>
      <c r="AC521" s="31"/>
      <c r="AE521" s="31"/>
    </row>
    <row r="522" spans="1:31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67"/>
      <c r="Q522" s="31"/>
      <c r="R522" s="31"/>
      <c r="S522" s="72"/>
      <c r="T522" s="31"/>
      <c r="V522" s="31"/>
      <c r="W522" s="31"/>
      <c r="X522" s="31"/>
      <c r="Z522" s="31"/>
      <c r="AA522" s="31"/>
      <c r="AB522" s="31"/>
      <c r="AC522" s="31"/>
      <c r="AE522" s="31"/>
    </row>
    <row r="523" spans="1:31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67"/>
      <c r="Q523" s="31"/>
      <c r="R523" s="31"/>
      <c r="S523" s="72"/>
      <c r="T523" s="31"/>
      <c r="V523" s="31"/>
      <c r="W523" s="31"/>
      <c r="X523" s="31"/>
      <c r="Z523" s="31"/>
      <c r="AA523" s="31"/>
      <c r="AB523" s="31"/>
      <c r="AC523" s="31"/>
      <c r="AE523" s="31"/>
    </row>
    <row r="524" spans="1:31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67"/>
      <c r="Q524" s="31"/>
      <c r="R524" s="31"/>
      <c r="S524" s="72"/>
      <c r="T524" s="31"/>
      <c r="V524" s="31"/>
      <c r="W524" s="31"/>
      <c r="X524" s="31"/>
      <c r="Z524" s="31"/>
      <c r="AA524" s="31"/>
      <c r="AB524" s="31"/>
      <c r="AC524" s="31"/>
      <c r="AE524" s="31"/>
    </row>
    <row r="525" spans="1:31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67"/>
      <c r="Q525" s="31"/>
      <c r="R525" s="31"/>
      <c r="S525" s="72"/>
      <c r="T525" s="31"/>
      <c r="V525" s="31"/>
      <c r="W525" s="31"/>
      <c r="X525" s="31"/>
      <c r="Z525" s="31"/>
      <c r="AA525" s="31"/>
      <c r="AB525" s="31"/>
      <c r="AC525" s="31"/>
      <c r="AE525" s="31"/>
    </row>
    <row r="526" spans="1:31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67"/>
      <c r="Q526" s="31"/>
      <c r="R526" s="31"/>
      <c r="S526" s="72"/>
      <c r="T526" s="31"/>
      <c r="V526" s="31"/>
      <c r="W526" s="31"/>
      <c r="X526" s="31"/>
      <c r="Z526" s="31"/>
      <c r="AA526" s="31"/>
      <c r="AB526" s="31"/>
      <c r="AC526" s="31"/>
      <c r="AE526" s="31"/>
    </row>
  </sheetData>
  <sheetProtection sheet="1" formatColumns="0" formatRows="0" sort="0" autoFilter="0"/>
  <phoneticPr fontId="19" type="noConversion"/>
  <conditionalFormatting sqref="D2:D526">
    <cfRule type="expression" dxfId="98" priority="18">
      <formula>ISNUMBER(SEARCH("Blocked",$D2))</formula>
    </cfRule>
    <cfRule type="expression" dxfId="97" priority="19">
      <formula>ISNUMBER(SEARCH("overdue",$D2))</formula>
    </cfRule>
    <cfRule type="expression" dxfId="96" priority="20">
      <formula>ISNUMBER(SEARCH("no target",$D2))</formula>
    </cfRule>
    <cfRule type="expression" dxfId="95" priority="21">
      <formula>ISNUMBER(SEARCH("Review",$D2))</formula>
    </cfRule>
    <cfRule type="expression" dxfId="94" priority="22">
      <formula>OR($D2="On track",$D2="Delivered")</formula>
    </cfRule>
  </conditionalFormatting>
  <conditionalFormatting sqref="J2:N191">
    <cfRule type="expression" dxfId="93" priority="1">
      <formula>$AF2="Yes – needs DB Dev to fix"</formula>
    </cfRule>
  </conditionalFormatting>
  <conditionalFormatting sqref="K40:K41 P74:T100">
    <cfRule type="expression" dxfId="92" priority="8">
      <formula>$AF40="Yes – needs PBI Dev to fix"</formula>
    </cfRule>
  </conditionalFormatting>
  <conditionalFormatting sqref="K41">
    <cfRule type="expression" dxfId="91" priority="284">
      <formula>AND($B41&lt;&gt;"",MOD(ROW(),2)=0)</formula>
    </cfRule>
    <cfRule type="expression" dxfId="90" priority="285">
      <formula>$AF41="Yes – needs DB Dev to fix"</formula>
    </cfRule>
  </conditionalFormatting>
  <conditionalFormatting sqref="K42">
    <cfRule type="expression" dxfId="89" priority="286">
      <formula>AND($B41&lt;&gt;"",MOD(ROW(),2)=0)</formula>
    </cfRule>
    <cfRule type="expression" dxfId="88" priority="287">
      <formula>$AF41="Yes – needs DB Dev to fix"</formula>
    </cfRule>
  </conditionalFormatting>
  <conditionalFormatting sqref="K73:L100">
    <cfRule type="expression" dxfId="87" priority="93">
      <formula>$AB73="Yes – needs DB Dev to fix"</formula>
    </cfRule>
  </conditionalFormatting>
  <conditionalFormatting sqref="K101:L526">
    <cfRule type="expression" dxfId="86" priority="27">
      <formula>$Y101="Yes – needs DB Dev to fix"</formula>
    </cfRule>
  </conditionalFormatting>
  <conditionalFormatting sqref="M73:O100">
    <cfRule type="expression" dxfId="85" priority="278">
      <formula>$AA73="Yes – needs PBI Dev to fix"</formula>
    </cfRule>
  </conditionalFormatting>
  <conditionalFormatting sqref="M101:O526">
    <cfRule type="expression" dxfId="84" priority="280">
      <formula>$Y101="Yes – needs PBI Dev to fix"</formula>
    </cfRule>
  </conditionalFormatting>
  <conditionalFormatting sqref="P73:P100">
    <cfRule type="expression" dxfId="83" priority="97">
      <formula>$AB73="Yes – needs PBI Dev to fix"</formula>
    </cfRule>
  </conditionalFormatting>
  <conditionalFormatting sqref="P101:Q526">
    <cfRule type="expression" dxfId="82" priority="29">
      <formula>$Y101="Yes – needs QA to fix"</formula>
    </cfRule>
  </conditionalFormatting>
  <conditionalFormatting sqref="P2:T115">
    <cfRule type="expression" dxfId="81" priority="15">
      <formula>$AF2="Yes – needs PBI Dev to fix"</formula>
    </cfRule>
  </conditionalFormatting>
  <conditionalFormatting sqref="Q73:T100">
    <cfRule type="expression" dxfId="80" priority="99">
      <formula>$AB73="Yes – needs QA to fix"</formula>
    </cfRule>
  </conditionalFormatting>
  <conditionalFormatting sqref="R101:T526">
    <cfRule type="expression" dxfId="79" priority="30">
      <formula>$Y101="Yes – needs DPO Approval to fix"</formula>
    </cfRule>
  </conditionalFormatting>
  <conditionalFormatting sqref="T10:U19 J29 M29:O29 J32:J33 M32:O33 M40:O41">
    <cfRule type="expression" dxfId="78" priority="17">
      <formula>$AF10="Yes – needs PBI Dev to fix"</formula>
    </cfRule>
  </conditionalFormatting>
  <conditionalFormatting sqref="T101:U526">
    <cfRule type="expression" dxfId="77" priority="26">
      <formula>$U101="Yes"</formula>
    </cfRule>
  </conditionalFormatting>
  <conditionalFormatting sqref="T73:V100">
    <cfRule type="expression" dxfId="76" priority="101">
      <formula>$AB73="Yes – needs DPO Approval to fix"</formula>
    </cfRule>
  </conditionalFormatting>
  <conditionalFormatting sqref="T2:X115">
    <cfRule type="expression" dxfId="75" priority="72">
      <formula>$AF2="Yes – needs QA to fix"</formula>
    </cfRule>
  </conditionalFormatting>
  <conditionalFormatting sqref="G2:U40 L41:U42 G41:J42 V2:AH2 V3:X3 Z3:AH3 V73:AD73 G43:U73 A74:AD100 A101:AA526 A2:F115 V4:AH46 V52:AH72 V51:AG51 V48:AH50 V47:AG47">
    <cfRule type="expression" dxfId="74" priority="34">
      <formula>AND($B2&lt;&gt;"",MOD(ROW(),2)=0)</formula>
    </cfRule>
  </conditionalFormatting>
  <conditionalFormatting sqref="W73:X100">
    <cfRule type="expression" dxfId="73" priority="103">
      <formula>$W73="Yes"</formula>
    </cfRule>
  </conditionalFormatting>
  <conditionalFormatting sqref="Y3">
    <cfRule type="expression" dxfId="72" priority="288">
      <formula>AND($B3&lt;&gt;"",MOD(ROW(),2)=0)</formula>
    </cfRule>
    <cfRule type="expression" dxfId="71" priority="289">
      <formula>$AF3="Yes – needs DPO Approval to fix"</formula>
    </cfRule>
  </conditionalFormatting>
  <conditionalFormatting sqref="Y101:Y526">
    <cfRule type="expression" dxfId="70" priority="23">
      <formula>LEFT($Y101,3)="Yes"</formula>
    </cfRule>
  </conditionalFormatting>
  <conditionalFormatting sqref="Y2:AA2 Z3:AA3 Y4:AA100">
    <cfRule type="expression" dxfId="69" priority="75">
      <formula>$AF2="Yes – needs DPO Approval to fix"</formula>
    </cfRule>
  </conditionalFormatting>
  <conditionalFormatting sqref="Z101:Z526">
    <cfRule type="expression" dxfId="68" priority="31">
      <formula>ISNUMBER(SEARCH("Open rework",$Z101))</formula>
    </cfRule>
    <cfRule type="expression" dxfId="67" priority="31">
      <formula>ISNUMBER(SEARCH("Move old",$Z101))</formula>
    </cfRule>
    <cfRule type="expression" dxfId="66" priority="31">
      <formula>ISNUMBER(SEARCH("log it",$Z101))</formula>
    </cfRule>
    <cfRule type="expression" dxfId="65" priority="32">
      <formula>ISNUMBER(SEARCH("Duplicate",$Z101))</formula>
    </cfRule>
    <cfRule type="expression" dxfId="64" priority="33">
      <formula>$Z101&lt;&gt;""</formula>
    </cfRule>
  </conditionalFormatting>
  <conditionalFormatting sqref="AB2:AB115">
    <cfRule type="expression" dxfId="63" priority="47">
      <formula>$AB2="Yes"</formula>
    </cfRule>
  </conditionalFormatting>
  <conditionalFormatting sqref="AB73:AB100">
    <cfRule type="expression" dxfId="62" priority="105">
      <formula>LEFT($AB73,3)="Yes"</formula>
    </cfRule>
  </conditionalFormatting>
  <conditionalFormatting sqref="AC73:AC100">
    <cfRule type="expression" dxfId="61" priority="111">
      <formula>ISNUMBER(SEARCH("Open rework",$AC73))</formula>
    </cfRule>
    <cfRule type="expression" dxfId="60" priority="112">
      <formula>ISNUMBER(SEARCH("Move old",$AC73))</formula>
    </cfRule>
    <cfRule type="expression" dxfId="59" priority="113">
      <formula>ISNUMBER(SEARCH("log it",$AC73))</formula>
    </cfRule>
    <cfRule type="expression" dxfId="58" priority="114">
      <formula>ISNUMBER(SEARCH("Duplicate",$AC73))</formula>
    </cfRule>
    <cfRule type="expression" dxfId="57" priority="115">
      <formula>$AC73&lt;&gt;""</formula>
    </cfRule>
  </conditionalFormatting>
  <conditionalFormatting sqref="AF2:AF115">
    <cfRule type="expression" dxfId="56" priority="49">
      <formula>LEFT($AF2,3)="Yes"</formula>
    </cfRule>
  </conditionalFormatting>
  <conditionalFormatting sqref="AG2:AG115">
    <cfRule type="expression" dxfId="55" priority="55">
      <formula>ISNUMBER(SEARCH("log it",$AG2))</formula>
    </cfRule>
    <cfRule type="expression" dxfId="54" priority="56">
      <formula>ISNUMBER(SEARCH("Open rework",$AG2))</formula>
    </cfRule>
    <cfRule type="expression" dxfId="53" priority="57">
      <formula>ISNUMBER(SEARCH("Move old",$AG2))</formula>
    </cfRule>
    <cfRule type="expression" dxfId="52" priority="58">
      <formula>ISNUMBER(SEARCH("Duplicate",$AG2))</formula>
    </cfRule>
    <cfRule type="expression" dxfId="51" priority="59">
      <formula>$AG2&lt;&gt;""</formula>
    </cfRule>
  </conditionalFormatting>
  <conditionalFormatting sqref="AH47">
    <cfRule type="expression" dxfId="50" priority="291">
      <formula>AND($B51&lt;&gt;"",MOD(ROW(),2)=0)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V101:V526 AC2:AC72 Z2:Z72 P101:R526 H2:H526 P2:Q73 S2:U73 R2:R28 R30:R73 Y2:Y100 P74:U100 K2:M526 V2:X72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AB2:AB72 T101:U526 W73:X100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Y101:Y526 AB73:AB100 AF2:AF115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T2:T526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246</v>
      </c>
    </row>
    <row r="2" spans="1:5">
      <c r="A2" s="6" t="s">
        <v>247</v>
      </c>
    </row>
    <row r="4" spans="1:5" ht="21.95" customHeight="1">
      <c r="A4" s="5" t="s">
        <v>248</v>
      </c>
      <c r="B4" s="81"/>
      <c r="C4" s="82"/>
      <c r="D4" s="82"/>
      <c r="E4" s="82"/>
    </row>
    <row r="6" spans="1:5" ht="15">
      <c r="A6" s="42" t="s">
        <v>0</v>
      </c>
      <c r="B6" s="80" t="str">
        <f>IF($B$4="","",IFERROR(INDEX('Combined Delivery Data'!$A:$A,MATCH($B$4,'Combined Delivery Data'!$B:$B,0)),""))</f>
        <v/>
      </c>
      <c r="C6" s="83"/>
      <c r="D6" s="83"/>
      <c r="E6" s="84"/>
    </row>
    <row r="7" spans="1:5" ht="15">
      <c r="A7" s="42" t="s">
        <v>2</v>
      </c>
      <c r="B7" s="80" t="str">
        <f>IF($B$4="","",IFERROR(INDEX('Combined Delivery Data'!$C:$C,MATCH($B$4,'Combined Delivery Data'!$B:$B,0)),""))</f>
        <v/>
      </c>
      <c r="C7" s="83"/>
      <c r="D7" s="83"/>
      <c r="E7" s="84"/>
    </row>
    <row r="8" spans="1:5" ht="15">
      <c r="A8" s="42" t="s">
        <v>3</v>
      </c>
      <c r="B8" s="80" t="str">
        <f>IF($B$4="","",IFERROR(INDEX('Combined Delivery Data'!$D:$D,MATCH($B$4,'Combined Delivery Data'!$B:$B,0)),""))</f>
        <v/>
      </c>
      <c r="C8" s="83"/>
      <c r="D8" s="83"/>
      <c r="E8" s="84"/>
    </row>
    <row r="9" spans="1:5" ht="15">
      <c r="A9" s="42" t="s">
        <v>4</v>
      </c>
      <c r="B9" s="80" t="str">
        <f>IF($B$4="","",IFERROR(INDEX('Combined Delivery Data'!$E:$E,MATCH($B$4,'Combined Delivery Data'!$B:$B,0)),""))</f>
        <v/>
      </c>
      <c r="C9" s="83"/>
      <c r="D9" s="83"/>
      <c r="E9" s="84"/>
    </row>
    <row r="10" spans="1:5" ht="15">
      <c r="A10" s="42" t="s">
        <v>5</v>
      </c>
      <c r="B10" s="80" t="str">
        <f>IF($B$4="","",IFERROR(INDEX('Combined Delivery Data'!$F:$F,MATCH($B$4,'Combined Delivery Data'!$B:$B,0)),""))</f>
        <v/>
      </c>
      <c r="C10" s="83"/>
      <c r="D10" s="83"/>
      <c r="E10" s="84"/>
    </row>
    <row r="11" spans="1:5" ht="15">
      <c r="A11" s="42" t="s">
        <v>9</v>
      </c>
      <c r="B11" s="80" t="str">
        <f>IF($B$4="","",IFERROR(INDEX('Combined Delivery Data'!$J:$J,MATCH($B$4,'Combined Delivery Data'!$B:$B,0)),""))</f>
        <v/>
      </c>
      <c r="C11" s="83"/>
      <c r="D11" s="83"/>
      <c r="E11" s="84"/>
    </row>
    <row r="12" spans="1:5" ht="15">
      <c r="A12" s="42" t="s">
        <v>14</v>
      </c>
      <c r="B12" s="80" t="str">
        <f>IF($B$4="","",IFERROR(INDEX('Combined Delivery Data'!$O:$O,MATCH($B$4,'Combined Delivery Data'!$B:$B,0)),""))</f>
        <v/>
      </c>
      <c r="C12" s="83"/>
      <c r="D12" s="83"/>
      <c r="E12" s="84"/>
    </row>
    <row r="13" spans="1:5" ht="15">
      <c r="A13" s="42" t="s">
        <v>19</v>
      </c>
      <c r="B13" s="80" t="str">
        <f>IF($B$4="","",IFERROR(INDEX('Combined Delivery Data'!$T:$T,MATCH($B$4,'Combined Delivery Data'!$B:$B,0)),""))</f>
        <v/>
      </c>
      <c r="C13" s="83"/>
      <c r="D13" s="83"/>
      <c r="E13" s="84"/>
    </row>
    <row r="14" spans="1:5" ht="15">
      <c r="A14" s="42" t="s">
        <v>249</v>
      </c>
      <c r="B14" s="79" t="str">
        <f>IF($B$4="","",IFERROR(INDEX('Combined Delivery Data'!$K:$K,MATCH($B$4,'Combined Delivery Data'!$B:$B,0)),""))</f>
        <v/>
      </c>
      <c r="C14" s="83"/>
      <c r="D14" s="83"/>
      <c r="E14" s="84"/>
    </row>
    <row r="15" spans="1:5" ht="15">
      <c r="A15" s="42" t="s">
        <v>250</v>
      </c>
      <c r="B15" s="79" t="str">
        <f>IF($B$4="","",IFERROR(INDEX('Combined Delivery Data'!$L:$L,MATCH($B$4,'Combined Delivery Data'!$B:$B,0)),""))</f>
        <v/>
      </c>
      <c r="C15" s="83"/>
      <c r="D15" s="83"/>
      <c r="E15" s="84"/>
    </row>
    <row r="16" spans="1:5" ht="15">
      <c r="A16" s="42" t="s">
        <v>251</v>
      </c>
      <c r="B16" s="79" t="str">
        <f>IF($B$4="","",IFERROR(INDEX('Combined Delivery Data'!$M:$M,MATCH($B$4,'Combined Delivery Data'!$B:$B,0)),""))</f>
        <v/>
      </c>
      <c r="C16" s="83"/>
      <c r="D16" s="83"/>
      <c r="E16" s="84"/>
    </row>
    <row r="17" spans="1:5" ht="15">
      <c r="A17" s="42" t="s">
        <v>252</v>
      </c>
      <c r="B17" s="79" t="str">
        <f>IF($B$4="","",IFERROR(INDEX('Combined Delivery Data'!$N:$N,MATCH($B$4,'Combined Delivery Data'!$B:$B,0)),""))</f>
        <v/>
      </c>
      <c r="C17" s="83"/>
      <c r="D17" s="83"/>
      <c r="E17" s="84"/>
    </row>
    <row r="18" spans="1:5" ht="15">
      <c r="A18" s="42" t="s">
        <v>253</v>
      </c>
      <c r="B18" s="79" t="str">
        <f>IF($B$4="","",IFERROR(INDEX('Combined Delivery Data'!$P:$P,MATCH($B$4,'Combined Delivery Data'!$B:$B,0)),""))</f>
        <v/>
      </c>
      <c r="C18" s="83"/>
      <c r="D18" s="83"/>
      <c r="E18" s="84"/>
    </row>
    <row r="19" spans="1:5" ht="15">
      <c r="A19" s="42" t="s">
        <v>254</v>
      </c>
      <c r="B19" s="79" t="str">
        <f>IF($B$4="","",IFERROR(INDEX('Combined Delivery Data'!$Q:$Q,MATCH($B$4,'Combined Delivery Data'!$B:$B,0)),""))</f>
        <v/>
      </c>
      <c r="C19" s="83"/>
      <c r="D19" s="83"/>
      <c r="E19" s="84"/>
    </row>
    <row r="20" spans="1:5" ht="15">
      <c r="A20" s="42" t="s">
        <v>255</v>
      </c>
      <c r="B20" s="79" t="str">
        <f>IF($B$4="","",IFERROR(INDEX('Combined Delivery Data'!$R:$R,MATCH($B$4,'Combined Delivery Data'!$B:$B,0)),""))</f>
        <v/>
      </c>
      <c r="C20" s="83"/>
      <c r="D20" s="83"/>
      <c r="E20" s="84"/>
    </row>
    <row r="21" spans="1:5" ht="15">
      <c r="A21" s="42" t="s">
        <v>26</v>
      </c>
      <c r="B21" s="80" t="str">
        <f>IF($B$4="","",IFERROR(INDEX('Combined Delivery Data'!$S:$S,MATCH($B$4,'Combined Delivery Data'!$B:$B,0)),""))</f>
        <v/>
      </c>
      <c r="C21" s="83"/>
      <c r="D21" s="83"/>
      <c r="E21" s="84"/>
    </row>
    <row r="22" spans="1:5" ht="15">
      <c r="A22" s="42" t="s">
        <v>27</v>
      </c>
      <c r="B22" s="80" t="str">
        <f>IF($B$4="","",IFERROR(INDEX('Combined Delivery Data'!$U:$U,MATCH($B$4,'Combined Delivery Data'!$B:$B,0)),""))</f>
        <v/>
      </c>
      <c r="C22" s="83"/>
      <c r="D22" s="83"/>
      <c r="E22" s="84"/>
    </row>
    <row r="23" spans="1:5" ht="15">
      <c r="A23" s="42" t="s">
        <v>28</v>
      </c>
      <c r="B23" s="79" t="str">
        <f>IF($B$4="","",IFERROR(INDEX('Combined Delivery Data'!$V:$V,MATCH($B$4,'Combined Delivery Data'!$B:$B,0)),""))</f>
        <v/>
      </c>
      <c r="C23" s="83"/>
      <c r="D23" s="83"/>
      <c r="E23" s="84"/>
    </row>
    <row r="24" spans="1:5" ht="15">
      <c r="A24" s="42" t="s">
        <v>31</v>
      </c>
      <c r="B24" s="80" t="str">
        <f>IF($B$4="","",IFERROR(INDEX('Combined Delivery Data'!$Y:$Y,MATCH($B$4,'Combined Delivery Data'!$B:$B,0)),""))</f>
        <v/>
      </c>
      <c r="C24" s="83"/>
      <c r="D24" s="83"/>
      <c r="E24" s="84"/>
    </row>
    <row r="25" spans="1:5" ht="15">
      <c r="A25" s="42" t="s">
        <v>32</v>
      </c>
      <c r="B25" s="80" t="str">
        <f>IF($B$4="","",IFERROR(INDEX('Combined Delivery Data'!$Z:$Z,MATCH($B$4,'Combined Delivery Data'!$B:$B,0)),""))</f>
        <v/>
      </c>
      <c r="C25" s="83"/>
      <c r="D25" s="83"/>
      <c r="E25" s="84"/>
    </row>
    <row r="26" spans="1:5">
      <c r="A26" s="42" t="s">
        <v>256</v>
      </c>
      <c r="B26" s="80" t="str">
        <f>IF($B$4="","",IFERROR(INDEX('Rework Log'!$Q:$Q,MATCH($B$4,'Rework Log'!$P:$P,0)),""))</f>
        <v/>
      </c>
      <c r="C26" s="83"/>
      <c r="D26" s="83"/>
      <c r="E26" s="84"/>
    </row>
    <row r="27" spans="1:5">
      <c r="A27" s="42" t="s">
        <v>257</v>
      </c>
      <c r="B27" s="80" t="str">
        <f>IF($B$4="","",IFERROR(INDEX('Rework Log'!$R:$R,MATCH($B$4,'Rework Log'!$P:$P,0)),""))</f>
        <v/>
      </c>
      <c r="C27" s="83"/>
      <c r="D27" s="83"/>
      <c r="E27" s="84"/>
    </row>
    <row r="28" spans="1:5">
      <c r="A28" s="42" t="s">
        <v>258</v>
      </c>
      <c r="B28" s="80" t="str">
        <f>IF($B$4="","",IFERROR(INDEX('Rework Log'!$S:$S,MATCH($B$4,'Rework Log'!$P:$P,0)),""))</f>
        <v/>
      </c>
      <c r="C28" s="83"/>
      <c r="D28" s="83"/>
      <c r="E28" s="84"/>
    </row>
    <row r="29" spans="1:5">
      <c r="A29" s="42" t="s">
        <v>259</v>
      </c>
      <c r="B29" s="80" t="str">
        <f>IF($B$4="","",IFERROR(INDEX('Rework Log'!$T:$T,MATCH($B$4,'Rework Log'!$P:$P,0)),""))</f>
        <v/>
      </c>
      <c r="C29" s="83"/>
      <c r="D29" s="83"/>
      <c r="E29" s="84"/>
    </row>
    <row r="30" spans="1:5" ht="15.6" customHeight="1">
      <c r="A30" s="42"/>
      <c r="B30" s="80"/>
      <c r="C30" s="83"/>
      <c r="D30" s="83"/>
      <c r="E30" s="84"/>
    </row>
    <row r="31" spans="1:5" ht="15.6" customHeight="1">
      <c r="A31" s="5" t="s">
        <v>33</v>
      </c>
      <c r="B31" s="85" t="str">
        <f>IF($B$4="","",IFERROR(INDEX('Combined Delivery Data'!$AA:$AA,MATCH($B$4,'Combined Delivery Data'!$B:$B,0)),""))</f>
        <v/>
      </c>
      <c r="C31" s="82"/>
      <c r="D31" s="82"/>
      <c r="E31" s="82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F17" sqref="F17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8" t="s">
        <v>260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P1" s="86" t="s">
        <v>261</v>
      </c>
      <c r="Q1" s="82"/>
      <c r="R1" s="82"/>
      <c r="S1" s="82"/>
      <c r="T1" s="82"/>
    </row>
    <row r="2" spans="1:20" ht="30" customHeight="1">
      <c r="A2" s="17" t="s">
        <v>1</v>
      </c>
      <c r="B2" s="17" t="s">
        <v>262</v>
      </c>
      <c r="C2" s="17" t="s">
        <v>263</v>
      </c>
      <c r="D2" s="17" t="s">
        <v>264</v>
      </c>
      <c r="E2" s="17" t="s">
        <v>265</v>
      </c>
      <c r="F2" s="17" t="s">
        <v>266</v>
      </c>
      <c r="G2" s="17" t="s">
        <v>267</v>
      </c>
      <c r="H2" s="30" t="s">
        <v>268</v>
      </c>
      <c r="I2" s="30" t="s">
        <v>269</v>
      </c>
      <c r="J2" s="30" t="s">
        <v>270</v>
      </c>
      <c r="K2" s="30" t="s">
        <v>271</v>
      </c>
      <c r="L2" s="30" t="s">
        <v>272</v>
      </c>
      <c r="M2" s="21" t="s">
        <v>273</v>
      </c>
      <c r="N2" s="21" t="s">
        <v>274</v>
      </c>
      <c r="P2" s="13" t="s">
        <v>1</v>
      </c>
      <c r="Q2" s="13" t="s">
        <v>256</v>
      </c>
      <c r="R2" s="13" t="s">
        <v>257</v>
      </c>
      <c r="S2" s="13" t="s">
        <v>258</v>
      </c>
      <c r="T2" s="13" t="s">
        <v>259</v>
      </c>
    </row>
    <row r="3" spans="1:20">
      <c r="A3" s="33" t="s">
        <v>129</v>
      </c>
      <c r="B3" s="36">
        <v>46230</v>
      </c>
      <c r="C3" s="33" t="s">
        <v>124</v>
      </c>
      <c r="D3" s="33" t="s">
        <v>158</v>
      </c>
      <c r="E3" s="33" t="s">
        <v>130</v>
      </c>
      <c r="F3" s="33" t="s">
        <v>275</v>
      </c>
      <c r="G3" s="33" t="s">
        <v>42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28 d</v>
      </c>
      <c r="N3" t="s">
        <v>42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139</v>
      </c>
      <c r="B4" s="32">
        <v>46237</v>
      </c>
      <c r="C4" s="31" t="s">
        <v>124</v>
      </c>
      <c r="D4" s="31" t="s">
        <v>158</v>
      </c>
      <c r="E4" s="31" t="s">
        <v>130</v>
      </c>
      <c r="F4" s="31" t="s">
        <v>276</v>
      </c>
      <c r="G4" s="31" t="s">
        <v>42</v>
      </c>
      <c r="H4" s="32"/>
      <c r="I4" s="32"/>
      <c r="J4" s="32">
        <v>46247</v>
      </c>
      <c r="K4" s="31" t="s">
        <v>52</v>
      </c>
      <c r="L4" s="31" t="s">
        <v>277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42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113</v>
      </c>
      <c r="B5" s="32">
        <v>46238</v>
      </c>
      <c r="C5" s="31" t="s">
        <v>124</v>
      </c>
      <c r="D5" s="31" t="s">
        <v>158</v>
      </c>
      <c r="E5" s="31" t="s">
        <v>115</v>
      </c>
      <c r="F5" s="31" t="s">
        <v>278</v>
      </c>
      <c r="G5" s="31" t="s">
        <v>42</v>
      </c>
      <c r="H5" s="32"/>
      <c r="I5" s="32"/>
      <c r="J5" s="32"/>
      <c r="K5" s="31"/>
      <c r="L5" s="31"/>
      <c r="M5" s="3" t="str">
        <f t="shared" ca="1" si="4"/>
        <v>UNCLAIMED 20 d</v>
      </c>
      <c r="N5" t="s">
        <v>42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127</v>
      </c>
      <c r="B6" s="32">
        <v>46234</v>
      </c>
      <c r="C6" s="31" t="s">
        <v>124</v>
      </c>
      <c r="D6" s="31" t="s">
        <v>158</v>
      </c>
      <c r="E6" s="31" t="s">
        <v>115</v>
      </c>
      <c r="F6" s="31" t="s">
        <v>279</v>
      </c>
      <c r="G6" s="31" t="s">
        <v>42</v>
      </c>
      <c r="H6" s="32"/>
      <c r="I6" s="32"/>
      <c r="J6" s="32"/>
      <c r="K6" s="31"/>
      <c r="L6" s="31"/>
      <c r="M6" s="3" t="str">
        <f t="shared" ca="1" si="4"/>
        <v>UNCLAIMED 24 d</v>
      </c>
      <c r="N6" t="s">
        <v>42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119</v>
      </c>
      <c r="B7" s="32">
        <v>46239</v>
      </c>
      <c r="C7" s="31" t="s">
        <v>124</v>
      </c>
      <c r="D7" s="31" t="s">
        <v>158</v>
      </c>
      <c r="E7" s="31" t="s">
        <v>115</v>
      </c>
      <c r="F7" s="31" t="s">
        <v>280</v>
      </c>
      <c r="G7" s="31" t="s">
        <v>42</v>
      </c>
      <c r="H7" s="32"/>
      <c r="I7" s="32"/>
      <c r="J7" s="32"/>
      <c r="K7" s="31"/>
      <c r="L7" s="31"/>
      <c r="M7" s="3" t="str">
        <f t="shared" ca="1" si="4"/>
        <v>UNCLAIMED 19 d</v>
      </c>
      <c r="N7" t="s">
        <v>42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119</v>
      </c>
      <c r="B8" s="32">
        <v>46246</v>
      </c>
      <c r="C8" s="31" t="s">
        <v>124</v>
      </c>
      <c r="D8" s="31" t="s">
        <v>158</v>
      </c>
      <c r="E8" s="31" t="s">
        <v>115</v>
      </c>
      <c r="F8" s="31" t="s">
        <v>281</v>
      </c>
      <c r="G8" s="31" t="s">
        <v>42</v>
      </c>
      <c r="H8" s="32"/>
      <c r="I8" s="32"/>
      <c r="J8" s="32"/>
      <c r="K8" s="31"/>
      <c r="L8" s="31"/>
      <c r="M8" s="3" t="str">
        <f t="shared" ca="1" si="4"/>
        <v>UNCLAIMED 12 d</v>
      </c>
      <c r="N8" t="s">
        <v>282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 ht="15">
      <c r="A9" s="31" t="s">
        <v>139</v>
      </c>
      <c r="B9" s="32">
        <v>46251</v>
      </c>
      <c r="C9" s="31" t="s">
        <v>124</v>
      </c>
      <c r="D9" s="31" t="s">
        <v>158</v>
      </c>
      <c r="E9" s="31" t="s">
        <v>130</v>
      </c>
      <c r="F9" s="31" t="s">
        <v>283</v>
      </c>
      <c r="G9" s="31" t="s">
        <v>42</v>
      </c>
      <c r="H9" s="32"/>
      <c r="I9" s="32"/>
      <c r="J9" s="32"/>
      <c r="K9" s="31"/>
      <c r="L9" s="31"/>
      <c r="M9" s="3" t="str">
        <f t="shared" ca="1" si="4"/>
        <v>UNCLAIMED 7 d</v>
      </c>
      <c r="N9" t="s">
        <v>282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 t="s">
        <v>129</v>
      </c>
      <c r="B10" s="32">
        <v>46237</v>
      </c>
      <c r="C10" s="31" t="s">
        <v>124</v>
      </c>
      <c r="D10" s="31" t="s">
        <v>158</v>
      </c>
      <c r="E10" s="31" t="s">
        <v>130</v>
      </c>
      <c r="F10" s="31" t="s">
        <v>276</v>
      </c>
      <c r="G10" s="31" t="s">
        <v>42</v>
      </c>
      <c r="H10" s="32"/>
      <c r="I10" s="32"/>
      <c r="J10" s="32"/>
      <c r="K10" s="31"/>
      <c r="L10" s="31"/>
      <c r="M10" s="3" t="str">
        <f t="shared" ca="1" si="4"/>
        <v>UNCLAIMED 21 d</v>
      </c>
      <c r="N10" t="s">
        <v>282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 ht="15">
      <c r="A11" s="55" t="s">
        <v>119</v>
      </c>
      <c r="B11" s="32">
        <v>46254</v>
      </c>
      <c r="C11" s="31" t="s">
        <v>124</v>
      </c>
      <c r="D11" s="31" t="s">
        <v>158</v>
      </c>
      <c r="E11" s="31" t="s">
        <v>115</v>
      </c>
      <c r="F11" s="31" t="s">
        <v>278</v>
      </c>
      <c r="G11" s="31" t="s">
        <v>42</v>
      </c>
      <c r="H11" s="32"/>
      <c r="I11" s="32"/>
      <c r="J11" s="32"/>
      <c r="K11" s="31"/>
      <c r="L11" s="31"/>
      <c r="M11" s="3" t="str">
        <f t="shared" ca="1" si="4"/>
        <v>UNCLAIMED 4 d</v>
      </c>
      <c r="N11" t="s">
        <v>42</v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 ht="15">
      <c r="A12" s="55" t="s">
        <v>137</v>
      </c>
      <c r="B12" s="32">
        <v>46254</v>
      </c>
      <c r="C12" s="31" t="s">
        <v>124</v>
      </c>
      <c r="D12" s="31" t="s">
        <v>158</v>
      </c>
      <c r="E12" s="31" t="s">
        <v>130</v>
      </c>
      <c r="F12" s="31" t="s">
        <v>284</v>
      </c>
      <c r="G12" s="31" t="s">
        <v>42</v>
      </c>
      <c r="H12" s="32"/>
      <c r="I12" s="32"/>
      <c r="J12" s="32"/>
      <c r="K12" s="31"/>
      <c r="L12" s="31"/>
      <c r="M12" s="3" t="str">
        <f t="shared" ca="1" si="4"/>
        <v>UNCLAIMED 4 d</v>
      </c>
      <c r="N12" t="s">
        <v>285</v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 ht="15">
      <c r="A13" s="55" t="s">
        <v>123</v>
      </c>
      <c r="B13" s="32">
        <v>46258</v>
      </c>
      <c r="C13" s="31" t="s">
        <v>124</v>
      </c>
      <c r="D13" s="31" t="s">
        <v>158</v>
      </c>
      <c r="E13" s="31" t="s">
        <v>115</v>
      </c>
      <c r="F13" s="31" t="s">
        <v>286</v>
      </c>
      <c r="G13" s="31" t="s">
        <v>45</v>
      </c>
      <c r="H13" s="32"/>
      <c r="I13" s="32"/>
      <c r="J13" s="32"/>
      <c r="K13" s="31"/>
      <c r="L13" s="31"/>
      <c r="M13" s="3" t="str">
        <f t="shared" ca="1" si="4"/>
        <v>UNCLAIMED 0 d</v>
      </c>
      <c r="N13" t="s">
        <v>285</v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 t="s">
        <v>132</v>
      </c>
      <c r="B14" s="32">
        <v>46258</v>
      </c>
      <c r="C14" s="31" t="s">
        <v>124</v>
      </c>
      <c r="D14" s="31" t="s">
        <v>133</v>
      </c>
      <c r="E14" s="31" t="s">
        <v>130</v>
      </c>
      <c r="F14" s="31" t="s">
        <v>287</v>
      </c>
      <c r="G14" s="31" t="s">
        <v>45</v>
      </c>
      <c r="H14" s="32"/>
      <c r="I14" s="32"/>
      <c r="J14" s="32"/>
      <c r="K14" s="31"/>
      <c r="L14" s="31"/>
      <c r="M14" s="3" t="str">
        <f t="shared" ca="1" si="4"/>
        <v>UNCLAIMED 0 d</v>
      </c>
      <c r="N14" t="s">
        <v>42</v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 t="s">
        <v>143</v>
      </c>
      <c r="B15" s="32">
        <v>46258</v>
      </c>
      <c r="C15" s="31" t="s">
        <v>124</v>
      </c>
      <c r="D15" s="31" t="s">
        <v>133</v>
      </c>
      <c r="E15" s="31" t="s">
        <v>130</v>
      </c>
      <c r="F15" s="31" t="s">
        <v>288</v>
      </c>
      <c r="G15" s="31" t="s">
        <v>45</v>
      </c>
      <c r="H15" s="32"/>
      <c r="I15" s="32"/>
      <c r="J15" s="32"/>
      <c r="K15" s="31"/>
      <c r="L15" s="31"/>
      <c r="M15" s="3" t="str">
        <f t="shared" ca="1" si="4"/>
        <v>UNCLAIMED 0 d</v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 t="s">
        <v>136</v>
      </c>
      <c r="B16" s="32">
        <v>46258</v>
      </c>
      <c r="C16" s="31" t="s">
        <v>124</v>
      </c>
      <c r="D16" s="31" t="s">
        <v>158</v>
      </c>
      <c r="E16" s="31" t="s">
        <v>130</v>
      </c>
      <c r="F16" s="31" t="s">
        <v>289</v>
      </c>
      <c r="G16" s="31" t="s">
        <v>45</v>
      </c>
      <c r="H16" s="32"/>
      <c r="I16" s="32"/>
      <c r="J16" s="32"/>
      <c r="K16" s="31"/>
      <c r="L16" s="31"/>
      <c r="M16" s="3" t="str">
        <f t="shared" ca="1" si="4"/>
        <v>UNCLAIMED 0 d</v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124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124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124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124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124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124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124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124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124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124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124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124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124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124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124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0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124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3</v>
      </c>
      <c r="R32">
        <f t="shared" si="1"/>
        <v>0</v>
      </c>
      <c r="S32" s="28">
        <f t="shared" si="2"/>
        <v>46254</v>
      </c>
      <c r="T32" t="str">
        <f t="shared" si="3"/>
        <v>QA -&gt; DB Dev</v>
      </c>
    </row>
    <row r="33" spans="1:20">
      <c r="A33" s="31"/>
      <c r="B33" s="32"/>
      <c r="C33" s="31" t="s">
        <v>124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124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1</v>
      </c>
      <c r="R34">
        <f t="shared" si="1"/>
        <v>1</v>
      </c>
      <c r="S34" s="28">
        <f t="shared" si="2"/>
        <v>46258</v>
      </c>
      <c r="T34" t="str">
        <f t="shared" si="3"/>
        <v>QA -&gt; DB Dev</v>
      </c>
    </row>
    <row r="35" spans="1:20">
      <c r="A35" s="31"/>
      <c r="B35" s="32"/>
      <c r="C35" s="31" t="s">
        <v>124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0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124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0</v>
      </c>
      <c r="S36" s="28">
        <f t="shared" si="2"/>
        <v>46237</v>
      </c>
      <c r="T36" t="str">
        <f t="shared" si="3"/>
        <v>QA -&gt; DB Dev</v>
      </c>
    </row>
    <row r="37" spans="1:20">
      <c r="A37" s="31"/>
      <c r="B37" s="32"/>
      <c r="C37" s="31" t="s">
        <v>124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1</v>
      </c>
      <c r="R37">
        <f t="shared" si="1"/>
        <v>1</v>
      </c>
      <c r="S37" s="28">
        <f t="shared" si="2"/>
        <v>46258</v>
      </c>
      <c r="T37" t="str">
        <f t="shared" si="3"/>
        <v>QA -&gt; PBI Dev</v>
      </c>
    </row>
    <row r="38" spans="1:20">
      <c r="A38" s="31"/>
      <c r="B38" s="32"/>
      <c r="C38" s="31" t="s">
        <v>124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1</v>
      </c>
      <c r="R38">
        <f t="shared" si="1"/>
        <v>1</v>
      </c>
      <c r="S38" s="28">
        <f t="shared" si="2"/>
        <v>46258</v>
      </c>
      <c r="T38" t="str">
        <f t="shared" si="3"/>
        <v>QA -&gt; DB Dev</v>
      </c>
    </row>
    <row r="39" spans="1:20">
      <c r="A39" s="31"/>
      <c r="B39" s="32"/>
      <c r="C39" s="31" t="s">
        <v>124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1</v>
      </c>
      <c r="R39">
        <f t="shared" si="1"/>
        <v>0</v>
      </c>
      <c r="S39" s="28">
        <f t="shared" si="2"/>
        <v>46254</v>
      </c>
      <c r="T39" t="str">
        <f t="shared" si="3"/>
        <v>QA -&gt; DB Dev</v>
      </c>
    </row>
    <row r="40" spans="1:20">
      <c r="A40" s="31"/>
      <c r="B40" s="32"/>
      <c r="C40" s="31" t="s">
        <v>124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2</v>
      </c>
      <c r="R40">
        <f t="shared" si="1"/>
        <v>0</v>
      </c>
      <c r="S40" s="28">
        <f t="shared" si="2"/>
        <v>46251</v>
      </c>
      <c r="T40" t="str">
        <f t="shared" si="3"/>
        <v>QA -&gt; DB Dev</v>
      </c>
    </row>
    <row r="41" spans="1:20">
      <c r="A41" s="31"/>
      <c r="B41" s="32"/>
      <c r="C41" s="31" t="s">
        <v>124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1</v>
      </c>
      <c r="R41">
        <f t="shared" si="1"/>
        <v>1</v>
      </c>
      <c r="S41" s="28">
        <f t="shared" si="2"/>
        <v>46258</v>
      </c>
      <c r="T41" t="str">
        <f t="shared" si="3"/>
        <v>QA -&gt; PBI Dev</v>
      </c>
    </row>
    <row r="42" spans="1:20">
      <c r="A42" s="31"/>
      <c r="B42" s="32"/>
      <c r="C42" s="31" t="s">
        <v>124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124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124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124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124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124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124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124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124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124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124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124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124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124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124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124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124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124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124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124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124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124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124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124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124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124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124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124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124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124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124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124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124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124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0"/>
        <v/>
      </c>
      <c r="P75" t="str">
        <f>'Combined Delivery Data'!B73</f>
        <v>RPT_02_Service Resource Activity</v>
      </c>
      <c r="Q75">
        <f t="shared" si="5"/>
        <v>0</v>
      </c>
      <c r="R75">
        <f t="shared" si="6"/>
        <v>0</v>
      </c>
      <c r="S75" s="28" t="str">
        <f t="shared" si="7"/>
        <v/>
      </c>
      <c r="T75" t="str">
        <f t="shared" si="8"/>
        <v/>
      </c>
    </row>
    <row r="76" spans="1:20">
      <c r="A76" s="31"/>
      <c r="B76" s="32"/>
      <c r="C76" s="31" t="s">
        <v>124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0"/>
        <v/>
      </c>
      <c r="P76" t="str">
        <f>'Combined Delivery Data'!B101</f>
        <v>RPT_05_Department of Transportation</v>
      </c>
      <c r="Q76">
        <f t="shared" si="5"/>
        <v>0</v>
      </c>
      <c r="R76">
        <f t="shared" si="6"/>
        <v>0</v>
      </c>
      <c r="S76" s="28" t="str">
        <f t="shared" si="7"/>
        <v/>
      </c>
      <c r="T76" t="str">
        <f t="shared" si="8"/>
        <v/>
      </c>
    </row>
    <row r="77" spans="1:20">
      <c r="A77" s="31"/>
      <c r="B77" s="32"/>
      <c r="C77" s="31" t="s">
        <v>124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0"/>
        <v/>
      </c>
      <c r="P77" t="str">
        <f>'Combined Delivery Data'!B102</f>
        <v>RPT_05_ Inside Meter Relocation</v>
      </c>
      <c r="Q77">
        <f t="shared" si="5"/>
        <v>0</v>
      </c>
      <c r="R77">
        <f t="shared" si="6"/>
        <v>0</v>
      </c>
      <c r="S77" s="28" t="str">
        <f t="shared" si="7"/>
        <v/>
      </c>
      <c r="T77" t="str">
        <f t="shared" si="8"/>
        <v/>
      </c>
    </row>
    <row r="78" spans="1:20">
      <c r="A78" s="31"/>
      <c r="B78" s="32"/>
      <c r="C78" s="31" t="s">
        <v>124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0"/>
        <v/>
      </c>
      <c r="P78" t="str">
        <f>'Combined Delivery Data'!B103</f>
        <v>RPT_05_Mapped Work Order Information</v>
      </c>
      <c r="Q78">
        <f t="shared" si="5"/>
        <v>0</v>
      </c>
      <c r="R78">
        <f t="shared" si="6"/>
        <v>0</v>
      </c>
      <c r="S78" s="28" t="str">
        <f t="shared" si="7"/>
        <v/>
      </c>
      <c r="T78" t="str">
        <f t="shared" si="8"/>
        <v/>
      </c>
    </row>
    <row r="79" spans="1:20">
      <c r="A79" s="31"/>
      <c r="B79" s="32"/>
      <c r="C79" s="31" t="s">
        <v>124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0"/>
        <v/>
      </c>
      <c r="P79" t="str">
        <f>'Combined Delivery Data'!B104</f>
        <v>RPT_06_Retired Meters</v>
      </c>
      <c r="Q79">
        <f t="shared" si="5"/>
        <v>0</v>
      </c>
      <c r="R79">
        <f t="shared" si="6"/>
        <v>0</v>
      </c>
      <c r="S79" s="28" t="str">
        <f t="shared" si="7"/>
        <v/>
      </c>
      <c r="T79" t="str">
        <f t="shared" si="8"/>
        <v/>
      </c>
    </row>
    <row r="80" spans="1:20">
      <c r="A80" s="31"/>
      <c r="B80" s="32"/>
      <c r="C80" s="31" t="s">
        <v>124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0"/>
        <v/>
      </c>
      <c r="P80" t="str">
        <f>'Combined Delivery Data'!B105</f>
        <v>RPT_13_Survey Book</v>
      </c>
      <c r="Q80">
        <f t="shared" si="5"/>
        <v>0</v>
      </c>
      <c r="R80">
        <f t="shared" si="6"/>
        <v>0</v>
      </c>
      <c r="S80" s="28" t="str">
        <f t="shared" si="7"/>
        <v/>
      </c>
      <c r="T80" t="str">
        <f t="shared" si="8"/>
        <v/>
      </c>
    </row>
    <row r="81" spans="1:20">
      <c r="A81" s="31"/>
      <c r="B81" s="32"/>
      <c r="C81" s="31" t="s">
        <v>124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0"/>
        <v/>
      </c>
      <c r="P81" t="str">
        <f>'Combined Delivery Data'!B106</f>
        <v>RPT_05_Leak Survey Mains Summary</v>
      </c>
      <c r="Q81">
        <f t="shared" si="5"/>
        <v>0</v>
      </c>
      <c r="R81">
        <f t="shared" si="6"/>
        <v>0</v>
      </c>
      <c r="S81" s="28" t="str">
        <f t="shared" si="7"/>
        <v/>
      </c>
      <c r="T81" t="str">
        <f t="shared" si="8"/>
        <v/>
      </c>
    </row>
    <row r="82" spans="1:20">
      <c r="A82" s="31"/>
      <c r="B82" s="32"/>
      <c r="C82" s="31" t="s">
        <v>124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0"/>
        <v/>
      </c>
      <c r="P82" t="str">
        <f>'Combined Delivery Data'!B107</f>
        <v>RPT_13_Customer Service Point</v>
      </c>
      <c r="Q82">
        <f t="shared" si="5"/>
        <v>0</v>
      </c>
      <c r="R82">
        <f t="shared" si="6"/>
        <v>0</v>
      </c>
      <c r="S82" s="28" t="str">
        <f t="shared" si="7"/>
        <v/>
      </c>
      <c r="T82" t="str">
        <f t="shared" si="8"/>
        <v/>
      </c>
    </row>
    <row r="83" spans="1:20">
      <c r="A83" s="31"/>
      <c r="B83" s="32"/>
      <c r="C83" s="31" t="s">
        <v>124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0"/>
        <v/>
      </c>
      <c r="P83" t="str">
        <f>'Combined Delivery Data'!B108</f>
        <v>RPT_02_Emergency Operation Checklist</v>
      </c>
      <c r="Q83">
        <f t="shared" si="5"/>
        <v>0</v>
      </c>
      <c r="R83">
        <f t="shared" si="6"/>
        <v>0</v>
      </c>
      <c r="S83" s="28" t="str">
        <f t="shared" si="7"/>
        <v/>
      </c>
      <c r="T83" t="str">
        <f t="shared" si="8"/>
        <v/>
      </c>
    </row>
    <row r="84" spans="1:20">
      <c r="A84" s="31"/>
      <c r="B84" s="32"/>
      <c r="C84" s="31" t="s">
        <v>124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0"/>
        <v/>
      </c>
      <c r="P84" t="str">
        <f>'Combined Delivery Data'!B109</f>
        <v>RPT_06_ERT List</v>
      </c>
      <c r="Q84">
        <f t="shared" si="5"/>
        <v>0</v>
      </c>
      <c r="R84">
        <f t="shared" si="6"/>
        <v>0</v>
      </c>
      <c r="S84" s="28" t="str">
        <f t="shared" si="7"/>
        <v/>
      </c>
      <c r="T84" t="str">
        <f t="shared" si="8"/>
        <v/>
      </c>
    </row>
    <row r="85" spans="1:20">
      <c r="A85" s="31"/>
      <c r="B85" s="32"/>
      <c r="C85" s="31" t="s">
        <v>124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0"/>
        <v/>
      </c>
      <c r="P85" t="str">
        <f>'Combined Delivery Data'!B110</f>
        <v>RPT_13_Blue Card</v>
      </c>
      <c r="Q85">
        <f t="shared" si="5"/>
        <v>0</v>
      </c>
      <c r="R85">
        <f t="shared" si="6"/>
        <v>0</v>
      </c>
      <c r="S85" s="28" t="str">
        <f t="shared" si="7"/>
        <v/>
      </c>
      <c r="T85" t="str">
        <f t="shared" si="8"/>
        <v/>
      </c>
    </row>
    <row r="86" spans="1:20">
      <c r="A86" s="31"/>
      <c r="B86" s="32"/>
      <c r="C86" s="31" t="s">
        <v>124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0"/>
        <v/>
      </c>
      <c r="P86" t="str">
        <f>'Combined Delivery Data'!B111</f>
        <v>RPT_06_Out of Route Meters Gas</v>
      </c>
      <c r="Q86">
        <f t="shared" si="5"/>
        <v>0</v>
      </c>
      <c r="R86">
        <f t="shared" si="6"/>
        <v>0</v>
      </c>
      <c r="S86" s="28" t="str">
        <f t="shared" si="7"/>
        <v/>
      </c>
      <c r="T86" t="str">
        <f t="shared" si="8"/>
        <v/>
      </c>
    </row>
    <row r="87" spans="1:20">
      <c r="A87" s="31"/>
      <c r="B87" s="32"/>
      <c r="C87" s="31" t="s">
        <v>124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0"/>
        <v/>
      </c>
      <c r="P87" t="str">
        <f>'Combined Delivery Data'!B112</f>
        <v>RPT_06_Yard Meter Inventory</v>
      </c>
      <c r="Q87">
        <f t="shared" si="5"/>
        <v>0</v>
      </c>
      <c r="R87">
        <f t="shared" si="6"/>
        <v>0</v>
      </c>
      <c r="S87" s="28" t="str">
        <f t="shared" si="7"/>
        <v/>
      </c>
      <c r="T87" t="str">
        <f t="shared" si="8"/>
        <v/>
      </c>
    </row>
    <row r="88" spans="1:20">
      <c r="A88" s="31"/>
      <c r="B88" s="32"/>
      <c r="C88" s="31" t="s">
        <v>124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0"/>
        <v/>
      </c>
      <c r="P88" t="str">
        <f>'Combined Delivery Data'!B113</f>
        <v>RPT_06_ERTtoEPSLoadReportbyReceiptNumber</v>
      </c>
      <c r="Q88">
        <f t="shared" si="5"/>
        <v>0</v>
      </c>
      <c r="R88">
        <f t="shared" si="6"/>
        <v>0</v>
      </c>
      <c r="S88" s="28" t="str">
        <f t="shared" si="7"/>
        <v/>
      </c>
      <c r="T88" t="str">
        <f t="shared" si="8"/>
        <v/>
      </c>
    </row>
    <row r="89" spans="1:20">
      <c r="A89" s="31"/>
      <c r="B89" s="32"/>
      <c r="C89" s="31" t="s">
        <v>124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0"/>
        <v/>
      </c>
      <c r="P89" t="str">
        <f>'Combined Delivery Data'!B114</f>
        <v>RPT_06_Out of Route Meters Electric</v>
      </c>
      <c r="Q89">
        <f t="shared" si="5"/>
        <v>0</v>
      </c>
      <c r="R89">
        <f t="shared" si="6"/>
        <v>0</v>
      </c>
      <c r="S89" s="28" t="str">
        <f t="shared" si="7"/>
        <v/>
      </c>
      <c r="T89" t="str">
        <f t="shared" si="8"/>
        <v/>
      </c>
    </row>
    <row r="90" spans="1:20">
      <c r="A90" s="31"/>
      <c r="B90" s="32"/>
      <c r="C90" s="31" t="s">
        <v>124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0"/>
        <v/>
      </c>
      <c r="P90" t="str">
        <f>'Combined Delivery Data'!B115</f>
        <v>RPT_06_Random Meter Sampling Testing Results</v>
      </c>
      <c r="Q90">
        <f t="shared" si="5"/>
        <v>0</v>
      </c>
      <c r="R90">
        <f t="shared" si="6"/>
        <v>0</v>
      </c>
      <c r="S90" s="28" t="str">
        <f t="shared" si="7"/>
        <v/>
      </c>
      <c r="T90" t="str">
        <f t="shared" si="8"/>
        <v/>
      </c>
    </row>
    <row r="91" spans="1:20">
      <c r="A91" s="31"/>
      <c r="B91" s="32"/>
      <c r="C91" s="31" t="s">
        <v>124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Data'!B116</f>
        <v>0</v>
      </c>
      <c r="Q91">
        <f t="shared" si="5"/>
        <v>0</v>
      </c>
      <c r="R91">
        <f t="shared" si="6"/>
        <v>484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124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Data'!B117</f>
        <v>0</v>
      </c>
      <c r="Q92">
        <f t="shared" si="5"/>
        <v>0</v>
      </c>
      <c r="R92">
        <f t="shared" si="6"/>
        <v>484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124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Data'!B118</f>
        <v>0</v>
      </c>
      <c r="Q93">
        <f t="shared" si="5"/>
        <v>0</v>
      </c>
      <c r="R93">
        <f t="shared" si="6"/>
        <v>484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124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Data'!B119</f>
        <v>0</v>
      </c>
      <c r="Q94">
        <f t="shared" si="5"/>
        <v>0</v>
      </c>
      <c r="R94">
        <f t="shared" si="6"/>
        <v>484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124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Data'!B120</f>
        <v>0</v>
      </c>
      <c r="Q95">
        <f t="shared" si="5"/>
        <v>0</v>
      </c>
      <c r="R95">
        <f t="shared" si="6"/>
        <v>484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124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Data'!B121</f>
        <v>0</v>
      </c>
      <c r="Q96">
        <f t="shared" si="5"/>
        <v>0</v>
      </c>
      <c r="R96">
        <f t="shared" si="6"/>
        <v>484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124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Data'!B122</f>
        <v>0</v>
      </c>
      <c r="Q97">
        <f t="shared" si="5"/>
        <v>0</v>
      </c>
      <c r="R97">
        <f t="shared" si="6"/>
        <v>484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124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Data'!B123</f>
        <v>0</v>
      </c>
      <c r="Q98">
        <f t="shared" si="5"/>
        <v>0</v>
      </c>
      <c r="R98">
        <f t="shared" si="6"/>
        <v>484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124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Data'!B124</f>
        <v>0</v>
      </c>
      <c r="Q99">
        <f t="shared" si="5"/>
        <v>0</v>
      </c>
      <c r="R99">
        <f t="shared" si="6"/>
        <v>484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124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Data'!B125</f>
        <v>0</v>
      </c>
      <c r="Q100">
        <f t="shared" si="5"/>
        <v>0</v>
      </c>
      <c r="R100">
        <f t="shared" si="6"/>
        <v>484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124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Data'!B126</f>
        <v>0</v>
      </c>
      <c r="Q101">
        <f t="shared" si="5"/>
        <v>0</v>
      </c>
      <c r="R101">
        <f t="shared" si="6"/>
        <v>484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124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Data'!B127</f>
        <v>0</v>
      </c>
      <c r="Q102">
        <f t="shared" si="5"/>
        <v>0</v>
      </c>
      <c r="R102">
        <f t="shared" si="6"/>
        <v>484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124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Data'!B128</f>
        <v>0</v>
      </c>
      <c r="Q103">
        <f t="shared" si="5"/>
        <v>0</v>
      </c>
      <c r="R103">
        <f t="shared" si="6"/>
        <v>484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124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Data'!B129</f>
        <v>0</v>
      </c>
      <c r="Q104">
        <f t="shared" si="5"/>
        <v>0</v>
      </c>
      <c r="R104">
        <f t="shared" si="6"/>
        <v>484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124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Data'!B130</f>
        <v>0</v>
      </c>
      <c r="Q105">
        <f t="shared" si="5"/>
        <v>0</v>
      </c>
      <c r="R105">
        <f t="shared" si="6"/>
        <v>484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124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Data'!B131</f>
        <v>0</v>
      </c>
      <c r="Q106">
        <f t="shared" si="5"/>
        <v>0</v>
      </c>
      <c r="R106">
        <f t="shared" si="6"/>
        <v>484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124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Data'!B132</f>
        <v>0</v>
      </c>
      <c r="Q107">
        <f t="shared" si="5"/>
        <v>0</v>
      </c>
      <c r="R107">
        <f t="shared" si="6"/>
        <v>484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124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Data'!B133</f>
        <v>0</v>
      </c>
      <c r="Q108">
        <f t="shared" si="5"/>
        <v>0</v>
      </c>
      <c r="R108">
        <f t="shared" si="6"/>
        <v>484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124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Data'!B134</f>
        <v>0</v>
      </c>
      <c r="Q109">
        <f t="shared" si="5"/>
        <v>0</v>
      </c>
      <c r="R109">
        <f t="shared" si="6"/>
        <v>484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124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Data'!B135</f>
        <v>0</v>
      </c>
      <c r="Q110">
        <f t="shared" si="5"/>
        <v>0</v>
      </c>
      <c r="R110">
        <f t="shared" si="6"/>
        <v>484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124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Data'!B136</f>
        <v>0</v>
      </c>
      <c r="Q111">
        <f t="shared" si="5"/>
        <v>0</v>
      </c>
      <c r="R111">
        <f t="shared" si="6"/>
        <v>484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124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Data'!B137</f>
        <v>0</v>
      </c>
      <c r="Q112">
        <f t="shared" si="5"/>
        <v>0</v>
      </c>
      <c r="R112">
        <f t="shared" si="6"/>
        <v>484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124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Data'!B138</f>
        <v>0</v>
      </c>
      <c r="Q113">
        <f t="shared" si="5"/>
        <v>0</v>
      </c>
      <c r="R113">
        <f t="shared" si="6"/>
        <v>484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124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Data'!B139</f>
        <v>0</v>
      </c>
      <c r="Q114">
        <f t="shared" si="5"/>
        <v>0</v>
      </c>
      <c r="R114">
        <f t="shared" si="6"/>
        <v>484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124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Data'!B140</f>
        <v>0</v>
      </c>
      <c r="Q115">
        <f t="shared" si="5"/>
        <v>0</v>
      </c>
      <c r="R115">
        <f t="shared" si="6"/>
        <v>484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124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Data'!B141</f>
        <v>0</v>
      </c>
      <c r="Q116">
        <f t="shared" si="5"/>
        <v>0</v>
      </c>
      <c r="R116">
        <f t="shared" si="6"/>
        <v>484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124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Data'!B142</f>
        <v>0</v>
      </c>
      <c r="Q117">
        <f t="shared" si="5"/>
        <v>0</v>
      </c>
      <c r="R117">
        <f t="shared" si="6"/>
        <v>484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124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Data'!B143</f>
        <v>0</v>
      </c>
      <c r="Q118">
        <f t="shared" si="5"/>
        <v>0</v>
      </c>
      <c r="R118">
        <f t="shared" si="6"/>
        <v>484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124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Data'!B144</f>
        <v>0</v>
      </c>
      <c r="Q119">
        <f t="shared" si="5"/>
        <v>0</v>
      </c>
      <c r="R119">
        <f t="shared" si="6"/>
        <v>484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124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Data'!B145</f>
        <v>0</v>
      </c>
      <c r="Q120">
        <f t="shared" si="5"/>
        <v>0</v>
      </c>
      <c r="R120">
        <f t="shared" si="6"/>
        <v>484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124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Data'!B146</f>
        <v>0</v>
      </c>
      <c r="Q121">
        <f t="shared" si="5"/>
        <v>0</v>
      </c>
      <c r="R121">
        <f t="shared" si="6"/>
        <v>484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124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Data'!B147</f>
        <v>0</v>
      </c>
      <c r="Q122">
        <f t="shared" si="5"/>
        <v>0</v>
      </c>
      <c r="R122">
        <f t="shared" si="6"/>
        <v>484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124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Data'!B148</f>
        <v>0</v>
      </c>
      <c r="Q123">
        <f t="shared" si="5"/>
        <v>0</v>
      </c>
      <c r="R123">
        <f t="shared" si="6"/>
        <v>484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124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Data'!B149</f>
        <v>0</v>
      </c>
      <c r="Q124">
        <f t="shared" si="5"/>
        <v>0</v>
      </c>
      <c r="R124">
        <f t="shared" si="6"/>
        <v>484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124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Data'!B150</f>
        <v>0</v>
      </c>
      <c r="Q125">
        <f t="shared" si="5"/>
        <v>0</v>
      </c>
      <c r="R125">
        <f t="shared" si="6"/>
        <v>484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124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Data'!B151</f>
        <v>0</v>
      </c>
      <c r="Q126">
        <f t="shared" si="5"/>
        <v>0</v>
      </c>
      <c r="R126">
        <f t="shared" si="6"/>
        <v>484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124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Data'!B152</f>
        <v>0</v>
      </c>
      <c r="Q127">
        <f t="shared" si="5"/>
        <v>0</v>
      </c>
      <c r="R127">
        <f t="shared" si="6"/>
        <v>484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124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Data'!B153</f>
        <v>0</v>
      </c>
      <c r="Q128">
        <f t="shared" si="5"/>
        <v>0</v>
      </c>
      <c r="R128">
        <f t="shared" si="6"/>
        <v>484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124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Data'!B154</f>
        <v>0</v>
      </c>
      <c r="Q129">
        <f t="shared" si="5"/>
        <v>0</v>
      </c>
      <c r="R129">
        <f t="shared" si="6"/>
        <v>484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124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Data'!B155</f>
        <v>0</v>
      </c>
      <c r="Q130">
        <f t="shared" si="5"/>
        <v>0</v>
      </c>
      <c r="R130">
        <f t="shared" si="6"/>
        <v>484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124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484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124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Data'!B157</f>
        <v>0</v>
      </c>
      <c r="Q132">
        <f t="shared" si="12"/>
        <v>0</v>
      </c>
      <c r="R132">
        <f t="shared" si="13"/>
        <v>484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124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Data'!B158</f>
        <v>0</v>
      </c>
      <c r="Q133">
        <f t="shared" si="12"/>
        <v>0</v>
      </c>
      <c r="R133">
        <f t="shared" si="13"/>
        <v>484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124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Data'!B159</f>
        <v>0</v>
      </c>
      <c r="Q134">
        <f t="shared" si="12"/>
        <v>0</v>
      </c>
      <c r="R134">
        <f t="shared" si="13"/>
        <v>484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124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Data'!B160</f>
        <v>0</v>
      </c>
      <c r="Q135">
        <f t="shared" si="12"/>
        <v>0</v>
      </c>
      <c r="R135">
        <f t="shared" si="13"/>
        <v>484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124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Data'!B161</f>
        <v>0</v>
      </c>
      <c r="Q136">
        <f t="shared" si="12"/>
        <v>0</v>
      </c>
      <c r="R136">
        <f t="shared" si="13"/>
        <v>484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124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Data'!B162</f>
        <v>0</v>
      </c>
      <c r="Q137">
        <f t="shared" si="12"/>
        <v>0</v>
      </c>
      <c r="R137">
        <f t="shared" si="13"/>
        <v>484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124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Data'!B163</f>
        <v>0</v>
      </c>
      <c r="Q138">
        <f t="shared" si="12"/>
        <v>0</v>
      </c>
      <c r="R138">
        <f t="shared" si="13"/>
        <v>484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124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Data'!B164</f>
        <v>0</v>
      </c>
      <c r="Q139">
        <f t="shared" si="12"/>
        <v>0</v>
      </c>
      <c r="R139">
        <f t="shared" si="13"/>
        <v>484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124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Data'!B165</f>
        <v>0</v>
      </c>
      <c r="Q140">
        <f t="shared" si="12"/>
        <v>0</v>
      </c>
      <c r="R140">
        <f t="shared" si="13"/>
        <v>484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124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Data'!B166</f>
        <v>0</v>
      </c>
      <c r="Q141">
        <f t="shared" si="12"/>
        <v>0</v>
      </c>
      <c r="R141">
        <f t="shared" si="13"/>
        <v>484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124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Data'!B167</f>
        <v>0</v>
      </c>
      <c r="Q142">
        <f t="shared" si="12"/>
        <v>0</v>
      </c>
      <c r="R142">
        <f t="shared" si="13"/>
        <v>484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124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Data'!B168</f>
        <v>0</v>
      </c>
      <c r="Q143">
        <f t="shared" si="12"/>
        <v>0</v>
      </c>
      <c r="R143">
        <f t="shared" si="13"/>
        <v>484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124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Data'!B169</f>
        <v>0</v>
      </c>
      <c r="Q144">
        <f t="shared" si="12"/>
        <v>0</v>
      </c>
      <c r="R144">
        <f t="shared" si="13"/>
        <v>484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124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Data'!B170</f>
        <v>0</v>
      </c>
      <c r="Q145">
        <f t="shared" si="12"/>
        <v>0</v>
      </c>
      <c r="R145">
        <f t="shared" si="13"/>
        <v>484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124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Data'!B171</f>
        <v>0</v>
      </c>
      <c r="Q146">
        <f t="shared" si="12"/>
        <v>0</v>
      </c>
      <c r="R146">
        <f t="shared" si="13"/>
        <v>484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124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Data'!B172</f>
        <v>0</v>
      </c>
      <c r="Q147">
        <f t="shared" si="12"/>
        <v>0</v>
      </c>
      <c r="R147">
        <f t="shared" si="13"/>
        <v>484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124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Data'!B173</f>
        <v>0</v>
      </c>
      <c r="Q148">
        <f t="shared" si="12"/>
        <v>0</v>
      </c>
      <c r="R148">
        <f t="shared" si="13"/>
        <v>484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124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Data'!B174</f>
        <v>0</v>
      </c>
      <c r="Q149">
        <f t="shared" si="12"/>
        <v>0</v>
      </c>
      <c r="R149">
        <f t="shared" si="13"/>
        <v>484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124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Data'!B175</f>
        <v>0</v>
      </c>
      <c r="Q150">
        <f t="shared" si="12"/>
        <v>0</v>
      </c>
      <c r="R150">
        <f t="shared" si="13"/>
        <v>484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124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Data'!B176</f>
        <v>0</v>
      </c>
      <c r="Q151">
        <f t="shared" si="12"/>
        <v>0</v>
      </c>
      <c r="R151">
        <f t="shared" si="13"/>
        <v>484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124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Data'!B177</f>
        <v>0</v>
      </c>
      <c r="Q152">
        <f t="shared" si="12"/>
        <v>0</v>
      </c>
      <c r="R152">
        <f t="shared" si="13"/>
        <v>484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124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Data'!B178</f>
        <v>0</v>
      </c>
      <c r="Q153">
        <f t="shared" si="12"/>
        <v>0</v>
      </c>
      <c r="R153">
        <f t="shared" si="13"/>
        <v>484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124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Data'!B179</f>
        <v>0</v>
      </c>
      <c r="Q154">
        <f t="shared" si="12"/>
        <v>0</v>
      </c>
      <c r="R154">
        <f t="shared" si="13"/>
        <v>484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124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Data'!B180</f>
        <v>0</v>
      </c>
      <c r="Q155">
        <f t="shared" si="12"/>
        <v>0</v>
      </c>
      <c r="R155">
        <f t="shared" si="13"/>
        <v>484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124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Data'!B181</f>
        <v>0</v>
      </c>
      <c r="Q156">
        <f t="shared" si="12"/>
        <v>0</v>
      </c>
      <c r="R156">
        <f t="shared" si="13"/>
        <v>484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124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Data'!B182</f>
        <v>0</v>
      </c>
      <c r="Q157">
        <f t="shared" si="12"/>
        <v>0</v>
      </c>
      <c r="R157">
        <f t="shared" si="13"/>
        <v>484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124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Data'!B183</f>
        <v>0</v>
      </c>
      <c r="Q158">
        <f t="shared" si="12"/>
        <v>0</v>
      </c>
      <c r="R158">
        <f t="shared" si="13"/>
        <v>484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124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Data'!B184</f>
        <v>0</v>
      </c>
      <c r="Q159">
        <f t="shared" si="12"/>
        <v>0</v>
      </c>
      <c r="R159">
        <f t="shared" si="13"/>
        <v>484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124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Data'!B185</f>
        <v>0</v>
      </c>
      <c r="Q160">
        <f t="shared" si="12"/>
        <v>0</v>
      </c>
      <c r="R160">
        <f t="shared" si="13"/>
        <v>484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124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Data'!B186</f>
        <v>0</v>
      </c>
      <c r="Q161">
        <f t="shared" si="12"/>
        <v>0</v>
      </c>
      <c r="R161">
        <f t="shared" si="13"/>
        <v>484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124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Data'!B187</f>
        <v>0</v>
      </c>
      <c r="Q162">
        <f t="shared" si="12"/>
        <v>0</v>
      </c>
      <c r="R162">
        <f t="shared" si="13"/>
        <v>484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124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Data'!B188</f>
        <v>0</v>
      </c>
      <c r="Q163">
        <f t="shared" si="12"/>
        <v>0</v>
      </c>
      <c r="R163">
        <f t="shared" si="13"/>
        <v>484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124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Data'!B189</f>
        <v>0</v>
      </c>
      <c r="Q164">
        <f t="shared" si="12"/>
        <v>0</v>
      </c>
      <c r="R164">
        <f t="shared" si="13"/>
        <v>484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124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Data'!B190</f>
        <v>0</v>
      </c>
      <c r="Q165">
        <f t="shared" si="12"/>
        <v>0</v>
      </c>
      <c r="R165">
        <f t="shared" si="13"/>
        <v>484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124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Data'!B191</f>
        <v>0</v>
      </c>
      <c r="Q166">
        <f t="shared" si="12"/>
        <v>0</v>
      </c>
      <c r="R166">
        <f t="shared" si="13"/>
        <v>484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124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Data'!B192</f>
        <v>0</v>
      </c>
      <c r="Q167">
        <f t="shared" si="12"/>
        <v>0</v>
      </c>
      <c r="R167">
        <f t="shared" si="13"/>
        <v>484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124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Data'!B193</f>
        <v>0</v>
      </c>
      <c r="Q168">
        <f t="shared" si="12"/>
        <v>0</v>
      </c>
      <c r="R168">
        <f t="shared" si="13"/>
        <v>484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124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Data'!B194</f>
        <v>0</v>
      </c>
      <c r="Q169">
        <f t="shared" si="12"/>
        <v>0</v>
      </c>
      <c r="R169">
        <f t="shared" si="13"/>
        <v>484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124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Data'!B195</f>
        <v>0</v>
      </c>
      <c r="Q170">
        <f t="shared" si="12"/>
        <v>0</v>
      </c>
      <c r="R170">
        <f t="shared" si="13"/>
        <v>484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124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Data'!B196</f>
        <v>0</v>
      </c>
      <c r="Q171">
        <f t="shared" si="12"/>
        <v>0</v>
      </c>
      <c r="R171">
        <f t="shared" si="13"/>
        <v>484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124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Data'!B197</f>
        <v>0</v>
      </c>
      <c r="Q172">
        <f t="shared" si="12"/>
        <v>0</v>
      </c>
      <c r="R172">
        <f t="shared" si="13"/>
        <v>484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124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Data'!B198</f>
        <v>0</v>
      </c>
      <c r="Q173">
        <f t="shared" si="12"/>
        <v>0</v>
      </c>
      <c r="R173">
        <f t="shared" si="13"/>
        <v>484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124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Data'!B199</f>
        <v>0</v>
      </c>
      <c r="Q174">
        <f t="shared" si="12"/>
        <v>0</v>
      </c>
      <c r="R174">
        <f t="shared" si="13"/>
        <v>484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124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Data'!B200</f>
        <v>0</v>
      </c>
      <c r="Q175">
        <f t="shared" si="12"/>
        <v>0</v>
      </c>
      <c r="R175">
        <f t="shared" si="13"/>
        <v>484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124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Data'!B201</f>
        <v>0</v>
      </c>
      <c r="Q176">
        <f t="shared" si="12"/>
        <v>0</v>
      </c>
      <c r="R176">
        <f t="shared" si="13"/>
        <v>484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124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Data'!B202</f>
        <v>0</v>
      </c>
      <c r="Q177">
        <f t="shared" si="12"/>
        <v>0</v>
      </c>
      <c r="R177">
        <f t="shared" si="13"/>
        <v>484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124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Data'!B203</f>
        <v>0</v>
      </c>
      <c r="Q178">
        <f t="shared" si="12"/>
        <v>0</v>
      </c>
      <c r="R178">
        <f t="shared" si="13"/>
        <v>484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124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Data'!B204</f>
        <v>0</v>
      </c>
      <c r="Q179">
        <f t="shared" si="12"/>
        <v>0</v>
      </c>
      <c r="R179">
        <f t="shared" si="13"/>
        <v>484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124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Data'!B205</f>
        <v>0</v>
      </c>
      <c r="Q180">
        <f t="shared" si="12"/>
        <v>0</v>
      </c>
      <c r="R180">
        <f t="shared" si="13"/>
        <v>484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124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Data'!B206</f>
        <v>0</v>
      </c>
      <c r="Q181">
        <f t="shared" si="12"/>
        <v>0</v>
      </c>
      <c r="R181">
        <f t="shared" si="13"/>
        <v>484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124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Data'!B207</f>
        <v>0</v>
      </c>
      <c r="Q182">
        <f t="shared" si="12"/>
        <v>0</v>
      </c>
      <c r="R182">
        <f t="shared" si="13"/>
        <v>484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124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Data'!B208</f>
        <v>0</v>
      </c>
      <c r="Q183">
        <f t="shared" si="12"/>
        <v>0</v>
      </c>
      <c r="R183">
        <f t="shared" si="13"/>
        <v>484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124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Data'!B209</f>
        <v>0</v>
      </c>
      <c r="Q184">
        <f t="shared" si="12"/>
        <v>0</v>
      </c>
      <c r="R184">
        <f t="shared" si="13"/>
        <v>484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124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Data'!B210</f>
        <v>0</v>
      </c>
      <c r="Q185">
        <f t="shared" si="12"/>
        <v>0</v>
      </c>
      <c r="R185">
        <f t="shared" si="13"/>
        <v>484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124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Data'!B211</f>
        <v>0</v>
      </c>
      <c r="Q186">
        <f t="shared" si="12"/>
        <v>0</v>
      </c>
      <c r="R186">
        <f t="shared" si="13"/>
        <v>484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124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Data'!B212</f>
        <v>0</v>
      </c>
      <c r="Q187">
        <f t="shared" si="12"/>
        <v>0</v>
      </c>
      <c r="R187">
        <f t="shared" si="13"/>
        <v>484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124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Data'!B213</f>
        <v>0</v>
      </c>
      <c r="Q188">
        <f t="shared" si="12"/>
        <v>0</v>
      </c>
      <c r="R188">
        <f t="shared" si="13"/>
        <v>484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124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Data'!B214</f>
        <v>0</v>
      </c>
      <c r="Q189">
        <f t="shared" si="12"/>
        <v>0</v>
      </c>
      <c r="R189">
        <f t="shared" si="13"/>
        <v>484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124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Data'!B215</f>
        <v>0</v>
      </c>
      <c r="Q190">
        <f t="shared" si="12"/>
        <v>0</v>
      </c>
      <c r="R190">
        <f t="shared" si="13"/>
        <v>484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124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Data'!B216</f>
        <v>0</v>
      </c>
      <c r="Q191">
        <f t="shared" si="12"/>
        <v>0</v>
      </c>
      <c r="R191">
        <f t="shared" si="13"/>
        <v>484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124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Data'!B217</f>
        <v>0</v>
      </c>
      <c r="Q192">
        <f t="shared" si="12"/>
        <v>0</v>
      </c>
      <c r="R192">
        <f t="shared" si="13"/>
        <v>484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124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Data'!B218</f>
        <v>0</v>
      </c>
      <c r="Q193">
        <f t="shared" si="12"/>
        <v>0</v>
      </c>
      <c r="R193">
        <f t="shared" si="13"/>
        <v>484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124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Data'!B219</f>
        <v>0</v>
      </c>
      <c r="Q194">
        <f t="shared" si="12"/>
        <v>0</v>
      </c>
      <c r="R194">
        <f t="shared" si="13"/>
        <v>484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124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484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124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Data'!B221</f>
        <v>0</v>
      </c>
      <c r="Q196">
        <f t="shared" si="17"/>
        <v>0</v>
      </c>
      <c r="R196">
        <f t="shared" si="18"/>
        <v>484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124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Data'!B222</f>
        <v>0</v>
      </c>
      <c r="Q197">
        <f t="shared" si="17"/>
        <v>0</v>
      </c>
      <c r="R197">
        <f t="shared" si="18"/>
        <v>484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124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Data'!B223</f>
        <v>0</v>
      </c>
      <c r="Q198">
        <f t="shared" si="17"/>
        <v>0</v>
      </c>
      <c r="R198">
        <f t="shared" si="18"/>
        <v>484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124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Data'!B224</f>
        <v>0</v>
      </c>
      <c r="Q199">
        <f t="shared" si="17"/>
        <v>0</v>
      </c>
      <c r="R199">
        <f t="shared" si="18"/>
        <v>484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124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Data'!B225</f>
        <v>0</v>
      </c>
      <c r="Q200">
        <f t="shared" si="17"/>
        <v>0</v>
      </c>
      <c r="R200">
        <f t="shared" si="18"/>
        <v>484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Data'!B226</f>
        <v>0</v>
      </c>
      <c r="Q201">
        <f t="shared" si="17"/>
        <v>0</v>
      </c>
      <c r="R201">
        <f t="shared" si="18"/>
        <v>484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Data'!B227</f>
        <v>0</v>
      </c>
      <c r="Q202">
        <f t="shared" si="17"/>
        <v>0</v>
      </c>
      <c r="R202">
        <f t="shared" si="18"/>
        <v>484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Data'!B228</f>
        <v>0</v>
      </c>
      <c r="Q203">
        <f t="shared" si="17"/>
        <v>0</v>
      </c>
      <c r="R203">
        <f t="shared" si="18"/>
        <v>484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Data'!B229</f>
        <v>0</v>
      </c>
      <c r="Q204">
        <f t="shared" si="17"/>
        <v>0</v>
      </c>
      <c r="R204">
        <f t="shared" si="18"/>
        <v>484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Data'!B230</f>
        <v>0</v>
      </c>
      <c r="Q205">
        <f t="shared" si="17"/>
        <v>0</v>
      </c>
      <c r="R205">
        <f t="shared" si="18"/>
        <v>484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Data'!B231</f>
        <v>0</v>
      </c>
      <c r="Q206">
        <f t="shared" si="17"/>
        <v>0</v>
      </c>
      <c r="R206">
        <f t="shared" si="18"/>
        <v>484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Data'!B232</f>
        <v>0</v>
      </c>
      <c r="Q207">
        <f t="shared" si="17"/>
        <v>0</v>
      </c>
      <c r="R207">
        <f t="shared" si="18"/>
        <v>484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Data'!B233</f>
        <v>0</v>
      </c>
      <c r="Q208">
        <f t="shared" si="17"/>
        <v>0</v>
      </c>
      <c r="R208">
        <f t="shared" si="18"/>
        <v>484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Data'!B234</f>
        <v>0</v>
      </c>
      <c r="Q209">
        <f t="shared" si="17"/>
        <v>0</v>
      </c>
      <c r="R209">
        <f t="shared" si="18"/>
        <v>484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Data'!B235</f>
        <v>0</v>
      </c>
      <c r="Q210">
        <f t="shared" si="17"/>
        <v>0</v>
      </c>
      <c r="R210">
        <f t="shared" si="18"/>
        <v>484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Data'!B236</f>
        <v>0</v>
      </c>
      <c r="Q211">
        <f t="shared" si="17"/>
        <v>0</v>
      </c>
      <c r="R211">
        <f t="shared" si="18"/>
        <v>484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Data'!B237</f>
        <v>0</v>
      </c>
      <c r="Q212">
        <f t="shared" si="17"/>
        <v>0</v>
      </c>
      <c r="R212">
        <f t="shared" si="18"/>
        <v>484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Data'!B238</f>
        <v>0</v>
      </c>
      <c r="Q213">
        <f t="shared" si="17"/>
        <v>0</v>
      </c>
      <c r="R213">
        <f t="shared" si="18"/>
        <v>484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Data'!B239</f>
        <v>0</v>
      </c>
      <c r="Q214">
        <f t="shared" si="17"/>
        <v>0</v>
      </c>
      <c r="R214">
        <f t="shared" si="18"/>
        <v>484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Data'!B240</f>
        <v>0</v>
      </c>
      <c r="Q215">
        <f t="shared" si="17"/>
        <v>0</v>
      </c>
      <c r="R215">
        <f t="shared" si="18"/>
        <v>484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Data'!B241</f>
        <v>0</v>
      </c>
      <c r="Q216">
        <f t="shared" si="17"/>
        <v>0</v>
      </c>
      <c r="R216">
        <f t="shared" si="18"/>
        <v>484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Data'!B242</f>
        <v>0</v>
      </c>
      <c r="Q217">
        <f t="shared" si="17"/>
        <v>0</v>
      </c>
      <c r="R217">
        <f t="shared" si="18"/>
        <v>484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Data'!B243</f>
        <v>0</v>
      </c>
      <c r="Q218">
        <f t="shared" si="17"/>
        <v>0</v>
      </c>
      <c r="R218">
        <f t="shared" si="18"/>
        <v>484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Data'!B244</f>
        <v>0</v>
      </c>
      <c r="Q219">
        <f t="shared" si="17"/>
        <v>0</v>
      </c>
      <c r="R219">
        <f t="shared" si="18"/>
        <v>484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Data'!B245</f>
        <v>0</v>
      </c>
      <c r="Q220">
        <f t="shared" si="17"/>
        <v>0</v>
      </c>
      <c r="R220">
        <f t="shared" si="18"/>
        <v>484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Data'!B246</f>
        <v>0</v>
      </c>
      <c r="Q221">
        <f t="shared" si="17"/>
        <v>0</v>
      </c>
      <c r="R221">
        <f t="shared" si="18"/>
        <v>484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Data'!B247</f>
        <v>0</v>
      </c>
      <c r="Q222">
        <f t="shared" si="17"/>
        <v>0</v>
      </c>
      <c r="R222">
        <f t="shared" si="18"/>
        <v>484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Data'!B248</f>
        <v>0</v>
      </c>
      <c r="Q223">
        <f t="shared" si="17"/>
        <v>0</v>
      </c>
      <c r="R223">
        <f t="shared" si="18"/>
        <v>484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Data'!B249</f>
        <v>0</v>
      </c>
      <c r="Q224">
        <f t="shared" si="17"/>
        <v>0</v>
      </c>
      <c r="R224">
        <f t="shared" si="18"/>
        <v>484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Data'!B250</f>
        <v>0</v>
      </c>
      <c r="Q225">
        <f t="shared" si="17"/>
        <v>0</v>
      </c>
      <c r="R225">
        <f t="shared" si="18"/>
        <v>484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Data'!B251</f>
        <v>0</v>
      </c>
      <c r="Q226">
        <f t="shared" si="17"/>
        <v>0</v>
      </c>
      <c r="R226">
        <f t="shared" si="18"/>
        <v>484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Data'!B252</f>
        <v>0</v>
      </c>
      <c r="Q227">
        <f t="shared" si="17"/>
        <v>0</v>
      </c>
      <c r="R227">
        <f t="shared" si="18"/>
        <v>484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Data'!B253</f>
        <v>0</v>
      </c>
      <c r="Q228">
        <f t="shared" si="17"/>
        <v>0</v>
      </c>
      <c r="R228">
        <f t="shared" si="18"/>
        <v>484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Data'!B254</f>
        <v>0</v>
      </c>
      <c r="Q229">
        <f t="shared" si="17"/>
        <v>0</v>
      </c>
      <c r="R229">
        <f t="shared" si="18"/>
        <v>484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Data'!B255</f>
        <v>0</v>
      </c>
      <c r="Q230">
        <f t="shared" si="17"/>
        <v>0</v>
      </c>
      <c r="R230">
        <f t="shared" si="18"/>
        <v>484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Data'!B256</f>
        <v>0</v>
      </c>
      <c r="Q231">
        <f t="shared" si="17"/>
        <v>0</v>
      </c>
      <c r="R231">
        <f t="shared" si="18"/>
        <v>484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Data'!B257</f>
        <v>0</v>
      </c>
      <c r="Q232">
        <f t="shared" si="17"/>
        <v>0</v>
      </c>
      <c r="R232">
        <f t="shared" si="18"/>
        <v>484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Data'!B258</f>
        <v>0</v>
      </c>
      <c r="Q233">
        <f t="shared" si="17"/>
        <v>0</v>
      </c>
      <c r="R233">
        <f t="shared" si="18"/>
        <v>484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Data'!B259</f>
        <v>0</v>
      </c>
      <c r="Q234">
        <f t="shared" si="17"/>
        <v>0</v>
      </c>
      <c r="R234">
        <f t="shared" si="18"/>
        <v>484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Data'!B260</f>
        <v>0</v>
      </c>
      <c r="Q235">
        <f t="shared" si="17"/>
        <v>0</v>
      </c>
      <c r="R235">
        <f t="shared" si="18"/>
        <v>484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Data'!B261</f>
        <v>0</v>
      </c>
      <c r="Q236">
        <f t="shared" si="17"/>
        <v>0</v>
      </c>
      <c r="R236">
        <f t="shared" si="18"/>
        <v>484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Data'!B262</f>
        <v>0</v>
      </c>
      <c r="Q237">
        <f t="shared" si="17"/>
        <v>0</v>
      </c>
      <c r="R237">
        <f t="shared" si="18"/>
        <v>484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Data'!B263</f>
        <v>0</v>
      </c>
      <c r="Q238">
        <f t="shared" si="17"/>
        <v>0</v>
      </c>
      <c r="R238">
        <f t="shared" si="18"/>
        <v>484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Data'!B264</f>
        <v>0</v>
      </c>
      <c r="Q239">
        <f t="shared" si="17"/>
        <v>0</v>
      </c>
      <c r="R239">
        <f t="shared" si="18"/>
        <v>484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Data'!B265</f>
        <v>0</v>
      </c>
      <c r="Q240">
        <f t="shared" si="17"/>
        <v>0</v>
      </c>
      <c r="R240">
        <f t="shared" si="18"/>
        <v>484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Data'!B266</f>
        <v>0</v>
      </c>
      <c r="Q241">
        <f t="shared" si="17"/>
        <v>0</v>
      </c>
      <c r="R241">
        <f t="shared" si="18"/>
        <v>484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Data'!B267</f>
        <v>0</v>
      </c>
      <c r="Q242">
        <f t="shared" si="17"/>
        <v>0</v>
      </c>
      <c r="R242">
        <f t="shared" si="18"/>
        <v>484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Data'!B268</f>
        <v>0</v>
      </c>
      <c r="Q243">
        <f t="shared" si="17"/>
        <v>0</v>
      </c>
      <c r="R243">
        <f t="shared" si="18"/>
        <v>484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Data'!B269</f>
        <v>0</v>
      </c>
      <c r="Q244">
        <f t="shared" si="17"/>
        <v>0</v>
      </c>
      <c r="R244">
        <f t="shared" si="18"/>
        <v>484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Data'!B270</f>
        <v>0</v>
      </c>
      <c r="Q245">
        <f t="shared" si="17"/>
        <v>0</v>
      </c>
      <c r="R245">
        <f t="shared" si="18"/>
        <v>484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Data'!B271</f>
        <v>0</v>
      </c>
      <c r="Q246">
        <f t="shared" si="17"/>
        <v>0</v>
      </c>
      <c r="R246">
        <f t="shared" si="18"/>
        <v>484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Data'!B272</f>
        <v>0</v>
      </c>
      <c r="Q247">
        <f t="shared" si="17"/>
        <v>0</v>
      </c>
      <c r="R247">
        <f t="shared" si="18"/>
        <v>484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Data'!B273</f>
        <v>0</v>
      </c>
      <c r="Q248">
        <f t="shared" si="17"/>
        <v>0</v>
      </c>
      <c r="R248">
        <f t="shared" si="18"/>
        <v>484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Data'!B274</f>
        <v>0</v>
      </c>
      <c r="Q249">
        <f t="shared" si="17"/>
        <v>0</v>
      </c>
      <c r="R249">
        <f t="shared" si="18"/>
        <v>484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Data'!B275</f>
        <v>0</v>
      </c>
      <c r="Q250">
        <f t="shared" si="17"/>
        <v>0</v>
      </c>
      <c r="R250">
        <f t="shared" si="18"/>
        <v>484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Data'!B276</f>
        <v>0</v>
      </c>
      <c r="Q251">
        <f t="shared" si="17"/>
        <v>0</v>
      </c>
      <c r="R251">
        <f t="shared" si="18"/>
        <v>484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Data'!B277</f>
        <v>0</v>
      </c>
      <c r="Q252">
        <f t="shared" si="17"/>
        <v>0</v>
      </c>
      <c r="R252">
        <f t="shared" si="18"/>
        <v>484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Data'!B278</f>
        <v>0</v>
      </c>
      <c r="Q253">
        <f t="shared" si="17"/>
        <v>0</v>
      </c>
      <c r="R253">
        <f t="shared" si="18"/>
        <v>484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Data'!B279</f>
        <v>0</v>
      </c>
      <c r="Q254">
        <f t="shared" si="17"/>
        <v>0</v>
      </c>
      <c r="R254">
        <f t="shared" si="18"/>
        <v>484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Data'!B280</f>
        <v>0</v>
      </c>
      <c r="Q255">
        <f t="shared" si="17"/>
        <v>0</v>
      </c>
      <c r="R255">
        <f t="shared" si="18"/>
        <v>484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Data'!B281</f>
        <v>0</v>
      </c>
      <c r="Q256">
        <f t="shared" si="17"/>
        <v>0</v>
      </c>
      <c r="R256">
        <f t="shared" si="18"/>
        <v>484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Data'!B282</f>
        <v>0</v>
      </c>
      <c r="Q257">
        <f t="shared" si="17"/>
        <v>0</v>
      </c>
      <c r="R257">
        <f t="shared" si="18"/>
        <v>484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Data'!B283</f>
        <v>0</v>
      </c>
      <c r="Q258">
        <f t="shared" si="17"/>
        <v>0</v>
      </c>
      <c r="R258">
        <f t="shared" si="18"/>
        <v>484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484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Data'!B285</f>
        <v>0</v>
      </c>
      <c r="Q260">
        <f t="shared" si="22"/>
        <v>0</v>
      </c>
      <c r="R260">
        <f t="shared" si="23"/>
        <v>484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Data'!B286</f>
        <v>0</v>
      </c>
      <c r="Q261">
        <f t="shared" si="22"/>
        <v>0</v>
      </c>
      <c r="R261">
        <f t="shared" si="23"/>
        <v>484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Data'!B287</f>
        <v>0</v>
      </c>
      <c r="Q262">
        <f t="shared" si="22"/>
        <v>0</v>
      </c>
      <c r="R262">
        <f t="shared" si="23"/>
        <v>484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Data'!B288</f>
        <v>0</v>
      </c>
      <c r="Q263">
        <f t="shared" si="22"/>
        <v>0</v>
      </c>
      <c r="R263">
        <f t="shared" si="23"/>
        <v>484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Data'!B289</f>
        <v>0</v>
      </c>
      <c r="Q264">
        <f t="shared" si="22"/>
        <v>0</v>
      </c>
      <c r="R264">
        <f t="shared" si="23"/>
        <v>484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Data'!B290</f>
        <v>0</v>
      </c>
      <c r="Q265">
        <f t="shared" si="22"/>
        <v>0</v>
      </c>
      <c r="R265">
        <f t="shared" si="23"/>
        <v>484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Data'!B291</f>
        <v>0</v>
      </c>
      <c r="Q266">
        <f t="shared" si="22"/>
        <v>0</v>
      </c>
      <c r="R266">
        <f t="shared" si="23"/>
        <v>484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Data'!B292</f>
        <v>0</v>
      </c>
      <c r="Q267">
        <f t="shared" si="22"/>
        <v>0</v>
      </c>
      <c r="R267">
        <f t="shared" si="23"/>
        <v>484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Data'!B293</f>
        <v>0</v>
      </c>
      <c r="Q268">
        <f t="shared" si="22"/>
        <v>0</v>
      </c>
      <c r="R268">
        <f t="shared" si="23"/>
        <v>484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Data'!B294</f>
        <v>0</v>
      </c>
      <c r="Q269">
        <f t="shared" si="22"/>
        <v>0</v>
      </c>
      <c r="R269">
        <f t="shared" si="23"/>
        <v>484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Data'!B295</f>
        <v>0</v>
      </c>
      <c r="Q270">
        <f t="shared" si="22"/>
        <v>0</v>
      </c>
      <c r="R270">
        <f t="shared" si="23"/>
        <v>484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Data'!B296</f>
        <v>0</v>
      </c>
      <c r="Q271">
        <f t="shared" si="22"/>
        <v>0</v>
      </c>
      <c r="R271">
        <f t="shared" si="23"/>
        <v>484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Data'!B297</f>
        <v>0</v>
      </c>
      <c r="Q272">
        <f t="shared" si="22"/>
        <v>0</v>
      </c>
      <c r="R272">
        <f t="shared" si="23"/>
        <v>484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Data'!B298</f>
        <v>0</v>
      </c>
      <c r="Q273">
        <f t="shared" si="22"/>
        <v>0</v>
      </c>
      <c r="R273">
        <f t="shared" si="23"/>
        <v>484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Data'!B299</f>
        <v>0</v>
      </c>
      <c r="Q274">
        <f t="shared" si="22"/>
        <v>0</v>
      </c>
      <c r="R274">
        <f t="shared" si="23"/>
        <v>484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Data'!B300</f>
        <v>0</v>
      </c>
      <c r="Q275">
        <f t="shared" si="22"/>
        <v>0</v>
      </c>
      <c r="R275">
        <f t="shared" si="23"/>
        <v>484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Data'!B301</f>
        <v>0</v>
      </c>
      <c r="Q276">
        <f t="shared" si="22"/>
        <v>0</v>
      </c>
      <c r="R276">
        <f t="shared" si="23"/>
        <v>484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Data'!B302</f>
        <v>0</v>
      </c>
      <c r="Q277">
        <f t="shared" si="22"/>
        <v>0</v>
      </c>
      <c r="R277">
        <f t="shared" si="23"/>
        <v>484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Data'!B303</f>
        <v>0</v>
      </c>
      <c r="Q278">
        <f t="shared" si="22"/>
        <v>0</v>
      </c>
      <c r="R278">
        <f t="shared" si="23"/>
        <v>484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Data'!B304</f>
        <v>0</v>
      </c>
      <c r="Q279">
        <f t="shared" si="22"/>
        <v>0</v>
      </c>
      <c r="R279">
        <f t="shared" si="23"/>
        <v>484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Data'!B305</f>
        <v>0</v>
      </c>
      <c r="Q280">
        <f t="shared" si="22"/>
        <v>0</v>
      </c>
      <c r="R280">
        <f t="shared" si="23"/>
        <v>484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Data'!B306</f>
        <v>0</v>
      </c>
      <c r="Q281">
        <f t="shared" si="22"/>
        <v>0</v>
      </c>
      <c r="R281">
        <f t="shared" si="23"/>
        <v>484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Data'!B307</f>
        <v>0</v>
      </c>
      <c r="Q282">
        <f t="shared" si="22"/>
        <v>0</v>
      </c>
      <c r="R282">
        <f t="shared" si="23"/>
        <v>484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Data'!B308</f>
        <v>0</v>
      </c>
      <c r="Q283">
        <f t="shared" si="22"/>
        <v>0</v>
      </c>
      <c r="R283">
        <f t="shared" si="23"/>
        <v>484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Data'!B309</f>
        <v>0</v>
      </c>
      <c r="Q284">
        <f t="shared" si="22"/>
        <v>0</v>
      </c>
      <c r="R284">
        <f t="shared" si="23"/>
        <v>484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Data'!B310</f>
        <v>0</v>
      </c>
      <c r="Q285">
        <f t="shared" si="22"/>
        <v>0</v>
      </c>
      <c r="R285">
        <f t="shared" si="23"/>
        <v>484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Data'!B311</f>
        <v>0</v>
      </c>
      <c r="Q286">
        <f t="shared" si="22"/>
        <v>0</v>
      </c>
      <c r="R286">
        <f t="shared" si="23"/>
        <v>484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Data'!B312</f>
        <v>0</v>
      </c>
      <c r="Q287">
        <f t="shared" si="22"/>
        <v>0</v>
      </c>
      <c r="R287">
        <f t="shared" si="23"/>
        <v>484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Data'!B313</f>
        <v>0</v>
      </c>
      <c r="Q288">
        <f t="shared" si="22"/>
        <v>0</v>
      </c>
      <c r="R288">
        <f t="shared" si="23"/>
        <v>484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Data'!B314</f>
        <v>0</v>
      </c>
      <c r="Q289">
        <f t="shared" si="22"/>
        <v>0</v>
      </c>
      <c r="R289">
        <f t="shared" si="23"/>
        <v>484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Data'!B315</f>
        <v>0</v>
      </c>
      <c r="Q290">
        <f t="shared" si="22"/>
        <v>0</v>
      </c>
      <c r="R290">
        <f t="shared" si="23"/>
        <v>484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Data'!B316</f>
        <v>0</v>
      </c>
      <c r="Q291">
        <f t="shared" si="22"/>
        <v>0</v>
      </c>
      <c r="R291">
        <f t="shared" si="23"/>
        <v>484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Data'!B317</f>
        <v>0</v>
      </c>
      <c r="Q292">
        <f t="shared" si="22"/>
        <v>0</v>
      </c>
      <c r="R292">
        <f t="shared" si="23"/>
        <v>484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Data'!B318</f>
        <v>0</v>
      </c>
      <c r="Q293">
        <f t="shared" si="22"/>
        <v>0</v>
      </c>
      <c r="R293">
        <f t="shared" si="23"/>
        <v>484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Data'!B319</f>
        <v>0</v>
      </c>
      <c r="Q294">
        <f t="shared" si="22"/>
        <v>0</v>
      </c>
      <c r="R294">
        <f t="shared" si="23"/>
        <v>484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Data'!B320</f>
        <v>0</v>
      </c>
      <c r="Q295">
        <f t="shared" si="22"/>
        <v>0</v>
      </c>
      <c r="R295">
        <f t="shared" si="23"/>
        <v>484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Data'!B321</f>
        <v>0</v>
      </c>
      <c r="Q296">
        <f t="shared" si="22"/>
        <v>0</v>
      </c>
      <c r="R296">
        <f t="shared" si="23"/>
        <v>484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Data'!B322</f>
        <v>0</v>
      </c>
      <c r="Q297">
        <f t="shared" si="22"/>
        <v>0</v>
      </c>
      <c r="R297">
        <f t="shared" si="23"/>
        <v>484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Data'!B323</f>
        <v>0</v>
      </c>
      <c r="Q298">
        <f t="shared" si="22"/>
        <v>0</v>
      </c>
      <c r="R298">
        <f t="shared" si="23"/>
        <v>484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Data'!B324</f>
        <v>0</v>
      </c>
      <c r="Q299">
        <f t="shared" si="22"/>
        <v>0</v>
      </c>
      <c r="R299">
        <f t="shared" si="23"/>
        <v>484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Data'!B325</f>
        <v>0</v>
      </c>
      <c r="Q300">
        <f t="shared" si="22"/>
        <v>0</v>
      </c>
      <c r="R300">
        <f t="shared" si="23"/>
        <v>484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Data'!B326</f>
        <v>0</v>
      </c>
      <c r="Q301">
        <f t="shared" si="22"/>
        <v>0</v>
      </c>
      <c r="R301">
        <f t="shared" si="23"/>
        <v>484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Data'!B327</f>
        <v>0</v>
      </c>
      <c r="Q302">
        <f t="shared" si="22"/>
        <v>0</v>
      </c>
      <c r="R302">
        <f t="shared" si="23"/>
        <v>484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Data'!B328</f>
        <v>0</v>
      </c>
      <c r="Q303">
        <f t="shared" si="22"/>
        <v>0</v>
      </c>
      <c r="R303">
        <f t="shared" si="23"/>
        <v>484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Data'!B329</f>
        <v>0</v>
      </c>
      <c r="Q304">
        <f t="shared" si="22"/>
        <v>0</v>
      </c>
      <c r="R304">
        <f t="shared" si="23"/>
        <v>484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Data'!B330</f>
        <v>0</v>
      </c>
      <c r="Q305">
        <f t="shared" si="22"/>
        <v>0</v>
      </c>
      <c r="R305">
        <f t="shared" si="23"/>
        <v>484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Data'!B331</f>
        <v>0</v>
      </c>
      <c r="Q306">
        <f t="shared" si="22"/>
        <v>0</v>
      </c>
      <c r="R306">
        <f t="shared" si="23"/>
        <v>484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Data'!B332</f>
        <v>0</v>
      </c>
      <c r="Q307">
        <f t="shared" si="22"/>
        <v>0</v>
      </c>
      <c r="R307">
        <f t="shared" si="23"/>
        <v>484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Data'!B333</f>
        <v>0</v>
      </c>
      <c r="Q308">
        <f t="shared" si="22"/>
        <v>0</v>
      </c>
      <c r="R308">
        <f t="shared" si="23"/>
        <v>484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Data'!B334</f>
        <v>0</v>
      </c>
      <c r="Q309">
        <f t="shared" si="22"/>
        <v>0</v>
      </c>
      <c r="R309">
        <f t="shared" si="23"/>
        <v>484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Data'!B335</f>
        <v>0</v>
      </c>
      <c r="Q310">
        <f t="shared" si="22"/>
        <v>0</v>
      </c>
      <c r="R310">
        <f t="shared" si="23"/>
        <v>484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Data'!B336</f>
        <v>0</v>
      </c>
      <c r="Q311">
        <f t="shared" si="22"/>
        <v>0</v>
      </c>
      <c r="R311">
        <f t="shared" si="23"/>
        <v>484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Data'!B337</f>
        <v>0</v>
      </c>
      <c r="Q312">
        <f t="shared" si="22"/>
        <v>0</v>
      </c>
      <c r="R312">
        <f t="shared" si="23"/>
        <v>484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Data'!B338</f>
        <v>0</v>
      </c>
      <c r="Q313">
        <f t="shared" si="22"/>
        <v>0</v>
      </c>
      <c r="R313">
        <f t="shared" si="23"/>
        <v>484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Data'!B339</f>
        <v>0</v>
      </c>
      <c r="Q314">
        <f t="shared" si="22"/>
        <v>0</v>
      </c>
      <c r="R314">
        <f t="shared" si="23"/>
        <v>484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Data'!B340</f>
        <v>0</v>
      </c>
      <c r="Q315">
        <f t="shared" si="22"/>
        <v>0</v>
      </c>
      <c r="R315">
        <f t="shared" si="23"/>
        <v>484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Data'!B341</f>
        <v>0</v>
      </c>
      <c r="Q316">
        <f t="shared" si="22"/>
        <v>0</v>
      </c>
      <c r="R316">
        <f t="shared" si="23"/>
        <v>484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Data'!B342</f>
        <v>0</v>
      </c>
      <c r="Q317">
        <f t="shared" si="22"/>
        <v>0</v>
      </c>
      <c r="R317">
        <f t="shared" si="23"/>
        <v>484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Data'!B343</f>
        <v>0</v>
      </c>
      <c r="Q318">
        <f t="shared" si="22"/>
        <v>0</v>
      </c>
      <c r="R318">
        <f t="shared" si="23"/>
        <v>484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Data'!B344</f>
        <v>0</v>
      </c>
      <c r="Q319">
        <f t="shared" si="22"/>
        <v>0</v>
      </c>
      <c r="R319">
        <f t="shared" si="23"/>
        <v>484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Data'!B345</f>
        <v>0</v>
      </c>
      <c r="Q320">
        <f t="shared" si="22"/>
        <v>0</v>
      </c>
      <c r="R320">
        <f t="shared" si="23"/>
        <v>484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Data'!B346</f>
        <v>0</v>
      </c>
      <c r="Q321">
        <f t="shared" si="22"/>
        <v>0</v>
      </c>
      <c r="R321">
        <f t="shared" si="23"/>
        <v>484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Data'!B347</f>
        <v>0</v>
      </c>
      <c r="Q322">
        <f t="shared" si="22"/>
        <v>0</v>
      </c>
      <c r="R322">
        <f t="shared" si="23"/>
        <v>484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484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Data'!B349</f>
        <v>0</v>
      </c>
      <c r="Q324">
        <f t="shared" si="27"/>
        <v>0</v>
      </c>
      <c r="R324">
        <f t="shared" si="28"/>
        <v>484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Data'!B350</f>
        <v>0</v>
      </c>
      <c r="Q325">
        <f t="shared" si="27"/>
        <v>0</v>
      </c>
      <c r="R325">
        <f t="shared" si="28"/>
        <v>484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Data'!B351</f>
        <v>0</v>
      </c>
      <c r="Q326">
        <f t="shared" si="27"/>
        <v>0</v>
      </c>
      <c r="R326">
        <f t="shared" si="28"/>
        <v>484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Data'!B352</f>
        <v>0</v>
      </c>
      <c r="Q327">
        <f t="shared" si="27"/>
        <v>0</v>
      </c>
      <c r="R327">
        <f t="shared" si="28"/>
        <v>484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Data'!B353</f>
        <v>0</v>
      </c>
      <c r="Q328">
        <f t="shared" si="27"/>
        <v>0</v>
      </c>
      <c r="R328">
        <f t="shared" si="28"/>
        <v>484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Data'!B354</f>
        <v>0</v>
      </c>
      <c r="Q329">
        <f t="shared" si="27"/>
        <v>0</v>
      </c>
      <c r="R329">
        <f t="shared" si="28"/>
        <v>484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Data'!B355</f>
        <v>0</v>
      </c>
      <c r="Q330">
        <f t="shared" si="27"/>
        <v>0</v>
      </c>
      <c r="R330">
        <f t="shared" si="28"/>
        <v>484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Data'!B356</f>
        <v>0</v>
      </c>
      <c r="Q331">
        <f t="shared" si="27"/>
        <v>0</v>
      </c>
      <c r="R331">
        <f t="shared" si="28"/>
        <v>484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Data'!B357</f>
        <v>0</v>
      </c>
      <c r="Q332">
        <f t="shared" si="27"/>
        <v>0</v>
      </c>
      <c r="R332">
        <f t="shared" si="28"/>
        <v>484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Data'!B358</f>
        <v>0</v>
      </c>
      <c r="Q333">
        <f t="shared" si="27"/>
        <v>0</v>
      </c>
      <c r="R333">
        <f t="shared" si="28"/>
        <v>484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Data'!B359</f>
        <v>0</v>
      </c>
      <c r="Q334">
        <f t="shared" si="27"/>
        <v>0</v>
      </c>
      <c r="R334">
        <f t="shared" si="28"/>
        <v>484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Data'!B360</f>
        <v>0</v>
      </c>
      <c r="Q335">
        <f t="shared" si="27"/>
        <v>0</v>
      </c>
      <c r="R335">
        <f t="shared" si="28"/>
        <v>484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Data'!B361</f>
        <v>0</v>
      </c>
      <c r="Q336">
        <f t="shared" si="27"/>
        <v>0</v>
      </c>
      <c r="R336">
        <f t="shared" si="28"/>
        <v>484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Data'!B362</f>
        <v>0</v>
      </c>
      <c r="Q337">
        <f t="shared" si="27"/>
        <v>0</v>
      </c>
      <c r="R337">
        <f t="shared" si="28"/>
        <v>484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Data'!B363</f>
        <v>0</v>
      </c>
      <c r="Q338">
        <f t="shared" si="27"/>
        <v>0</v>
      </c>
      <c r="R338">
        <f t="shared" si="28"/>
        <v>484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Data'!B364</f>
        <v>0</v>
      </c>
      <c r="Q339">
        <f t="shared" si="27"/>
        <v>0</v>
      </c>
      <c r="R339">
        <f t="shared" si="28"/>
        <v>484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Data'!B365</f>
        <v>0</v>
      </c>
      <c r="Q340">
        <f t="shared" si="27"/>
        <v>0</v>
      </c>
      <c r="R340">
        <f t="shared" si="28"/>
        <v>484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Data'!B366</f>
        <v>0</v>
      </c>
      <c r="Q341">
        <f t="shared" si="27"/>
        <v>0</v>
      </c>
      <c r="R341">
        <f t="shared" si="28"/>
        <v>484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Data'!B367</f>
        <v>0</v>
      </c>
      <c r="Q342">
        <f t="shared" si="27"/>
        <v>0</v>
      </c>
      <c r="R342">
        <f t="shared" si="28"/>
        <v>484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Data'!B368</f>
        <v>0</v>
      </c>
      <c r="Q343">
        <f t="shared" si="27"/>
        <v>0</v>
      </c>
      <c r="R343">
        <f t="shared" si="28"/>
        <v>484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Data'!B369</f>
        <v>0</v>
      </c>
      <c r="Q344">
        <f t="shared" si="27"/>
        <v>0</v>
      </c>
      <c r="R344">
        <f t="shared" si="28"/>
        <v>484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Data'!B370</f>
        <v>0</v>
      </c>
      <c r="Q345">
        <f t="shared" si="27"/>
        <v>0</v>
      </c>
      <c r="R345">
        <f t="shared" si="28"/>
        <v>484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Data'!B371</f>
        <v>0</v>
      </c>
      <c r="Q346">
        <f t="shared" si="27"/>
        <v>0</v>
      </c>
      <c r="R346">
        <f t="shared" si="28"/>
        <v>484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Data'!B372</f>
        <v>0</v>
      </c>
      <c r="Q347">
        <f t="shared" si="27"/>
        <v>0</v>
      </c>
      <c r="R347">
        <f t="shared" si="28"/>
        <v>484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Data'!B373</f>
        <v>0</v>
      </c>
      <c r="Q348">
        <f t="shared" si="27"/>
        <v>0</v>
      </c>
      <c r="R348">
        <f t="shared" si="28"/>
        <v>484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Data'!B374</f>
        <v>0</v>
      </c>
      <c r="Q349">
        <f t="shared" si="27"/>
        <v>0</v>
      </c>
      <c r="R349">
        <f t="shared" si="28"/>
        <v>484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Data'!B375</f>
        <v>0</v>
      </c>
      <c r="Q350">
        <f t="shared" si="27"/>
        <v>0</v>
      </c>
      <c r="R350">
        <f t="shared" si="28"/>
        <v>484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Data'!B376</f>
        <v>0</v>
      </c>
      <c r="Q351">
        <f t="shared" si="27"/>
        <v>0</v>
      </c>
      <c r="R351">
        <f t="shared" si="28"/>
        <v>484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Data'!B377</f>
        <v>0</v>
      </c>
      <c r="Q352">
        <f t="shared" si="27"/>
        <v>0</v>
      </c>
      <c r="R352">
        <f t="shared" si="28"/>
        <v>484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Data'!B378</f>
        <v>0</v>
      </c>
      <c r="Q353">
        <f t="shared" si="27"/>
        <v>0</v>
      </c>
      <c r="R353">
        <f t="shared" si="28"/>
        <v>484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Data'!B379</f>
        <v>0</v>
      </c>
      <c r="Q354">
        <f t="shared" si="27"/>
        <v>0</v>
      </c>
      <c r="R354">
        <f t="shared" si="28"/>
        <v>484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Data'!B380</f>
        <v>0</v>
      </c>
      <c r="Q355">
        <f t="shared" si="27"/>
        <v>0</v>
      </c>
      <c r="R355">
        <f t="shared" si="28"/>
        <v>484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Data'!B381</f>
        <v>0</v>
      </c>
      <c r="Q356">
        <f t="shared" si="27"/>
        <v>0</v>
      </c>
      <c r="R356">
        <f t="shared" si="28"/>
        <v>484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Data'!B382</f>
        <v>0</v>
      </c>
      <c r="Q357">
        <f t="shared" si="27"/>
        <v>0</v>
      </c>
      <c r="R357">
        <f t="shared" si="28"/>
        <v>484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Data'!B383</f>
        <v>0</v>
      </c>
      <c r="Q358">
        <f t="shared" si="27"/>
        <v>0</v>
      </c>
      <c r="R358">
        <f t="shared" si="28"/>
        <v>484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Data'!B384</f>
        <v>0</v>
      </c>
      <c r="Q359">
        <f t="shared" si="27"/>
        <v>0</v>
      </c>
      <c r="R359">
        <f t="shared" si="28"/>
        <v>484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Data'!B385</f>
        <v>0</v>
      </c>
      <c r="Q360">
        <f t="shared" si="27"/>
        <v>0</v>
      </c>
      <c r="R360">
        <f t="shared" si="28"/>
        <v>484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Data'!B386</f>
        <v>0</v>
      </c>
      <c r="Q361">
        <f t="shared" si="27"/>
        <v>0</v>
      </c>
      <c r="R361">
        <f t="shared" si="28"/>
        <v>484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Data'!B387</f>
        <v>0</v>
      </c>
      <c r="Q362">
        <f t="shared" si="27"/>
        <v>0</v>
      </c>
      <c r="R362">
        <f t="shared" si="28"/>
        <v>484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Data'!B388</f>
        <v>0</v>
      </c>
      <c r="Q363">
        <f t="shared" si="27"/>
        <v>0</v>
      </c>
      <c r="R363">
        <f t="shared" si="28"/>
        <v>484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Data'!B389</f>
        <v>0</v>
      </c>
      <c r="Q364">
        <f t="shared" si="27"/>
        <v>0</v>
      </c>
      <c r="R364">
        <f t="shared" si="28"/>
        <v>484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Data'!B390</f>
        <v>0</v>
      </c>
      <c r="Q365">
        <f t="shared" si="27"/>
        <v>0</v>
      </c>
      <c r="R365">
        <f t="shared" si="28"/>
        <v>484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Data'!B391</f>
        <v>0</v>
      </c>
      <c r="Q366">
        <f t="shared" si="27"/>
        <v>0</v>
      </c>
      <c r="R366">
        <f t="shared" si="28"/>
        <v>484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Data'!B392</f>
        <v>0</v>
      </c>
      <c r="Q367">
        <f t="shared" si="27"/>
        <v>0</v>
      </c>
      <c r="R367">
        <f t="shared" si="28"/>
        <v>484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Data'!B393</f>
        <v>0</v>
      </c>
      <c r="Q368">
        <f t="shared" si="27"/>
        <v>0</v>
      </c>
      <c r="R368">
        <f t="shared" si="28"/>
        <v>484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Data'!B394</f>
        <v>0</v>
      </c>
      <c r="Q369">
        <f t="shared" si="27"/>
        <v>0</v>
      </c>
      <c r="R369">
        <f t="shared" si="28"/>
        <v>484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Data'!B395</f>
        <v>0</v>
      </c>
      <c r="Q370">
        <f t="shared" si="27"/>
        <v>0</v>
      </c>
      <c r="R370">
        <f t="shared" si="28"/>
        <v>484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Data'!B396</f>
        <v>0</v>
      </c>
      <c r="Q371">
        <f t="shared" si="27"/>
        <v>0</v>
      </c>
      <c r="R371">
        <f t="shared" si="28"/>
        <v>484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Data'!B397</f>
        <v>0</v>
      </c>
      <c r="Q372">
        <f t="shared" si="27"/>
        <v>0</v>
      </c>
      <c r="R372">
        <f t="shared" si="28"/>
        <v>484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Data'!B398</f>
        <v>0</v>
      </c>
      <c r="Q373">
        <f t="shared" si="27"/>
        <v>0</v>
      </c>
      <c r="R373">
        <f t="shared" si="28"/>
        <v>484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Data'!B399</f>
        <v>0</v>
      </c>
      <c r="Q374">
        <f t="shared" si="27"/>
        <v>0</v>
      </c>
      <c r="R374">
        <f t="shared" si="28"/>
        <v>484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Data'!B400</f>
        <v>0</v>
      </c>
      <c r="Q375">
        <f t="shared" si="27"/>
        <v>0</v>
      </c>
      <c r="R375">
        <f t="shared" si="28"/>
        <v>484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Data'!B401</f>
        <v>0</v>
      </c>
      <c r="Q376">
        <f t="shared" si="27"/>
        <v>0</v>
      </c>
      <c r="R376">
        <f t="shared" si="28"/>
        <v>484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Data'!B402</f>
        <v>0</v>
      </c>
      <c r="Q377">
        <f t="shared" si="27"/>
        <v>0</v>
      </c>
      <c r="R377">
        <f t="shared" si="28"/>
        <v>484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Data'!B403</f>
        <v>0</v>
      </c>
      <c r="Q378">
        <f t="shared" si="27"/>
        <v>0</v>
      </c>
      <c r="R378">
        <f t="shared" si="28"/>
        <v>484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Data'!B404</f>
        <v>0</v>
      </c>
      <c r="Q379">
        <f t="shared" si="27"/>
        <v>0</v>
      </c>
      <c r="R379">
        <f t="shared" si="28"/>
        <v>484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Data'!B405</f>
        <v>0</v>
      </c>
      <c r="Q380">
        <f t="shared" si="27"/>
        <v>0</v>
      </c>
      <c r="R380">
        <f t="shared" si="28"/>
        <v>484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Data'!B406</f>
        <v>0</v>
      </c>
      <c r="Q381">
        <f t="shared" si="27"/>
        <v>0</v>
      </c>
      <c r="R381">
        <f t="shared" si="28"/>
        <v>484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Data'!B407</f>
        <v>0</v>
      </c>
      <c r="Q382">
        <f t="shared" si="27"/>
        <v>0</v>
      </c>
      <c r="R382">
        <f t="shared" si="28"/>
        <v>484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Data'!B408</f>
        <v>0</v>
      </c>
      <c r="Q383">
        <f t="shared" si="27"/>
        <v>0</v>
      </c>
      <c r="R383">
        <f t="shared" si="28"/>
        <v>484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Data'!B409</f>
        <v>0</v>
      </c>
      <c r="Q384">
        <f t="shared" si="27"/>
        <v>0</v>
      </c>
      <c r="R384">
        <f t="shared" si="28"/>
        <v>484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Data'!B410</f>
        <v>0</v>
      </c>
      <c r="Q385">
        <f t="shared" si="27"/>
        <v>0</v>
      </c>
      <c r="R385">
        <f t="shared" si="28"/>
        <v>484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Data'!B411</f>
        <v>0</v>
      </c>
      <c r="Q386">
        <f t="shared" si="27"/>
        <v>0</v>
      </c>
      <c r="R386">
        <f t="shared" si="28"/>
        <v>484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484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Data'!B413</f>
        <v>0</v>
      </c>
      <c r="Q388">
        <f t="shared" si="32"/>
        <v>0</v>
      </c>
      <c r="R388">
        <f t="shared" si="33"/>
        <v>484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Data'!B414</f>
        <v>0</v>
      </c>
      <c r="Q389">
        <f t="shared" si="32"/>
        <v>0</v>
      </c>
      <c r="R389">
        <f t="shared" si="33"/>
        <v>484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Data'!B415</f>
        <v>0</v>
      </c>
      <c r="Q390">
        <f t="shared" si="32"/>
        <v>0</v>
      </c>
      <c r="R390">
        <f t="shared" si="33"/>
        <v>484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Data'!B416</f>
        <v>0</v>
      </c>
      <c r="Q391">
        <f t="shared" si="32"/>
        <v>0</v>
      </c>
      <c r="R391">
        <f t="shared" si="33"/>
        <v>484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Data'!B417</f>
        <v>0</v>
      </c>
      <c r="Q392">
        <f t="shared" si="32"/>
        <v>0</v>
      </c>
      <c r="R392">
        <f t="shared" si="33"/>
        <v>484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Data'!B418</f>
        <v>0</v>
      </c>
      <c r="Q393">
        <f t="shared" si="32"/>
        <v>0</v>
      </c>
      <c r="R393">
        <f t="shared" si="33"/>
        <v>484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Data'!B419</f>
        <v>0</v>
      </c>
      <c r="Q394">
        <f t="shared" si="32"/>
        <v>0</v>
      </c>
      <c r="R394">
        <f t="shared" si="33"/>
        <v>484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Data'!B420</f>
        <v>0</v>
      </c>
      <c r="Q395">
        <f t="shared" si="32"/>
        <v>0</v>
      </c>
      <c r="R395">
        <f t="shared" si="33"/>
        <v>484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Data'!B421</f>
        <v>0</v>
      </c>
      <c r="Q396">
        <f t="shared" si="32"/>
        <v>0</v>
      </c>
      <c r="R396">
        <f t="shared" si="33"/>
        <v>484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Data'!B422</f>
        <v>0</v>
      </c>
      <c r="Q397">
        <f t="shared" si="32"/>
        <v>0</v>
      </c>
      <c r="R397">
        <f t="shared" si="33"/>
        <v>484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Data'!B423</f>
        <v>0</v>
      </c>
      <c r="Q398">
        <f t="shared" si="32"/>
        <v>0</v>
      </c>
      <c r="R398">
        <f t="shared" si="33"/>
        <v>484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Data'!B424</f>
        <v>0</v>
      </c>
      <c r="Q399">
        <f t="shared" si="32"/>
        <v>0</v>
      </c>
      <c r="R399">
        <f t="shared" si="33"/>
        <v>484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Data'!B425</f>
        <v>0</v>
      </c>
      <c r="Q400">
        <f t="shared" si="32"/>
        <v>0</v>
      </c>
      <c r="R400">
        <f t="shared" si="33"/>
        <v>484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Data'!B426</f>
        <v>0</v>
      </c>
      <c r="Q401">
        <f t="shared" si="32"/>
        <v>0</v>
      </c>
      <c r="R401">
        <f t="shared" si="33"/>
        <v>484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Data'!B427</f>
        <v>0</v>
      </c>
      <c r="Q402">
        <f t="shared" si="32"/>
        <v>0</v>
      </c>
      <c r="R402">
        <f t="shared" si="33"/>
        <v>484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Data'!B428</f>
        <v>0</v>
      </c>
      <c r="Q403">
        <f t="shared" si="32"/>
        <v>0</v>
      </c>
      <c r="R403">
        <f t="shared" si="33"/>
        <v>484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Data'!B429</f>
        <v>0</v>
      </c>
      <c r="Q404">
        <f t="shared" si="32"/>
        <v>0</v>
      </c>
      <c r="R404">
        <f t="shared" si="33"/>
        <v>484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Data'!B430</f>
        <v>0</v>
      </c>
      <c r="Q405">
        <f t="shared" si="32"/>
        <v>0</v>
      </c>
      <c r="R405">
        <f t="shared" si="33"/>
        <v>484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Data'!B431</f>
        <v>0</v>
      </c>
      <c r="Q406">
        <f t="shared" si="32"/>
        <v>0</v>
      </c>
      <c r="R406">
        <f t="shared" si="33"/>
        <v>484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Data'!B432</f>
        <v>0</v>
      </c>
      <c r="Q407">
        <f t="shared" si="32"/>
        <v>0</v>
      </c>
      <c r="R407">
        <f t="shared" si="33"/>
        <v>484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Data'!B433</f>
        <v>0</v>
      </c>
      <c r="Q408">
        <f t="shared" si="32"/>
        <v>0</v>
      </c>
      <c r="R408">
        <f t="shared" si="33"/>
        <v>484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Data'!B434</f>
        <v>0</v>
      </c>
      <c r="Q409">
        <f t="shared" si="32"/>
        <v>0</v>
      </c>
      <c r="R409">
        <f t="shared" si="33"/>
        <v>484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Data'!B435</f>
        <v>0</v>
      </c>
      <c r="Q410">
        <f t="shared" si="32"/>
        <v>0</v>
      </c>
      <c r="R410">
        <f t="shared" si="33"/>
        <v>484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Data'!B436</f>
        <v>0</v>
      </c>
      <c r="Q411">
        <f t="shared" si="32"/>
        <v>0</v>
      </c>
      <c r="R411">
        <f t="shared" si="33"/>
        <v>484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Data'!B437</f>
        <v>0</v>
      </c>
      <c r="Q412">
        <f t="shared" si="32"/>
        <v>0</v>
      </c>
      <c r="R412">
        <f t="shared" si="33"/>
        <v>484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Data'!B438</f>
        <v>0</v>
      </c>
      <c r="Q413">
        <f t="shared" si="32"/>
        <v>0</v>
      </c>
      <c r="R413">
        <f t="shared" si="33"/>
        <v>484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Data'!B439</f>
        <v>0</v>
      </c>
      <c r="Q414">
        <f t="shared" si="32"/>
        <v>0</v>
      </c>
      <c r="R414">
        <f t="shared" si="33"/>
        <v>484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Data'!B440</f>
        <v>0</v>
      </c>
      <c r="Q415">
        <f t="shared" si="32"/>
        <v>0</v>
      </c>
      <c r="R415">
        <f t="shared" si="33"/>
        <v>484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Data'!B441</f>
        <v>0</v>
      </c>
      <c r="Q416">
        <f t="shared" si="32"/>
        <v>0</v>
      </c>
      <c r="R416">
        <f t="shared" si="33"/>
        <v>484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Data'!B442</f>
        <v>0</v>
      </c>
      <c r="Q417">
        <f t="shared" si="32"/>
        <v>0</v>
      </c>
      <c r="R417">
        <f t="shared" si="33"/>
        <v>484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Data'!B443</f>
        <v>0</v>
      </c>
      <c r="Q418">
        <f t="shared" si="32"/>
        <v>0</v>
      </c>
      <c r="R418">
        <f t="shared" si="33"/>
        <v>484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Data'!B444</f>
        <v>0</v>
      </c>
      <c r="Q419">
        <f t="shared" si="32"/>
        <v>0</v>
      </c>
      <c r="R419">
        <f t="shared" si="33"/>
        <v>484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Data'!B445</f>
        <v>0</v>
      </c>
      <c r="Q420">
        <f t="shared" si="32"/>
        <v>0</v>
      </c>
      <c r="R420">
        <f t="shared" si="33"/>
        <v>484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Data'!B446</f>
        <v>0</v>
      </c>
      <c r="Q421">
        <f t="shared" si="32"/>
        <v>0</v>
      </c>
      <c r="R421">
        <f t="shared" si="33"/>
        <v>484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Data'!B447</f>
        <v>0</v>
      </c>
      <c r="Q422">
        <f t="shared" si="32"/>
        <v>0</v>
      </c>
      <c r="R422">
        <f t="shared" si="33"/>
        <v>484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Data'!B448</f>
        <v>0</v>
      </c>
      <c r="Q423">
        <f t="shared" si="32"/>
        <v>0</v>
      </c>
      <c r="R423">
        <f t="shared" si="33"/>
        <v>484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Data'!B449</f>
        <v>0</v>
      </c>
      <c r="Q424">
        <f t="shared" si="32"/>
        <v>0</v>
      </c>
      <c r="R424">
        <f t="shared" si="33"/>
        <v>484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Data'!B450</f>
        <v>0</v>
      </c>
      <c r="Q425">
        <f t="shared" si="32"/>
        <v>0</v>
      </c>
      <c r="R425">
        <f t="shared" si="33"/>
        <v>484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Data'!B451</f>
        <v>0</v>
      </c>
      <c r="Q426">
        <f t="shared" si="32"/>
        <v>0</v>
      </c>
      <c r="R426">
        <f t="shared" si="33"/>
        <v>484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Data'!B452</f>
        <v>0</v>
      </c>
      <c r="Q427">
        <f t="shared" si="32"/>
        <v>0</v>
      </c>
      <c r="R427">
        <f t="shared" si="33"/>
        <v>484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Data'!B453</f>
        <v>0</v>
      </c>
      <c r="Q428">
        <f t="shared" si="32"/>
        <v>0</v>
      </c>
      <c r="R428">
        <f t="shared" si="33"/>
        <v>484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Data'!B454</f>
        <v>0</v>
      </c>
      <c r="Q429">
        <f t="shared" si="32"/>
        <v>0</v>
      </c>
      <c r="R429">
        <f t="shared" si="33"/>
        <v>484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Data'!B455</f>
        <v>0</v>
      </c>
      <c r="Q430">
        <f t="shared" si="32"/>
        <v>0</v>
      </c>
      <c r="R430">
        <f t="shared" si="33"/>
        <v>484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Data'!B456</f>
        <v>0</v>
      </c>
      <c r="Q431">
        <f t="shared" si="32"/>
        <v>0</v>
      </c>
      <c r="R431">
        <f t="shared" si="33"/>
        <v>484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Data'!B457</f>
        <v>0</v>
      </c>
      <c r="Q432">
        <f t="shared" si="32"/>
        <v>0</v>
      </c>
      <c r="R432">
        <f t="shared" si="33"/>
        <v>484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Data'!B458</f>
        <v>0</v>
      </c>
      <c r="Q433">
        <f t="shared" si="32"/>
        <v>0</v>
      </c>
      <c r="R433">
        <f t="shared" si="33"/>
        <v>484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Data'!B459</f>
        <v>0</v>
      </c>
      <c r="Q434">
        <f t="shared" si="32"/>
        <v>0</v>
      </c>
      <c r="R434">
        <f t="shared" si="33"/>
        <v>484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Data'!B460</f>
        <v>0</v>
      </c>
      <c r="Q435">
        <f t="shared" si="32"/>
        <v>0</v>
      </c>
      <c r="R435">
        <f t="shared" si="33"/>
        <v>484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Data'!B461</f>
        <v>0</v>
      </c>
      <c r="Q436">
        <f t="shared" si="32"/>
        <v>0</v>
      </c>
      <c r="R436">
        <f t="shared" si="33"/>
        <v>484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Data'!B462</f>
        <v>0</v>
      </c>
      <c r="Q437">
        <f t="shared" si="32"/>
        <v>0</v>
      </c>
      <c r="R437">
        <f t="shared" si="33"/>
        <v>484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Data'!B463</f>
        <v>0</v>
      </c>
      <c r="Q438">
        <f t="shared" si="32"/>
        <v>0</v>
      </c>
      <c r="R438">
        <f t="shared" si="33"/>
        <v>484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Data'!B464</f>
        <v>0</v>
      </c>
      <c r="Q439">
        <f t="shared" si="32"/>
        <v>0</v>
      </c>
      <c r="R439">
        <f t="shared" si="33"/>
        <v>484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Data'!B465</f>
        <v>0</v>
      </c>
      <c r="Q440">
        <f t="shared" si="32"/>
        <v>0</v>
      </c>
      <c r="R440">
        <f t="shared" si="33"/>
        <v>484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Data'!B466</f>
        <v>0</v>
      </c>
      <c r="Q441">
        <f t="shared" si="32"/>
        <v>0</v>
      </c>
      <c r="R441">
        <f t="shared" si="33"/>
        <v>484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Data'!B467</f>
        <v>0</v>
      </c>
      <c r="Q442">
        <f t="shared" si="32"/>
        <v>0</v>
      </c>
      <c r="R442">
        <f t="shared" si="33"/>
        <v>484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Data'!B468</f>
        <v>0</v>
      </c>
      <c r="Q443">
        <f t="shared" si="32"/>
        <v>0</v>
      </c>
      <c r="R443">
        <f t="shared" si="33"/>
        <v>484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Data'!B469</f>
        <v>0</v>
      </c>
      <c r="Q444">
        <f t="shared" si="32"/>
        <v>0</v>
      </c>
      <c r="R444">
        <f t="shared" si="33"/>
        <v>484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Data'!B470</f>
        <v>0</v>
      </c>
      <c r="Q445">
        <f t="shared" si="32"/>
        <v>0</v>
      </c>
      <c r="R445">
        <f t="shared" si="33"/>
        <v>484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Data'!B471</f>
        <v>0</v>
      </c>
      <c r="Q446">
        <f t="shared" si="32"/>
        <v>0</v>
      </c>
      <c r="R446">
        <f t="shared" si="33"/>
        <v>484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Data'!B472</f>
        <v>0</v>
      </c>
      <c r="Q447">
        <f t="shared" si="32"/>
        <v>0</v>
      </c>
      <c r="R447">
        <f t="shared" si="33"/>
        <v>484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Data'!B473</f>
        <v>0</v>
      </c>
      <c r="Q448">
        <f t="shared" si="32"/>
        <v>0</v>
      </c>
      <c r="R448">
        <f t="shared" si="33"/>
        <v>484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Data'!B474</f>
        <v>0</v>
      </c>
      <c r="Q449">
        <f t="shared" si="32"/>
        <v>0</v>
      </c>
      <c r="R449">
        <f t="shared" si="33"/>
        <v>484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Data'!B475</f>
        <v>0</v>
      </c>
      <c r="Q450">
        <f t="shared" si="32"/>
        <v>0</v>
      </c>
      <c r="R450">
        <f t="shared" si="33"/>
        <v>484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484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Data'!B477</f>
        <v>0</v>
      </c>
      <c r="Q452">
        <f t="shared" si="37"/>
        <v>0</v>
      </c>
      <c r="R452">
        <f t="shared" si="38"/>
        <v>484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Data'!B478</f>
        <v>0</v>
      </c>
      <c r="Q453">
        <f t="shared" si="37"/>
        <v>0</v>
      </c>
      <c r="R453">
        <f t="shared" si="38"/>
        <v>484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Data'!B479</f>
        <v>0</v>
      </c>
      <c r="Q454">
        <f t="shared" si="37"/>
        <v>0</v>
      </c>
      <c r="R454">
        <f t="shared" si="38"/>
        <v>484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Data'!B480</f>
        <v>0</v>
      </c>
      <c r="Q455">
        <f t="shared" si="37"/>
        <v>0</v>
      </c>
      <c r="R455">
        <f t="shared" si="38"/>
        <v>484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Data'!B481</f>
        <v>0</v>
      </c>
      <c r="Q456">
        <f t="shared" si="37"/>
        <v>0</v>
      </c>
      <c r="R456">
        <f t="shared" si="38"/>
        <v>484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Data'!B482</f>
        <v>0</v>
      </c>
      <c r="Q457">
        <f t="shared" si="37"/>
        <v>0</v>
      </c>
      <c r="R457">
        <f t="shared" si="38"/>
        <v>484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Data'!B483</f>
        <v>0</v>
      </c>
      <c r="Q458">
        <f t="shared" si="37"/>
        <v>0</v>
      </c>
      <c r="R458">
        <f t="shared" si="38"/>
        <v>484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Data'!B484</f>
        <v>0</v>
      </c>
      <c r="Q459">
        <f t="shared" si="37"/>
        <v>0</v>
      </c>
      <c r="R459">
        <f t="shared" si="38"/>
        <v>484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Data'!B485</f>
        <v>0</v>
      </c>
      <c r="Q460">
        <f t="shared" si="37"/>
        <v>0</v>
      </c>
      <c r="R460">
        <f t="shared" si="38"/>
        <v>484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Data'!B486</f>
        <v>0</v>
      </c>
      <c r="Q461">
        <f t="shared" si="37"/>
        <v>0</v>
      </c>
      <c r="R461">
        <f t="shared" si="38"/>
        <v>484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Data'!B487</f>
        <v>0</v>
      </c>
      <c r="Q462">
        <f t="shared" si="37"/>
        <v>0</v>
      </c>
      <c r="R462">
        <f t="shared" si="38"/>
        <v>484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Data'!B488</f>
        <v>0</v>
      </c>
      <c r="Q463">
        <f t="shared" si="37"/>
        <v>0</v>
      </c>
      <c r="R463">
        <f t="shared" si="38"/>
        <v>484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Data'!B489</f>
        <v>0</v>
      </c>
      <c r="Q464">
        <f t="shared" si="37"/>
        <v>0</v>
      </c>
      <c r="R464">
        <f t="shared" si="38"/>
        <v>484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Data'!B490</f>
        <v>0</v>
      </c>
      <c r="Q465">
        <f t="shared" si="37"/>
        <v>0</v>
      </c>
      <c r="R465">
        <f t="shared" si="38"/>
        <v>484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Data'!B491</f>
        <v>0</v>
      </c>
      <c r="Q466">
        <f t="shared" si="37"/>
        <v>0</v>
      </c>
      <c r="R466">
        <f t="shared" si="38"/>
        <v>484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Data'!B492</f>
        <v>0</v>
      </c>
      <c r="Q467">
        <f t="shared" si="37"/>
        <v>0</v>
      </c>
      <c r="R467">
        <f t="shared" si="38"/>
        <v>484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Data'!B493</f>
        <v>0</v>
      </c>
      <c r="Q468">
        <f t="shared" si="37"/>
        <v>0</v>
      </c>
      <c r="R468">
        <f t="shared" si="38"/>
        <v>484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Data'!B494</f>
        <v>0</v>
      </c>
      <c r="Q469">
        <f t="shared" si="37"/>
        <v>0</v>
      </c>
      <c r="R469">
        <f t="shared" si="38"/>
        <v>484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Data'!B495</f>
        <v>0</v>
      </c>
      <c r="Q470">
        <f t="shared" si="37"/>
        <v>0</v>
      </c>
      <c r="R470">
        <f t="shared" si="38"/>
        <v>484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Data'!B496</f>
        <v>0</v>
      </c>
      <c r="Q471">
        <f t="shared" si="37"/>
        <v>0</v>
      </c>
      <c r="R471">
        <f t="shared" si="38"/>
        <v>484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Data'!B497</f>
        <v>0</v>
      </c>
      <c r="Q472">
        <f t="shared" si="37"/>
        <v>0</v>
      </c>
      <c r="R472">
        <f t="shared" si="38"/>
        <v>484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Data'!B498</f>
        <v>0</v>
      </c>
      <c r="Q473">
        <f t="shared" si="37"/>
        <v>0</v>
      </c>
      <c r="R473">
        <f t="shared" si="38"/>
        <v>484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Data'!B499</f>
        <v>0</v>
      </c>
      <c r="Q474">
        <f t="shared" si="37"/>
        <v>0</v>
      </c>
      <c r="R474">
        <f t="shared" si="38"/>
        <v>484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Data'!B500</f>
        <v>0</v>
      </c>
      <c r="Q475">
        <f t="shared" si="37"/>
        <v>0</v>
      </c>
      <c r="R475">
        <f t="shared" si="38"/>
        <v>484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Data'!B501</f>
        <v>0</v>
      </c>
      <c r="Q476">
        <f t="shared" si="37"/>
        <v>0</v>
      </c>
      <c r="R476">
        <f t="shared" si="38"/>
        <v>484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Data'!B502</f>
        <v>0</v>
      </c>
      <c r="Q477">
        <f t="shared" si="37"/>
        <v>0</v>
      </c>
      <c r="R477">
        <f t="shared" si="38"/>
        <v>484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Data'!B503</f>
        <v>0</v>
      </c>
      <c r="Q478">
        <f t="shared" si="37"/>
        <v>0</v>
      </c>
      <c r="R478">
        <f t="shared" si="38"/>
        <v>484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Data'!B504</f>
        <v>0</v>
      </c>
      <c r="Q479">
        <f t="shared" si="37"/>
        <v>0</v>
      </c>
      <c r="R479">
        <f t="shared" si="38"/>
        <v>484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Data'!B505</f>
        <v>0</v>
      </c>
      <c r="Q480">
        <f t="shared" si="37"/>
        <v>0</v>
      </c>
      <c r="R480">
        <f t="shared" si="38"/>
        <v>484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Data'!B506</f>
        <v>0</v>
      </c>
      <c r="Q481">
        <f t="shared" si="37"/>
        <v>0</v>
      </c>
      <c r="R481">
        <f t="shared" si="38"/>
        <v>484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Data'!B507</f>
        <v>0</v>
      </c>
      <c r="Q482">
        <f t="shared" si="37"/>
        <v>0</v>
      </c>
      <c r="R482">
        <f t="shared" si="38"/>
        <v>484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Data'!B508</f>
        <v>0</v>
      </c>
      <c r="Q483">
        <f t="shared" si="37"/>
        <v>0</v>
      </c>
      <c r="R483">
        <f t="shared" si="38"/>
        <v>484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Data'!B509</f>
        <v>0</v>
      </c>
      <c r="Q484">
        <f t="shared" si="37"/>
        <v>0</v>
      </c>
      <c r="R484">
        <f t="shared" si="38"/>
        <v>484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Data'!B510</f>
        <v>0</v>
      </c>
      <c r="Q485">
        <f t="shared" si="37"/>
        <v>0</v>
      </c>
      <c r="R485">
        <f t="shared" si="38"/>
        <v>484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Data'!B511</f>
        <v>0</v>
      </c>
      <c r="Q486">
        <f t="shared" si="37"/>
        <v>0</v>
      </c>
      <c r="R486">
        <f t="shared" si="38"/>
        <v>484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Data'!B512</f>
        <v>0</v>
      </c>
      <c r="Q487">
        <f t="shared" si="37"/>
        <v>0</v>
      </c>
      <c r="R487">
        <f t="shared" si="38"/>
        <v>484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Data'!B513</f>
        <v>0</v>
      </c>
      <c r="Q488">
        <f t="shared" si="37"/>
        <v>0</v>
      </c>
      <c r="R488">
        <f t="shared" si="38"/>
        <v>484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Data'!B514</f>
        <v>0</v>
      </c>
      <c r="Q489">
        <f t="shared" si="37"/>
        <v>0</v>
      </c>
      <c r="R489">
        <f t="shared" si="38"/>
        <v>484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Data'!B515</f>
        <v>0</v>
      </c>
      <c r="Q490">
        <f t="shared" si="37"/>
        <v>0</v>
      </c>
      <c r="R490">
        <f t="shared" si="38"/>
        <v>484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Data'!B516</f>
        <v>0</v>
      </c>
      <c r="Q491">
        <f t="shared" si="37"/>
        <v>0</v>
      </c>
      <c r="R491">
        <f t="shared" si="38"/>
        <v>484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Data'!B517</f>
        <v>0</v>
      </c>
      <c r="Q492">
        <f t="shared" si="37"/>
        <v>0</v>
      </c>
      <c r="R492">
        <f t="shared" si="38"/>
        <v>484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Data'!B518</f>
        <v>0</v>
      </c>
      <c r="Q493">
        <f t="shared" si="37"/>
        <v>0</v>
      </c>
      <c r="R493">
        <f t="shared" si="38"/>
        <v>484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Data'!B519</f>
        <v>0</v>
      </c>
      <c r="Q494">
        <f t="shared" si="37"/>
        <v>0</v>
      </c>
      <c r="R494">
        <f t="shared" si="38"/>
        <v>484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Data'!B520</f>
        <v>0</v>
      </c>
      <c r="Q495">
        <f t="shared" si="37"/>
        <v>0</v>
      </c>
      <c r="R495">
        <f t="shared" si="38"/>
        <v>484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Data'!B521</f>
        <v>0</v>
      </c>
      <c r="Q496">
        <f t="shared" si="37"/>
        <v>0</v>
      </c>
      <c r="R496">
        <f t="shared" si="38"/>
        <v>484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Data'!B522</f>
        <v>0</v>
      </c>
      <c r="Q497">
        <f t="shared" si="37"/>
        <v>0</v>
      </c>
      <c r="R497">
        <f t="shared" si="38"/>
        <v>484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Data'!B523</f>
        <v>0</v>
      </c>
      <c r="Q498">
        <f t="shared" si="37"/>
        <v>0</v>
      </c>
      <c r="R498">
        <f t="shared" si="38"/>
        <v>484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Data'!B524</f>
        <v>0</v>
      </c>
      <c r="Q499">
        <f t="shared" si="37"/>
        <v>0</v>
      </c>
      <c r="R499">
        <f t="shared" si="38"/>
        <v>484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Data'!B525</f>
        <v>0</v>
      </c>
      <c r="Q500">
        <f t="shared" si="37"/>
        <v>0</v>
      </c>
      <c r="R500">
        <f t="shared" si="38"/>
        <v>484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4" priority="4">
      <formula>AND($B5&lt;&gt;"",MOD(ROW(),2)=0)</formula>
    </cfRule>
  </conditionalFormatting>
  <conditionalFormatting sqref="A3:H3 K3:M3 A4:M4 M4:M11 B5:M8 A14:M500 A9:M10 B11:M13">
    <cfRule type="expression" dxfId="13" priority="14">
      <formula>AND($A3&lt;&gt;"",$G3="Yes")</formula>
    </cfRule>
    <cfRule type="expression" dxfId="12" priority="15">
      <formula>AND($A3&lt;&gt;"",$J3&lt;&gt;"")</formula>
    </cfRule>
    <cfRule type="expression" dxfId="11" priority="16">
      <formula>$A3&lt;&gt;""</formula>
    </cfRule>
  </conditionalFormatting>
  <conditionalFormatting sqref="C3:C200">
    <cfRule type="expression" dxfId="10" priority="17">
      <formula>$A3=""</formula>
    </cfRule>
  </conditionalFormatting>
  <conditionalFormatting sqref="G3:G200">
    <cfRule type="expression" dxfId="9" priority="18">
      <formula>$A3=""</formula>
    </cfRule>
  </conditionalFormatting>
  <conditionalFormatting sqref="K3:M3 A4:M4 M4:M11 B5:M8 A3:H3 A14:M500 A9:M10 B11:M13">
    <cfRule type="expression" dxfId="8" priority="13">
      <formula>AND($A3&lt;&gt;"",$G3="Did not pass re-test")</formula>
    </cfRule>
  </conditionalFormatting>
  <conditionalFormatting sqref="M3:M500">
    <cfRule type="expression" dxfId="7" priority="7">
      <formula>ISNUMBER(SEARCH("Sent back again",$M3))</formula>
    </cfRule>
    <cfRule type="expression" dxfId="6" priority="8">
      <formula>ISNUMBER(SEARCH("LATE",$M3))</formula>
    </cfRule>
    <cfRule type="expression" dxfId="5" priority="9">
      <formula>ISNUMBER(SEARCH("UNCLAIMED",$M3))</formula>
    </cfRule>
    <cfRule type="expression" dxfId="4" priority="10">
      <formula>ISNUMBER(SEARCH("Missing",$M3))</formula>
    </cfRule>
    <cfRule type="expression" dxfId="3" priority="11">
      <formula>ISNUMBER(SEARCH("Fixed in",$M3))</formula>
    </cfRule>
    <cfRule type="expression" dxfId="2" priority="12">
      <formula>ISNUMBER(SEARCH("Open",$M3))</formula>
    </cfRule>
  </conditionalFormatting>
  <conditionalFormatting sqref="A11:A12">
    <cfRule type="expression" dxfId="1" priority="2">
      <formula>AND($B11&lt;&gt;"",MOD(ROW(),2)=0)</formula>
    </cfRule>
  </conditionalFormatting>
  <conditionalFormatting sqref="A13">
    <cfRule type="expression" dxfId="0" priority="1">
      <formula>AND($B13&lt;&gt;"",MOD(ROW(),2)=0)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7" t="s">
        <v>290</v>
      </c>
      <c r="B1" s="82"/>
      <c r="C1" s="82"/>
      <c r="D1" s="82"/>
      <c r="E1" s="82"/>
      <c r="F1" s="82"/>
      <c r="G1" s="82"/>
      <c r="H1" s="82"/>
      <c r="I1" s="82"/>
      <c r="J1" s="82"/>
    </row>
    <row r="2" spans="1:10" ht="27" customHeight="1">
      <c r="A2" s="8" t="s">
        <v>0</v>
      </c>
      <c r="B2" s="8" t="s">
        <v>291</v>
      </c>
      <c r="C2" s="8" t="s">
        <v>1</v>
      </c>
      <c r="D2" s="8" t="s">
        <v>292</v>
      </c>
      <c r="E2" s="8" t="s">
        <v>293</v>
      </c>
      <c r="F2" s="8" t="s">
        <v>6</v>
      </c>
      <c r="G2" s="8" t="s">
        <v>5</v>
      </c>
      <c r="H2" s="8" t="s">
        <v>294</v>
      </c>
      <c r="I2" s="8" t="s">
        <v>295</v>
      </c>
      <c r="J2" s="8" t="s">
        <v>296</v>
      </c>
    </row>
    <row r="3" spans="1:10" ht="14.25" customHeight="1">
      <c r="A3" s="9" t="s">
        <v>34</v>
      </c>
      <c r="B3" s="9" t="s">
        <v>158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133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124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158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133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124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158</v>
      </c>
      <c r="C13" s="9" t="s">
        <v>297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133</v>
      </c>
      <c r="C14" s="9" t="s">
        <v>297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124</v>
      </c>
      <c r="C15" s="9" t="s">
        <v>297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297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297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158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133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124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158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133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124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158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133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124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158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133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124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158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133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124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158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133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124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158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133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124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158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133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124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158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133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124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158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133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124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158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133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124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158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133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124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158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133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124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158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133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124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158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133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124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158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133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124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158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133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124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158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133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124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158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133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124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158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133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124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158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133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124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158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133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124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158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133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124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158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133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124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158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133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124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158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133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124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158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133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124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158</v>
      </c>
      <c r="C147" s="9" t="s">
        <v>121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133</v>
      </c>
      <c r="C148" s="9" t="s">
        <v>121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124</v>
      </c>
      <c r="C149" s="9" t="s">
        <v>121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158</v>
      </c>
      <c r="C150" s="9" t="s">
        <v>123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133</v>
      </c>
      <c r="C151" s="9" t="s">
        <v>123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124</v>
      </c>
      <c r="C152" s="9" t="s">
        <v>123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158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133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124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158</v>
      </c>
      <c r="C156" s="9" t="s">
        <v>129</v>
      </c>
      <c r="D156" s="9" t="s">
        <v>76</v>
      </c>
      <c r="E156" s="9" t="s">
        <v>52</v>
      </c>
      <c r="F156" s="9"/>
      <c r="G156" s="9" t="s">
        <v>130</v>
      </c>
      <c r="H156" s="9"/>
      <c r="I156" s="9"/>
      <c r="J156" s="9"/>
    </row>
    <row r="157" spans="1:10">
      <c r="A157" s="3" t="s">
        <v>112</v>
      </c>
      <c r="B157" s="3" t="s">
        <v>158</v>
      </c>
      <c r="C157" s="3" t="s">
        <v>132</v>
      </c>
      <c r="D157" s="3" t="s">
        <v>105</v>
      </c>
      <c r="E157" s="3" t="s">
        <v>39</v>
      </c>
      <c r="F157" s="3"/>
      <c r="G157" s="3" t="s">
        <v>130</v>
      </c>
      <c r="H157" s="3"/>
      <c r="I157" s="3"/>
      <c r="J157" s="3"/>
    </row>
    <row r="158" spans="1:10">
      <c r="A158" s="3" t="s">
        <v>112</v>
      </c>
      <c r="B158" s="3" t="s">
        <v>158</v>
      </c>
      <c r="C158" s="3" t="s">
        <v>136</v>
      </c>
      <c r="D158" s="3" t="s">
        <v>105</v>
      </c>
      <c r="E158" s="3" t="s">
        <v>39</v>
      </c>
      <c r="F158" s="3"/>
      <c r="G158" s="3" t="s">
        <v>130</v>
      </c>
      <c r="H158" s="3"/>
      <c r="I158" s="3"/>
      <c r="J158" s="3"/>
    </row>
    <row r="159" spans="1:10">
      <c r="A159" s="3" t="s">
        <v>112</v>
      </c>
      <c r="B159" s="3" t="s">
        <v>133</v>
      </c>
      <c r="C159" s="3" t="s">
        <v>136</v>
      </c>
      <c r="D159" s="3" t="s">
        <v>105</v>
      </c>
      <c r="E159" s="3" t="s">
        <v>39</v>
      </c>
      <c r="F159" s="3"/>
      <c r="G159" s="3" t="s">
        <v>130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124</v>
      </c>
      <c r="C160" s="3" t="s">
        <v>136</v>
      </c>
      <c r="D160" s="3" t="s">
        <v>105</v>
      </c>
      <c r="E160" s="3" t="s">
        <v>39</v>
      </c>
      <c r="F160" s="3"/>
      <c r="G160" s="3" t="s">
        <v>130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158</v>
      </c>
      <c r="C161" s="3" t="s">
        <v>137</v>
      </c>
      <c r="D161" s="3" t="s">
        <v>76</v>
      </c>
      <c r="E161" s="3" t="s">
        <v>52</v>
      </c>
      <c r="F161" s="3"/>
      <c r="G161" s="3" t="s">
        <v>130</v>
      </c>
      <c r="H161" s="3"/>
      <c r="I161" s="3"/>
      <c r="J161" s="3"/>
    </row>
    <row r="162" spans="1:10">
      <c r="A162" s="3" t="s">
        <v>112</v>
      </c>
      <c r="B162" s="3" t="s">
        <v>133</v>
      </c>
      <c r="C162" s="3" t="s">
        <v>137</v>
      </c>
      <c r="D162" s="3" t="s">
        <v>76</v>
      </c>
      <c r="E162" s="3" t="s">
        <v>52</v>
      </c>
      <c r="F162" s="3"/>
      <c r="G162" s="3" t="s">
        <v>130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124</v>
      </c>
      <c r="C163" s="3" t="s">
        <v>137</v>
      </c>
      <c r="D163" s="3" t="s">
        <v>76</v>
      </c>
      <c r="E163" s="3" t="s">
        <v>52</v>
      </c>
      <c r="F163" s="3"/>
      <c r="G163" s="3" t="s">
        <v>130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158</v>
      </c>
      <c r="C164" s="3" t="s">
        <v>139</v>
      </c>
      <c r="D164" s="3" t="s">
        <v>141</v>
      </c>
      <c r="E164" s="3" t="s">
        <v>52</v>
      </c>
      <c r="F164" s="3"/>
      <c r="G164" s="3" t="s">
        <v>130</v>
      </c>
      <c r="H164" s="3"/>
      <c r="I164" s="3"/>
      <c r="J164" s="3"/>
    </row>
    <row r="165" spans="1:10">
      <c r="A165" s="3" t="s">
        <v>112</v>
      </c>
      <c r="B165" s="3" t="s">
        <v>133</v>
      </c>
      <c r="C165" s="3" t="s">
        <v>139</v>
      </c>
      <c r="D165" s="3" t="s">
        <v>141</v>
      </c>
      <c r="E165" s="3" t="s">
        <v>52</v>
      </c>
      <c r="F165" s="3"/>
      <c r="G165" s="3" t="s">
        <v>130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124</v>
      </c>
      <c r="C166" s="3" t="s">
        <v>139</v>
      </c>
      <c r="D166" s="3" t="s">
        <v>141</v>
      </c>
      <c r="E166" s="3" t="s">
        <v>52</v>
      </c>
      <c r="F166" s="3"/>
      <c r="G166" s="3" t="s">
        <v>130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158</v>
      </c>
      <c r="C167" s="3" t="s">
        <v>143</v>
      </c>
      <c r="D167" s="3" t="s">
        <v>141</v>
      </c>
      <c r="E167" s="3" t="s">
        <v>69</v>
      </c>
      <c r="F167" s="3"/>
      <c r="G167" s="3" t="s">
        <v>130</v>
      </c>
      <c r="H167" s="3"/>
      <c r="I167" s="3"/>
      <c r="J167" s="3"/>
    </row>
    <row r="168" spans="1:10">
      <c r="A168" s="3" t="s">
        <v>112</v>
      </c>
      <c r="B168" s="3" t="s">
        <v>133</v>
      </c>
      <c r="C168" s="3" t="s">
        <v>143</v>
      </c>
      <c r="D168" s="3" t="s">
        <v>141</v>
      </c>
      <c r="E168" s="3" t="s">
        <v>69</v>
      </c>
      <c r="F168" s="3"/>
      <c r="G168" s="3" t="s">
        <v>130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124</v>
      </c>
      <c r="C169" s="3" t="s">
        <v>143</v>
      </c>
      <c r="D169" s="3" t="s">
        <v>141</v>
      </c>
      <c r="E169" s="3" t="s">
        <v>69</v>
      </c>
      <c r="F169" s="3"/>
      <c r="G169" s="3" t="s">
        <v>130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158</v>
      </c>
      <c r="C170" s="3" t="s">
        <v>145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133</v>
      </c>
      <c r="C171" s="3" t="s">
        <v>145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124</v>
      </c>
      <c r="C172" s="3" t="s">
        <v>145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158</v>
      </c>
      <c r="C173" s="3" t="s">
        <v>148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133</v>
      </c>
      <c r="C174" s="3" t="s">
        <v>148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124</v>
      </c>
      <c r="C175" s="3" t="s">
        <v>148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158</v>
      </c>
      <c r="C176" s="3" t="s">
        <v>150</v>
      </c>
      <c r="D176" s="3" t="s">
        <v>68</v>
      </c>
      <c r="E176" s="3" t="s">
        <v>69</v>
      </c>
      <c r="F176" s="3"/>
      <c r="G176" s="3" t="s">
        <v>130</v>
      </c>
      <c r="H176" s="3"/>
      <c r="I176" s="3"/>
      <c r="J176" s="3"/>
    </row>
    <row r="177" spans="1:10">
      <c r="A177" s="3" t="s">
        <v>112</v>
      </c>
      <c r="B177" s="3" t="s">
        <v>133</v>
      </c>
      <c r="C177" s="3" t="s">
        <v>150</v>
      </c>
      <c r="D177" s="3" t="s">
        <v>68</v>
      </c>
      <c r="E177" s="3" t="s">
        <v>69</v>
      </c>
      <c r="F177" s="3"/>
      <c r="G177" s="3" t="s">
        <v>130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124</v>
      </c>
      <c r="C178" s="3" t="s">
        <v>150</v>
      </c>
      <c r="D178" s="3" t="s">
        <v>68</v>
      </c>
      <c r="E178" s="3" t="s">
        <v>69</v>
      </c>
      <c r="F178" s="3"/>
      <c r="G178" s="3" t="s">
        <v>130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158</v>
      </c>
      <c r="C179" s="3" t="s">
        <v>152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133</v>
      </c>
      <c r="C180" s="3" t="s">
        <v>152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124</v>
      </c>
      <c r="C181" s="3" t="s">
        <v>152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158</v>
      </c>
      <c r="C182" s="3" t="s">
        <v>161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133</v>
      </c>
      <c r="C183" s="3" t="s">
        <v>161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124</v>
      </c>
      <c r="C184" s="3" t="s">
        <v>161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8" t="s">
        <v>298</v>
      </c>
      <c r="B1" s="82"/>
      <c r="C1" s="82"/>
    </row>
    <row r="2" spans="1:3" ht="14.25" customHeight="1">
      <c r="A2" s="8" t="s">
        <v>0</v>
      </c>
      <c r="B2" s="8" t="s">
        <v>299</v>
      </c>
      <c r="C2" s="8" t="s">
        <v>295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300</v>
      </c>
      <c r="B11" s="11">
        <v>18</v>
      </c>
      <c r="C11" s="12">
        <v>46386</v>
      </c>
    </row>
    <row r="12" spans="1:3" ht="14.25" customHeight="1">
      <c r="A12" s="11" t="s">
        <v>300</v>
      </c>
      <c r="B12" s="11">
        <v>18</v>
      </c>
      <c r="C12" s="12">
        <v>46417</v>
      </c>
    </row>
    <row r="13" spans="1:3" ht="14.25" customHeight="1">
      <c r="A13" s="11" t="s">
        <v>300</v>
      </c>
      <c r="B13" s="11">
        <v>19</v>
      </c>
      <c r="C13" s="12">
        <v>46446</v>
      </c>
    </row>
    <row r="14" spans="1:3" ht="14.25" customHeight="1">
      <c r="A14" s="11" t="s">
        <v>233</v>
      </c>
      <c r="B14" s="11">
        <v>9</v>
      </c>
      <c r="C14" s="12">
        <v>46476</v>
      </c>
    </row>
    <row r="15" spans="1:3" ht="14.25" customHeight="1">
      <c r="A15" s="11" t="s">
        <v>228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B3" sqref="B3:B1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301</v>
      </c>
      <c r="F1" s="1" t="s">
        <v>2</v>
      </c>
      <c r="G1" s="5" t="s">
        <v>302</v>
      </c>
      <c r="H1" s="5" t="s">
        <v>19</v>
      </c>
      <c r="I1" t="s">
        <v>31</v>
      </c>
      <c r="J1" s="5" t="s">
        <v>303</v>
      </c>
      <c r="K1" s="5" t="s">
        <v>114</v>
      </c>
      <c r="L1" s="5" t="s">
        <v>267</v>
      </c>
      <c r="M1" s="1" t="s">
        <v>304</v>
      </c>
      <c r="N1" s="1" t="s">
        <v>305</v>
      </c>
    </row>
    <row r="2" spans="1:14" ht="13.5" customHeight="1">
      <c r="A2" s="2" t="s">
        <v>306</v>
      </c>
      <c r="B2" s="2" t="s">
        <v>307</v>
      </c>
      <c r="C2" s="2" t="s">
        <v>308</v>
      </c>
      <c r="D2" s="2" t="s">
        <v>309</v>
      </c>
      <c r="E2" s="2" t="s">
        <v>310</v>
      </c>
      <c r="F2" s="2" t="s">
        <v>311</v>
      </c>
      <c r="G2" t="s">
        <v>312</v>
      </c>
      <c r="H2" t="s">
        <v>313</v>
      </c>
      <c r="I2" t="s">
        <v>314</v>
      </c>
      <c r="J2" s="29" t="s">
        <v>315</v>
      </c>
      <c r="K2" s="29" t="s">
        <v>316</v>
      </c>
      <c r="L2" s="29" t="s">
        <v>317</v>
      </c>
      <c r="M2" t="s">
        <v>130</v>
      </c>
      <c r="N2" s="45" t="s">
        <v>318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175</v>
      </c>
      <c r="G3" t="s">
        <v>38</v>
      </c>
      <c r="H3" t="s">
        <v>40</v>
      </c>
      <c r="I3" t="s">
        <v>45</v>
      </c>
      <c r="J3" t="s">
        <v>158</v>
      </c>
      <c r="K3" t="s">
        <v>41</v>
      </c>
      <c r="L3" t="s">
        <v>45</v>
      </c>
      <c r="M3" t="s">
        <v>38</v>
      </c>
      <c r="N3" s="45" t="s">
        <v>319</v>
      </c>
    </row>
    <row r="4" spans="1:14" ht="15" customHeight="1">
      <c r="A4" t="s">
        <v>112</v>
      </c>
      <c r="B4" t="s">
        <v>51</v>
      </c>
      <c r="C4" t="s">
        <v>39</v>
      </c>
      <c r="D4" t="s">
        <v>130</v>
      </c>
      <c r="E4" t="s">
        <v>45</v>
      </c>
      <c r="F4" t="s">
        <v>158</v>
      </c>
      <c r="G4" t="s">
        <v>51</v>
      </c>
      <c r="H4" t="s">
        <v>80</v>
      </c>
      <c r="I4" t="s">
        <v>320</v>
      </c>
      <c r="J4" t="s">
        <v>133</v>
      </c>
      <c r="L4" t="s">
        <v>42</v>
      </c>
      <c r="M4" t="s">
        <v>94</v>
      </c>
      <c r="N4" s="45" t="s">
        <v>319</v>
      </c>
    </row>
    <row r="5" spans="1:14" ht="15" customHeight="1">
      <c r="A5" t="s">
        <v>300</v>
      </c>
      <c r="B5" t="s">
        <v>57</v>
      </c>
      <c r="C5" t="s">
        <v>69</v>
      </c>
      <c r="F5" t="s">
        <v>133</v>
      </c>
      <c r="G5" t="s">
        <v>57</v>
      </c>
      <c r="H5" t="s">
        <v>115</v>
      </c>
      <c r="I5" t="s">
        <v>125</v>
      </c>
      <c r="J5" t="s">
        <v>124</v>
      </c>
      <c r="L5" t="s">
        <v>321</v>
      </c>
      <c r="M5" t="s">
        <v>80</v>
      </c>
      <c r="N5" s="45" t="s">
        <v>319</v>
      </c>
    </row>
    <row r="6" spans="1:14" ht="15" customHeight="1">
      <c r="A6" t="s">
        <v>233</v>
      </c>
      <c r="B6" t="s">
        <v>76</v>
      </c>
      <c r="F6" t="s">
        <v>124</v>
      </c>
      <c r="G6" t="s">
        <v>76</v>
      </c>
      <c r="H6" t="s">
        <v>130</v>
      </c>
      <c r="I6" t="s">
        <v>134</v>
      </c>
      <c r="J6" t="s">
        <v>114</v>
      </c>
      <c r="M6" t="s">
        <v>41</v>
      </c>
      <c r="N6" s="45" t="s">
        <v>319</v>
      </c>
    </row>
    <row r="7" spans="1:14" ht="15" customHeight="1">
      <c r="A7" t="s">
        <v>228</v>
      </c>
      <c r="B7" t="s">
        <v>105</v>
      </c>
      <c r="F7" t="s">
        <v>114</v>
      </c>
      <c r="G7" t="s">
        <v>105</v>
      </c>
      <c r="I7" t="s">
        <v>322</v>
      </c>
      <c r="M7" t="s">
        <v>115</v>
      </c>
      <c r="N7" s="45" t="s">
        <v>319</v>
      </c>
    </row>
    <row r="8" spans="1:14" ht="15" customHeight="1">
      <c r="B8" t="s">
        <v>68</v>
      </c>
      <c r="F8" t="s">
        <v>36</v>
      </c>
      <c r="G8" t="s">
        <v>68</v>
      </c>
      <c r="I8" t="s">
        <v>323</v>
      </c>
      <c r="M8" t="s">
        <v>52</v>
      </c>
      <c r="N8" s="45" t="s">
        <v>319</v>
      </c>
    </row>
    <row r="9" spans="1:14" ht="15" customHeight="1">
      <c r="B9" t="s">
        <v>94</v>
      </c>
      <c r="G9" t="s">
        <v>94</v>
      </c>
      <c r="I9" t="s">
        <v>324</v>
      </c>
      <c r="M9" t="s">
        <v>141</v>
      </c>
      <c r="N9" s="45" t="s">
        <v>319</v>
      </c>
    </row>
    <row r="10" spans="1:14" ht="15" customHeight="1">
      <c r="B10" t="s">
        <v>141</v>
      </c>
      <c r="G10" t="s">
        <v>141</v>
      </c>
      <c r="M10" t="s">
        <v>40</v>
      </c>
      <c r="N10" s="45" t="s">
        <v>319</v>
      </c>
    </row>
    <row r="11" spans="1:14">
      <c r="B11" t="s">
        <v>325</v>
      </c>
      <c r="G11" t="s">
        <v>52</v>
      </c>
      <c r="M11" t="s">
        <v>68</v>
      </c>
      <c r="N11" s="45" t="s">
        <v>319</v>
      </c>
    </row>
    <row r="12" spans="1:14">
      <c r="B12" t="s">
        <v>326</v>
      </c>
      <c r="G12" t="s">
        <v>39</v>
      </c>
      <c r="M12" t="s">
        <v>39</v>
      </c>
      <c r="N12" s="45" t="s">
        <v>319</v>
      </c>
    </row>
    <row r="13" spans="1:14">
      <c r="G13" t="s">
        <v>69</v>
      </c>
      <c r="M13" t="s">
        <v>69</v>
      </c>
      <c r="N13" s="45" t="s">
        <v>319</v>
      </c>
    </row>
    <row r="14" spans="1:14">
      <c r="M14" t="s">
        <v>76</v>
      </c>
      <c r="N14" s="45" t="s">
        <v>327</v>
      </c>
    </row>
    <row r="15" spans="1:14">
      <c r="M15" t="s">
        <v>51</v>
      </c>
      <c r="N15" s="45" t="s">
        <v>319</v>
      </c>
    </row>
    <row r="16" spans="1:14">
      <c r="M16" t="s">
        <v>105</v>
      </c>
      <c r="N16" s="45" t="s">
        <v>319</v>
      </c>
    </row>
    <row r="17" spans="13:14">
      <c r="M17" t="s">
        <v>57</v>
      </c>
      <c r="N17" s="45" t="s">
        <v>319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Navya Chowdary Saimpu</cp:lastModifiedBy>
  <cp:revision>0</cp:revision>
  <dcterms:created xsi:type="dcterms:W3CDTF">2026-07-21T14:32:59Z</dcterms:created>
  <dcterms:modified xsi:type="dcterms:W3CDTF">2026-08-24T21:35:40Z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