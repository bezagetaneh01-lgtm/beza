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394" documentId="13_ncr:1_{52745E9B-3AA1-4770-AAD3-E6166BFC13AE}" xr6:coauthVersionLast="47" xr6:coauthVersionMax="47" xr10:uidLastSave="{7764EFED-DAA8-4D3D-8A99-3759DB316C54}"/>
  <bookViews>
    <workbookView xWindow="-110" yWindow="-110" windowWidth="19420" windowHeight="1150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Data'!$M$125:$M$125</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2" l="1" a="1"/>
  <c r="D55" i="2"/>
  <c r="AM78" i="2" a="1"/>
  <c r="AN78" i="2" a="1"/>
  <c r="AN124" i="2" a="1"/>
  <c r="AN123" i="2" a="1"/>
  <c r="AN122" i="2" a="1"/>
  <c r="AN121" i="2" a="1"/>
  <c r="AM124" i="2" a="1"/>
  <c r="AM123" i="2" a="1"/>
  <c r="AM122" i="2" a="1"/>
  <c r="AM121" i="2" a="1"/>
  <c r="AN120" i="2" a="1"/>
  <c r="AN119" i="2" a="1"/>
  <c r="AN118" i="2" a="1"/>
  <c r="AM120" i="2" a="1"/>
  <c r="AM119" i="2" a="1"/>
  <c r="AM118"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7" i="2" a="1"/>
  <c r="AN117" i="2" a="1"/>
  <c r="D85" i="2" a="1"/>
  <c r="P4" i="4"/>
  <c r="P3" i="4"/>
  <c r="P2" i="4"/>
  <c r="AK116" i="2" a="1"/>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6"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3" i="2" a="1"/>
  <c r="D80"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6" i="2" a="1"/>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6"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D86" i="2" s="1" a="1"/>
  <c r="AM85" i="2" a="1"/>
  <c r="AM84" i="2" a="1"/>
  <c r="D84" i="2" s="1" a="1"/>
  <c r="AM83" i="2" a="1"/>
  <c r="AM82" i="2" a="1"/>
  <c r="D82" i="2" s="1" a="1"/>
  <c r="AM81" i="2" a="1"/>
  <c r="AM80" i="2" a="1"/>
  <c r="AM79" i="2" a="1"/>
  <c r="D79" i="2" s="1" a="1"/>
  <c r="AM77" i="2" a="1"/>
  <c r="AM76" i="2" a="1"/>
  <c r="AM75" i="2" a="1"/>
  <c r="AM74" i="2" a="1"/>
  <c r="AM73" i="2" a="1"/>
  <c r="AM72" i="2" a="1"/>
  <c r="AM71" i="2" a="1"/>
  <c r="AM70" i="2" a="1"/>
  <c r="AM69" i="2" a="1"/>
  <c r="AM68" i="2" a="1"/>
  <c r="AM67" i="2" a="1"/>
  <c r="AM66" i="2" a="1"/>
  <c r="AM65" i="2" a="1"/>
  <c r="AM64" i="2"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2" i="2" a="1"/>
  <c r="D52" i="2" a="1"/>
  <c r="D65" i="2" a="1"/>
  <c r="D71"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T5" i="4" l="1"/>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 r="C3" i="10" l="1"/>
  <c r="A3" i="10"/>
  <c r="K16" i="8"/>
  <c r="J16" i="8"/>
  <c r="I16" i="8"/>
  <c r="H16" i="8"/>
  <c r="G16" i="8"/>
  <c r="F16" i="8"/>
  <c r="E16" i="8"/>
  <c r="D16" i="8"/>
  <c r="C16" i="8"/>
  <c r="K15" i="8"/>
  <c r="J15" i="8"/>
  <c r="I15" i="8"/>
  <c r="H15" i="8"/>
  <c r="G15" i="8"/>
  <c r="F15" i="8"/>
  <c r="E15" i="8"/>
  <c r="D15" i="8"/>
  <c r="C15" i="8"/>
  <c r="K14" i="8"/>
  <c r="J14" i="8"/>
  <c r="I14" i="8"/>
  <c r="H14" i="8"/>
  <c r="G14" i="8"/>
  <c r="F14" i="8"/>
  <c r="E14" i="8"/>
  <c r="D14" i="8"/>
  <c r="C14" i="8"/>
  <c r="K13" i="8"/>
  <c r="J13" i="8"/>
  <c r="I13" i="8"/>
  <c r="H13" i="8"/>
  <c r="G13" i="8"/>
  <c r="F13" i="8"/>
  <c r="E13" i="8"/>
  <c r="D13" i="8"/>
  <c r="C13" i="8"/>
  <c r="K12" i="8"/>
  <c r="J12" i="8"/>
  <c r="J17" i="8" s="1"/>
  <c r="I12" i="8"/>
  <c r="I17" i="8" s="1"/>
  <c r="H12" i="8"/>
  <c r="H17" i="8" s="1"/>
  <c r="G12" i="8"/>
  <c r="F12" i="8"/>
  <c r="F17" i="8" s="1"/>
  <c r="E12" i="8"/>
  <c r="E17" i="8" s="1"/>
  <c r="D12" i="8"/>
  <c r="D17" i="8" s="1"/>
  <c r="C12" i="8"/>
  <c r="K7" i="8"/>
  <c r="I7" i="8"/>
  <c r="G7" i="8"/>
  <c r="E7" i="8"/>
  <c r="C7" i="8"/>
  <c r="AN124" i="2"/>
  <c r="AM124" i="2"/>
  <c r="AN123" i="2"/>
  <c r="AM123" i="2"/>
  <c r="AN122" i="2"/>
  <c r="AM122" i="2"/>
  <c r="AN121" i="2"/>
  <c r="AM121" i="2"/>
  <c r="AN120" i="2"/>
  <c r="AM120" i="2"/>
  <c r="AN119" i="2"/>
  <c r="AM119" i="2"/>
  <c r="AN118" i="2"/>
  <c r="AM118" i="2"/>
  <c r="AN117" i="2"/>
  <c r="AM117" i="2"/>
  <c r="AN116" i="2"/>
  <c r="AM116" i="2"/>
  <c r="AK116" i="2"/>
  <c r="D116" i="2"/>
  <c r="AN115" i="2"/>
  <c r="AM115" i="2"/>
  <c r="AK115" i="2"/>
  <c r="D115" i="2"/>
  <c r="AN114" i="2"/>
  <c r="AM114" i="2"/>
  <c r="AK114" i="2"/>
  <c r="D114" i="2"/>
  <c r="AN113" i="2"/>
  <c r="AM113" i="2"/>
  <c r="AK113" i="2"/>
  <c r="D113" i="2"/>
  <c r="AN112" i="2"/>
  <c r="AM112" i="2"/>
  <c r="AK112" i="2"/>
  <c r="D112" i="2"/>
  <c r="AN111" i="2"/>
  <c r="AM111" i="2"/>
  <c r="AK111" i="2"/>
  <c r="D111" i="2"/>
  <c r="AN110" i="2"/>
  <c r="AM110" i="2"/>
  <c r="AK110" i="2"/>
  <c r="D110" i="2"/>
  <c r="AN109" i="2"/>
  <c r="AM109" i="2"/>
  <c r="AK109" i="2"/>
  <c r="D109" i="2"/>
  <c r="AN108" i="2"/>
  <c r="AM108" i="2"/>
  <c r="AK108" i="2"/>
  <c r="D108" i="2"/>
  <c r="AN107" i="2"/>
  <c r="AM107" i="2"/>
  <c r="AK107" i="2"/>
  <c r="D107" i="2"/>
  <c r="AN106" i="2"/>
  <c r="AM106" i="2"/>
  <c r="AK106" i="2"/>
  <c r="D106" i="2"/>
  <c r="AN105" i="2"/>
  <c r="AM105" i="2"/>
  <c r="AK105" i="2"/>
  <c r="D105" i="2"/>
  <c r="AN104" i="2"/>
  <c r="AM104" i="2"/>
  <c r="AK104" i="2"/>
  <c r="D104" i="2"/>
  <c r="AN103" i="2"/>
  <c r="AM103" i="2"/>
  <c r="AK103" i="2"/>
  <c r="D103" i="2"/>
  <c r="AN102" i="2"/>
  <c r="AM102" i="2"/>
  <c r="AK102" i="2"/>
  <c r="D102" i="2"/>
  <c r="AN101" i="2"/>
  <c r="AM101" i="2"/>
  <c r="AK101" i="2"/>
  <c r="D101" i="2"/>
  <c r="AN100" i="2"/>
  <c r="AM100" i="2"/>
  <c r="AK100" i="2"/>
  <c r="D100" i="2"/>
  <c r="AN99" i="2"/>
  <c r="AM99" i="2"/>
  <c r="AK99" i="2"/>
  <c r="D99" i="2"/>
  <c r="AN98" i="2"/>
  <c r="AM98" i="2"/>
  <c r="AK98" i="2"/>
  <c r="D98" i="2"/>
  <c r="AN97" i="2"/>
  <c r="AM97" i="2"/>
  <c r="AK97" i="2"/>
  <c r="D97" i="2"/>
  <c r="AN96" i="2"/>
  <c r="AM96" i="2"/>
  <c r="AK96" i="2"/>
  <c r="D96" i="2"/>
  <c r="AN95" i="2"/>
  <c r="AM95" i="2"/>
  <c r="AK95" i="2"/>
  <c r="D95" i="2"/>
  <c r="AN94" i="2"/>
  <c r="AM94" i="2"/>
  <c r="AK94" i="2"/>
  <c r="D94" i="2"/>
  <c r="AN93" i="2"/>
  <c r="AM93" i="2"/>
  <c r="AK93" i="2"/>
  <c r="D93" i="2"/>
  <c r="AN92" i="2"/>
  <c r="AM92" i="2"/>
  <c r="AK92" i="2"/>
  <c r="D92" i="2"/>
  <c r="AN91" i="2"/>
  <c r="AM91" i="2"/>
  <c r="AK91" i="2"/>
  <c r="D91" i="2"/>
  <c r="AN90" i="2"/>
  <c r="AM90" i="2"/>
  <c r="AK90" i="2"/>
  <c r="D90" i="2"/>
  <c r="AN89" i="2"/>
  <c r="AM89" i="2"/>
  <c r="AK89" i="2"/>
  <c r="D89" i="2"/>
  <c r="AN88" i="2"/>
  <c r="AM88" i="2"/>
  <c r="AK88" i="2"/>
  <c r="D88" i="2"/>
  <c r="AN87" i="2"/>
  <c r="AM87" i="2"/>
  <c r="AK87" i="2"/>
  <c r="D87" i="2"/>
  <c r="AN86" i="2"/>
  <c r="AM86" i="2"/>
  <c r="AK86" i="2"/>
  <c r="D86" i="2"/>
  <c r="AN85" i="2"/>
  <c r="AM85" i="2"/>
  <c r="AK85" i="2"/>
  <c r="D85" i="2"/>
  <c r="AN84" i="2"/>
  <c r="AM84" i="2"/>
  <c r="AK84" i="2"/>
  <c r="D84" i="2"/>
  <c r="AN83" i="2"/>
  <c r="AM83" i="2"/>
  <c r="AK83" i="2"/>
  <c r="D83" i="2"/>
  <c r="AN82" i="2"/>
  <c r="AM82" i="2"/>
  <c r="AK82" i="2"/>
  <c r="D82" i="2"/>
  <c r="AN81" i="2"/>
  <c r="AM81" i="2"/>
  <c r="AK81" i="2"/>
  <c r="AN80" i="2"/>
  <c r="AM80" i="2"/>
  <c r="AK80" i="2"/>
  <c r="D80" i="2"/>
  <c r="AN79" i="2"/>
  <c r="AM79" i="2"/>
  <c r="AK79" i="2"/>
  <c r="D79" i="2"/>
  <c r="AN78" i="2"/>
  <c r="AM78" i="2"/>
  <c r="AN77" i="2"/>
  <c r="AM77" i="2"/>
  <c r="AK77" i="2"/>
  <c r="D77" i="2"/>
  <c r="AN76" i="2"/>
  <c r="AM76" i="2"/>
  <c r="AK76" i="2"/>
  <c r="D76" i="2"/>
  <c r="AN75" i="2"/>
  <c r="AM75" i="2"/>
  <c r="AK75" i="2"/>
  <c r="D75" i="2"/>
  <c r="AN74" i="2"/>
  <c r="AM74" i="2"/>
  <c r="AK74" i="2"/>
  <c r="AN73" i="2"/>
  <c r="AM73" i="2"/>
  <c r="AK73" i="2"/>
  <c r="AN72" i="2"/>
  <c r="AM72" i="2"/>
  <c r="AK72" i="2"/>
  <c r="D72" i="2"/>
  <c r="AN71" i="2"/>
  <c r="AM71" i="2"/>
  <c r="AK71" i="2"/>
  <c r="D71" i="2"/>
  <c r="AN70" i="2"/>
  <c r="AM70" i="2"/>
  <c r="AK70" i="2"/>
  <c r="AN69" i="2"/>
  <c r="AM69" i="2"/>
  <c r="AK69" i="2"/>
  <c r="D69" i="2"/>
  <c r="AN68" i="2"/>
  <c r="AM68" i="2"/>
  <c r="AK68" i="2"/>
  <c r="D68" i="2"/>
  <c r="AN67" i="2"/>
  <c r="AM67" i="2"/>
  <c r="AN66" i="2"/>
  <c r="AM66" i="2"/>
  <c r="AK66" i="2"/>
  <c r="D66" i="2"/>
  <c r="AN65" i="2"/>
  <c r="AM65" i="2"/>
  <c r="AK65" i="2"/>
  <c r="D65" i="2"/>
  <c r="AN64" i="2"/>
  <c r="AM64" i="2"/>
  <c r="AK64" i="2"/>
  <c r="AN63" i="2"/>
  <c r="AM63" i="2"/>
  <c r="D63" i="2"/>
  <c r="AN62" i="2"/>
  <c r="AM62" i="2"/>
  <c r="AK62" i="2"/>
  <c r="D62" i="2"/>
  <c r="AN61" i="2"/>
  <c r="AM61" i="2"/>
  <c r="AK61" i="2"/>
  <c r="AN60" i="2"/>
  <c r="AM60" i="2"/>
  <c r="AK60" i="2"/>
  <c r="D60" i="2"/>
  <c r="AN59" i="2"/>
  <c r="AM59" i="2"/>
  <c r="AK59" i="2"/>
  <c r="D59" i="2"/>
  <c r="AN58" i="2"/>
  <c r="AM58" i="2"/>
  <c r="AK58" i="2"/>
  <c r="D58" i="2"/>
  <c r="AN57" i="2"/>
  <c r="AM57" i="2"/>
  <c r="AK57" i="2"/>
  <c r="D57" i="2"/>
  <c r="AN56" i="2"/>
  <c r="AM56" i="2"/>
  <c r="AK56" i="2"/>
  <c r="AN55" i="2"/>
  <c r="AM55" i="2"/>
  <c r="AK55" i="2"/>
  <c r="AN54" i="2"/>
  <c r="AM54" i="2"/>
  <c r="AK54" i="2"/>
  <c r="D54" i="2"/>
  <c r="AN53" i="2"/>
  <c r="AM53" i="2"/>
  <c r="AK53" i="2"/>
  <c r="D53" i="2"/>
  <c r="AN52" i="2"/>
  <c r="AM52" i="2"/>
  <c r="AK52" i="2"/>
  <c r="D52" i="2"/>
  <c r="AN51" i="2"/>
  <c r="AM51" i="2"/>
  <c r="AK51" i="2"/>
  <c r="D51" i="2"/>
  <c r="AN50" i="2"/>
  <c r="AM50" i="2"/>
  <c r="AK50" i="2"/>
  <c r="D50" i="2"/>
  <c r="AN49" i="2"/>
  <c r="AM49" i="2"/>
  <c r="AK49" i="2"/>
  <c r="D49" i="2"/>
  <c r="AN48" i="2"/>
  <c r="AM48" i="2"/>
  <c r="AK48" i="2"/>
  <c r="D48" i="2"/>
  <c r="AN47" i="2"/>
  <c r="AM47" i="2"/>
  <c r="AK47" i="2"/>
  <c r="D47" i="2"/>
  <c r="AN46" i="2"/>
  <c r="AM46" i="2"/>
  <c r="D46" i="2"/>
  <c r="AN45" i="2"/>
  <c r="AM45" i="2"/>
  <c r="AK45" i="2"/>
  <c r="D45" i="2"/>
  <c r="AN44" i="2"/>
  <c r="AM44" i="2"/>
  <c r="AK44" i="2"/>
  <c r="D44" i="2"/>
  <c r="AN43" i="2"/>
  <c r="AM43" i="2"/>
  <c r="AK43" i="2"/>
  <c r="D43" i="2"/>
  <c r="AN42" i="2"/>
  <c r="AM42" i="2"/>
  <c r="AK42" i="2"/>
  <c r="D42" i="2"/>
  <c r="AN41" i="2"/>
  <c r="AM41" i="2"/>
  <c r="AK41" i="2"/>
  <c r="D41" i="2"/>
  <c r="AN40" i="2"/>
  <c r="AM40" i="2"/>
  <c r="AK40" i="2"/>
  <c r="D40" i="2"/>
  <c r="AN39" i="2"/>
  <c r="AM39" i="2"/>
  <c r="AK39" i="2"/>
  <c r="D39" i="2"/>
  <c r="AN38" i="2"/>
  <c r="AM38" i="2"/>
  <c r="AK38" i="2"/>
  <c r="D38" i="2"/>
  <c r="AN37" i="2"/>
  <c r="AM37" i="2"/>
  <c r="AK37" i="2"/>
  <c r="D37" i="2"/>
  <c r="AN36" i="2"/>
  <c r="AM36" i="2"/>
  <c r="AK36" i="2"/>
  <c r="D36" i="2"/>
  <c r="AN35" i="2"/>
  <c r="AM35" i="2"/>
  <c r="AK35" i="2"/>
  <c r="D35" i="2"/>
  <c r="AN34" i="2"/>
  <c r="AM34" i="2"/>
  <c r="AK34" i="2"/>
  <c r="D34" i="2"/>
  <c r="AN33" i="2"/>
  <c r="AM33" i="2"/>
  <c r="AK33" i="2"/>
  <c r="D33" i="2"/>
  <c r="AN32" i="2"/>
  <c r="AM32" i="2"/>
  <c r="AK32" i="2"/>
  <c r="D32" i="2"/>
  <c r="AN31" i="2"/>
  <c r="AM31" i="2"/>
  <c r="AK31" i="2"/>
  <c r="D31" i="2"/>
  <c r="AN30" i="2"/>
  <c r="AM30" i="2"/>
  <c r="AK30" i="2"/>
  <c r="D30" i="2"/>
  <c r="AN29" i="2"/>
  <c r="AM29" i="2"/>
  <c r="AK29" i="2"/>
  <c r="D29" i="2"/>
  <c r="AN28" i="2"/>
  <c r="AM28" i="2"/>
  <c r="AK28" i="2"/>
  <c r="D28" i="2"/>
  <c r="AN27" i="2"/>
  <c r="AM27" i="2"/>
  <c r="AK27" i="2"/>
  <c r="D27" i="2"/>
  <c r="AN26" i="2"/>
  <c r="AM26" i="2"/>
  <c r="D26" i="2"/>
  <c r="AN25" i="2"/>
  <c r="AM25" i="2"/>
  <c r="AK25" i="2"/>
  <c r="D25" i="2"/>
  <c r="AN24" i="2"/>
  <c r="AM24" i="2"/>
  <c r="D24" i="2"/>
  <c r="AN23" i="2"/>
  <c r="AM23" i="2"/>
  <c r="D23" i="2"/>
  <c r="AN22" i="2"/>
  <c r="AM22" i="2"/>
  <c r="D22" i="2"/>
  <c r="AN21" i="2"/>
  <c r="AM21" i="2"/>
  <c r="AK21" i="2"/>
  <c r="D21" i="2"/>
  <c r="AN20" i="2"/>
  <c r="AM20" i="2"/>
  <c r="D20" i="2"/>
  <c r="AN19" i="2"/>
  <c r="AM19" i="2"/>
  <c r="D19" i="2"/>
  <c r="AN18" i="2"/>
  <c r="AM18" i="2"/>
  <c r="D18" i="2"/>
  <c r="AN17" i="2"/>
  <c r="AM17" i="2"/>
  <c r="D17" i="2"/>
  <c r="AN16" i="2"/>
  <c r="AM16" i="2"/>
  <c r="D16" i="2"/>
  <c r="AN15" i="2"/>
  <c r="AM15" i="2"/>
  <c r="AK15" i="2"/>
  <c r="D15" i="2"/>
  <c r="AN14" i="2"/>
  <c r="AM14" i="2"/>
  <c r="D14" i="2"/>
  <c r="AN13" i="2"/>
  <c r="AM13" i="2"/>
  <c r="D13" i="2"/>
  <c r="AN12" i="2"/>
  <c r="AM12" i="2"/>
  <c r="D12" i="2"/>
  <c r="AN11" i="2"/>
  <c r="AM11" i="2"/>
  <c r="AK11" i="2"/>
  <c r="D11" i="2"/>
  <c r="AN10" i="2"/>
  <c r="AM10" i="2"/>
  <c r="AK10" i="2"/>
  <c r="D10" i="2"/>
  <c r="AN9" i="2"/>
  <c r="AM9" i="2"/>
  <c r="AK9" i="2"/>
  <c r="D9" i="2"/>
  <c r="AN8" i="2"/>
  <c r="AM8" i="2"/>
  <c r="AK8" i="2"/>
  <c r="D8" i="2"/>
  <c r="AN7" i="2"/>
  <c r="AM7" i="2"/>
  <c r="AK7" i="2"/>
  <c r="D7" i="2"/>
  <c r="AN6" i="2"/>
  <c r="AM6" i="2"/>
  <c r="AK6" i="2"/>
  <c r="D6" i="2"/>
  <c r="AN5" i="2"/>
  <c r="AM5" i="2"/>
  <c r="AK5" i="2"/>
  <c r="D5" i="2"/>
  <c r="AN4" i="2"/>
  <c r="AM4" i="2"/>
  <c r="AK4" i="2"/>
  <c r="D4" i="2"/>
  <c r="AN3" i="2"/>
  <c r="AM3" i="2"/>
  <c r="AK3" i="2"/>
  <c r="D3" i="2"/>
  <c r="AN2" i="2"/>
  <c r="AM2" i="2"/>
  <c r="AK2" i="2"/>
  <c r="D2" i="2"/>
  <c r="B37" i="8" l="1" a="1"/>
  <c r="B37" i="8" s="1"/>
  <c r="B35" i="8" a="1"/>
  <c r="B35" i="8" s="1"/>
  <c r="C5" i="8"/>
  <c r="K17" i="8"/>
  <c r="M12" i="8"/>
  <c r="M13" i="8"/>
  <c r="M14" i="8"/>
  <c r="M15" i="8"/>
  <c r="M16" i="8"/>
  <c r="D81" i="2" s="1" a="1"/>
  <c r="D74" i="2" l="1" a="1"/>
  <c r="D81" i="2"/>
  <c r="B5" i="8"/>
  <c r="B3" i="8"/>
  <c r="M8" i="8" a="1"/>
  <c r="M8" i="8" s="1"/>
  <c r="D73" i="2" l="1" a="1"/>
  <c r="D74" i="2"/>
  <c r="D70" i="2" l="1" a="1"/>
  <c r="D73" i="2"/>
  <c r="D64" i="2" l="1" a="1"/>
  <c r="D70" i="2"/>
  <c r="D64" i="2" l="1"/>
  <c r="B53" i="8" l="1" a="1"/>
  <c r="G17" i="8" l="1"/>
  <c r="B53" i="8"/>
  <c r="I50" i="8" s="1"/>
  <c r="C17" i="8" s="1"/>
  <c r="M1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<sst xmlns="http://schemas.openxmlformats.org/spreadsheetml/2006/main" count="3732" uniqueCount="540">
  <si>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</si>
  <si>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</si>
  <si>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</si>
  <si>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</si>
  <si>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</si>
  <si>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</si>
  <si>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</si>
  <si>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</si>
  <si>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</si>
  <si>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</si>
  <si>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</si>
  <si>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</si>
  <si>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</si>
  <si>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</si>
  <si>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</si>
  <si>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</si>
  <si>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</si>
  <si>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</si>
  <si>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</si>
  <si>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</si>
  <si>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</si>
  <si>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</si>
  <si>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</si>
  <si>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</si>
  <si>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</si>
  <si>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</si>
  <si>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</si>
  <si>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</si>
  <si>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</si>
  <si>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</si>
  <si>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</si>
  <si>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</si>
  <si>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</si>
  <si>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</si>
  <si>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</si>
  <si>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</si>
  <si>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</si>
  <si>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</si>
  <si>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</si>
  <si>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</si>
  <si>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</si>
  <si>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</si>
  <si>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</si>
  <si>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</si>
  <si>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</si>
  <si>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</si>
  <si>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</si>
  <si>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</si>
  <si>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</si>
  <si>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</si>
  <si>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</si>
  <si>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</si>
  <si>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</si>
  <si>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</si>
  <si>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</si>
  <si>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</si>
  <si>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</si>
  <si>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</si>
  <si>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</si>
  <si>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</si>
  <si>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</si>
  <si>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</si>
  <si>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</si>
  <si>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</si>
  <si>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</si>
  <si>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</si>
  <si>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</si>
  <si>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</si>
  <si>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</si>
  <si>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</si>
  <si>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</si>
  <si>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</si>
  <si>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</si>
  <si>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</si>
  <si>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</si>
  <si>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</si>
  <si>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</si>
  <si>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</si>
  <si>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</si>
  <si>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</si>
  <si>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</si>
  <si>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</si>
  <si>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</si>
  <si>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</si>
  <si>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</si>
  <si>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</si>
  <si>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</si>
  <si>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</si>
  <si>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</si>
  <si>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</si>
  <si>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</si>
  <si>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</si>
  <si>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</si>
  <si>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</si>
  <si>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</si>
  <si>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</si>
  <si>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</si>
  <si>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</si>
  <si>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</si>
  <si>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</si>
  <si>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</si>
  <si>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</si>
  <si>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</si>
  <si>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</si>
  <si>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</si>
  <si>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</si>
  <si>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</si>
  <si>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</si>
  <si>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</si>
  <si>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</si>
  <si>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</si>
  <si>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</si>
  <si>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</si>
  <si>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</si>
  <si>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</si>
  <si>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</si>
  <si>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</si>
  <si>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</si>
  <si>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</si>
  <si>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</si>
  <si>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</si>
  <si>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</si>
  <si>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</si>
  <si>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</si>
  <si>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</si>
  <si>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</si>
  <si>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</si>
  <si>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</si>
  <si>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</si>
  <si>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</si>
  <si>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</si>
  <si>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</si>
  <si>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</si>
  <si>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</si>
  <si>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</si>
  <si>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</si>
  <si>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</si>
  <si>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</si>
  <si>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</si>
  <si>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</si>
  <si>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</si>
  <si>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</si>
  <si>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</si>
  <si>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</si>
  <si>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</si>
  <si>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</si>
  <si>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</si>
  <si>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</si>
  <si>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</si>
  <si>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</si>
  <si>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</si>
  <si>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</si>
  <si>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</si>
  <si>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</si>
  <si>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</si>
  <si>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</si>
  <si>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</si>
  <si>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</si>
  <si>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</si>
  <si>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</si>
  <si>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</si>
  <si>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</si>
  <si>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</si>
  <si>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</si>
  <si>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</si>
  <si>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</si>
  <si>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</si>
  <si>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</si>
  <si>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</si>
  <si>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</si>
  <si>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</si>
  <si>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</si>
  <si>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</si>
  <si>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</si>
  <si>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</si>
  <si>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</si>
  <si>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</si>
  <si>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</si>
  <si>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</si>
  <si>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</si>
  <si>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</si>
  <si>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</si>
  <si>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</si>
  <si>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</si>
  <si>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</si>
  <si>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</si>
  <si>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</si>
  <si>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</si>
  <si>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</si>
  <si>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</si>
  <si>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</si>
  <si>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</si>
  <si>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</si>
  <si>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olu</t>
  </si>
  <si>
    <t>September</t>
  </si>
  <si>
    <t>PI2, S5</t>
  </si>
  <si>
    <t>PI2,S6</t>
  </si>
  <si>
    <t>Simone Brooks</t>
  </si>
  <si>
    <t>9/11 : Ready for review. no DPO</t>
  </si>
  <si>
    <t>RPT_02_Adjacent Property Checks</t>
  </si>
  <si>
    <t>PBI Dev</t>
  </si>
  <si>
    <t>Blocked by PBI Issue</t>
  </si>
  <si>
    <t>Olu</t>
  </si>
  <si>
    <t>Anthony Massimino</t>
  </si>
  <si>
    <t>Ready For PBI</t>
  </si>
  <si>
    <t>RPT_02_High Bill Investigations</t>
  </si>
  <si>
    <t>Released in Prod</t>
  </si>
  <si>
    <t>RPT_02_Emergency Order Type</t>
  </si>
  <si>
    <t>Yes – needs PBI Dev to fix</t>
  </si>
  <si>
    <t>Kushals review and DB dev working pushing to QA</t>
  </si>
  <si>
    <t>RPT_02_Cut Out Curb Box</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</si>
  <si>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</si>
  <si>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</si>
  <si>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</si>
  <si>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</si>
  <si>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</si>
  <si>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</si>
  <si>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</si>
  <si>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</si>
  <si>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</si>
  <si>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</si>
  <si>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</si>
  <si>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</si>
  <si>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</si>
  <si>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</si>
  <si>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</si>
  <si>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</si>
  <si>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</si>
  <si>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</si>
  <si>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</si>
  <si>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</si>
  <si>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</si>
  <si>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</si>
  <si>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</si>
  <si>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</si>
  <si>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</si>
  <si>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</si>
  <si>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QA</t>
  </si>
  <si>
    <t>November</t>
  </si>
  <si>
    <t>Dependent on service resource performance and service resource performance dependent on tech utilization all shifts, Moved to Nov</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</si>
  <si>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</si>
  <si>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</si>
  <si>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</si>
  <si>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</si>
  <si>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</si>
  <si>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</si>
  <si>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</si>
  <si>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</si>
  <si>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</si>
  <si>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</si>
  <si>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hybrid</t>
  </si>
  <si>
    <t>Christina Illingworth</t>
  </si>
  <si>
    <t>RPT_02_Personal Injury and Shock Investigation</t>
  </si>
  <si>
    <t>NOT STARTED</t>
  </si>
  <si>
    <t>Electric Report.</t>
  </si>
  <si>
    <t>RPT_02_Emergency Response Statistics</t>
  </si>
  <si>
    <t>RPT_02_Emergency Time Adjustments Log</t>
  </si>
  <si>
    <t>DB Dev</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</si>
  <si>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</si>
  <si>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</si>
  <si>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</si>
  <si>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</si>
  <si>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</si>
  <si>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</si>
  <si>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</si>
  <si>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</si>
  <si>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</si>
  <si>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</si>
  <si>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</si>
  <si>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</si>
  <si>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</si>
  <si>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</si>
  <si>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</si>
  <si>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</si>
  <si>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</si>
  <si>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</si>
  <si>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</si>
  <si>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</si>
  <si>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</si>
  <si>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</si>
  <si>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</si>
  <si>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</si>
  <si>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CDP driven report, needs soft release in production before testing.</t>
  </si>
  <si>
    <t>RPT_02_Install Meter Orders</t>
  </si>
  <si>
    <t>RPT_02_Non Emergency Orders</t>
  </si>
  <si>
    <t>PI3, S1</t>
  </si>
  <si>
    <t>Shubha</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</si>
  <si>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</si>
  <si>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</si>
  <si>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</si>
  <si>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</si>
  <si>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</si>
  <si>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</si>
  <si>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</si>
  <si>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</si>
  <si>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</si>
  <si>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</si>
  <si>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</si>
  <si>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</si>
  <si>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</si>
  <si>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</si>
  <si>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</si>
  <si>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</si>
  <si>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</si>
  <si>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</si>
  <si>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</si>
  <si>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</si>
  <si>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</si>
  <si>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</si>
  <si>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</si>
  <si>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</si>
  <si>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</si>
  <si>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</si>
  <si>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</si>
  <si>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</si>
  <si>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</si>
  <si>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</si>
  <si>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</si>
  <si>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</si>
  <si>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</si>
  <si>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</si>
  <si>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</si>
  <si>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</si>
  <si>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</si>
  <si>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</si>
  <si>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</si>
  <si>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</si>
  <si>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Greeta</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</si>
  <si>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</si>
  <si>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</si>
  <si>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</si>
  <si>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</si>
  <si>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</si>
  <si>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</si>
  <si>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</si>
  <si>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</si>
  <si>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</si>
  <si>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</si>
  <si>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</si>
  <si>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</si>
  <si>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</si>
  <si>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</si>
  <si>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</si>
  <si>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</si>
  <si>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</si>
  <si>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</si>
  <si>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</si>
  <si>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RPT_05_Small Caps End to End</t>
  </si>
  <si>
    <t>RPT_05_Long Cycle End to End</t>
  </si>
  <si>
    <t>RPT_05_Construction Complete Aging Report</t>
  </si>
  <si>
    <t>RPT_05_Main and Service Line Pressure Tests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</si>
  <si>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</si>
  <si>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</si>
  <si>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</si>
  <si>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</si>
  <si>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</si>
  <si>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</si>
  <si>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</si>
  <si>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</si>
  <si>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</si>
  <si>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</si>
  <si>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</si>
  <si>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</si>
  <si>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</si>
  <si>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</si>
  <si>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</si>
  <si>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</si>
  <si>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</si>
  <si>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</si>
  <si>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</si>
  <si>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</si>
  <si>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</si>
  <si>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</si>
  <si>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</si>
  <si>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</si>
  <si>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</si>
  <si>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</si>
  <si>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</si>
  <si>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</si>
  <si>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</si>
  <si>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</si>
  <si>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</si>
  <si>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</si>
  <si>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</si>
  <si>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</si>
  <si>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</si>
  <si>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</si>
  <si>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</si>
  <si>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</si>
  <si>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</si>
  <si>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</si>
  <si>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</si>
  <si>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</si>
  <si>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</si>
  <si>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</si>
  <si>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</si>
  <si>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</si>
  <si>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</si>
  <si>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</si>
  <si>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</si>
  <si>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</si>
  <si>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</si>
  <si>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</si>
  <si>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</si>
  <si>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</si>
  <si>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</si>
  <si>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</si>
  <si>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</si>
  <si>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</si>
  <si>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</si>
  <si>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</si>
  <si>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</si>
  <si>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</si>
  <si>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</si>
  <si>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</si>
  <si>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</si>
  <si>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</si>
  <si>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</si>
  <si>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</si>
  <si>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</si>
  <si>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</si>
  <si>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</si>
  <si>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</si>
  <si>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</si>
  <si>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</si>
  <si>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</si>
  <si>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Approval</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</si>
  <si>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</si>
  <si>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</si>
  <si>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</si>
  <si>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</si>
  <si>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</si>
  <si>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</si>
  <si>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Difference was due to incorrect data in underlying table. Data issue is fixed now</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</si>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</sst>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26" fillId="0" borderId="0" xfId="0" applyNumberFormat="1" applyFont="1"/>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7">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12</c:v>
                </c:pt>
                <c:pt idx="2">
                  <c:v>7</c:v>
                </c:pt>
                <c:pt idx="3">
                  <c:v>1</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0</c:v>
                </c:pt>
                <c:pt idx="3">
                  <c:v>4</c:v>
                </c:pt>
                <c:pt idx="4">
                  <c:v>2</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0</c:v>
                </c:pt>
                <c:pt idx="3">
                  <c:v>2</c:v>
                </c:pt>
                <c:pt idx="4">
                  <c:v>5</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0</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0</c:v>
                </c:pt>
                <c:pt idx="3">
                  <c:v>2</c:v>
                </c:pt>
                <c:pt idx="4">
                  <c:v>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8</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24" dataDxfId="79">
  <autoFilter ref="A1:AN124" xr:uid="{00000000-0009-0000-0100-000001000000}">
    <filterColumn colId="0">
      <filters>
        <filter val="CMS"/>
      </filters>
    </filterColumn>
    <filterColumn colId="1">
      <filters>
        <filter val="RPT_02_Non Emergency Orders"/>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9"/>
  <sheetViews>
    <sheetView tabSelected="1" zoomScaleNormal="100" workbookViewId="0">
      <pane xSplit="2" topLeftCell="C1" activePane="topRight" state="frozen"/>
      <selection pane="topRight" activeCell="C55" sqref="C55"/>
      <selection activeCell="A29" sqref="A29"/>
    </sheetView>
  </sheetViews>
  <sheetFormatPr defaultRowHeight="15" customHeight="1"/>
  <cols>
    <col min="1" max="1" width="25.285156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33.710937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9"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"&amp;_xlpm.nxt,IF(COUNTIF($B$2:$B$529,$B2)&gt;1,"Duplicate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"&amp;_xlpm.nxt,IF(COUNTIF($B$2:$B$529,$B3)&gt;1,"Duplicate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"&amp;_xlpm.nxt,IF(COUNTIF($B$2:$B$529,$B4)&gt;1,"Duplicate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"&amp;_xlpm.nxt,IF(COUNTIF($B$2:$B$529,$B5)&gt;1,"Duplicate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"&amp;_xlpm.nxt,IF(COUNTIF($B$2:$B$529,$B6)&gt;1,"Duplicate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"&amp;_xlpm.nxt,IF(COUNTIF($B$2:$B$529,$B7)&gt;1,"Duplicate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"&amp;_xlpm.nxt,IF(COUNTIF($B$2:$B$529,$B8)&gt;1,"Duplicate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"&amp;_xlpm.nxt,IF(COUNTIF($B$2:$B$529,$B9)&gt;1,"Duplicate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"&amp;_xlpm.nxt,IF(COUNTIF($B$2:$B$529,$B10)&gt;1,"Duplicate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"&amp;_xlpm.nxt,IF(COUNTIF($B$2:$B$529,$B11)&gt;1,"Duplicate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H)",IF(COUNTIF($B$2:$B$529,$B12)&gt;1,"Duplicate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H)",IF(COUNTIF($B$2:$B$529,$B13)&gt;1,"Duplicate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H)",IF(COUNTIF($B$2:$B$529,$B14)&gt;1,"Duplicate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"&amp;_xlpm.nxt,IF(COUNTIF($B$2:$B$529,$B15)&gt;1,"Duplicate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H)",IF(COUNTIF($B$2:$B$529,$B20)&gt;1,"Duplicate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"&amp;_xlpm.nxt,IF(COUNTIF($B$2:$B$529,$B21)&gt;1,"Duplicate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H)",IF(COUNTIF($B$2:$B$529,$B22)&gt;1,"Duplicate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H)",IF(COUNTIF($B$2:$B$529,$B23)&gt;1,"Duplicate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H)",IF(COUNTIF($B$2:$B$529,$B24)&gt;1,"Duplicate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"&amp;_xlpm.nxt,IF(COUNTIF($B$2:$B$529,$B25)&gt;1,"Duplicate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H)",IF(COUNTIF($B$2:$B$529,$B26)&gt;1,"Duplicate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"&amp;_xlpm.nxt,IF(COUNTIF($B$2:$B$529,$B27)&gt;1,"Duplicate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"&amp;_xlpm.nxt,IF(COUNTIF($B$2:$B$529,$B28)&gt;1,"Duplicate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"&amp;_xlpm.nxt,IF(COUNTIF($B$2:$B$529,$B29)&gt;1,"Duplicate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"&amp;_xlpm.nxt,IF(COUNTIF($B$2:$B$529,$B30)&gt;1,"Duplicate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"&amp;_xlpm.nxt,IF(COUNTIF($B$2:$B$529,$B31)&gt;1,"Duplicate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"&amp;_xlpm.nxt,IF(COUNTIF($B$2:$B$529,$B32)&gt;1,"Duplicate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"&amp;_xlpm.nxt,IF(COUNTIF($B$2:$B$529,$B33)&gt;1,"Duplicate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"&amp;_xlpm.nxt,IF(COUNTIF($B$2:$B$529,$B34)&gt;1,"Duplicate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"&amp;_xlpm.nxt,IF(COUNTIF($B$2:$B$529,$B35)&gt;1,"Duplicate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"&amp;_xlpm.nxt,IF(COUNTIF($B$2:$B$529,$B36)&gt;1,"Duplicate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"&amp;_xlpm.nxt,IF(COUNTIF($B$2:$B$529,$B37)&gt;1,"Duplicate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"&amp;_xlpm.nxt,IF(COUNTIF($B$2:$B$529,$B38)&gt;1,"Duplicate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"&amp;_xlpm.nxt,IF(COUNTIF($B$2:$B$529,$B39)&gt;1,"Duplicate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"&amp;_xlpm.nxt,IF(COUNTIF($B$2:$B$529,$B40)&gt;1,"Duplicate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"&amp;_xlpm.nxt,IF(COUNTIF($B$2:$B$529,$B41)&gt;1,"Duplicate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"&amp;_xlpm.nxt,IF(COUNTIF($B$2:$B$529,$B42)&gt;1,"Duplicate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"&amp;_xlpm.nxt,IF(COUNTIF($B$2:$B$529,$B43)&gt;1,"Duplicate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"&amp;_xlpm.nxt,IF(COUNTIF($B$2:$B$529,$B44)&gt;1,"Duplicate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"&amp;_xlpm.nxt,IF(COUNTIF($B$2:$B$529,$B45)&gt;1,"Duplicate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H)",IF(COUNTIF($B$2:$B$529,$B46)&gt;1,"Duplicate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"&amp;_xlpm.nxt,IF(COUNTIF($B$2:$B$529,$B47)&gt;1,"Duplicate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"&amp;_xlpm.nxt,IF(COUNTIF($B$2:$B$529,$B48)&gt;1,"Duplicate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t="14.45">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"&amp;_xlpm.nxt,IF(COUNTIF($B$2:$B$529,$B49)&gt;1,"Duplicate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"&amp;_xlpm.nxt,IF(COUNTIF($B$2:$B$529,$B50)&gt;1,"Duplicate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"&amp;_xlpm.nxt,IF(COUNTIF($B$2:$B$529,$B51)&gt;1,"Duplicate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128</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"&amp;_xlpm.nxt,IF(COUNTIF($B$2:$B$529,$B52)&gt;1,"Duplicate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"&amp;_xlpm.nxt,IF(COUNTIF($B$2:$B$529,$B53)&gt;1,"Duplicate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"&amp;_xlpm.nxt,IF(COUNTIF($B$2:$B$529,$B54)&gt;1,"Duplicate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t="14.45">
      <c r="A55" s="33" t="s">
        <v>126</v>
      </c>
      <c r="B55" s="33" t="s">
        <v>192</v>
      </c>
      <c r="C55" s="33" t="s">
        <v>42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Blocked - needs DPO Approval to fix</v>
      </c>
      <c r="E55" s="33">
        <v>31</v>
      </c>
      <c r="F55" s="34" t="s">
        <v>193</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v>46310</v>
      </c>
      <c r="AD55" s="33" t="s">
        <v>197</v>
      </c>
      <c r="AE55" s="33" t="s">
        <v>49</v>
      </c>
      <c r="AF55" s="38"/>
      <c r="AG55" s="36"/>
      <c r="AH55" s="39"/>
      <c r="AI55" s="33"/>
      <c r="AJ55" s="40" t="s">
        <v>171</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"&amp;_xlpm.nxt,IF(COUNTIF($B$2:$B$529,$B55)&gt;1,"Duplicate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Blocked - log it on Rework Log</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t="14.45">
      <c r="A56" s="33" t="s">
        <v>126</v>
      </c>
      <c r="B56" s="33" t="s">
        <v>199</v>
      </c>
      <c r="C56" s="33" t="s">
        <v>200</v>
      </c>
      <c r="D56" t="s">
        <v>201</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202</v>
      </c>
      <c r="V56" s="58">
        <v>46276</v>
      </c>
      <c r="W56" s="36">
        <v>46285</v>
      </c>
      <c r="X56" s="36">
        <v>46274</v>
      </c>
      <c r="Y56" s="36">
        <v>46288</v>
      </c>
      <c r="Z56" s="36"/>
      <c r="AA56" s="51">
        <v>46290</v>
      </c>
      <c r="AB56" s="36">
        <v>46297</v>
      </c>
      <c r="AC56" s="36"/>
      <c r="AD56" s="33" t="s">
        <v>203</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"&amp;_xlpm.nxt,IF(COUNTIF($B$2:$B$529,$B56)&gt;1,"Duplicate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204</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t="14.45">
      <c r="A57" s="33" t="s">
        <v>126</v>
      </c>
      <c r="B57" s="33" t="s">
        <v>205</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On track</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"&amp;_xlpm.nxt,IF(COUNTIF($B$2:$B$529,$B57)&gt;1,"Duplicate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t="14.45">
      <c r="A58" s="33" t="s">
        <v>126</v>
      </c>
      <c r="B58" s="33" t="s">
        <v>207</v>
      </c>
      <c r="C58" s="33" t="s">
        <v>200</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"&amp;_xlpm.nxt,IF(COUNTIF($B$2:$B$529,$B58)&gt;1,"Duplicate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t="14.45">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193</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"&amp;_xlpm.nxt,IF(COUNTIF($B$2:$B$529,$B59)&gt;1,"Duplicate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t="14.45">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193</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"&amp;_xlpm.nxt,IF(COUNTIF($B$2:$B$529,$B60)&gt;1,"Duplicate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t="14.45">
      <c r="A61" s="33" t="s">
        <v>126</v>
      </c>
      <c r="B61" s="33" t="s">
        <v>213</v>
      </c>
      <c r="C61" s="33" t="s">
        <v>128</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"&amp;_xlpm.nxt,IF(COUNTIF($B$2:$B$529,$B61)&gt;1,"Duplicate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t="14.45">
      <c r="A62" s="33" t="s">
        <v>126</v>
      </c>
      <c r="B62" s="33" t="s">
        <v>216</v>
      </c>
      <c r="C62" s="33" t="s">
        <v>128</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On track</v>
      </c>
      <c r="E62" s="33">
        <v>38</v>
      </c>
      <c r="F62" s="34" t="s">
        <v>193</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202</v>
      </c>
      <c r="V62" s="58">
        <v>46276</v>
      </c>
      <c r="W62" s="36">
        <v>46288</v>
      </c>
      <c r="X62" s="36">
        <v>46283</v>
      </c>
      <c r="Y62" s="36">
        <v>46289</v>
      </c>
      <c r="Z62" s="36"/>
      <c r="AA62" s="51">
        <v>46290</v>
      </c>
      <c r="AB62" s="36">
        <v>46314</v>
      </c>
      <c r="AC62" s="36"/>
      <c r="AD62" s="33" t="s">
        <v>217</v>
      </c>
      <c r="AE62" s="33" t="s">
        <v>72</v>
      </c>
      <c r="AF62" s="38"/>
      <c r="AG62" s="36"/>
      <c r="AH62" s="39"/>
      <c r="AI62" s="33"/>
      <c r="AJ62" s="40" t="s">
        <v>53</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"&amp;_xlpm.nxt,IF(COUNTIF($B$2:$B$529,$B62)&gt;1,"Duplicate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t="14.45">
      <c r="A63" s="33" t="s">
        <v>126</v>
      </c>
      <c r="B63" s="33" t="s">
        <v>218</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193</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ht="14.45">
      <c r="A64" s="186" t="s">
        <v>126</v>
      </c>
      <c r="B64" s="186" t="s">
        <v>220</v>
      </c>
      <c r="C64" s="186" t="s">
        <v>42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Delivered</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"&amp;_xlpm.nxt,IF(COUNTIF($B$2:$B$529,$B64)&gt;1,"Duplicate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t="14.45">
      <c r="A65" s="33" t="s">
        <v>126</v>
      </c>
      <c r="B65" s="33" t="s">
        <v>222</v>
      </c>
      <c r="C65" s="33" t="s">
        <v>128</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202</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"&amp;_xlpm.nxt,IF(COUNTIF($B$2:$B$529,$B65)&gt;1,"Duplicate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t="14.45">
      <c r="A66" s="203" t="s">
        <v>126</v>
      </c>
      <c r="B66" s="203" t="s">
        <v>223</v>
      </c>
      <c r="C66" s="203" t="s">
        <v>42</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Delivered</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"&amp;_xlpm.nxt,IF(COUNTIF($B$2:$B$529,$B66)&gt;1,"Duplicate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t="14.45">
      <c r="A67" s="33" t="s">
        <v>126</v>
      </c>
      <c r="B67" s="33" t="s">
        <v>224</v>
      </c>
      <c r="C67" s="33" t="s">
        <v>128</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t="14.45">
      <c r="A68" s="80" t="s">
        <v>126</v>
      </c>
      <c r="B68" s="77" t="s">
        <v>228</v>
      </c>
      <c r="C68" s="80" t="s">
        <v>128</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On track</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"&amp;_xlpm.nxt,IF(COUNTIF($B$2:$B$529,$B68)&gt;1,"Duplicate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t="14.45">
      <c r="A69" s="97" t="s">
        <v>126</v>
      </c>
      <c r="B69" s="78" t="s">
        <v>233</v>
      </c>
      <c r="C69" s="97" t="s">
        <v>42</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Delivered</v>
      </c>
      <c r="E69" s="97">
        <v>45</v>
      </c>
      <c r="F69" s="34" t="s">
        <v>193</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"&amp;_xlpm.nxt,IF(COUNTIF($B$2:$B$529,$B69)&gt;1,"Duplicate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t="14.45">
      <c r="A70" s="33" t="s">
        <v>126</v>
      </c>
      <c r="B70" s="33" t="s">
        <v>236</v>
      </c>
      <c r="C70" s="33" t="s">
        <v>237</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193</v>
      </c>
      <c r="G70" s="33"/>
      <c r="H70" s="49">
        <v>46295</v>
      </c>
      <c r="I70" s="54" t="s">
        <v>238</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"&amp;_xlpm.nxt,IF(COUNTIF($B$2:$B$529,$B70)&gt;1,"Duplicate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t="14.45">
      <c r="A71" s="33" t="s">
        <v>126</v>
      </c>
      <c r="B71" s="33" t="s">
        <v>240</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193</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241</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"&amp;_xlpm.nxt,IF(COUNTIF($B$2:$B$529,$B71)&gt;1,"Duplicate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128</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"&amp;_xlpm.nxt,IF(COUNTIF($B$2:$B$529,$B72)&gt;1,"Duplicate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t="14.45">
      <c r="A73" s="76" t="s">
        <v>126</v>
      </c>
      <c r="B73" s="220" t="s">
        <v>244</v>
      </c>
      <c r="C73" s="31" t="s">
        <v>128</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193</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"&amp;_xlpm.nxt,IF(COUNTIF($B$2:$B$529,$B73)&gt;1,"Duplicate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t="14.45">
      <c r="A74" s="31" t="s">
        <v>126</v>
      </c>
      <c r="B74" s="31" t="s">
        <v>248</v>
      </c>
      <c r="C74" s="31" t="s">
        <v>237</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193</v>
      </c>
      <c r="G74" s="31"/>
      <c r="H74" s="49">
        <v>46325</v>
      </c>
      <c r="I74" s="55" t="s">
        <v>245</v>
      </c>
      <c r="J74" s="53" t="s">
        <v>229</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"&amp;_xlpm.nxt,IF(COUNTIF($B$2:$B$529,$B74)&gt;1,"Duplicate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t="14.45">
      <c r="A75" s="116" t="s">
        <v>126</v>
      </c>
      <c r="B75" s="116" t="s">
        <v>249</v>
      </c>
      <c r="C75" s="116" t="s">
        <v>200</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Overdue</v>
      </c>
      <c r="E75" s="116">
        <v>51</v>
      </c>
      <c r="F75" s="116"/>
      <c r="G75" s="116"/>
      <c r="H75" s="118">
        <v>46325</v>
      </c>
      <c r="I75" s="119" t="s">
        <v>245</v>
      </c>
      <c r="J75" s="116" t="s">
        <v>59</v>
      </c>
      <c r="K75" s="120">
        <v>46304</v>
      </c>
      <c r="L75" s="120"/>
      <c r="M75" s="46">
        <v>46267</v>
      </c>
      <c r="N75" s="121" t="s">
        <v>250</v>
      </c>
      <c r="O75" s="121" t="s">
        <v>195</v>
      </c>
      <c r="P75" s="122"/>
      <c r="Q75" s="120">
        <v>46313</v>
      </c>
      <c r="R75" s="120"/>
      <c r="S75" s="121"/>
      <c r="T75" s="123" t="s">
        <v>246</v>
      </c>
      <c r="U75" s="124"/>
      <c r="V75" s="125">
        <v>46316</v>
      </c>
      <c r="W75" s="120"/>
      <c r="X75" s="116"/>
      <c r="Y75" s="116"/>
      <c r="Z75" s="126"/>
      <c r="AA75" s="125">
        <v>46325</v>
      </c>
      <c r="AB75" s="120"/>
      <c r="AC75" s="120"/>
      <c r="AD75" s="116" t="s">
        <v>251</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"&amp;_xlpm.nxt,IF(COUNTIF($B$2:$B$529,$B75)&gt;1,"Duplicate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t="14.45">
      <c r="A76" s="116" t="s">
        <v>126</v>
      </c>
      <c r="B76" s="116" t="s">
        <v>252</v>
      </c>
      <c r="C76" s="116" t="s">
        <v>253</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251</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"&amp;_xlpm.nxt,IF(COUNTIF($B$2:$B$529,$B76)&gt;1,"Duplicate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t="s">
        <v>254</v>
      </c>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255</v>
      </c>
      <c r="C77" s="116" t="s">
        <v>253</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251</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"&amp;_xlpm.nxt,IF(COUNTIF($B$2:$B$529,$B77)&gt;1,"Duplicate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17" customFormat="1" ht="0.75" customHeight="1">
      <c r="A78" s="116"/>
      <c r="B78" s="116"/>
      <c r="C78" s="116"/>
      <c r="E78" s="116"/>
      <c r="F78" s="116"/>
      <c r="G78" s="116"/>
      <c r="H78" s="118"/>
      <c r="I78" s="119"/>
      <c r="J78" s="53"/>
      <c r="K78" s="221"/>
      <c r="L78" s="43"/>
      <c r="M78" s="121"/>
      <c r="N78" s="121"/>
      <c r="O78" s="36"/>
      <c r="P78" s="74"/>
      <c r="Q78" s="221"/>
      <c r="R78" s="43"/>
      <c r="S78" s="121"/>
      <c r="T78" s="68"/>
      <c r="U78" s="46"/>
      <c r="V78" s="125"/>
      <c r="W78" s="43"/>
      <c r="X78" s="46"/>
      <c r="Y78" s="46"/>
      <c r="Z78" s="36"/>
      <c r="AA78" s="125"/>
      <c r="AB78" s="43"/>
      <c r="AC78" s="43"/>
      <c r="AD78" s="116"/>
      <c r="AE78" s="116"/>
      <c r="AF78" s="116"/>
      <c r="AG78" s="116"/>
      <c r="AH78" s="116"/>
      <c r="AI78" s="116"/>
      <c r="AJ78" s="116"/>
      <c r="AK78" s="116"/>
      <c r="AL78" s="116"/>
      <c r="AM78" s="116"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16"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s="128" customFormat="1" ht="14.45">
      <c r="A79" s="127" t="s">
        <v>126</v>
      </c>
      <c r="B79" s="127" t="s">
        <v>256</v>
      </c>
      <c r="C79" s="127" t="s">
        <v>257</v>
      </c>
      <c r="D79" s="128"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Blocked - needs DB Dev to fix</v>
      </c>
      <c r="E79" s="127">
        <v>54</v>
      </c>
      <c r="F79" s="127" t="s">
        <v>129</v>
      </c>
      <c r="G79" s="127"/>
      <c r="H79" s="129">
        <v>46325</v>
      </c>
      <c r="I79" s="130" t="s">
        <v>245</v>
      </c>
      <c r="J79" s="127" t="s">
        <v>44</v>
      </c>
      <c r="K79" s="131">
        <v>46304</v>
      </c>
      <c r="L79" s="131">
        <v>46266</v>
      </c>
      <c r="M79" s="132">
        <v>46266</v>
      </c>
      <c r="N79" s="132"/>
      <c r="O79" s="132" t="s">
        <v>258</v>
      </c>
      <c r="P79" s="133" t="s">
        <v>60</v>
      </c>
      <c r="Q79" s="131">
        <v>46313</v>
      </c>
      <c r="R79" s="131">
        <v>46302</v>
      </c>
      <c r="S79" s="132"/>
      <c r="T79" s="134" t="s">
        <v>246</v>
      </c>
      <c r="U79" s="135"/>
      <c r="V79" s="136">
        <v>46316</v>
      </c>
      <c r="W79" s="131">
        <v>46296</v>
      </c>
      <c r="X79" s="127"/>
      <c r="Y79" s="127"/>
      <c r="Z79" s="137"/>
      <c r="AA79" s="136">
        <v>46325</v>
      </c>
      <c r="AB79" s="131"/>
      <c r="AC79" s="131"/>
      <c r="AD79" s="127" t="s">
        <v>187</v>
      </c>
      <c r="AE79" s="127" t="s">
        <v>94</v>
      </c>
      <c r="AF79" s="127"/>
      <c r="AG79" s="127"/>
      <c r="AH79" s="127"/>
      <c r="AI79" s="127"/>
      <c r="AJ79" s="127" t="s">
        <v>259</v>
      </c>
      <c r="AK79" s="127"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"&amp;_xlpm.nxt,IF(COUNTIF($B$2:$B$529,$B79)&gt;1,"Duplicate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Blocked - log it on Rework Log</v>
      </c>
      <c r="AL79" s="127" t="s">
        <v>260</v>
      </c>
      <c r="AM79" s="135"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135"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t="14.45">
      <c r="A80" s="31" t="s">
        <v>126</v>
      </c>
      <c r="B80" s="31" t="s">
        <v>261</v>
      </c>
      <c r="C80" s="31" t="s">
        <v>237</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Overdue</v>
      </c>
      <c r="E80" s="31">
        <v>55</v>
      </c>
      <c r="F80" s="31" t="s">
        <v>129</v>
      </c>
      <c r="G80" s="31"/>
      <c r="H80" s="49">
        <v>46326</v>
      </c>
      <c r="I80" s="55" t="s">
        <v>245</v>
      </c>
      <c r="J80" s="53" t="s">
        <v>76</v>
      </c>
      <c r="K80" s="43">
        <v>46304</v>
      </c>
      <c r="L80" s="43">
        <v>46266</v>
      </c>
      <c r="M80" s="46">
        <v>46266</v>
      </c>
      <c r="N80" s="44" t="s">
        <v>262</v>
      </c>
      <c r="O80" s="44" t="s">
        <v>195</v>
      </c>
      <c r="P80" s="74" t="s">
        <v>60</v>
      </c>
      <c r="Q80" s="43">
        <v>46313</v>
      </c>
      <c r="R80" s="43">
        <v>46297</v>
      </c>
      <c r="S80" s="44">
        <v>46317</v>
      </c>
      <c r="T80" s="69" t="s">
        <v>246</v>
      </c>
      <c r="U80" s="46"/>
      <c r="V80" s="28">
        <v>46316</v>
      </c>
      <c r="W80" s="43"/>
      <c r="X80" s="31"/>
      <c r="Y80" s="31"/>
      <c r="Z80" s="36"/>
      <c r="AA80" s="28">
        <v>46325</v>
      </c>
      <c r="AB80" s="43"/>
      <c r="AC80" s="43"/>
      <c r="AD80" s="31" t="s">
        <v>263</v>
      </c>
      <c r="AE80" s="31" t="s">
        <v>94</v>
      </c>
      <c r="AF80" s="31"/>
      <c r="AG80" s="31"/>
      <c r="AH80" s="31"/>
      <c r="AI80" s="31"/>
      <c r="AJ80" s="31"/>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"&amp;_xlpm.nxt,IF(COUNTIF($B$2:$B$529,$B80)&gt;1,"Duplicate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264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ht="14.45">
      <c r="A81" s="31" t="s">
        <v>126</v>
      </c>
      <c r="B81" s="31" t="s">
        <v>265</v>
      </c>
      <c r="C81" s="31" t="s">
        <v>237</v>
      </c>
      <c r="D81"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Overdue</v>
      </c>
      <c r="E81" s="31">
        <v>56</v>
      </c>
      <c r="F81" s="31" t="s">
        <v>129</v>
      </c>
      <c r="G81" s="31"/>
      <c r="H81" s="49">
        <v>46325</v>
      </c>
      <c r="I81" s="55" t="s">
        <v>245</v>
      </c>
      <c r="J81" s="33" t="s">
        <v>103</v>
      </c>
      <c r="K81" s="43">
        <v>46304</v>
      </c>
      <c r="L81" s="43">
        <v>46276</v>
      </c>
      <c r="M81" s="46">
        <v>46280</v>
      </c>
      <c r="N81" s="44" t="s">
        <v>45</v>
      </c>
      <c r="O81" s="44" t="s">
        <v>258</v>
      </c>
      <c r="P81" s="74" t="s">
        <v>60</v>
      </c>
      <c r="Q81" s="43">
        <v>46313</v>
      </c>
      <c r="R81" s="43">
        <v>46302</v>
      </c>
      <c r="S81" s="44">
        <v>46303</v>
      </c>
      <c r="T81" s="69" t="s">
        <v>246</v>
      </c>
      <c r="U81" s="46" t="s">
        <v>47</v>
      </c>
      <c r="V81" s="28">
        <v>46316</v>
      </c>
      <c r="W81" s="43"/>
      <c r="X81" s="32">
        <v>46309</v>
      </c>
      <c r="Y81" s="31"/>
      <c r="Z81" s="36"/>
      <c r="AA81" s="28">
        <v>46325</v>
      </c>
      <c r="AB81" s="43"/>
      <c r="AC81" s="43"/>
      <c r="AD81" s="31" t="s">
        <v>212</v>
      </c>
      <c r="AE81" s="31" t="s">
        <v>94</v>
      </c>
      <c r="AF81" s="31"/>
      <c r="AG81" s="31"/>
      <c r="AH81" s="31"/>
      <c r="AI81" s="31"/>
      <c r="AJ81" s="31" t="s">
        <v>53</v>
      </c>
      <c r="AK81" s="31"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"&amp;_xlpm.nxt,IF(COUNTIF($B$2:$B$529,$B81)&gt;1,"Duplicate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31" t="s">
        <v>174</v>
      </c>
      <c r="AM81" s="3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3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s="128" customFormat="1" ht="14.45">
      <c r="A82" s="127" t="s">
        <v>126</v>
      </c>
      <c r="B82" s="127" t="s">
        <v>266</v>
      </c>
      <c r="C82" s="127" t="s">
        <v>257</v>
      </c>
      <c r="D82" s="128"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Blocked - needs PBI Dev to fix - unclaimed</v>
      </c>
      <c r="E82" s="127">
        <v>57</v>
      </c>
      <c r="F82" s="127" t="s">
        <v>129</v>
      </c>
      <c r="G82" s="127"/>
      <c r="H82" s="129">
        <v>46325</v>
      </c>
      <c r="I82" s="130" t="s">
        <v>245</v>
      </c>
      <c r="J82" s="33" t="s">
        <v>103</v>
      </c>
      <c r="K82" s="131">
        <v>46304</v>
      </c>
      <c r="L82" s="131">
        <v>46287</v>
      </c>
      <c r="M82" s="131">
        <v>46287</v>
      </c>
      <c r="N82" s="132" t="s">
        <v>262</v>
      </c>
      <c r="O82" s="132" t="s">
        <v>258</v>
      </c>
      <c r="P82" s="133" t="s">
        <v>60</v>
      </c>
      <c r="Q82" s="131">
        <v>46313</v>
      </c>
      <c r="R82" s="131">
        <v>46295</v>
      </c>
      <c r="S82" s="132">
        <v>46294</v>
      </c>
      <c r="T82" s="69" t="s">
        <v>246</v>
      </c>
      <c r="U82" s="135" t="s">
        <v>47</v>
      </c>
      <c r="V82" s="136">
        <v>46316</v>
      </c>
      <c r="W82" s="131"/>
      <c r="X82" s="135">
        <v>46301</v>
      </c>
      <c r="Y82" s="127"/>
      <c r="Z82" s="137"/>
      <c r="AA82" s="136">
        <v>46325</v>
      </c>
      <c r="AB82" s="131"/>
      <c r="AC82" s="131"/>
      <c r="AD82" s="127" t="s">
        <v>221</v>
      </c>
      <c r="AE82" s="127" t="s">
        <v>94</v>
      </c>
      <c r="AF82" s="127"/>
      <c r="AG82" s="127"/>
      <c r="AH82" s="127"/>
      <c r="AI82" s="127"/>
      <c r="AJ82" s="127" t="s">
        <v>208</v>
      </c>
      <c r="AK82" s="127"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"&amp;_xlpm.nxt,IF(COUNTIF($B$2:$B$529,$B82)&gt;1,"Duplicate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127" t="s">
        <v>174</v>
      </c>
      <c r="AM82" s="135"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135"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t="14.45">
      <c r="A83" s="31" t="s">
        <v>126</v>
      </c>
      <c r="B83" s="31" t="s">
        <v>267</v>
      </c>
      <c r="C83" s="31" t="s">
        <v>200</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Overdue</v>
      </c>
      <c r="E83" s="31">
        <v>58</v>
      </c>
      <c r="F83" s="31" t="s">
        <v>129</v>
      </c>
      <c r="G83" s="31"/>
      <c r="H83" s="49">
        <v>46325</v>
      </c>
      <c r="I83" s="55" t="s">
        <v>245</v>
      </c>
      <c r="J83" s="53" t="s">
        <v>155</v>
      </c>
      <c r="K83" s="43">
        <v>46304</v>
      </c>
      <c r="L83" s="43">
        <v>46283</v>
      </c>
      <c r="M83" s="44">
        <v>46283</v>
      </c>
      <c r="N83" s="46" t="s">
        <v>147</v>
      </c>
      <c r="O83" s="44" t="s">
        <v>258</v>
      </c>
      <c r="P83" s="74" t="s">
        <v>77</v>
      </c>
      <c r="Q83" s="43">
        <v>46313</v>
      </c>
      <c r="R83" s="43">
        <v>46322</v>
      </c>
      <c r="S83" s="44"/>
      <c r="T83" s="68" t="s">
        <v>268</v>
      </c>
      <c r="U83" s="46" t="s">
        <v>47</v>
      </c>
      <c r="V83" s="28">
        <v>46316</v>
      </c>
      <c r="W83" s="43"/>
      <c r="X83" s="31"/>
      <c r="Y83" s="31"/>
      <c r="Z83" s="36"/>
      <c r="AA83" s="28">
        <v>46325</v>
      </c>
      <c r="AB83" s="43"/>
      <c r="AC83" s="43"/>
      <c r="AD83" s="31" t="s">
        <v>269</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"&amp;_xlpm.nxt,IF(COUNTIF($B$2:$B$529,$B83)&gt;1,"Duplicate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t="14.45">
      <c r="A84" s="31" t="s">
        <v>126</v>
      </c>
      <c r="B84" s="31" t="s">
        <v>270</v>
      </c>
      <c r="C84" s="31" t="s">
        <v>257</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Blocked - needs PBI Dev to fix - unclaimed</v>
      </c>
      <c r="E84" s="31">
        <v>59</v>
      </c>
      <c r="F84" s="31" t="s">
        <v>129</v>
      </c>
      <c r="G84" s="31"/>
      <c r="H84" s="49">
        <v>46325</v>
      </c>
      <c r="I84" s="55" t="s">
        <v>245</v>
      </c>
      <c r="J84" s="53" t="s">
        <v>76</v>
      </c>
      <c r="K84" s="43">
        <v>46304</v>
      </c>
      <c r="L84" s="43">
        <v>46268</v>
      </c>
      <c r="M84" s="46">
        <v>46268</v>
      </c>
      <c r="N84" s="44" t="s">
        <v>262</v>
      </c>
      <c r="O84" s="44" t="s">
        <v>258</v>
      </c>
      <c r="P84" s="74" t="s">
        <v>77</v>
      </c>
      <c r="Q84" s="43">
        <v>46313</v>
      </c>
      <c r="R84" s="43">
        <v>46294</v>
      </c>
      <c r="S84" s="44">
        <v>46294</v>
      </c>
      <c r="T84" s="69" t="s">
        <v>246</v>
      </c>
      <c r="U84" s="46" t="s">
        <v>47</v>
      </c>
      <c r="V84" s="28">
        <v>46316</v>
      </c>
      <c r="W84" s="43"/>
      <c r="X84" s="135">
        <v>46303</v>
      </c>
      <c r="Y84" s="31"/>
      <c r="Z84" s="36"/>
      <c r="AA84" s="28">
        <v>46325</v>
      </c>
      <c r="AB84" s="43"/>
      <c r="AC84" s="43"/>
      <c r="AD84" s="31" t="s">
        <v>271</v>
      </c>
      <c r="AE84" s="31" t="s">
        <v>94</v>
      </c>
      <c r="AF84" s="31"/>
      <c r="AG84" s="31"/>
      <c r="AH84" s="31"/>
      <c r="AI84" s="31"/>
      <c r="AJ84" s="31" t="s">
        <v>208</v>
      </c>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"&amp;_xlpm.nxt,IF(COUNTIF($B$2:$B$529,$B84)&gt;1,"Duplicate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t="s">
        <v>174</v>
      </c>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t="14.45">
      <c r="A85" s="31" t="s">
        <v>126</v>
      </c>
      <c r="B85" s="220" t="s">
        <v>272</v>
      </c>
      <c r="C85" s="31" t="s">
        <v>237</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Overdue</v>
      </c>
      <c r="E85" s="31">
        <v>60</v>
      </c>
      <c r="F85" s="34" t="s">
        <v>193</v>
      </c>
      <c r="G85" s="31"/>
      <c r="H85" s="49">
        <v>46325</v>
      </c>
      <c r="I85" s="55" t="s">
        <v>245</v>
      </c>
      <c r="J85" s="53" t="s">
        <v>76</v>
      </c>
      <c r="K85" s="43">
        <v>46304</v>
      </c>
      <c r="L85" s="43">
        <v>46286</v>
      </c>
      <c r="M85" s="46">
        <v>46286</v>
      </c>
      <c r="N85" s="44" t="s">
        <v>262</v>
      </c>
      <c r="O85" s="44" t="s">
        <v>258</v>
      </c>
      <c r="P85" s="74" t="s">
        <v>60</v>
      </c>
      <c r="Q85" s="43">
        <v>46313</v>
      </c>
      <c r="R85" s="43">
        <v>46304</v>
      </c>
      <c r="S85" s="44">
        <v>46307</v>
      </c>
      <c r="T85" s="69" t="s">
        <v>246</v>
      </c>
      <c r="U85" s="46"/>
      <c r="V85" s="28">
        <v>46316</v>
      </c>
      <c r="W85" s="43"/>
      <c r="X85" s="31"/>
      <c r="Y85" s="31"/>
      <c r="Z85" s="36"/>
      <c r="AA85" s="28">
        <v>46325</v>
      </c>
      <c r="AB85" s="43"/>
      <c r="AC85" s="43"/>
      <c r="AD85" s="33" t="s">
        <v>124</v>
      </c>
      <c r="AE85" s="31" t="s">
        <v>72</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"&amp;_xlpm.nxt,IF(COUNTIF($B$2:$B$529,$B85)&gt;1,"Duplicate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t="14.45">
      <c r="A86" s="31" t="s">
        <v>126</v>
      </c>
      <c r="B86" s="31" t="s">
        <v>273</v>
      </c>
      <c r="C86" s="31" t="s">
        <v>200</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Blocked - needs DB Dev to fix</v>
      </c>
      <c r="E86" s="31" t="s">
        <v>274</v>
      </c>
      <c r="F86" s="34" t="s">
        <v>193</v>
      </c>
      <c r="G86" s="31"/>
      <c r="H86" s="49">
        <v>46325</v>
      </c>
      <c r="I86" s="55" t="s">
        <v>245</v>
      </c>
      <c r="J86" s="53" t="s">
        <v>44</v>
      </c>
      <c r="K86" s="43">
        <v>46304</v>
      </c>
      <c r="L86" s="43">
        <v>46276</v>
      </c>
      <c r="M86" s="44">
        <v>46286</v>
      </c>
      <c r="N86" s="44" t="s">
        <v>262</v>
      </c>
      <c r="O86" s="44" t="s">
        <v>258</v>
      </c>
      <c r="P86" s="74" t="s">
        <v>60</v>
      </c>
      <c r="Q86" s="43">
        <v>46313</v>
      </c>
      <c r="R86" s="43"/>
      <c r="S86" s="44"/>
      <c r="T86" s="68" t="s">
        <v>268</v>
      </c>
      <c r="U86" s="46"/>
      <c r="V86" s="28">
        <v>46316</v>
      </c>
      <c r="W86" s="43"/>
      <c r="X86" s="31"/>
      <c r="Y86" s="31"/>
      <c r="Z86" s="36"/>
      <c r="AA86" s="28">
        <v>46325</v>
      </c>
      <c r="AB86" s="43"/>
      <c r="AC86" s="43"/>
      <c r="AD86" s="31" t="s">
        <v>187</v>
      </c>
      <c r="AE86" s="31" t="s">
        <v>94</v>
      </c>
      <c r="AF86" s="31"/>
      <c r="AG86" s="31"/>
      <c r="AH86" s="31"/>
      <c r="AI86" s="31"/>
      <c r="AJ86" s="31" t="s">
        <v>259</v>
      </c>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"&amp;_xlpm.nxt,IF(COUNTIF($B$2:$B$529,$B86)&gt;1,"Duplicate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Blocked - log it on Rework Log</v>
      </c>
      <c r="AL86" s="3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t="14.45">
      <c r="A87" s="31" t="s">
        <v>126</v>
      </c>
      <c r="B87" s="31" t="s">
        <v>276</v>
      </c>
      <c r="C87" s="31" t="s">
        <v>253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67</v>
      </c>
      <c r="F87" s="34" t="s">
        <v>193</v>
      </c>
      <c r="G87" s="31"/>
      <c r="H87" s="49">
        <v>46356</v>
      </c>
      <c r="I87" s="55" t="s">
        <v>238</v>
      </c>
      <c r="J87" s="53" t="s">
        <v>84</v>
      </c>
      <c r="K87" s="49">
        <v>46332</v>
      </c>
      <c r="L87" s="43">
        <v>46332</v>
      </c>
      <c r="M87" s="44">
        <v>46290</v>
      </c>
      <c r="N87" s="44"/>
      <c r="O87" s="44" t="s">
        <v>258</v>
      </c>
      <c r="P87" s="74" t="s">
        <v>60</v>
      </c>
      <c r="Q87" s="49">
        <v>46339</v>
      </c>
      <c r="R87" s="43"/>
      <c r="S87" s="44"/>
      <c r="T87" s="68" t="s">
        <v>268</v>
      </c>
      <c r="U87" s="46"/>
      <c r="V87" s="28">
        <v>46344</v>
      </c>
      <c r="W87" s="43"/>
      <c r="X87" s="31"/>
      <c r="Y87" s="31"/>
      <c r="Z87" s="36"/>
      <c r="AA87" s="28">
        <v>46356</v>
      </c>
      <c r="AB87" s="43"/>
      <c r="AC87" s="43"/>
      <c r="AD87" s="31" t="s">
        <v>277</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"&amp;_xlpm.nxt,IF(COUNTIF($B$2:$B$529,$B87)&gt;1,"Duplicate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Move status to PBI Dev</v>
      </c>
      <c r="AL87" s="141" t="s">
        <v>278</v>
      </c>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t="14.45">
      <c r="A88" s="31" t="s">
        <v>126</v>
      </c>
      <c r="B88" s="31" t="s">
        <v>279</v>
      </c>
      <c r="C88" s="31" t="s">
        <v>257</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68</v>
      </c>
      <c r="F88" s="34" t="s">
        <v>193</v>
      </c>
      <c r="G88" s="31"/>
      <c r="H88" s="49">
        <v>46356</v>
      </c>
      <c r="I88" s="55" t="s">
        <v>238</v>
      </c>
      <c r="J88" s="53" t="s">
        <v>59</v>
      </c>
      <c r="K88" s="49">
        <v>46332</v>
      </c>
      <c r="L88" s="43"/>
      <c r="M88" s="46">
        <v>46282</v>
      </c>
      <c r="N88" s="44" t="s">
        <v>250</v>
      </c>
      <c r="O88" s="44" t="s">
        <v>258</v>
      </c>
      <c r="P88" s="74" t="s">
        <v>60</v>
      </c>
      <c r="Q88" s="49">
        <v>46339</v>
      </c>
      <c r="R88" s="43"/>
      <c r="S88" s="44"/>
      <c r="T88" s="68" t="s">
        <v>268</v>
      </c>
      <c r="U88" s="46"/>
      <c r="V88" s="28">
        <v>46344</v>
      </c>
      <c r="W88" s="43"/>
      <c r="X88" s="31"/>
      <c r="Y88" s="31"/>
      <c r="Z88" s="36"/>
      <c r="AA88" s="28">
        <v>46356</v>
      </c>
      <c r="AB88" s="43"/>
      <c r="AC88" s="43"/>
      <c r="AD88" s="31" t="s">
        <v>170</v>
      </c>
      <c r="AE88" s="31" t="s">
        <v>49</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"&amp;_xlpm.nxt,IF(COUNTIF($B$2:$B$529,$B88)&gt;1,"Duplicate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Move status to PBI Dev</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t="14.45">
      <c r="A89" s="31" t="s">
        <v>126</v>
      </c>
      <c r="B89" s="31" t="s">
        <v>280</v>
      </c>
      <c r="C89" s="31" t="s">
        <v>257</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69</v>
      </c>
      <c r="F89" s="34" t="s">
        <v>193</v>
      </c>
      <c r="G89" s="31"/>
      <c r="H89" s="49">
        <v>46356</v>
      </c>
      <c r="I89" s="55" t="s">
        <v>238</v>
      </c>
      <c r="J89" s="53" t="s">
        <v>59</v>
      </c>
      <c r="K89" s="49">
        <v>46332</v>
      </c>
      <c r="L89" s="43"/>
      <c r="M89" s="46">
        <v>46315</v>
      </c>
      <c r="N89" s="44" t="s">
        <v>262</v>
      </c>
      <c r="O89" s="44" t="s">
        <v>258</v>
      </c>
      <c r="P89" s="74" t="s">
        <v>77</v>
      </c>
      <c r="Q89" s="49">
        <v>46339</v>
      </c>
      <c r="R89" s="43"/>
      <c r="S89" s="44"/>
      <c r="T89" s="68" t="s">
        <v>281</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"&amp;_xlpm.nxt,IF(COUNTIF($B$2:$B$529,$B89)&gt;1,"Duplicate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t="s">
        <v>282</v>
      </c>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t="14.45">
      <c r="A90" s="31" t="s">
        <v>126</v>
      </c>
      <c r="B90" s="31" t="s">
        <v>283</v>
      </c>
      <c r="C90" s="31" t="s">
        <v>237</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70</v>
      </c>
      <c r="F90" s="34" t="s">
        <v>193</v>
      </c>
      <c r="G90" s="31"/>
      <c r="H90" s="49">
        <v>46356</v>
      </c>
      <c r="I90" s="55" t="s">
        <v>238</v>
      </c>
      <c r="J90" s="53" t="s">
        <v>229</v>
      </c>
      <c r="K90" s="49">
        <v>46332</v>
      </c>
      <c r="L90" s="43">
        <v>46282</v>
      </c>
      <c r="M90" s="44">
        <v>46282</v>
      </c>
      <c r="N90" s="44"/>
      <c r="O90" s="44" t="s">
        <v>258</v>
      </c>
      <c r="P90" s="74" t="s">
        <v>77</v>
      </c>
      <c r="Q90" s="49">
        <v>46339</v>
      </c>
      <c r="R90" s="43">
        <v>46324</v>
      </c>
      <c r="S90" s="44">
        <v>46324</v>
      </c>
      <c r="T90" s="68" t="s">
        <v>281</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"&amp;_xlpm.nxt,IF(COUNTIF($B$2:$B$529,$B90)&gt;1,"Duplicate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t="14.45">
      <c r="A91" s="31" t="s">
        <v>126</v>
      </c>
      <c r="B91" s="31" t="s">
        <v>284</v>
      </c>
      <c r="C91" s="31" t="s">
        <v>253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71</v>
      </c>
      <c r="F91" s="34" t="s">
        <v>193</v>
      </c>
      <c r="G91" s="31"/>
      <c r="H91" s="49">
        <v>46356</v>
      </c>
      <c r="I91" s="55" t="s">
        <v>238</v>
      </c>
      <c r="J91" s="53" t="s">
        <v>229</v>
      </c>
      <c r="K91" s="49">
        <v>46332</v>
      </c>
      <c r="L91" s="43">
        <v>46303</v>
      </c>
      <c r="M91" s="44">
        <v>46303</v>
      </c>
      <c r="N91" s="44"/>
      <c r="O91" s="36" t="s">
        <v>285</v>
      </c>
      <c r="P91" s="74" t="s">
        <v>286</v>
      </c>
      <c r="Q91" s="49">
        <v>46339</v>
      </c>
      <c r="R91" s="43"/>
      <c r="S91" s="44"/>
      <c r="T91" s="68" t="s">
        <v>281</v>
      </c>
      <c r="U91" s="46"/>
      <c r="V91" s="28">
        <v>46344</v>
      </c>
      <c r="W91" s="43"/>
      <c r="X91" s="31"/>
      <c r="Y91" s="31"/>
      <c r="Z91" s="36"/>
      <c r="AA91" s="28">
        <v>46356</v>
      </c>
      <c r="AB91" s="43"/>
      <c r="AC91" s="43"/>
      <c r="AD91" s="31" t="s">
        <v>170</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"&amp;_xlpm.nxt,IF(COUNTIF($B$2:$B$529,$B91)&gt;1,"Duplicate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t="14.45">
      <c r="A92" s="31" t="s">
        <v>126</v>
      </c>
      <c r="B92" s="31" t="s">
        <v>287</v>
      </c>
      <c r="C92" s="31" t="s">
        <v>253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72</v>
      </c>
      <c r="F92" s="31" t="s">
        <v>129</v>
      </c>
      <c r="G92" s="31"/>
      <c r="H92" s="49">
        <v>46356</v>
      </c>
      <c r="I92" s="55" t="s">
        <v>238</v>
      </c>
      <c r="J92" s="53" t="s">
        <v>65</v>
      </c>
      <c r="K92" s="49">
        <v>46332</v>
      </c>
      <c r="L92" s="43">
        <v>46273</v>
      </c>
      <c r="M92" s="46">
        <v>46273</v>
      </c>
      <c r="N92" s="46" t="s">
        <v>147</v>
      </c>
      <c r="O92" s="44" t="s">
        <v>258</v>
      </c>
      <c r="P92" s="74" t="s">
        <v>286</v>
      </c>
      <c r="Q92" s="49">
        <v>46339</v>
      </c>
      <c r="R92" s="43"/>
      <c r="S92" s="44"/>
      <c r="T92" s="68" t="s">
        <v>281</v>
      </c>
      <c r="U92" s="46"/>
      <c r="V92" s="28">
        <v>46344</v>
      </c>
      <c r="W92" s="43"/>
      <c r="X92" s="31"/>
      <c r="Y92" s="31"/>
      <c r="Z92" s="36"/>
      <c r="AA92" s="28">
        <v>46356</v>
      </c>
      <c r="AB92" s="43"/>
      <c r="AC92" s="43"/>
      <c r="AD92" s="31" t="s">
        <v>288</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"&amp;_xlpm.nxt,IF(COUNTIF($B$2:$B$529,$B92)&gt;1,"Duplicate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t="14.45">
      <c r="A93" s="31" t="s">
        <v>126</v>
      </c>
      <c r="B93" s="31" t="s">
        <v>289</v>
      </c>
      <c r="C93" s="31" t="s">
        <v>253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73</v>
      </c>
      <c r="F93" s="34" t="s">
        <v>193</v>
      </c>
      <c r="G93" s="31"/>
      <c r="H93" s="49">
        <v>46356</v>
      </c>
      <c r="I93" s="55" t="s">
        <v>238</v>
      </c>
      <c r="J93" s="53" t="s">
        <v>84</v>
      </c>
      <c r="K93" s="49">
        <v>46332</v>
      </c>
      <c r="L93" s="43">
        <v>46332</v>
      </c>
      <c r="M93" s="44">
        <v>46275</v>
      </c>
      <c r="N93" s="44"/>
      <c r="O93" s="44" t="s">
        <v>258</v>
      </c>
      <c r="P93" s="74" t="s">
        <v>77</v>
      </c>
      <c r="Q93" s="49">
        <v>46339</v>
      </c>
      <c r="R93" s="43"/>
      <c r="S93" s="44"/>
      <c r="T93" s="68" t="s">
        <v>281</v>
      </c>
      <c r="U93" s="46"/>
      <c r="V93" s="28">
        <v>46344</v>
      </c>
      <c r="W93" s="43"/>
      <c r="X93" s="31"/>
      <c r="Y93" s="31"/>
      <c r="Z93" s="36"/>
      <c r="AA93" s="28">
        <v>46356</v>
      </c>
      <c r="AB93" s="43"/>
      <c r="AC93" s="43"/>
      <c r="AD93" s="31" t="s">
        <v>170</v>
      </c>
      <c r="AE93" s="31" t="s">
        <v>72</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"&amp;_xlpm.nxt,IF(COUNTIF($B$2:$B$529,$B93)&gt;1,"Duplicate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Move status to PBI Dev</v>
      </c>
      <c r="AL93" s="31" t="s">
        <v>290</v>
      </c>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t="14.45">
      <c r="A94" s="31" t="s">
        <v>126</v>
      </c>
      <c r="B94" s="31" t="s">
        <v>291</v>
      </c>
      <c r="C94" s="31" t="s">
        <v>200</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74</v>
      </c>
      <c r="F94" s="31" t="s">
        <v>129</v>
      </c>
      <c r="G94" s="31"/>
      <c r="H94" s="49">
        <v>46356</v>
      </c>
      <c r="I94" s="55" t="s">
        <v>238</v>
      </c>
      <c r="J94" s="53" t="s">
        <v>155</v>
      </c>
      <c r="K94" s="49">
        <v>46332</v>
      </c>
      <c r="L94" s="43">
        <v>46303</v>
      </c>
      <c r="M94" s="43">
        <v>46308</v>
      </c>
      <c r="N94" s="46" t="s">
        <v>147</v>
      </c>
      <c r="O94" s="36" t="s">
        <v>285</v>
      </c>
      <c r="P94" s="74" t="s">
        <v>60</v>
      </c>
      <c r="Q94" s="49">
        <v>46339</v>
      </c>
      <c r="R94" s="43"/>
      <c r="S94" s="44"/>
      <c r="T94" s="68" t="s">
        <v>281</v>
      </c>
      <c r="U94" s="46"/>
      <c r="V94" s="28">
        <v>46344</v>
      </c>
      <c r="W94" s="43"/>
      <c r="X94" s="31"/>
      <c r="Y94" s="31"/>
      <c r="Z94" s="36"/>
      <c r="AA94" s="28">
        <v>46356</v>
      </c>
      <c r="AB94" s="43"/>
      <c r="AC94" s="43"/>
      <c r="AD94" s="31" t="s">
        <v>292</v>
      </c>
      <c r="AE94" s="31" t="s">
        <v>94</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"&amp;_xlpm.nxt,IF(COUNTIF($B$2:$B$529,$B94)&gt;1,"Duplicate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t="14.45">
      <c r="A95" s="31" t="s">
        <v>126</v>
      </c>
      <c r="B95" s="31" t="s">
        <v>293</v>
      </c>
      <c r="C95" s="31" t="s">
        <v>200</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80</v>
      </c>
      <c r="F95" s="34" t="s">
        <v>193</v>
      </c>
      <c r="G95" s="31"/>
      <c r="H95" s="49">
        <v>46356</v>
      </c>
      <c r="I95" s="55" t="s">
        <v>238</v>
      </c>
      <c r="J95" s="53" t="s">
        <v>155</v>
      </c>
      <c r="K95" s="49">
        <v>46332</v>
      </c>
      <c r="L95" s="43">
        <v>46301</v>
      </c>
      <c r="M95" s="43">
        <v>46301</v>
      </c>
      <c r="N95" s="46" t="s">
        <v>147</v>
      </c>
      <c r="O95" s="36" t="s">
        <v>285</v>
      </c>
      <c r="P95" s="74" t="s">
        <v>77</v>
      </c>
      <c r="Q95" s="49">
        <v>46339</v>
      </c>
      <c r="R95" s="43"/>
      <c r="S95" s="44"/>
      <c r="T95" s="68" t="s">
        <v>281</v>
      </c>
      <c r="U95" s="46"/>
      <c r="V95" s="28">
        <v>46344</v>
      </c>
      <c r="W95" s="43"/>
      <c r="X95" s="31"/>
      <c r="Y95" s="31"/>
      <c r="Z95" s="36"/>
      <c r="AA95" s="28">
        <v>46356</v>
      </c>
      <c r="AB95" s="43"/>
      <c r="AC95" s="43"/>
      <c r="AD95" s="33" t="s">
        <v>124</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"&amp;_xlpm.nxt,IF(COUNTIF($B$2:$B$529,$B95)&gt;1,"Duplicate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t="14.45">
      <c r="A96" s="31" t="s">
        <v>126</v>
      </c>
      <c r="B96" s="31" t="s">
        <v>294</v>
      </c>
      <c r="C96" s="31" t="s">
        <v>200</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81</v>
      </c>
      <c r="F96" s="34" t="s">
        <v>193</v>
      </c>
      <c r="G96" s="31"/>
      <c r="H96" s="49">
        <v>46356</v>
      </c>
      <c r="I96" s="55" t="s">
        <v>238</v>
      </c>
      <c r="J96" s="53" t="s">
        <v>76</v>
      </c>
      <c r="K96" s="49">
        <v>46332</v>
      </c>
      <c r="L96" s="43">
        <v>46310</v>
      </c>
      <c r="M96" s="44"/>
      <c r="N96" s="44"/>
      <c r="O96" s="36" t="s">
        <v>285</v>
      </c>
      <c r="P96" s="74" t="s">
        <v>77</v>
      </c>
      <c r="Q96" s="49">
        <v>46339</v>
      </c>
      <c r="R96" s="43"/>
      <c r="S96" s="44"/>
      <c r="T96" s="68" t="s">
        <v>295</v>
      </c>
      <c r="U96" s="46"/>
      <c r="V96" s="28">
        <v>46344</v>
      </c>
      <c r="W96" s="43"/>
      <c r="X96" s="31"/>
      <c r="Y96" s="31"/>
      <c r="Z96" s="36"/>
      <c r="AA96" s="28">
        <v>46356</v>
      </c>
      <c r="AB96" s="43"/>
      <c r="AC96" s="43"/>
      <c r="AD96" s="31" t="s">
        <v>296</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"&amp;_xlpm.nxt,IF(COUNTIF($B$2:$B$529,$B96)&gt;1,"Duplicate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t="14.45">
      <c r="A97" s="31" t="s">
        <v>126</v>
      </c>
      <c r="B97" s="220" t="s">
        <v>297</v>
      </c>
      <c r="C97" s="31" t="s">
        <v>200</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82</v>
      </c>
      <c r="F97" s="31" t="s">
        <v>129</v>
      </c>
      <c r="G97" s="31"/>
      <c r="H97" s="49">
        <v>46356</v>
      </c>
      <c r="I97" s="55" t="s">
        <v>238</v>
      </c>
      <c r="J97" s="53" t="s">
        <v>76</v>
      </c>
      <c r="K97" s="49">
        <v>46332</v>
      </c>
      <c r="L97" s="43">
        <v>46297</v>
      </c>
      <c r="M97" s="44"/>
      <c r="N97" s="44" t="s">
        <v>262</v>
      </c>
      <c r="O97" s="36" t="s">
        <v>285</v>
      </c>
      <c r="P97" s="74" t="s">
        <v>60</v>
      </c>
      <c r="Q97" s="49">
        <v>46339</v>
      </c>
      <c r="R97" s="43"/>
      <c r="S97" s="44"/>
      <c r="T97" s="68" t="s">
        <v>295</v>
      </c>
      <c r="U97" s="46"/>
      <c r="V97" s="28">
        <v>46344</v>
      </c>
      <c r="W97" s="43"/>
      <c r="X97" s="31"/>
      <c r="Y97" s="31"/>
      <c r="Z97" s="36"/>
      <c r="AA97" s="28">
        <v>46356</v>
      </c>
      <c r="AB97" s="43"/>
      <c r="AC97" s="43"/>
      <c r="AD97" s="31" t="s">
        <v>298</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"&amp;_xlpm.nxt,IF(COUNTIF($B$2:$B$529,$B97)&gt;1,"Duplicate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t="14.45">
      <c r="A98" s="31" t="s">
        <v>126</v>
      </c>
      <c r="B98" s="31" t="s">
        <v>299</v>
      </c>
      <c r="C98" s="31" t="s">
        <v>257</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83</v>
      </c>
      <c r="F98" s="31" t="s">
        <v>129</v>
      </c>
      <c r="G98" s="31"/>
      <c r="H98" s="49">
        <v>46356</v>
      </c>
      <c r="I98" s="55" t="s">
        <v>238</v>
      </c>
      <c r="J98" s="33" t="s">
        <v>103</v>
      </c>
      <c r="K98" s="49">
        <v>46332</v>
      </c>
      <c r="L98" s="49">
        <v>46332</v>
      </c>
      <c r="M98" s="44">
        <v>46316</v>
      </c>
      <c r="N98" s="44"/>
      <c r="O98" s="36" t="s">
        <v>285</v>
      </c>
      <c r="P98" s="74" t="s">
        <v>77</v>
      </c>
      <c r="Q98" s="49">
        <v>46339</v>
      </c>
      <c r="R98" s="43"/>
      <c r="S98" s="44"/>
      <c r="T98" s="68" t="s">
        <v>295</v>
      </c>
      <c r="U98" s="46"/>
      <c r="V98" s="28">
        <v>46344</v>
      </c>
      <c r="W98" s="43"/>
      <c r="X98" s="31"/>
      <c r="Y98" s="31"/>
      <c r="Z98" s="36"/>
      <c r="AA98" s="28">
        <v>46356</v>
      </c>
      <c r="AB98" s="43"/>
      <c r="AC98" s="43"/>
      <c r="AD98" s="31" t="s">
        <v>300</v>
      </c>
      <c r="AE98" s="31" t="s">
        <v>72</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"&amp;_xlpm.nxt,IF(COUNTIF($B$2:$B$529,$B98)&gt;1,"Duplicate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t="14.45">
      <c r="A99" s="31" t="s">
        <v>126</v>
      </c>
      <c r="B99" s="31" t="s">
        <v>301</v>
      </c>
      <c r="C99" s="31" t="s">
        <v>200</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v>84</v>
      </c>
      <c r="F99" s="34" t="s">
        <v>193</v>
      </c>
      <c r="G99" s="31"/>
      <c r="H99" s="49">
        <v>46356</v>
      </c>
      <c r="I99" s="55" t="s">
        <v>238</v>
      </c>
      <c r="J99" s="33" t="s">
        <v>103</v>
      </c>
      <c r="K99" s="49">
        <v>46332</v>
      </c>
      <c r="L99" s="49">
        <v>46332</v>
      </c>
      <c r="M99" s="44">
        <v>46296</v>
      </c>
      <c r="N99" s="44" t="s">
        <v>147</v>
      </c>
      <c r="O99" s="36" t="s">
        <v>285</v>
      </c>
      <c r="P99" s="74" t="s">
        <v>60</v>
      </c>
      <c r="Q99" s="49">
        <v>46339</v>
      </c>
      <c r="R99" s="43"/>
      <c r="S99" s="44"/>
      <c r="T99" s="68" t="s">
        <v>295</v>
      </c>
      <c r="U99" s="46"/>
      <c r="V99" s="28">
        <v>46344</v>
      </c>
      <c r="W99" s="43"/>
      <c r="X99" s="31"/>
      <c r="Y99" s="31"/>
      <c r="Z99" s="36"/>
      <c r="AA99" s="28">
        <v>46356</v>
      </c>
      <c r="AB99" s="43"/>
      <c r="AC99" s="43"/>
      <c r="AD99" s="31" t="s">
        <v>170</v>
      </c>
      <c r="AE99" s="31" t="s">
        <v>49</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"&amp;_xlpm.nxt,IF(COUNTIF($B$2:$B$529,$B99)&gt;1,"Duplicate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t="14.45">
      <c r="A100" s="31" t="s">
        <v>126</v>
      </c>
      <c r="B100" s="31" t="s">
        <v>302</v>
      </c>
      <c r="C100" s="31" t="s">
        <v>257</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t="s">
        <v>303</v>
      </c>
      <c r="F100" s="31" t="s">
        <v>129</v>
      </c>
      <c r="G100" s="31"/>
      <c r="H100" s="49">
        <v>46356</v>
      </c>
      <c r="I100" s="55" t="s">
        <v>238</v>
      </c>
      <c r="J100" s="53" t="s">
        <v>65</v>
      </c>
      <c r="K100" s="49">
        <v>46332</v>
      </c>
      <c r="L100" s="43">
        <v>46302</v>
      </c>
      <c r="M100" s="44">
        <v>46314</v>
      </c>
      <c r="N100" s="46" t="s">
        <v>147</v>
      </c>
      <c r="O100" s="44" t="s">
        <v>258</v>
      </c>
      <c r="P100" s="74" t="s">
        <v>60</v>
      </c>
      <c r="Q100" s="49">
        <v>46339</v>
      </c>
      <c r="R100" s="43"/>
      <c r="S100" s="44"/>
      <c r="T100" s="68" t="s">
        <v>295</v>
      </c>
      <c r="U100" s="46"/>
      <c r="V100" s="28">
        <v>46344</v>
      </c>
      <c r="W100" s="43"/>
      <c r="X100" s="31"/>
      <c r="Y100" s="31"/>
      <c r="Z100" s="36"/>
      <c r="AA100" s="28">
        <v>46356</v>
      </c>
      <c r="AB100" s="43"/>
      <c r="AC100" s="43"/>
      <c r="AD100" s="31" t="s">
        <v>304</v>
      </c>
      <c r="AE100" s="31" t="s">
        <v>94</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"&amp;_xlpm.nxt,IF(COUNTIF($B$2:$B$529,$B100)&gt;1,"Duplicate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t="14.45">
      <c r="A101" s="31" t="s">
        <v>126</v>
      </c>
      <c r="B101" s="31" t="s">
        <v>305</v>
      </c>
      <c r="C101" s="31" t="s">
        <v>253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85</v>
      </c>
      <c r="F101" s="31" t="s">
        <v>129</v>
      </c>
      <c r="G101" s="31"/>
      <c r="H101" s="49">
        <v>46356</v>
      </c>
      <c r="I101" s="55" t="s">
        <v>238</v>
      </c>
      <c r="J101" s="53" t="s">
        <v>84</v>
      </c>
      <c r="K101" s="49">
        <v>46332</v>
      </c>
      <c r="L101" s="43">
        <v>46332</v>
      </c>
      <c r="M101" s="44">
        <v>46297</v>
      </c>
      <c r="N101" s="44"/>
      <c r="O101" s="36" t="s">
        <v>285</v>
      </c>
      <c r="P101" s="74" t="s">
        <v>77</v>
      </c>
      <c r="Q101" s="49">
        <v>46339</v>
      </c>
      <c r="R101" s="43"/>
      <c r="S101" s="44"/>
      <c r="T101" s="68" t="s">
        <v>295</v>
      </c>
      <c r="U101" s="46"/>
      <c r="V101" s="28">
        <v>46344</v>
      </c>
      <c r="W101" s="43"/>
      <c r="X101" s="31"/>
      <c r="Y101" s="31"/>
      <c r="Z101" s="36"/>
      <c r="AA101" s="28">
        <v>46356</v>
      </c>
      <c r="AB101" s="43"/>
      <c r="AC101" s="43"/>
      <c r="AD101" s="31" t="s">
        <v>306</v>
      </c>
      <c r="AE101" s="31" t="s">
        <v>72</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"&amp;_xlpm.nxt,IF(COUNTIF($B$2:$B$529,$B101)&gt;1,"Duplicate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Move status to PBI Dev</v>
      </c>
      <c r="AL101" s="31"/>
      <c r="AM101" s="32"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2"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t="14.45">
      <c r="A102" s="31" t="s">
        <v>307</v>
      </c>
      <c r="B102" s="31" t="s">
        <v>308</v>
      </c>
      <c r="C102" s="31" t="s">
        <v>257</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1</v>
      </c>
      <c r="F102" s="31" t="s">
        <v>129</v>
      </c>
      <c r="G102" s="31"/>
      <c r="H102" s="28">
        <v>46387</v>
      </c>
      <c r="I102" s="55" t="s">
        <v>309</v>
      </c>
      <c r="J102" s="53" t="s">
        <v>59</v>
      </c>
      <c r="K102" s="28">
        <v>46363</v>
      </c>
      <c r="L102" s="43"/>
      <c r="M102" s="31"/>
      <c r="N102" s="31"/>
      <c r="O102" s="36" t="s">
        <v>285</v>
      </c>
      <c r="P102" s="74"/>
      <c r="Q102" s="28">
        <v>46370</v>
      </c>
      <c r="R102" s="43"/>
      <c r="S102" s="31"/>
      <c r="T102" s="68" t="s">
        <v>295</v>
      </c>
      <c r="U102" s="46"/>
      <c r="V102" s="28">
        <v>46373</v>
      </c>
      <c r="W102" s="43"/>
      <c r="X102" s="31"/>
      <c r="Y102" s="31"/>
      <c r="Z102" s="36"/>
      <c r="AA102" s="28">
        <v>46386</v>
      </c>
      <c r="AB102" s="43"/>
      <c r="AC102" s="43"/>
      <c r="AD102" s="31" t="s">
        <v>310</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"&amp;_xlpm.nxt,IF(COUNTIF($B$2:$B$529,$B102)&gt;1,"Duplicate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t="14.45">
      <c r="A103" s="31" t="s">
        <v>307</v>
      </c>
      <c r="B103" s="31" t="s">
        <v>311</v>
      </c>
      <c r="C103" s="31" t="s">
        <v>200</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2</v>
      </c>
      <c r="F103" s="31" t="s">
        <v>129</v>
      </c>
      <c r="G103" s="31"/>
      <c r="H103" s="28">
        <v>46387</v>
      </c>
      <c r="I103" s="55" t="s">
        <v>309</v>
      </c>
      <c r="J103" s="53" t="s">
        <v>44</v>
      </c>
      <c r="K103" s="28">
        <v>46363</v>
      </c>
      <c r="L103" s="43">
        <v>46301</v>
      </c>
      <c r="M103" s="31"/>
      <c r="N103" s="31"/>
      <c r="O103" s="36" t="s">
        <v>285</v>
      </c>
      <c r="P103" s="74"/>
      <c r="Q103" s="28">
        <v>46370</v>
      </c>
      <c r="R103" s="43"/>
      <c r="S103" s="31"/>
      <c r="T103" s="68" t="s">
        <v>312</v>
      </c>
      <c r="U103" s="46"/>
      <c r="V103" s="28">
        <v>46373</v>
      </c>
      <c r="W103" s="43"/>
      <c r="X103" s="31"/>
      <c r="Y103" s="31"/>
      <c r="Z103" s="36"/>
      <c r="AA103" s="28">
        <v>46386</v>
      </c>
      <c r="AB103" s="43"/>
      <c r="AC103" s="43"/>
      <c r="AD103" s="31" t="s">
        <v>313</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"&amp;_xlpm.nxt,IF(COUNTIF($B$2:$B$529,$B103)&gt;1,"Duplicate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t="14.45">
      <c r="A104" s="31" t="s">
        <v>307</v>
      </c>
      <c r="B104" s="31" t="s">
        <v>314</v>
      </c>
      <c r="C104" s="31" t="s">
        <v>200</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3</v>
      </c>
      <c r="F104" s="31" t="s">
        <v>129</v>
      </c>
      <c r="G104" s="31"/>
      <c r="H104" s="28">
        <v>46387</v>
      </c>
      <c r="I104" s="55" t="s">
        <v>309</v>
      </c>
      <c r="J104" s="53" t="s">
        <v>44</v>
      </c>
      <c r="K104" s="28">
        <v>46363</v>
      </c>
      <c r="L104" s="43">
        <v>46301</v>
      </c>
      <c r="M104" s="31"/>
      <c r="N104" s="31"/>
      <c r="O104" s="36" t="s">
        <v>285</v>
      </c>
      <c r="P104" s="74"/>
      <c r="Q104" s="28">
        <v>46370</v>
      </c>
      <c r="R104" s="43"/>
      <c r="S104" s="31"/>
      <c r="T104" s="68" t="s">
        <v>312</v>
      </c>
      <c r="U104" s="46"/>
      <c r="V104" s="28">
        <v>46373</v>
      </c>
      <c r="W104" s="43"/>
      <c r="X104" s="31"/>
      <c r="Y104" s="31"/>
      <c r="Z104" s="36"/>
      <c r="AA104" s="28">
        <v>46386</v>
      </c>
      <c r="AB104" s="43"/>
      <c r="AC104" s="43"/>
      <c r="AD104" s="31" t="s">
        <v>315</v>
      </c>
      <c r="AE104" s="31" t="s">
        <v>94</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"&amp;_xlpm.nxt,IF(COUNTIF($B$2:$B$529,$B104)&gt;1,"Duplicate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t="14.45">
      <c r="A105" s="31" t="s">
        <v>316</v>
      </c>
      <c r="B105" s="31" t="s">
        <v>317</v>
      </c>
      <c r="C105" s="31" t="s">
        <v>253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4</v>
      </c>
      <c r="F105" s="31" t="s">
        <v>144</v>
      </c>
      <c r="G105" s="31"/>
      <c r="H105" s="28">
        <v>46387</v>
      </c>
      <c r="I105" s="55" t="s">
        <v>309</v>
      </c>
      <c r="J105" s="53" t="s">
        <v>84</v>
      </c>
      <c r="K105" s="28">
        <v>46363</v>
      </c>
      <c r="L105" s="43">
        <v>46304</v>
      </c>
      <c r="M105" s="32">
        <v>46302</v>
      </c>
      <c r="N105" s="31"/>
      <c r="O105" s="36" t="s">
        <v>285</v>
      </c>
      <c r="P105" s="74"/>
      <c r="Q105" s="28">
        <v>46370</v>
      </c>
      <c r="R105" s="43"/>
      <c r="S105" s="31"/>
      <c r="T105" s="68" t="s">
        <v>312</v>
      </c>
      <c r="U105" s="46"/>
      <c r="V105" s="28">
        <v>46373</v>
      </c>
      <c r="W105" s="43"/>
      <c r="X105" s="31"/>
      <c r="Y105" s="31"/>
      <c r="Z105" s="36"/>
      <c r="AA105" s="28">
        <v>46386</v>
      </c>
      <c r="AB105" s="43"/>
      <c r="AC105" s="43"/>
      <c r="AD105" s="31" t="s">
        <v>318</v>
      </c>
      <c r="AE105" s="31" t="s">
        <v>49</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"&amp;_xlpm.nxt,IF(COUNTIF($B$2:$B$529,$B105)&gt;1,"Duplicate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Move status to PBI Dev</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t="14.45">
      <c r="A106" s="31" t="s">
        <v>307</v>
      </c>
      <c r="B106" s="31" t="s">
        <v>319</v>
      </c>
      <c r="C106" s="31" t="s">
        <v>200</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5</v>
      </c>
      <c r="F106" s="31" t="s">
        <v>129</v>
      </c>
      <c r="G106" s="31"/>
      <c r="H106" s="28">
        <v>46387</v>
      </c>
      <c r="I106" s="55" t="s">
        <v>309</v>
      </c>
      <c r="J106" s="53" t="s">
        <v>84</v>
      </c>
      <c r="K106" s="28">
        <v>46363</v>
      </c>
      <c r="L106" s="28">
        <v>46363</v>
      </c>
      <c r="M106" s="32">
        <v>46310</v>
      </c>
      <c r="N106" s="31"/>
      <c r="O106" s="36" t="s">
        <v>320</v>
      </c>
      <c r="P106" s="74"/>
      <c r="Q106" s="28">
        <v>46370</v>
      </c>
      <c r="R106" s="43"/>
      <c r="S106" s="31"/>
      <c r="T106" s="68" t="s">
        <v>312</v>
      </c>
      <c r="U106" s="46"/>
      <c r="V106" s="28">
        <v>46373</v>
      </c>
      <c r="W106" s="43"/>
      <c r="X106" s="31"/>
      <c r="Y106" s="31"/>
      <c r="Z106" s="36"/>
      <c r="AA106" s="28">
        <v>46386</v>
      </c>
      <c r="AB106" s="43"/>
      <c r="AC106" s="43"/>
      <c r="AD106" s="31" t="s">
        <v>321</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"&amp;_xlpm.nxt,IF(COUNTIF($B$2:$B$529,$B106)&gt;1,"Duplicate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t="14.45">
      <c r="A107" s="31" t="s">
        <v>307</v>
      </c>
      <c r="B107" s="31" t="s">
        <v>322</v>
      </c>
      <c r="C107" s="31" t="s">
        <v>200</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6</v>
      </c>
      <c r="F107" s="31" t="s">
        <v>129</v>
      </c>
      <c r="G107" s="31"/>
      <c r="H107" s="28">
        <v>46387</v>
      </c>
      <c r="I107" s="55" t="s">
        <v>309</v>
      </c>
      <c r="J107" s="53" t="s">
        <v>84</v>
      </c>
      <c r="K107" s="28">
        <v>46363</v>
      </c>
      <c r="L107" s="28">
        <v>46363</v>
      </c>
      <c r="M107" s="32">
        <v>46307</v>
      </c>
      <c r="N107" s="31"/>
      <c r="O107" s="36" t="s">
        <v>320</v>
      </c>
      <c r="P107" s="74"/>
      <c r="Q107" s="28">
        <v>46370</v>
      </c>
      <c r="R107" s="43"/>
      <c r="S107" s="31"/>
      <c r="T107" s="68" t="s">
        <v>312</v>
      </c>
      <c r="U107" s="46"/>
      <c r="V107" s="28">
        <v>46373</v>
      </c>
      <c r="W107" s="43"/>
      <c r="X107" s="31"/>
      <c r="Y107" s="31"/>
      <c r="Z107" s="36"/>
      <c r="AA107" s="28">
        <v>46386</v>
      </c>
      <c r="AB107" s="43"/>
      <c r="AC107" s="43"/>
      <c r="AD107" s="31" t="s">
        <v>323</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"&amp;_xlpm.nxt,IF(COUNTIF($B$2:$B$529,$B107)&gt;1,"Duplicate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t="14.45">
      <c r="A108" s="31" t="s">
        <v>307</v>
      </c>
      <c r="B108" s="31" t="s">
        <v>324</v>
      </c>
      <c r="C108" s="31" t="s">
        <v>200</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7</v>
      </c>
      <c r="F108" s="31" t="s">
        <v>129</v>
      </c>
      <c r="G108" s="31"/>
      <c r="H108" s="28">
        <v>46387</v>
      </c>
      <c r="I108" s="55" t="s">
        <v>309</v>
      </c>
      <c r="J108" s="53" t="s">
        <v>84</v>
      </c>
      <c r="K108" s="28">
        <v>46363</v>
      </c>
      <c r="L108" s="28">
        <v>46363</v>
      </c>
      <c r="M108" s="32">
        <v>46308</v>
      </c>
      <c r="N108" s="31"/>
      <c r="O108" s="36" t="s">
        <v>320</v>
      </c>
      <c r="P108" s="74"/>
      <c r="Q108" s="28">
        <v>46370</v>
      </c>
      <c r="R108" s="43"/>
      <c r="S108" s="31"/>
      <c r="T108" s="68" t="s">
        <v>312</v>
      </c>
      <c r="U108" s="46"/>
      <c r="V108" s="28">
        <v>46373</v>
      </c>
      <c r="W108" s="43"/>
      <c r="X108" s="31"/>
      <c r="Y108" s="31"/>
      <c r="Z108" s="36"/>
      <c r="AA108" s="28">
        <v>46386</v>
      </c>
      <c r="AB108" s="43"/>
      <c r="AC108" s="43"/>
      <c r="AD108" s="31" t="s">
        <v>325</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"&amp;_xlpm.nxt,IF(COUNTIF($B$2:$B$529,$B108)&gt;1,"Duplicate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t="14.45">
      <c r="A109" s="31" t="s">
        <v>307</v>
      </c>
      <c r="B109" s="31" t="s">
        <v>326</v>
      </c>
      <c r="C109" s="31" t="s">
        <v>257</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Overdue</v>
      </c>
      <c r="E109" s="31">
        <v>8</v>
      </c>
      <c r="F109" s="31" t="s">
        <v>129</v>
      </c>
      <c r="G109" s="31"/>
      <c r="H109" s="28">
        <v>46387</v>
      </c>
      <c r="I109" s="55" t="s">
        <v>309</v>
      </c>
      <c r="J109" s="53" t="s">
        <v>327</v>
      </c>
      <c r="K109" s="28">
        <v>46363</v>
      </c>
      <c r="L109" s="43">
        <v>46321</v>
      </c>
      <c r="M109" s="31"/>
      <c r="N109" s="31"/>
      <c r="O109" s="36" t="s">
        <v>320</v>
      </c>
      <c r="P109" s="74"/>
      <c r="Q109" s="28">
        <v>46370</v>
      </c>
      <c r="R109" s="43"/>
      <c r="S109" s="31"/>
      <c r="T109" s="68" t="s">
        <v>312</v>
      </c>
      <c r="U109" s="46"/>
      <c r="V109" s="28">
        <v>46373</v>
      </c>
      <c r="W109" s="43"/>
      <c r="X109" s="31"/>
      <c r="Y109" s="31"/>
      <c r="Z109" s="36"/>
      <c r="AA109" s="28">
        <v>46386</v>
      </c>
      <c r="AB109" s="43"/>
      <c r="AC109" s="43"/>
      <c r="AD109" s="31" t="s">
        <v>328</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"&amp;_xlpm.nxt,IF(COUNTIF($B$2:$B$529,$B109)&gt;1,"Duplicate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t="14.45">
      <c r="A110" s="31" t="s">
        <v>316</v>
      </c>
      <c r="B110" s="31" t="s">
        <v>329</v>
      </c>
      <c r="C110" s="31" t="s">
        <v>200</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9</v>
      </c>
      <c r="F110" s="31" t="s">
        <v>144</v>
      </c>
      <c r="G110" s="31"/>
      <c r="H110" s="28">
        <v>46387</v>
      </c>
      <c r="I110" s="55" t="s">
        <v>309</v>
      </c>
      <c r="J110" s="53" t="s">
        <v>155</v>
      </c>
      <c r="K110" s="28">
        <v>46363</v>
      </c>
      <c r="L110" s="32">
        <v>46315</v>
      </c>
      <c r="M110" s="32">
        <v>46310</v>
      </c>
      <c r="N110" s="44" t="s">
        <v>262</v>
      </c>
      <c r="O110" s="36" t="s">
        <v>320</v>
      </c>
      <c r="P110" s="74"/>
      <c r="Q110" s="28">
        <v>46370</v>
      </c>
      <c r="R110" s="43"/>
      <c r="S110" s="31"/>
      <c r="T110" s="68" t="s">
        <v>330</v>
      </c>
      <c r="U110" s="46"/>
      <c r="V110" s="28">
        <v>46373</v>
      </c>
      <c r="W110" s="43"/>
      <c r="X110" s="31"/>
      <c r="Y110" s="31"/>
      <c r="Z110" s="36"/>
      <c r="AA110" s="28">
        <v>46386</v>
      </c>
      <c r="AB110" s="43"/>
      <c r="AC110" s="43"/>
      <c r="AD110" s="31" t="s">
        <v>331</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"&amp;_xlpm.nxt,IF(COUNTIF($B$2:$B$529,$B110)&gt;1,"Duplicate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t="14.45">
      <c r="A111" s="31" t="s">
        <v>307</v>
      </c>
      <c r="B111" s="31" t="s">
        <v>332</v>
      </c>
      <c r="C111" s="31" t="s">
        <v>200</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10</v>
      </c>
      <c r="F111" s="31" t="s">
        <v>129</v>
      </c>
      <c r="G111" s="31"/>
      <c r="H111" s="28">
        <v>46387</v>
      </c>
      <c r="I111" s="55" t="s">
        <v>309</v>
      </c>
      <c r="J111" s="53" t="s">
        <v>155</v>
      </c>
      <c r="K111" s="28">
        <v>46363</v>
      </c>
      <c r="L111" s="32">
        <v>46310</v>
      </c>
      <c r="M111" s="32">
        <v>46308</v>
      </c>
      <c r="N111" s="44" t="s">
        <v>262</v>
      </c>
      <c r="O111" s="36" t="s">
        <v>320</v>
      </c>
      <c r="P111" s="74"/>
      <c r="Q111" s="28">
        <v>46370</v>
      </c>
      <c r="R111" s="43"/>
      <c r="S111" s="31"/>
      <c r="T111" s="68" t="s">
        <v>330</v>
      </c>
      <c r="U111" s="46"/>
      <c r="V111" s="28">
        <v>46373</v>
      </c>
      <c r="W111" s="43"/>
      <c r="X111" s="31"/>
      <c r="Y111" s="31"/>
      <c r="Z111" s="36"/>
      <c r="AA111" s="28">
        <v>46386</v>
      </c>
      <c r="AB111" s="43"/>
      <c r="AC111" s="43"/>
      <c r="AD111" s="31" t="s">
        <v>333</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"&amp;_xlpm.nxt,IF(COUNTIF($B$2:$B$529,$B111)&gt;1,"Duplicate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t="14.45">
      <c r="A112" s="31" t="s">
        <v>316</v>
      </c>
      <c r="B112" s="31" t="s">
        <v>334</v>
      </c>
      <c r="C112" s="31" t="s">
        <v>253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11</v>
      </c>
      <c r="F112" s="31" t="s">
        <v>144</v>
      </c>
      <c r="G112" s="31"/>
      <c r="H112" s="28">
        <v>46387</v>
      </c>
      <c r="I112" s="55" t="s">
        <v>309</v>
      </c>
      <c r="J112" s="53" t="s">
        <v>76</v>
      </c>
      <c r="K112" s="28">
        <v>46363</v>
      </c>
      <c r="L112" s="43"/>
      <c r="M112" s="31"/>
      <c r="N112" s="31"/>
      <c r="O112" s="36" t="s">
        <v>320</v>
      </c>
      <c r="P112" s="74"/>
      <c r="Q112" s="28">
        <v>46370</v>
      </c>
      <c r="R112" s="43"/>
      <c r="S112" s="31"/>
      <c r="T112" s="68" t="s">
        <v>330</v>
      </c>
      <c r="U112" s="46"/>
      <c r="V112" s="28">
        <v>46373</v>
      </c>
      <c r="W112" s="43"/>
      <c r="X112" s="31"/>
      <c r="Y112" s="31"/>
      <c r="Z112" s="36"/>
      <c r="AA112" s="28">
        <v>46386</v>
      </c>
      <c r="AB112" s="43"/>
      <c r="AC112" s="43"/>
      <c r="AD112" s="31" t="s">
        <v>335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"&amp;_xlpm.nxt,IF(COUNTIF($B$2:$B$529,$B112)&gt;1,"Duplicate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t="14.45">
      <c r="A113" s="31" t="s">
        <v>316</v>
      </c>
      <c r="B113" s="31" t="s">
        <v>336</v>
      </c>
      <c r="C113" s="31" t="s">
        <v>253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12</v>
      </c>
      <c r="F113" s="31" t="s">
        <v>144</v>
      </c>
      <c r="G113" s="31"/>
      <c r="H113" s="28">
        <v>46387</v>
      </c>
      <c r="I113" s="55" t="s">
        <v>309</v>
      </c>
      <c r="J113" s="53" t="s">
        <v>229</v>
      </c>
      <c r="K113" s="28">
        <v>46363</v>
      </c>
      <c r="L113" s="43"/>
      <c r="M113" s="31"/>
      <c r="N113" s="31"/>
      <c r="O113" s="36" t="s">
        <v>320</v>
      </c>
      <c r="P113" s="74"/>
      <c r="Q113" s="28">
        <v>46370</v>
      </c>
      <c r="R113" s="43"/>
      <c r="S113" s="31"/>
      <c r="T113" s="68" t="s">
        <v>330</v>
      </c>
      <c r="U113" s="46"/>
      <c r="V113" s="28">
        <v>46373</v>
      </c>
      <c r="W113" s="43"/>
      <c r="X113" s="31"/>
      <c r="Y113" s="31"/>
      <c r="Z113" s="36"/>
      <c r="AA113" s="28">
        <v>46386</v>
      </c>
      <c r="AB113" s="43"/>
      <c r="AC113" s="43"/>
      <c r="AD113" s="31" t="s">
        <v>331</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"&amp;_xlpm.nxt,IF(COUNTIF($B$2:$B$529,$B113)&gt;1,"Duplicate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t="14.45">
      <c r="A114" s="31" t="s">
        <v>316</v>
      </c>
      <c r="B114" s="31" t="s">
        <v>337</v>
      </c>
      <c r="C114" s="31" t="s">
        <v>200</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13</v>
      </c>
      <c r="F114" s="31" t="s">
        <v>144</v>
      </c>
      <c r="G114" s="31"/>
      <c r="H114" s="28">
        <v>46387</v>
      </c>
      <c r="I114" s="55" t="s">
        <v>309</v>
      </c>
      <c r="J114" s="53" t="s">
        <v>155</v>
      </c>
      <c r="K114" s="28">
        <v>46363</v>
      </c>
      <c r="L114" s="32">
        <v>46318</v>
      </c>
      <c r="M114" s="32">
        <v>46316</v>
      </c>
      <c r="N114" s="44" t="s">
        <v>262</v>
      </c>
      <c r="O114" s="36" t="s">
        <v>320</v>
      </c>
      <c r="P114" s="74"/>
      <c r="Q114" s="28">
        <v>46370</v>
      </c>
      <c r="R114" s="43"/>
      <c r="S114" s="31"/>
      <c r="T114" s="68" t="s">
        <v>330</v>
      </c>
      <c r="U114" s="46"/>
      <c r="V114" s="28">
        <v>46373</v>
      </c>
      <c r="W114" s="43"/>
      <c r="X114" s="31"/>
      <c r="Y114" s="31"/>
      <c r="Z114" s="36"/>
      <c r="AA114" s="28">
        <v>46386</v>
      </c>
      <c r="AB114" s="43"/>
      <c r="AC114" s="43"/>
      <c r="AD114" s="31" t="s">
        <v>331</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"&amp;_xlpm.nxt,IF(COUNTIF($B$2:$B$529,$B114)&gt;1,"Duplicate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14.45">
      <c r="A115" s="31" t="s">
        <v>316</v>
      </c>
      <c r="B115" s="31" t="s">
        <v>338</v>
      </c>
      <c r="C115" s="31" t="s">
        <v>253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14</v>
      </c>
      <c r="F115" s="31" t="s">
        <v>144</v>
      </c>
      <c r="G115" s="31"/>
      <c r="H115" s="28">
        <v>46387</v>
      </c>
      <c r="I115" s="55" t="s">
        <v>309</v>
      </c>
      <c r="J115" s="53" t="s">
        <v>84</v>
      </c>
      <c r="K115" s="28">
        <v>46363</v>
      </c>
      <c r="L115" s="43">
        <v>46363</v>
      </c>
      <c r="M115" s="31"/>
      <c r="N115" s="31"/>
      <c r="O115" s="36" t="s">
        <v>320</v>
      </c>
      <c r="P115" s="74"/>
      <c r="Q115" s="28">
        <v>46370</v>
      </c>
      <c r="R115" s="43"/>
      <c r="S115" s="31"/>
      <c r="T115" s="68" t="s">
        <v>330</v>
      </c>
      <c r="U115" s="46"/>
      <c r="V115" s="28">
        <v>46373</v>
      </c>
      <c r="W115" s="43"/>
      <c r="X115" s="31"/>
      <c r="Y115" s="31"/>
      <c r="Z115" s="36"/>
      <c r="AA115" s="28">
        <v>46386</v>
      </c>
      <c r="AB115" s="43"/>
      <c r="AC115" s="43"/>
      <c r="AD115" s="31" t="s">
        <v>335</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"&amp;_xlpm.nxt,IF(COUNTIF($B$2:$B$529,$B115)&gt;1,"Duplicate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t="s">
        <v>316</v>
      </c>
      <c r="B116" s="31" t="s">
        <v>339</v>
      </c>
      <c r="C116" s="31" t="s">
        <v>200</v>
      </c>
      <c r="D116" t="str" cm="1">
        <f t="array" aca="1" ref="D116" ca="1">IF(AND(C116="Ready for Release in Prod",LEFT($AJ116,3)&lt;&gt;"Yes"),IF(AG116&lt;&gt;"","Delivered","On track"),IF($B116="","",IF(LEFT($AJ116,3)="Yes","Blocked - "&amp;MID($AJ116,7,100)&amp;IF(SUMPRODUCT(('Rework Log'!$A$2:$A$497=$B116)*('Rework Log'!$G$2:$G$497&lt;&gt;"Yes")*('Rework Log'!$G$2:$G$497&lt;&gt;"Did not pass re-test"))=0,"",IF(SUMPRODUCT(MAX((('Rework Log'!$A$2:$A$497=$B116)*('Rework Log'!$G$2:$G$497&lt;&gt;"Yes")*('Rework Log'!$G$2:$G$497&lt;&gt;"Did not pass re-test"))*'Rework Log'!$I$2:$I$497))=0," - unclaimed"," - promised "&amp;TEXT(SUMPRODUCT(MAX((('Rework Log'!$A$2:$A$497=$B116)*('Rework Log'!$G$2:$G$497&lt;&gt;"Yes")*('Rework Log'!$G$2:$G$497&lt;&gt;"Did not pass re-test"))*'Rework Log'!$I$2:$I$497)),"m/d"))),IF(C116="NOT STARTED",IF(H116="","No plan date set",IF(H116&lt;TODAY(),"Review - planned start passed","On track")),IF(C116="DB Dev",_xlfn.LET(_xlpm.sent,_xlfn.MAXIFS('Rework Log'!$B$2:$B$497,'Rework Log'!$A$2:$A$497,$B116,'Rework Log'!$D$2:$D$497,"DB Dev"),_xlpm.expfix,_xlfn.MAXIFS('Rework Log'!$I$2:$I$497,'Rework Log'!$A$2:$A$497,$B116,'Rework Log'!$D$2:$D$497,"DB Dev",'Rework Log'!$B$2:$B$497,_xlpm.sent),_xlpm.tgt,IF(_xlpm.expfix&gt;0,_xlpm.expfix,IF(L116&lt;&gt;"",L116,K116)),_xlpm.act,IF(AND(M116&lt;&gt;"",M116&gt;=_xlpm.sent),M116,""),IF(_xlpm.tgt="","No target set",IF(AND(_xlpm.tgt&lt;TODAY(),_xlpm.act=""),"Overdue","On track"))),IF(C116="PBI Dev",_xlfn.LET(_xlpm.sent,_xlfn.MAXIFS('Rework Log'!$B$2:$B$497,'Rework Log'!$A$2:$A$497,$B116,'Rework Log'!$D$2:$D$497,"PBI Dev"),_xlpm.expfix,_xlfn.MAXIFS('Rework Log'!$I$2:$I$497,'Rework Log'!$A$2:$A$497,$B116,'Rework Log'!$D$2:$D$497,"PBI Dev",'Rework Log'!$B$2:$B$497,_xlpm.sent),_xlpm.tgt,IF(_xlpm.expfix&gt;0,_xlpm.expfix,IF(R116&lt;&gt;"",R116,Q116)),_xlpm.act,IF(AND(S116&lt;&gt;"",S116&gt;=_xlpm.sent),S116,""),IF(_xlpm.tgt="","No target set",IF(AND(_xlpm.tgt&lt;TODAY(),_xlpm.act=""),"Overdue","On track"))),IF(C116="QA",_xlfn.LET(_xlpm.tgt,IF(AM116&lt;&gt;"",AM116,IF(W116&lt;&gt;"",W116,V116)),_xlpm.sent,_xlfn.MAXIFS('Rework Log'!$B$2:$B$497,'Rework Log'!$A$2:$A$497,$B116,'Rework Log'!$C$2:$C$497,"QA"),_xlpm.act,IF(AND(Y116&lt;&gt;"",Y116&gt;=_xlpm.sent),Y116,""),IF(_xlpm.tgt="","No target set",IF(AND(_xlpm.tgt&lt;TODAY(),_xlpm.act=""),"Overdue","On track"))),IF(C116="DPO Approval",_xlfn.LET(_xlpm.tgt,IF(AN116&lt;&gt;"",AN116,IF(AB116&lt;&gt;"",AB116,AA116)),_xlpm.sent,_xlfn.MAXIFS('Rework Log'!$B$2:$B$497,'Rework Log'!$A$2:$A$497,$B116,'Rework Log'!$C$2:$C$497,"DPO*"),_xlpm.act,IF(AND(AC116&lt;&gt;"",AC116&gt;=_xlpm.sent),AC116,""),IF(_xlpm.tgt="","No target set",IF(AND(_xlpm.tgt&lt;TODAY(),_xlpm.act=""),"Overdue","On track"))),IF(C116="RELEASED IN PROD","Delivered","")))))))))</f>
        <v>On track</v>
      </c>
      <c r="E116" s="31">
        <v>15</v>
      </c>
      <c r="F116" s="31" t="s">
        <v>144</v>
      </c>
      <c r="G116" s="31"/>
      <c r="H116" s="28">
        <v>46387</v>
      </c>
      <c r="I116" s="55" t="s">
        <v>309</v>
      </c>
      <c r="J116" s="53" t="s">
        <v>155</v>
      </c>
      <c r="K116" s="28">
        <v>46363</v>
      </c>
      <c r="L116" s="32">
        <v>46318</v>
      </c>
      <c r="M116" s="32">
        <v>46318</v>
      </c>
      <c r="N116" s="44" t="s">
        <v>262</v>
      </c>
      <c r="O116" s="36" t="s">
        <v>340</v>
      </c>
      <c r="P116" s="74"/>
      <c r="Q116" s="28">
        <v>46370</v>
      </c>
      <c r="R116" s="43"/>
      <c r="S116" s="31"/>
      <c r="T116" s="68" t="s">
        <v>330</v>
      </c>
      <c r="U116" s="46"/>
      <c r="V116" s="28">
        <v>46373</v>
      </c>
      <c r="W116" s="43"/>
      <c r="X116" s="31"/>
      <c r="Y116" s="31"/>
      <c r="Z116" s="36"/>
      <c r="AA116" s="28">
        <v>46386</v>
      </c>
      <c r="AB116" s="43"/>
      <c r="AC116" s="43"/>
      <c r="AD116" s="31" t="s">
        <v>277</v>
      </c>
      <c r="AE116" s="31" t="s">
        <v>72</v>
      </c>
      <c r="AF116" s="31"/>
      <c r="AG116" s="31"/>
      <c r="AH116" s="31"/>
      <c r="AI116" s="31"/>
      <c r="AJ116" s="31"/>
      <c r="AK116" s="31" t="str" cm="1">
        <f t="array" ref="AK116">IF($B116="","",_xlfn.LET(_xlpm.nm,$B116,_xlpm.st,$C116,_xlpm.ou,SUMPRODUCT(('Rework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STARTED",$M116,_xlpm.st="DB Dev",$M116,_xlpm.st="PBI Dev",$S116,_xlpm.st="QA",$Y116,_xlpm.st="DPO Approval",$AC116,_xlpm.st="Ready for Release in Prod",$AG116,TRUE,""),_xlpm.nxt,_xlfn.IFS(_xlpm.st="NOT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"&amp;_xlpm.oto,IF(AND(_xlpm.ob=0,LEFT($AJ116,3)="Yes"),"Blocked - log it on Rework Log",IF(AND(_xlpm.ob&gt;0,LEFT($AJ116,3)&lt;&gt;"Yes"),"Open rework row - mark Blocked or close it",IF(AND(_xlpm.ob=0,_xlpm.act&lt;&gt;"",_xlpm.act&gt;=_xlpm.sent,_xlpm.nxt&lt;&gt;""),"Move status to "&amp;_xlpm.nxt,IF(COUNTIF($B$2:$B$529,$B116)&gt;1,"Duplicate name - check row",IF(COUNTIF('Rework Log'!$A$2:$A$497,$B116)&gt;0,"",IF(AND($V116&lt;&gt;"",$K116&lt;&gt;"",$V116&lt;$K116),"QA target is before DB Dev target",IF(AND($V116&lt;&gt;"",$Q116&lt;&gt;"",$V116&lt;$Q116),"QA target is before PBI Dev target",IF(AND($AA116&lt;&gt;"",$V116&lt;&gt;"",$AA116&lt;$V116),"DPO Approval target is before QA target",IF(AND($AG116&lt;&gt;"",$AA116&lt;&gt;"",$AG116&lt;$AA116),"Confirmed Deployed date is before DPO Approval target",""))))))))))))</f>
        <v/>
      </c>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t="14.45">
      <c r="A117" s="31" t="s">
        <v>341</v>
      </c>
      <c r="B117" s="31" t="s">
        <v>342</v>
      </c>
      <c r="C117" s="31" t="s">
        <v>253</v>
      </c>
      <c r="E117" s="31">
        <v>1</v>
      </c>
      <c r="F117" s="31" t="s">
        <v>144</v>
      </c>
      <c r="G117" s="31"/>
      <c r="H117" s="28">
        <v>46418</v>
      </c>
      <c r="I117" s="55" t="s">
        <v>343</v>
      </c>
      <c r="J117" s="53" t="s">
        <v>65</v>
      </c>
      <c r="K117" s="28">
        <v>46387</v>
      </c>
      <c r="L117" s="43"/>
      <c r="M117" s="31"/>
      <c r="N117" s="31"/>
      <c r="O117" s="36" t="s">
        <v>340</v>
      </c>
      <c r="P117" s="74"/>
      <c r="Q117" s="28">
        <v>46402</v>
      </c>
      <c r="R117" s="43"/>
      <c r="S117" s="31"/>
      <c r="T117" s="68"/>
      <c r="U117" s="46"/>
      <c r="V117" s="28">
        <v>46397</v>
      </c>
      <c r="W117" s="43"/>
      <c r="X117" s="46"/>
      <c r="Y117" s="46"/>
      <c r="Z117" s="36"/>
      <c r="AA117" s="28"/>
      <c r="AB117" s="43"/>
      <c r="AC117" s="43"/>
      <c r="AD117" s="31"/>
      <c r="AE117" s="31"/>
      <c r="AF117" s="31"/>
      <c r="AG117" s="31"/>
      <c r="AH117" s="31"/>
      <c r="AI117" s="31"/>
      <c r="AJ117" s="40" t="s">
        <v>133</v>
      </c>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t="14.45">
      <c r="A118" s="31" t="s">
        <v>341</v>
      </c>
      <c r="B118" s="31" t="s">
        <v>344</v>
      </c>
      <c r="C118" s="31" t="s">
        <v>253</v>
      </c>
      <c r="E118" s="31">
        <v>2</v>
      </c>
      <c r="F118" s="31" t="s">
        <v>144</v>
      </c>
      <c r="G118" s="31"/>
      <c r="H118" s="28">
        <v>46418</v>
      </c>
      <c r="I118" s="55" t="s">
        <v>343</v>
      </c>
      <c r="J118" s="53" t="s">
        <v>44</v>
      </c>
      <c r="K118" s="28">
        <v>46387</v>
      </c>
      <c r="L118" s="43"/>
      <c r="M118" s="31"/>
      <c r="N118" s="31"/>
      <c r="O118" s="36" t="s">
        <v>340</v>
      </c>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t="14.45">
      <c r="A119" s="31" t="s">
        <v>341</v>
      </c>
      <c r="B119" s="31" t="s">
        <v>345</v>
      </c>
      <c r="C119" s="31" t="s">
        <v>253</v>
      </c>
      <c r="E119" s="31">
        <v>3</v>
      </c>
      <c r="F119" s="31" t="s">
        <v>144</v>
      </c>
      <c r="G119" s="31"/>
      <c r="H119" s="28">
        <v>46418</v>
      </c>
      <c r="I119" s="55" t="s">
        <v>343</v>
      </c>
      <c r="J119" s="53" t="s">
        <v>44</v>
      </c>
      <c r="K119" s="28">
        <v>46387</v>
      </c>
      <c r="L119" s="43"/>
      <c r="M119" s="31"/>
      <c r="N119" s="31"/>
      <c r="O119" s="36" t="s">
        <v>340</v>
      </c>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ht="14.45">
      <c r="A120" s="31" t="s">
        <v>341</v>
      </c>
      <c r="B120" s="31" t="s">
        <v>346</v>
      </c>
      <c r="C120" s="31" t="s">
        <v>253</v>
      </c>
      <c r="E120" s="31">
        <v>4</v>
      </c>
      <c r="F120" s="31" t="s">
        <v>144</v>
      </c>
      <c r="G120" s="31"/>
      <c r="H120" s="28">
        <v>46418</v>
      </c>
      <c r="I120" s="55" t="s">
        <v>343</v>
      </c>
      <c r="J120" s="53" t="s">
        <v>59</v>
      </c>
      <c r="K120" s="28">
        <v>46387</v>
      </c>
      <c r="L120" s="43"/>
      <c r="M120" s="31"/>
      <c r="N120" s="31"/>
      <c r="O120" s="36" t="s">
        <v>340</v>
      </c>
      <c r="P120" s="74"/>
      <c r="Q120" s="28">
        <v>46402</v>
      </c>
      <c r="R120" s="43"/>
      <c r="S120" s="31"/>
      <c r="T120" s="68"/>
      <c r="U120" s="46"/>
      <c r="V120" s="28">
        <v>46397</v>
      </c>
      <c r="W120" s="43"/>
      <c r="X120" s="46"/>
      <c r="Y120" s="46"/>
      <c r="Z120" s="36"/>
      <c r="AB120" s="43"/>
      <c r="AC120" s="43"/>
      <c r="AD120" s="31"/>
      <c r="AE120" s="31"/>
      <c r="AF120" s="31"/>
      <c r="AG120" s="31"/>
      <c r="AH120" s="31"/>
      <c r="AI120" s="31"/>
      <c r="AJ120" s="31"/>
      <c r="AK120" s="31"/>
      <c r="AL120" s="31"/>
      <c r="AM120" s="31" t="str" cm="1">
        <f t="array" ref="AM120">_xlfn.LET(_xlpm.rep,$B120,_xlpm.sent,_xlfn.MAXIFS('Rework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0" s="31" t="str" cm="1">
        <f t="array" ref="AN120">_xlfn.LET(_xlpm.rep,$B120,_xlpm.sent,_xlfn.MAXIFS('Rework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1" spans="1:40" ht="14.45">
      <c r="A121" s="31" t="s">
        <v>341</v>
      </c>
      <c r="B121" s="31" t="s">
        <v>347</v>
      </c>
      <c r="C121" s="31" t="s">
        <v>253</v>
      </c>
      <c r="E121" s="31">
        <v>5</v>
      </c>
      <c r="F121" s="31" t="s">
        <v>144</v>
      </c>
      <c r="G121" s="31"/>
      <c r="H121" s="28">
        <v>46418</v>
      </c>
      <c r="I121" s="55" t="s">
        <v>343</v>
      </c>
      <c r="J121" s="53" t="s">
        <v>229</v>
      </c>
      <c r="K121" s="28">
        <v>46387</v>
      </c>
      <c r="L121" s="43"/>
      <c r="M121" s="31"/>
      <c r="N121" s="31"/>
      <c r="O121" s="36" t="s">
        <v>340</v>
      </c>
      <c r="P121" s="74"/>
      <c r="R121" s="43"/>
      <c r="S121" s="31"/>
      <c r="T121" s="68"/>
      <c r="U121" s="46"/>
      <c r="W121" s="43"/>
      <c r="X121" s="46"/>
      <c r="Y121" s="46"/>
      <c r="Z121" s="36"/>
      <c r="AB121" s="43"/>
      <c r="AC121" s="43"/>
      <c r="AD121" s="31"/>
      <c r="AE121" s="31"/>
      <c r="AF121" s="31"/>
      <c r="AG121" s="31"/>
      <c r="AH121" s="31"/>
      <c r="AI121" s="31"/>
      <c r="AJ121" s="31"/>
      <c r="AK121" s="31"/>
      <c r="AL121" s="31"/>
      <c r="AM121" s="31" t="str" cm="1">
        <f t="array" ref="AM121">_xlfn.LET(_xlpm.rep,$B121,_xlpm.sent,_xlfn.MAXIFS('Rework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1" s="31" t="str" cm="1">
        <f t="array" ref="AN121">_xlfn.LET(_xlpm.rep,$B121,_xlpm.sent,_xlfn.MAXIFS('Rework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2" spans="1:40" ht="14.45">
      <c r="A122" s="31" t="s">
        <v>341</v>
      </c>
      <c r="B122" s="31" t="s">
        <v>348</v>
      </c>
      <c r="C122" s="31" t="s">
        <v>253</v>
      </c>
      <c r="E122" s="31">
        <v>6</v>
      </c>
      <c r="F122" s="31" t="s">
        <v>144</v>
      </c>
      <c r="G122" s="31"/>
      <c r="H122" s="28">
        <v>46418</v>
      </c>
      <c r="I122" s="55" t="s">
        <v>343</v>
      </c>
      <c r="J122" s="53" t="s">
        <v>65</v>
      </c>
      <c r="K122" s="28">
        <v>46387</v>
      </c>
      <c r="L122" s="43"/>
      <c r="M122" s="31"/>
      <c r="N122" s="31"/>
      <c r="O122" s="36" t="s">
        <v>340</v>
      </c>
      <c r="P122" s="74"/>
      <c r="R122" s="43"/>
      <c r="S122" s="31"/>
      <c r="T122" s="68"/>
      <c r="U122" s="46"/>
      <c r="W122" s="43"/>
      <c r="X122" s="46"/>
      <c r="Y122" s="46"/>
      <c r="Z122" s="36"/>
      <c r="AB122" s="43"/>
      <c r="AC122" s="43"/>
      <c r="AD122" s="31"/>
      <c r="AE122" s="31"/>
      <c r="AF122" s="31"/>
      <c r="AG122" s="31"/>
      <c r="AH122" s="31"/>
      <c r="AI122" s="31"/>
      <c r="AJ122" s="31"/>
      <c r="AK122" s="31"/>
      <c r="AL122" s="31"/>
      <c r="AM122" s="31" t="str" cm="1">
        <f t="array" ref="AM122">_xlfn.LET(_xlpm.rep,$B122,_xlpm.sent,_xlfn.MAXIFS('Rework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2" s="31" t="str" cm="1">
        <f t="array" ref="AN122">_xlfn.LET(_xlpm.rep,$B122,_xlpm.sent,_xlfn.MAXIFS('Rework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3" spans="1:40" ht="14.45">
      <c r="A123" s="31" t="s">
        <v>341</v>
      </c>
      <c r="B123" s="31" t="s">
        <v>349</v>
      </c>
      <c r="C123" s="31" t="s">
        <v>253</v>
      </c>
      <c r="E123" s="31">
        <v>7</v>
      </c>
      <c r="F123" s="31" t="s">
        <v>144</v>
      </c>
      <c r="G123" s="31"/>
      <c r="H123" s="28">
        <v>46418</v>
      </c>
      <c r="I123" s="55" t="s">
        <v>343</v>
      </c>
      <c r="J123" s="53"/>
      <c r="K123" s="28">
        <v>46387</v>
      </c>
      <c r="L123" s="43"/>
      <c r="M123" s="31"/>
      <c r="N123" s="31"/>
      <c r="O123" s="36"/>
      <c r="P123" s="74"/>
      <c r="R123" s="43"/>
      <c r="S123" s="31"/>
      <c r="T123" s="68"/>
      <c r="U123" s="46"/>
      <c r="W123" s="43"/>
      <c r="X123" s="46"/>
      <c r="Y123" s="46"/>
      <c r="Z123" s="36"/>
      <c r="AB123" s="43"/>
      <c r="AC123" s="43"/>
      <c r="AD123" s="31"/>
      <c r="AE123" s="31"/>
      <c r="AF123" s="31"/>
      <c r="AG123" s="31"/>
      <c r="AH123" s="31"/>
      <c r="AI123" s="31"/>
      <c r="AJ123" s="31"/>
      <c r="AK123" s="31"/>
      <c r="AL123" s="31"/>
      <c r="AM123" s="31" t="str" cm="1">
        <f t="array" ref="AM123">_xlfn.LET(_xlpm.rep,$B123,_xlpm.sent,_xlfn.MAXIFS('Rework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3" s="31" t="str" cm="1">
        <f t="array" ref="AN123">_xlfn.LET(_xlpm.rep,$B123,_xlpm.sent,_xlfn.MAXIFS('Rework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4" spans="1:40" ht="14.45">
      <c r="A124" s="31" t="s">
        <v>341</v>
      </c>
      <c r="B124" s="31" t="s">
        <v>350</v>
      </c>
      <c r="C124" s="31" t="s">
        <v>253</v>
      </c>
      <c r="E124" s="31">
        <v>8</v>
      </c>
      <c r="F124" s="31" t="s">
        <v>144</v>
      </c>
      <c r="G124" s="31"/>
      <c r="H124" s="28">
        <v>46418</v>
      </c>
      <c r="I124" s="55" t="s">
        <v>343</v>
      </c>
      <c r="J124" s="53"/>
      <c r="K124" s="28">
        <v>46387</v>
      </c>
      <c r="L124" s="43"/>
      <c r="M124" s="31"/>
      <c r="N124" s="31"/>
      <c r="O124" s="36"/>
      <c r="P124" s="74"/>
      <c r="R124" s="43"/>
      <c r="S124" s="31"/>
      <c r="T124" s="68"/>
      <c r="U124" s="46"/>
      <c r="W124" s="43"/>
      <c r="X124" s="46"/>
      <c r="Y124" s="46"/>
      <c r="Z124" s="36"/>
      <c r="AB124" s="43"/>
      <c r="AC124" s="43"/>
      <c r="AD124" s="31"/>
      <c r="AE124" s="31"/>
      <c r="AF124" s="31"/>
      <c r="AG124" s="31"/>
      <c r="AH124" s="31"/>
      <c r="AI124" s="31"/>
      <c r="AJ124" s="31"/>
      <c r="AK124" s="31"/>
      <c r="AL124" s="31"/>
      <c r="AM124" s="31" t="str" cm="1">
        <f t="array" ref="AM124">_xlfn.LET(_xlpm.rep,$B124,_xlpm.sent,_xlfn.MAXIFS('Rework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4" s="31" t="str" cm="1">
        <f t="array" ref="AN124">_xlfn.LET(_xlpm.rep,$B124,_xlpm.sent,_xlfn.MAXIFS('Rework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5" spans="1:40" ht="14.45">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4.45">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row r="529" spans="1:33" ht="15" customHeight="1">
      <c r="A529" s="31"/>
      <c r="B529" s="31"/>
      <c r="C529" s="31"/>
      <c r="E529" s="31"/>
      <c r="F529" s="31"/>
      <c r="G529" s="31"/>
      <c r="J529" s="31"/>
      <c r="L529" s="31"/>
      <c r="M529" s="31"/>
      <c r="N529" s="31"/>
      <c r="O529" s="31"/>
      <c r="P529" s="65"/>
      <c r="R529" s="31"/>
      <c r="S529" s="31"/>
      <c r="T529" s="70"/>
      <c r="U529" s="31"/>
      <c r="W529" s="31"/>
      <c r="Y529" s="31"/>
      <c r="Z529" s="31"/>
      <c r="AA529" s="31"/>
      <c r="AB529" s="31"/>
      <c r="AC529" s="31"/>
      <c r="AD529" s="31"/>
      <c r="AE529" s="31"/>
      <c r="AG529" s="31"/>
    </row>
  </sheetData>
  <sheetProtection formatColumns="0" formatRows="0" sort="0" autoFilter="0"/>
  <phoneticPr fontId="17" type="noConversion"/>
  <conditionalFormatting sqref="B121:B124">
    <cfRule type="expression" dxfId="176" priority="4">
      <formula>AND($B121&lt;&gt;"",MOD(ROW(),2)=0)</formula>
    </cfRule>
  </conditionalFormatting>
  <conditionalFormatting sqref="C2:C124">
    <cfRule type="expression" dxfId="175" priority="643">
      <formula>LEFT($AK2,4)="Move"</formula>
    </cfRule>
  </conditionalFormatting>
  <conditionalFormatting sqref="D2:D529">
    <cfRule type="expression" dxfId="174" priority="68">
      <formula>ISNUMBER(SEARCH("no target",$D2))</formula>
    </cfRule>
    <cfRule type="expression" dxfId="173" priority="66">
      <formula>ISNUMBER(SEARCH("Blocked",$D2))</formula>
    </cfRule>
    <cfRule type="expression" dxfId="172" priority="67">
      <formula>ISNUMBER(SEARCH("overdue",$D2))</formula>
    </cfRule>
    <cfRule type="expression" dxfId="171" priority="70">
      <formula>OR($D2="On track",$D2="Delivered")</formula>
    </cfRule>
    <cfRule type="expression" dxfId="170" priority="69">
      <formula>ISNUMBER(SEARCH("Review",$D2))</formula>
    </cfRule>
  </conditionalFormatting>
  <conditionalFormatting sqref="D89">
    <cfRule type="expression" dxfId="169" priority="642">
      <formula>AND($B50&lt;&gt;"",MOD(ROW(),2)=0)</formula>
    </cfRule>
  </conditionalFormatting>
  <conditionalFormatting sqref="G118:AC120 C121:AC124 B125:AC125 A126:AC529 W72:Y117 A74:V116 G117:AE117 A117:F120 G2:V40 W2:Y54 N3:N44 L41:V42 G43:V64 G65:Q65 T65:V65 G66:V73 G41:J42 Z2:AL2 Z3 Z4:AL41 Z42:AK42 Z43:AL44 Z45:AK47 Z48:AL72 W55:X55 W56:Y58 W59:X59 W60:Y70 W71 Z73:AH101 Z102:AE116 AB3:AL3 AJ30:AJ42 AJ44:AJ48 AJ117 A121:A124 A2:F88">
    <cfRule type="expression" dxfId="168" priority="82">
      <formula>AND($B2&lt;&gt;"",MOD(ROW(),2)=0)</formula>
    </cfRule>
  </conditionalFormatting>
  <conditionalFormatting sqref="J2:O124">
    <cfRule type="expression" dxfId="167" priority="44">
      <formula>$AJ2="Yes – needs DB Dev to fix"</formula>
    </cfRule>
  </conditionalFormatting>
  <conditionalFormatting sqref="J118:O194">
    <cfRule type="expression" dxfId="166" priority="49">
      <formula>$AH118="Yes – needs DB Dev to fix"</formula>
    </cfRule>
  </conditionalFormatting>
  <conditionalFormatting sqref="K41">
    <cfRule type="expression" dxfId="165" priority="625">
      <formula>AND($B41&lt;&gt;"",MOD(ROW(),2)=0)</formula>
    </cfRule>
    <cfRule type="expression" dxfId="164" priority="626">
      <formula>$AJ41="Yes – needs DB Dev to fix"</formula>
    </cfRule>
  </conditionalFormatting>
  <conditionalFormatting sqref="K42">
    <cfRule type="expression" dxfId="163" priority="627">
      <formula>AND($B41&lt;&gt;"",MOD(ROW(),2)=0)</formula>
    </cfRule>
    <cfRule type="expression" dxfId="162" priority="628">
      <formula>$AJ41="Yes – needs DB Dev to fix"</formula>
    </cfRule>
  </conditionalFormatting>
  <conditionalFormatting sqref="K118:K124">
    <cfRule type="expression" dxfId="161" priority="15">
      <formula>$AA118="Yes – needs DB Dev to fix"</formula>
    </cfRule>
  </conditionalFormatting>
  <conditionalFormatting sqref="K73:L101">
    <cfRule type="expression" dxfId="160" priority="141">
      <formula>$AF73="Yes – needs DB Dev to fix"</formula>
    </cfRule>
  </conditionalFormatting>
  <conditionalFormatting sqref="K102:L117">
    <cfRule type="expression" dxfId="159" priority="371">
      <formula>$AA102="Yes – needs DB Dev to fix"</formula>
    </cfRule>
  </conditionalFormatting>
  <conditionalFormatting sqref="K118:L529">
    <cfRule type="expression" dxfId="158" priority="598">
      <formula>$X118="Yes – needs DB Dev to fix"</formula>
    </cfRule>
  </conditionalFormatting>
  <conditionalFormatting sqref="L110:L111">
    <cfRule type="expression" dxfId="157" priority="20">
      <formula>$AA110="Yes – needs PBI Dev to fix"</formula>
    </cfRule>
  </conditionalFormatting>
  <conditionalFormatting sqref="L114:M114">
    <cfRule type="expression" dxfId="156" priority="8">
      <formula>$AA114="Yes – needs PBI Dev to fix"</formula>
    </cfRule>
  </conditionalFormatting>
  <conditionalFormatting sqref="L116:M116">
    <cfRule type="expression" dxfId="155" priority="5">
      <formula>$AA116="Yes – needs PBI Dev to fix"</formula>
    </cfRule>
  </conditionalFormatting>
  <conditionalFormatting sqref="M73">
    <cfRule type="expression" dxfId="154" priority="48">
      <formula>$AF73="Yes – needs DB Dev to fix"</formula>
    </cfRule>
  </conditionalFormatting>
  <conditionalFormatting sqref="M80:M82">
    <cfRule type="expression" dxfId="153" priority="22">
      <formula>$AF80="Yes – needs DB Dev to fix"</formula>
    </cfRule>
  </conditionalFormatting>
  <conditionalFormatting sqref="M84:M85">
    <cfRule type="expression" dxfId="152" priority="24">
      <formula>$AF84="Yes – needs DB Dev to fix"</formula>
    </cfRule>
  </conditionalFormatting>
  <conditionalFormatting sqref="M92">
    <cfRule type="expression" dxfId="151" priority="28">
      <formula>$AF92="Yes – needs DB Dev to fix"</formula>
    </cfRule>
  </conditionalFormatting>
  <conditionalFormatting sqref="M94:M95">
    <cfRule type="expression" dxfId="150" priority="21">
      <formula>$AF94="Yes – needs DB Dev to fix"</formula>
    </cfRule>
  </conditionalFormatting>
  <conditionalFormatting sqref="M110">
    <cfRule type="expression" dxfId="149" priority="10">
      <formula>$AA110="Yes – needs DB Dev to fix"</formula>
    </cfRule>
    <cfRule type="expression" dxfId="148" priority="9">
      <formula>$AA110="Yes – needs PBI Dev to fix"</formula>
    </cfRule>
  </conditionalFormatting>
  <conditionalFormatting sqref="M114">
    <cfRule type="expression" dxfId="147" priority="7">
      <formula>$AA114="Yes – needs DB Dev to fix"</formula>
    </cfRule>
  </conditionalFormatting>
  <conditionalFormatting sqref="M116">
    <cfRule type="expression" dxfId="146" priority="2">
      <formula>$AA116="Yes – needs DB Dev to fix"</formula>
    </cfRule>
  </conditionalFormatting>
  <conditionalFormatting sqref="M73:P101">
    <cfRule type="expression" dxfId="145" priority="326">
      <formula>$AD73="Yes – needs PBI Dev to fix"</formula>
    </cfRule>
  </conditionalFormatting>
  <conditionalFormatting sqref="M102:P117">
    <cfRule type="expression" dxfId="144" priority="373">
      <formula>$AA102="Yes – needs PBI Dev to fix"</formula>
    </cfRule>
  </conditionalFormatting>
  <conditionalFormatting sqref="M118:P529">
    <cfRule type="expression" dxfId="143" priority="599">
      <formula>$X118="Yes – needs PBI Dev to fix"</formula>
    </cfRule>
  </conditionalFormatting>
  <conditionalFormatting sqref="N58">
    <cfRule type="expression" dxfId="142" priority="29">
      <formula>$AD58="Yes – needs PBI Dev to fix"</formula>
    </cfRule>
  </conditionalFormatting>
  <conditionalFormatting sqref="N70">
    <cfRule type="expression" dxfId="141" priority="30">
      <formula>$AD70="Yes – needs PBI Dev to fix"</formula>
    </cfRule>
  </conditionalFormatting>
  <conditionalFormatting sqref="N83">
    <cfRule type="expression" dxfId="140" priority="26">
      <formula>$AD83="Yes – needs PBI Dev to fix"</formula>
    </cfRule>
  </conditionalFormatting>
  <conditionalFormatting sqref="N110:N111">
    <cfRule type="expression" dxfId="139" priority="19">
      <formula>$AD110="Yes – needs PBI Dev to fix"</formula>
    </cfRule>
  </conditionalFormatting>
  <conditionalFormatting sqref="N114">
    <cfRule type="expression" dxfId="138" priority="6">
      <formula>$AD114="Yes – needs PBI Dev to fix"</formula>
    </cfRule>
  </conditionalFormatting>
  <conditionalFormatting sqref="N116">
    <cfRule type="expression" dxfId="137" priority="1">
      <formula>$AD116="Yes – needs PBI Dev to fix"</formula>
    </cfRule>
  </conditionalFormatting>
  <conditionalFormatting sqref="O102:O115">
    <cfRule type="expression" dxfId="136" priority="23">
      <formula>$AD102="Yes – needs PBI Dev to fix"</formula>
    </cfRule>
  </conditionalFormatting>
  <conditionalFormatting sqref="O118:O122">
    <cfRule type="expression" dxfId="135" priority="3">
      <formula>$AA118="Yes – needs PBI Dev to fix"</formula>
    </cfRule>
  </conditionalFormatting>
  <conditionalFormatting sqref="Q73:Q101">
    <cfRule type="expression" dxfId="134" priority="42">
      <formula>$AJ73="Yes – needs DB Dev to fix"</formula>
    </cfRule>
    <cfRule type="expression" dxfId="133" priority="145">
      <formula>$AF73="Yes – needs PBI Dev to fix"</formula>
    </cfRule>
    <cfRule type="expression" dxfId="132" priority="43">
      <formula>$AF73="Yes – needs DB Dev to fix"</formula>
    </cfRule>
  </conditionalFormatting>
  <conditionalFormatting sqref="Q118:Q120">
    <cfRule type="expression" dxfId="131" priority="14">
      <formula>$AJ118="Yes – needs PBI Dev to fix"</formula>
    </cfRule>
    <cfRule type="expression" dxfId="130" priority="13">
      <formula>$AA118="Yes – needs QA to fix"</formula>
    </cfRule>
  </conditionalFormatting>
  <conditionalFormatting sqref="Q102:R117 X102:X117 V102:V120">
    <cfRule type="expression" dxfId="129" priority="41">
      <formula>$AA102="Yes – needs QA to fix"</formula>
    </cfRule>
  </conditionalFormatting>
  <conditionalFormatting sqref="Q118:R529">
    <cfRule type="expression" dxfId="128" priority="600">
      <formula>$X118="Yes – needs QA to fix"</formula>
    </cfRule>
  </conditionalFormatting>
  <conditionalFormatting sqref="Q2:U64 U10:V19 X10:X19 J29 M29:P29 J32:J33 M32:P33 K40:K41 M40:P41 Q65 T65:U65 Q66:U116 V102:V116 X102:X117 Q117:V117">
    <cfRule type="expression" dxfId="127" priority="56">
      <formula>$AJ2="Yes – needs PBI Dev to fix"</formula>
    </cfRule>
  </conditionalFormatting>
  <conditionalFormatting sqref="R58">
    <cfRule type="expression" dxfId="126" priority="341">
      <formula>AND($B65&lt;&gt;"",MOD(ROW(),2)=0)</formula>
    </cfRule>
    <cfRule type="expression" dxfId="125" priority="343">
      <formula>$AJ65="Yes – needs PBI Dev to fix"</formula>
    </cfRule>
  </conditionalFormatting>
  <conditionalFormatting sqref="R60">
    <cfRule type="expression" dxfId="124" priority="33">
      <formula>AND($B67&lt;&gt;"",MOD(ROW(),2)=0)</formula>
    </cfRule>
    <cfRule type="expression" dxfId="123" priority="34">
      <formula>$AJ67="Yes – needs PBI Dev to fix"</formula>
    </cfRule>
  </conditionalFormatting>
  <conditionalFormatting sqref="R60:S60">
    <cfRule type="expression" dxfId="122" priority="31">
      <formula>AND($B67&lt;&gt;"",MOD(ROW(),2)=0)</formula>
    </cfRule>
    <cfRule type="expression" dxfId="121" priority="32">
      <formula>$AJ67="Yes – needs PBI Dev to fix"</formula>
    </cfRule>
  </conditionalFormatting>
  <conditionalFormatting sqref="R73:U101 T97:T102">
    <cfRule type="expression" dxfId="120" priority="147">
      <formula>$AF73="Yes – needs QA to fix"</formula>
    </cfRule>
  </conditionalFormatting>
  <conditionalFormatting sqref="S102:U117">
    <cfRule type="expression" dxfId="119" priority="387">
      <formula>$AA102="Yes – needs DPO Approval to fix"</formula>
    </cfRule>
  </conditionalFormatting>
  <conditionalFormatting sqref="S118:U529">
    <cfRule type="expression" dxfId="118" priority="601">
      <formula>$X118="Yes – needs DPO Approval to fix"</formula>
    </cfRule>
  </conditionalFormatting>
  <conditionalFormatting sqref="U102:V529 X102:X529">
    <cfRule type="expression" dxfId="117" priority="74">
      <formula>$V102="Yes"</formula>
    </cfRule>
  </conditionalFormatting>
  <conditionalFormatting sqref="U73:Y101">
    <cfRule type="expression" dxfId="116" priority="149">
      <formula>$AF73="Yes – needs DPO Approval to fix"</formula>
    </cfRule>
  </conditionalFormatting>
  <conditionalFormatting sqref="V118:V120">
    <cfRule type="expression" dxfId="115" priority="11">
      <formula>$AJ118="Yes – needs QA to fix"</formula>
    </cfRule>
    <cfRule type="expression" dxfId="114" priority="12">
      <formula>$AJ118="Yes – needs PBI Dev to fix"</formula>
    </cfRule>
  </conditionalFormatting>
  <conditionalFormatting sqref="X118:X529">
    <cfRule type="expression" dxfId="113" priority="602">
      <formula>LEFT($X118,3)="Yes"</formula>
    </cfRule>
  </conditionalFormatting>
  <conditionalFormatting sqref="X73:Z101">
    <cfRule type="expression" dxfId="112" priority="501">
      <formula>$Y73="Yes"</formula>
    </cfRule>
  </conditionalFormatting>
  <conditionalFormatting sqref="Z118:AA529">
    <cfRule type="expression" dxfId="111" priority="79">
      <formula>ISNUMBER(SEARCH("Move old",$Z118))</formula>
    </cfRule>
    <cfRule type="expression" dxfId="110" priority="80">
      <formula>ISNUMBER(SEARCH("Duplicate",$Z118))</formula>
    </cfRule>
    <cfRule type="expression" dxfId="109" priority="81">
      <formula>$Z118&lt;&gt;""</formula>
    </cfRule>
    <cfRule type="expression" dxfId="108" priority="79">
      <formula>ISNUMBER(SEARCH("Open rework",$Z118))</formula>
    </cfRule>
    <cfRule type="expression" dxfId="107" priority="79">
      <formula>ISNUMBER(SEARCH("log it",$Z118))</formula>
    </cfRule>
  </conditionalFormatting>
  <conditionalFormatting sqref="AA3">
    <cfRule type="expression" dxfId="106" priority="630">
      <formula>$AJ3="Yes – needs DPO Approval to fix"</formula>
    </cfRule>
    <cfRule type="expression" dxfId="105" priority="629">
      <formula>AND($B3&lt;&gt;"",MOD(ROW(),2)=0)</formula>
    </cfRule>
  </conditionalFormatting>
  <conditionalFormatting sqref="AA102:AA116 U117:AA117 U2:Z54 U55:X55 Z55 U56:Z58 U59:X59 Z59 U60:Z70 U71:W71 Z71 U72:Z117">
    <cfRule type="expression" dxfId="104" priority="39">
      <formula>$AJ2="Yes – needs QA to fix"</formula>
    </cfRule>
  </conditionalFormatting>
  <conditionalFormatting sqref="AA102:AA117">
    <cfRule type="expression" dxfId="103" priority="36">
      <formula>$AJ102="Yes – needs PBI Dev to fix"</formula>
    </cfRule>
    <cfRule type="expression" dxfId="102" priority="37">
      <formula>$AA102="Yes – needs QA to fix"</formula>
    </cfRule>
    <cfRule type="expression" dxfId="101" priority="38">
      <formula>$V102="Yes"</formula>
    </cfRule>
    <cfRule type="expression" dxfId="100" priority="395">
      <formula>LEFT($AA102,3)="Yes"</formula>
    </cfRule>
  </conditionalFormatting>
  <conditionalFormatting sqref="AA2:AE2 AB3:AE3 AA4:AE101">
    <cfRule type="expression" dxfId="99" priority="123">
      <formula>$AJ2="Yes – needs DPO Approval to fix"</formula>
    </cfRule>
  </conditionalFormatting>
  <conditionalFormatting sqref="AB102:AC117">
    <cfRule type="expression" dxfId="98" priority="403">
      <formula>ISNUMBER(SEARCH("Open rework",$AB102))</formula>
    </cfRule>
    <cfRule type="expression" dxfId="97" priority="404">
      <formula>ISNUMBER(SEARCH("Move old",$AB102))</formula>
    </cfRule>
    <cfRule type="expression" dxfId="96" priority="405">
      <formula>ISNUMBER(SEARCH("log it",$AB102))</formula>
    </cfRule>
    <cfRule type="expression" dxfId="95" priority="406">
      <formula>ISNUMBER(SEARCH("Duplicate",$AB102))</formula>
    </cfRule>
    <cfRule type="expression" dxfId="94" priority="407">
      <formula>$AB102&lt;&gt;""</formula>
    </cfRule>
  </conditionalFormatting>
  <conditionalFormatting sqref="AF2:AF124">
    <cfRule type="expression" dxfId="93" priority="95">
      <formula>$AF2="Yes"</formula>
    </cfRule>
  </conditionalFormatting>
  <conditionalFormatting sqref="AF73:AF101">
    <cfRule type="expression" dxfId="92" priority="153">
      <formula>LEFT($AF73,3)="Yes"</formula>
    </cfRule>
  </conditionalFormatting>
  <conditionalFormatting sqref="AG73:AG101">
    <cfRule type="expression" dxfId="91" priority="159">
      <formula>ISNUMBER(SEARCH("Open rework",$AG73))</formula>
    </cfRule>
    <cfRule type="expression" dxfId="90" priority="160">
      <formula>ISNUMBER(SEARCH("Move old",$AG73))</formula>
    </cfRule>
    <cfRule type="expression" dxfId="89" priority="163">
      <formula>$AG73&lt;&gt;""</formula>
    </cfRule>
    <cfRule type="expression" dxfId="88" priority="162">
      <formula>ISNUMBER(SEARCH("Duplicate",$AG73))</formula>
    </cfRule>
    <cfRule type="expression" dxfId="87" priority="161">
      <formula>ISNUMBER(SEARCH("log it",$AG73))</formula>
    </cfRule>
  </conditionalFormatting>
  <conditionalFormatting sqref="AJ2:AJ124">
    <cfRule type="expression" dxfId="86" priority="97">
      <formula>LEFT($AJ2,3)="Yes"</formula>
    </cfRule>
  </conditionalFormatting>
  <conditionalFormatting sqref="AK2:AK124">
    <cfRule type="expression" dxfId="85" priority="107">
      <formula>$AK2&lt;&gt;""</formula>
    </cfRule>
    <cfRule type="expression" dxfId="84" priority="106">
      <formula>ISNUMBER(SEARCH("Duplicate",$AK2))</formula>
    </cfRule>
    <cfRule type="expression" dxfId="83" priority="105">
      <formula>ISNUMBER(SEARCH("Move old",$AK2))</formula>
    </cfRule>
    <cfRule type="expression" dxfId="82" priority="103">
      <formula>ISNUMBER(SEARCH("log it",$AK2))</formula>
    </cfRule>
    <cfRule type="expression" dxfId="81" priority="104">
      <formula>ISNUMBER(SEARCH("Open rework",$AK2))</formula>
    </cfRule>
  </conditionalFormatting>
  <conditionalFormatting sqref="AL45:AL47">
    <cfRule type="expression" dxfId="80" priority="46">
      <formula>AND($B49&lt;&gt;"",MOD(ROW(),2)=0)</formula>
    </cfRule>
  </conditionalFormatting>
  <dataValidations count="9">
    <dataValidation type="date" operator="greaterThanOrEqual" allowBlank="1" showErrorMessage="1" errorTitle="Real date only" error="This column only accepts real dates. Put notes in Comments instead." sqref="L117 AB2:AB72 S118:S529 Y118:Y529 Q2:R64 Q65 M82 W2:W72 X2:X60 M85 S73 X62:X70 X72:X73 V2:V120 AA2:AA117 H2:H529 L2:L109 W102:X529 M94:M95 Q66:R529 L118:M529 L112:L113 L115 K2:K529 M88" xr:uid="{00000000-0002-0000-0100-000000000000}">
      <formula1>DATE(2020,1,1)</formula1>
    </dataValidation>
    <dataValidation allowBlank="1" showInputMessage="1" showErrorMessage="1" sqref="AE1" xr:uid="{FECAB9FC-5D18-4A69-8AB2-F9B5CCD5292C}"/>
    <dataValidation type="list" allowBlank="1" showInputMessage="1" showErrorMessage="1" sqref="AC118:AC1048576 AE2:AE124"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1 M83:M84 L110:L111 M117 L114:M114 M96:M113 L116:M116 M115 M86:M87 M89:M9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7 S74:S117 W71 Y72:Y117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7 W71 Y72:Y117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24" xr:uid="{7EAE3209-EAF4-4EFD-85BE-F4614D0FF701}">
      <formula1>43831</formula1>
    </dataValidation>
    <dataValidation operator="greaterThanOrEqual" allowBlank="1" showErrorMessage="1" errorTitle="Real date only" error="This column only accepts real dates. Put notes in Comments instead." sqref="P1:P1048570" xr:uid="{DAD9BD11-4282-4C05-A84B-0F51450196AD}"/>
    <dataValidation type="list" allowBlank="1" showInputMessage="1" showErrorMessage="1" sqref="J1:J1048570"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X118:X529 U118:U529 V121:V529</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X118:X529</xm:sqref>
        </x14:dataValidation>
        <x14:dataValidation type="list" allowBlank="1" showInputMessage="1" promptTitle="QA Tester" prompt="Pick from the list, or type a new name." xr:uid="{00000000-0002-0000-0100-000006000000}">
          <x14:formula1>
            <xm:f>'Data Validation'!$H$3:$H$6</xm:f>
          </x14:formula1>
          <xm:sqref>U118:U529</xm:sqref>
        </x14:dataValidation>
        <x14:dataValidation type="list" allowBlank="1" showInputMessage="1" promptTitle="Current Status" prompt="Where is this report right now?" xr:uid="{00000000-0002-0000-0100-000002000000}">
          <x14:formula1>
            <xm:f>'Data Validation'!$F$3:$F$9</xm:f>
          </x14:formula1>
          <xm:sqref>C125:C529</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U2:U117</xm:sqref>
        </x14:dataValidation>
        <x14:dataValidation type="list" allowBlank="1" showInputMessage="1" showErrorMessage="1" xr:uid="{DE28ABC5-7592-4DD3-8CAA-C21F555A62CA}">
          <x14:formula1>
            <xm:f>'Data Validation'!$E$3:$E$4</xm:f>
          </x14:formula1>
          <xm:sqref>AF73:AF101</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C2:C124</xm:sqref>
        </x14:dataValidation>
        <x14:dataValidation type="list" allowBlank="1" showInputMessage="1" promptTitle="Domain" prompt="Pick from the list, or type a new domain." xr:uid="{00000000-0002-0000-0100-000001000000}">
          <x14:formula1>
            <xm:f>'Data Validation'!$A$3:$A$7</xm:f>
          </x14:formula1>
          <xm:sqref>A126:A529 A2:A124</xm:sqref>
        </x14:dataValidation>
        <x14:dataValidation type="list" allowBlank="1" showInputMessage="1" promptTitle="PO" prompt="Pick from the list, or type a new PO name." xr:uid="{00000000-0002-0000-0100-000003000000}">
          <x14:formula1>
            <xm:f>'Data Validation'!$D$3:$D$4</xm:f>
          </x14:formula1>
          <xm:sqref>F2:F529</xm:sqref>
        </x14:dataValidation>
        <x14:dataValidation type="list" allowBlank="1" showInputMessage="1" promptTitle="PBI Developer" prompt="Pick from the list, or type a new name." xr:uid="{00000000-0002-0000-0100-000005000000}">
          <x14:formula1>
            <xm:f>'Data Validation'!$C$3:$C$5</xm:f>
          </x14:formula1>
          <xm:sqref>P2:P529</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351</v>
      </c>
    </row>
    <row r="2" spans="1:5">
      <c r="A2" s="6" t="s">
        <v>352</v>
      </c>
    </row>
    <row r="4" spans="1:5" ht="21.95" customHeight="1">
      <c r="A4" s="5" t="s">
        <v>353</v>
      </c>
      <c r="B4" s="267"/>
      <c r="C4" s="268"/>
      <c r="D4" s="268"/>
      <c r="E4" s="268"/>
    </row>
    <row r="6" spans="1:5">
      <c r="A6" s="42" t="s">
        <v>0</v>
      </c>
      <c r="B6" s="223" t="str">
        <f>IF($B$4="","",IFERROR(INDEX('Combined Delivery Data'!$A:$A,MATCH($B$4,'Combined Delivery Data'!$B:$B,0)),""))</f>
        <v/>
      </c>
      <c r="C6" s="269"/>
      <c r="D6" s="269"/>
      <c r="E6" s="270"/>
    </row>
    <row r="7" spans="1:5">
      <c r="A7" s="42" t="s">
        <v>354</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355</v>
      </c>
      <c r="B14" s="222" t="str">
        <f>IF($B$4="","",IFERROR(INDEX('Combined Delivery Data'!$K:$K,MATCH($B$4,'Combined Delivery Data'!$B:$B,0)),""))</f>
        <v/>
      </c>
      <c r="C14" s="269"/>
      <c r="D14" s="269"/>
      <c r="E14" s="270"/>
    </row>
    <row r="15" spans="1:5">
      <c r="A15" s="42" t="s">
        <v>356</v>
      </c>
      <c r="B15" s="222" t="str">
        <f>IF($B$4="","",IFERROR(INDEX('Combined Delivery Data'!$L:$L,MATCH($B$4,'Combined Delivery Data'!$B:$B,0)),""))</f>
        <v/>
      </c>
      <c r="C15" s="269"/>
      <c r="D15" s="269"/>
      <c r="E15" s="270"/>
    </row>
    <row r="16" spans="1:5">
      <c r="A16" s="42" t="s">
        <v>357</v>
      </c>
      <c r="B16" s="222" t="str">
        <f>IF($B$4="","",IFERROR(INDEX('Combined Delivery Data'!$M:$M,MATCH($B$4,'Combined Delivery Data'!$B:$B,0)),""))</f>
        <v/>
      </c>
      <c r="C16" s="269"/>
      <c r="D16" s="269"/>
      <c r="E16" s="270"/>
    </row>
    <row r="17" spans="1:5">
      <c r="A17" s="42" t="s">
        <v>358</v>
      </c>
      <c r="B17" s="222" t="str">
        <f>IF($B$4="","",IFERROR(INDEX('Combined Delivery Data'!$O:$O,MATCH($B$4,'Combined Delivery Data'!$B:$B,0)),""))</f>
        <v/>
      </c>
      <c r="C17" s="269"/>
      <c r="D17" s="269"/>
      <c r="E17" s="270"/>
    </row>
    <row r="18" spans="1:5">
      <c r="A18" s="42" t="s">
        <v>359</v>
      </c>
      <c r="B18" s="222" t="str">
        <f>IF($B$4="","",IFERROR(INDEX('Combined Delivery Data'!$Q:$Q,MATCH($B$4,'Combined Delivery Data'!$B:$B,0)),""))</f>
        <v/>
      </c>
      <c r="C18" s="269"/>
      <c r="D18" s="269"/>
      <c r="E18" s="270"/>
    </row>
    <row r="19" spans="1:5">
      <c r="A19" s="42" t="s">
        <v>360</v>
      </c>
      <c r="B19" s="222" t="str">
        <f>IF($B$4="","",IFERROR(INDEX('Combined Delivery Data'!$R:$R,MATCH($B$4,'Combined Delivery Data'!$B:$B,0)),""))</f>
        <v/>
      </c>
      <c r="C19" s="269"/>
      <c r="D19" s="269"/>
      <c r="E19" s="270"/>
    </row>
    <row r="20" spans="1:5">
      <c r="A20" s="42" t="s">
        <v>361</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362</v>
      </c>
      <c r="B26" s="223" t="str">
        <f>IF($B$4="","",IFERROR(INDEX('Rework Log'!$Q:$Q,MATCH($B$4,'Rework Log'!$P:$P,0)),""))</f>
        <v/>
      </c>
      <c r="C26" s="269"/>
      <c r="D26" s="269"/>
      <c r="E26" s="270"/>
    </row>
    <row r="27" spans="1:5">
      <c r="A27" s="42" t="s">
        <v>363</v>
      </c>
      <c r="B27" s="223" t="str">
        <f>IF($B$4="","",IFERROR(INDEX('Rework Log'!$R:$R,MATCH($B$4,'Rework Log'!$P:$P,0)),""))</f>
        <v/>
      </c>
      <c r="C27" s="269"/>
      <c r="D27" s="269"/>
      <c r="E27" s="270"/>
    </row>
    <row r="28" spans="1:5">
      <c r="A28" s="42" t="s">
        <v>364</v>
      </c>
      <c r="B28" s="223" t="str">
        <f>IF($B$4="","",IFERROR(INDEX('Rework Log'!$S:$S,MATCH($B$4,'Rework Log'!$P:$P,0)),""))</f>
        <v/>
      </c>
      <c r="C28" s="269"/>
      <c r="D28" s="269"/>
      <c r="E28" s="270"/>
    </row>
    <row r="29" spans="1:5">
      <c r="A29" s="42" t="s">
        <v>365</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8" activePane="bottomLeft" state="frozen"/>
      <selection pane="bottomLeft" activeCell="K46" sqref="K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366</v>
      </c>
      <c r="C1" s="17" t="s">
        <v>367</v>
      </c>
      <c r="D1" s="17" t="s">
        <v>368</v>
      </c>
      <c r="E1" s="17" t="s">
        <v>369</v>
      </c>
      <c r="F1" s="17" t="s">
        <v>370</v>
      </c>
      <c r="G1" s="17" t="s">
        <v>371</v>
      </c>
      <c r="H1" s="56" t="s">
        <v>372</v>
      </c>
      <c r="I1" s="30" t="s">
        <v>373</v>
      </c>
      <c r="J1" s="30" t="s">
        <v>374</v>
      </c>
      <c r="K1" s="30" t="s">
        <v>375</v>
      </c>
      <c r="L1" s="30" t="s">
        <v>376</v>
      </c>
      <c r="M1" s="21" t="s">
        <v>377</v>
      </c>
      <c r="N1" s="21" t="s">
        <v>378</v>
      </c>
      <c r="P1" s="13" t="s">
        <v>1</v>
      </c>
      <c r="Q1" s="13" t="s">
        <v>362</v>
      </c>
      <c r="R1" s="13" t="s">
        <v>363</v>
      </c>
      <c r="S1" s="13" t="s">
        <v>364</v>
      </c>
      <c r="T1" s="13" t="s">
        <v>365</v>
      </c>
    </row>
    <row r="2" spans="1:20">
      <c r="A2" s="33" t="s">
        <v>143</v>
      </c>
      <c r="B2" s="36">
        <v>46230</v>
      </c>
      <c r="C2" s="33" t="s">
        <v>237</v>
      </c>
      <c r="D2" s="33" t="s">
        <v>257</v>
      </c>
      <c r="E2" s="33" t="s">
        <v>144</v>
      </c>
      <c r="F2" s="33" t="s">
        <v>379</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237</v>
      </c>
      <c r="D3" s="31" t="s">
        <v>257</v>
      </c>
      <c r="E3" s="31" t="s">
        <v>144</v>
      </c>
      <c r="F3" s="31" t="s">
        <v>380</v>
      </c>
      <c r="G3" s="31" t="s">
        <v>50</v>
      </c>
      <c r="H3" s="32" t="s">
        <v>155</v>
      </c>
      <c r="I3" s="32"/>
      <c r="J3" s="32">
        <v>46247</v>
      </c>
      <c r="K3" s="31" t="s">
        <v>60</v>
      </c>
      <c r="L3" s="31" t="s">
        <v>381</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237</v>
      </c>
      <c r="D4" s="31" t="s">
        <v>257</v>
      </c>
      <c r="E4" s="31" t="s">
        <v>129</v>
      </c>
      <c r="F4" s="31" t="s">
        <v>382</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237</v>
      </c>
      <c r="D5" s="31" t="s">
        <v>257</v>
      </c>
      <c r="E5" s="31" t="s">
        <v>129</v>
      </c>
      <c r="F5" s="31" t="s">
        <v>383</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237</v>
      </c>
      <c r="D6" s="31" t="s">
        <v>257</v>
      </c>
      <c r="E6" s="31" t="s">
        <v>129</v>
      </c>
      <c r="F6" s="31" t="s">
        <v>384</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237</v>
      </c>
      <c r="D7" s="31" t="s">
        <v>257</v>
      </c>
      <c r="E7" s="31" t="s">
        <v>129</v>
      </c>
      <c r="F7" s="31" t="s">
        <v>385</v>
      </c>
      <c r="G7" s="31" t="s">
        <v>50</v>
      </c>
      <c r="H7" s="32" t="s">
        <v>65</v>
      </c>
      <c r="I7" s="32"/>
      <c r="J7" s="32">
        <v>46251</v>
      </c>
      <c r="K7" s="31"/>
      <c r="L7" s="31"/>
      <c r="M7" s="3" t="str">
        <f t="shared" ca="1" si="4"/>
        <v>Fixed</v>
      </c>
      <c r="N7" t="s">
        <v>386</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237</v>
      </c>
      <c r="D8" s="31" t="s">
        <v>257</v>
      </c>
      <c r="E8" s="31" t="s">
        <v>144</v>
      </c>
      <c r="F8" s="31" t="s">
        <v>387</v>
      </c>
      <c r="G8" s="31" t="s">
        <v>50</v>
      </c>
      <c r="H8" s="32" t="s">
        <v>155</v>
      </c>
      <c r="I8" s="32"/>
      <c r="J8" s="32">
        <v>46254</v>
      </c>
      <c r="K8" s="31"/>
      <c r="L8" s="31"/>
      <c r="M8" s="3" t="str">
        <f t="shared" ca="1" si="4"/>
        <v>Fixed</v>
      </c>
      <c r="N8" t="s">
        <v>386</v>
      </c>
      <c r="P8" t="str">
        <f>'Combined Delivery Data'!B11</f>
        <v>RPT_04_SEI Leak Activity</v>
      </c>
      <c r="Q8">
        <f t="shared" si="0"/>
        <v>0</v>
      </c>
      <c r="R8">
        <f t="shared" si="1"/>
        <v>0</v>
      </c>
      <c r="S8" s="28" t="str">
        <f t="shared" si="2"/>
        <v/>
      </c>
      <c r="T8" t="str">
        <f t="shared" si="3"/>
        <v/>
      </c>
    </row>
    <row r="9" spans="1:20">
      <c r="A9" s="31" t="s">
        <v>143</v>
      </c>
      <c r="B9" s="32">
        <v>46237</v>
      </c>
      <c r="C9" s="31" t="s">
        <v>237</v>
      </c>
      <c r="D9" s="31" t="s">
        <v>257</v>
      </c>
      <c r="E9" s="31" t="s">
        <v>144</v>
      </c>
      <c r="F9" s="31" t="s">
        <v>380</v>
      </c>
      <c r="G9" s="31" t="s">
        <v>50</v>
      </c>
      <c r="H9" s="32" t="s">
        <v>84</v>
      </c>
      <c r="I9" s="32"/>
      <c r="J9" s="32">
        <v>46252</v>
      </c>
      <c r="K9" s="31"/>
      <c r="L9" s="31"/>
      <c r="M9" s="3" t="str">
        <f t="shared" ca="1" si="4"/>
        <v>Fixed</v>
      </c>
      <c r="N9" t="s">
        <v>386</v>
      </c>
      <c r="P9" t="str">
        <f>'Combined Delivery Data'!B12</f>
        <v>RPT_04_CMS Leak Productivity</v>
      </c>
      <c r="Q9">
        <f t="shared" si="0"/>
        <v>0</v>
      </c>
      <c r="R9">
        <f t="shared" si="1"/>
        <v>0</v>
      </c>
      <c r="S9" s="28" t="str">
        <f t="shared" si="2"/>
        <v/>
      </c>
      <c r="T9" t="str">
        <f t="shared" si="3"/>
        <v/>
      </c>
    </row>
    <row r="10" spans="1:20">
      <c r="A10" s="53" t="s">
        <v>135</v>
      </c>
      <c r="B10" s="32">
        <v>46254</v>
      </c>
      <c r="C10" s="31" t="s">
        <v>237</v>
      </c>
      <c r="D10" s="31" t="s">
        <v>257</v>
      </c>
      <c r="E10" s="31" t="s">
        <v>129</v>
      </c>
      <c r="F10" s="31" t="s">
        <v>382</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237</v>
      </c>
      <c r="D11" s="31" t="s">
        <v>257</v>
      </c>
      <c r="E11" s="31" t="s">
        <v>144</v>
      </c>
      <c r="F11" s="31" t="s">
        <v>388</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389</v>
      </c>
      <c r="P11" t="str">
        <f>'Combined Delivery Data'!B14</f>
        <v>RPT_04_Leak Summary Status</v>
      </c>
      <c r="Q11">
        <f t="shared" si="0"/>
        <v>0</v>
      </c>
      <c r="R11">
        <f t="shared" si="1"/>
        <v>0</v>
      </c>
      <c r="S11" s="28" t="str">
        <f t="shared" si="2"/>
        <v/>
      </c>
      <c r="T11" t="str">
        <f t="shared" si="3"/>
        <v/>
      </c>
    </row>
    <row r="12" spans="1:20">
      <c r="A12" s="53" t="s">
        <v>139</v>
      </c>
      <c r="B12" s="32">
        <v>46258</v>
      </c>
      <c r="C12" s="31" t="s">
        <v>237</v>
      </c>
      <c r="D12" s="31" t="s">
        <v>257</v>
      </c>
      <c r="E12" s="31" t="s">
        <v>129</v>
      </c>
      <c r="F12" s="31" t="s">
        <v>390</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237</v>
      </c>
      <c r="D13" s="31" t="s">
        <v>200</v>
      </c>
      <c r="E13" s="31" t="s">
        <v>144</v>
      </c>
      <c r="F13" s="31" t="s">
        <v>391</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237</v>
      </c>
      <c r="D14" s="31" t="s">
        <v>200</v>
      </c>
      <c r="E14" s="31" t="s">
        <v>144</v>
      </c>
      <c r="F14" s="31" t="s">
        <v>392</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237</v>
      </c>
      <c r="D15" s="31" t="s">
        <v>257</v>
      </c>
      <c r="E15" s="31" t="s">
        <v>144</v>
      </c>
      <c r="F15" s="31" t="s">
        <v>393</v>
      </c>
      <c r="G15" s="31" t="s">
        <v>50</v>
      </c>
      <c r="H15" s="32" t="s">
        <v>65</v>
      </c>
      <c r="I15" s="32"/>
      <c r="J15" s="32">
        <v>46258</v>
      </c>
      <c r="K15" s="31"/>
      <c r="L15" s="31"/>
      <c r="M15" s="3" t="str">
        <f t="shared" ca="1" si="4"/>
        <v>Fixed</v>
      </c>
      <c r="N15" t="s">
        <v>389</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237</v>
      </c>
      <c r="D16" s="31" t="s">
        <v>200</v>
      </c>
      <c r="E16" s="31" t="s">
        <v>144</v>
      </c>
      <c r="F16" s="31" t="s">
        <v>394</v>
      </c>
      <c r="G16" s="31" t="s">
        <v>50</v>
      </c>
      <c r="H16" s="32" t="s">
        <v>46</v>
      </c>
      <c r="I16" s="32"/>
      <c r="J16" s="32"/>
      <c r="K16" s="31"/>
      <c r="L16" s="31"/>
      <c r="M16" s="3"/>
      <c r="S16" s="28"/>
    </row>
    <row r="17" spans="1:20">
      <c r="A17" s="33" t="s">
        <v>181</v>
      </c>
      <c r="B17" s="32">
        <v>46261</v>
      </c>
      <c r="C17" s="31" t="s">
        <v>237</v>
      </c>
      <c r="D17" s="31" t="s">
        <v>257</v>
      </c>
      <c r="E17" s="31" t="s">
        <v>129</v>
      </c>
      <c r="F17" s="31" t="s">
        <v>395</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237</v>
      </c>
      <c r="D18" s="31" t="s">
        <v>200</v>
      </c>
      <c r="E18" s="31" t="s">
        <v>144</v>
      </c>
      <c r="F18" s="31" t="s">
        <v>396</v>
      </c>
      <c r="G18" s="31" t="s">
        <v>50</v>
      </c>
      <c r="H18" s="32" t="s">
        <v>46</v>
      </c>
      <c r="I18" s="32"/>
      <c r="J18" s="32">
        <v>46266</v>
      </c>
      <c r="K18" s="31"/>
      <c r="L18" s="31"/>
      <c r="M18" s="3" t="str">
        <f t="shared" ca="1" si="4"/>
        <v>Fixed</v>
      </c>
      <c r="N18" t="s">
        <v>386</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237</v>
      </c>
      <c r="D19" s="31" t="s">
        <v>200</v>
      </c>
      <c r="E19" s="31" t="s">
        <v>47</v>
      </c>
      <c r="F19" s="31" t="s">
        <v>397</v>
      </c>
      <c r="G19" s="31" t="s">
        <v>50</v>
      </c>
      <c r="H19" s="32" t="s">
        <v>77</v>
      </c>
      <c r="I19" s="32">
        <v>46265</v>
      </c>
      <c r="J19" s="32">
        <v>46265</v>
      </c>
      <c r="K19" s="31" t="s">
        <v>77</v>
      </c>
      <c r="L19" s="31" t="s">
        <v>398</v>
      </c>
      <c r="M19" s="3" t="str">
        <f t="shared" ca="1" si="4"/>
        <v>Fixed</v>
      </c>
      <c r="N19" t="s">
        <v>389</v>
      </c>
      <c r="P19" t="str">
        <f>'Combined Delivery Data'!B14</f>
        <v>RPT_04_Leak Summary Status</v>
      </c>
      <c r="Q19">
        <f t="shared" si="5"/>
        <v>0</v>
      </c>
      <c r="R19">
        <f t="shared" si="6"/>
        <v>0</v>
      </c>
      <c r="S19" s="28" t="str">
        <f t="shared" si="7"/>
        <v/>
      </c>
      <c r="T19" t="str">
        <f t="shared" si="8"/>
        <v/>
      </c>
    </row>
    <row r="20" spans="1:20">
      <c r="A20" s="31" t="s">
        <v>175</v>
      </c>
      <c r="B20" s="32">
        <v>46265</v>
      </c>
      <c r="C20" s="31" t="s">
        <v>237</v>
      </c>
      <c r="D20" s="31" t="s">
        <v>257</v>
      </c>
      <c r="E20" s="31" t="s">
        <v>47</v>
      </c>
      <c r="F20" s="31" t="s">
        <v>399</v>
      </c>
      <c r="G20" s="31" t="s">
        <v>50</v>
      </c>
      <c r="H20" s="32" t="s">
        <v>84</v>
      </c>
      <c r="I20" s="32">
        <v>46266</v>
      </c>
      <c r="J20" s="32">
        <v>46266</v>
      </c>
      <c r="K20" s="31"/>
      <c r="L20" s="31" t="s">
        <v>400</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237</v>
      </c>
      <c r="D21" s="31" t="s">
        <v>257</v>
      </c>
      <c r="E21" s="31" t="s">
        <v>129</v>
      </c>
      <c r="F21" s="31" t="s">
        <v>401</v>
      </c>
      <c r="G21" s="31" t="s">
        <v>50</v>
      </c>
      <c r="H21" s="32" t="s">
        <v>59</v>
      </c>
      <c r="I21" s="32"/>
      <c r="J21" s="32">
        <v>46266</v>
      </c>
      <c r="K21" s="31" t="s">
        <v>59</v>
      </c>
      <c r="L21" s="31"/>
      <c r="M21" s="3" t="str">
        <f t="shared" ca="1" si="4"/>
        <v>Fixed</v>
      </c>
      <c r="N21" t="s">
        <v>389</v>
      </c>
      <c r="P21" t="str">
        <f>'Combined Delivery Data'!B21</f>
        <v>RPT_04_Leak Life Cycle</v>
      </c>
      <c r="Q21">
        <f t="shared" si="5"/>
        <v>0</v>
      </c>
      <c r="R21">
        <f t="shared" si="6"/>
        <v>0</v>
      </c>
      <c r="S21" s="28" t="str">
        <f t="shared" si="7"/>
        <v/>
      </c>
      <c r="T21" t="str">
        <f t="shared" si="8"/>
        <v/>
      </c>
    </row>
    <row r="22" spans="1:20">
      <c r="A22" s="31" t="s">
        <v>169</v>
      </c>
      <c r="B22" s="32">
        <v>46266</v>
      </c>
      <c r="C22" s="31" t="s">
        <v>237</v>
      </c>
      <c r="D22" s="31" t="s">
        <v>200</v>
      </c>
      <c r="E22" s="31" t="s">
        <v>47</v>
      </c>
      <c r="F22" s="31" t="s">
        <v>402</v>
      </c>
      <c r="G22" s="31" t="s">
        <v>50</v>
      </c>
      <c r="H22" s="32" t="s">
        <v>46</v>
      </c>
      <c r="I22" s="32">
        <v>46267</v>
      </c>
      <c r="J22" s="32">
        <v>46268</v>
      </c>
      <c r="K22" s="31" t="s">
        <v>46</v>
      </c>
      <c r="L22" s="31" t="s">
        <v>400</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237</v>
      </c>
      <c r="D23" s="31" t="s">
        <v>200</v>
      </c>
      <c r="E23" s="31" t="s">
        <v>47</v>
      </c>
      <c r="F23" s="31" t="s">
        <v>403</v>
      </c>
      <c r="G23" s="31" t="s">
        <v>50</v>
      </c>
      <c r="H23" s="32" t="s">
        <v>46</v>
      </c>
      <c r="I23" s="138">
        <v>46267</v>
      </c>
      <c r="J23" s="32">
        <v>46268</v>
      </c>
      <c r="K23" s="31" t="s">
        <v>46</v>
      </c>
      <c r="L23" s="31" t="s">
        <v>400</v>
      </c>
      <c r="M23" s="3" t="str">
        <f t="shared" ca="1" si="4"/>
        <v>Fixed</v>
      </c>
      <c r="N23" t="s">
        <v>389</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237</v>
      </c>
      <c r="D24" s="31" t="s">
        <v>200</v>
      </c>
      <c r="E24" s="31" t="s">
        <v>47</v>
      </c>
      <c r="F24" s="76" t="s">
        <v>404</v>
      </c>
      <c r="G24" s="31" t="s">
        <v>50</v>
      </c>
      <c r="H24" s="32" t="s">
        <v>46</v>
      </c>
      <c r="I24" s="32">
        <v>46267</v>
      </c>
      <c r="J24" s="32">
        <v>46268</v>
      </c>
      <c r="K24" s="31" t="s">
        <v>46</v>
      </c>
      <c r="L24" s="31" t="s">
        <v>400</v>
      </c>
      <c r="M24" s="3" t="str">
        <f t="shared" ca="1" si="4"/>
        <v>Fixed</v>
      </c>
      <c r="N24" s="33" t="s">
        <v>389</v>
      </c>
      <c r="P24" t="str">
        <f>'Combined Delivery Data'!B24</f>
        <v>Leak 360 Dashboard</v>
      </c>
      <c r="Q24">
        <f t="shared" si="5"/>
        <v>0</v>
      </c>
      <c r="R24">
        <f t="shared" si="6"/>
        <v>0</v>
      </c>
      <c r="S24" s="28" t="str">
        <f t="shared" si="7"/>
        <v/>
      </c>
      <c r="T24" t="str">
        <f t="shared" si="8"/>
        <v/>
      </c>
    </row>
    <row r="25" spans="1:20">
      <c r="A25" s="53" t="s">
        <v>186</v>
      </c>
      <c r="B25" s="32">
        <v>46267</v>
      </c>
      <c r="C25" s="31" t="s">
        <v>237</v>
      </c>
      <c r="D25" s="31" t="s">
        <v>200</v>
      </c>
      <c r="E25" s="31" t="s">
        <v>129</v>
      </c>
      <c r="F25" s="31" t="s">
        <v>405</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57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237</v>
      </c>
      <c r="D26" s="31" t="s">
        <v>257</v>
      </c>
      <c r="E26" s="31" t="s">
        <v>129</v>
      </c>
      <c r="F26" s="31" t="s">
        <v>395</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389</v>
      </c>
      <c r="P26" t="str">
        <f>'Combined Delivery Data'!B26</f>
        <v>RPT_04_Main_Replacement Report</v>
      </c>
      <c r="Q26">
        <f t="shared" si="5"/>
        <v>0</v>
      </c>
      <c r="R26">
        <f t="shared" si="6"/>
        <v>0</v>
      </c>
      <c r="S26" s="28" t="str">
        <f t="shared" si="7"/>
        <v/>
      </c>
      <c r="T26" t="str">
        <f t="shared" si="8"/>
        <v/>
      </c>
    </row>
    <row r="27" spans="1:20">
      <c r="A27" s="31" t="s">
        <v>156</v>
      </c>
      <c r="B27" s="32">
        <v>46267</v>
      </c>
      <c r="C27" s="31" t="s">
        <v>237</v>
      </c>
      <c r="D27" s="31" t="s">
        <v>200</v>
      </c>
      <c r="E27" s="31" t="s">
        <v>144</v>
      </c>
      <c r="F27" s="31" t="s">
        <v>406</v>
      </c>
      <c r="G27" s="31" t="s">
        <v>50</v>
      </c>
      <c r="H27" s="32" t="s">
        <v>77</v>
      </c>
      <c r="I27" s="32"/>
      <c r="J27" s="32">
        <v>46267</v>
      </c>
      <c r="K27" s="31" t="s">
        <v>77</v>
      </c>
      <c r="L27" s="31" t="s">
        <v>407</v>
      </c>
      <c r="M27" s="3" t="str">
        <f t="shared" ca="1" si="4"/>
        <v>Fixed</v>
      </c>
      <c r="N27" t="s">
        <v>389</v>
      </c>
      <c r="P27" t="str">
        <f>'Combined Delivery Data'!B27</f>
        <v>New Report: Leak Repair Exception</v>
      </c>
      <c r="Q27">
        <f t="shared" si="5"/>
        <v>0</v>
      </c>
      <c r="R27">
        <f t="shared" si="6"/>
        <v>0</v>
      </c>
      <c r="S27" s="28" t="str">
        <f t="shared" si="7"/>
        <v/>
      </c>
      <c r="T27" t="str">
        <f t="shared" si="8"/>
        <v/>
      </c>
    </row>
    <row r="28" spans="1:20">
      <c r="A28" s="31" t="s">
        <v>137</v>
      </c>
      <c r="B28" s="32">
        <v>46267</v>
      </c>
      <c r="C28" s="31" t="s">
        <v>237</v>
      </c>
      <c r="D28" s="31" t="s">
        <v>200</v>
      </c>
      <c r="E28" s="31" t="s">
        <v>129</v>
      </c>
      <c r="F28" s="31" t="s">
        <v>406</v>
      </c>
      <c r="G28" s="31" t="s">
        <v>50</v>
      </c>
      <c r="H28" s="32" t="s">
        <v>77</v>
      </c>
      <c r="I28" s="32"/>
      <c r="J28" s="32">
        <v>46267</v>
      </c>
      <c r="K28" s="31" t="s">
        <v>77</v>
      </c>
      <c r="L28" s="113" t="s">
        <v>407</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237</v>
      </c>
      <c r="D29" s="31" t="s">
        <v>200</v>
      </c>
      <c r="E29" s="31" t="s">
        <v>129</v>
      </c>
      <c r="F29" s="31" t="s">
        <v>406</v>
      </c>
      <c r="G29" s="31" t="s">
        <v>50</v>
      </c>
      <c r="H29" s="32" t="s">
        <v>77</v>
      </c>
      <c r="I29" s="32"/>
      <c r="J29" s="32">
        <v>46267</v>
      </c>
      <c r="K29" s="31" t="s">
        <v>77</v>
      </c>
      <c r="L29" s="113" t="s">
        <v>407</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237</v>
      </c>
      <c r="D30" s="31" t="s">
        <v>257</v>
      </c>
      <c r="E30" s="31" t="s">
        <v>129</v>
      </c>
      <c r="F30" s="31" t="s">
        <v>408</v>
      </c>
      <c r="G30" s="31" t="s">
        <v>50</v>
      </c>
      <c r="H30" s="32" t="s">
        <v>155</v>
      </c>
      <c r="I30" s="32"/>
      <c r="J30" s="32">
        <v>46267</v>
      </c>
      <c r="K30" s="31" t="s">
        <v>155</v>
      </c>
      <c r="L30" s="31"/>
      <c r="M30" s="3" t="str">
        <f t="shared" ca="1" si="4"/>
        <v>Fixed</v>
      </c>
      <c r="N30" t="s">
        <v>389</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237</v>
      </c>
      <c r="D31" s="31" t="s">
        <v>257</v>
      </c>
      <c r="E31" s="31" t="s">
        <v>47</v>
      </c>
      <c r="F31" s="31" t="s">
        <v>409</v>
      </c>
      <c r="G31" s="31" t="s">
        <v>50</v>
      </c>
      <c r="H31" s="32" t="s">
        <v>103</v>
      </c>
      <c r="I31" s="32">
        <v>46269</v>
      </c>
      <c r="J31" s="32">
        <v>46269</v>
      </c>
      <c r="K31" s="31"/>
      <c r="L31" s="31" t="s">
        <v>400</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237</v>
      </c>
      <c r="D32" s="31" t="s">
        <v>257</v>
      </c>
      <c r="E32" s="31" t="s">
        <v>202</v>
      </c>
      <c r="F32" s="31" t="s">
        <v>410</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237</v>
      </c>
      <c r="D33" s="31" t="s">
        <v>257</v>
      </c>
      <c r="E33" s="31" t="s">
        <v>47</v>
      </c>
      <c r="F33" s="31" t="s">
        <v>411</v>
      </c>
      <c r="G33" s="31" t="s">
        <v>50</v>
      </c>
      <c r="H33" s="32" t="s">
        <v>103</v>
      </c>
      <c r="I33" s="32">
        <v>46274</v>
      </c>
      <c r="J33" s="32">
        <v>46274</v>
      </c>
      <c r="K33" s="31"/>
      <c r="L33" s="31" t="s">
        <v>400</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237</v>
      </c>
      <c r="D34" s="31" t="s">
        <v>200</v>
      </c>
      <c r="E34" s="31" t="s">
        <v>47</v>
      </c>
      <c r="F34" s="76" t="s">
        <v>412</v>
      </c>
      <c r="G34" s="31" t="s">
        <v>50</v>
      </c>
      <c r="H34" s="32" t="s">
        <v>77</v>
      </c>
      <c r="I34" s="32">
        <v>46275</v>
      </c>
      <c r="J34" s="32">
        <v>46275</v>
      </c>
      <c r="K34" s="31" t="s">
        <v>77</v>
      </c>
      <c r="L34" s="31" t="s">
        <v>413</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237</v>
      </c>
      <c r="D35" s="31" t="s">
        <v>257</v>
      </c>
      <c r="E35" s="31" t="s">
        <v>129</v>
      </c>
      <c r="F35" s="31" t="s">
        <v>414</v>
      </c>
      <c r="G35" s="31" t="s">
        <v>50</v>
      </c>
      <c r="H35" s="32" t="s">
        <v>155</v>
      </c>
      <c r="I35" s="32"/>
      <c r="J35" s="32">
        <v>46276</v>
      </c>
      <c r="K35" s="31" t="s">
        <v>155</v>
      </c>
      <c r="L35" s="31"/>
      <c r="M35" s="3" t="str">
        <f t="shared" ca="1" si="4"/>
        <v>Fixed</v>
      </c>
      <c r="N35" t="s">
        <v>389</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237</v>
      </c>
      <c r="D36" s="31" t="s">
        <v>257</v>
      </c>
      <c r="E36" s="31" t="s">
        <v>129</v>
      </c>
      <c r="F36" s="31" t="s">
        <v>415</v>
      </c>
      <c r="G36" s="31" t="s">
        <v>53</v>
      </c>
      <c r="H36" s="32" t="s">
        <v>65</v>
      </c>
      <c r="I36" s="32"/>
      <c r="J36" s="32">
        <v>46288</v>
      </c>
      <c r="K36" s="31"/>
      <c r="L36" s="31"/>
      <c r="M36" s="3" t="str">
        <f t="shared" ca="1" si="4"/>
        <v>Fixed</v>
      </c>
      <c r="N36" t="s">
        <v>389</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237</v>
      </c>
      <c r="D37" s="31" t="s">
        <v>257</v>
      </c>
      <c r="E37" s="31" t="s">
        <v>129</v>
      </c>
      <c r="F37" s="31" t="s">
        <v>416</v>
      </c>
      <c r="G37" s="31" t="s">
        <v>50</v>
      </c>
      <c r="H37" s="32" t="s">
        <v>155</v>
      </c>
      <c r="I37" s="32">
        <v>46282</v>
      </c>
      <c r="J37" s="32">
        <v>46282</v>
      </c>
      <c r="K37" s="31" t="s">
        <v>155</v>
      </c>
      <c r="L37" s="31" t="s">
        <v>417</v>
      </c>
      <c r="M37" s="3" t="str">
        <f t="shared" ca="1" si="4"/>
        <v>Fixed</v>
      </c>
      <c r="N37" t="s">
        <v>389</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237</v>
      </c>
      <c r="D38" s="31" t="s">
        <v>200</v>
      </c>
      <c r="E38" s="31" t="s">
        <v>144</v>
      </c>
      <c r="F38" s="31" t="s">
        <v>418</v>
      </c>
      <c r="G38" s="31" t="s">
        <v>50</v>
      </c>
      <c r="H38" s="32" t="s">
        <v>77</v>
      </c>
      <c r="I38" s="32">
        <v>46281</v>
      </c>
      <c r="J38" s="32">
        <v>46281</v>
      </c>
      <c r="K38" s="31" t="s">
        <v>77</v>
      </c>
      <c r="L38" s="31" t="s">
        <v>419</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237</v>
      </c>
      <c r="D39" s="31" t="s">
        <v>257</v>
      </c>
      <c r="E39" s="31" t="s">
        <v>47</v>
      </c>
      <c r="F39" s="31" t="s">
        <v>420</v>
      </c>
      <c r="G39" s="31" t="s">
        <v>50</v>
      </c>
      <c r="H39" s="32" t="s">
        <v>44</v>
      </c>
      <c r="I39" s="32">
        <v>46283</v>
      </c>
      <c r="J39" s="32">
        <v>46283</v>
      </c>
      <c r="K39" s="31"/>
      <c r="L39" s="31" t="s">
        <v>421</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205</v>
      </c>
      <c r="B40" s="32">
        <v>46281</v>
      </c>
      <c r="C40" s="31" t="s">
        <v>237</v>
      </c>
      <c r="D40" s="31" t="s">
        <v>200</v>
      </c>
      <c r="E40" s="31" t="s">
        <v>202</v>
      </c>
      <c r="F40" s="31" t="s">
        <v>422</v>
      </c>
      <c r="G40" s="31" t="s">
        <v>50</v>
      </c>
      <c r="H40" s="32" t="s">
        <v>46</v>
      </c>
      <c r="I40" s="32"/>
      <c r="J40" s="32"/>
      <c r="K40" s="31"/>
      <c r="L40" s="31"/>
      <c r="M40" s="3" t="str">
        <f t="shared" ca="1" si="4"/>
        <v>UNCLAIMED 43 d</v>
      </c>
      <c r="P40" t="str">
        <f>'Combined Delivery Data'!B41</f>
        <v>RPT_02_GRO Control</v>
      </c>
      <c r="Q40">
        <f t="shared" si="5"/>
        <v>0</v>
      </c>
      <c r="R40">
        <f t="shared" si="6"/>
        <v>0</v>
      </c>
      <c r="S40" s="28" t="str">
        <f t="shared" si="7"/>
        <v/>
      </c>
      <c r="T40" t="str">
        <f t="shared" si="8"/>
        <v/>
      </c>
    </row>
    <row r="41" spans="1:20">
      <c r="A41" s="31" t="s">
        <v>211</v>
      </c>
      <c r="B41" s="32">
        <v>46282</v>
      </c>
      <c r="C41" s="31" t="s">
        <v>237</v>
      </c>
      <c r="D41" s="31" t="s">
        <v>257</v>
      </c>
      <c r="E41" s="31" t="s">
        <v>47</v>
      </c>
      <c r="F41" s="31" t="s">
        <v>423</v>
      </c>
      <c r="G41" s="31" t="s">
        <v>50</v>
      </c>
      <c r="H41" s="32" t="s">
        <v>155</v>
      </c>
      <c r="I41" s="32">
        <v>46282</v>
      </c>
      <c r="J41" s="32">
        <v>46282</v>
      </c>
      <c r="K41" s="31"/>
      <c r="L41" s="31" t="s">
        <v>424</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237</v>
      </c>
      <c r="D42" s="31" t="s">
        <v>257</v>
      </c>
      <c r="E42" s="31" t="s">
        <v>129</v>
      </c>
      <c r="F42" s="31" t="s">
        <v>425</v>
      </c>
      <c r="G42" s="31" t="s">
        <v>50</v>
      </c>
      <c r="H42" s="32" t="s">
        <v>44</v>
      </c>
      <c r="I42" s="32"/>
      <c r="J42" s="32"/>
      <c r="K42" s="31"/>
      <c r="L42" s="31"/>
      <c r="M42" s="3" t="str">
        <f t="shared" ca="1" si="4"/>
        <v>UNCLAIMED 37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426</v>
      </c>
      <c r="D43" s="31" t="s">
        <v>200</v>
      </c>
      <c r="E43" s="31" t="s">
        <v>144</v>
      </c>
      <c r="F43" s="31" t="s">
        <v>427</v>
      </c>
      <c r="G43" s="31" t="s">
        <v>50</v>
      </c>
      <c r="H43" s="32" t="s">
        <v>60</v>
      </c>
      <c r="I43" s="32">
        <v>46294</v>
      </c>
      <c r="J43" s="32">
        <v>46295</v>
      </c>
      <c r="K43" s="31" t="s">
        <v>60</v>
      </c>
      <c r="L43" s="31" t="s">
        <v>428</v>
      </c>
      <c r="M43" s="3" t="str">
        <f t="shared" ca="1" si="4"/>
        <v>Fixed</v>
      </c>
      <c r="N43" t="s">
        <v>389</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237</v>
      </c>
      <c r="D44" s="31" t="s">
        <v>257</v>
      </c>
      <c r="E44" s="31" t="s">
        <v>129</v>
      </c>
      <c r="F44" s="31" t="s">
        <v>429</v>
      </c>
      <c r="G44" s="31" t="s">
        <v>53</v>
      </c>
      <c r="H44" s="32" t="s">
        <v>44</v>
      </c>
      <c r="I44" s="32"/>
      <c r="J44" s="32"/>
      <c r="K44" s="31"/>
      <c r="L44" s="31"/>
      <c r="M44" s="3" t="str">
        <f t="shared" ca="1" si="4"/>
        <v>UNCLAIMED 29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237</v>
      </c>
      <c r="D45" s="31" t="s">
        <v>257</v>
      </c>
      <c r="E45" s="31" t="s">
        <v>202</v>
      </c>
      <c r="F45" s="31" t="s">
        <v>430</v>
      </c>
      <c r="G45" s="31" t="s">
        <v>50</v>
      </c>
      <c r="H45" s="32" t="s">
        <v>84</v>
      </c>
      <c r="I45" s="32"/>
      <c r="J45" s="32">
        <v>46300</v>
      </c>
      <c r="K45" s="31" t="s">
        <v>84</v>
      </c>
      <c r="L45" s="31"/>
      <c r="M45" s="3" t="s">
        <v>431</v>
      </c>
      <c r="N45" t="s">
        <v>50</v>
      </c>
      <c r="S45" s="28"/>
    </row>
    <row r="46" spans="1:20">
      <c r="A46" s="53" t="s">
        <v>207</v>
      </c>
      <c r="B46" s="32">
        <v>46309</v>
      </c>
      <c r="C46" s="31" t="s">
        <v>237</v>
      </c>
      <c r="D46" s="31" t="s">
        <v>200</v>
      </c>
      <c r="E46" s="31" t="s">
        <v>129</v>
      </c>
      <c r="F46" s="31" t="s">
        <v>432</v>
      </c>
      <c r="G46" s="31" t="s">
        <v>53</v>
      </c>
      <c r="H46" s="32" t="s">
        <v>77</v>
      </c>
      <c r="I46" s="32"/>
      <c r="J46" s="32"/>
      <c r="K46" s="31" t="s">
        <v>77</v>
      </c>
      <c r="L46" s="31" t="s">
        <v>433</v>
      </c>
      <c r="M46" s="3" t="str">
        <f t="shared" ca="1" si="4"/>
        <v>UNCLAIMED 15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266</v>
      </c>
      <c r="B47" s="32">
        <v>46314</v>
      </c>
      <c r="C47" s="31" t="s">
        <v>237</v>
      </c>
      <c r="D47" s="31" t="s">
        <v>257</v>
      </c>
      <c r="E47" s="31" t="s">
        <v>129</v>
      </c>
      <c r="F47" s="31" t="s">
        <v>434</v>
      </c>
      <c r="G47" s="31" t="s">
        <v>53</v>
      </c>
      <c r="H47" s="32"/>
      <c r="I47" s="32"/>
      <c r="J47" s="32"/>
      <c r="K47" s="31"/>
      <c r="L47" s="31"/>
      <c r="M47" s="3" t="str">
        <f t="shared" ca="1" si="4"/>
        <v>UNCLAIMED 10 d</v>
      </c>
      <c r="N47" t="s">
        <v>50</v>
      </c>
      <c r="P47" t="str">
        <f>'Combined Delivery Data'!B48</f>
        <v>RPT_02_High Pressure Steel Inside Inspection</v>
      </c>
      <c r="Q47">
        <f t="shared" si="5"/>
        <v>0</v>
      </c>
      <c r="R47">
        <f t="shared" si="6"/>
        <v>0</v>
      </c>
      <c r="S47" s="28" t="str">
        <f t="shared" si="9"/>
        <v/>
      </c>
      <c r="T47" t="str">
        <f t="shared" si="10"/>
        <v/>
      </c>
    </row>
    <row r="48" spans="1:20">
      <c r="A48" s="31" t="s">
        <v>270</v>
      </c>
      <c r="B48" s="32">
        <v>46314</v>
      </c>
      <c r="C48" s="31" t="s">
        <v>237</v>
      </c>
      <c r="D48" s="31" t="s">
        <v>257</v>
      </c>
      <c r="E48" s="31" t="s">
        <v>129</v>
      </c>
      <c r="F48" s="31" t="s">
        <v>435</v>
      </c>
      <c r="G48" s="31" t="s">
        <v>53</v>
      </c>
      <c r="H48" s="32"/>
      <c r="I48" s="32"/>
      <c r="J48" s="32"/>
      <c r="K48" s="31"/>
      <c r="L48" s="31"/>
      <c r="M48" s="3" t="str">
        <f t="shared" ca="1" si="4"/>
        <v>UNCLAIMED 10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237</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237</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237</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237</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237</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237</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237</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237</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237</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237</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237</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237</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237</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237</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237</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237</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237</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237</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237</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237</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237</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237</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237</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237</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237</v>
      </c>
      <c r="D73" s="31"/>
      <c r="E73" s="31"/>
      <c r="F73" s="31"/>
      <c r="G73" s="31" t="s">
        <v>53</v>
      </c>
      <c r="H73" s="32"/>
      <c r="I73" s="32"/>
      <c r="J73" s="32"/>
      <c r="K73" s="31"/>
      <c r="L73" s="31"/>
      <c r="M73" s="3" t="str">
        <f t="shared" ca="1" si="12"/>
        <v/>
      </c>
      <c r="P73" t="str">
        <f>'Combined Delivery Data'!B102</f>
        <v>RPT_05_Department of Transportation</v>
      </c>
      <c r="Q73">
        <f t="shared" si="5"/>
        <v>0</v>
      </c>
      <c r="R73">
        <f t="shared" si="6"/>
        <v>0</v>
      </c>
      <c r="S73" s="28" t="str">
        <f t="shared" si="9"/>
        <v/>
      </c>
      <c r="T73" t="str">
        <f t="shared" si="10"/>
        <v/>
      </c>
    </row>
    <row r="74" spans="1:20">
      <c r="A74" s="31"/>
      <c r="B74" s="32"/>
      <c r="C74" s="31" t="s">
        <v>237</v>
      </c>
      <c r="D74" s="31"/>
      <c r="E74" s="31"/>
      <c r="F74" s="31"/>
      <c r="G74" s="31" t="s">
        <v>53</v>
      </c>
      <c r="H74" s="32"/>
      <c r="I74" s="32"/>
      <c r="J74" s="32"/>
      <c r="K74" s="31"/>
      <c r="L74" s="31"/>
      <c r="M74" s="3" t="str">
        <f t="shared" ca="1" si="12"/>
        <v/>
      </c>
      <c r="P74" t="str">
        <f>'Combined Delivery Data'!B103</f>
        <v>RPT_05_ Inside Meter Relocation</v>
      </c>
      <c r="Q74">
        <f t="shared" si="5"/>
        <v>0</v>
      </c>
      <c r="R74">
        <f t="shared" si="6"/>
        <v>0</v>
      </c>
      <c r="S74" s="28" t="str">
        <f t="shared" si="9"/>
        <v/>
      </c>
      <c r="T74" t="str">
        <f t="shared" si="10"/>
        <v/>
      </c>
    </row>
    <row r="75" spans="1:20">
      <c r="A75" s="31"/>
      <c r="B75" s="32"/>
      <c r="C75" s="31" t="s">
        <v>237</v>
      </c>
      <c r="D75" s="31"/>
      <c r="E75" s="31"/>
      <c r="F75" s="31"/>
      <c r="G75" s="31" t="s">
        <v>53</v>
      </c>
      <c r="H75" s="32"/>
      <c r="I75" s="32"/>
      <c r="J75" s="32"/>
      <c r="K75" s="31"/>
      <c r="L75" s="31"/>
      <c r="M75" s="3" t="str">
        <f t="shared" ca="1" si="12"/>
        <v/>
      </c>
      <c r="P75" t="str">
        <f>'Combined Delivery Data'!B104</f>
        <v>RPT_05_Mapped Work Order Information</v>
      </c>
      <c r="Q75">
        <f t="shared" si="5"/>
        <v>0</v>
      </c>
      <c r="R75">
        <f t="shared" si="6"/>
        <v>0</v>
      </c>
      <c r="S75" s="28" t="str">
        <f t="shared" si="9"/>
        <v/>
      </c>
      <c r="T75" t="str">
        <f t="shared" si="10"/>
        <v/>
      </c>
    </row>
    <row r="76" spans="1:20">
      <c r="A76" s="31"/>
      <c r="B76" s="32"/>
      <c r="C76" s="31" t="s">
        <v>237</v>
      </c>
      <c r="D76" s="31"/>
      <c r="E76" s="31"/>
      <c r="F76" s="31"/>
      <c r="G76" s="31" t="s">
        <v>53</v>
      </c>
      <c r="H76" s="32"/>
      <c r="I76" s="32"/>
      <c r="J76" s="32"/>
      <c r="K76" s="31"/>
      <c r="L76" s="31"/>
      <c r="M76" s="3" t="str">
        <f t="shared" ca="1" si="12"/>
        <v/>
      </c>
      <c r="P76" t="str">
        <f>'Combined Delivery Data'!B105</f>
        <v>RPT_06_Retired Meters</v>
      </c>
      <c r="Q76">
        <f t="shared" si="5"/>
        <v>0</v>
      </c>
      <c r="R76">
        <f t="shared" si="6"/>
        <v>0</v>
      </c>
      <c r="S76" s="28" t="str">
        <f t="shared" si="9"/>
        <v/>
      </c>
      <c r="T76" t="str">
        <f t="shared" si="10"/>
        <v/>
      </c>
    </row>
    <row r="77" spans="1:20">
      <c r="A77" s="31"/>
      <c r="B77" s="32"/>
      <c r="C77" s="31" t="s">
        <v>237</v>
      </c>
      <c r="D77" s="31"/>
      <c r="E77" s="31"/>
      <c r="F77" s="31"/>
      <c r="G77" s="31" t="s">
        <v>53</v>
      </c>
      <c r="H77" s="32"/>
      <c r="I77" s="32"/>
      <c r="J77" s="32"/>
      <c r="K77" s="31"/>
      <c r="L77" s="31"/>
      <c r="M77" s="3" t="str">
        <f t="shared" ca="1" si="12"/>
        <v/>
      </c>
      <c r="P77" t="str">
        <f>'Combined Delivery Data'!B106</f>
        <v>RPT_13_Survey Book</v>
      </c>
      <c r="Q77">
        <f t="shared" si="5"/>
        <v>0</v>
      </c>
      <c r="R77">
        <f t="shared" si="6"/>
        <v>0</v>
      </c>
      <c r="S77" s="28" t="str">
        <f t="shared" si="9"/>
        <v/>
      </c>
      <c r="T77" t="str">
        <f t="shared" si="10"/>
        <v/>
      </c>
    </row>
    <row r="78" spans="1:20">
      <c r="A78" s="31"/>
      <c r="B78" s="32"/>
      <c r="C78" s="31" t="s">
        <v>237</v>
      </c>
      <c r="D78" s="31"/>
      <c r="E78" s="31"/>
      <c r="F78" s="31"/>
      <c r="G78" s="31" t="s">
        <v>53</v>
      </c>
      <c r="H78" s="32"/>
      <c r="I78" s="32"/>
      <c r="J78" s="32"/>
      <c r="K78" s="31"/>
      <c r="L78" s="31"/>
      <c r="M78" s="3" t="str">
        <f t="shared" ca="1" si="12"/>
        <v/>
      </c>
      <c r="P78" t="str">
        <f>'Combined Delivery Data'!B107</f>
        <v>RPT_05_Leak Survey Mains Summary</v>
      </c>
      <c r="Q78">
        <f t="shared" si="5"/>
        <v>0</v>
      </c>
      <c r="R78">
        <f t="shared" si="6"/>
        <v>0</v>
      </c>
      <c r="S78" s="28" t="str">
        <f t="shared" si="9"/>
        <v/>
      </c>
      <c r="T78" t="str">
        <f t="shared" si="10"/>
        <v/>
      </c>
    </row>
    <row r="79" spans="1:20">
      <c r="A79" s="31"/>
      <c r="B79" s="32"/>
      <c r="C79" s="31" t="s">
        <v>237</v>
      </c>
      <c r="D79" s="31"/>
      <c r="E79" s="31"/>
      <c r="F79" s="31"/>
      <c r="G79" s="31" t="s">
        <v>53</v>
      </c>
      <c r="H79" s="32"/>
      <c r="I79" s="32"/>
      <c r="J79" s="32"/>
      <c r="K79" s="31"/>
      <c r="L79" s="31"/>
      <c r="M79" s="3" t="str">
        <f t="shared" ca="1" si="12"/>
        <v/>
      </c>
      <c r="P79" t="str">
        <f>'Combined Delivery Data'!B108</f>
        <v>RPT_13_Customer Service Point</v>
      </c>
      <c r="Q79">
        <f t="shared" si="5"/>
        <v>0</v>
      </c>
      <c r="R79">
        <f t="shared" si="6"/>
        <v>0</v>
      </c>
      <c r="S79" s="28" t="str">
        <f t="shared" si="9"/>
        <v/>
      </c>
      <c r="T79" t="str">
        <f t="shared" si="10"/>
        <v/>
      </c>
    </row>
    <row r="80" spans="1:20">
      <c r="A80" s="31"/>
      <c r="B80" s="32"/>
      <c r="C80" s="31" t="s">
        <v>237</v>
      </c>
      <c r="D80" s="31"/>
      <c r="E80" s="31"/>
      <c r="F80" s="31"/>
      <c r="G80" s="31" t="s">
        <v>53</v>
      </c>
      <c r="H80" s="32"/>
      <c r="I80" s="32"/>
      <c r="J80" s="32"/>
      <c r="K80" s="31"/>
      <c r="L80" s="31"/>
      <c r="M80" s="3" t="str">
        <f t="shared" ca="1" si="12"/>
        <v/>
      </c>
      <c r="P80" t="str">
        <f>'Combined Delivery Data'!B109</f>
        <v>RPT_02_Emergency Operation Checklist</v>
      </c>
      <c r="Q80">
        <f t="shared" si="5"/>
        <v>0</v>
      </c>
      <c r="R80">
        <f t="shared" si="6"/>
        <v>0</v>
      </c>
      <c r="S80" s="28" t="str">
        <f t="shared" si="9"/>
        <v/>
      </c>
      <c r="T80" t="str">
        <f t="shared" si="10"/>
        <v/>
      </c>
    </row>
    <row r="81" spans="1:20">
      <c r="A81" s="31"/>
      <c r="B81" s="32"/>
      <c r="C81" s="31" t="s">
        <v>237</v>
      </c>
      <c r="D81" s="31"/>
      <c r="E81" s="31"/>
      <c r="F81" s="31"/>
      <c r="G81" s="31" t="s">
        <v>53</v>
      </c>
      <c r="H81" s="32"/>
      <c r="I81" s="32"/>
      <c r="J81" s="32"/>
      <c r="K81" s="31"/>
      <c r="L81" s="31"/>
      <c r="M81" s="3" t="str">
        <f t="shared" ca="1" si="12"/>
        <v/>
      </c>
      <c r="P81" t="str">
        <f>'Combined Delivery Data'!B110</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237</v>
      </c>
      <c r="D82" s="31"/>
      <c r="E82" s="31"/>
      <c r="F82" s="31"/>
      <c r="G82" s="31" t="s">
        <v>53</v>
      </c>
      <c r="H82" s="32"/>
      <c r="I82" s="32"/>
      <c r="J82" s="32"/>
      <c r="K82" s="31"/>
      <c r="L82" s="31"/>
      <c r="M82" s="3" t="str">
        <f t="shared" ca="1" si="12"/>
        <v/>
      </c>
      <c r="P82" t="str">
        <f>'Combined Delivery Data'!B111</f>
        <v>RPT_13_Blue Card</v>
      </c>
      <c r="Q82">
        <f t="shared" si="13"/>
        <v>0</v>
      </c>
      <c r="R82">
        <f t="shared" si="14"/>
        <v>0</v>
      </c>
      <c r="S82" s="28" t="str">
        <f t="shared" si="9"/>
        <v/>
      </c>
      <c r="T82" t="str">
        <f t="shared" si="10"/>
        <v/>
      </c>
    </row>
    <row r="83" spans="1:20">
      <c r="A83" s="31"/>
      <c r="B83" s="32"/>
      <c r="C83" s="31" t="s">
        <v>237</v>
      </c>
      <c r="D83" s="31"/>
      <c r="E83" s="31"/>
      <c r="F83" s="31"/>
      <c r="G83" s="31" t="s">
        <v>53</v>
      </c>
      <c r="H83" s="32"/>
      <c r="I83" s="32"/>
      <c r="J83" s="32"/>
      <c r="K83" s="31"/>
      <c r="L83" s="31"/>
      <c r="M83" s="3" t="str">
        <f t="shared" ca="1" si="12"/>
        <v/>
      </c>
      <c r="P83" t="str">
        <f>'Combined Delivery Data'!B112</f>
        <v>RPT_06_Out of Route Meters Gas</v>
      </c>
      <c r="Q83">
        <f t="shared" si="13"/>
        <v>0</v>
      </c>
      <c r="R83">
        <f t="shared" si="14"/>
        <v>0</v>
      </c>
      <c r="S83" s="28" t="str">
        <f t="shared" si="9"/>
        <v/>
      </c>
      <c r="T83" t="str">
        <f t="shared" si="10"/>
        <v/>
      </c>
    </row>
    <row r="84" spans="1:20">
      <c r="A84" s="31"/>
      <c r="B84" s="32"/>
      <c r="C84" s="31" t="s">
        <v>237</v>
      </c>
      <c r="D84" s="31"/>
      <c r="E84" s="31"/>
      <c r="F84" s="31"/>
      <c r="G84" s="31" t="s">
        <v>53</v>
      </c>
      <c r="H84" s="32"/>
      <c r="I84" s="32"/>
      <c r="J84" s="32"/>
      <c r="K84" s="31"/>
      <c r="L84" s="31"/>
      <c r="M84" s="3" t="str">
        <f t="shared" ca="1" si="12"/>
        <v/>
      </c>
      <c r="P84" t="str">
        <f>'Combined Delivery Data'!B113</f>
        <v>RPT_06_Yard Meter Inventory</v>
      </c>
      <c r="Q84">
        <f t="shared" si="13"/>
        <v>0</v>
      </c>
      <c r="R84">
        <f t="shared" si="14"/>
        <v>0</v>
      </c>
      <c r="S84" s="28" t="str">
        <f t="shared" si="9"/>
        <v/>
      </c>
      <c r="T84" t="str">
        <f t="shared" si="10"/>
        <v/>
      </c>
    </row>
    <row r="85" spans="1:20">
      <c r="A85" s="31"/>
      <c r="B85" s="32"/>
      <c r="C85" s="31" t="s">
        <v>237</v>
      </c>
      <c r="D85" s="31"/>
      <c r="E85" s="31"/>
      <c r="F85" s="31"/>
      <c r="G85" s="31" t="s">
        <v>53</v>
      </c>
      <c r="H85" s="32"/>
      <c r="I85" s="32"/>
      <c r="J85" s="32"/>
      <c r="K85" s="31"/>
      <c r="L85" s="31"/>
      <c r="M85" s="3" t="str">
        <f t="shared" ca="1" si="12"/>
        <v/>
      </c>
      <c r="P85" t="str">
        <f>'Combined Delivery Data'!B114</f>
        <v>RPT_06_ERTtoEPSLoadReportbyReceiptNumber</v>
      </c>
      <c r="Q85">
        <f t="shared" si="13"/>
        <v>0</v>
      </c>
      <c r="R85">
        <f t="shared" si="14"/>
        <v>0</v>
      </c>
      <c r="S85" s="28" t="str">
        <f t="shared" si="9"/>
        <v/>
      </c>
      <c r="T85" t="str">
        <f t="shared" si="10"/>
        <v/>
      </c>
    </row>
    <row r="86" spans="1:20">
      <c r="A86" s="31"/>
      <c r="B86" s="32"/>
      <c r="C86" s="31" t="s">
        <v>237</v>
      </c>
      <c r="D86" s="31"/>
      <c r="E86" s="31"/>
      <c r="F86" s="31"/>
      <c r="G86" s="31" t="s">
        <v>53</v>
      </c>
      <c r="H86" s="32"/>
      <c r="I86" s="32"/>
      <c r="J86" s="32"/>
      <c r="K86" s="31"/>
      <c r="L86" s="31"/>
      <c r="M86" s="3" t="str">
        <f t="shared" ca="1" si="12"/>
        <v/>
      </c>
      <c r="P86" t="str">
        <f>'Combined Delivery Data'!B115</f>
        <v>RPT_06_Out of Route Meters Electric</v>
      </c>
      <c r="Q86">
        <f t="shared" si="13"/>
        <v>0</v>
      </c>
      <c r="R86">
        <f t="shared" si="14"/>
        <v>0</v>
      </c>
      <c r="S86" s="28" t="str">
        <f t="shared" si="9"/>
        <v/>
      </c>
      <c r="T86" t="str">
        <f t="shared" si="10"/>
        <v/>
      </c>
    </row>
    <row r="87" spans="1:20">
      <c r="A87" s="31"/>
      <c r="B87" s="32"/>
      <c r="C87" s="31" t="s">
        <v>237</v>
      </c>
      <c r="D87" s="31"/>
      <c r="E87" s="31"/>
      <c r="F87" s="31"/>
      <c r="G87" s="31" t="s">
        <v>53</v>
      </c>
      <c r="H87" s="32"/>
      <c r="I87" s="32"/>
      <c r="J87" s="32"/>
      <c r="K87" s="31"/>
      <c r="L87" s="31"/>
      <c r="M87" s="3" t="str">
        <f t="shared" ca="1" si="12"/>
        <v/>
      </c>
      <c r="P87" t="str">
        <f>'Combined Delivery Data'!B116</f>
        <v>RPT_06_Installed Meters</v>
      </c>
      <c r="Q87">
        <f t="shared" si="13"/>
        <v>0</v>
      </c>
      <c r="R87">
        <f t="shared" si="14"/>
        <v>0</v>
      </c>
      <c r="S87" s="28" t="str">
        <f t="shared" si="9"/>
        <v/>
      </c>
      <c r="T87" t="str">
        <f t="shared" si="10"/>
        <v/>
      </c>
    </row>
    <row r="88" spans="1:20">
      <c r="A88" s="31"/>
      <c r="B88" s="32"/>
      <c r="C88" s="31" t="s">
        <v>237</v>
      </c>
      <c r="D88" s="31"/>
      <c r="E88" s="31"/>
      <c r="F88" s="31"/>
      <c r="G88" s="31" t="s">
        <v>53</v>
      </c>
      <c r="H88" s="32"/>
      <c r="I88" s="32"/>
      <c r="J88" s="32"/>
      <c r="K88" s="31"/>
      <c r="L88" s="31"/>
      <c r="M88" s="3" t="str">
        <f t="shared" ca="1" si="12"/>
        <v/>
      </c>
      <c r="P88" t="str">
        <f>'Combined Delivery Data'!B118</f>
        <v>RPT_05_Kedny Compliance</v>
      </c>
      <c r="Q88">
        <f t="shared" si="13"/>
        <v>0</v>
      </c>
      <c r="R88">
        <f t="shared" si="14"/>
        <v>0</v>
      </c>
      <c r="S88" s="28" t="str">
        <f t="shared" si="9"/>
        <v/>
      </c>
      <c r="T88" t="str">
        <f t="shared" si="10"/>
        <v/>
      </c>
    </row>
    <row r="89" spans="1:20">
      <c r="A89" s="31"/>
      <c r="B89" s="32"/>
      <c r="C89" s="31" t="s">
        <v>237</v>
      </c>
      <c r="D89" s="31"/>
      <c r="E89" s="31"/>
      <c r="F89" s="31"/>
      <c r="G89" s="31" t="s">
        <v>53</v>
      </c>
      <c r="H89" s="32"/>
      <c r="I89" s="32"/>
      <c r="J89" s="32"/>
      <c r="K89" s="31"/>
      <c r="L89" s="31"/>
      <c r="M89" s="3" t="str">
        <f t="shared" ca="1" si="12"/>
        <v/>
      </c>
      <c r="P89" t="str">
        <f>'Combined Delivery Data'!B119</f>
        <v>RPT_05_CI Encroachment</v>
      </c>
      <c r="Q89">
        <f t="shared" si="13"/>
        <v>0</v>
      </c>
      <c r="R89">
        <f t="shared" si="14"/>
        <v>0</v>
      </c>
      <c r="S89" s="28" t="str">
        <f t="shared" si="9"/>
        <v/>
      </c>
      <c r="T89" t="str">
        <f t="shared" si="10"/>
        <v/>
      </c>
    </row>
    <row r="90" spans="1:20">
      <c r="A90" s="31"/>
      <c r="B90" s="32"/>
      <c r="C90" s="31" t="s">
        <v>237</v>
      </c>
      <c r="D90" s="31"/>
      <c r="E90" s="31"/>
      <c r="F90" s="31"/>
      <c r="G90" s="31" t="s">
        <v>53</v>
      </c>
      <c r="H90" s="32"/>
      <c r="I90" s="32"/>
      <c r="J90" s="32"/>
      <c r="K90" s="31"/>
      <c r="L90" s="31"/>
      <c r="M90" s="3" t="str">
        <f t="shared" ca="1" si="12"/>
        <v/>
      </c>
      <c r="P90" t="str">
        <f>'Combined Delivery Data'!B120</f>
        <v>RPT_05_Design Processing</v>
      </c>
      <c r="Q90">
        <f t="shared" si="13"/>
        <v>0</v>
      </c>
      <c r="R90">
        <f t="shared" si="14"/>
        <v>0</v>
      </c>
      <c r="S90" s="28" t="str">
        <f t="shared" si="9"/>
        <v/>
      </c>
      <c r="T90" t="str">
        <f t="shared" si="10"/>
        <v/>
      </c>
    </row>
    <row r="91" spans="1:20">
      <c r="A91" s="31"/>
      <c r="B91" s="32"/>
      <c r="C91" s="31" t="s">
        <v>237</v>
      </c>
      <c r="D91" s="31"/>
      <c r="E91" s="31"/>
      <c r="F91" s="31"/>
      <c r="G91" s="31" t="s">
        <v>53</v>
      </c>
      <c r="H91" s="32"/>
      <c r="I91" s="32"/>
      <c r="J91" s="32"/>
      <c r="K91" s="31"/>
      <c r="L91" s="31"/>
      <c r="M91" s="3" t="str">
        <f t="shared" ca="1" si="12"/>
        <v/>
      </c>
      <c r="P91" t="str">
        <f>'Combined Delivery Data'!B121</f>
        <v>RPT_05_Small Caps End to End</v>
      </c>
      <c r="Q91">
        <f t="shared" si="13"/>
        <v>0</v>
      </c>
      <c r="R91">
        <f t="shared" si="14"/>
        <v>0</v>
      </c>
      <c r="S91" s="28" t="str">
        <f t="shared" si="9"/>
        <v/>
      </c>
      <c r="T91" t="str">
        <f t="shared" si="10"/>
        <v/>
      </c>
    </row>
    <row r="92" spans="1:20">
      <c r="A92" s="31"/>
      <c r="B92" s="32"/>
      <c r="C92" s="31" t="s">
        <v>237</v>
      </c>
      <c r="D92" s="31"/>
      <c r="E92" s="31"/>
      <c r="F92" s="31"/>
      <c r="G92" s="31" t="s">
        <v>53</v>
      </c>
      <c r="H92" s="32"/>
      <c r="I92" s="32"/>
      <c r="J92" s="32"/>
      <c r="K92" s="31"/>
      <c r="L92" s="31"/>
      <c r="M92" s="3" t="str">
        <f t="shared" ca="1" si="12"/>
        <v/>
      </c>
      <c r="P92" t="str">
        <f>'Combined Delivery Data'!B122</f>
        <v>RPT_05_Long Cycle End to End</v>
      </c>
      <c r="Q92">
        <f t="shared" si="13"/>
        <v>0</v>
      </c>
      <c r="R92">
        <f t="shared" si="14"/>
        <v>0</v>
      </c>
      <c r="S92" s="28" t="str">
        <f t="shared" si="9"/>
        <v/>
      </c>
      <c r="T92" t="str">
        <f t="shared" si="10"/>
        <v/>
      </c>
    </row>
    <row r="93" spans="1:20">
      <c r="A93" s="31"/>
      <c r="B93" s="32"/>
      <c r="C93" s="31" t="s">
        <v>237</v>
      </c>
      <c r="D93" s="31"/>
      <c r="E93" s="31"/>
      <c r="F93" s="31"/>
      <c r="G93" s="31" t="s">
        <v>53</v>
      </c>
      <c r="H93" s="32"/>
      <c r="I93" s="32"/>
      <c r="J93" s="32"/>
      <c r="K93" s="31"/>
      <c r="L93" s="31"/>
      <c r="M93" s="3" t="str">
        <f t="shared" ca="1" si="12"/>
        <v/>
      </c>
      <c r="P93" t="str">
        <f>'Combined Delivery Data'!B123</f>
        <v>RPT_05_Construction Complete Aging Report</v>
      </c>
      <c r="Q93">
        <f t="shared" si="13"/>
        <v>0</v>
      </c>
      <c r="R93">
        <f t="shared" si="14"/>
        <v>0</v>
      </c>
      <c r="S93" s="28" t="str">
        <f t="shared" si="9"/>
        <v/>
      </c>
      <c r="T93" t="str">
        <f t="shared" si="10"/>
        <v/>
      </c>
    </row>
    <row r="94" spans="1:20">
      <c r="A94" s="31"/>
      <c r="B94" s="32"/>
      <c r="C94" s="31" t="s">
        <v>237</v>
      </c>
      <c r="D94" s="31"/>
      <c r="E94" s="31"/>
      <c r="F94" s="31"/>
      <c r="G94" s="31" t="s">
        <v>53</v>
      </c>
      <c r="H94" s="32"/>
      <c r="I94" s="32"/>
      <c r="J94" s="32"/>
      <c r="K94" s="31"/>
      <c r="L94" s="31"/>
      <c r="M94" s="3" t="str">
        <f t="shared" ca="1" si="12"/>
        <v/>
      </c>
      <c r="P94" t="str">
        <f>'Combined Delivery Data'!B124</f>
        <v>RPT_05_Main and Service Line Pressure Tests</v>
      </c>
      <c r="Q94">
        <f t="shared" si="13"/>
        <v>0</v>
      </c>
      <c r="R94">
        <f t="shared" si="14"/>
        <v>0</v>
      </c>
      <c r="S94" s="28" t="str">
        <f t="shared" si="9"/>
        <v/>
      </c>
      <c r="T94" t="str">
        <f t="shared" si="10"/>
        <v/>
      </c>
    </row>
    <row r="95" spans="1:20">
      <c r="A95" s="31"/>
      <c r="B95" s="32"/>
      <c r="C95" s="31" t="s">
        <v>237</v>
      </c>
      <c r="D95" s="31"/>
      <c r="E95" s="31"/>
      <c r="F95" s="31"/>
      <c r="G95" s="31" t="s">
        <v>53</v>
      </c>
      <c r="H95" s="32"/>
      <c r="I95" s="32"/>
      <c r="J95" s="32"/>
      <c r="K95" s="31"/>
      <c r="L95" s="31"/>
      <c r="M95" s="3" t="str">
        <f t="shared" ca="1" si="12"/>
        <v/>
      </c>
      <c r="P95">
        <f>'Combined Delivery Data'!B125</f>
        <v>0</v>
      </c>
      <c r="Q95">
        <f t="shared" si="13"/>
        <v>0</v>
      </c>
      <c r="R95">
        <f t="shared" si="14"/>
        <v>449</v>
      </c>
      <c r="S95" s="28">
        <f t="shared" si="9"/>
        <v>0</v>
      </c>
      <c r="T95" t="str">
        <f t="shared" si="10"/>
        <v xml:space="preserve"> -&gt; </v>
      </c>
    </row>
    <row r="96" spans="1:20">
      <c r="A96" s="31"/>
      <c r="B96" s="32"/>
      <c r="C96" s="31" t="s">
        <v>237</v>
      </c>
      <c r="D96" s="31"/>
      <c r="E96" s="31"/>
      <c r="F96" s="31"/>
      <c r="G96" s="31" t="s">
        <v>53</v>
      </c>
      <c r="H96" s="32"/>
      <c r="I96" s="32"/>
      <c r="J96" s="32"/>
      <c r="K96" s="31"/>
      <c r="L96" s="31"/>
      <c r="M96" s="3" t="str">
        <f t="shared" ca="1" si="12"/>
        <v/>
      </c>
      <c r="P96">
        <f>'Combined Delivery Data'!B126</f>
        <v>0</v>
      </c>
      <c r="Q96">
        <f t="shared" si="13"/>
        <v>0</v>
      </c>
      <c r="R96">
        <f t="shared" si="14"/>
        <v>449</v>
      </c>
      <c r="S96" s="28">
        <f t="shared" si="9"/>
        <v>0</v>
      </c>
      <c r="T96" t="str">
        <f t="shared" si="10"/>
        <v xml:space="preserve"> -&gt; </v>
      </c>
    </row>
    <row r="97" spans="1:20">
      <c r="A97" s="31"/>
      <c r="B97" s="32"/>
      <c r="C97" s="31" t="s">
        <v>237</v>
      </c>
      <c r="D97" s="31"/>
      <c r="E97" s="31"/>
      <c r="F97" s="31"/>
      <c r="G97" s="31" t="s">
        <v>53</v>
      </c>
      <c r="H97" s="32"/>
      <c r="I97" s="32"/>
      <c r="J97" s="32"/>
      <c r="K97" s="31"/>
      <c r="L97" s="31"/>
      <c r="M97" s="3" t="str">
        <f t="shared" ca="1" si="12"/>
        <v/>
      </c>
      <c r="P97">
        <f>'Combined Delivery Data'!B127</f>
        <v>0</v>
      </c>
      <c r="Q97">
        <f t="shared" si="13"/>
        <v>0</v>
      </c>
      <c r="R97">
        <f t="shared" si="14"/>
        <v>449</v>
      </c>
      <c r="S97" s="28">
        <f t="shared" si="9"/>
        <v>0</v>
      </c>
      <c r="T97" t="str">
        <f t="shared" si="10"/>
        <v xml:space="preserve"> -&gt; </v>
      </c>
    </row>
    <row r="98" spans="1:20">
      <c r="A98" s="31"/>
      <c r="B98" s="32"/>
      <c r="C98" s="31" t="s">
        <v>237</v>
      </c>
      <c r="D98" s="31"/>
      <c r="E98" s="31"/>
      <c r="F98" s="31"/>
      <c r="G98" s="31" t="s">
        <v>53</v>
      </c>
      <c r="H98" s="32"/>
      <c r="I98" s="32"/>
      <c r="J98" s="32"/>
      <c r="K98" s="31"/>
      <c r="L98" s="31"/>
      <c r="M98" s="3" t="str">
        <f t="shared" ca="1" si="12"/>
        <v/>
      </c>
      <c r="P98">
        <f>'Combined Delivery Data'!B128</f>
        <v>0</v>
      </c>
      <c r="Q98">
        <f t="shared" si="13"/>
        <v>0</v>
      </c>
      <c r="R98">
        <f t="shared" si="14"/>
        <v>449</v>
      </c>
      <c r="S98" s="28">
        <f t="shared" si="9"/>
        <v>0</v>
      </c>
      <c r="T98" t="str">
        <f t="shared" si="10"/>
        <v xml:space="preserve"> -&gt; </v>
      </c>
    </row>
    <row r="99" spans="1:20">
      <c r="A99" s="31"/>
      <c r="B99" s="32"/>
      <c r="C99" s="31" t="s">
        <v>237</v>
      </c>
      <c r="D99" s="31"/>
      <c r="E99" s="31"/>
      <c r="F99" s="31"/>
      <c r="G99" s="31" t="s">
        <v>53</v>
      </c>
      <c r="H99" s="32"/>
      <c r="I99" s="32"/>
      <c r="J99" s="32"/>
      <c r="K99" s="31"/>
      <c r="L99" s="31"/>
      <c r="M99" s="3" t="str">
        <f t="shared" ca="1" si="12"/>
        <v/>
      </c>
      <c r="P99">
        <f>'Combined Delivery Data'!B129</f>
        <v>0</v>
      </c>
      <c r="Q99">
        <f t="shared" si="13"/>
        <v>0</v>
      </c>
      <c r="R99">
        <f t="shared" si="14"/>
        <v>449</v>
      </c>
      <c r="S99" s="28">
        <f t="shared" si="9"/>
        <v>0</v>
      </c>
      <c r="T99" t="str">
        <f t="shared" si="10"/>
        <v xml:space="preserve"> -&gt; </v>
      </c>
    </row>
    <row r="100" spans="1:20">
      <c r="A100" s="31"/>
      <c r="B100" s="32"/>
      <c r="C100" s="31" t="s">
        <v>237</v>
      </c>
      <c r="D100" s="31"/>
      <c r="E100" s="31"/>
      <c r="F100" s="31"/>
      <c r="G100" s="31" t="s">
        <v>53</v>
      </c>
      <c r="H100" s="32"/>
      <c r="I100" s="32"/>
      <c r="J100" s="32"/>
      <c r="K100" s="31"/>
      <c r="L100" s="31"/>
      <c r="M100" s="3" t="str">
        <f t="shared" ca="1" si="12"/>
        <v/>
      </c>
      <c r="P100">
        <f>'Combined Delivery Data'!B130</f>
        <v>0</v>
      </c>
      <c r="Q100">
        <f t="shared" si="13"/>
        <v>0</v>
      </c>
      <c r="R100">
        <f t="shared" si="14"/>
        <v>449</v>
      </c>
      <c r="S100" s="28">
        <f t="shared" si="9"/>
        <v>0</v>
      </c>
      <c r="T100" t="str">
        <f t="shared" si="10"/>
        <v xml:space="preserve"> -&gt; </v>
      </c>
    </row>
    <row r="101" spans="1:20">
      <c r="A101" s="31"/>
      <c r="B101" s="32"/>
      <c r="C101" s="31" t="s">
        <v>237</v>
      </c>
      <c r="D101" s="31"/>
      <c r="E101" s="31"/>
      <c r="F101" s="31"/>
      <c r="G101" s="31" t="s">
        <v>53</v>
      </c>
      <c r="H101" s="32"/>
      <c r="I101" s="32"/>
      <c r="J101" s="32"/>
      <c r="K101" s="31"/>
      <c r="L101" s="31"/>
      <c r="M101" s="3" t="str">
        <f t="shared" ca="1" si="12"/>
        <v/>
      </c>
      <c r="P101">
        <f>'Combined Delivery Data'!B131</f>
        <v>0</v>
      </c>
      <c r="Q101">
        <f t="shared" si="13"/>
        <v>0</v>
      </c>
      <c r="R101">
        <f t="shared" si="14"/>
        <v>449</v>
      </c>
      <c r="S101" s="28">
        <f t="shared" si="9"/>
        <v>0</v>
      </c>
      <c r="T101" t="str">
        <f t="shared" si="10"/>
        <v xml:space="preserve"> -&gt; </v>
      </c>
    </row>
    <row r="102" spans="1:20">
      <c r="A102" s="31"/>
      <c r="B102" s="32"/>
      <c r="C102" s="31" t="s">
        <v>237</v>
      </c>
      <c r="D102" s="31"/>
      <c r="E102" s="31"/>
      <c r="F102" s="31"/>
      <c r="G102" s="31" t="s">
        <v>53</v>
      </c>
      <c r="H102" s="32"/>
      <c r="I102" s="32"/>
      <c r="J102" s="32"/>
      <c r="K102" s="31"/>
      <c r="L102" s="31"/>
      <c r="M102" s="3" t="str">
        <f t="shared" ca="1" si="12"/>
        <v/>
      </c>
      <c r="P102">
        <f>'Combined Delivery Data'!B132</f>
        <v>0</v>
      </c>
      <c r="Q102">
        <f t="shared" si="13"/>
        <v>0</v>
      </c>
      <c r="R102">
        <f t="shared" si="14"/>
        <v>449</v>
      </c>
      <c r="S102" s="28">
        <f t="shared" si="9"/>
        <v>0</v>
      </c>
      <c r="T102" t="str">
        <f t="shared" si="10"/>
        <v xml:space="preserve"> -&gt; </v>
      </c>
    </row>
    <row r="103" spans="1:20">
      <c r="A103" s="31"/>
      <c r="B103" s="32"/>
      <c r="C103" s="31" t="s">
        <v>237</v>
      </c>
      <c r="D103" s="31"/>
      <c r="E103" s="31"/>
      <c r="F103" s="31"/>
      <c r="G103" s="31" t="s">
        <v>53</v>
      </c>
      <c r="H103" s="32"/>
      <c r="I103" s="32"/>
      <c r="J103" s="32"/>
      <c r="K103" s="31"/>
      <c r="L103" s="31"/>
      <c r="M103" s="3" t="str">
        <f t="shared" ca="1" si="12"/>
        <v/>
      </c>
      <c r="P103">
        <f>'Combined Delivery Data'!B133</f>
        <v>0</v>
      </c>
      <c r="Q103">
        <f t="shared" si="13"/>
        <v>0</v>
      </c>
      <c r="R103">
        <f t="shared" si="14"/>
        <v>449</v>
      </c>
      <c r="S103" s="28">
        <f t="shared" si="9"/>
        <v>0</v>
      </c>
      <c r="T103" t="str">
        <f t="shared" si="10"/>
        <v xml:space="preserve"> -&gt; </v>
      </c>
    </row>
    <row r="104" spans="1:20">
      <c r="A104" s="31"/>
      <c r="B104" s="32"/>
      <c r="C104" s="31" t="s">
        <v>237</v>
      </c>
      <c r="D104" s="31"/>
      <c r="E104" s="31"/>
      <c r="F104" s="31"/>
      <c r="G104" s="31" t="s">
        <v>53</v>
      </c>
      <c r="H104" s="32"/>
      <c r="I104" s="32"/>
      <c r="J104" s="32"/>
      <c r="K104" s="31"/>
      <c r="L104" s="31"/>
      <c r="M104" s="3" t="str">
        <f t="shared" ca="1" si="12"/>
        <v/>
      </c>
      <c r="P104">
        <f>'Combined Delivery Data'!B135</f>
        <v>0</v>
      </c>
      <c r="Q104">
        <f t="shared" si="13"/>
        <v>0</v>
      </c>
      <c r="R104">
        <f t="shared" si="14"/>
        <v>449</v>
      </c>
      <c r="S104" s="28">
        <f t="shared" si="9"/>
        <v>0</v>
      </c>
      <c r="T104" t="str">
        <f t="shared" si="10"/>
        <v xml:space="preserve"> -&gt; </v>
      </c>
    </row>
    <row r="105" spans="1:20">
      <c r="A105" s="31"/>
      <c r="B105" s="32"/>
      <c r="C105" s="31" t="s">
        <v>237</v>
      </c>
      <c r="D105" s="31"/>
      <c r="E105" s="31"/>
      <c r="F105" s="31"/>
      <c r="G105" s="31" t="s">
        <v>53</v>
      </c>
      <c r="H105" s="32"/>
      <c r="I105" s="32"/>
      <c r="J105" s="32"/>
      <c r="K105" s="31"/>
      <c r="L105" s="31"/>
      <c r="M105" s="3" t="str">
        <f t="shared" ca="1" si="12"/>
        <v/>
      </c>
      <c r="P105">
        <f>'Combined Delivery Data'!B136</f>
        <v>0</v>
      </c>
      <c r="Q105">
        <f t="shared" si="13"/>
        <v>0</v>
      </c>
      <c r="R105">
        <f t="shared" si="14"/>
        <v>449</v>
      </c>
      <c r="S105" s="28">
        <f t="shared" si="9"/>
        <v>0</v>
      </c>
      <c r="T105" t="str">
        <f t="shared" si="10"/>
        <v xml:space="preserve"> -&gt; </v>
      </c>
    </row>
    <row r="106" spans="1:20">
      <c r="A106" s="31"/>
      <c r="B106" s="32"/>
      <c r="C106" s="31" t="s">
        <v>237</v>
      </c>
      <c r="D106" s="31"/>
      <c r="E106" s="31"/>
      <c r="F106" s="31"/>
      <c r="G106" s="31" t="s">
        <v>53</v>
      </c>
      <c r="H106" s="32"/>
      <c r="I106" s="32"/>
      <c r="J106" s="32"/>
      <c r="K106" s="31"/>
      <c r="L106" s="31"/>
      <c r="M106" s="3" t="str">
        <f t="shared" ca="1" si="12"/>
        <v/>
      </c>
      <c r="P106">
        <f>'Combined Delivery Data'!B137</f>
        <v>0</v>
      </c>
      <c r="Q106">
        <f t="shared" si="13"/>
        <v>0</v>
      </c>
      <c r="R106">
        <f t="shared" si="14"/>
        <v>449</v>
      </c>
      <c r="S106" s="28">
        <f t="shared" si="9"/>
        <v>0</v>
      </c>
      <c r="T106" t="str">
        <f t="shared" si="10"/>
        <v xml:space="preserve"> -&gt; </v>
      </c>
    </row>
    <row r="107" spans="1:20">
      <c r="A107" s="31"/>
      <c r="B107" s="32"/>
      <c r="C107" s="31" t="s">
        <v>237</v>
      </c>
      <c r="D107" s="31"/>
      <c r="E107" s="31"/>
      <c r="F107" s="31"/>
      <c r="G107" s="31" t="s">
        <v>53</v>
      </c>
      <c r="H107" s="32"/>
      <c r="I107" s="32"/>
      <c r="J107" s="32"/>
      <c r="K107" s="31"/>
      <c r="L107" s="31"/>
      <c r="M107" s="3" t="str">
        <f t="shared" ca="1" si="12"/>
        <v/>
      </c>
      <c r="P107">
        <f>'Combined Delivery Data'!B138</f>
        <v>0</v>
      </c>
      <c r="Q107">
        <f t="shared" si="13"/>
        <v>0</v>
      </c>
      <c r="R107">
        <f t="shared" si="14"/>
        <v>449</v>
      </c>
      <c r="S107" s="28">
        <f t="shared" si="9"/>
        <v>0</v>
      </c>
      <c r="T107" t="str">
        <f t="shared" si="10"/>
        <v xml:space="preserve"> -&gt; </v>
      </c>
    </row>
    <row r="108" spans="1:20">
      <c r="A108" s="31"/>
      <c r="B108" s="32"/>
      <c r="C108" s="31" t="s">
        <v>237</v>
      </c>
      <c r="D108" s="31"/>
      <c r="E108" s="31"/>
      <c r="F108" s="31"/>
      <c r="G108" s="31" t="s">
        <v>53</v>
      </c>
      <c r="H108" s="32"/>
      <c r="I108" s="32"/>
      <c r="J108" s="32"/>
      <c r="K108" s="31"/>
      <c r="L108" s="31"/>
      <c r="M108" s="3" t="str">
        <f t="shared" ca="1" si="12"/>
        <v/>
      </c>
      <c r="P108">
        <f>'Combined Delivery Data'!B139</f>
        <v>0</v>
      </c>
      <c r="Q108">
        <f t="shared" si="13"/>
        <v>0</v>
      </c>
      <c r="R108">
        <f t="shared" si="14"/>
        <v>449</v>
      </c>
      <c r="S108" s="28">
        <f t="shared" si="9"/>
        <v>0</v>
      </c>
      <c r="T108" t="str">
        <f t="shared" si="10"/>
        <v xml:space="preserve"> -&gt; </v>
      </c>
    </row>
    <row r="109" spans="1:20">
      <c r="A109" s="31"/>
      <c r="B109" s="32"/>
      <c r="C109" s="31" t="s">
        <v>237</v>
      </c>
      <c r="D109" s="31"/>
      <c r="E109" s="31"/>
      <c r="F109" s="31"/>
      <c r="G109" s="31" t="s">
        <v>53</v>
      </c>
      <c r="H109" s="32"/>
      <c r="I109" s="32"/>
      <c r="J109" s="32"/>
      <c r="K109" s="31"/>
      <c r="L109" s="31"/>
      <c r="M109" s="3" t="str">
        <f t="shared" ca="1" si="12"/>
        <v/>
      </c>
      <c r="P109">
        <f>'Combined Delivery Data'!B140</f>
        <v>0</v>
      </c>
      <c r="Q109">
        <f t="shared" si="13"/>
        <v>0</v>
      </c>
      <c r="R109">
        <f t="shared" si="14"/>
        <v>449</v>
      </c>
      <c r="S109" s="28">
        <f t="shared" si="9"/>
        <v>0</v>
      </c>
      <c r="T109" t="str">
        <f t="shared" si="10"/>
        <v xml:space="preserve"> -&gt; </v>
      </c>
    </row>
    <row r="110" spans="1:20">
      <c r="A110" s="31"/>
      <c r="B110" s="32"/>
      <c r="C110" s="31" t="s">
        <v>237</v>
      </c>
      <c r="D110" s="31"/>
      <c r="E110" s="31"/>
      <c r="F110" s="31"/>
      <c r="G110" s="31" t="s">
        <v>53</v>
      </c>
      <c r="H110" s="32"/>
      <c r="I110" s="32"/>
      <c r="J110" s="32"/>
      <c r="K110" s="31"/>
      <c r="L110" s="31"/>
      <c r="M110" s="3" t="str">
        <f t="shared" ca="1" si="12"/>
        <v/>
      </c>
      <c r="P110">
        <f>'Combined Delivery Data'!B141</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237</v>
      </c>
      <c r="D111" s="31"/>
      <c r="E111" s="31"/>
      <c r="F111" s="31"/>
      <c r="G111" s="31" t="s">
        <v>53</v>
      </c>
      <c r="H111" s="32"/>
      <c r="I111" s="32"/>
      <c r="J111" s="32"/>
      <c r="K111" s="31"/>
      <c r="L111" s="31"/>
      <c r="M111" s="3" t="str">
        <f t="shared" ca="1" si="12"/>
        <v/>
      </c>
      <c r="P111">
        <f>'Combined Delivery Data'!B142</f>
        <v>0</v>
      </c>
      <c r="Q111">
        <f t="shared" si="13"/>
        <v>0</v>
      </c>
      <c r="R111">
        <f t="shared" si="14"/>
        <v>449</v>
      </c>
      <c r="S111" s="28">
        <f t="shared" si="15"/>
        <v>0</v>
      </c>
      <c r="T111" t="str">
        <f t="shared" si="16"/>
        <v xml:space="preserve"> -&gt; </v>
      </c>
    </row>
    <row r="112" spans="1:20">
      <c r="A112" s="31"/>
      <c r="B112" s="32"/>
      <c r="C112" s="31" t="s">
        <v>237</v>
      </c>
      <c r="D112" s="31"/>
      <c r="E112" s="31"/>
      <c r="F112" s="31"/>
      <c r="G112" s="31" t="s">
        <v>53</v>
      </c>
      <c r="H112" s="32"/>
      <c r="I112" s="32"/>
      <c r="J112" s="32"/>
      <c r="K112" s="31"/>
      <c r="L112" s="31"/>
      <c r="M112" s="3" t="str">
        <f t="shared" ca="1" si="12"/>
        <v/>
      </c>
      <c r="P112">
        <f>'Combined Delivery Data'!B143</f>
        <v>0</v>
      </c>
      <c r="Q112">
        <f t="shared" si="13"/>
        <v>0</v>
      </c>
      <c r="R112">
        <f t="shared" si="14"/>
        <v>449</v>
      </c>
      <c r="S112" s="28">
        <f t="shared" si="15"/>
        <v>0</v>
      </c>
      <c r="T112" t="str">
        <f t="shared" si="16"/>
        <v xml:space="preserve"> -&gt; </v>
      </c>
    </row>
    <row r="113" spans="1:20">
      <c r="A113" s="31"/>
      <c r="B113" s="32"/>
      <c r="C113" s="31" t="s">
        <v>237</v>
      </c>
      <c r="D113" s="31"/>
      <c r="E113" s="31"/>
      <c r="F113" s="31"/>
      <c r="G113" s="31" t="s">
        <v>53</v>
      </c>
      <c r="H113" s="32"/>
      <c r="I113" s="32"/>
      <c r="J113" s="32"/>
      <c r="K113" s="31"/>
      <c r="L113" s="31"/>
      <c r="M113" s="3" t="str">
        <f t="shared" ca="1" si="12"/>
        <v/>
      </c>
      <c r="P113">
        <f>'Combined Delivery Data'!B144</f>
        <v>0</v>
      </c>
      <c r="Q113">
        <f t="shared" si="13"/>
        <v>0</v>
      </c>
      <c r="R113">
        <f t="shared" si="14"/>
        <v>449</v>
      </c>
      <c r="S113" s="28">
        <f t="shared" si="15"/>
        <v>0</v>
      </c>
      <c r="T113" t="str">
        <f t="shared" si="16"/>
        <v xml:space="preserve"> -&gt; </v>
      </c>
    </row>
    <row r="114" spans="1:20">
      <c r="A114" s="31"/>
      <c r="B114" s="32"/>
      <c r="C114" s="31" t="s">
        <v>237</v>
      </c>
      <c r="D114" s="31"/>
      <c r="E114" s="31"/>
      <c r="F114" s="31"/>
      <c r="G114" s="31" t="s">
        <v>53</v>
      </c>
      <c r="H114" s="32"/>
      <c r="I114" s="32"/>
      <c r="J114" s="32"/>
      <c r="K114" s="31"/>
      <c r="L114" s="31"/>
      <c r="M114" s="3" t="str">
        <f t="shared" ca="1" si="12"/>
        <v/>
      </c>
      <c r="P114">
        <f>'Combined Delivery Data'!B145</f>
        <v>0</v>
      </c>
      <c r="Q114">
        <f t="shared" si="13"/>
        <v>0</v>
      </c>
      <c r="R114">
        <f t="shared" si="14"/>
        <v>449</v>
      </c>
      <c r="S114" s="28">
        <f t="shared" si="15"/>
        <v>0</v>
      </c>
      <c r="T114" t="str">
        <f t="shared" si="16"/>
        <v xml:space="preserve"> -&gt; </v>
      </c>
    </row>
    <row r="115" spans="1:20">
      <c r="A115" s="31"/>
      <c r="B115" s="32"/>
      <c r="C115" s="31" t="s">
        <v>237</v>
      </c>
      <c r="D115" s="31"/>
      <c r="E115" s="31"/>
      <c r="F115" s="31"/>
      <c r="G115" s="31" t="s">
        <v>53</v>
      </c>
      <c r="H115" s="32"/>
      <c r="I115" s="32"/>
      <c r="J115" s="32"/>
      <c r="K115" s="31"/>
      <c r="L115" s="31"/>
      <c r="M115" s="3" t="str">
        <f t="shared" ca="1" si="12"/>
        <v/>
      </c>
      <c r="P115">
        <f>'Combined Delivery Data'!B146</f>
        <v>0</v>
      </c>
      <c r="Q115">
        <f t="shared" si="13"/>
        <v>0</v>
      </c>
      <c r="R115">
        <f t="shared" si="14"/>
        <v>449</v>
      </c>
      <c r="S115" s="28">
        <f t="shared" si="15"/>
        <v>0</v>
      </c>
      <c r="T115" t="str">
        <f t="shared" si="16"/>
        <v xml:space="preserve"> -&gt; </v>
      </c>
    </row>
    <row r="116" spans="1:20">
      <c r="A116" s="31"/>
      <c r="B116" s="32"/>
      <c r="C116" s="31" t="s">
        <v>237</v>
      </c>
      <c r="D116" s="31"/>
      <c r="E116" s="31"/>
      <c r="F116" s="31"/>
      <c r="G116" s="31" t="s">
        <v>53</v>
      </c>
      <c r="H116" s="32"/>
      <c r="I116" s="32"/>
      <c r="J116" s="32"/>
      <c r="K116" s="31"/>
      <c r="L116" s="31"/>
      <c r="M116" s="3" t="str">
        <f t="shared" ca="1" si="12"/>
        <v/>
      </c>
      <c r="P116">
        <f>'Combined Delivery Data'!B147</f>
        <v>0</v>
      </c>
      <c r="Q116">
        <f t="shared" si="13"/>
        <v>0</v>
      </c>
      <c r="R116">
        <f t="shared" si="14"/>
        <v>449</v>
      </c>
      <c r="S116" s="28">
        <f t="shared" si="15"/>
        <v>0</v>
      </c>
      <c r="T116" t="str">
        <f t="shared" si="16"/>
        <v xml:space="preserve"> -&gt; </v>
      </c>
    </row>
    <row r="117" spans="1:20">
      <c r="A117" s="31"/>
      <c r="B117" s="32"/>
      <c r="C117" s="31" t="s">
        <v>237</v>
      </c>
      <c r="D117" s="31"/>
      <c r="E117" s="31"/>
      <c r="F117" s="31"/>
      <c r="G117" s="31" t="s">
        <v>53</v>
      </c>
      <c r="H117" s="32"/>
      <c r="I117" s="32"/>
      <c r="J117" s="32"/>
      <c r="K117" s="31"/>
      <c r="L117" s="31"/>
      <c r="M117" s="3" t="str">
        <f t="shared" ca="1" si="12"/>
        <v/>
      </c>
      <c r="P117">
        <f>'Combined Delivery Data'!B148</f>
        <v>0</v>
      </c>
      <c r="Q117">
        <f t="shared" si="13"/>
        <v>0</v>
      </c>
      <c r="R117">
        <f t="shared" si="14"/>
        <v>449</v>
      </c>
      <c r="S117" s="28">
        <f t="shared" si="15"/>
        <v>0</v>
      </c>
      <c r="T117" t="str">
        <f t="shared" si="16"/>
        <v xml:space="preserve"> -&gt; </v>
      </c>
    </row>
    <row r="118" spans="1:20">
      <c r="A118" s="31"/>
      <c r="B118" s="32"/>
      <c r="C118" s="31" t="s">
        <v>237</v>
      </c>
      <c r="D118" s="31"/>
      <c r="E118" s="31"/>
      <c r="F118" s="31"/>
      <c r="G118" s="31" t="s">
        <v>53</v>
      </c>
      <c r="H118" s="32"/>
      <c r="I118" s="32"/>
      <c r="J118" s="32"/>
      <c r="K118" s="31"/>
      <c r="L118" s="31"/>
      <c r="M118" s="3" t="str">
        <f t="shared" ca="1" si="12"/>
        <v/>
      </c>
      <c r="P118">
        <f>'Combined Delivery Data'!B149</f>
        <v>0</v>
      </c>
      <c r="Q118">
        <f t="shared" si="13"/>
        <v>0</v>
      </c>
      <c r="R118">
        <f t="shared" si="14"/>
        <v>449</v>
      </c>
      <c r="S118" s="28">
        <f t="shared" si="15"/>
        <v>0</v>
      </c>
      <c r="T118" t="str">
        <f t="shared" si="16"/>
        <v xml:space="preserve"> -&gt; </v>
      </c>
    </row>
    <row r="119" spans="1:20">
      <c r="A119" s="31"/>
      <c r="B119" s="32"/>
      <c r="C119" s="31" t="s">
        <v>237</v>
      </c>
      <c r="D119" s="31"/>
      <c r="E119" s="31"/>
      <c r="F119" s="31"/>
      <c r="G119" s="31" t="s">
        <v>53</v>
      </c>
      <c r="H119" s="32"/>
      <c r="I119" s="32"/>
      <c r="J119" s="32"/>
      <c r="K119" s="31"/>
      <c r="L119" s="31"/>
      <c r="M119" s="3" t="str">
        <f t="shared" ca="1" si="12"/>
        <v/>
      </c>
      <c r="P119">
        <f>'Combined Delivery Data'!B150</f>
        <v>0</v>
      </c>
      <c r="Q119">
        <f t="shared" si="13"/>
        <v>0</v>
      </c>
      <c r="R119">
        <f t="shared" si="14"/>
        <v>449</v>
      </c>
      <c r="S119" s="28">
        <f t="shared" si="15"/>
        <v>0</v>
      </c>
      <c r="T119" t="str">
        <f t="shared" si="16"/>
        <v xml:space="preserve"> -&gt; </v>
      </c>
    </row>
    <row r="120" spans="1:20">
      <c r="A120" s="31"/>
      <c r="B120" s="32"/>
      <c r="C120" s="31" t="s">
        <v>237</v>
      </c>
      <c r="D120" s="31"/>
      <c r="E120" s="31"/>
      <c r="F120" s="31"/>
      <c r="G120" s="31" t="s">
        <v>53</v>
      </c>
      <c r="H120" s="32"/>
      <c r="I120" s="32"/>
      <c r="J120" s="32"/>
      <c r="K120" s="31"/>
      <c r="L120" s="31"/>
      <c r="M120" s="3" t="str">
        <f t="shared" ca="1" si="12"/>
        <v/>
      </c>
      <c r="P120">
        <f>'Combined Delivery Data'!B151</f>
        <v>0</v>
      </c>
      <c r="Q120">
        <f t="shared" si="13"/>
        <v>0</v>
      </c>
      <c r="R120">
        <f t="shared" si="14"/>
        <v>449</v>
      </c>
      <c r="S120" s="28">
        <f t="shared" si="15"/>
        <v>0</v>
      </c>
      <c r="T120" t="str">
        <f t="shared" si="16"/>
        <v xml:space="preserve"> -&gt; </v>
      </c>
    </row>
    <row r="121" spans="1:20">
      <c r="A121" s="31"/>
      <c r="B121" s="32"/>
      <c r="C121" s="31" t="s">
        <v>237</v>
      </c>
      <c r="D121" s="31"/>
      <c r="E121" s="31"/>
      <c r="F121" s="31"/>
      <c r="G121" s="31" t="s">
        <v>53</v>
      </c>
      <c r="H121" s="32"/>
      <c r="I121" s="32"/>
      <c r="J121" s="32"/>
      <c r="K121" s="31"/>
      <c r="L121" s="31"/>
      <c r="M121" s="3" t="str">
        <f t="shared" ca="1" si="12"/>
        <v/>
      </c>
      <c r="P121">
        <f>'Combined Delivery Data'!B152</f>
        <v>0</v>
      </c>
      <c r="Q121">
        <f t="shared" si="13"/>
        <v>0</v>
      </c>
      <c r="R121">
        <f t="shared" si="14"/>
        <v>449</v>
      </c>
      <c r="S121" s="28">
        <f t="shared" si="15"/>
        <v>0</v>
      </c>
      <c r="T121" t="str">
        <f t="shared" si="16"/>
        <v xml:space="preserve"> -&gt; </v>
      </c>
    </row>
    <row r="122" spans="1:20">
      <c r="A122" s="31"/>
      <c r="B122" s="32"/>
      <c r="C122" s="31" t="s">
        <v>237</v>
      </c>
      <c r="D122" s="31"/>
      <c r="E122" s="31"/>
      <c r="F122" s="31"/>
      <c r="G122" s="31" t="s">
        <v>53</v>
      </c>
      <c r="H122" s="32"/>
      <c r="I122" s="32"/>
      <c r="J122" s="32"/>
      <c r="K122" s="31"/>
      <c r="L122" s="31"/>
      <c r="M122" s="3" t="str">
        <f t="shared" ca="1" si="12"/>
        <v/>
      </c>
      <c r="P122">
        <f>'Combined Delivery Data'!B153</f>
        <v>0</v>
      </c>
      <c r="Q122">
        <f t="shared" si="13"/>
        <v>0</v>
      </c>
      <c r="R122">
        <f t="shared" si="14"/>
        <v>449</v>
      </c>
      <c r="S122" s="28">
        <f t="shared" si="15"/>
        <v>0</v>
      </c>
      <c r="T122" t="str">
        <f t="shared" si="16"/>
        <v xml:space="preserve"> -&gt; </v>
      </c>
    </row>
    <row r="123" spans="1:20">
      <c r="A123" s="31"/>
      <c r="B123" s="32"/>
      <c r="C123" s="31" t="s">
        <v>237</v>
      </c>
      <c r="D123" s="31"/>
      <c r="E123" s="31"/>
      <c r="F123" s="31"/>
      <c r="G123" s="31" t="s">
        <v>53</v>
      </c>
      <c r="H123" s="32"/>
      <c r="I123" s="32"/>
      <c r="J123" s="32"/>
      <c r="K123" s="31"/>
      <c r="L123" s="31"/>
      <c r="M123" s="3" t="str">
        <f t="shared" ca="1" si="12"/>
        <v/>
      </c>
      <c r="P123">
        <f>'Combined Delivery Data'!B154</f>
        <v>0</v>
      </c>
      <c r="Q123">
        <f t="shared" si="13"/>
        <v>0</v>
      </c>
      <c r="R123">
        <f t="shared" si="14"/>
        <v>449</v>
      </c>
      <c r="S123" s="28">
        <f t="shared" si="15"/>
        <v>0</v>
      </c>
      <c r="T123" t="str">
        <f t="shared" si="16"/>
        <v xml:space="preserve"> -&gt; </v>
      </c>
    </row>
    <row r="124" spans="1:20">
      <c r="A124" s="31"/>
      <c r="B124" s="32"/>
      <c r="C124" s="31" t="s">
        <v>237</v>
      </c>
      <c r="D124" s="31"/>
      <c r="E124" s="31"/>
      <c r="F124" s="31"/>
      <c r="G124" s="31" t="s">
        <v>53</v>
      </c>
      <c r="H124" s="32"/>
      <c r="I124" s="32"/>
      <c r="J124" s="32"/>
      <c r="K124" s="31"/>
      <c r="L124" s="31"/>
      <c r="M124" s="3" t="str">
        <f t="shared" ca="1" si="12"/>
        <v/>
      </c>
      <c r="P124">
        <f>'Combined Delivery Data'!B155</f>
        <v>0</v>
      </c>
      <c r="Q124">
        <f t="shared" si="13"/>
        <v>0</v>
      </c>
      <c r="R124">
        <f t="shared" si="14"/>
        <v>449</v>
      </c>
      <c r="S124" s="28">
        <f t="shared" si="15"/>
        <v>0</v>
      </c>
      <c r="T124" t="str">
        <f t="shared" si="16"/>
        <v xml:space="preserve"> -&gt; </v>
      </c>
    </row>
    <row r="125" spans="1:20">
      <c r="A125" s="31"/>
      <c r="B125" s="32"/>
      <c r="C125" s="31" t="s">
        <v>237</v>
      </c>
      <c r="D125" s="31"/>
      <c r="E125" s="31"/>
      <c r="F125" s="31"/>
      <c r="G125" s="31" t="s">
        <v>53</v>
      </c>
      <c r="H125" s="32"/>
      <c r="I125" s="32"/>
      <c r="J125" s="32"/>
      <c r="K125" s="31"/>
      <c r="L125" s="31"/>
      <c r="M125" s="3" t="str">
        <f t="shared" ca="1" si="12"/>
        <v/>
      </c>
      <c r="P125">
        <f>'Combined Delivery Data'!B156</f>
        <v>0</v>
      </c>
      <c r="Q125">
        <f t="shared" si="13"/>
        <v>0</v>
      </c>
      <c r="R125">
        <f t="shared" si="14"/>
        <v>449</v>
      </c>
      <c r="S125" s="28">
        <f t="shared" si="15"/>
        <v>0</v>
      </c>
      <c r="T125" t="str">
        <f t="shared" si="16"/>
        <v xml:space="preserve"> -&gt; </v>
      </c>
    </row>
    <row r="126" spans="1:20">
      <c r="A126" s="31"/>
      <c r="B126" s="32"/>
      <c r="C126" s="31" t="s">
        <v>237</v>
      </c>
      <c r="D126" s="31"/>
      <c r="E126" s="31"/>
      <c r="F126" s="31"/>
      <c r="G126" s="31" t="s">
        <v>53</v>
      </c>
      <c r="H126" s="32"/>
      <c r="I126" s="32"/>
      <c r="J126" s="32"/>
      <c r="K126" s="31"/>
      <c r="L126" s="31"/>
      <c r="M126" s="3" t="str">
        <f t="shared" ca="1" si="12"/>
        <v/>
      </c>
      <c r="P126">
        <f>'Combined Delivery Data'!B157</f>
        <v>0</v>
      </c>
      <c r="Q126">
        <f t="shared" si="13"/>
        <v>0</v>
      </c>
      <c r="R126">
        <f t="shared" si="14"/>
        <v>449</v>
      </c>
      <c r="S126" s="28">
        <f t="shared" si="15"/>
        <v>0</v>
      </c>
      <c r="T126" t="str">
        <f t="shared" si="16"/>
        <v xml:space="preserve"> -&gt; </v>
      </c>
    </row>
    <row r="127" spans="1:20">
      <c r="A127" s="31"/>
      <c r="B127" s="32"/>
      <c r="C127" s="31" t="s">
        <v>237</v>
      </c>
      <c r="D127" s="31"/>
      <c r="E127" s="31"/>
      <c r="F127" s="31"/>
      <c r="G127" s="31" t="s">
        <v>53</v>
      </c>
      <c r="H127" s="32"/>
      <c r="I127" s="32"/>
      <c r="J127" s="32"/>
      <c r="K127" s="31"/>
      <c r="L127" s="31"/>
      <c r="M127" s="3" t="str">
        <f t="shared" ca="1" si="12"/>
        <v/>
      </c>
      <c r="P127">
        <f>'Combined Delivery Data'!B158</f>
        <v>0</v>
      </c>
      <c r="Q127">
        <f t="shared" si="13"/>
        <v>0</v>
      </c>
      <c r="R127">
        <f t="shared" si="14"/>
        <v>449</v>
      </c>
      <c r="S127" s="28">
        <f t="shared" si="15"/>
        <v>0</v>
      </c>
      <c r="T127" t="str">
        <f t="shared" si="16"/>
        <v xml:space="preserve"> -&gt; </v>
      </c>
    </row>
    <row r="128" spans="1:20">
      <c r="A128" s="31"/>
      <c r="B128" s="32"/>
      <c r="C128" s="31" t="s">
        <v>237</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Data'!B159</f>
        <v>0</v>
      </c>
      <c r="Q128">
        <f t="shared" si="13"/>
        <v>0</v>
      </c>
      <c r="R128">
        <f t="shared" si="14"/>
        <v>449</v>
      </c>
      <c r="S128" s="28">
        <f t="shared" si="15"/>
        <v>0</v>
      </c>
      <c r="T128" t="str">
        <f t="shared" si="16"/>
        <v xml:space="preserve"> -&gt; </v>
      </c>
    </row>
    <row r="129" spans="1:20">
      <c r="A129" s="31"/>
      <c r="B129" s="32"/>
      <c r="C129" s="31" t="s">
        <v>237</v>
      </c>
      <c r="D129" s="31"/>
      <c r="E129" s="31"/>
      <c r="F129" s="31"/>
      <c r="G129" s="31" t="s">
        <v>53</v>
      </c>
      <c r="H129" s="32"/>
      <c r="I129" s="32"/>
      <c r="J129" s="32"/>
      <c r="K129" s="31"/>
      <c r="L129" s="31"/>
      <c r="M129" s="3" t="str">
        <f t="shared" ca="1" si="17"/>
        <v/>
      </c>
      <c r="P129">
        <f>'Combined Delivery Data'!B160</f>
        <v>0</v>
      </c>
      <c r="Q129">
        <f t="shared" si="13"/>
        <v>0</v>
      </c>
      <c r="R129">
        <f t="shared" si="14"/>
        <v>449</v>
      </c>
      <c r="S129" s="28">
        <f t="shared" si="15"/>
        <v>0</v>
      </c>
      <c r="T129" t="str">
        <f t="shared" si="16"/>
        <v xml:space="preserve"> -&gt; </v>
      </c>
    </row>
    <row r="130" spans="1:20">
      <c r="A130" s="31"/>
      <c r="B130" s="32"/>
      <c r="C130" s="31" t="s">
        <v>237</v>
      </c>
      <c r="D130" s="31"/>
      <c r="E130" s="31"/>
      <c r="F130" s="31"/>
      <c r="G130" s="31" t="s">
        <v>53</v>
      </c>
      <c r="H130" s="32"/>
      <c r="I130" s="32"/>
      <c r="J130" s="32"/>
      <c r="K130" s="31"/>
      <c r="L130" s="31"/>
      <c r="M130" s="3" t="str">
        <f t="shared" ca="1" si="17"/>
        <v/>
      </c>
      <c r="P130">
        <f>'Combined Delivery Data'!B161</f>
        <v>0</v>
      </c>
      <c r="Q130">
        <f t="shared" si="13"/>
        <v>0</v>
      </c>
      <c r="R130">
        <f t="shared" si="14"/>
        <v>449</v>
      </c>
      <c r="S130" s="28">
        <f t="shared" si="15"/>
        <v>0</v>
      </c>
      <c r="T130" t="str">
        <f t="shared" si="16"/>
        <v xml:space="preserve"> -&gt; </v>
      </c>
    </row>
    <row r="131" spans="1:20">
      <c r="A131" s="31"/>
      <c r="B131" s="32"/>
      <c r="C131" s="31" t="s">
        <v>237</v>
      </c>
      <c r="D131" s="31"/>
      <c r="E131" s="31"/>
      <c r="F131" s="31"/>
      <c r="G131" s="31" t="s">
        <v>53</v>
      </c>
      <c r="H131" s="32"/>
      <c r="I131" s="32"/>
      <c r="J131" s="32"/>
      <c r="K131" s="31"/>
      <c r="L131" s="31"/>
      <c r="M131" s="3" t="str">
        <f t="shared" ca="1" si="17"/>
        <v/>
      </c>
      <c r="P131">
        <f>'Combined Delivery Data'!B162</f>
        <v>0</v>
      </c>
      <c r="Q131">
        <f t="shared" si="13"/>
        <v>0</v>
      </c>
      <c r="R131">
        <f t="shared" si="14"/>
        <v>449</v>
      </c>
      <c r="S131" s="28">
        <f t="shared" si="15"/>
        <v>0</v>
      </c>
      <c r="T131" t="str">
        <f t="shared" si="16"/>
        <v xml:space="preserve"> -&gt; </v>
      </c>
    </row>
    <row r="132" spans="1:20">
      <c r="A132" s="31"/>
      <c r="B132" s="32"/>
      <c r="C132" s="31" t="s">
        <v>237</v>
      </c>
      <c r="D132" s="31"/>
      <c r="E132" s="31"/>
      <c r="F132" s="31"/>
      <c r="G132" s="31" t="s">
        <v>53</v>
      </c>
      <c r="H132" s="32"/>
      <c r="I132" s="32"/>
      <c r="J132" s="32"/>
      <c r="K132" s="31"/>
      <c r="L132" s="31"/>
      <c r="M132" s="3" t="str">
        <f t="shared" ca="1" si="17"/>
        <v/>
      </c>
      <c r="P132">
        <f>'Combined Delivery Data'!B163</f>
        <v>0</v>
      </c>
      <c r="Q132">
        <f t="shared" si="13"/>
        <v>0</v>
      </c>
      <c r="R132">
        <f t="shared" si="14"/>
        <v>449</v>
      </c>
      <c r="S132" s="28">
        <f t="shared" si="15"/>
        <v>0</v>
      </c>
      <c r="T132" t="str">
        <f t="shared" si="16"/>
        <v xml:space="preserve"> -&gt; </v>
      </c>
    </row>
    <row r="133" spans="1:20">
      <c r="A133" s="31"/>
      <c r="B133" s="32"/>
      <c r="C133" s="31" t="s">
        <v>237</v>
      </c>
      <c r="D133" s="31"/>
      <c r="E133" s="31"/>
      <c r="F133" s="31"/>
      <c r="G133" s="31" t="s">
        <v>53</v>
      </c>
      <c r="H133" s="32"/>
      <c r="I133" s="32"/>
      <c r="J133" s="32"/>
      <c r="K133" s="31"/>
      <c r="L133" s="31"/>
      <c r="M133" s="3" t="str">
        <f t="shared" ca="1" si="17"/>
        <v/>
      </c>
      <c r="P133">
        <f>'Combined Delivery Data'!B164</f>
        <v>0</v>
      </c>
      <c r="Q133">
        <f t="shared" si="13"/>
        <v>0</v>
      </c>
      <c r="R133">
        <f t="shared" si="14"/>
        <v>449</v>
      </c>
      <c r="S133" s="28">
        <f t="shared" si="15"/>
        <v>0</v>
      </c>
      <c r="T133" t="str">
        <f t="shared" si="16"/>
        <v xml:space="preserve"> -&gt; </v>
      </c>
    </row>
    <row r="134" spans="1:20">
      <c r="A134" s="31"/>
      <c r="B134" s="32"/>
      <c r="C134" s="31" t="s">
        <v>237</v>
      </c>
      <c r="D134" s="31"/>
      <c r="E134" s="31"/>
      <c r="F134" s="31"/>
      <c r="G134" s="31" t="s">
        <v>53</v>
      </c>
      <c r="H134" s="32"/>
      <c r="I134" s="32"/>
      <c r="J134" s="32"/>
      <c r="K134" s="31"/>
      <c r="L134" s="31"/>
      <c r="M134" s="3" t="str">
        <f t="shared" ca="1" si="17"/>
        <v/>
      </c>
      <c r="P134">
        <f>'Combined Delivery Data'!B165</f>
        <v>0</v>
      </c>
      <c r="Q134">
        <f t="shared" si="13"/>
        <v>0</v>
      </c>
      <c r="R134">
        <f t="shared" si="14"/>
        <v>449</v>
      </c>
      <c r="S134" s="28">
        <f t="shared" si="15"/>
        <v>0</v>
      </c>
      <c r="T134" t="str">
        <f t="shared" si="16"/>
        <v xml:space="preserve"> -&gt; </v>
      </c>
    </row>
    <row r="135" spans="1:20">
      <c r="A135" s="31"/>
      <c r="B135" s="32"/>
      <c r="C135" s="31" t="s">
        <v>237</v>
      </c>
      <c r="D135" s="31"/>
      <c r="E135" s="31"/>
      <c r="F135" s="31"/>
      <c r="G135" s="31" t="s">
        <v>53</v>
      </c>
      <c r="H135" s="32"/>
      <c r="I135" s="32"/>
      <c r="J135" s="32"/>
      <c r="K135" s="31"/>
      <c r="L135" s="31"/>
      <c r="M135" s="3" t="str">
        <f t="shared" ca="1" si="17"/>
        <v/>
      </c>
      <c r="P135">
        <f>'Combined Delivery Data'!B166</f>
        <v>0</v>
      </c>
      <c r="Q135">
        <f t="shared" si="13"/>
        <v>0</v>
      </c>
      <c r="R135">
        <f t="shared" si="14"/>
        <v>449</v>
      </c>
      <c r="S135" s="28">
        <f t="shared" si="15"/>
        <v>0</v>
      </c>
      <c r="T135" t="str">
        <f t="shared" si="16"/>
        <v xml:space="preserve"> -&gt; </v>
      </c>
    </row>
    <row r="136" spans="1:20">
      <c r="A136" s="31"/>
      <c r="B136" s="32"/>
      <c r="C136" s="31" t="s">
        <v>237</v>
      </c>
      <c r="D136" s="31"/>
      <c r="E136" s="31"/>
      <c r="F136" s="31"/>
      <c r="G136" s="31" t="s">
        <v>53</v>
      </c>
      <c r="H136" s="32"/>
      <c r="I136" s="32"/>
      <c r="J136" s="32"/>
      <c r="K136" s="31"/>
      <c r="L136" s="31"/>
      <c r="M136" s="3" t="str">
        <f t="shared" ca="1" si="17"/>
        <v/>
      </c>
      <c r="P136">
        <f>'Combined Delivery Data'!B167</f>
        <v>0</v>
      </c>
      <c r="Q136">
        <f t="shared" si="13"/>
        <v>0</v>
      </c>
      <c r="R136">
        <f t="shared" si="14"/>
        <v>449</v>
      </c>
      <c r="S136" s="28">
        <f t="shared" si="15"/>
        <v>0</v>
      </c>
      <c r="T136" t="str">
        <f t="shared" si="16"/>
        <v xml:space="preserve"> -&gt; </v>
      </c>
    </row>
    <row r="137" spans="1:20">
      <c r="A137" s="31"/>
      <c r="B137" s="32"/>
      <c r="C137" s="31" t="s">
        <v>237</v>
      </c>
      <c r="D137" s="31"/>
      <c r="E137" s="31"/>
      <c r="F137" s="31"/>
      <c r="G137" s="31" t="s">
        <v>53</v>
      </c>
      <c r="H137" s="32"/>
      <c r="I137" s="32"/>
      <c r="J137" s="32"/>
      <c r="K137" s="31"/>
      <c r="L137" s="31"/>
      <c r="M137" s="3" t="str">
        <f t="shared" ca="1" si="17"/>
        <v/>
      </c>
      <c r="P137">
        <f>'Combined Delivery Data'!B168</f>
        <v>0</v>
      </c>
      <c r="Q137">
        <f t="shared" si="13"/>
        <v>0</v>
      </c>
      <c r="R137">
        <f t="shared" si="14"/>
        <v>449</v>
      </c>
      <c r="S137" s="28">
        <f t="shared" si="15"/>
        <v>0</v>
      </c>
      <c r="T137" t="str">
        <f t="shared" si="16"/>
        <v xml:space="preserve"> -&gt; </v>
      </c>
    </row>
    <row r="138" spans="1:20">
      <c r="A138" s="31"/>
      <c r="B138" s="32"/>
      <c r="C138" s="31" t="s">
        <v>237</v>
      </c>
      <c r="D138" s="31"/>
      <c r="E138" s="31"/>
      <c r="F138" s="31"/>
      <c r="G138" s="31" t="s">
        <v>53</v>
      </c>
      <c r="H138" s="32"/>
      <c r="I138" s="32"/>
      <c r="J138" s="32"/>
      <c r="K138" s="31"/>
      <c r="L138" s="31"/>
      <c r="M138" s="3" t="str">
        <f t="shared" ca="1" si="17"/>
        <v/>
      </c>
      <c r="P138">
        <f>'Combined Delivery Data'!B169</f>
        <v>0</v>
      </c>
      <c r="Q138">
        <f t="shared" si="13"/>
        <v>0</v>
      </c>
      <c r="R138">
        <f t="shared" si="14"/>
        <v>449</v>
      </c>
      <c r="S138" s="28">
        <f t="shared" si="15"/>
        <v>0</v>
      </c>
      <c r="T138" t="str">
        <f t="shared" si="16"/>
        <v xml:space="preserve"> -&gt; </v>
      </c>
    </row>
    <row r="139" spans="1:20">
      <c r="A139" s="31"/>
      <c r="B139" s="32"/>
      <c r="C139" s="31" t="s">
        <v>237</v>
      </c>
      <c r="D139" s="31"/>
      <c r="E139" s="31"/>
      <c r="F139" s="31"/>
      <c r="G139" s="31" t="s">
        <v>53</v>
      </c>
      <c r="H139" s="32"/>
      <c r="I139" s="32"/>
      <c r="J139" s="32"/>
      <c r="K139" s="31"/>
      <c r="L139" s="31"/>
      <c r="M139" s="3" t="str">
        <f t="shared" ca="1" si="17"/>
        <v/>
      </c>
      <c r="P139">
        <f>'Combined Delivery Data'!B170</f>
        <v>0</v>
      </c>
      <c r="Q139">
        <f t="shared" si="13"/>
        <v>0</v>
      </c>
      <c r="R139">
        <f t="shared" si="14"/>
        <v>449</v>
      </c>
      <c r="S139" s="28">
        <f t="shared" si="15"/>
        <v>0</v>
      </c>
      <c r="T139" t="str">
        <f t="shared" si="16"/>
        <v xml:space="preserve"> -&gt; </v>
      </c>
    </row>
    <row r="140" spans="1:20">
      <c r="A140" s="31"/>
      <c r="B140" s="32"/>
      <c r="C140" s="31" t="s">
        <v>237</v>
      </c>
      <c r="D140" s="31"/>
      <c r="E140" s="31"/>
      <c r="F140" s="31"/>
      <c r="G140" s="31" t="s">
        <v>53</v>
      </c>
      <c r="H140" s="32"/>
      <c r="I140" s="32"/>
      <c r="J140" s="32"/>
      <c r="K140" s="31"/>
      <c r="L140" s="31"/>
      <c r="M140" s="3" t="str">
        <f t="shared" ca="1" si="17"/>
        <v/>
      </c>
      <c r="P140">
        <f>'Combined Delivery Data'!B171</f>
        <v>0</v>
      </c>
      <c r="Q140">
        <f t="shared" si="13"/>
        <v>0</v>
      </c>
      <c r="R140">
        <f t="shared" si="14"/>
        <v>449</v>
      </c>
      <c r="S140" s="28">
        <f t="shared" si="15"/>
        <v>0</v>
      </c>
      <c r="T140" t="str">
        <f t="shared" si="16"/>
        <v xml:space="preserve"> -&gt; </v>
      </c>
    </row>
    <row r="141" spans="1:20">
      <c r="A141" s="31"/>
      <c r="B141" s="32"/>
      <c r="C141" s="31" t="s">
        <v>237</v>
      </c>
      <c r="D141" s="31"/>
      <c r="E141" s="31"/>
      <c r="F141" s="31"/>
      <c r="G141" s="31" t="s">
        <v>53</v>
      </c>
      <c r="H141" s="32"/>
      <c r="I141" s="32"/>
      <c r="J141" s="32"/>
      <c r="K141" s="31"/>
      <c r="L141" s="31"/>
      <c r="M141" s="3" t="str">
        <f t="shared" ca="1" si="17"/>
        <v/>
      </c>
      <c r="P141">
        <f>'Combined Delivery Data'!B172</f>
        <v>0</v>
      </c>
      <c r="Q141">
        <f t="shared" si="13"/>
        <v>0</v>
      </c>
      <c r="R141">
        <f t="shared" si="14"/>
        <v>449</v>
      </c>
      <c r="S141" s="28">
        <f t="shared" si="15"/>
        <v>0</v>
      </c>
      <c r="T141" t="str">
        <f t="shared" si="16"/>
        <v xml:space="preserve"> -&gt; </v>
      </c>
    </row>
    <row r="142" spans="1:20">
      <c r="A142" s="31"/>
      <c r="B142" s="32"/>
      <c r="C142" s="31" t="s">
        <v>237</v>
      </c>
      <c r="D142" s="31"/>
      <c r="E142" s="31"/>
      <c r="F142" s="31"/>
      <c r="G142" s="31" t="s">
        <v>53</v>
      </c>
      <c r="H142" s="32"/>
      <c r="I142" s="32"/>
      <c r="J142" s="32"/>
      <c r="K142" s="31"/>
      <c r="L142" s="31"/>
      <c r="M142" s="3" t="str">
        <f t="shared" ca="1" si="17"/>
        <v/>
      </c>
      <c r="P142">
        <f>'Combined Delivery Data'!B173</f>
        <v>0</v>
      </c>
      <c r="Q142">
        <f t="shared" si="13"/>
        <v>0</v>
      </c>
      <c r="R142">
        <f t="shared" si="14"/>
        <v>449</v>
      </c>
      <c r="S142" s="28">
        <f t="shared" si="15"/>
        <v>0</v>
      </c>
      <c r="T142" t="str">
        <f t="shared" si="16"/>
        <v xml:space="preserve"> -&gt; </v>
      </c>
    </row>
    <row r="143" spans="1:20">
      <c r="A143" s="31"/>
      <c r="B143" s="32"/>
      <c r="C143" s="31" t="s">
        <v>237</v>
      </c>
      <c r="D143" s="31"/>
      <c r="E143" s="31"/>
      <c r="F143" s="31"/>
      <c r="G143" s="31" t="s">
        <v>53</v>
      </c>
      <c r="H143" s="32"/>
      <c r="I143" s="32"/>
      <c r="J143" s="32"/>
      <c r="K143" s="31"/>
      <c r="L143" s="31"/>
      <c r="M143" s="3" t="str">
        <f t="shared" ca="1" si="17"/>
        <v/>
      </c>
      <c r="P143">
        <f>'Combined Delivery Data'!B174</f>
        <v>0</v>
      </c>
      <c r="Q143">
        <f t="shared" si="13"/>
        <v>0</v>
      </c>
      <c r="R143">
        <f t="shared" si="14"/>
        <v>449</v>
      </c>
      <c r="S143" s="28">
        <f t="shared" si="15"/>
        <v>0</v>
      </c>
      <c r="T143" t="str">
        <f t="shared" si="16"/>
        <v xml:space="preserve"> -&gt; </v>
      </c>
    </row>
    <row r="144" spans="1:20">
      <c r="A144" s="31"/>
      <c r="B144" s="32"/>
      <c r="C144" s="31" t="s">
        <v>237</v>
      </c>
      <c r="D144" s="31"/>
      <c r="E144" s="31"/>
      <c r="F144" s="31"/>
      <c r="G144" s="31" t="s">
        <v>53</v>
      </c>
      <c r="H144" s="32"/>
      <c r="I144" s="32"/>
      <c r="J144" s="32"/>
      <c r="K144" s="31"/>
      <c r="L144" s="31"/>
      <c r="M144" s="3" t="str">
        <f t="shared" ca="1" si="17"/>
        <v/>
      </c>
      <c r="P144">
        <f>'Combined Delivery Data'!B175</f>
        <v>0</v>
      </c>
      <c r="Q144">
        <f t="shared" si="13"/>
        <v>0</v>
      </c>
      <c r="R144">
        <f t="shared" si="14"/>
        <v>449</v>
      </c>
      <c r="S144" s="28">
        <f t="shared" si="15"/>
        <v>0</v>
      </c>
      <c r="T144" t="str">
        <f t="shared" si="16"/>
        <v xml:space="preserve"> -&gt; </v>
      </c>
    </row>
    <row r="145" spans="1:20">
      <c r="A145" s="31"/>
      <c r="B145" s="32"/>
      <c r="C145" s="31" t="s">
        <v>237</v>
      </c>
      <c r="D145" s="31"/>
      <c r="E145" s="31"/>
      <c r="F145" s="31"/>
      <c r="G145" s="31" t="s">
        <v>53</v>
      </c>
      <c r="H145" s="32"/>
      <c r="I145" s="32"/>
      <c r="J145" s="32"/>
      <c r="K145" s="31"/>
      <c r="L145" s="31"/>
      <c r="M145" s="3" t="str">
        <f t="shared" ca="1" si="17"/>
        <v/>
      </c>
      <c r="P145">
        <f>'Combined Delivery Data'!B176</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237</v>
      </c>
      <c r="D146" s="31"/>
      <c r="E146" s="31"/>
      <c r="F146" s="31"/>
      <c r="G146" s="31" t="s">
        <v>53</v>
      </c>
      <c r="H146" s="32"/>
      <c r="I146" s="32"/>
      <c r="J146" s="32"/>
      <c r="K146" s="31"/>
      <c r="L146" s="31"/>
      <c r="M146" s="3" t="str">
        <f t="shared" ca="1" si="17"/>
        <v/>
      </c>
      <c r="P146">
        <f>'Combined Delivery Data'!B177</f>
        <v>0</v>
      </c>
      <c r="Q146">
        <f t="shared" si="18"/>
        <v>0</v>
      </c>
      <c r="R146">
        <f t="shared" si="19"/>
        <v>449</v>
      </c>
      <c r="S146" s="28">
        <f t="shared" si="15"/>
        <v>0</v>
      </c>
      <c r="T146" t="str">
        <f t="shared" si="16"/>
        <v xml:space="preserve"> -&gt; </v>
      </c>
    </row>
    <row r="147" spans="1:20">
      <c r="A147" s="31"/>
      <c r="B147" s="32"/>
      <c r="C147" s="31" t="s">
        <v>237</v>
      </c>
      <c r="D147" s="31"/>
      <c r="E147" s="31"/>
      <c r="F147" s="31"/>
      <c r="G147" s="31" t="s">
        <v>53</v>
      </c>
      <c r="H147" s="32"/>
      <c r="I147" s="32"/>
      <c r="J147" s="32"/>
      <c r="K147" s="31"/>
      <c r="L147" s="31"/>
      <c r="M147" s="3" t="str">
        <f t="shared" ca="1" si="17"/>
        <v/>
      </c>
      <c r="P147">
        <f>'Combined Delivery Data'!B178</f>
        <v>0</v>
      </c>
      <c r="Q147">
        <f t="shared" si="18"/>
        <v>0</v>
      </c>
      <c r="R147">
        <f t="shared" si="19"/>
        <v>449</v>
      </c>
      <c r="S147" s="28">
        <f t="shared" si="15"/>
        <v>0</v>
      </c>
      <c r="T147" t="str">
        <f t="shared" si="16"/>
        <v xml:space="preserve"> -&gt; </v>
      </c>
    </row>
    <row r="148" spans="1:20">
      <c r="A148" s="31"/>
      <c r="B148" s="32"/>
      <c r="C148" s="31" t="s">
        <v>237</v>
      </c>
      <c r="D148" s="31"/>
      <c r="E148" s="31"/>
      <c r="F148" s="31"/>
      <c r="G148" s="31" t="s">
        <v>53</v>
      </c>
      <c r="H148" s="32"/>
      <c r="I148" s="32"/>
      <c r="J148" s="32"/>
      <c r="K148" s="31"/>
      <c r="L148" s="31"/>
      <c r="M148" s="3" t="str">
        <f t="shared" ca="1" si="17"/>
        <v/>
      </c>
      <c r="P148">
        <f>'Combined Delivery Data'!B179</f>
        <v>0</v>
      </c>
      <c r="Q148">
        <f t="shared" si="18"/>
        <v>0</v>
      </c>
      <c r="R148">
        <f t="shared" si="19"/>
        <v>449</v>
      </c>
      <c r="S148" s="28">
        <f t="shared" si="15"/>
        <v>0</v>
      </c>
      <c r="T148" t="str">
        <f t="shared" si="16"/>
        <v xml:space="preserve"> -&gt; </v>
      </c>
    </row>
    <row r="149" spans="1:20">
      <c r="A149" s="31"/>
      <c r="B149" s="32"/>
      <c r="C149" s="31" t="s">
        <v>237</v>
      </c>
      <c r="D149" s="31"/>
      <c r="E149" s="31"/>
      <c r="F149" s="31"/>
      <c r="G149" s="31" t="s">
        <v>53</v>
      </c>
      <c r="H149" s="32"/>
      <c r="I149" s="32"/>
      <c r="J149" s="32"/>
      <c r="K149" s="31"/>
      <c r="L149" s="31"/>
      <c r="M149" s="3" t="str">
        <f t="shared" ca="1" si="17"/>
        <v/>
      </c>
      <c r="P149">
        <f>'Combined Delivery Data'!B180</f>
        <v>0</v>
      </c>
      <c r="Q149">
        <f t="shared" si="18"/>
        <v>0</v>
      </c>
      <c r="R149">
        <f t="shared" si="19"/>
        <v>449</v>
      </c>
      <c r="S149" s="28">
        <f t="shared" si="15"/>
        <v>0</v>
      </c>
      <c r="T149" t="str">
        <f t="shared" si="16"/>
        <v xml:space="preserve"> -&gt; </v>
      </c>
    </row>
    <row r="150" spans="1:20">
      <c r="A150" s="31"/>
      <c r="B150" s="32"/>
      <c r="C150" s="31" t="s">
        <v>237</v>
      </c>
      <c r="D150" s="31"/>
      <c r="E150" s="31"/>
      <c r="F150" s="31"/>
      <c r="G150" s="31" t="s">
        <v>53</v>
      </c>
      <c r="H150" s="32"/>
      <c r="I150" s="32"/>
      <c r="J150" s="32"/>
      <c r="K150" s="31"/>
      <c r="L150" s="31"/>
      <c r="M150" s="3" t="str">
        <f t="shared" ca="1" si="17"/>
        <v/>
      </c>
      <c r="P150">
        <f>'Combined Delivery Data'!B181</f>
        <v>0</v>
      </c>
      <c r="Q150">
        <f t="shared" si="18"/>
        <v>0</v>
      </c>
      <c r="R150">
        <f t="shared" si="19"/>
        <v>449</v>
      </c>
      <c r="S150" s="28">
        <f t="shared" si="15"/>
        <v>0</v>
      </c>
      <c r="T150" t="str">
        <f t="shared" si="16"/>
        <v xml:space="preserve"> -&gt; </v>
      </c>
    </row>
    <row r="151" spans="1:20">
      <c r="A151" s="31"/>
      <c r="B151" s="32"/>
      <c r="C151" s="31" t="s">
        <v>237</v>
      </c>
      <c r="D151" s="31"/>
      <c r="E151" s="31"/>
      <c r="F151" s="31"/>
      <c r="G151" s="31" t="s">
        <v>53</v>
      </c>
      <c r="H151" s="32"/>
      <c r="I151" s="32"/>
      <c r="J151" s="32"/>
      <c r="K151" s="31"/>
      <c r="L151" s="31"/>
      <c r="M151" s="3" t="str">
        <f t="shared" ca="1" si="17"/>
        <v/>
      </c>
      <c r="P151">
        <f>'Combined Delivery Data'!B182</f>
        <v>0</v>
      </c>
      <c r="Q151">
        <f t="shared" si="18"/>
        <v>0</v>
      </c>
      <c r="R151">
        <f t="shared" si="19"/>
        <v>449</v>
      </c>
      <c r="S151" s="28">
        <f t="shared" si="15"/>
        <v>0</v>
      </c>
      <c r="T151" t="str">
        <f t="shared" si="16"/>
        <v xml:space="preserve"> -&gt; </v>
      </c>
    </row>
    <row r="152" spans="1:20">
      <c r="A152" s="31"/>
      <c r="B152" s="32"/>
      <c r="C152" s="31" t="s">
        <v>237</v>
      </c>
      <c r="D152" s="31"/>
      <c r="E152" s="31"/>
      <c r="F152" s="31"/>
      <c r="G152" s="31" t="s">
        <v>53</v>
      </c>
      <c r="H152" s="32"/>
      <c r="I152" s="32"/>
      <c r="J152" s="32"/>
      <c r="K152" s="31"/>
      <c r="L152" s="31"/>
      <c r="M152" s="3" t="str">
        <f t="shared" ca="1" si="17"/>
        <v/>
      </c>
      <c r="P152">
        <f>'Combined Delivery Data'!B183</f>
        <v>0</v>
      </c>
      <c r="Q152">
        <f t="shared" si="18"/>
        <v>0</v>
      </c>
      <c r="R152">
        <f t="shared" si="19"/>
        <v>449</v>
      </c>
      <c r="S152" s="28">
        <f t="shared" si="15"/>
        <v>0</v>
      </c>
      <c r="T152" t="str">
        <f t="shared" si="16"/>
        <v xml:space="preserve"> -&gt; </v>
      </c>
    </row>
    <row r="153" spans="1:20">
      <c r="A153" s="31"/>
      <c r="B153" s="32"/>
      <c r="C153" s="31" t="s">
        <v>237</v>
      </c>
      <c r="D153" s="31"/>
      <c r="E153" s="31"/>
      <c r="F153" s="31"/>
      <c r="G153" s="31" t="s">
        <v>53</v>
      </c>
      <c r="H153" s="32"/>
      <c r="I153" s="32"/>
      <c r="J153" s="32"/>
      <c r="K153" s="31"/>
      <c r="L153" s="31"/>
      <c r="M153" s="3" t="str">
        <f t="shared" ca="1" si="17"/>
        <v/>
      </c>
      <c r="P153">
        <f>'Combined Delivery Data'!B184</f>
        <v>0</v>
      </c>
      <c r="Q153">
        <f t="shared" si="18"/>
        <v>0</v>
      </c>
      <c r="R153">
        <f t="shared" si="19"/>
        <v>449</v>
      </c>
      <c r="S153" s="28">
        <f t="shared" si="15"/>
        <v>0</v>
      </c>
      <c r="T153" t="str">
        <f t="shared" si="16"/>
        <v xml:space="preserve"> -&gt; </v>
      </c>
    </row>
    <row r="154" spans="1:20">
      <c r="A154" s="31"/>
      <c r="B154" s="32"/>
      <c r="C154" s="31" t="s">
        <v>237</v>
      </c>
      <c r="D154" s="31"/>
      <c r="E154" s="31"/>
      <c r="F154" s="31"/>
      <c r="G154" s="31" t="s">
        <v>53</v>
      </c>
      <c r="H154" s="32"/>
      <c r="I154" s="32"/>
      <c r="J154" s="32"/>
      <c r="K154" s="31"/>
      <c r="L154" s="31"/>
      <c r="M154" s="3" t="str">
        <f t="shared" ca="1" si="17"/>
        <v/>
      </c>
      <c r="P154">
        <f>'Combined Delivery Data'!B185</f>
        <v>0</v>
      </c>
      <c r="Q154">
        <f t="shared" si="18"/>
        <v>0</v>
      </c>
      <c r="R154">
        <f t="shared" si="19"/>
        <v>449</v>
      </c>
      <c r="S154" s="28">
        <f t="shared" si="15"/>
        <v>0</v>
      </c>
      <c r="T154" t="str">
        <f t="shared" si="16"/>
        <v xml:space="preserve"> -&gt; </v>
      </c>
    </row>
    <row r="155" spans="1:20">
      <c r="A155" s="31"/>
      <c r="B155" s="32"/>
      <c r="C155" s="31" t="s">
        <v>237</v>
      </c>
      <c r="D155" s="31"/>
      <c r="E155" s="31"/>
      <c r="F155" s="31"/>
      <c r="G155" s="31" t="s">
        <v>53</v>
      </c>
      <c r="H155" s="32"/>
      <c r="I155" s="32"/>
      <c r="J155" s="32"/>
      <c r="K155" s="31"/>
      <c r="L155" s="31"/>
      <c r="M155" s="3" t="str">
        <f t="shared" ca="1" si="17"/>
        <v/>
      </c>
      <c r="P155">
        <f>'Combined Delivery Data'!B186</f>
        <v>0</v>
      </c>
      <c r="Q155">
        <f t="shared" si="18"/>
        <v>0</v>
      </c>
      <c r="R155">
        <f t="shared" si="19"/>
        <v>449</v>
      </c>
      <c r="S155" s="28">
        <f t="shared" si="15"/>
        <v>0</v>
      </c>
      <c r="T155" t="str">
        <f t="shared" si="16"/>
        <v xml:space="preserve"> -&gt; </v>
      </c>
    </row>
    <row r="156" spans="1:20">
      <c r="A156" s="31"/>
      <c r="B156" s="32"/>
      <c r="C156" s="31" t="s">
        <v>237</v>
      </c>
      <c r="D156" s="31"/>
      <c r="E156" s="31"/>
      <c r="F156" s="31"/>
      <c r="G156" s="31" t="s">
        <v>53</v>
      </c>
      <c r="H156" s="32"/>
      <c r="I156" s="32"/>
      <c r="J156" s="32"/>
      <c r="K156" s="31"/>
      <c r="L156" s="31"/>
      <c r="M156" s="3" t="str">
        <f t="shared" ca="1" si="17"/>
        <v/>
      </c>
      <c r="P156">
        <f>'Combined Delivery Data'!B187</f>
        <v>0</v>
      </c>
      <c r="Q156">
        <f t="shared" si="18"/>
        <v>0</v>
      </c>
      <c r="R156">
        <f t="shared" si="19"/>
        <v>449</v>
      </c>
      <c r="S156" s="28">
        <f t="shared" si="15"/>
        <v>0</v>
      </c>
      <c r="T156" t="str">
        <f t="shared" si="16"/>
        <v xml:space="preserve"> -&gt; </v>
      </c>
    </row>
    <row r="157" spans="1:20">
      <c r="A157" s="31"/>
      <c r="B157" s="32"/>
      <c r="C157" s="31" t="s">
        <v>237</v>
      </c>
      <c r="D157" s="31"/>
      <c r="E157" s="31"/>
      <c r="F157" s="31"/>
      <c r="G157" s="31" t="s">
        <v>53</v>
      </c>
      <c r="H157" s="32"/>
      <c r="I157" s="32"/>
      <c r="J157" s="32"/>
      <c r="K157" s="31"/>
      <c r="L157" s="31"/>
      <c r="M157" s="3" t="str">
        <f t="shared" ca="1" si="17"/>
        <v/>
      </c>
      <c r="P157">
        <f>'Combined Delivery Data'!B188</f>
        <v>0</v>
      </c>
      <c r="Q157">
        <f t="shared" si="18"/>
        <v>0</v>
      </c>
      <c r="R157">
        <f t="shared" si="19"/>
        <v>449</v>
      </c>
      <c r="S157" s="28">
        <f t="shared" si="15"/>
        <v>0</v>
      </c>
      <c r="T157" t="str">
        <f t="shared" si="16"/>
        <v xml:space="preserve"> -&gt; </v>
      </c>
    </row>
    <row r="158" spans="1:20">
      <c r="A158" s="31"/>
      <c r="B158" s="32"/>
      <c r="C158" s="31" t="s">
        <v>237</v>
      </c>
      <c r="D158" s="31"/>
      <c r="E158" s="31"/>
      <c r="F158" s="31"/>
      <c r="G158" s="31" t="s">
        <v>53</v>
      </c>
      <c r="H158" s="32"/>
      <c r="I158" s="32"/>
      <c r="J158" s="32"/>
      <c r="K158" s="31"/>
      <c r="L158" s="31"/>
      <c r="M158" s="3" t="str">
        <f t="shared" ca="1" si="17"/>
        <v/>
      </c>
      <c r="P158">
        <f>'Combined Delivery Data'!B189</f>
        <v>0</v>
      </c>
      <c r="Q158">
        <f t="shared" si="18"/>
        <v>0</v>
      </c>
      <c r="R158">
        <f t="shared" si="19"/>
        <v>449</v>
      </c>
      <c r="S158" s="28">
        <f t="shared" si="15"/>
        <v>0</v>
      </c>
      <c r="T158" t="str">
        <f t="shared" si="16"/>
        <v xml:space="preserve"> -&gt; </v>
      </c>
    </row>
    <row r="159" spans="1:20">
      <c r="A159" s="31"/>
      <c r="B159" s="32"/>
      <c r="C159" s="31" t="s">
        <v>237</v>
      </c>
      <c r="D159" s="31"/>
      <c r="E159" s="31"/>
      <c r="F159" s="31"/>
      <c r="G159" s="31" t="s">
        <v>53</v>
      </c>
      <c r="H159" s="32"/>
      <c r="I159" s="32"/>
      <c r="J159" s="32"/>
      <c r="K159" s="31"/>
      <c r="L159" s="31"/>
      <c r="M159" s="3" t="str">
        <f t="shared" ca="1" si="17"/>
        <v/>
      </c>
      <c r="P159">
        <f>'Combined Delivery Data'!B190</f>
        <v>0</v>
      </c>
      <c r="Q159">
        <f t="shared" si="18"/>
        <v>0</v>
      </c>
      <c r="R159">
        <f t="shared" si="19"/>
        <v>449</v>
      </c>
      <c r="S159" s="28">
        <f t="shared" si="15"/>
        <v>0</v>
      </c>
      <c r="T159" t="str">
        <f t="shared" si="16"/>
        <v xml:space="preserve"> -&gt; </v>
      </c>
    </row>
    <row r="160" spans="1:20">
      <c r="A160" s="31"/>
      <c r="B160" s="32"/>
      <c r="C160" s="31" t="s">
        <v>237</v>
      </c>
      <c r="D160" s="31"/>
      <c r="E160" s="31"/>
      <c r="F160" s="31"/>
      <c r="G160" s="31" t="s">
        <v>53</v>
      </c>
      <c r="H160" s="32"/>
      <c r="I160" s="32"/>
      <c r="J160" s="32"/>
      <c r="K160" s="31"/>
      <c r="L160" s="31"/>
      <c r="M160" s="3" t="str">
        <f t="shared" ca="1" si="17"/>
        <v/>
      </c>
      <c r="P160">
        <f>'Combined Delivery Data'!B191</f>
        <v>0</v>
      </c>
      <c r="Q160">
        <f t="shared" si="18"/>
        <v>0</v>
      </c>
      <c r="R160">
        <f t="shared" si="19"/>
        <v>449</v>
      </c>
      <c r="S160" s="28">
        <f t="shared" si="15"/>
        <v>0</v>
      </c>
      <c r="T160" t="str">
        <f t="shared" si="16"/>
        <v xml:space="preserve"> -&gt; </v>
      </c>
    </row>
    <row r="161" spans="1:20">
      <c r="A161" s="31"/>
      <c r="B161" s="32"/>
      <c r="C161" s="31" t="s">
        <v>237</v>
      </c>
      <c r="D161" s="31"/>
      <c r="E161" s="31"/>
      <c r="F161" s="31"/>
      <c r="G161" s="31" t="s">
        <v>53</v>
      </c>
      <c r="H161" s="32"/>
      <c r="I161" s="32"/>
      <c r="J161" s="32"/>
      <c r="K161" s="31"/>
      <c r="L161" s="31"/>
      <c r="M161" s="3" t="str">
        <f t="shared" ca="1" si="17"/>
        <v/>
      </c>
      <c r="P161">
        <f>'Combined Delivery Data'!B192</f>
        <v>0</v>
      </c>
      <c r="Q161">
        <f t="shared" si="18"/>
        <v>0</v>
      </c>
      <c r="R161">
        <f t="shared" si="19"/>
        <v>449</v>
      </c>
      <c r="S161" s="28">
        <f t="shared" si="15"/>
        <v>0</v>
      </c>
      <c r="T161" t="str">
        <f t="shared" si="16"/>
        <v xml:space="preserve"> -&gt; </v>
      </c>
    </row>
    <row r="162" spans="1:20">
      <c r="A162" s="31"/>
      <c r="B162" s="32"/>
      <c r="C162" s="31" t="s">
        <v>237</v>
      </c>
      <c r="D162" s="31"/>
      <c r="E162" s="31"/>
      <c r="F162" s="31"/>
      <c r="G162" s="31" t="s">
        <v>53</v>
      </c>
      <c r="H162" s="32"/>
      <c r="I162" s="32"/>
      <c r="J162" s="32"/>
      <c r="K162" s="31"/>
      <c r="L162" s="31"/>
      <c r="M162" s="3" t="str">
        <f t="shared" ca="1" si="17"/>
        <v/>
      </c>
      <c r="P162">
        <f>'Combined Delivery Data'!B193</f>
        <v>0</v>
      </c>
      <c r="Q162">
        <f t="shared" si="18"/>
        <v>0</v>
      </c>
      <c r="R162">
        <f t="shared" si="19"/>
        <v>449</v>
      </c>
      <c r="S162" s="28">
        <f t="shared" si="15"/>
        <v>0</v>
      </c>
      <c r="T162" t="str">
        <f t="shared" si="16"/>
        <v xml:space="preserve"> -&gt; </v>
      </c>
    </row>
    <row r="163" spans="1:20">
      <c r="A163" s="31"/>
      <c r="B163" s="32"/>
      <c r="C163" s="31" t="s">
        <v>237</v>
      </c>
      <c r="D163" s="31"/>
      <c r="E163" s="31"/>
      <c r="F163" s="31"/>
      <c r="G163" s="31" t="s">
        <v>53</v>
      </c>
      <c r="H163" s="32"/>
      <c r="I163" s="32"/>
      <c r="J163" s="32"/>
      <c r="K163" s="31"/>
      <c r="L163" s="31"/>
      <c r="M163" s="3" t="str">
        <f t="shared" ca="1" si="17"/>
        <v/>
      </c>
      <c r="P163">
        <f>'Combined Delivery Data'!B194</f>
        <v>0</v>
      </c>
      <c r="Q163">
        <f t="shared" si="18"/>
        <v>0</v>
      </c>
      <c r="R163">
        <f t="shared" si="19"/>
        <v>449</v>
      </c>
      <c r="S163" s="28">
        <f t="shared" si="15"/>
        <v>0</v>
      </c>
      <c r="T163" t="str">
        <f t="shared" si="16"/>
        <v xml:space="preserve"> -&gt; </v>
      </c>
    </row>
    <row r="164" spans="1:20">
      <c r="A164" s="31"/>
      <c r="B164" s="32"/>
      <c r="C164" s="31" t="s">
        <v>237</v>
      </c>
      <c r="D164" s="31"/>
      <c r="E164" s="31"/>
      <c r="F164" s="31"/>
      <c r="G164" s="31" t="s">
        <v>53</v>
      </c>
      <c r="H164" s="32"/>
      <c r="I164" s="32"/>
      <c r="J164" s="32"/>
      <c r="K164" s="31"/>
      <c r="L164" s="31"/>
      <c r="M164" s="3" t="str">
        <f t="shared" ca="1" si="17"/>
        <v/>
      </c>
      <c r="P164">
        <f>'Combined Delivery Data'!B195</f>
        <v>0</v>
      </c>
      <c r="Q164">
        <f t="shared" si="18"/>
        <v>0</v>
      </c>
      <c r="R164">
        <f t="shared" si="19"/>
        <v>449</v>
      </c>
      <c r="S164" s="28">
        <f t="shared" si="15"/>
        <v>0</v>
      </c>
      <c r="T164" t="str">
        <f t="shared" si="16"/>
        <v xml:space="preserve"> -&gt; </v>
      </c>
    </row>
    <row r="165" spans="1:20">
      <c r="A165" s="31"/>
      <c r="B165" s="32"/>
      <c r="C165" s="31" t="s">
        <v>237</v>
      </c>
      <c r="D165" s="31"/>
      <c r="E165" s="31"/>
      <c r="F165" s="31"/>
      <c r="G165" s="31" t="s">
        <v>53</v>
      </c>
      <c r="H165" s="32"/>
      <c r="I165" s="32"/>
      <c r="J165" s="32"/>
      <c r="K165" s="31"/>
      <c r="L165" s="31"/>
      <c r="M165" s="3" t="str">
        <f t="shared" ca="1" si="17"/>
        <v/>
      </c>
      <c r="P165">
        <f>'Combined Delivery Data'!B196</f>
        <v>0</v>
      </c>
      <c r="Q165">
        <f t="shared" si="18"/>
        <v>0</v>
      </c>
      <c r="R165">
        <f t="shared" si="19"/>
        <v>449</v>
      </c>
      <c r="S165" s="28">
        <f t="shared" si="15"/>
        <v>0</v>
      </c>
      <c r="T165" t="str">
        <f t="shared" si="16"/>
        <v xml:space="preserve"> -&gt; </v>
      </c>
    </row>
    <row r="166" spans="1:20">
      <c r="A166" s="31"/>
      <c r="B166" s="32"/>
      <c r="C166" s="31" t="s">
        <v>237</v>
      </c>
      <c r="D166" s="31"/>
      <c r="E166" s="31"/>
      <c r="F166" s="31"/>
      <c r="G166" s="31" t="s">
        <v>53</v>
      </c>
      <c r="H166" s="32"/>
      <c r="I166" s="32"/>
      <c r="J166" s="32"/>
      <c r="K166" s="31"/>
      <c r="L166" s="31"/>
      <c r="M166" s="3" t="str">
        <f t="shared" ca="1" si="17"/>
        <v/>
      </c>
      <c r="P166">
        <f>'Combined Delivery Data'!B197</f>
        <v>0</v>
      </c>
      <c r="Q166">
        <f t="shared" si="18"/>
        <v>0</v>
      </c>
      <c r="R166">
        <f t="shared" si="19"/>
        <v>449</v>
      </c>
      <c r="S166" s="28">
        <f t="shared" si="15"/>
        <v>0</v>
      </c>
      <c r="T166" t="str">
        <f t="shared" si="16"/>
        <v xml:space="preserve"> -&gt; </v>
      </c>
    </row>
    <row r="167" spans="1:20">
      <c r="A167" s="31"/>
      <c r="B167" s="32"/>
      <c r="C167" s="31" t="s">
        <v>237</v>
      </c>
      <c r="D167" s="31"/>
      <c r="E167" s="31"/>
      <c r="F167" s="31"/>
      <c r="G167" s="31" t="s">
        <v>53</v>
      </c>
      <c r="H167" s="32"/>
      <c r="I167" s="32"/>
      <c r="J167" s="32"/>
      <c r="K167" s="31"/>
      <c r="L167" s="31"/>
      <c r="M167" s="3" t="str">
        <f t="shared" ca="1" si="17"/>
        <v/>
      </c>
      <c r="P167">
        <f>'Combined Delivery Data'!B198</f>
        <v>0</v>
      </c>
      <c r="Q167">
        <f t="shared" si="18"/>
        <v>0</v>
      </c>
      <c r="R167">
        <f t="shared" si="19"/>
        <v>449</v>
      </c>
      <c r="S167" s="28">
        <f t="shared" si="15"/>
        <v>0</v>
      </c>
      <c r="T167" t="str">
        <f t="shared" si="16"/>
        <v xml:space="preserve"> -&gt; </v>
      </c>
    </row>
    <row r="168" spans="1:20">
      <c r="A168" s="31"/>
      <c r="B168" s="32"/>
      <c r="C168" s="31" t="s">
        <v>237</v>
      </c>
      <c r="D168" s="31"/>
      <c r="E168" s="31"/>
      <c r="F168" s="31"/>
      <c r="G168" s="31" t="s">
        <v>53</v>
      </c>
      <c r="H168" s="32"/>
      <c r="I168" s="32"/>
      <c r="J168" s="32"/>
      <c r="K168" s="31"/>
      <c r="L168" s="31"/>
      <c r="M168" s="3" t="str">
        <f t="shared" ca="1" si="17"/>
        <v/>
      </c>
      <c r="P168">
        <f>'Combined Delivery Data'!B199</f>
        <v>0</v>
      </c>
      <c r="Q168">
        <f t="shared" si="18"/>
        <v>0</v>
      </c>
      <c r="R168">
        <f t="shared" si="19"/>
        <v>449</v>
      </c>
      <c r="S168" s="28">
        <f t="shared" si="15"/>
        <v>0</v>
      </c>
      <c r="T168" t="str">
        <f t="shared" si="16"/>
        <v xml:space="preserve"> -&gt; </v>
      </c>
    </row>
    <row r="169" spans="1:20">
      <c r="A169" s="31"/>
      <c r="B169" s="32"/>
      <c r="C169" s="31" t="s">
        <v>237</v>
      </c>
      <c r="D169" s="31"/>
      <c r="E169" s="31"/>
      <c r="F169" s="31"/>
      <c r="G169" s="31" t="s">
        <v>53</v>
      </c>
      <c r="H169" s="32"/>
      <c r="I169" s="32"/>
      <c r="J169" s="32"/>
      <c r="K169" s="31"/>
      <c r="L169" s="31"/>
      <c r="M169" s="3" t="str">
        <f t="shared" ca="1" si="17"/>
        <v/>
      </c>
      <c r="P169">
        <f>'Combined Delivery Data'!B200</f>
        <v>0</v>
      </c>
      <c r="Q169">
        <f t="shared" si="18"/>
        <v>0</v>
      </c>
      <c r="R169">
        <f t="shared" si="19"/>
        <v>449</v>
      </c>
      <c r="S169" s="28">
        <f t="shared" si="15"/>
        <v>0</v>
      </c>
      <c r="T169" t="str">
        <f t="shared" si="16"/>
        <v xml:space="preserve"> -&gt; </v>
      </c>
    </row>
    <row r="170" spans="1:20">
      <c r="A170" s="31"/>
      <c r="B170" s="32"/>
      <c r="C170" s="31" t="s">
        <v>237</v>
      </c>
      <c r="D170" s="31"/>
      <c r="E170" s="31"/>
      <c r="F170" s="31"/>
      <c r="G170" s="31" t="s">
        <v>53</v>
      </c>
      <c r="H170" s="32"/>
      <c r="I170" s="32"/>
      <c r="J170" s="32"/>
      <c r="K170" s="31"/>
      <c r="L170" s="31"/>
      <c r="M170" s="3" t="str">
        <f t="shared" ca="1" si="17"/>
        <v/>
      </c>
      <c r="P170">
        <f>'Combined Delivery Data'!B201</f>
        <v>0</v>
      </c>
      <c r="Q170">
        <f t="shared" si="18"/>
        <v>0</v>
      </c>
      <c r="R170">
        <f t="shared" si="19"/>
        <v>449</v>
      </c>
      <c r="S170" s="28">
        <f t="shared" si="15"/>
        <v>0</v>
      </c>
      <c r="T170" t="str">
        <f t="shared" si="16"/>
        <v xml:space="preserve"> -&gt; </v>
      </c>
    </row>
    <row r="171" spans="1:20">
      <c r="A171" s="31"/>
      <c r="B171" s="32"/>
      <c r="C171" s="31" t="s">
        <v>237</v>
      </c>
      <c r="D171" s="31"/>
      <c r="E171" s="31"/>
      <c r="F171" s="31"/>
      <c r="G171" s="31" t="s">
        <v>53</v>
      </c>
      <c r="H171" s="32"/>
      <c r="I171" s="32"/>
      <c r="J171" s="32"/>
      <c r="K171" s="31"/>
      <c r="L171" s="31"/>
      <c r="M171" s="3" t="str">
        <f t="shared" ca="1" si="17"/>
        <v/>
      </c>
      <c r="P171">
        <f>'Combined Delivery Data'!B202</f>
        <v>0</v>
      </c>
      <c r="Q171">
        <f t="shared" si="18"/>
        <v>0</v>
      </c>
      <c r="R171">
        <f t="shared" si="19"/>
        <v>449</v>
      </c>
      <c r="S171" s="28">
        <f t="shared" si="15"/>
        <v>0</v>
      </c>
      <c r="T171" t="str">
        <f t="shared" si="16"/>
        <v xml:space="preserve"> -&gt; </v>
      </c>
    </row>
    <row r="172" spans="1:20">
      <c r="A172" s="31"/>
      <c r="B172" s="32"/>
      <c r="C172" s="31" t="s">
        <v>237</v>
      </c>
      <c r="D172" s="31"/>
      <c r="E172" s="31"/>
      <c r="F172" s="31"/>
      <c r="G172" s="31" t="s">
        <v>53</v>
      </c>
      <c r="H172" s="32"/>
      <c r="I172" s="32"/>
      <c r="J172" s="32"/>
      <c r="K172" s="31"/>
      <c r="L172" s="31"/>
      <c r="M172" s="3" t="str">
        <f t="shared" ca="1" si="17"/>
        <v/>
      </c>
      <c r="P172">
        <f>'Combined Delivery Data'!B203</f>
        <v>0</v>
      </c>
      <c r="Q172">
        <f t="shared" si="18"/>
        <v>0</v>
      </c>
      <c r="R172">
        <f t="shared" si="19"/>
        <v>449</v>
      </c>
      <c r="S172" s="28">
        <f t="shared" si="15"/>
        <v>0</v>
      </c>
      <c r="T172" t="str">
        <f t="shared" si="16"/>
        <v xml:space="preserve"> -&gt; </v>
      </c>
    </row>
    <row r="173" spans="1:20">
      <c r="A173" s="31"/>
      <c r="B173" s="32"/>
      <c r="C173" s="31" t="s">
        <v>237</v>
      </c>
      <c r="D173" s="31"/>
      <c r="E173" s="31"/>
      <c r="F173" s="31"/>
      <c r="G173" s="31" t="s">
        <v>53</v>
      </c>
      <c r="H173" s="32"/>
      <c r="I173" s="32"/>
      <c r="J173" s="32"/>
      <c r="K173" s="31"/>
      <c r="L173" s="31"/>
      <c r="M173" s="3" t="str">
        <f t="shared" ca="1" si="17"/>
        <v/>
      </c>
      <c r="P173">
        <f>'Combined Delivery Data'!B204</f>
        <v>0</v>
      </c>
      <c r="Q173">
        <f t="shared" si="18"/>
        <v>0</v>
      </c>
      <c r="R173">
        <f t="shared" si="19"/>
        <v>449</v>
      </c>
      <c r="S173" s="28">
        <f t="shared" si="15"/>
        <v>0</v>
      </c>
      <c r="T173" t="str">
        <f t="shared" si="16"/>
        <v xml:space="preserve"> -&gt; </v>
      </c>
    </row>
    <row r="174" spans="1:20">
      <c r="A174" s="31"/>
      <c r="B174" s="32"/>
      <c r="C174" s="31" t="s">
        <v>237</v>
      </c>
      <c r="D174" s="31"/>
      <c r="E174" s="31"/>
      <c r="F174" s="31"/>
      <c r="G174" s="31" t="s">
        <v>53</v>
      </c>
      <c r="H174" s="32"/>
      <c r="I174" s="32"/>
      <c r="J174" s="32"/>
      <c r="K174" s="31"/>
      <c r="L174" s="31"/>
      <c r="M174" s="3" t="str">
        <f t="shared" ca="1" si="17"/>
        <v/>
      </c>
      <c r="P174">
        <f>'Combined Delivery Data'!B205</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237</v>
      </c>
      <c r="D175" s="31"/>
      <c r="E175" s="31"/>
      <c r="F175" s="31"/>
      <c r="G175" s="31" t="s">
        <v>53</v>
      </c>
      <c r="H175" s="32"/>
      <c r="I175" s="32"/>
      <c r="J175" s="32"/>
      <c r="K175" s="31"/>
      <c r="L175" s="31"/>
      <c r="M175" s="3" t="str">
        <f t="shared" ca="1" si="17"/>
        <v/>
      </c>
      <c r="P175">
        <f>'Combined Delivery Data'!B206</f>
        <v>0</v>
      </c>
      <c r="Q175">
        <f t="shared" si="18"/>
        <v>0</v>
      </c>
      <c r="R175">
        <f t="shared" si="19"/>
        <v>449</v>
      </c>
      <c r="S175" s="28">
        <f t="shared" si="20"/>
        <v>0</v>
      </c>
      <c r="T175" t="str">
        <f t="shared" si="21"/>
        <v xml:space="preserve"> -&gt; </v>
      </c>
    </row>
    <row r="176" spans="1:20">
      <c r="A176" s="31"/>
      <c r="B176" s="32"/>
      <c r="C176" s="31" t="s">
        <v>237</v>
      </c>
      <c r="D176" s="31"/>
      <c r="E176" s="31"/>
      <c r="F176" s="31"/>
      <c r="G176" s="31" t="s">
        <v>53</v>
      </c>
      <c r="H176" s="32"/>
      <c r="I176" s="32"/>
      <c r="J176" s="32"/>
      <c r="K176" s="31"/>
      <c r="L176" s="31"/>
      <c r="M176" s="3" t="str">
        <f t="shared" ca="1" si="17"/>
        <v/>
      </c>
      <c r="P176">
        <f>'Combined Delivery Data'!B207</f>
        <v>0</v>
      </c>
      <c r="Q176">
        <f t="shared" si="18"/>
        <v>0</v>
      </c>
      <c r="R176">
        <f t="shared" si="19"/>
        <v>449</v>
      </c>
      <c r="S176" s="28">
        <f t="shared" si="20"/>
        <v>0</v>
      </c>
      <c r="T176" t="str">
        <f t="shared" si="21"/>
        <v xml:space="preserve"> -&gt; </v>
      </c>
    </row>
    <row r="177" spans="1:20">
      <c r="A177" s="31"/>
      <c r="B177" s="32"/>
      <c r="C177" s="31" t="s">
        <v>237</v>
      </c>
      <c r="D177" s="31"/>
      <c r="E177" s="31"/>
      <c r="F177" s="31"/>
      <c r="G177" s="31" t="s">
        <v>53</v>
      </c>
      <c r="H177" s="32"/>
      <c r="I177" s="32"/>
      <c r="J177" s="32"/>
      <c r="K177" s="31"/>
      <c r="L177" s="31"/>
      <c r="M177" s="3" t="str">
        <f t="shared" ca="1" si="17"/>
        <v/>
      </c>
      <c r="P177">
        <f>'Combined Delivery Data'!B208</f>
        <v>0</v>
      </c>
      <c r="Q177">
        <f t="shared" si="18"/>
        <v>0</v>
      </c>
      <c r="R177">
        <f t="shared" si="19"/>
        <v>449</v>
      </c>
      <c r="S177" s="28">
        <f t="shared" si="20"/>
        <v>0</v>
      </c>
      <c r="T177" t="str">
        <f t="shared" si="21"/>
        <v xml:space="preserve"> -&gt; </v>
      </c>
    </row>
    <row r="178" spans="1:20">
      <c r="A178" s="31"/>
      <c r="B178" s="32"/>
      <c r="C178" s="31" t="s">
        <v>237</v>
      </c>
      <c r="D178" s="31"/>
      <c r="E178" s="31"/>
      <c r="F178" s="31"/>
      <c r="G178" s="31" t="s">
        <v>53</v>
      </c>
      <c r="H178" s="32"/>
      <c r="I178" s="32"/>
      <c r="J178" s="32"/>
      <c r="K178" s="31"/>
      <c r="L178" s="31"/>
      <c r="M178" s="3" t="str">
        <f t="shared" ca="1" si="17"/>
        <v/>
      </c>
      <c r="P178">
        <f>'Combined Delivery Data'!B209</f>
        <v>0</v>
      </c>
      <c r="Q178">
        <f t="shared" si="18"/>
        <v>0</v>
      </c>
      <c r="R178">
        <f t="shared" si="19"/>
        <v>449</v>
      </c>
      <c r="S178" s="28">
        <f t="shared" si="20"/>
        <v>0</v>
      </c>
      <c r="T178" t="str">
        <f t="shared" si="21"/>
        <v xml:space="preserve"> -&gt; </v>
      </c>
    </row>
    <row r="179" spans="1:20">
      <c r="A179" s="31"/>
      <c r="B179" s="32"/>
      <c r="C179" s="31" t="s">
        <v>237</v>
      </c>
      <c r="D179" s="31"/>
      <c r="E179" s="31"/>
      <c r="F179" s="31"/>
      <c r="G179" s="31" t="s">
        <v>53</v>
      </c>
      <c r="H179" s="32"/>
      <c r="I179" s="32"/>
      <c r="J179" s="32"/>
      <c r="K179" s="31"/>
      <c r="L179" s="31"/>
      <c r="M179" s="3" t="str">
        <f t="shared" ca="1" si="17"/>
        <v/>
      </c>
      <c r="P179">
        <f>'Combined Delivery Data'!B210</f>
        <v>0</v>
      </c>
      <c r="Q179">
        <f t="shared" si="18"/>
        <v>0</v>
      </c>
      <c r="R179">
        <f t="shared" si="19"/>
        <v>449</v>
      </c>
      <c r="S179" s="28">
        <f t="shared" si="20"/>
        <v>0</v>
      </c>
      <c r="T179" t="str">
        <f t="shared" si="21"/>
        <v xml:space="preserve"> -&gt; </v>
      </c>
    </row>
    <row r="180" spans="1:20">
      <c r="A180" s="31"/>
      <c r="B180" s="32"/>
      <c r="C180" s="31" t="s">
        <v>237</v>
      </c>
      <c r="D180" s="31"/>
      <c r="E180" s="31"/>
      <c r="F180" s="31"/>
      <c r="G180" s="31" t="s">
        <v>53</v>
      </c>
      <c r="H180" s="32"/>
      <c r="I180" s="32"/>
      <c r="J180" s="32"/>
      <c r="K180" s="31"/>
      <c r="L180" s="31"/>
      <c r="M180" s="3" t="str">
        <f t="shared" ca="1" si="17"/>
        <v/>
      </c>
      <c r="P180">
        <f>'Combined Delivery Data'!B211</f>
        <v>0</v>
      </c>
      <c r="Q180">
        <f t="shared" si="18"/>
        <v>0</v>
      </c>
      <c r="R180">
        <f t="shared" si="19"/>
        <v>449</v>
      </c>
      <c r="S180" s="28">
        <f t="shared" si="20"/>
        <v>0</v>
      </c>
      <c r="T180" t="str">
        <f t="shared" si="21"/>
        <v xml:space="preserve"> -&gt; </v>
      </c>
    </row>
    <row r="181" spans="1:20">
      <c r="A181" s="31"/>
      <c r="B181" s="32"/>
      <c r="C181" s="31" t="s">
        <v>237</v>
      </c>
      <c r="D181" s="31"/>
      <c r="E181" s="31"/>
      <c r="F181" s="31"/>
      <c r="G181" s="31" t="s">
        <v>53</v>
      </c>
      <c r="H181" s="32"/>
      <c r="I181" s="32"/>
      <c r="J181" s="32"/>
      <c r="K181" s="31"/>
      <c r="L181" s="31"/>
      <c r="M181" s="3" t="str">
        <f t="shared" ca="1" si="17"/>
        <v/>
      </c>
      <c r="P181">
        <f>'Combined Delivery Data'!B212</f>
        <v>0</v>
      </c>
      <c r="Q181">
        <f t="shared" si="18"/>
        <v>0</v>
      </c>
      <c r="R181">
        <f t="shared" si="19"/>
        <v>449</v>
      </c>
      <c r="S181" s="28">
        <f t="shared" si="20"/>
        <v>0</v>
      </c>
      <c r="T181" t="str">
        <f t="shared" si="21"/>
        <v xml:space="preserve"> -&gt; </v>
      </c>
    </row>
    <row r="182" spans="1:20">
      <c r="A182" s="31"/>
      <c r="B182" s="32"/>
      <c r="C182" s="31" t="s">
        <v>237</v>
      </c>
      <c r="D182" s="31"/>
      <c r="E182" s="31"/>
      <c r="F182" s="31"/>
      <c r="G182" s="31" t="s">
        <v>53</v>
      </c>
      <c r="H182" s="32"/>
      <c r="I182" s="32"/>
      <c r="J182" s="32"/>
      <c r="K182" s="31"/>
      <c r="L182" s="31"/>
      <c r="M182" s="3" t="str">
        <f t="shared" ca="1" si="17"/>
        <v/>
      </c>
      <c r="P182">
        <f>'Combined Delivery Data'!B213</f>
        <v>0</v>
      </c>
      <c r="Q182">
        <f t="shared" si="18"/>
        <v>0</v>
      </c>
      <c r="R182">
        <f t="shared" si="19"/>
        <v>449</v>
      </c>
      <c r="S182" s="28">
        <f t="shared" si="20"/>
        <v>0</v>
      </c>
      <c r="T182" t="str">
        <f t="shared" si="21"/>
        <v xml:space="preserve"> -&gt; </v>
      </c>
    </row>
    <row r="183" spans="1:20">
      <c r="A183" s="31"/>
      <c r="B183" s="32"/>
      <c r="C183" s="31" t="s">
        <v>237</v>
      </c>
      <c r="D183" s="31"/>
      <c r="E183" s="31"/>
      <c r="F183" s="31"/>
      <c r="G183" s="31" t="s">
        <v>53</v>
      </c>
      <c r="H183" s="32"/>
      <c r="I183" s="32"/>
      <c r="J183" s="32"/>
      <c r="K183" s="31"/>
      <c r="L183" s="31"/>
      <c r="M183" s="3" t="str">
        <f t="shared" ca="1" si="17"/>
        <v/>
      </c>
      <c r="P183">
        <f>'Combined Delivery Data'!B214</f>
        <v>0</v>
      </c>
      <c r="Q183">
        <f t="shared" si="18"/>
        <v>0</v>
      </c>
      <c r="R183">
        <f t="shared" si="19"/>
        <v>449</v>
      </c>
      <c r="S183" s="28">
        <f t="shared" si="20"/>
        <v>0</v>
      </c>
      <c r="T183" t="str">
        <f t="shared" si="21"/>
        <v xml:space="preserve"> -&gt; </v>
      </c>
    </row>
    <row r="184" spans="1:20">
      <c r="A184" s="31"/>
      <c r="B184" s="32"/>
      <c r="C184" s="31" t="s">
        <v>237</v>
      </c>
      <c r="D184" s="31"/>
      <c r="E184" s="31"/>
      <c r="F184" s="31"/>
      <c r="G184" s="31" t="s">
        <v>53</v>
      </c>
      <c r="H184" s="32"/>
      <c r="I184" s="32"/>
      <c r="J184" s="32"/>
      <c r="K184" s="31"/>
      <c r="L184" s="31"/>
      <c r="M184" s="3" t="str">
        <f t="shared" ca="1" si="17"/>
        <v/>
      </c>
      <c r="P184">
        <f>'Combined Delivery Data'!B215</f>
        <v>0</v>
      </c>
      <c r="Q184">
        <f t="shared" si="18"/>
        <v>0</v>
      </c>
      <c r="R184">
        <f t="shared" si="19"/>
        <v>449</v>
      </c>
      <c r="S184" s="28">
        <f t="shared" si="20"/>
        <v>0</v>
      </c>
      <c r="T184" t="str">
        <f t="shared" si="21"/>
        <v xml:space="preserve"> -&gt; </v>
      </c>
    </row>
    <row r="185" spans="1:20">
      <c r="A185" s="31"/>
      <c r="B185" s="32"/>
      <c r="C185" s="31" t="s">
        <v>237</v>
      </c>
      <c r="D185" s="31"/>
      <c r="E185" s="31"/>
      <c r="F185" s="31"/>
      <c r="G185" s="31" t="s">
        <v>53</v>
      </c>
      <c r="H185" s="32"/>
      <c r="I185" s="32"/>
      <c r="J185" s="32"/>
      <c r="K185" s="31"/>
      <c r="L185" s="31"/>
      <c r="M185" s="3" t="str">
        <f t="shared" ca="1" si="17"/>
        <v/>
      </c>
      <c r="P185">
        <f>'Combined Delivery Data'!B216</f>
        <v>0</v>
      </c>
      <c r="Q185">
        <f t="shared" si="18"/>
        <v>0</v>
      </c>
      <c r="R185">
        <f t="shared" si="19"/>
        <v>449</v>
      </c>
      <c r="S185" s="28">
        <f t="shared" si="20"/>
        <v>0</v>
      </c>
      <c r="T185" t="str">
        <f t="shared" si="21"/>
        <v xml:space="preserve"> -&gt; </v>
      </c>
    </row>
    <row r="186" spans="1:20">
      <c r="A186" s="31"/>
      <c r="B186" s="32"/>
      <c r="C186" s="31" t="s">
        <v>237</v>
      </c>
      <c r="D186" s="31"/>
      <c r="E186" s="31"/>
      <c r="F186" s="31"/>
      <c r="G186" s="31" t="s">
        <v>53</v>
      </c>
      <c r="H186" s="32"/>
      <c r="I186" s="32"/>
      <c r="J186" s="32"/>
      <c r="K186" s="31"/>
      <c r="L186" s="31"/>
      <c r="M186" s="3" t="str">
        <f t="shared" ca="1" si="17"/>
        <v/>
      </c>
      <c r="P186">
        <f>'Combined Delivery Data'!B217</f>
        <v>0</v>
      </c>
      <c r="Q186">
        <f t="shared" si="18"/>
        <v>0</v>
      </c>
      <c r="R186">
        <f t="shared" si="19"/>
        <v>449</v>
      </c>
      <c r="S186" s="28">
        <f t="shared" si="20"/>
        <v>0</v>
      </c>
      <c r="T186" t="str">
        <f t="shared" si="21"/>
        <v xml:space="preserve"> -&gt; </v>
      </c>
    </row>
    <row r="187" spans="1:20">
      <c r="A187" s="31"/>
      <c r="B187" s="32"/>
      <c r="C187" s="31" t="s">
        <v>237</v>
      </c>
      <c r="D187" s="31"/>
      <c r="E187" s="31"/>
      <c r="F187" s="31"/>
      <c r="G187" s="31" t="s">
        <v>53</v>
      </c>
      <c r="H187" s="32"/>
      <c r="I187" s="32"/>
      <c r="J187" s="32"/>
      <c r="K187" s="31"/>
      <c r="L187" s="31"/>
      <c r="M187" s="3" t="str">
        <f t="shared" ca="1" si="17"/>
        <v/>
      </c>
      <c r="P187">
        <f>'Combined Delivery Data'!B218</f>
        <v>0</v>
      </c>
      <c r="Q187">
        <f t="shared" si="18"/>
        <v>0</v>
      </c>
      <c r="R187">
        <f t="shared" si="19"/>
        <v>449</v>
      </c>
      <c r="S187" s="28">
        <f t="shared" si="20"/>
        <v>0</v>
      </c>
      <c r="T187" t="str">
        <f t="shared" si="21"/>
        <v xml:space="preserve"> -&gt; </v>
      </c>
    </row>
    <row r="188" spans="1:20">
      <c r="A188" s="31"/>
      <c r="B188" s="32"/>
      <c r="C188" s="31" t="s">
        <v>237</v>
      </c>
      <c r="D188" s="31"/>
      <c r="E188" s="31"/>
      <c r="F188" s="31"/>
      <c r="G188" s="31" t="s">
        <v>53</v>
      </c>
      <c r="H188" s="32"/>
      <c r="I188" s="32"/>
      <c r="J188" s="32"/>
      <c r="K188" s="31"/>
      <c r="L188" s="31"/>
      <c r="M188" s="3" t="str">
        <f t="shared" ca="1" si="17"/>
        <v/>
      </c>
      <c r="P188">
        <f>'Combined Delivery Data'!B219</f>
        <v>0</v>
      </c>
      <c r="Q188">
        <f t="shared" si="18"/>
        <v>0</v>
      </c>
      <c r="R188">
        <f t="shared" si="19"/>
        <v>449</v>
      </c>
      <c r="S188" s="28">
        <f t="shared" si="20"/>
        <v>0</v>
      </c>
      <c r="T188" t="str">
        <f t="shared" si="21"/>
        <v xml:space="preserve"> -&gt; </v>
      </c>
    </row>
    <row r="189" spans="1:20">
      <c r="A189" s="31"/>
      <c r="B189" s="32"/>
      <c r="C189" s="31" t="s">
        <v>237</v>
      </c>
      <c r="D189" s="31"/>
      <c r="E189" s="31"/>
      <c r="F189" s="31"/>
      <c r="G189" s="31" t="s">
        <v>53</v>
      </c>
      <c r="H189" s="32"/>
      <c r="I189" s="32"/>
      <c r="J189" s="32"/>
      <c r="K189" s="31"/>
      <c r="L189" s="31"/>
      <c r="M189" s="3" t="str">
        <f t="shared" ca="1" si="17"/>
        <v/>
      </c>
      <c r="P189">
        <f>'Combined Delivery Data'!B220</f>
        <v>0</v>
      </c>
      <c r="Q189">
        <f t="shared" si="18"/>
        <v>0</v>
      </c>
      <c r="R189">
        <f t="shared" si="19"/>
        <v>449</v>
      </c>
      <c r="S189" s="28">
        <f t="shared" si="20"/>
        <v>0</v>
      </c>
      <c r="T189" t="str">
        <f t="shared" si="21"/>
        <v xml:space="preserve"> -&gt; </v>
      </c>
    </row>
    <row r="190" spans="1:20">
      <c r="A190" s="31"/>
      <c r="B190" s="32"/>
      <c r="C190" s="31" t="s">
        <v>237</v>
      </c>
      <c r="D190" s="31"/>
      <c r="E190" s="31"/>
      <c r="F190" s="31"/>
      <c r="G190" s="31" t="s">
        <v>53</v>
      </c>
      <c r="H190" s="32"/>
      <c r="I190" s="32"/>
      <c r="J190" s="32"/>
      <c r="K190" s="31"/>
      <c r="L190" s="31"/>
      <c r="M190" s="3" t="str">
        <f t="shared" ca="1" si="17"/>
        <v/>
      </c>
      <c r="P190">
        <f>'Combined Delivery Data'!B221</f>
        <v>0</v>
      </c>
      <c r="Q190">
        <f t="shared" si="18"/>
        <v>0</v>
      </c>
      <c r="R190">
        <f t="shared" si="19"/>
        <v>449</v>
      </c>
      <c r="S190" s="28">
        <f t="shared" si="20"/>
        <v>0</v>
      </c>
      <c r="T190" t="str">
        <f t="shared" si="21"/>
        <v xml:space="preserve"> -&gt; </v>
      </c>
    </row>
    <row r="191" spans="1:20">
      <c r="A191" s="31"/>
      <c r="B191" s="32"/>
      <c r="C191" s="31" t="s">
        <v>237</v>
      </c>
      <c r="D191" s="31"/>
      <c r="E191" s="31"/>
      <c r="F191" s="31"/>
      <c r="G191" s="31" t="s">
        <v>53</v>
      </c>
      <c r="H191" s="32"/>
      <c r="I191" s="32"/>
      <c r="J191" s="32"/>
      <c r="K191" s="31"/>
      <c r="L191" s="31"/>
      <c r="M191" s="3" t="str">
        <f t="shared" ca="1" si="17"/>
        <v/>
      </c>
      <c r="P191">
        <f>'Combined Delivery Data'!B222</f>
        <v>0</v>
      </c>
      <c r="Q191">
        <f t="shared" si="18"/>
        <v>0</v>
      </c>
      <c r="R191">
        <f t="shared" si="19"/>
        <v>449</v>
      </c>
      <c r="S191" s="28">
        <f t="shared" si="20"/>
        <v>0</v>
      </c>
      <c r="T191" t="str">
        <f t="shared" si="21"/>
        <v xml:space="preserve"> -&gt; </v>
      </c>
    </row>
    <row r="192" spans="1:20">
      <c r="A192" s="31"/>
      <c r="B192" s="32"/>
      <c r="C192" s="31" t="s">
        <v>237</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Data'!B223</f>
        <v>0</v>
      </c>
      <c r="Q192">
        <f t="shared" si="18"/>
        <v>0</v>
      </c>
      <c r="R192">
        <f t="shared" si="19"/>
        <v>449</v>
      </c>
      <c r="S192" s="28">
        <f t="shared" si="20"/>
        <v>0</v>
      </c>
      <c r="T192" t="str">
        <f t="shared" si="21"/>
        <v xml:space="preserve"> -&gt; </v>
      </c>
    </row>
    <row r="193" spans="1:20">
      <c r="A193" s="31"/>
      <c r="B193" s="32"/>
      <c r="C193" s="31" t="s">
        <v>237</v>
      </c>
      <c r="D193" s="31"/>
      <c r="E193" s="31"/>
      <c r="F193" s="31"/>
      <c r="G193" s="31" t="s">
        <v>53</v>
      </c>
      <c r="H193" s="32"/>
      <c r="I193" s="32"/>
      <c r="J193" s="32"/>
      <c r="K193" s="31"/>
      <c r="L193" s="31"/>
      <c r="M193" s="3" t="str">
        <f t="shared" ca="1" si="22"/>
        <v/>
      </c>
      <c r="P193">
        <f>'Combined Delivery Data'!B224</f>
        <v>0</v>
      </c>
      <c r="Q193">
        <f t="shared" si="18"/>
        <v>0</v>
      </c>
      <c r="R193">
        <f t="shared" si="19"/>
        <v>449</v>
      </c>
      <c r="S193" s="28">
        <f t="shared" si="20"/>
        <v>0</v>
      </c>
      <c r="T193" t="str">
        <f t="shared" si="21"/>
        <v xml:space="preserve"> -&gt; </v>
      </c>
    </row>
    <row r="194" spans="1:20">
      <c r="A194" s="31"/>
      <c r="B194" s="32"/>
      <c r="C194" s="31" t="s">
        <v>237</v>
      </c>
      <c r="D194" s="31"/>
      <c r="E194" s="31"/>
      <c r="F194" s="31"/>
      <c r="G194" s="31" t="s">
        <v>53</v>
      </c>
      <c r="H194" s="32"/>
      <c r="I194" s="32"/>
      <c r="J194" s="32"/>
      <c r="K194" s="31"/>
      <c r="L194" s="31"/>
      <c r="M194" s="3" t="str">
        <f t="shared" ca="1" si="22"/>
        <v/>
      </c>
      <c r="P194">
        <f>'Combined Delivery Data'!B225</f>
        <v>0</v>
      </c>
      <c r="Q194">
        <f t="shared" si="18"/>
        <v>0</v>
      </c>
      <c r="R194">
        <f t="shared" si="19"/>
        <v>449</v>
      </c>
      <c r="S194" s="28">
        <f t="shared" si="20"/>
        <v>0</v>
      </c>
      <c r="T194" t="str">
        <f t="shared" si="21"/>
        <v xml:space="preserve"> -&gt; </v>
      </c>
    </row>
    <row r="195" spans="1:20">
      <c r="A195" s="31"/>
      <c r="B195" s="32"/>
      <c r="C195" s="31" t="s">
        <v>237</v>
      </c>
      <c r="D195" s="31"/>
      <c r="E195" s="31"/>
      <c r="F195" s="31"/>
      <c r="G195" s="31" t="s">
        <v>53</v>
      </c>
      <c r="H195" s="32"/>
      <c r="I195" s="32"/>
      <c r="J195" s="32"/>
      <c r="K195" s="31"/>
      <c r="L195" s="31"/>
      <c r="M195" s="3" t="str">
        <f t="shared" ca="1" si="22"/>
        <v/>
      </c>
      <c r="P195">
        <f>'Combined Delivery Data'!B226</f>
        <v>0</v>
      </c>
      <c r="Q195">
        <f t="shared" si="18"/>
        <v>0</v>
      </c>
      <c r="R195">
        <f t="shared" si="19"/>
        <v>449</v>
      </c>
      <c r="S195" s="28">
        <f t="shared" si="20"/>
        <v>0</v>
      </c>
      <c r="T195" t="str">
        <f t="shared" si="21"/>
        <v xml:space="preserve"> -&gt; </v>
      </c>
    </row>
    <row r="196" spans="1:20">
      <c r="A196" s="31"/>
      <c r="B196" s="32"/>
      <c r="C196" s="31" t="s">
        <v>237</v>
      </c>
      <c r="D196" s="31"/>
      <c r="E196" s="31"/>
      <c r="F196" s="31"/>
      <c r="G196" s="31" t="s">
        <v>53</v>
      </c>
      <c r="H196" s="32"/>
      <c r="I196" s="32"/>
      <c r="J196" s="32"/>
      <c r="K196" s="31"/>
      <c r="L196" s="31"/>
      <c r="M196" s="3" t="str">
        <f t="shared" ca="1" si="22"/>
        <v/>
      </c>
      <c r="P196">
        <f>'Combined Delivery Data'!B227</f>
        <v>0</v>
      </c>
      <c r="Q196">
        <f t="shared" si="18"/>
        <v>0</v>
      </c>
      <c r="R196">
        <f t="shared" si="19"/>
        <v>449</v>
      </c>
      <c r="S196" s="28">
        <f t="shared" si="20"/>
        <v>0</v>
      </c>
      <c r="T196" t="str">
        <f t="shared" si="21"/>
        <v xml:space="preserve"> -&gt; </v>
      </c>
    </row>
    <row r="197" spans="1:20">
      <c r="A197" s="31"/>
      <c r="B197" s="32"/>
      <c r="C197" s="31" t="s">
        <v>237</v>
      </c>
      <c r="D197" s="31"/>
      <c r="E197" s="31"/>
      <c r="F197" s="31"/>
      <c r="G197" s="31" t="s">
        <v>53</v>
      </c>
      <c r="H197" s="32"/>
      <c r="I197" s="32"/>
      <c r="J197" s="32"/>
      <c r="K197" s="31"/>
      <c r="L197" s="31"/>
      <c r="M197" s="3" t="str">
        <f t="shared" ca="1" si="22"/>
        <v/>
      </c>
      <c r="P197">
        <f>'Combined Delivery Data'!B228</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Data'!B229</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Data'!B230</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Data'!B231</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Data'!B232</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Data'!B233</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Data'!B234</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Data'!B235</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Data'!B236</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Data'!B237</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Data'!B238</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Data'!B239</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Data'!B240</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Data'!B241</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Data'!B242</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Data'!B243</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Data'!B244</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Data'!B245</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Data'!B246</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Data'!B247</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Data'!B248</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Data'!B249</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Data'!B250</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Data'!B251</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Data'!B252</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Data'!B253</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Data'!B254</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Data'!B255</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Data'!B256</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Data'!B257</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Data'!B258</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Data'!B259</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Data'!B260</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Data'!B261</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Data'!B262</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Data'!B263</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Data'!B264</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Data'!B265</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Data'!B266</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Data'!B267</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Data'!B268</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Data'!B269</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Data'!B270</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Data'!B271</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Data'!B272</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Data'!B273</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Data'!B274</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Data'!B275</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Data'!B276</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Data'!B277</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Data'!B278</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Data'!B279</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Data'!B280</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Data'!B281</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Data'!B282</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Data'!B283</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Data'!B284</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Data'!B285</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Data'!B286</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Data'!B287</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Data'!B288</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Data'!B289</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Data'!B290</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Data'!B291</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Data'!B292</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Data'!B293</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Data'!B294</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Data'!B295</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Data'!B296</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Data'!B297</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Data'!B298</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Data'!B299</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Data'!B300</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Data'!B301</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Data'!B302</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Data'!B303</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Data'!B304</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Data'!B305</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Data'!B306</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Data'!B307</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Data'!B308</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Data'!B309</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Data'!B310</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Data'!B311</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Data'!B312</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Data'!B313</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Data'!B314</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Data'!B315</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Data'!B316</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Data'!B317</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Data'!B318</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Data'!B319</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Data'!B320</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Data'!B321</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Data'!B322</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Data'!B323</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Data'!B324</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Data'!B325</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Data'!B326</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Data'!B327</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Data'!B328</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Data'!B329</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Data'!B330</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Data'!B331</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Data'!B332</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Data'!B333</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Data'!B334</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Data'!B335</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Data'!B336</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Data'!B337</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Data'!B338</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Data'!B339</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Data'!B340</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Data'!B341</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Data'!B342</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Data'!B343</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Data'!B344</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Data'!B345</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Data'!B346</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Data'!B347</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Data'!B348</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Data'!B349</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Data'!B350</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Data'!B351</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Data'!B352</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Data'!B353</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Data'!B354</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Data'!B355</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Data'!B356</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Data'!B357</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Data'!B358</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Data'!B359</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Data'!B360</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Data'!B361</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Data'!B362</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Data'!B363</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Data'!B364</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Data'!B365</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Data'!B366</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Data'!B367</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Data'!B368</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Data'!B369</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Data'!B370</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Data'!B371</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Data'!B372</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Data'!B373</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Data'!B374</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Data'!B375</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Data'!B376</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Data'!B377</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Data'!B378</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Data'!B379</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Data'!B380</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Data'!B381</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Data'!B382</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Data'!B383</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Data'!B384</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Data'!B385</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Data'!B386</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Data'!B387</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Data'!B388</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Data'!B389</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Data'!B390</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Data'!B391</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Data'!B392</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Data'!B393</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Data'!B394</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Data'!B395</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Data'!B396</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Data'!B397</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Data'!B398</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Data'!B399</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Data'!B400</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Data'!B401</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Data'!B402</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Data'!B403</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Data'!B404</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Data'!B405</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Data'!B406</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Data'!B407</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Data'!B408</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Data'!B409</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Data'!B410</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Data'!B411</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Data'!B412</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Data'!B413</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Data'!B414</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Data'!B415</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Data'!B416</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Data'!B417</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Data'!B418</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Data'!B419</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Data'!B420</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Data'!B421</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Data'!B422</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Data'!B423</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Data'!B424</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Data'!B425</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Data'!B426</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Data'!B427</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Data'!B428</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Data'!B429</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Data'!B430</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Data'!B431</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Data'!B432</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Data'!B433</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Data'!B434</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Data'!B435</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Data'!B436</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Data'!B437</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Data'!B438</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Data'!B439</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Data'!B440</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Data'!B441</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Data'!B442</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Data'!B443</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Data'!B444</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Data'!B445</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Data'!B446</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Data'!B447</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Data'!B448</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Data'!B449</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Data'!B450</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Data'!B451</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Data'!B452</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Data'!B453</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Data'!B454</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Data'!B455</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Data'!B456</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Data'!B457</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Data'!B458</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Data'!B459</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Data'!B460</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Data'!B461</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Data'!B462</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Data'!B463</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Data'!B464</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Data'!B465</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Data'!B466</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Data'!B467</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Data'!B468</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Data'!B469</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Data'!B470</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Data'!B471</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Data'!B472</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Data'!B473</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Data'!B474</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Data'!B475</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Data'!B476</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Data'!B477</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Data'!B478</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Data'!B479</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Data'!B480</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Data'!B481</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Data'!B482</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Data'!B483</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Data'!B484</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Data'!B485</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Data'!B486</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Data'!B487</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Data'!B488</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Data'!B489</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Data'!B490</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Data'!B491</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Data'!B492</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Data'!B493</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Data'!B494</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Data'!B495</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Data'!B496</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Data'!B497</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Data'!B498</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Data'!B499</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Data'!B500</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Data'!B501</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Data'!B502</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Data'!B503</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Data'!B504</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Data'!B505</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Data'!B506</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Data'!B507</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Data'!B508</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Data'!B509</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Data'!B510</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Data'!B511</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Data'!B512</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Data'!B513</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Data'!B514</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Data'!B515</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Data'!B516</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Data'!B517</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Data'!B518</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Data'!B519</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Data'!B520</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Data'!B521</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Data'!B522</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Data'!B523</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Data'!B524</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Data'!B525</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Data'!B526</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Data'!B527</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Data'!B528</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38" priority="22">
      <formula>AND($B4&lt;&gt;"",MOD(ROW(),2)=0)</formula>
    </cfRule>
  </conditionalFormatting>
  <conditionalFormatting sqref="A10:A12">
    <cfRule type="expression" dxfId="37" priority="19">
      <formula>AND($B10&lt;&gt;"",MOD(ROW(),2)=0)</formula>
    </cfRule>
  </conditionalFormatting>
  <conditionalFormatting sqref="A17">
    <cfRule type="expression" dxfId="36" priority="18">
      <formula>AND($B17&lt;&gt;"",MOD(ROW(),2)=0)</formula>
    </cfRule>
  </conditionalFormatting>
  <conditionalFormatting sqref="A21">
    <cfRule type="expression" dxfId="35" priority="16">
      <formula>AND($B21&lt;&gt;"",MOD(ROW(),2)=0)</formula>
    </cfRule>
  </conditionalFormatting>
  <conditionalFormatting sqref="A25:A26">
    <cfRule type="expression" dxfId="34" priority="14">
      <formula>AND($B25&lt;&gt;"",MOD(ROW(),2)=0)</formula>
    </cfRule>
  </conditionalFormatting>
  <conditionalFormatting sqref="A30">
    <cfRule type="expression" dxfId="33" priority="13">
      <formula>AND($B30&lt;&gt;"",MOD(ROW(),2)=0)</formula>
    </cfRule>
  </conditionalFormatting>
  <conditionalFormatting sqref="A35:A37">
    <cfRule type="expression" dxfId="32" priority="9">
      <formula>AND($B35&lt;&gt;"",MOD(ROW(),2)=0)</formula>
    </cfRule>
  </conditionalFormatting>
  <conditionalFormatting sqref="A42">
    <cfRule type="expression" dxfId="31" priority="7">
      <formula>AND($B42&lt;&gt;"",MOD(ROW(),2)=0)</formula>
    </cfRule>
  </conditionalFormatting>
  <conditionalFormatting sqref="A44:A48">
    <cfRule type="expression" dxfId="30" priority="1">
      <formula>AND($B44&lt;&gt;"",MOD(ROW(),2)=0)</formula>
    </cfRule>
  </conditionalFormatting>
  <conditionalFormatting sqref="A2:H2 K2:M2 A3:M3 M3:M10 B4:M7 A8:M9 B10:M12 A13:M16 B17:M17 A18:M20 B21:M21 A22:M24 B25:M26 A27:M27 A28:K29 M28:M29 B30:M30 A31:M34 B35:M37 A38:M41 B42:M42 A43:M43 B44:M48 A49:M497">
    <cfRule type="expression" dxfId="29" priority="32">
      <formula>AND($A2&lt;&gt;"",$G2="Yes")</formula>
    </cfRule>
    <cfRule type="expression" dxfId="28" priority="33">
      <formula>AND($A2&lt;&gt;"",$J2&lt;&gt;"")</formula>
    </cfRule>
    <cfRule type="expression" dxfId="27" priority="34">
      <formula>$A2&lt;&gt;""</formula>
    </cfRule>
  </conditionalFormatting>
  <conditionalFormatting sqref="C2:C197 G2:G197">
    <cfRule type="expression" dxfId="26" priority="35">
      <formula>$A2=""</formula>
    </cfRule>
  </conditionalFormatting>
  <conditionalFormatting sqref="K2:M2 A3:M3 M3:M10 B4:M7 A8:M9 B10:M12 A13:M16 B17:M17 A18:M20 B21:M21 A22:M24 B25:M26 A27:M27 M28:M29 B30:M30 A31:M34 B35:M37 A38:M41 B42:M42 A43:M43 B44:M48 A49:M497 A2:H2 A28:K29">
    <cfRule type="expression" dxfId="25" priority="31">
      <formula>AND($A2&lt;&gt;"",$G2="Did not pass re-test")</formula>
    </cfRule>
  </conditionalFormatting>
  <conditionalFormatting sqref="M2:M497">
    <cfRule type="expression" dxfId="24" priority="25">
      <formula>ISNUMBER(SEARCH("Sent back again",$M2))</formula>
    </cfRule>
    <cfRule type="expression" dxfId="23" priority="26">
      <formula>ISNUMBER(SEARCH("LATE",$M2))</formula>
    </cfRule>
    <cfRule type="expression" dxfId="22" priority="27">
      <formula>ISNUMBER(SEARCH("UNCLAIMED",$M2))</formula>
    </cfRule>
    <cfRule type="expression" dxfId="21" priority="28">
      <formula>ISNUMBER(SEARCH("Missing",$M2))</formula>
    </cfRule>
    <cfRule type="expression" dxfId="20" priority="29">
      <formula>ISNUMBER(SEARCH("Fixed in",$M2))</formula>
    </cfRule>
    <cfRule type="expression" dxfId="19" priority="30">
      <formula>ISNUMBER(SEARCH("Open",$M2))</formula>
    </cfRule>
  </conditionalFormatting>
  <conditionalFormatting sqref="N24">
    <cfRule type="expression" dxfId="18" priority="8">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Data'!$B$29:$B$101</xm:f>
          </x14:formula1>
          <xm:sqref>A2:A41 A49:A497 A43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436</v>
      </c>
      <c r="B1" s="268"/>
      <c r="C1" s="268"/>
    </row>
    <row r="2" spans="1:8" ht="14.25" customHeight="1">
      <c r="A2" s="8" t="s">
        <v>0</v>
      </c>
      <c r="B2" s="8" t="s">
        <v>437</v>
      </c>
      <c r="C2" s="8" t="s">
        <v>438</v>
      </c>
      <c r="E2" t="s">
        <v>439</v>
      </c>
      <c r="F2" t="s">
        <v>440</v>
      </c>
      <c r="G2" t="s">
        <v>441</v>
      </c>
      <c r="H2" t="s">
        <v>442</v>
      </c>
    </row>
    <row r="3" spans="1:8" ht="14.25" customHeight="1">
      <c r="A3" s="11" t="s">
        <v>40</v>
      </c>
      <c r="B3" s="11">
        <v>8</v>
      </c>
      <c r="C3" s="12">
        <v>46142</v>
      </c>
      <c r="E3" t="s">
        <v>443</v>
      </c>
      <c r="F3" s="28">
        <v>46233</v>
      </c>
      <c r="G3" s="28">
        <v>46274</v>
      </c>
    </row>
    <row r="4" spans="1:8" ht="14.25" customHeight="1">
      <c r="A4" s="11" t="s">
        <v>40</v>
      </c>
      <c r="B4" s="11">
        <v>10</v>
      </c>
      <c r="C4" s="12">
        <v>46172</v>
      </c>
      <c r="E4" t="s">
        <v>444</v>
      </c>
      <c r="F4" s="28">
        <v>46264</v>
      </c>
      <c r="G4" s="28">
        <v>46295</v>
      </c>
    </row>
    <row r="5" spans="1:8" ht="14.25" customHeight="1">
      <c r="A5" s="11" t="s">
        <v>40</v>
      </c>
      <c r="B5" s="11">
        <v>9</v>
      </c>
      <c r="C5" s="12">
        <v>46203</v>
      </c>
      <c r="E5" t="s">
        <v>445</v>
      </c>
      <c r="F5" s="28">
        <v>46295</v>
      </c>
      <c r="G5" s="28">
        <v>46325</v>
      </c>
    </row>
    <row r="6" spans="1:8" ht="14.25" customHeight="1">
      <c r="A6" s="11" t="s">
        <v>126</v>
      </c>
      <c r="B6" s="11">
        <v>15</v>
      </c>
      <c r="C6" s="12">
        <v>46233</v>
      </c>
      <c r="E6" t="s">
        <v>446</v>
      </c>
      <c r="F6" s="28">
        <v>46325</v>
      </c>
      <c r="G6" s="28">
        <v>46356</v>
      </c>
    </row>
    <row r="7" spans="1:8" ht="14.25" customHeight="1">
      <c r="A7" s="11" t="s">
        <v>126</v>
      </c>
      <c r="B7" s="11">
        <v>15</v>
      </c>
      <c r="C7" s="12">
        <v>46264</v>
      </c>
      <c r="E7" t="s">
        <v>447</v>
      </c>
      <c r="F7" s="28">
        <v>46356</v>
      </c>
      <c r="G7" s="28">
        <v>46387</v>
      </c>
    </row>
    <row r="8" spans="1:8" ht="14.25" customHeight="1">
      <c r="A8" s="11" t="s">
        <v>126</v>
      </c>
      <c r="B8" s="11">
        <v>17</v>
      </c>
      <c r="C8" s="12">
        <v>46295</v>
      </c>
      <c r="E8" t="s">
        <v>448</v>
      </c>
      <c r="F8" s="28">
        <v>46387</v>
      </c>
      <c r="G8" s="28">
        <v>46417</v>
      </c>
    </row>
    <row r="9" spans="1:8" ht="14.25" customHeight="1">
      <c r="A9" s="11" t="s">
        <v>126</v>
      </c>
      <c r="B9" s="11">
        <v>20</v>
      </c>
      <c r="C9" s="12">
        <v>46325</v>
      </c>
      <c r="E9" t="s">
        <v>449</v>
      </c>
      <c r="F9" s="28">
        <v>46417</v>
      </c>
      <c r="G9" s="28">
        <v>46445</v>
      </c>
    </row>
    <row r="10" spans="1:8" ht="14.25" customHeight="1">
      <c r="A10" s="11" t="s">
        <v>126</v>
      </c>
      <c r="B10" s="11">
        <v>20</v>
      </c>
      <c r="C10" s="12">
        <v>46356</v>
      </c>
      <c r="E10" t="s">
        <v>450</v>
      </c>
      <c r="F10" s="28">
        <v>46446</v>
      </c>
      <c r="G10" s="28">
        <v>46477</v>
      </c>
    </row>
    <row r="11" spans="1:8" ht="14.25" customHeight="1">
      <c r="A11" s="11" t="s">
        <v>341</v>
      </c>
      <c r="B11" s="11">
        <v>18</v>
      </c>
      <c r="C11" s="12">
        <v>46417</v>
      </c>
      <c r="E11" t="s">
        <v>451</v>
      </c>
      <c r="F11" s="28">
        <v>46477</v>
      </c>
      <c r="G11" s="28">
        <v>46480</v>
      </c>
    </row>
    <row r="12" spans="1:8" ht="14.25" customHeight="1">
      <c r="A12" s="11" t="s">
        <v>341</v>
      </c>
      <c r="B12" s="11">
        <v>18</v>
      </c>
      <c r="C12" s="12">
        <v>46446</v>
      </c>
    </row>
    <row r="13" spans="1:8" ht="14.25" customHeight="1">
      <c r="A13" s="11" t="s">
        <v>341</v>
      </c>
      <c r="B13" s="11">
        <v>19</v>
      </c>
      <c r="C13" s="12">
        <v>46477</v>
      </c>
    </row>
    <row r="14" spans="1:8" ht="14.25" customHeight="1">
      <c r="A14" s="11" t="s">
        <v>316</v>
      </c>
      <c r="B14" s="11">
        <v>9</v>
      </c>
      <c r="C14" s="12">
        <v>46387</v>
      </c>
    </row>
    <row r="15" spans="1:8" ht="14.25" customHeight="1">
      <c r="A15" s="11" t="s">
        <v>307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452</v>
      </c>
      <c r="B1" s="268"/>
      <c r="C1" s="268"/>
      <c r="D1" s="268"/>
      <c r="E1" s="268"/>
      <c r="F1" s="268"/>
      <c r="G1" s="268"/>
      <c r="H1" s="268"/>
      <c r="I1" s="268"/>
      <c r="J1" s="268"/>
    </row>
    <row r="2" spans="1:10" ht="27" customHeight="1">
      <c r="A2" s="8" t="s">
        <v>0</v>
      </c>
      <c r="B2" s="8" t="s">
        <v>453</v>
      </c>
      <c r="C2" s="8" t="s">
        <v>1</v>
      </c>
      <c r="D2" s="8" t="s">
        <v>454</v>
      </c>
      <c r="E2" s="8" t="s">
        <v>455</v>
      </c>
      <c r="F2" s="8" t="s">
        <v>6</v>
      </c>
      <c r="G2" s="8" t="s">
        <v>5</v>
      </c>
      <c r="H2" s="8" t="s">
        <v>456</v>
      </c>
      <c r="I2" s="8" t="s">
        <v>438</v>
      </c>
      <c r="J2" s="8" t="s">
        <v>457</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200</v>
      </c>
      <c r="C4" s="9" t="s">
        <v>41</v>
      </c>
      <c r="D4" s="9" t="s">
        <v>44</v>
      </c>
      <c r="E4" s="9" t="s">
        <v>46</v>
      </c>
      <c r="F4" s="9"/>
      <c r="G4" s="9"/>
      <c r="H4" s="10">
        <v>46115</v>
      </c>
      <c r="I4" s="10">
        <v>46114</v>
      </c>
      <c r="J4" s="10">
        <v>46114</v>
      </c>
    </row>
    <row r="5" spans="1:10" ht="14.25" customHeight="1">
      <c r="A5" s="9" t="s">
        <v>40</v>
      </c>
      <c r="B5" s="9" t="s">
        <v>237</v>
      </c>
      <c r="C5" s="9" t="s">
        <v>41</v>
      </c>
      <c r="D5" s="9" t="s">
        <v>44</v>
      </c>
      <c r="E5" s="9" t="s">
        <v>46</v>
      </c>
      <c r="F5" s="9"/>
      <c r="G5" s="9"/>
      <c r="H5" s="10">
        <v>46114</v>
      </c>
      <c r="I5" s="10">
        <v>46122</v>
      </c>
      <c r="J5" s="10">
        <v>46122</v>
      </c>
    </row>
    <row r="6" spans="1:10" ht="14.25" customHeight="1">
      <c r="A6" s="9" t="s">
        <v>40</v>
      </c>
      <c r="B6" s="9" t="s">
        <v>426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200</v>
      </c>
      <c r="C9" s="9" t="s">
        <v>55</v>
      </c>
      <c r="D9" s="9" t="s">
        <v>44</v>
      </c>
      <c r="E9" s="9" t="s">
        <v>46</v>
      </c>
      <c r="F9" s="9"/>
      <c r="G9" s="9"/>
      <c r="H9" s="10">
        <v>46115</v>
      </c>
      <c r="I9" s="10">
        <v>46114</v>
      </c>
      <c r="J9" s="10">
        <v>46114</v>
      </c>
    </row>
    <row r="10" spans="1:10" ht="14.25" customHeight="1">
      <c r="A10" s="9" t="s">
        <v>40</v>
      </c>
      <c r="B10" s="9" t="s">
        <v>237</v>
      </c>
      <c r="C10" s="9" t="s">
        <v>55</v>
      </c>
      <c r="D10" s="9" t="s">
        <v>44</v>
      </c>
      <c r="E10" s="9" t="s">
        <v>46</v>
      </c>
      <c r="F10" s="9"/>
      <c r="G10" s="9"/>
      <c r="H10" s="10">
        <v>46114</v>
      </c>
      <c r="I10" s="10">
        <v>46122</v>
      </c>
      <c r="J10" s="10">
        <v>46122</v>
      </c>
    </row>
    <row r="11" spans="1:10" ht="14.25" customHeight="1">
      <c r="A11" s="9" t="s">
        <v>40</v>
      </c>
      <c r="B11" s="9" t="s">
        <v>426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458</v>
      </c>
      <c r="D13" s="9" t="s">
        <v>459</v>
      </c>
      <c r="E13" s="9" t="s">
        <v>46</v>
      </c>
      <c r="F13" s="9"/>
      <c r="G13" s="9"/>
      <c r="H13" s="10"/>
      <c r="I13" s="10">
        <v>46115</v>
      </c>
      <c r="J13" s="10">
        <v>46115</v>
      </c>
    </row>
    <row r="14" spans="1:10" ht="14.25" customHeight="1">
      <c r="A14" s="9" t="s">
        <v>40</v>
      </c>
      <c r="B14" s="9" t="s">
        <v>200</v>
      </c>
      <c r="C14" s="9" t="s">
        <v>458</v>
      </c>
      <c r="D14" s="9" t="s">
        <v>459</v>
      </c>
      <c r="E14" s="9" t="s">
        <v>46</v>
      </c>
      <c r="F14" s="9"/>
      <c r="G14" s="9"/>
      <c r="H14" s="10">
        <v>46115</v>
      </c>
      <c r="I14" s="10">
        <v>46120</v>
      </c>
      <c r="J14" s="10">
        <v>46120</v>
      </c>
    </row>
    <row r="15" spans="1:10" ht="14.25" customHeight="1">
      <c r="A15" s="9" t="s">
        <v>40</v>
      </c>
      <c r="B15" s="9" t="s">
        <v>237</v>
      </c>
      <c r="C15" s="9" t="s">
        <v>458</v>
      </c>
      <c r="D15" s="9" t="s">
        <v>459</v>
      </c>
      <c r="E15" s="9" t="s">
        <v>46</v>
      </c>
      <c r="F15" s="9"/>
      <c r="G15" s="9"/>
      <c r="H15" s="10">
        <v>46120</v>
      </c>
      <c r="I15" s="10">
        <v>46122</v>
      </c>
      <c r="J15" s="10">
        <v>46122</v>
      </c>
    </row>
    <row r="16" spans="1:10" ht="14.25" customHeight="1">
      <c r="A16" s="9" t="s">
        <v>40</v>
      </c>
      <c r="B16" s="9" t="s">
        <v>426</v>
      </c>
      <c r="C16" s="9" t="s">
        <v>458</v>
      </c>
      <c r="D16" s="9" t="s">
        <v>459</v>
      </c>
      <c r="E16" s="9" t="s">
        <v>46</v>
      </c>
      <c r="F16" s="9"/>
      <c r="G16" s="9"/>
      <c r="H16" s="10">
        <v>46122</v>
      </c>
      <c r="I16" s="10"/>
      <c r="J16" s="10"/>
    </row>
    <row r="17" spans="1:10" ht="14.25" customHeight="1">
      <c r="A17" s="9" t="s">
        <v>40</v>
      </c>
      <c r="B17" s="9" t="s">
        <v>42</v>
      </c>
      <c r="C17" s="9" t="s">
        <v>458</v>
      </c>
      <c r="D17" s="9" t="s">
        <v>459</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200</v>
      </c>
      <c r="C19" s="9" t="s">
        <v>58</v>
      </c>
      <c r="D19" s="9" t="s">
        <v>59</v>
      </c>
      <c r="E19" s="9" t="s">
        <v>60</v>
      </c>
      <c r="F19" s="9"/>
      <c r="G19" s="9"/>
      <c r="H19" s="10">
        <v>46115</v>
      </c>
      <c r="I19" s="10">
        <v>46126</v>
      </c>
      <c r="J19" s="10">
        <v>46126</v>
      </c>
    </row>
    <row r="20" spans="1:10" ht="14.25" customHeight="1">
      <c r="A20" s="9" t="s">
        <v>40</v>
      </c>
      <c r="B20" s="9" t="s">
        <v>237</v>
      </c>
      <c r="C20" s="9" t="s">
        <v>58</v>
      </c>
      <c r="D20" s="9" t="s">
        <v>59</v>
      </c>
      <c r="E20" s="9" t="s">
        <v>60</v>
      </c>
      <c r="F20" s="9"/>
      <c r="G20" s="9"/>
      <c r="H20" s="10">
        <v>46126</v>
      </c>
      <c r="I20" s="10">
        <v>46122</v>
      </c>
      <c r="J20" s="10">
        <v>46122</v>
      </c>
    </row>
    <row r="21" spans="1:10" ht="14.25" customHeight="1">
      <c r="A21" s="9" t="s">
        <v>40</v>
      </c>
      <c r="B21" s="9" t="s">
        <v>426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459</v>
      </c>
      <c r="E23" s="9" t="s">
        <v>46</v>
      </c>
      <c r="F23" s="9"/>
      <c r="G23" s="9"/>
      <c r="H23" s="10"/>
      <c r="I23" s="10">
        <v>46115</v>
      </c>
      <c r="J23" s="10">
        <v>46115</v>
      </c>
    </row>
    <row r="24" spans="1:10" ht="14.25" customHeight="1">
      <c r="A24" s="9" t="s">
        <v>40</v>
      </c>
      <c r="B24" s="9" t="s">
        <v>200</v>
      </c>
      <c r="C24" s="9" t="s">
        <v>64</v>
      </c>
      <c r="D24" s="9" t="s">
        <v>459</v>
      </c>
      <c r="E24" s="9" t="s">
        <v>46</v>
      </c>
      <c r="F24" s="9"/>
      <c r="G24" s="9"/>
      <c r="H24" s="10">
        <v>46115</v>
      </c>
      <c r="I24" s="10">
        <v>46120</v>
      </c>
      <c r="J24" s="10">
        <v>46120</v>
      </c>
    </row>
    <row r="25" spans="1:10" ht="14.25" customHeight="1">
      <c r="A25" s="9" t="s">
        <v>40</v>
      </c>
      <c r="B25" s="9" t="s">
        <v>237</v>
      </c>
      <c r="C25" s="9" t="s">
        <v>64</v>
      </c>
      <c r="D25" s="9" t="s">
        <v>459</v>
      </c>
      <c r="E25" s="9" t="s">
        <v>46</v>
      </c>
      <c r="F25" s="9"/>
      <c r="G25" s="9"/>
      <c r="H25" s="10">
        <v>46120</v>
      </c>
      <c r="I25" s="10">
        <v>46122</v>
      </c>
      <c r="J25" s="10">
        <v>46122</v>
      </c>
    </row>
    <row r="26" spans="1:10" ht="14.25" customHeight="1">
      <c r="A26" s="9" t="s">
        <v>40</v>
      </c>
      <c r="B26" s="9" t="s">
        <v>426</v>
      </c>
      <c r="C26" s="9" t="s">
        <v>64</v>
      </c>
      <c r="D26" s="9" t="s">
        <v>459</v>
      </c>
      <c r="E26" s="9" t="s">
        <v>46</v>
      </c>
      <c r="F26" s="9"/>
      <c r="G26" s="9"/>
      <c r="H26" s="10">
        <v>46122</v>
      </c>
      <c r="I26" s="10"/>
      <c r="J26" s="10"/>
    </row>
    <row r="27" spans="1:10" ht="14.25" customHeight="1">
      <c r="A27" s="9" t="s">
        <v>40</v>
      </c>
      <c r="B27" s="9" t="s">
        <v>42</v>
      </c>
      <c r="C27" s="9" t="s">
        <v>64</v>
      </c>
      <c r="D27" s="9" t="s">
        <v>459</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200</v>
      </c>
      <c r="C29" s="9" t="s">
        <v>69</v>
      </c>
      <c r="D29" s="9" t="s">
        <v>76</v>
      </c>
      <c r="E29" s="9" t="s">
        <v>60</v>
      </c>
      <c r="F29" s="9"/>
      <c r="G29" s="9"/>
      <c r="H29" s="10">
        <v>46115</v>
      </c>
      <c r="I29" s="10">
        <v>46126</v>
      </c>
      <c r="J29" s="10">
        <v>46126</v>
      </c>
    </row>
    <row r="30" spans="1:10" ht="14.25" customHeight="1">
      <c r="A30" s="9" t="s">
        <v>40</v>
      </c>
      <c r="B30" s="9" t="s">
        <v>237</v>
      </c>
      <c r="C30" s="9" t="s">
        <v>69</v>
      </c>
      <c r="D30" s="9" t="s">
        <v>76</v>
      </c>
      <c r="E30" s="9" t="s">
        <v>60</v>
      </c>
      <c r="F30" s="9"/>
      <c r="G30" s="9"/>
      <c r="H30" s="10">
        <v>46126</v>
      </c>
      <c r="I30" s="10">
        <v>46122</v>
      </c>
      <c r="J30" s="10">
        <v>46122</v>
      </c>
    </row>
    <row r="31" spans="1:10" ht="14.25" customHeight="1">
      <c r="A31" s="9" t="s">
        <v>40</v>
      </c>
      <c r="B31" s="9" t="s">
        <v>426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459</v>
      </c>
      <c r="E33" s="9" t="s">
        <v>60</v>
      </c>
      <c r="F33" s="9"/>
      <c r="G33" s="9"/>
      <c r="H33" s="10"/>
      <c r="I33" s="10">
        <v>46122</v>
      </c>
      <c r="J33" s="10">
        <v>46122</v>
      </c>
    </row>
    <row r="34" spans="1:10" ht="14.25" customHeight="1">
      <c r="A34" s="9" t="s">
        <v>40</v>
      </c>
      <c r="B34" s="9" t="s">
        <v>200</v>
      </c>
      <c r="C34" s="9" t="s">
        <v>70</v>
      </c>
      <c r="D34" s="9" t="s">
        <v>459</v>
      </c>
      <c r="E34" s="9" t="s">
        <v>60</v>
      </c>
      <c r="F34" s="9"/>
      <c r="G34" s="9"/>
      <c r="H34" s="10">
        <v>46122</v>
      </c>
      <c r="I34" s="10">
        <v>46126</v>
      </c>
      <c r="J34" s="10">
        <v>46126</v>
      </c>
    </row>
    <row r="35" spans="1:10" ht="14.25" customHeight="1">
      <c r="A35" s="9" t="s">
        <v>40</v>
      </c>
      <c r="B35" s="9" t="s">
        <v>237</v>
      </c>
      <c r="C35" s="9" t="s">
        <v>70</v>
      </c>
      <c r="D35" s="9" t="s">
        <v>459</v>
      </c>
      <c r="E35" s="9" t="s">
        <v>60</v>
      </c>
      <c r="F35" s="9"/>
      <c r="G35" s="9"/>
      <c r="H35" s="10">
        <v>46126</v>
      </c>
      <c r="I35" s="10">
        <v>46122</v>
      </c>
      <c r="J35" s="10">
        <v>46122</v>
      </c>
    </row>
    <row r="36" spans="1:10" ht="14.25" customHeight="1">
      <c r="A36" s="9" t="s">
        <v>40</v>
      </c>
      <c r="B36" s="9" t="s">
        <v>426</v>
      </c>
      <c r="C36" s="9" t="s">
        <v>70</v>
      </c>
      <c r="D36" s="9" t="s">
        <v>459</v>
      </c>
      <c r="E36" s="9" t="s">
        <v>60</v>
      </c>
      <c r="F36" s="9"/>
      <c r="G36" s="9"/>
      <c r="H36" s="10">
        <v>46122</v>
      </c>
      <c r="I36" s="10"/>
      <c r="J36" s="10"/>
    </row>
    <row r="37" spans="1:10" ht="14.25" customHeight="1">
      <c r="A37" s="9" t="s">
        <v>40</v>
      </c>
      <c r="B37" s="9" t="s">
        <v>42</v>
      </c>
      <c r="C37" s="9" t="s">
        <v>70</v>
      </c>
      <c r="D37" s="9" t="s">
        <v>459</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200</v>
      </c>
      <c r="C39" s="9" t="s">
        <v>71</v>
      </c>
      <c r="D39" s="9" t="s">
        <v>84</v>
      </c>
      <c r="E39" s="9" t="s">
        <v>60</v>
      </c>
      <c r="F39" s="9"/>
      <c r="G39" s="9"/>
      <c r="H39" s="10">
        <v>46122</v>
      </c>
      <c r="I39" s="10">
        <v>46126</v>
      </c>
      <c r="J39" s="10">
        <v>46126</v>
      </c>
    </row>
    <row r="40" spans="1:10" ht="14.25" customHeight="1">
      <c r="A40" s="9" t="s">
        <v>40</v>
      </c>
      <c r="B40" s="9" t="s">
        <v>237</v>
      </c>
      <c r="C40" s="9" t="s">
        <v>71</v>
      </c>
      <c r="D40" s="9" t="s">
        <v>84</v>
      </c>
      <c r="E40" s="9" t="s">
        <v>60</v>
      </c>
      <c r="F40" s="9"/>
      <c r="G40" s="9"/>
      <c r="H40" s="10">
        <v>46126</v>
      </c>
      <c r="I40" s="10">
        <v>46122</v>
      </c>
      <c r="J40" s="10">
        <v>46122</v>
      </c>
    </row>
    <row r="41" spans="1:10" ht="14.25" customHeight="1">
      <c r="A41" s="9" t="s">
        <v>40</v>
      </c>
      <c r="B41" s="9" t="s">
        <v>426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200</v>
      </c>
      <c r="C44" s="9" t="s">
        <v>73</v>
      </c>
      <c r="D44" s="9" t="s">
        <v>59</v>
      </c>
      <c r="E44" s="9" t="s">
        <v>60</v>
      </c>
      <c r="F44" s="9"/>
      <c r="G44" s="9"/>
      <c r="H44" s="10">
        <v>46127</v>
      </c>
      <c r="I44" s="10">
        <v>46126</v>
      </c>
      <c r="J44" s="10">
        <v>46126</v>
      </c>
    </row>
    <row r="45" spans="1:10" ht="14.25" customHeight="1">
      <c r="A45" s="9" t="s">
        <v>40</v>
      </c>
      <c r="B45" s="9" t="s">
        <v>237</v>
      </c>
      <c r="C45" s="9" t="s">
        <v>73</v>
      </c>
      <c r="D45" s="9" t="s">
        <v>59</v>
      </c>
      <c r="E45" s="9" t="s">
        <v>60</v>
      </c>
      <c r="F45" s="9"/>
      <c r="G45" s="9"/>
      <c r="H45" s="10">
        <v>46126</v>
      </c>
      <c r="I45" s="10">
        <v>46122</v>
      </c>
      <c r="J45" s="10">
        <v>46122</v>
      </c>
    </row>
    <row r="46" spans="1:10" ht="14.25" customHeight="1">
      <c r="A46" s="9" t="s">
        <v>40</v>
      </c>
      <c r="B46" s="9" t="s">
        <v>426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459</v>
      </c>
      <c r="E48" s="9" t="s">
        <v>60</v>
      </c>
      <c r="F48" s="9"/>
      <c r="G48" s="9"/>
      <c r="H48" s="10"/>
      <c r="I48" s="10"/>
      <c r="J48" s="10"/>
    </row>
    <row r="49" spans="1:10" ht="14.25" customHeight="1">
      <c r="A49" s="9" t="s">
        <v>40</v>
      </c>
      <c r="B49" s="9" t="s">
        <v>200</v>
      </c>
      <c r="C49" s="9" t="s">
        <v>97</v>
      </c>
      <c r="D49" s="9" t="s">
        <v>459</v>
      </c>
      <c r="E49" s="9" t="s">
        <v>60</v>
      </c>
      <c r="F49" s="9"/>
      <c r="G49" s="9"/>
      <c r="H49" s="10"/>
      <c r="I49" s="10">
        <v>46139</v>
      </c>
      <c r="J49" s="10">
        <v>46139</v>
      </c>
    </row>
    <row r="50" spans="1:10" ht="14.25" customHeight="1">
      <c r="A50" s="9" t="s">
        <v>40</v>
      </c>
      <c r="B50" s="9" t="s">
        <v>237</v>
      </c>
      <c r="C50" s="9" t="s">
        <v>97</v>
      </c>
      <c r="D50" s="9" t="s">
        <v>459</v>
      </c>
      <c r="E50" s="9" t="s">
        <v>60</v>
      </c>
      <c r="F50" s="9"/>
      <c r="G50" s="9"/>
      <c r="H50" s="10">
        <v>46139</v>
      </c>
      <c r="I50" s="10">
        <v>46139</v>
      </c>
      <c r="J50" s="10">
        <v>46139</v>
      </c>
    </row>
    <row r="51" spans="1:10" ht="14.25" customHeight="1">
      <c r="A51" s="9" t="s">
        <v>40</v>
      </c>
      <c r="B51" s="9" t="s">
        <v>426</v>
      </c>
      <c r="C51" s="9" t="s">
        <v>97</v>
      </c>
      <c r="D51" s="9" t="s">
        <v>459</v>
      </c>
      <c r="E51" s="9" t="s">
        <v>60</v>
      </c>
      <c r="F51" s="9"/>
      <c r="G51" s="9"/>
      <c r="H51" s="10">
        <v>46139</v>
      </c>
      <c r="I51" s="10"/>
      <c r="J51" s="10"/>
    </row>
    <row r="52" spans="1:10" ht="14.25" customHeight="1">
      <c r="A52" s="9" t="s">
        <v>40</v>
      </c>
      <c r="B52" s="9" t="s">
        <v>42</v>
      </c>
      <c r="C52" s="9" t="s">
        <v>97</v>
      </c>
      <c r="D52" s="9" t="s">
        <v>459</v>
      </c>
      <c r="E52" s="9" t="s">
        <v>60</v>
      </c>
      <c r="F52" s="9"/>
      <c r="G52" s="9"/>
      <c r="H52" s="10"/>
      <c r="I52" s="10"/>
      <c r="J52" s="10"/>
    </row>
    <row r="53" spans="1:10" ht="14.25" customHeight="1">
      <c r="A53" s="9" t="s">
        <v>40</v>
      </c>
      <c r="B53" s="9" t="s">
        <v>257</v>
      </c>
      <c r="C53" s="9" t="s">
        <v>98</v>
      </c>
      <c r="D53" s="9" t="s">
        <v>459</v>
      </c>
      <c r="E53" s="9" t="s">
        <v>60</v>
      </c>
      <c r="F53" s="9"/>
      <c r="G53" s="9"/>
      <c r="H53" s="10"/>
      <c r="I53" s="10"/>
      <c r="J53" s="10"/>
    </row>
    <row r="54" spans="1:10" ht="14.25" customHeight="1">
      <c r="A54" s="9" t="s">
        <v>40</v>
      </c>
      <c r="B54" s="9" t="s">
        <v>200</v>
      </c>
      <c r="C54" s="9" t="s">
        <v>98</v>
      </c>
      <c r="D54" s="9" t="s">
        <v>459</v>
      </c>
      <c r="E54" s="9" t="s">
        <v>60</v>
      </c>
      <c r="F54" s="9"/>
      <c r="G54" s="9"/>
      <c r="H54" s="9"/>
      <c r="I54" s="10">
        <v>46141</v>
      </c>
      <c r="J54" s="10">
        <v>46141</v>
      </c>
    </row>
    <row r="55" spans="1:10" ht="14.25" customHeight="1">
      <c r="A55" s="9" t="s">
        <v>40</v>
      </c>
      <c r="B55" s="9" t="s">
        <v>237</v>
      </c>
      <c r="C55" s="9" t="s">
        <v>98</v>
      </c>
      <c r="D55" s="9" t="s">
        <v>459</v>
      </c>
      <c r="E55" s="9" t="s">
        <v>60</v>
      </c>
      <c r="F55" s="9"/>
      <c r="G55" s="9"/>
      <c r="H55" s="10">
        <v>46141</v>
      </c>
      <c r="I55" s="10">
        <v>46141</v>
      </c>
      <c r="J55" s="10">
        <v>46141</v>
      </c>
    </row>
    <row r="56" spans="1:10" ht="14.25" customHeight="1">
      <c r="A56" s="9" t="s">
        <v>40</v>
      </c>
      <c r="B56" s="9" t="s">
        <v>426</v>
      </c>
      <c r="C56" s="9" t="s">
        <v>98</v>
      </c>
      <c r="D56" s="9" t="s">
        <v>459</v>
      </c>
      <c r="E56" s="9" t="s">
        <v>60</v>
      </c>
      <c r="F56" s="9"/>
      <c r="G56" s="9"/>
      <c r="H56" s="10">
        <v>46141</v>
      </c>
      <c r="I56" s="10"/>
      <c r="J56" s="10"/>
    </row>
    <row r="57" spans="1:10" ht="14.25" customHeight="1">
      <c r="A57" s="9" t="s">
        <v>40</v>
      </c>
      <c r="B57" s="9" t="s">
        <v>42</v>
      </c>
      <c r="C57" s="9" t="s">
        <v>98</v>
      </c>
      <c r="D57" s="9" t="s">
        <v>459</v>
      </c>
      <c r="E57" s="9" t="s">
        <v>60</v>
      </c>
      <c r="F57" s="9"/>
      <c r="G57" s="9"/>
      <c r="H57" s="10"/>
      <c r="I57" s="10"/>
      <c r="J57" s="10"/>
    </row>
    <row r="58" spans="1:10" ht="14.25" customHeight="1">
      <c r="A58" s="9" t="s">
        <v>40</v>
      </c>
      <c r="B58" s="9" t="s">
        <v>257</v>
      </c>
      <c r="C58" s="9" t="s">
        <v>99</v>
      </c>
      <c r="D58" s="9" t="s">
        <v>459</v>
      </c>
      <c r="E58" s="9" t="s">
        <v>46</v>
      </c>
      <c r="F58" s="9"/>
      <c r="G58" s="9"/>
      <c r="H58" s="9"/>
      <c r="I58" s="10"/>
      <c r="J58" s="10"/>
    </row>
    <row r="59" spans="1:10" ht="14.25" customHeight="1">
      <c r="A59" s="9" t="s">
        <v>40</v>
      </c>
      <c r="B59" s="9" t="s">
        <v>200</v>
      </c>
      <c r="C59" s="9" t="s">
        <v>99</v>
      </c>
      <c r="D59" s="9" t="s">
        <v>459</v>
      </c>
      <c r="E59" s="9" t="s">
        <v>46</v>
      </c>
      <c r="F59" s="9"/>
      <c r="G59" s="9"/>
      <c r="H59" s="10"/>
      <c r="I59" s="10">
        <v>46161</v>
      </c>
      <c r="J59" s="10">
        <v>46161</v>
      </c>
    </row>
    <row r="60" spans="1:10" ht="14.25" customHeight="1">
      <c r="A60" s="9" t="s">
        <v>40</v>
      </c>
      <c r="B60" s="9" t="s">
        <v>237</v>
      </c>
      <c r="C60" s="9" t="s">
        <v>99</v>
      </c>
      <c r="D60" s="9" t="s">
        <v>459</v>
      </c>
      <c r="E60" s="9" t="s">
        <v>46</v>
      </c>
      <c r="F60" s="9"/>
      <c r="G60" s="9"/>
      <c r="H60" s="10">
        <v>46161</v>
      </c>
      <c r="I60" s="10">
        <v>46161</v>
      </c>
      <c r="J60" s="10">
        <v>46161</v>
      </c>
    </row>
    <row r="61" spans="1:10" ht="14.25" customHeight="1">
      <c r="A61" s="9" t="s">
        <v>40</v>
      </c>
      <c r="B61" s="9" t="s">
        <v>426</v>
      </c>
      <c r="C61" s="9" t="s">
        <v>99</v>
      </c>
      <c r="D61" s="9" t="s">
        <v>459</v>
      </c>
      <c r="E61" s="9" t="s">
        <v>46</v>
      </c>
      <c r="F61" s="9"/>
      <c r="G61" s="9"/>
      <c r="H61" s="10">
        <v>46161</v>
      </c>
      <c r="I61" s="10"/>
      <c r="J61" s="10"/>
    </row>
    <row r="62" spans="1:10" ht="14.25" customHeight="1">
      <c r="A62" s="9" t="s">
        <v>40</v>
      </c>
      <c r="B62" s="9" t="s">
        <v>42</v>
      </c>
      <c r="C62" s="9" t="s">
        <v>99</v>
      </c>
      <c r="D62" s="9" t="s">
        <v>459</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200</v>
      </c>
      <c r="C64" s="9" t="s">
        <v>100</v>
      </c>
      <c r="D64" s="9" t="s">
        <v>103</v>
      </c>
      <c r="E64" s="9" t="s">
        <v>46</v>
      </c>
      <c r="F64" s="9"/>
      <c r="G64" s="9"/>
      <c r="H64" s="10"/>
      <c r="I64" s="10">
        <v>46175</v>
      </c>
      <c r="J64" s="10">
        <v>46175</v>
      </c>
    </row>
    <row r="65" spans="1:10" ht="14.25" customHeight="1">
      <c r="A65" s="9" t="s">
        <v>40</v>
      </c>
      <c r="B65" s="9" t="s">
        <v>237</v>
      </c>
      <c r="C65" s="9" t="s">
        <v>100</v>
      </c>
      <c r="D65" s="9" t="s">
        <v>103</v>
      </c>
      <c r="E65" s="9" t="s">
        <v>46</v>
      </c>
      <c r="F65" s="9"/>
      <c r="G65" s="9"/>
      <c r="H65" s="10">
        <v>46175</v>
      </c>
      <c r="I65" s="10">
        <v>46175</v>
      </c>
      <c r="J65" s="10">
        <v>46175</v>
      </c>
    </row>
    <row r="66" spans="1:10" ht="14.25" customHeight="1">
      <c r="A66" s="9" t="s">
        <v>40</v>
      </c>
      <c r="B66" s="9" t="s">
        <v>426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200</v>
      </c>
      <c r="C69" s="9" t="s">
        <v>74</v>
      </c>
      <c r="D69" s="9" t="s">
        <v>76</v>
      </c>
      <c r="E69" s="9" t="s">
        <v>77</v>
      </c>
      <c r="F69" s="9"/>
      <c r="G69" s="9"/>
      <c r="H69" s="9"/>
      <c r="I69" s="10">
        <v>46134</v>
      </c>
      <c r="J69" s="10">
        <v>46134</v>
      </c>
    </row>
    <row r="70" spans="1:10" ht="14.25" customHeight="1">
      <c r="A70" s="9" t="s">
        <v>40</v>
      </c>
      <c r="B70" s="9" t="s">
        <v>237</v>
      </c>
      <c r="C70" s="9" t="s">
        <v>74</v>
      </c>
      <c r="D70" s="9" t="s">
        <v>76</v>
      </c>
      <c r="E70" s="9" t="s">
        <v>77</v>
      </c>
      <c r="F70" s="9"/>
      <c r="G70" s="9"/>
      <c r="H70" s="10">
        <v>46134</v>
      </c>
      <c r="I70" s="10">
        <v>46134</v>
      </c>
      <c r="J70" s="10">
        <v>46134</v>
      </c>
    </row>
    <row r="71" spans="1:10" ht="14.25" customHeight="1">
      <c r="A71" s="9" t="s">
        <v>40</v>
      </c>
      <c r="B71" s="9" t="s">
        <v>426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200</v>
      </c>
      <c r="C74" s="9" t="s">
        <v>80</v>
      </c>
      <c r="D74" s="9" t="s">
        <v>59</v>
      </c>
      <c r="E74" s="9" t="s">
        <v>77</v>
      </c>
      <c r="F74" s="9"/>
      <c r="G74" s="9"/>
      <c r="H74" s="10"/>
      <c r="I74" s="10">
        <v>46139</v>
      </c>
      <c r="J74" s="10">
        <v>46139</v>
      </c>
    </row>
    <row r="75" spans="1:10" ht="14.25" customHeight="1">
      <c r="A75" s="9" t="s">
        <v>40</v>
      </c>
      <c r="B75" s="9" t="s">
        <v>237</v>
      </c>
      <c r="C75" s="9" t="s">
        <v>80</v>
      </c>
      <c r="D75" s="9" t="s">
        <v>59</v>
      </c>
      <c r="E75" s="9" t="s">
        <v>77</v>
      </c>
      <c r="F75" s="9"/>
      <c r="G75" s="9"/>
      <c r="H75" s="10">
        <v>46139</v>
      </c>
      <c r="I75" s="10">
        <v>46139</v>
      </c>
      <c r="J75" s="10">
        <v>46139</v>
      </c>
    </row>
    <row r="76" spans="1:10" ht="14.25" customHeight="1">
      <c r="A76" s="9" t="s">
        <v>40</v>
      </c>
      <c r="B76" s="9" t="s">
        <v>426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200</v>
      </c>
      <c r="C79" s="9" t="s">
        <v>83</v>
      </c>
      <c r="D79" s="9" t="s">
        <v>84</v>
      </c>
      <c r="E79" s="9" t="s">
        <v>60</v>
      </c>
      <c r="F79" s="9"/>
      <c r="G79" s="9"/>
      <c r="H79" s="9"/>
      <c r="I79" s="10">
        <v>46147</v>
      </c>
      <c r="J79" s="10">
        <v>46147</v>
      </c>
    </row>
    <row r="80" spans="1:10" ht="14.25" customHeight="1">
      <c r="A80" s="9" t="s">
        <v>40</v>
      </c>
      <c r="B80" s="9" t="s">
        <v>237</v>
      </c>
      <c r="C80" s="9" t="s">
        <v>83</v>
      </c>
      <c r="D80" s="9" t="s">
        <v>84</v>
      </c>
      <c r="E80" s="9" t="s">
        <v>60</v>
      </c>
      <c r="F80" s="9"/>
      <c r="G80" s="9"/>
      <c r="H80" s="10">
        <v>46147</v>
      </c>
      <c r="I80" s="10">
        <v>46147</v>
      </c>
      <c r="J80" s="10">
        <v>46147</v>
      </c>
    </row>
    <row r="81" spans="1:10" ht="14.25" customHeight="1">
      <c r="A81" s="9" t="s">
        <v>40</v>
      </c>
      <c r="B81" s="9" t="s">
        <v>426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200</v>
      </c>
      <c r="C84" s="9" t="s">
        <v>87</v>
      </c>
      <c r="D84" s="9" t="s">
        <v>84</v>
      </c>
      <c r="E84" s="9" t="s">
        <v>46</v>
      </c>
      <c r="F84" s="9"/>
      <c r="G84" s="9"/>
      <c r="H84" s="10"/>
      <c r="I84" s="10">
        <v>46175</v>
      </c>
      <c r="J84" s="10">
        <v>46175</v>
      </c>
    </row>
    <row r="85" spans="1:10" ht="14.25" customHeight="1">
      <c r="A85" s="9" t="s">
        <v>40</v>
      </c>
      <c r="B85" s="9" t="s">
        <v>237</v>
      </c>
      <c r="C85" s="9" t="s">
        <v>87</v>
      </c>
      <c r="D85" s="9" t="s">
        <v>84</v>
      </c>
      <c r="E85" s="9" t="s">
        <v>46</v>
      </c>
      <c r="F85" s="9"/>
      <c r="G85" s="9"/>
      <c r="H85" s="10">
        <v>46175</v>
      </c>
      <c r="I85" s="10">
        <v>46179</v>
      </c>
      <c r="J85" s="10">
        <v>46179</v>
      </c>
    </row>
    <row r="86" spans="1:10" ht="14.25" customHeight="1">
      <c r="A86" s="9" t="s">
        <v>40</v>
      </c>
      <c r="B86" s="9" t="s">
        <v>426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200</v>
      </c>
      <c r="C89" s="9" t="s">
        <v>90</v>
      </c>
      <c r="D89" s="9" t="s">
        <v>44</v>
      </c>
      <c r="E89" s="9" t="s">
        <v>60</v>
      </c>
      <c r="F89" s="9"/>
      <c r="G89" s="9"/>
      <c r="H89" s="9"/>
      <c r="I89" s="10">
        <v>46143</v>
      </c>
      <c r="J89" s="10">
        <v>46143</v>
      </c>
    </row>
    <row r="90" spans="1:10" ht="14.25" customHeight="1">
      <c r="A90" s="9" t="s">
        <v>40</v>
      </c>
      <c r="B90" s="9" t="s">
        <v>237</v>
      </c>
      <c r="C90" s="9" t="s">
        <v>90</v>
      </c>
      <c r="D90" s="9" t="s">
        <v>44</v>
      </c>
      <c r="E90" s="9" t="s">
        <v>60</v>
      </c>
      <c r="F90" s="9"/>
      <c r="G90" s="9"/>
      <c r="H90" s="10">
        <v>46143</v>
      </c>
      <c r="I90" s="10">
        <v>46175</v>
      </c>
      <c r="J90" s="10">
        <v>46175</v>
      </c>
    </row>
    <row r="91" spans="1:10" ht="14.25" customHeight="1">
      <c r="A91" s="9" t="s">
        <v>40</v>
      </c>
      <c r="B91" s="9" t="s">
        <v>426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200</v>
      </c>
      <c r="C94" s="9" t="s">
        <v>93</v>
      </c>
      <c r="D94" s="9" t="s">
        <v>44</v>
      </c>
      <c r="E94" s="9" t="s">
        <v>77</v>
      </c>
      <c r="F94" s="9"/>
      <c r="G94" s="9"/>
      <c r="H94" s="10">
        <v>46175</v>
      </c>
      <c r="I94" s="10">
        <v>46178</v>
      </c>
      <c r="J94" s="10">
        <v>46178</v>
      </c>
    </row>
    <row r="95" spans="1:10" ht="14.25" customHeight="1">
      <c r="A95" s="9" t="s">
        <v>40</v>
      </c>
      <c r="B95" s="9" t="s">
        <v>237</v>
      </c>
      <c r="C95" s="9" t="s">
        <v>93</v>
      </c>
      <c r="D95" s="9" t="s">
        <v>44</v>
      </c>
      <c r="E95" s="9" t="s">
        <v>77</v>
      </c>
      <c r="F95" s="9"/>
      <c r="G95" s="9"/>
      <c r="H95" s="10">
        <v>46178</v>
      </c>
      <c r="I95" s="10">
        <v>46175</v>
      </c>
      <c r="J95" s="10">
        <v>46175</v>
      </c>
    </row>
    <row r="96" spans="1:10" ht="14.25" customHeight="1">
      <c r="A96" s="9" t="s">
        <v>40</v>
      </c>
      <c r="B96" s="9" t="s">
        <v>426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200</v>
      </c>
      <c r="C99" s="9" t="s">
        <v>101</v>
      </c>
      <c r="D99" s="9" t="s">
        <v>103</v>
      </c>
      <c r="E99" s="9" t="s">
        <v>60</v>
      </c>
      <c r="F99" s="9"/>
      <c r="G99" s="9"/>
      <c r="H99" s="10">
        <v>46148</v>
      </c>
      <c r="I99" s="10">
        <v>46183</v>
      </c>
      <c r="J99" s="10">
        <v>46183</v>
      </c>
    </row>
    <row r="100" spans="1:10" ht="14.25" customHeight="1">
      <c r="A100" s="9" t="s">
        <v>40</v>
      </c>
      <c r="B100" s="9" t="s">
        <v>237</v>
      </c>
      <c r="C100" s="9" t="s">
        <v>101</v>
      </c>
      <c r="D100" s="9" t="s">
        <v>103</v>
      </c>
      <c r="E100" s="9" t="s">
        <v>60</v>
      </c>
      <c r="F100" s="9"/>
      <c r="G100" s="9"/>
      <c r="H100" s="10">
        <v>46183</v>
      </c>
      <c r="I100" s="10">
        <v>46195</v>
      </c>
      <c r="J100" s="10">
        <v>46195</v>
      </c>
    </row>
    <row r="101" spans="1:10" ht="14.25" customHeight="1">
      <c r="A101" s="9" t="s">
        <v>40</v>
      </c>
      <c r="B101" s="9" t="s">
        <v>426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200</v>
      </c>
      <c r="C104" s="9" t="s">
        <v>105</v>
      </c>
      <c r="D104" s="9" t="s">
        <v>103</v>
      </c>
      <c r="E104" s="9" t="s">
        <v>77</v>
      </c>
      <c r="F104" s="9"/>
      <c r="G104" s="9"/>
      <c r="H104" s="10">
        <v>46162</v>
      </c>
      <c r="I104" s="10">
        <v>46182</v>
      </c>
      <c r="J104" s="10">
        <v>46182</v>
      </c>
    </row>
    <row r="105" spans="1:10" ht="14.25" customHeight="1">
      <c r="A105" s="9" t="s">
        <v>40</v>
      </c>
      <c r="B105" s="9" t="s">
        <v>237</v>
      </c>
      <c r="C105" s="9" t="s">
        <v>105</v>
      </c>
      <c r="D105" s="9" t="s">
        <v>103</v>
      </c>
      <c r="E105" s="9" t="s">
        <v>77</v>
      </c>
      <c r="F105" s="9"/>
      <c r="G105" s="9"/>
      <c r="H105" s="10">
        <v>46182</v>
      </c>
      <c r="I105" s="10">
        <v>46198</v>
      </c>
      <c r="J105" s="10">
        <v>46198</v>
      </c>
    </row>
    <row r="106" spans="1:10" ht="14.25" customHeight="1">
      <c r="A106" s="9" t="s">
        <v>40</v>
      </c>
      <c r="B106" s="9" t="s">
        <v>426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200</v>
      </c>
      <c r="C109" s="9" t="s">
        <v>108</v>
      </c>
      <c r="D109" s="9" t="s">
        <v>44</v>
      </c>
      <c r="E109" s="9" t="s">
        <v>60</v>
      </c>
      <c r="F109" s="9"/>
      <c r="G109" s="9"/>
      <c r="H109" s="10">
        <v>46168</v>
      </c>
      <c r="I109" s="10">
        <v>46183</v>
      </c>
      <c r="J109" s="10">
        <v>46183</v>
      </c>
    </row>
    <row r="110" spans="1:10" ht="14.25" customHeight="1">
      <c r="A110" s="9" t="s">
        <v>40</v>
      </c>
      <c r="B110" s="9" t="s">
        <v>237</v>
      </c>
      <c r="C110" s="9" t="s">
        <v>108</v>
      </c>
      <c r="D110" s="9" t="s">
        <v>44</v>
      </c>
      <c r="E110" s="9" t="s">
        <v>60</v>
      </c>
      <c r="F110" s="9"/>
      <c r="G110" s="9"/>
      <c r="H110" s="10">
        <v>46183</v>
      </c>
      <c r="I110" s="10">
        <v>46198</v>
      </c>
      <c r="J110" s="10">
        <v>46198</v>
      </c>
    </row>
    <row r="111" spans="1:10" ht="14.25" customHeight="1">
      <c r="A111" s="9" t="s">
        <v>40</v>
      </c>
      <c r="B111" s="9" t="s">
        <v>426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200</v>
      </c>
      <c r="C114" s="9" t="s">
        <v>109</v>
      </c>
      <c r="D114" s="9" t="s">
        <v>44</v>
      </c>
      <c r="E114" s="9" t="s">
        <v>60</v>
      </c>
      <c r="F114" s="9"/>
      <c r="G114" s="9"/>
      <c r="H114" s="10">
        <v>46165</v>
      </c>
      <c r="I114" s="10">
        <v>46153</v>
      </c>
      <c r="J114" s="10">
        <v>46153</v>
      </c>
    </row>
    <row r="115" spans="1:10" ht="14.25" customHeight="1">
      <c r="A115" s="9" t="s">
        <v>40</v>
      </c>
      <c r="B115" s="9" t="s">
        <v>237</v>
      </c>
      <c r="C115" s="9" t="s">
        <v>109</v>
      </c>
      <c r="D115" s="9" t="s">
        <v>44</v>
      </c>
      <c r="E115" s="9" t="s">
        <v>60</v>
      </c>
      <c r="F115" s="9"/>
      <c r="G115" s="9"/>
      <c r="H115" s="10">
        <v>46153</v>
      </c>
      <c r="I115" s="10">
        <v>46154</v>
      </c>
      <c r="J115" s="10">
        <v>46154</v>
      </c>
    </row>
    <row r="116" spans="1:10" ht="14.25" customHeight="1">
      <c r="A116" s="9" t="s">
        <v>40</v>
      </c>
      <c r="B116" s="9" t="s">
        <v>426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200</v>
      </c>
      <c r="C119" s="9" t="s">
        <v>113</v>
      </c>
      <c r="D119" s="9" t="s">
        <v>59</v>
      </c>
      <c r="E119" s="9" t="s">
        <v>46</v>
      </c>
      <c r="F119" s="9"/>
      <c r="G119" s="9"/>
      <c r="H119" s="10">
        <v>46162</v>
      </c>
      <c r="I119" s="10">
        <v>46186</v>
      </c>
      <c r="J119" s="10">
        <v>46186</v>
      </c>
    </row>
    <row r="120" spans="1:10" ht="14.25" customHeight="1">
      <c r="A120" s="9" t="s">
        <v>40</v>
      </c>
      <c r="B120" s="9" t="s">
        <v>237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200</v>
      </c>
      <c r="C122" s="9" t="s">
        <v>116</v>
      </c>
      <c r="D122" s="9" t="s">
        <v>59</v>
      </c>
      <c r="E122" s="9" t="s">
        <v>77</v>
      </c>
      <c r="F122" s="9"/>
      <c r="G122" s="9"/>
      <c r="H122" s="10">
        <v>46162</v>
      </c>
      <c r="I122" s="10">
        <v>46164</v>
      </c>
      <c r="J122" s="10">
        <v>46164</v>
      </c>
    </row>
    <row r="123" spans="1:10" ht="14.25" customHeight="1">
      <c r="A123" s="9" t="s">
        <v>40</v>
      </c>
      <c r="B123" s="9" t="s">
        <v>237</v>
      </c>
      <c r="C123" s="9" t="s">
        <v>116</v>
      </c>
      <c r="D123" s="9" t="s">
        <v>59</v>
      </c>
      <c r="E123" s="9" t="s">
        <v>77</v>
      </c>
      <c r="F123" s="9"/>
      <c r="G123" s="9"/>
      <c r="H123" s="10">
        <v>46164</v>
      </c>
      <c r="I123" s="10">
        <v>46204</v>
      </c>
      <c r="J123" s="10">
        <v>46204</v>
      </c>
    </row>
    <row r="124" spans="1:10" ht="14.25" customHeight="1">
      <c r="A124" s="9" t="s">
        <v>40</v>
      </c>
      <c r="B124" s="9" t="s">
        <v>426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200</v>
      </c>
      <c r="C127" s="9" t="s">
        <v>117</v>
      </c>
      <c r="D127" s="9" t="s">
        <v>65</v>
      </c>
      <c r="E127" s="9" t="s">
        <v>60</v>
      </c>
      <c r="F127" s="9"/>
      <c r="G127" s="9"/>
      <c r="H127" s="10">
        <v>46169</v>
      </c>
      <c r="I127" s="10">
        <v>46191</v>
      </c>
      <c r="J127" s="10">
        <v>46191</v>
      </c>
    </row>
    <row r="128" spans="1:10" ht="14.25" customHeight="1">
      <c r="A128" s="9" t="s">
        <v>40</v>
      </c>
      <c r="B128" s="9" t="s">
        <v>237</v>
      </c>
      <c r="C128" s="9" t="s">
        <v>117</v>
      </c>
      <c r="D128" s="9" t="s">
        <v>65</v>
      </c>
      <c r="E128" s="9" t="s">
        <v>60</v>
      </c>
      <c r="F128" s="9"/>
      <c r="G128" s="9"/>
      <c r="H128" s="10">
        <v>46191</v>
      </c>
      <c r="I128" s="10">
        <v>46196</v>
      </c>
      <c r="J128" s="10">
        <v>46196</v>
      </c>
    </row>
    <row r="129" spans="1:10" ht="14.25" customHeight="1">
      <c r="A129" s="9" t="s">
        <v>40</v>
      </c>
      <c r="B129" s="9" t="s">
        <v>426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200</v>
      </c>
      <c r="C132" s="9" t="s">
        <v>121</v>
      </c>
      <c r="D132" s="9" t="s">
        <v>103</v>
      </c>
      <c r="E132" s="9" t="s">
        <v>77</v>
      </c>
      <c r="F132" s="9"/>
      <c r="G132" s="9"/>
      <c r="H132" s="10">
        <v>46168</v>
      </c>
      <c r="I132" s="10">
        <v>46189</v>
      </c>
      <c r="J132" s="10">
        <v>46189</v>
      </c>
    </row>
    <row r="133" spans="1:10" ht="14.25" customHeight="1">
      <c r="A133" s="9" t="s">
        <v>40</v>
      </c>
      <c r="B133" s="9" t="s">
        <v>237</v>
      </c>
      <c r="C133" s="9" t="s">
        <v>121</v>
      </c>
      <c r="D133" s="9" t="s">
        <v>103</v>
      </c>
      <c r="E133" s="9" t="s">
        <v>77</v>
      </c>
      <c r="F133" s="9"/>
      <c r="G133" s="9"/>
      <c r="H133" s="10">
        <v>46189</v>
      </c>
      <c r="I133" s="10">
        <v>46189</v>
      </c>
      <c r="J133" s="10">
        <v>46189</v>
      </c>
    </row>
    <row r="134" spans="1:10" ht="14.25" customHeight="1">
      <c r="A134" s="9" t="s">
        <v>40</v>
      </c>
      <c r="B134" s="9" t="s">
        <v>426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200</v>
      </c>
      <c r="C137" s="9" t="s">
        <v>123</v>
      </c>
      <c r="D137" s="9" t="s">
        <v>84</v>
      </c>
      <c r="E137" s="9" t="s">
        <v>77</v>
      </c>
      <c r="F137" s="9"/>
      <c r="G137" s="9"/>
      <c r="H137" s="10">
        <v>46169</v>
      </c>
      <c r="I137" s="10">
        <v>46195</v>
      </c>
      <c r="J137" s="10">
        <v>46195</v>
      </c>
    </row>
    <row r="138" spans="1:10" ht="14.25" customHeight="1">
      <c r="A138" s="9" t="s">
        <v>40</v>
      </c>
      <c r="B138" s="9" t="s">
        <v>237</v>
      </c>
      <c r="C138" s="9" t="s">
        <v>123</v>
      </c>
      <c r="D138" s="9" t="s">
        <v>84</v>
      </c>
      <c r="E138" s="9" t="s">
        <v>77</v>
      </c>
      <c r="F138" s="9"/>
      <c r="G138" s="9"/>
      <c r="H138" s="10">
        <v>46195</v>
      </c>
      <c r="I138" s="10">
        <v>46197</v>
      </c>
      <c r="J138" s="10">
        <v>46197</v>
      </c>
    </row>
    <row r="139" spans="1:10" ht="14.25" customHeight="1">
      <c r="A139" s="9" t="s">
        <v>40</v>
      </c>
      <c r="B139" s="9" t="s">
        <v>426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200</v>
      </c>
      <c r="C142" s="9" t="s">
        <v>127</v>
      </c>
      <c r="D142" s="9" t="s">
        <v>76</v>
      </c>
      <c r="E142" s="9" t="s">
        <v>60</v>
      </c>
      <c r="F142" s="9"/>
      <c r="G142" s="9" t="s">
        <v>129</v>
      </c>
      <c r="H142" s="9"/>
      <c r="I142" s="10">
        <v>46213</v>
      </c>
      <c r="J142" s="10">
        <v>46213</v>
      </c>
    </row>
    <row r="143" spans="1:10" ht="14.25" customHeight="1">
      <c r="A143" s="9" t="s">
        <v>126</v>
      </c>
      <c r="B143" s="9" t="s">
        <v>237</v>
      </c>
      <c r="C143" s="9" t="s">
        <v>127</v>
      </c>
      <c r="D143" s="9" t="s">
        <v>76</v>
      </c>
      <c r="E143" s="9" t="s">
        <v>60</v>
      </c>
      <c r="F143" s="9"/>
      <c r="G143" s="9" t="s">
        <v>129</v>
      </c>
      <c r="H143" s="10">
        <v>46213</v>
      </c>
      <c r="I143" s="10">
        <v>46223</v>
      </c>
      <c r="J143" s="10">
        <v>46223</v>
      </c>
    </row>
    <row r="144" spans="1:10" ht="14.25" customHeight="1">
      <c r="A144" s="9" t="s">
        <v>126</v>
      </c>
      <c r="B144" s="9" t="s">
        <v>257</v>
      </c>
      <c r="C144" s="9" t="s">
        <v>135</v>
      </c>
      <c r="D144" s="9" t="s">
        <v>65</v>
      </c>
      <c r="E144" s="9" t="s">
        <v>77</v>
      </c>
      <c r="F144" s="9"/>
      <c r="G144" s="9" t="s">
        <v>129</v>
      </c>
      <c r="H144" s="9"/>
      <c r="I144" s="9"/>
      <c r="J144" s="9"/>
    </row>
    <row r="145" spans="1:10" ht="14.25" customHeight="1">
      <c r="A145" s="9" t="s">
        <v>126</v>
      </c>
      <c r="B145" s="9" t="s">
        <v>200</v>
      </c>
      <c r="C145" s="9" t="s">
        <v>135</v>
      </c>
      <c r="D145" s="9" t="s">
        <v>65</v>
      </c>
      <c r="E145" s="9" t="s">
        <v>77</v>
      </c>
      <c r="F145" s="9"/>
      <c r="G145" s="9" t="s">
        <v>129</v>
      </c>
      <c r="H145" s="9"/>
      <c r="I145" s="10">
        <v>46218</v>
      </c>
      <c r="J145" s="10">
        <v>46218</v>
      </c>
    </row>
    <row r="146" spans="1:10" ht="14.25" customHeight="1">
      <c r="A146" s="9" t="s">
        <v>126</v>
      </c>
      <c r="B146" s="9" t="s">
        <v>237</v>
      </c>
      <c r="C146" s="9" t="s">
        <v>135</v>
      </c>
      <c r="D146" s="9" t="s">
        <v>65</v>
      </c>
      <c r="E146" s="9" t="s">
        <v>77</v>
      </c>
      <c r="F146" s="9"/>
      <c r="G146" s="9" t="s">
        <v>129</v>
      </c>
      <c r="H146" s="10">
        <v>46218</v>
      </c>
      <c r="I146" s="10">
        <v>46223</v>
      </c>
      <c r="J146" s="10">
        <v>46223</v>
      </c>
    </row>
    <row r="147" spans="1:10" ht="14.25" customHeight="1">
      <c r="A147" s="9" t="s">
        <v>126</v>
      </c>
      <c r="B147" s="9" t="s">
        <v>257</v>
      </c>
      <c r="C147" s="9" t="s">
        <v>137</v>
      </c>
      <c r="D147" s="9" t="s">
        <v>65</v>
      </c>
      <c r="E147" s="9" t="s">
        <v>77</v>
      </c>
      <c r="F147" s="9"/>
      <c r="G147" s="9" t="s">
        <v>129</v>
      </c>
      <c r="H147" s="9"/>
      <c r="I147" s="9"/>
      <c r="J147" s="9"/>
    </row>
    <row r="148" spans="1:10" ht="14.25" customHeight="1">
      <c r="A148" s="9" t="s">
        <v>126</v>
      </c>
      <c r="B148" s="9" t="s">
        <v>200</v>
      </c>
      <c r="C148" s="9" t="s">
        <v>137</v>
      </c>
      <c r="D148" s="9" t="s">
        <v>65</v>
      </c>
      <c r="E148" s="9" t="s">
        <v>77</v>
      </c>
      <c r="F148" s="9"/>
      <c r="G148" s="9" t="s">
        <v>129</v>
      </c>
      <c r="H148" s="9"/>
      <c r="I148" s="10">
        <v>46225</v>
      </c>
      <c r="J148" s="10">
        <v>46225</v>
      </c>
    </row>
    <row r="149" spans="1:10" ht="14.25" customHeight="1">
      <c r="A149" s="9" t="s">
        <v>126</v>
      </c>
      <c r="B149" s="9" t="s">
        <v>237</v>
      </c>
      <c r="C149" s="9" t="s">
        <v>137</v>
      </c>
      <c r="D149" s="9" t="s">
        <v>65</v>
      </c>
      <c r="E149" s="9" t="s">
        <v>77</v>
      </c>
      <c r="F149" s="9"/>
      <c r="G149" s="9" t="s">
        <v>129</v>
      </c>
      <c r="H149" s="10">
        <v>46225</v>
      </c>
      <c r="I149" s="10">
        <v>46223</v>
      </c>
      <c r="J149" s="10">
        <v>46223</v>
      </c>
    </row>
    <row r="150" spans="1:10" ht="14.25" customHeight="1">
      <c r="A150" s="9" t="s">
        <v>126</v>
      </c>
      <c r="B150" s="9" t="s">
        <v>257</v>
      </c>
      <c r="C150" s="9" t="s">
        <v>139</v>
      </c>
      <c r="D150" s="9" t="s">
        <v>59</v>
      </c>
      <c r="E150" s="9" t="s">
        <v>46</v>
      </c>
      <c r="F150" s="9"/>
      <c r="G150" s="9" t="s">
        <v>129</v>
      </c>
      <c r="H150" s="9"/>
      <c r="I150" s="9"/>
      <c r="J150" s="9"/>
    </row>
    <row r="151" spans="1:10" ht="14.25" customHeight="1">
      <c r="A151" s="9" t="s">
        <v>126</v>
      </c>
      <c r="B151" s="9" t="s">
        <v>200</v>
      </c>
      <c r="C151" s="9" t="s">
        <v>139</v>
      </c>
      <c r="D151" s="9" t="s">
        <v>59</v>
      </c>
      <c r="E151" s="9" t="s">
        <v>46</v>
      </c>
      <c r="F151" s="9"/>
      <c r="G151" s="9" t="s">
        <v>129</v>
      </c>
      <c r="H151" s="9"/>
      <c r="I151" s="10">
        <v>46227</v>
      </c>
      <c r="J151" s="10">
        <v>46227</v>
      </c>
    </row>
    <row r="152" spans="1:10" ht="14.25" customHeight="1">
      <c r="A152" s="9" t="s">
        <v>126</v>
      </c>
      <c r="B152" s="9" t="s">
        <v>237</v>
      </c>
      <c r="C152" s="9" t="s">
        <v>139</v>
      </c>
      <c r="D152" s="9" t="s">
        <v>59</v>
      </c>
      <c r="E152" s="9" t="s">
        <v>46</v>
      </c>
      <c r="F152" s="9"/>
      <c r="G152" s="9" t="s">
        <v>129</v>
      </c>
      <c r="H152" s="10">
        <v>46227</v>
      </c>
      <c r="I152" s="10">
        <v>46223</v>
      </c>
      <c r="J152" s="10">
        <v>46223</v>
      </c>
    </row>
    <row r="153" spans="1:10" ht="14.25" customHeight="1">
      <c r="A153" s="9" t="s">
        <v>126</v>
      </c>
      <c r="B153" s="9" t="s">
        <v>257</v>
      </c>
      <c r="C153" s="9" t="s">
        <v>141</v>
      </c>
      <c r="D153" s="9" t="s">
        <v>103</v>
      </c>
      <c r="E153" s="9" t="s">
        <v>77</v>
      </c>
      <c r="F153" s="9"/>
      <c r="G153" s="9" t="s">
        <v>129</v>
      </c>
      <c r="H153" s="9"/>
      <c r="I153" s="9"/>
      <c r="J153" s="9"/>
    </row>
    <row r="154" spans="1:10" ht="14.25" customHeight="1">
      <c r="A154" s="9" t="s">
        <v>126</v>
      </c>
      <c r="B154" s="9" t="s">
        <v>200</v>
      </c>
      <c r="C154" s="9" t="s">
        <v>141</v>
      </c>
      <c r="D154" s="9" t="s">
        <v>103</v>
      </c>
      <c r="E154" s="9" t="s">
        <v>77</v>
      </c>
      <c r="F154" s="9"/>
      <c r="G154" s="9" t="s">
        <v>129</v>
      </c>
      <c r="H154" s="9"/>
      <c r="I154" s="10">
        <v>46216</v>
      </c>
      <c r="J154" s="10">
        <v>46216</v>
      </c>
    </row>
    <row r="155" spans="1:10" ht="14.25" customHeight="1">
      <c r="A155" s="9" t="s">
        <v>126</v>
      </c>
      <c r="B155" s="9" t="s">
        <v>237</v>
      </c>
      <c r="C155" s="9" t="s">
        <v>141</v>
      </c>
      <c r="D155" s="9" t="s">
        <v>103</v>
      </c>
      <c r="E155" s="9" t="s">
        <v>77</v>
      </c>
      <c r="F155" s="9"/>
      <c r="G155" s="9" t="s">
        <v>129</v>
      </c>
      <c r="H155" s="10">
        <v>46216</v>
      </c>
      <c r="I155" s="10">
        <v>46225</v>
      </c>
      <c r="J155" s="10">
        <v>46225</v>
      </c>
    </row>
    <row r="156" spans="1:10" ht="14.25" customHeight="1">
      <c r="A156" s="9" t="s">
        <v>126</v>
      </c>
      <c r="B156" s="9" t="s">
        <v>257</v>
      </c>
      <c r="C156" s="9" t="s">
        <v>143</v>
      </c>
      <c r="D156" s="9" t="s">
        <v>84</v>
      </c>
      <c r="E156" s="9" t="s">
        <v>60</v>
      </c>
      <c r="F156" s="9"/>
      <c r="G156" s="9" t="s">
        <v>144</v>
      </c>
      <c r="H156" s="9"/>
      <c r="I156" s="9"/>
      <c r="J156" s="9"/>
    </row>
    <row r="157" spans="1:10">
      <c r="A157" s="3" t="s">
        <v>126</v>
      </c>
      <c r="B157" s="3" t="s">
        <v>257</v>
      </c>
      <c r="C157" s="3" t="s">
        <v>146</v>
      </c>
      <c r="D157" s="3" t="s">
        <v>65</v>
      </c>
      <c r="E157" s="3" t="s">
        <v>46</v>
      </c>
      <c r="F157" s="3"/>
      <c r="G157" s="3" t="s">
        <v>144</v>
      </c>
      <c r="H157" s="3"/>
      <c r="I157" s="3"/>
      <c r="J157" s="3"/>
    </row>
    <row r="158" spans="1:10">
      <c r="A158" s="3" t="s">
        <v>126</v>
      </c>
      <c r="B158" s="3" t="s">
        <v>257</v>
      </c>
      <c r="C158" s="3" t="s">
        <v>149</v>
      </c>
      <c r="D158" s="3" t="s">
        <v>65</v>
      </c>
      <c r="E158" s="3" t="s">
        <v>46</v>
      </c>
      <c r="F158" s="3"/>
      <c r="G158" s="3" t="s">
        <v>144</v>
      </c>
      <c r="H158" s="3"/>
      <c r="I158" s="3"/>
      <c r="J158" s="3"/>
    </row>
    <row r="159" spans="1:10">
      <c r="A159" s="3" t="s">
        <v>126</v>
      </c>
      <c r="B159" s="3" t="s">
        <v>200</v>
      </c>
      <c r="C159" s="3" t="s">
        <v>149</v>
      </c>
      <c r="D159" s="3" t="s">
        <v>65</v>
      </c>
      <c r="E159" s="3" t="s">
        <v>46</v>
      </c>
      <c r="F159" s="3"/>
      <c r="G159" s="3" t="s">
        <v>144</v>
      </c>
      <c r="H159" s="3"/>
      <c r="I159" s="4">
        <v>46221</v>
      </c>
      <c r="J159" s="4">
        <v>46221</v>
      </c>
    </row>
    <row r="160" spans="1:10">
      <c r="A160" s="3" t="s">
        <v>126</v>
      </c>
      <c r="B160" s="3" t="s">
        <v>237</v>
      </c>
      <c r="C160" s="3" t="s">
        <v>149</v>
      </c>
      <c r="D160" s="3" t="s">
        <v>65</v>
      </c>
      <c r="E160" s="3" t="s">
        <v>46</v>
      </c>
      <c r="F160" s="3"/>
      <c r="G160" s="3" t="s">
        <v>144</v>
      </c>
      <c r="H160" s="4">
        <v>46221</v>
      </c>
      <c r="I160" s="4">
        <v>46223</v>
      </c>
      <c r="J160" s="4">
        <v>46223</v>
      </c>
    </row>
    <row r="161" spans="1:10">
      <c r="A161" s="3" t="s">
        <v>126</v>
      </c>
      <c r="B161" s="3" t="s">
        <v>257</v>
      </c>
      <c r="C161" s="3" t="s">
        <v>150</v>
      </c>
      <c r="D161" s="3" t="s">
        <v>84</v>
      </c>
      <c r="E161" s="3" t="s">
        <v>60</v>
      </c>
      <c r="F161" s="3"/>
      <c r="G161" s="3" t="s">
        <v>144</v>
      </c>
      <c r="H161" s="3"/>
      <c r="I161" s="3"/>
      <c r="J161" s="3"/>
    </row>
    <row r="162" spans="1:10">
      <c r="A162" s="3" t="s">
        <v>126</v>
      </c>
      <c r="B162" s="3" t="s">
        <v>200</v>
      </c>
      <c r="C162" s="3" t="s">
        <v>150</v>
      </c>
      <c r="D162" s="3" t="s">
        <v>84</v>
      </c>
      <c r="E162" s="3" t="s">
        <v>60</v>
      </c>
      <c r="F162" s="3"/>
      <c r="G162" s="3" t="s">
        <v>144</v>
      </c>
      <c r="H162" s="3"/>
      <c r="I162" s="4">
        <v>46220</v>
      </c>
      <c r="J162" s="4">
        <v>46220</v>
      </c>
    </row>
    <row r="163" spans="1:10">
      <c r="A163" s="3" t="s">
        <v>126</v>
      </c>
      <c r="B163" s="3" t="s">
        <v>237</v>
      </c>
      <c r="C163" s="3" t="s">
        <v>150</v>
      </c>
      <c r="D163" s="3" t="s">
        <v>84</v>
      </c>
      <c r="E163" s="3" t="s">
        <v>60</v>
      </c>
      <c r="F163" s="3"/>
      <c r="G163" s="3" t="s">
        <v>144</v>
      </c>
      <c r="H163" s="4">
        <v>46220</v>
      </c>
      <c r="I163" s="4">
        <v>46223</v>
      </c>
      <c r="J163" s="4">
        <v>46223</v>
      </c>
    </row>
    <row r="164" spans="1:10">
      <c r="A164" s="3" t="s">
        <v>126</v>
      </c>
      <c r="B164" s="3" t="s">
        <v>257</v>
      </c>
      <c r="C164" s="3" t="s">
        <v>153</v>
      </c>
      <c r="D164" s="3" t="s">
        <v>155</v>
      </c>
      <c r="E164" s="3" t="s">
        <v>60</v>
      </c>
      <c r="F164" s="3"/>
      <c r="G164" s="3" t="s">
        <v>144</v>
      </c>
      <c r="H164" s="3"/>
      <c r="I164" s="3"/>
      <c r="J164" s="3"/>
    </row>
    <row r="165" spans="1:10">
      <c r="A165" s="3" t="s">
        <v>126</v>
      </c>
      <c r="B165" s="3" t="s">
        <v>200</v>
      </c>
      <c r="C165" s="3" t="s">
        <v>153</v>
      </c>
      <c r="D165" s="3" t="s">
        <v>155</v>
      </c>
      <c r="E165" s="3" t="s">
        <v>60</v>
      </c>
      <c r="F165" s="3"/>
      <c r="G165" s="3" t="s">
        <v>144</v>
      </c>
      <c r="H165" s="3"/>
      <c r="I165" s="4">
        <v>46224</v>
      </c>
      <c r="J165" s="4">
        <v>46224</v>
      </c>
    </row>
    <row r="166" spans="1:10">
      <c r="A166" s="3" t="s">
        <v>126</v>
      </c>
      <c r="B166" s="3" t="s">
        <v>237</v>
      </c>
      <c r="C166" s="3" t="s">
        <v>153</v>
      </c>
      <c r="D166" s="3" t="s">
        <v>155</v>
      </c>
      <c r="E166" s="3" t="s">
        <v>60</v>
      </c>
      <c r="F166" s="3"/>
      <c r="G166" s="3" t="s">
        <v>144</v>
      </c>
      <c r="H166" s="4">
        <v>46224</v>
      </c>
      <c r="I166" s="4">
        <v>46223</v>
      </c>
      <c r="J166" s="4">
        <v>46223</v>
      </c>
    </row>
    <row r="167" spans="1:10">
      <c r="A167" s="3" t="s">
        <v>126</v>
      </c>
      <c r="B167" s="3" t="s">
        <v>257</v>
      </c>
      <c r="C167" s="3" t="s">
        <v>156</v>
      </c>
      <c r="D167" s="3" t="s">
        <v>155</v>
      </c>
      <c r="E167" s="3" t="s">
        <v>77</v>
      </c>
      <c r="F167" s="3"/>
      <c r="G167" s="3" t="s">
        <v>144</v>
      </c>
      <c r="H167" s="3"/>
      <c r="I167" s="3"/>
      <c r="J167" s="3"/>
    </row>
    <row r="168" spans="1:10">
      <c r="A168" s="3" t="s">
        <v>126</v>
      </c>
      <c r="B168" s="3" t="s">
        <v>200</v>
      </c>
      <c r="C168" s="3" t="s">
        <v>156</v>
      </c>
      <c r="D168" s="3" t="s">
        <v>155</v>
      </c>
      <c r="E168" s="3" t="s">
        <v>77</v>
      </c>
      <c r="F168" s="3"/>
      <c r="G168" s="3" t="s">
        <v>144</v>
      </c>
      <c r="H168" s="3"/>
      <c r="I168" s="4">
        <v>46225</v>
      </c>
      <c r="J168" s="4">
        <v>46225</v>
      </c>
    </row>
    <row r="169" spans="1:10">
      <c r="A169" s="3" t="s">
        <v>126</v>
      </c>
      <c r="B169" s="3" t="s">
        <v>237</v>
      </c>
      <c r="C169" s="3" t="s">
        <v>156</v>
      </c>
      <c r="D169" s="3" t="s">
        <v>155</v>
      </c>
      <c r="E169" s="3" t="s">
        <v>77</v>
      </c>
      <c r="F169" s="3"/>
      <c r="G169" s="3" t="s">
        <v>144</v>
      </c>
      <c r="H169" s="4">
        <v>46225</v>
      </c>
      <c r="I169" s="4">
        <v>46223</v>
      </c>
      <c r="J169" s="4">
        <v>46223</v>
      </c>
    </row>
    <row r="170" spans="1:10">
      <c r="A170" s="3" t="s">
        <v>126</v>
      </c>
      <c r="B170" s="3" t="s">
        <v>257</v>
      </c>
      <c r="C170" s="3" t="s">
        <v>157</v>
      </c>
      <c r="D170" s="3" t="s">
        <v>76</v>
      </c>
      <c r="E170" s="3" t="s">
        <v>46</v>
      </c>
      <c r="F170" s="3"/>
      <c r="G170" s="3" t="s">
        <v>129</v>
      </c>
      <c r="H170" s="3"/>
      <c r="I170" s="3"/>
      <c r="J170" s="3"/>
    </row>
    <row r="171" spans="1:10">
      <c r="A171" s="3" t="s">
        <v>126</v>
      </c>
      <c r="B171" s="3" t="s">
        <v>200</v>
      </c>
      <c r="C171" s="3" t="s">
        <v>157</v>
      </c>
      <c r="D171" s="3" t="s">
        <v>76</v>
      </c>
      <c r="E171" s="3" t="s">
        <v>46</v>
      </c>
      <c r="F171" s="3"/>
      <c r="G171" s="3" t="s">
        <v>129</v>
      </c>
      <c r="H171" s="3"/>
      <c r="I171" s="4">
        <v>46226</v>
      </c>
      <c r="J171" s="4">
        <v>46226</v>
      </c>
    </row>
    <row r="172" spans="1:10">
      <c r="A172" s="3" t="s">
        <v>126</v>
      </c>
      <c r="B172" s="3" t="s">
        <v>237</v>
      </c>
      <c r="C172" s="3" t="s">
        <v>157</v>
      </c>
      <c r="D172" s="3" t="s">
        <v>76</v>
      </c>
      <c r="E172" s="3" t="s">
        <v>46</v>
      </c>
      <c r="F172" s="3"/>
      <c r="G172" s="3" t="s">
        <v>129</v>
      </c>
      <c r="H172" s="4">
        <v>46226</v>
      </c>
      <c r="I172" s="4">
        <v>46223</v>
      </c>
      <c r="J172" s="4">
        <v>46223</v>
      </c>
    </row>
    <row r="173" spans="1:10">
      <c r="A173" s="3" t="s">
        <v>126</v>
      </c>
      <c r="B173" s="3" t="s">
        <v>257</v>
      </c>
      <c r="C173" s="3" t="s">
        <v>159</v>
      </c>
      <c r="D173" s="3" t="s">
        <v>59</v>
      </c>
      <c r="E173" s="3" t="s">
        <v>60</v>
      </c>
      <c r="F173" s="3"/>
      <c r="G173" s="3" t="s">
        <v>129</v>
      </c>
      <c r="H173" s="3"/>
      <c r="I173" s="3"/>
      <c r="J173" s="3"/>
    </row>
    <row r="174" spans="1:10">
      <c r="A174" s="3" t="s">
        <v>126</v>
      </c>
      <c r="B174" s="3" t="s">
        <v>200</v>
      </c>
      <c r="C174" s="3" t="s">
        <v>159</v>
      </c>
      <c r="D174" s="3" t="s">
        <v>59</v>
      </c>
      <c r="E174" s="3" t="s">
        <v>60</v>
      </c>
      <c r="F174" s="3"/>
      <c r="G174" s="3" t="s">
        <v>129</v>
      </c>
      <c r="H174" s="3"/>
      <c r="I174" s="4">
        <v>46225</v>
      </c>
      <c r="J174" s="4">
        <v>46225</v>
      </c>
    </row>
    <row r="175" spans="1:10">
      <c r="A175" s="3" t="s">
        <v>126</v>
      </c>
      <c r="B175" s="3" t="s">
        <v>237</v>
      </c>
      <c r="C175" s="3" t="s">
        <v>159</v>
      </c>
      <c r="D175" s="3" t="s">
        <v>59</v>
      </c>
      <c r="E175" s="3" t="s">
        <v>60</v>
      </c>
      <c r="F175" s="3"/>
      <c r="G175" s="3" t="s">
        <v>129</v>
      </c>
      <c r="H175" s="4">
        <v>46225</v>
      </c>
      <c r="I175" s="4">
        <v>46223</v>
      </c>
      <c r="J175" s="4">
        <v>46223</v>
      </c>
    </row>
    <row r="176" spans="1:10">
      <c r="A176" s="3" t="s">
        <v>126</v>
      </c>
      <c r="B176" s="3" t="s">
        <v>257</v>
      </c>
      <c r="C176" s="3" t="s">
        <v>161</v>
      </c>
      <c r="D176" s="3" t="s">
        <v>76</v>
      </c>
      <c r="E176" s="3" t="s">
        <v>77</v>
      </c>
      <c r="F176" s="3"/>
      <c r="G176" s="3" t="s">
        <v>144</v>
      </c>
      <c r="H176" s="3"/>
      <c r="I176" s="3"/>
      <c r="J176" s="3"/>
    </row>
    <row r="177" spans="1:10">
      <c r="A177" s="3" t="s">
        <v>126</v>
      </c>
      <c r="B177" s="3" t="s">
        <v>200</v>
      </c>
      <c r="C177" s="3" t="s">
        <v>161</v>
      </c>
      <c r="D177" s="3" t="s">
        <v>76</v>
      </c>
      <c r="E177" s="3" t="s">
        <v>77</v>
      </c>
      <c r="F177" s="3"/>
      <c r="G177" s="3" t="s">
        <v>144</v>
      </c>
      <c r="H177" s="3"/>
      <c r="I177" s="4">
        <v>46225</v>
      </c>
      <c r="J177" s="4">
        <v>46225</v>
      </c>
    </row>
    <row r="178" spans="1:10">
      <c r="A178" s="3" t="s">
        <v>126</v>
      </c>
      <c r="B178" s="3" t="s">
        <v>237</v>
      </c>
      <c r="C178" s="3" t="s">
        <v>161</v>
      </c>
      <c r="D178" s="3" t="s">
        <v>76</v>
      </c>
      <c r="E178" s="3" t="s">
        <v>77</v>
      </c>
      <c r="F178" s="3"/>
      <c r="G178" s="3" t="s">
        <v>144</v>
      </c>
      <c r="H178" s="4">
        <v>46225</v>
      </c>
      <c r="I178" s="4">
        <v>46230</v>
      </c>
      <c r="J178" s="4">
        <v>46230</v>
      </c>
    </row>
    <row r="179" spans="1:10">
      <c r="A179" s="3" t="s">
        <v>126</v>
      </c>
      <c r="B179" s="3" t="s">
        <v>257</v>
      </c>
      <c r="C179" s="3" t="s">
        <v>164</v>
      </c>
      <c r="D179" s="3" t="s">
        <v>103</v>
      </c>
      <c r="E179" s="3"/>
      <c r="F179" s="3"/>
      <c r="G179" s="3"/>
      <c r="H179" s="3"/>
      <c r="I179" s="3"/>
      <c r="J179" s="3"/>
    </row>
    <row r="180" spans="1:10">
      <c r="A180" s="3" t="s">
        <v>126</v>
      </c>
      <c r="B180" s="3" t="s">
        <v>200</v>
      </c>
      <c r="C180" s="3" t="s">
        <v>164</v>
      </c>
      <c r="D180" s="3" t="s">
        <v>103</v>
      </c>
      <c r="E180" s="3"/>
      <c r="F180" s="3"/>
      <c r="G180" s="3"/>
      <c r="H180" s="3"/>
      <c r="I180" s="3"/>
      <c r="J180" s="3"/>
    </row>
    <row r="181" spans="1:10">
      <c r="A181" s="3" t="s">
        <v>126</v>
      </c>
      <c r="B181" s="3" t="s">
        <v>237</v>
      </c>
      <c r="C181" s="3" t="s">
        <v>164</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200</v>
      </c>
      <c r="C183" s="3" t="s">
        <v>175</v>
      </c>
      <c r="D183" s="3" t="s">
        <v>84</v>
      </c>
      <c r="E183" s="3"/>
      <c r="F183" s="3"/>
      <c r="G183" s="3"/>
      <c r="H183" s="3"/>
      <c r="I183" s="3"/>
      <c r="J183" s="3"/>
    </row>
    <row r="184" spans="1:10">
      <c r="A184" s="3" t="s">
        <v>126</v>
      </c>
      <c r="B184" s="3" t="s">
        <v>237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460</v>
      </c>
      <c r="F1" s="1" t="s">
        <v>354</v>
      </c>
      <c r="G1" s="5" t="s">
        <v>461</v>
      </c>
      <c r="H1" s="5" t="s">
        <v>20</v>
      </c>
      <c r="I1" t="s">
        <v>35</v>
      </c>
      <c r="J1" s="5" t="s">
        <v>462</v>
      </c>
      <c r="K1" s="5" t="s">
        <v>426</v>
      </c>
      <c r="L1" s="5" t="s">
        <v>371</v>
      </c>
      <c r="M1" s="1" t="s">
        <v>463</v>
      </c>
      <c r="N1" s="1" t="s">
        <v>464</v>
      </c>
      <c r="R1" t="s">
        <v>13</v>
      </c>
      <c r="T1" t="s">
        <v>465</v>
      </c>
    </row>
    <row r="2" spans="1:20" ht="13.5" customHeight="1">
      <c r="A2" s="2" t="s">
        <v>466</v>
      </c>
      <c r="B2" s="2" t="s">
        <v>467</v>
      </c>
      <c r="C2" s="2" t="s">
        <v>468</v>
      </c>
      <c r="D2" s="2" t="s">
        <v>469</v>
      </c>
      <c r="E2" s="2" t="s">
        <v>470</v>
      </c>
      <c r="F2" s="2" t="s">
        <v>471</v>
      </c>
      <c r="G2" t="s">
        <v>472</v>
      </c>
      <c r="H2" t="s">
        <v>473</v>
      </c>
      <c r="I2" t="s">
        <v>474</v>
      </c>
      <c r="J2" s="29" t="s">
        <v>475</v>
      </c>
      <c r="K2" s="29" t="s">
        <v>476</v>
      </c>
      <c r="L2" s="29" t="s">
        <v>477</v>
      </c>
      <c r="M2" t="s">
        <v>144</v>
      </c>
      <c r="N2" t="s">
        <v>478</v>
      </c>
      <c r="R2" t="s">
        <v>262</v>
      </c>
      <c r="T2" t="s">
        <v>49</v>
      </c>
    </row>
    <row r="3" spans="1:20" ht="15" customHeight="1">
      <c r="A3" t="s">
        <v>40</v>
      </c>
      <c r="B3" t="s">
        <v>44</v>
      </c>
      <c r="C3" t="s">
        <v>60</v>
      </c>
      <c r="D3" t="s">
        <v>129</v>
      </c>
      <c r="E3" t="s">
        <v>50</v>
      </c>
      <c r="F3" t="s">
        <v>253</v>
      </c>
      <c r="G3" t="s">
        <v>44</v>
      </c>
      <c r="H3" t="s">
        <v>47</v>
      </c>
      <c r="I3" t="s">
        <v>53</v>
      </c>
      <c r="J3" t="s">
        <v>257</v>
      </c>
      <c r="K3" t="s">
        <v>48</v>
      </c>
      <c r="L3" t="s">
        <v>53</v>
      </c>
      <c r="M3" t="s">
        <v>44</v>
      </c>
      <c r="N3" t="s">
        <v>479</v>
      </c>
      <c r="R3" t="s">
        <v>45</v>
      </c>
      <c r="T3" t="s">
        <v>94</v>
      </c>
    </row>
    <row r="4" spans="1:20" ht="15" customHeight="1">
      <c r="A4" t="s">
        <v>126</v>
      </c>
      <c r="B4" t="s">
        <v>59</v>
      </c>
      <c r="C4" t="s">
        <v>46</v>
      </c>
      <c r="D4" t="s">
        <v>144</v>
      </c>
      <c r="E4" t="s">
        <v>53</v>
      </c>
      <c r="F4" t="s">
        <v>257</v>
      </c>
      <c r="G4" t="s">
        <v>59</v>
      </c>
      <c r="H4" t="s">
        <v>88</v>
      </c>
      <c r="I4" t="s">
        <v>480</v>
      </c>
      <c r="J4" t="s">
        <v>200</v>
      </c>
      <c r="L4" t="s">
        <v>50</v>
      </c>
      <c r="M4" t="s">
        <v>103</v>
      </c>
      <c r="N4" t="s">
        <v>481</v>
      </c>
      <c r="R4" t="s">
        <v>250</v>
      </c>
      <c r="T4" t="s">
        <v>72</v>
      </c>
    </row>
    <row r="5" spans="1:20" ht="15" customHeight="1">
      <c r="A5" t="s">
        <v>341</v>
      </c>
      <c r="B5" t="s">
        <v>459</v>
      </c>
      <c r="C5" t="s">
        <v>77</v>
      </c>
      <c r="F5" t="s">
        <v>200</v>
      </c>
      <c r="G5" t="s">
        <v>459</v>
      </c>
      <c r="H5" t="s">
        <v>129</v>
      </c>
      <c r="I5" t="s">
        <v>259</v>
      </c>
      <c r="J5" t="s">
        <v>237</v>
      </c>
      <c r="L5" t="s">
        <v>482</v>
      </c>
      <c r="M5" t="s">
        <v>88</v>
      </c>
      <c r="N5" t="s">
        <v>483</v>
      </c>
    </row>
    <row r="6" spans="1:20" ht="15" customHeight="1">
      <c r="A6" t="s">
        <v>316</v>
      </c>
      <c r="B6" t="s">
        <v>84</v>
      </c>
      <c r="F6" t="s">
        <v>237</v>
      </c>
      <c r="G6" t="s">
        <v>84</v>
      </c>
      <c r="H6" t="s">
        <v>144</v>
      </c>
      <c r="I6" t="s">
        <v>208</v>
      </c>
      <c r="J6" t="s">
        <v>426</v>
      </c>
      <c r="M6" t="s">
        <v>48</v>
      </c>
      <c r="N6" t="s">
        <v>483</v>
      </c>
    </row>
    <row r="7" spans="1:20" ht="15" customHeight="1">
      <c r="A7" t="s">
        <v>307</v>
      </c>
      <c r="B7" t="s">
        <v>65</v>
      </c>
      <c r="F7" t="s">
        <v>426</v>
      </c>
      <c r="G7" t="s">
        <v>65</v>
      </c>
      <c r="H7" t="s">
        <v>202</v>
      </c>
      <c r="I7" t="s">
        <v>484</v>
      </c>
      <c r="M7" t="s">
        <v>129</v>
      </c>
      <c r="N7" t="s">
        <v>485</v>
      </c>
    </row>
    <row r="8" spans="1:20" ht="15" customHeight="1">
      <c r="B8" t="s">
        <v>76</v>
      </c>
      <c r="F8" t="s">
        <v>128</v>
      </c>
      <c r="G8" t="s">
        <v>76</v>
      </c>
      <c r="I8" t="s">
        <v>171</v>
      </c>
      <c r="M8" t="s">
        <v>60</v>
      </c>
      <c r="N8" t="s">
        <v>486</v>
      </c>
    </row>
    <row r="9" spans="1:20" ht="15" customHeight="1">
      <c r="B9" t="s">
        <v>103</v>
      </c>
      <c r="F9" t="s">
        <v>42</v>
      </c>
      <c r="G9" t="s">
        <v>103</v>
      </c>
      <c r="I9" t="s">
        <v>133</v>
      </c>
      <c r="M9" t="s">
        <v>155</v>
      </c>
      <c r="N9" t="s">
        <v>487</v>
      </c>
    </row>
    <row r="10" spans="1:20" ht="15" customHeight="1">
      <c r="B10" t="s">
        <v>155</v>
      </c>
      <c r="G10" t="s">
        <v>155</v>
      </c>
      <c r="I10" t="s">
        <v>488</v>
      </c>
      <c r="M10" t="s">
        <v>47</v>
      </c>
      <c r="N10" t="s">
        <v>489</v>
      </c>
    </row>
    <row r="11" spans="1:20">
      <c r="B11" t="s">
        <v>490</v>
      </c>
      <c r="G11" t="s">
        <v>60</v>
      </c>
      <c r="M11" t="s">
        <v>76</v>
      </c>
      <c r="N11" t="s">
        <v>491</v>
      </c>
    </row>
    <row r="12" spans="1:20">
      <c r="B12" t="s">
        <v>492</v>
      </c>
      <c r="G12" t="s">
        <v>46</v>
      </c>
      <c r="M12" t="s">
        <v>46</v>
      </c>
      <c r="N12" t="s">
        <v>493</v>
      </c>
    </row>
    <row r="13" spans="1:20">
      <c r="G13" t="s">
        <v>77</v>
      </c>
      <c r="M13" t="s">
        <v>77</v>
      </c>
      <c r="N13" t="s">
        <v>494</v>
      </c>
    </row>
    <row r="14" spans="1:20">
      <c r="M14" t="s">
        <v>84</v>
      </c>
      <c r="N14" t="s">
        <v>495</v>
      </c>
    </row>
    <row r="15" spans="1:20">
      <c r="M15" t="s">
        <v>59</v>
      </c>
      <c r="N15" t="s">
        <v>496</v>
      </c>
    </row>
    <row r="16" spans="1:20">
      <c r="M16" t="s">
        <v>65</v>
      </c>
      <c r="N16" t="s">
        <v>497</v>
      </c>
    </row>
    <row r="17" spans="13:14">
      <c r="M17" t="s">
        <v>459</v>
      </c>
      <c r="N17" t="s">
        <v>497</v>
      </c>
    </row>
    <row r="18" spans="13:14">
      <c r="M18" t="s">
        <v>229</v>
      </c>
      <c r="N18" t="s">
        <v>498</v>
      </c>
    </row>
    <row r="19" spans="13:14">
      <c r="M19" t="s">
        <v>202</v>
      </c>
      <c r="N19" t="s">
        <v>499</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500</v>
      </c>
      <c r="C2" s="142"/>
      <c r="D2" s="142"/>
      <c r="E2" s="142"/>
      <c r="F2" s="142"/>
      <c r="G2" s="142"/>
      <c r="H2" s="142"/>
      <c r="I2" s="142"/>
      <c r="J2" s="142"/>
      <c r="K2" s="142"/>
      <c r="L2" s="142"/>
      <c r="M2" s="224" t="str">
        <f ca="1">"As of "&amp;TEXT(TODAY(),"d mmm yyyy")&amp;". Live from Combined Delivery Data."</f>
        <v>As of 29 Oct 2026. Live from Combined Delivery Data.</v>
      </c>
      <c r="N2" s="224"/>
      <c r="O2" s="224"/>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40 of 72</v>
      </c>
      <c r="C5" s="225" t="str">
        <f>IF(C7+E7=0,"No CMS reports are blocked.","reports are blocked. "&amp;C7&amp;" are approved and waiting for a production release, "&amp;E7&amp;" are blocked in build or QA.")</f>
        <v>reports are blocked. 34 are approved and waiting for a production release, 6 are blocked in build or QA.</v>
      </c>
      <c r="D5" s="225"/>
      <c r="E5" s="225"/>
      <c r="F5" s="225"/>
      <c r="G5" s="225"/>
      <c r="H5" s="225"/>
      <c r="I5" s="225"/>
      <c r="J5" s="225"/>
      <c r="K5" s="225"/>
      <c r="L5" s="225"/>
      <c r="M5" s="225"/>
      <c r="N5" s="225"/>
      <c r="O5" s="225"/>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6" cm="1">
        <f t="array" ref="C7">COUNTIFS(cmsDom,"CMS",cmsStatus,"Ready for Release in Prod")</f>
        <v>34</v>
      </c>
      <c r="D7" s="227"/>
      <c r="E7" s="230" cm="1">
        <f t="array" ref="E7">COUNTIFS(cmsDom,"CMS",cmsBlocked,"Yes*",cmsStatus,"&lt;&gt;Ready for Release in Prod",cmsStatus,"&lt;&gt;RELEASED IN PROD")</f>
        <v>6</v>
      </c>
      <c r="F7" s="231"/>
      <c r="G7" s="232" cm="1">
        <f t="array" ref="G7">SUM(COUNTIFS(cmsDom,"CMS",cmsBlocked,"&lt;&gt;Yes*",cmsStatus,{"DB Dev","PBI Dev","QA","DPO Approval"}))</f>
        <v>17</v>
      </c>
      <c r="H7" s="233"/>
      <c r="I7" s="234" cm="1">
        <f t="array" ref="I7">COUNTIFS(cmsDom,"CMS",cmsBlocked,"&lt;&gt;Yes*",cmsStatus,"NOT STARTED")</f>
        <v>7</v>
      </c>
      <c r="J7" s="235"/>
      <c r="K7" s="236" cm="1">
        <f t="array" ref="K7">COUNTIFS(cmsDom,"CMS",cmsStatus,"RELEASED IN PROD")</f>
        <v>8</v>
      </c>
      <c r="L7" s="237"/>
      <c r="M7" s="238" t="s">
        <v>501</v>
      </c>
      <c r="N7" s="239"/>
      <c r="O7" s="240"/>
      <c r="P7" s="142"/>
      <c r="Q7" s="142"/>
      <c r="R7" s="142"/>
      <c r="S7" s="142"/>
      <c r="T7" s="142"/>
      <c r="U7" s="142"/>
      <c r="V7" s="142"/>
      <c r="W7" s="142"/>
      <c r="X7" s="142"/>
      <c r="Y7" s="142"/>
      <c r="Z7" s="142"/>
    </row>
    <row r="8" spans="1:26" ht="30" customHeight="1">
      <c r="A8" s="142"/>
      <c r="B8" s="142"/>
      <c r="C8" s="228" t="s">
        <v>502</v>
      </c>
      <c r="D8" s="229"/>
      <c r="E8" s="228" t="s">
        <v>503</v>
      </c>
      <c r="F8" s="229"/>
      <c r="G8" s="228" t="s">
        <v>504</v>
      </c>
      <c r="H8" s="229"/>
      <c r="I8" s="228" t="s">
        <v>505</v>
      </c>
      <c r="J8" s="229"/>
      <c r="K8" s="228" t="s">
        <v>506</v>
      </c>
      <c r="L8" s="229"/>
      <c r="M8" s="228"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40.</v>
      </c>
      <c r="N8" s="229"/>
      <c r="O8" s="241"/>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507</v>
      </c>
      <c r="C10" s="248" t="s">
        <v>508</v>
      </c>
      <c r="D10" s="248"/>
      <c r="E10" s="248"/>
      <c r="F10" s="248"/>
      <c r="G10" s="248"/>
      <c r="H10" s="248"/>
      <c r="I10" s="248"/>
      <c r="J10" s="248"/>
      <c r="K10" s="248"/>
      <c r="L10" s="248"/>
      <c r="M10" s="248"/>
      <c r="N10" s="248"/>
      <c r="O10" s="248"/>
      <c r="P10" s="142"/>
      <c r="Q10" s="142"/>
      <c r="R10" s="142"/>
      <c r="S10" s="142"/>
      <c r="T10" s="142"/>
      <c r="U10" s="142"/>
      <c r="V10" s="142"/>
      <c r="W10" s="142"/>
      <c r="X10" s="142"/>
      <c r="Y10" s="142"/>
      <c r="Z10" s="142"/>
    </row>
    <row r="11" spans="1:26" ht="30" customHeight="1">
      <c r="A11" s="142"/>
      <c r="B11" s="159" t="s">
        <v>509</v>
      </c>
      <c r="C11" s="156" t="s">
        <v>510</v>
      </c>
      <c r="D11" s="156" t="s">
        <v>511</v>
      </c>
      <c r="E11" s="156" t="s">
        <v>426</v>
      </c>
      <c r="F11" s="156" t="s">
        <v>237</v>
      </c>
      <c r="G11" s="156" t="s">
        <v>200</v>
      </c>
      <c r="H11" s="156" t="s">
        <v>257</v>
      </c>
      <c r="I11" s="156" t="s">
        <v>505</v>
      </c>
      <c r="J11" s="156" t="s">
        <v>512</v>
      </c>
      <c r="K11" s="156" t="s">
        <v>513</v>
      </c>
      <c r="L11" s="156" t="s">
        <v>514</v>
      </c>
      <c r="M11" s="249" t="s">
        <v>515</v>
      </c>
      <c r="N11" s="250"/>
      <c r="O11" s="251"/>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2" t="str">
        <f ca="1">IF($K12=0,"",IF($J12=$K12,"Delivered",IF($L12="","No milestone in Dim Table",IF(TODAY()&gt;$L12,TEXT(TODAY()-$L12,"0")&amp;" days past milestone, "&amp;($K12-$J12)&amp;" of "&amp;$K12&amp;" not released",TEXT($L12-TODAY(),"0")&amp;" days to milestone"&amp;IF($D12&gt;0,", "&amp;$D12&amp;" blocked","")))))</f>
        <v>50 days past milestone, 14 of 14 not released</v>
      </c>
      <c r="N12" s="253"/>
      <c r="O12" s="254"/>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12</v>
      </c>
      <c r="D13" s="167" cm="1">
        <f t="array" ref="D13">COUNTIFS(cmsDom,"CMS",cmsMonth,$B13,cmsBlocked,"Yes*",cmsStatus,"&lt;&gt;Ready for Release in Prod",cmsStatus,"&lt;&gt;RELEASED IN PROD")</f>
        <v>0</v>
      </c>
      <c r="E13" s="167" cm="1">
        <f t="array" ref="E13">COUNTIFS(cmsDom,"CMS",cmsMonth,$B13,cmsBlocked,"&lt;&gt;Yes*",cmsStatus,"DPO Approval")</f>
        <v>0</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2" t="str">
        <f ca="1">IF($K13=0,"",IF($J13=$K13,"Delivered",IF($L13="","No milestone in Dim Table",IF(TODAY()&gt;$L13,TEXT(TODAY()-$L13,"0")&amp;" days past milestone, "&amp;($K13-$J13)&amp;" of "&amp;$K13&amp;" not released",TEXT($L13-TODAY(),"0")&amp;" days to milestone"&amp;IF($D13&gt;0,", "&amp;$D13&amp;" blocked","")))))</f>
        <v>29 days past milestone, 12 of 12 not released</v>
      </c>
      <c r="N13" s="243"/>
      <c r="O13" s="244"/>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7</v>
      </c>
      <c r="D14" s="167" cm="1">
        <f t="array" ref="D14">COUNTIFS(cmsDom,"CMS",cmsMonth,$B14,cmsBlocked,"Yes*",cmsStatus,"&lt;&gt;Ready for Release in Prod",cmsStatus,"&lt;&gt;RELEASED IN PROD")</f>
        <v>2</v>
      </c>
      <c r="E14" s="167" cm="1">
        <f t="array" ref="E14">COUNTIFS(cmsDom,"CMS",cmsMonth,$B14,cmsBlocked,"&lt;&gt;Yes*",cmsStatus,"DPO Approval")</f>
        <v>0</v>
      </c>
      <c r="F14" s="167" cm="1">
        <f t="array" ref="F14">COUNTIFS(cmsDom,"CMS",cmsMonth,$B14,cmsBlocked,"&lt;&gt;Yes*",cmsStatus,"QA")</f>
        <v>0</v>
      </c>
      <c r="G14" s="167" cm="1">
        <f t="array" ref="G14">COUNTIFS(cmsDom,"CMS",cmsMonth,$B14,cmsBlocked,"&lt;&gt;Yes*",cmsStatus,"PBI Dev")</f>
        <v>0</v>
      </c>
      <c r="H14" s="167" cm="1">
        <f t="array" ref="H14">COUNTIFS(cmsDom,"CMS",cmsMonth,$B14,cmsBlocked,"&lt;&gt;Yes*",cmsStatus,"DB Dev")</f>
        <v>0</v>
      </c>
      <c r="I14" s="167" cm="1">
        <f t="array" ref="I14">COUNTIFS(cmsDom,"CMS",cmsMonth,$B14,cmsBlocked,"&lt;&gt;Yes*",cmsStatus,"NOT STARTED")</f>
        <v>0</v>
      </c>
      <c r="J14" s="167" cm="1">
        <f t="array" ref="J14">COUNTIFS(cmsDom,"CMS",cmsMonth,$B14,cmsStatus,"RELEASED IN PROD")</f>
        <v>8</v>
      </c>
      <c r="K14" s="167" cm="1">
        <f t="array" ref="K14">COUNTIFS(cmsDom,"CMS",cmsMonth,$B14)</f>
        <v>17</v>
      </c>
      <c r="L14" s="168">
        <f>_xlfn.XLOOKUP($B14&amp;" Reports",DimRebaseline[Delivery Wave],DimRebaseline[Revised Committed Milestone],"")</f>
        <v>46325</v>
      </c>
      <c r="M14" s="242" t="str">
        <f ca="1">IF($K14=0,"",IF($J14=$K14,"Delivered",IF($L14="","No milestone in Dim Table",IF(TODAY()&gt;$L14,TEXT(TODAY()-$L14,"0")&amp;" days past milestone, "&amp;($K14-$J14)&amp;" of "&amp;$K14&amp;" not released",TEXT($L14-TODAY(),"0")&amp;" days to milestone"&amp;IF($D14&gt;0,", "&amp;$D14&amp;" blocked","")))))</f>
        <v>1 days to milestone, 2 blocked</v>
      </c>
      <c r="N14" s="243"/>
      <c r="O14" s="244"/>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1</v>
      </c>
      <c r="D15" s="167" cm="1">
        <f t="array" ref="D15">COUNTIFS(cmsDom,"CMS",cmsMonth,$B15,cmsBlocked,"Yes*",cmsStatus,"&lt;&gt;Ready for Release in Prod",cmsStatus,"&lt;&gt;RELEASED IN PROD")</f>
        <v>4</v>
      </c>
      <c r="E15" s="167" cm="1">
        <f t="array" ref="E15">COUNTIFS(cmsDom,"CMS",cmsMonth,$B15,cmsBlocked,"&lt;&gt;Yes*",cmsStatus,"DPO Approval")</f>
        <v>0</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0</v>
      </c>
      <c r="I15" s="167" cm="1">
        <f t="array" ref="I15">COUNTIFS(cmsDom,"CMS",cmsMonth,$B15,cmsBlocked,"&lt;&gt;Yes*",cmsStatus,"NOT STARTED")</f>
        <v>2</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2" t="str">
        <f ca="1">IF($K15=0,"",IF($J15=$K15,"Delivered",IF($L15="","No milestone in Dim Table",IF(TODAY()&gt;$L15,TEXT(TODAY()-$L15,"0")&amp;" days past milestone, "&amp;($K15-$J15)&amp;" of "&amp;$K15&amp;" not released",TEXT($L15-TODAY(),"0")&amp;" days to milestone"&amp;IF($D15&gt;0,", "&amp;$D15&amp;" blocked","")))))</f>
        <v>32 days to milestone, 4 blocked</v>
      </c>
      <c r="N15" s="243"/>
      <c r="O15" s="244"/>
      <c r="P15" s="142"/>
      <c r="Q15" s="142"/>
      <c r="R15" s="142"/>
      <c r="S15" s="142"/>
      <c r="T15" s="142"/>
      <c r="U15" s="142"/>
      <c r="V15" s="142"/>
      <c r="W15" s="142"/>
      <c r="X15" s="142"/>
      <c r="Y15" s="142"/>
      <c r="Z15" s="142"/>
    </row>
    <row r="16" spans="1:26" ht="21.75" customHeight="1">
      <c r="A16" s="142"/>
      <c r="B16" s="163" t="s">
        <v>238</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2</v>
      </c>
      <c r="G16" s="164" cm="1">
        <f t="array" ref="G16">COUNTIFS(cmsDom,"CMS",cmsMonth,$B16,cmsBlocked,"&lt;&gt;Yes*",cmsStatus,"PBI Dev")</f>
        <v>5</v>
      </c>
      <c r="H16" s="164" cm="1">
        <f t="array" ref="H16">COUNTIFS(cmsDom,"CMS",cmsMonth,$B16,cmsBlocked,"&lt;&gt;Yes*",cmsStatus,"DB Dev")</f>
        <v>4</v>
      </c>
      <c r="I16" s="164" cm="1">
        <f t="array" ref="I16">COUNTIFS(cmsDom,"CMS",cmsMonth,$B16,cmsBlocked,"&lt;&gt;Yes*",cmsStatus,"NOT STARTED")</f>
        <v>5</v>
      </c>
      <c r="J16" s="164" cm="1">
        <f t="array" ref="J16">COUNTIFS(cmsDom,"CMS",cmsMonth,$B16,cmsStatus,"RELEASED IN PROD")</f>
        <v>0</v>
      </c>
      <c r="K16" s="164" cm="1">
        <f t="array" ref="K16">COUNTIFS(cmsDom,"CMS",cmsMonth,$B16)</f>
        <v>16</v>
      </c>
      <c r="L16" s="165">
        <f>_xlfn.XLOOKUP($B16&amp;" Reports",DimRebaseline[Delivery Wave],DimRebaseline[Revised Committed Milestone],"")</f>
        <v>46387</v>
      </c>
      <c r="M16" s="245" t="str">
        <f ca="1">IF($K16=0,"",IF($J16=$K16,"Delivered",IF($L16="","No milestone in Dim Table",IF(TODAY()&gt;$L16,TEXT(TODAY()-$L16,"0")&amp;" days past milestone, "&amp;($K16-$J16)&amp;" of "&amp;$K16&amp;" not released",TEXT($L16-TODAY(),"0")&amp;" days to milestone"&amp;IF($D16&gt;0,", "&amp;$D16&amp;" blocked","")))))</f>
        <v>63 days to milestone</v>
      </c>
      <c r="N16" s="246"/>
      <c r="O16" s="247"/>
      <c r="P16" s="142"/>
      <c r="Q16" s="142"/>
      <c r="R16" s="142"/>
      <c r="S16" s="142"/>
      <c r="T16" s="142"/>
      <c r="U16" s="142"/>
      <c r="V16" s="142"/>
      <c r="W16" s="142"/>
      <c r="X16" s="142"/>
      <c r="Y16" s="142"/>
      <c r="Z16" s="142"/>
    </row>
    <row r="17" spans="1:26" ht="24" customHeight="1">
      <c r="A17" s="142"/>
      <c r="B17" s="157" t="s">
        <v>516</v>
      </c>
      <c r="C17" s="169">
        <f t="shared" ref="C17:K17" si="0">SUM(C12:C16)</f>
        <v>34</v>
      </c>
      <c r="D17" s="169">
        <f t="shared" si="0"/>
        <v>6</v>
      </c>
      <c r="E17" s="169">
        <f t="shared" si="0"/>
        <v>0</v>
      </c>
      <c r="F17" s="169">
        <f t="shared" si="0"/>
        <v>6</v>
      </c>
      <c r="G17" s="169">
        <f t="shared" si="0"/>
        <v>7</v>
      </c>
      <c r="H17" s="169">
        <f t="shared" si="0"/>
        <v>4</v>
      </c>
      <c r="I17" s="169">
        <f t="shared" si="0"/>
        <v>7</v>
      </c>
      <c r="J17" s="169">
        <f t="shared" si="0"/>
        <v>8</v>
      </c>
      <c r="K17" s="169">
        <f t="shared" si="0"/>
        <v>72</v>
      </c>
      <c r="L17" s="158"/>
      <c r="M17" s="255" t="str">
        <f>IF(SUM(C17:J17)=K17,"","Counts do not add up to the report total")</f>
        <v/>
      </c>
      <c r="N17" s="256"/>
      <c r="O17" s="257"/>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517</v>
      </c>
      <c r="C19" s="248" t="s">
        <v>518</v>
      </c>
      <c r="D19" s="248"/>
      <c r="E19" s="248"/>
      <c r="F19" s="248"/>
      <c r="G19" s="248"/>
      <c r="H19" s="248"/>
      <c r="I19" s="248"/>
      <c r="J19" s="248"/>
      <c r="K19" s="248"/>
      <c r="L19" s="248"/>
      <c r="M19" s="248"/>
      <c r="N19" s="248"/>
      <c r="O19" s="248"/>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(40)</v>
      </c>
      <c r="C35" s="248" t="s">
        <v>519</v>
      </c>
      <c r="D35" s="248"/>
      <c r="E35" s="248"/>
      <c r="F35" s="248"/>
      <c r="G35" s="248"/>
      <c r="H35" s="248"/>
      <c r="I35" s="248"/>
      <c r="J35" s="248"/>
      <c r="K35" s="248"/>
      <c r="L35" s="248"/>
      <c r="M35" s="248"/>
      <c r="N35" s="248"/>
      <c r="O35" s="248"/>
      <c r="P35" s="142"/>
      <c r="Q35" s="142"/>
      <c r="R35" s="142"/>
      <c r="S35" s="142"/>
      <c r="T35" s="142"/>
      <c r="U35" s="142"/>
      <c r="V35" s="142"/>
      <c r="W35" s="142"/>
      <c r="X35" s="142"/>
      <c r="Y35" s="142"/>
      <c r="Z35" s="142"/>
    </row>
    <row r="36" spans="1:26" ht="21.75" customHeight="1">
      <c r="A36" s="142"/>
      <c r="B36" s="172" t="s">
        <v>520</v>
      </c>
      <c r="C36" s="170" t="s">
        <v>509</v>
      </c>
      <c r="D36" s="170" t="s">
        <v>521</v>
      </c>
      <c r="E36" s="170" t="s">
        <v>453</v>
      </c>
      <c r="F36" s="170" t="s">
        <v>522</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513</v>
      </c>
      <c r="C48" s="248"/>
      <c r="D48" s="248"/>
      <c r="E48" s="248"/>
      <c r="F48" s="248"/>
      <c r="G48" s="248"/>
      <c r="H48" s="248"/>
      <c r="I48" s="248"/>
      <c r="J48" s="248"/>
      <c r="K48" s="248"/>
      <c r="L48" s="248"/>
      <c r="M48" s="248"/>
      <c r="N48" s="248"/>
      <c r="O48" s="248"/>
      <c r="P48" s="142"/>
      <c r="Q48" s="142"/>
      <c r="R48" s="142"/>
      <c r="S48" s="142"/>
      <c r="T48" s="142"/>
      <c r="U48" s="142"/>
      <c r="V48" s="142"/>
      <c r="W48" s="142"/>
      <c r="X48" s="142"/>
      <c r="Y48" s="142"/>
      <c r="Z48" s="142"/>
    </row>
    <row r="49" spans="1:26" ht="15.75" customHeight="1">
      <c r="A49" s="142"/>
      <c r="B49" s="258"/>
      <c r="C49" s="260" t="s">
        <v>509</v>
      </c>
      <c r="D49" s="260"/>
      <c r="E49" s="260" t="s">
        <v>453</v>
      </c>
      <c r="F49" s="260"/>
      <c r="G49" s="260" t="s">
        <v>463</v>
      </c>
      <c r="H49" s="26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9"/>
      <c r="C50" s="261" t="s">
        <v>523</v>
      </c>
      <c r="D50" s="262"/>
      <c r="E50" s="261" t="s">
        <v>523</v>
      </c>
      <c r="F50" s="262"/>
      <c r="G50" s="261" t="s">
        <v>523</v>
      </c>
      <c r="H50" s="263"/>
      <c r="I50" s="264" t="str">
        <f>IF(ISTEXT(B53),"No reports match",IF(ROWS(_xlfn.ANCHORARRAY(B53))=1,"1 report","" &amp; ROWS(_xlfn.ANCHORARRAY(B53)) &amp; " reports"))</f>
        <v>No reports match</v>
      </c>
      <c r="J50" s="265"/>
      <c r="K50" s="265"/>
      <c r="L50" s="265"/>
      <c r="M50" s="265"/>
      <c r="N50" s="265"/>
      <c r="O50" s="26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520</v>
      </c>
      <c r="C52" s="179" t="s">
        <v>509</v>
      </c>
      <c r="D52" s="179" t="s">
        <v>521</v>
      </c>
      <c r="E52" s="179" t="s">
        <v>35</v>
      </c>
      <c r="F52" s="179" t="s">
        <v>524</v>
      </c>
      <c r="G52" s="179" t="s">
        <v>525</v>
      </c>
      <c r="H52" s="179" t="s">
        <v>526</v>
      </c>
      <c r="I52" s="179" t="s">
        <v>527</v>
      </c>
      <c r="J52" s="181" t="s">
        <v>528</v>
      </c>
      <c r="K52" s="181" t="s">
        <v>529</v>
      </c>
      <c r="L52" s="181" t="s">
        <v>530</v>
      </c>
      <c r="M52" s="181" t="s">
        <v>531</v>
      </c>
      <c r="N52" s="181" t="s">
        <v>532</v>
      </c>
      <c r="O52" s="179" t="s">
        <v>533</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Ready for Release in Prod</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RELEASED IN PROD</v>
      </c>
      <c r="E79" s="173" t="str">
        <v>Yes – needs DPO Approval to fix</v>
      </c>
      <c r="F79" s="173" t="str">
        <v>Rupa</v>
      </c>
      <c r="G79" s="173" t="str">
        <v>Shraddha</v>
      </c>
      <c r="H79" s="173" t="str">
        <v>Preety</v>
      </c>
      <c r="I79" s="173" t="str">
        <v>Simone Brooks</v>
      </c>
      <c r="J79" s="184">
        <v>46253</v>
      </c>
      <c r="K79" s="184">
        <v>46295</v>
      </c>
      <c r="L79" s="184" t="str">
        <v/>
      </c>
      <c r="M79" s="184">
        <v>46310</v>
      </c>
      <c r="N79" s="185">
        <v>1</v>
      </c>
      <c r="O79" s="173" t="str">
        <v>Blocked - log it on Rework Log</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PBI Dev</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No</v>
      </c>
      <c r="F81" s="173" t="str">
        <v>Sree</v>
      </c>
      <c r="G81" s="173" t="str">
        <v>Sarath</v>
      </c>
      <c r="H81" s="173" t="str">
        <v>Preety</v>
      </c>
      <c r="I81" s="173" t="str">
        <v>Oneil Lashley</v>
      </c>
      <c r="J81" s="184" t="str">
        <v/>
      </c>
      <c r="K81" s="184">
        <v>46268</v>
      </c>
      <c r="L81" s="184">
        <v>46282</v>
      </c>
      <c r="M81" s="184">
        <v>46286</v>
      </c>
      <c r="N81" s="185">
        <v>1</v>
      </c>
      <c r="O81" s="173" t="str">
        <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Ready for Release in Prod</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Ready for Release in Prod</v>
      </c>
      <c r="E86" s="173" t="str">
        <v>No</v>
      </c>
      <c r="F86" s="173" t="str">
        <v>Siddu</v>
      </c>
      <c r="G86" s="173" t="str">
        <v>Shraddha</v>
      </c>
      <c r="H86" s="173" t="str">
        <v>Olu</v>
      </c>
      <c r="I86" s="173" t="str">
        <v>Michelle Fitten</v>
      </c>
      <c r="J86" s="184">
        <v>46259</v>
      </c>
      <c r="K86" s="184">
        <v>46282</v>
      </c>
      <c r="L86" s="184">
        <v>46289</v>
      </c>
      <c r="M86" s="184" t="str">
        <v/>
      </c>
      <c r="N86" s="185">
        <v>0</v>
      </c>
      <c r="O86" s="173" t="str">
        <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RELEASED IN PROD</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Ready for Release in Prod</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RELEASED IN PROD</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Ready for Release in Prod</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Ready for Release in Prod</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RELEASED IN PROD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November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Ready for Release in Prod</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Ready for Release in Prod</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PBI Dev</v>
      </c>
      <c r="E99" s="173" t="str">
        <v/>
      </c>
      <c r="F99" s="173" t="str">
        <v>Siva</v>
      </c>
      <c r="G99" s="173" t="str">
        <v/>
      </c>
      <c r="H99" s="173" t="str">
        <v/>
      </c>
      <c r="I99" s="173" t="str">
        <v>Christina Illingworth</v>
      </c>
      <c r="J99" s="184">
        <v>46267</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DB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QA</v>
      </c>
      <c r="E103" s="182" t="str">
        <v/>
      </c>
      <c r="F103" s="173" t="str">
        <v>Rupa</v>
      </c>
      <c r="G103" s="173" t="str">
        <v>Navya</v>
      </c>
      <c r="H103" s="173" t="str">
        <v/>
      </c>
      <c r="I103" s="173" t="str">
        <v>Angela Keegan</v>
      </c>
      <c r="J103" s="184">
        <v>46266</v>
      </c>
      <c r="K103" s="184">
        <v>46317</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v>46303</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DB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PBI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DB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QA</v>
      </c>
      <c r="E108" s="173" t="str">
        <v/>
      </c>
      <c r="F108" s="173" t="str">
        <v>Rupa</v>
      </c>
      <c r="G108" s="173" t="str">
        <v>Navya</v>
      </c>
      <c r="H108" s="173" t="str">
        <v/>
      </c>
      <c r="I108" s="173" t="str">
        <v>Oneil Lashley</v>
      </c>
      <c r="J108" s="184">
        <v>46286</v>
      </c>
      <c r="K108" s="184">
        <v>46307</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DB Dev</v>
      </c>
      <c r="E111" s="173" t="str">
        <v/>
      </c>
      <c r="F111" s="173" t="str">
        <v>Siva</v>
      </c>
      <c r="G111" s="173" t="str">
        <v>Navya</v>
      </c>
      <c r="H111" s="173" t="str">
        <v/>
      </c>
      <c r="I111" s="173" t="str">
        <v>Shaunna Peters</v>
      </c>
      <c r="J111" s="184">
        <v>46282</v>
      </c>
      <c r="K111" s="184" t="str">
        <v/>
      </c>
      <c r="L111" s="184" t="str">
        <v/>
      </c>
      <c r="M111" s="184" t="str">
        <v/>
      </c>
      <c r="N111" s="185">
        <v>0</v>
      </c>
      <c r="O111" s="173" t="str">
        <v>Move status to PBI Dev</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DB Dev</v>
      </c>
      <c r="E112" s="173" t="str">
        <v/>
      </c>
      <c r="F112" s="173" t="str">
        <v>Siva</v>
      </c>
      <c r="G112" s="173" t="str">
        <v>Shraddha</v>
      </c>
      <c r="H112" s="173" t="str">
        <v/>
      </c>
      <c r="I112" s="173" t="str">
        <v>Shaunna Peters</v>
      </c>
      <c r="J112" s="184">
        <v>46315</v>
      </c>
      <c r="K112" s="184" t="str">
        <v/>
      </c>
      <c r="L112" s="184" t="str">
        <v/>
      </c>
      <c r="M112" s="184" t="str">
        <v/>
      </c>
      <c r="N112" s="185">
        <v>0</v>
      </c>
      <c r="O112" s="173" t="str">
        <v>Move status to PBI Dev</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QA</v>
      </c>
      <c r="E113" s="173" t="str">
        <v/>
      </c>
      <c r="F113" s="173" t="str">
        <v>Michael</v>
      </c>
      <c r="G113" s="173" t="str">
        <v>Shraddha</v>
      </c>
      <c r="H113" s="173" t="str">
        <v/>
      </c>
      <c r="I113" s="173" t="str">
        <v>Shaunna Peters</v>
      </c>
      <c r="J113" s="184">
        <v>46282</v>
      </c>
      <c r="K113" s="184">
        <v>46324</v>
      </c>
      <c r="L113" s="184" t="str">
        <v/>
      </c>
      <c r="M113" s="184" t="str">
        <v/>
      </c>
      <c r="N113" s="185">
        <v>0</v>
      </c>
      <c r="O113" s="173" t="str">
        <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Shubha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Shubha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PBI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Geetha</v>
      </c>
      <c r="G121" s="173" t="str">
        <v>Shraddha</v>
      </c>
      <c r="H121" s="173" t="str">
        <v/>
      </c>
      <c r="I121" s="173" t="str">
        <v>Ryan Flaherty</v>
      </c>
      <c r="J121" s="184">
        <v>46316</v>
      </c>
      <c r="K121" s="184" t="str">
        <v/>
      </c>
      <c r="L121" s="184" t="str">
        <v/>
      </c>
      <c r="M121" s="184" t="str">
        <v/>
      </c>
      <c r="N121" s="185">
        <v>0</v>
      </c>
      <c r="O121" s="173" t="str">
        <v>Move status to PBI Dev</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Geetha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v>46314</v>
      </c>
      <c r="K123" s="184" t="str">
        <v/>
      </c>
      <c r="L123" s="184" t="str">
        <v/>
      </c>
      <c r="M123" s="184" t="str">
        <v/>
      </c>
      <c r="N123" s="185">
        <v>0</v>
      </c>
      <c r="O123" s="173" t="str">
        <v>Move status to PBI Dev</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534</v>
      </c>
      <c r="C1" t="s">
        <v>535</v>
      </c>
      <c r="D1" t="s">
        <v>35</v>
      </c>
      <c r="E1" t="s">
        <v>536</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200</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426</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426</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194</v>
      </c>
      <c r="C28" t="s">
        <v>426</v>
      </c>
      <c r="D28" t="s">
        <v>53</v>
      </c>
      <c r="E28" t="str">
        <f t="shared" si="0"/>
        <v>DPO Approval</v>
      </c>
    </row>
    <row r="29" spans="1:5">
      <c r="A29" t="s">
        <v>199</v>
      </c>
      <c r="B29" t="s">
        <v>194</v>
      </c>
      <c r="C29" t="s">
        <v>426</v>
      </c>
      <c r="D29" t="s">
        <v>53</v>
      </c>
      <c r="E29" t="str">
        <f t="shared" si="0"/>
        <v>DPO Approval</v>
      </c>
    </row>
    <row r="30" spans="1:5">
      <c r="A30" t="s">
        <v>205</v>
      </c>
      <c r="B30" t="s">
        <v>194</v>
      </c>
      <c r="C30" t="s">
        <v>128</v>
      </c>
      <c r="D30" t="s">
        <v>133</v>
      </c>
      <c r="E30" t="str">
        <f t="shared" si="0"/>
        <v>Blocked in Prod</v>
      </c>
    </row>
    <row r="31" spans="1:5">
      <c r="A31" t="s">
        <v>207</v>
      </c>
      <c r="B31" t="s">
        <v>194</v>
      </c>
      <c r="C31" t="s">
        <v>200</v>
      </c>
      <c r="D31" t="s">
        <v>480</v>
      </c>
      <c r="E31" t="str">
        <f t="shared" si="0"/>
        <v>Blocked - Build/QA</v>
      </c>
    </row>
    <row r="32" spans="1:5">
      <c r="A32" t="s">
        <v>210</v>
      </c>
      <c r="B32" t="s">
        <v>194</v>
      </c>
      <c r="C32" t="s">
        <v>426</v>
      </c>
      <c r="D32" t="s">
        <v>53</v>
      </c>
      <c r="E32" t="str">
        <f t="shared" si="0"/>
        <v>DPO Approval</v>
      </c>
    </row>
    <row r="33" spans="1:5">
      <c r="A33" t="s">
        <v>211</v>
      </c>
      <c r="B33" t="s">
        <v>194</v>
      </c>
      <c r="C33" t="s">
        <v>128</v>
      </c>
      <c r="D33" t="s">
        <v>133</v>
      </c>
      <c r="E33" t="str">
        <f t="shared" si="0"/>
        <v>Blocked in Prod</v>
      </c>
    </row>
    <row r="34" spans="1:5">
      <c r="A34" t="s">
        <v>213</v>
      </c>
      <c r="B34" t="s">
        <v>194</v>
      </c>
      <c r="C34" t="s">
        <v>426</v>
      </c>
      <c r="D34" t="s">
        <v>259</v>
      </c>
      <c r="E34" t="str">
        <f t="shared" ref="E34:E65" si="1">IF(C34="Ready for Release in Prod","Blocked in Prod",IF(C34="RELEASED IN PROD","Released",IF(LEFT(D34,3)="Yes","Blocked - Build/QA",IF(C34="NOT STARTED","Not Started",C34))))</f>
        <v>Blocked - Build/QA</v>
      </c>
    </row>
    <row r="35" spans="1:5">
      <c r="A35" t="s">
        <v>216</v>
      </c>
      <c r="B35" t="s">
        <v>194</v>
      </c>
      <c r="C35" t="s">
        <v>426</v>
      </c>
      <c r="D35" t="s">
        <v>53</v>
      </c>
      <c r="E35" t="str">
        <f t="shared" si="1"/>
        <v>DPO Approval</v>
      </c>
    </row>
    <row r="36" spans="1:5">
      <c r="A36" t="s">
        <v>218</v>
      </c>
      <c r="B36" t="s">
        <v>194</v>
      </c>
      <c r="C36" t="s">
        <v>237</v>
      </c>
      <c r="D36" t="s">
        <v>53</v>
      </c>
      <c r="E36" t="str">
        <f t="shared" si="1"/>
        <v>QA</v>
      </c>
    </row>
    <row r="37" spans="1:5">
      <c r="A37" t="s">
        <v>220</v>
      </c>
      <c r="B37" t="s">
        <v>194</v>
      </c>
      <c r="C37" t="s">
        <v>237</v>
      </c>
      <c r="D37" t="s">
        <v>53</v>
      </c>
      <c r="E37" t="str">
        <f t="shared" si="1"/>
        <v>QA</v>
      </c>
    </row>
    <row r="38" spans="1:5">
      <c r="A38" t="s">
        <v>222</v>
      </c>
      <c r="B38" t="s">
        <v>194</v>
      </c>
      <c r="C38" t="s">
        <v>426</v>
      </c>
      <c r="D38" t="s">
        <v>53</v>
      </c>
      <c r="E38" t="str">
        <f t="shared" si="1"/>
        <v>DPO Approval</v>
      </c>
    </row>
    <row r="39" spans="1:5">
      <c r="A39" t="s">
        <v>223</v>
      </c>
      <c r="B39" t="s">
        <v>194</v>
      </c>
      <c r="C39" t="s">
        <v>200</v>
      </c>
      <c r="D39" t="s">
        <v>53</v>
      </c>
      <c r="E39" t="str">
        <f t="shared" si="1"/>
        <v>PBI Dev</v>
      </c>
    </row>
    <row r="40" spans="1:5">
      <c r="A40" t="s">
        <v>224</v>
      </c>
      <c r="B40" t="s">
        <v>194</v>
      </c>
      <c r="C40" t="s">
        <v>257</v>
      </c>
      <c r="D40" t="s">
        <v>53</v>
      </c>
      <c r="E40" t="str">
        <f t="shared" si="1"/>
        <v>DB Dev</v>
      </c>
    </row>
    <row r="41" spans="1:5">
      <c r="A41" t="s">
        <v>228</v>
      </c>
      <c r="B41" t="s">
        <v>194</v>
      </c>
      <c r="C41" t="s">
        <v>200</v>
      </c>
      <c r="D41" t="s">
        <v>53</v>
      </c>
      <c r="E41" t="str">
        <f t="shared" si="1"/>
        <v>PBI Dev</v>
      </c>
    </row>
    <row r="42" spans="1:5">
      <c r="A42" t="s">
        <v>233</v>
      </c>
      <c r="B42" t="s">
        <v>194</v>
      </c>
      <c r="C42" t="s">
        <v>253</v>
      </c>
      <c r="D42" t="s">
        <v>53</v>
      </c>
      <c r="E42" t="str">
        <f t="shared" si="1"/>
        <v>Not Started</v>
      </c>
    </row>
    <row r="43" spans="1:5">
      <c r="A43" t="s">
        <v>236</v>
      </c>
      <c r="B43" t="s">
        <v>194</v>
      </c>
      <c r="C43" t="s">
        <v>200</v>
      </c>
      <c r="D43" t="s">
        <v>480</v>
      </c>
      <c r="E43" t="str">
        <f t="shared" si="1"/>
        <v>Blocked - Build/QA</v>
      </c>
    </row>
    <row r="44" spans="1:5">
      <c r="A44" t="s">
        <v>240</v>
      </c>
      <c r="B44" t="s">
        <v>194</v>
      </c>
      <c r="C44" t="s">
        <v>426</v>
      </c>
      <c r="D44" t="s">
        <v>53</v>
      </c>
      <c r="E44" t="str">
        <f t="shared" si="1"/>
        <v>DPO Approval</v>
      </c>
    </row>
    <row r="45" spans="1:5">
      <c r="A45" t="s">
        <v>243</v>
      </c>
      <c r="B45" t="s">
        <v>194</v>
      </c>
      <c r="C45" t="s">
        <v>200</v>
      </c>
      <c r="D45" t="s">
        <v>53</v>
      </c>
      <c r="E45" t="str">
        <f t="shared" si="1"/>
        <v>PBI Dev</v>
      </c>
    </row>
    <row r="46" spans="1:5">
      <c r="A46" t="s">
        <v>244</v>
      </c>
      <c r="B46" t="s">
        <v>245</v>
      </c>
      <c r="C46" t="s">
        <v>237</v>
      </c>
      <c r="E46" t="str">
        <f t="shared" si="1"/>
        <v>QA</v>
      </c>
    </row>
    <row r="47" spans="1:5">
      <c r="A47" t="s">
        <v>248</v>
      </c>
      <c r="B47" t="s">
        <v>245</v>
      </c>
      <c r="C47" t="s">
        <v>200</v>
      </c>
      <c r="E47" t="str">
        <f t="shared" si="1"/>
        <v>PBI Dev</v>
      </c>
    </row>
    <row r="48" spans="1:5">
      <c r="A48" t="s">
        <v>249</v>
      </c>
      <c r="B48" t="s">
        <v>245</v>
      </c>
      <c r="C48" t="s">
        <v>253</v>
      </c>
      <c r="E48" t="str">
        <f t="shared" si="1"/>
        <v>Not Started</v>
      </c>
    </row>
    <row r="49" spans="1:5">
      <c r="A49" t="s">
        <v>252</v>
      </c>
      <c r="B49" t="s">
        <v>245</v>
      </c>
      <c r="C49" t="s">
        <v>253</v>
      </c>
      <c r="E49" t="str">
        <f t="shared" si="1"/>
        <v>Not Started</v>
      </c>
    </row>
    <row r="50" spans="1:5">
      <c r="A50" t="s">
        <v>255</v>
      </c>
      <c r="B50" t="s">
        <v>245</v>
      </c>
      <c r="C50" t="s">
        <v>253</v>
      </c>
      <c r="E50" t="str">
        <f t="shared" si="1"/>
        <v>Not Started</v>
      </c>
    </row>
    <row r="51" spans="1:5">
      <c r="A51" t="s">
        <v>256</v>
      </c>
      <c r="B51" t="s">
        <v>245</v>
      </c>
      <c r="C51" t="s">
        <v>200</v>
      </c>
      <c r="D51" t="s">
        <v>259</v>
      </c>
      <c r="E51" t="str">
        <f t="shared" si="1"/>
        <v>Blocked - Build/QA</v>
      </c>
    </row>
    <row r="52" spans="1:5">
      <c r="A52" t="s">
        <v>261</v>
      </c>
      <c r="B52" t="s">
        <v>245</v>
      </c>
      <c r="C52" t="s">
        <v>200</v>
      </c>
      <c r="E52" t="str">
        <f t="shared" si="1"/>
        <v>PBI Dev</v>
      </c>
    </row>
    <row r="53" spans="1:5">
      <c r="A53" t="s">
        <v>265</v>
      </c>
      <c r="B53" t="s">
        <v>245</v>
      </c>
      <c r="C53" t="s">
        <v>253</v>
      </c>
      <c r="E53" t="str">
        <f t="shared" si="1"/>
        <v>Not Started</v>
      </c>
    </row>
    <row r="54" spans="1:5">
      <c r="A54" t="s">
        <v>266</v>
      </c>
      <c r="B54" t="s">
        <v>245</v>
      </c>
      <c r="C54" t="s">
        <v>253</v>
      </c>
      <c r="E54" t="str">
        <f t="shared" si="1"/>
        <v>Not Started</v>
      </c>
    </row>
    <row r="55" spans="1:5">
      <c r="A55" t="s">
        <v>267</v>
      </c>
      <c r="B55" t="s">
        <v>245</v>
      </c>
      <c r="C55" t="s">
        <v>257</v>
      </c>
      <c r="E55" t="str">
        <f t="shared" si="1"/>
        <v>DB Dev</v>
      </c>
    </row>
    <row r="56" spans="1:5">
      <c r="A56" t="s">
        <v>270</v>
      </c>
      <c r="B56" t="s">
        <v>245</v>
      </c>
      <c r="C56" t="s">
        <v>200</v>
      </c>
      <c r="E56" t="str">
        <f t="shared" si="1"/>
        <v>PBI Dev</v>
      </c>
    </row>
    <row r="57" spans="1:5">
      <c r="A57" t="s">
        <v>272</v>
      </c>
      <c r="B57" t="s">
        <v>245</v>
      </c>
      <c r="C57" t="s">
        <v>200</v>
      </c>
      <c r="E57" t="str">
        <f t="shared" si="1"/>
        <v>PBI Dev</v>
      </c>
    </row>
    <row r="58" spans="1:5">
      <c r="A58" t="s">
        <v>273</v>
      </c>
      <c r="B58" t="s">
        <v>245</v>
      </c>
      <c r="C58" t="s">
        <v>253</v>
      </c>
      <c r="E58" t="str">
        <f t="shared" si="1"/>
        <v>Not Started</v>
      </c>
    </row>
    <row r="59" spans="1:5">
      <c r="A59" t="s">
        <v>276</v>
      </c>
      <c r="B59" t="s">
        <v>238</v>
      </c>
      <c r="C59" t="s">
        <v>253</v>
      </c>
      <c r="E59" t="str">
        <f t="shared" si="1"/>
        <v>Not Started</v>
      </c>
    </row>
    <row r="60" spans="1:5">
      <c r="A60" t="s">
        <v>279</v>
      </c>
      <c r="B60" t="s">
        <v>238</v>
      </c>
      <c r="C60" t="s">
        <v>253</v>
      </c>
      <c r="E60" t="str">
        <f t="shared" si="1"/>
        <v>Not Started</v>
      </c>
    </row>
    <row r="61" spans="1:5">
      <c r="A61" t="s">
        <v>280</v>
      </c>
      <c r="B61" t="s">
        <v>238</v>
      </c>
      <c r="C61" t="s">
        <v>253</v>
      </c>
      <c r="E61" t="str">
        <f t="shared" si="1"/>
        <v>Not Started</v>
      </c>
    </row>
    <row r="62" spans="1:5">
      <c r="A62" t="s">
        <v>283</v>
      </c>
      <c r="B62" t="s">
        <v>238</v>
      </c>
      <c r="C62" t="s">
        <v>253</v>
      </c>
      <c r="E62" t="str">
        <f t="shared" si="1"/>
        <v>Not Started</v>
      </c>
    </row>
    <row r="63" spans="1:5">
      <c r="A63" t="s">
        <v>284</v>
      </c>
      <c r="B63" t="s">
        <v>238</v>
      </c>
      <c r="C63" t="s">
        <v>253</v>
      </c>
      <c r="E63" t="str">
        <f t="shared" si="1"/>
        <v>Not Started</v>
      </c>
    </row>
    <row r="64" spans="1:5">
      <c r="A64" t="s">
        <v>287</v>
      </c>
      <c r="B64" t="s">
        <v>238</v>
      </c>
      <c r="C64" t="s">
        <v>253</v>
      </c>
      <c r="E64" t="str">
        <f t="shared" si="1"/>
        <v>Not Started</v>
      </c>
    </row>
    <row r="65" spans="1:5">
      <c r="A65" t="s">
        <v>289</v>
      </c>
      <c r="B65" t="s">
        <v>238</v>
      </c>
      <c r="C65" t="s">
        <v>253</v>
      </c>
      <c r="E65" t="str">
        <f t="shared" si="1"/>
        <v>Not Started</v>
      </c>
    </row>
    <row r="66" spans="1:5">
      <c r="A66" t="s">
        <v>291</v>
      </c>
      <c r="B66" t="s">
        <v>238</v>
      </c>
      <c r="C66" t="s">
        <v>253</v>
      </c>
      <c r="E66" t="str">
        <f t="shared" ref="E66:E73" si="2">IF(C66="Ready for Release in Prod","Blocked in Prod",IF(C66="RELEASED IN PROD","Released",IF(LEFT(D66,3)="Yes","Blocked - Build/QA",IF(C66="NOT STARTED","Not Started",C66))))</f>
        <v>Not Started</v>
      </c>
    </row>
    <row r="67" spans="1:5">
      <c r="A67" t="s">
        <v>293</v>
      </c>
      <c r="B67" t="s">
        <v>238</v>
      </c>
      <c r="C67" t="s">
        <v>253</v>
      </c>
      <c r="E67" t="str">
        <f t="shared" si="2"/>
        <v>Not Started</v>
      </c>
    </row>
    <row r="68" spans="1:5">
      <c r="A68" t="s">
        <v>294</v>
      </c>
      <c r="B68" t="s">
        <v>238</v>
      </c>
      <c r="C68" t="s">
        <v>253</v>
      </c>
      <c r="E68" t="str">
        <f t="shared" si="2"/>
        <v>Not Started</v>
      </c>
    </row>
    <row r="69" spans="1:5">
      <c r="A69" t="s">
        <v>297</v>
      </c>
      <c r="B69" t="s">
        <v>238</v>
      </c>
      <c r="C69" t="s">
        <v>253</v>
      </c>
      <c r="E69" t="str">
        <f t="shared" si="2"/>
        <v>Not Started</v>
      </c>
    </row>
    <row r="70" spans="1:5">
      <c r="A70" t="s">
        <v>299</v>
      </c>
      <c r="B70" t="s">
        <v>238</v>
      </c>
      <c r="C70" t="s">
        <v>253</v>
      </c>
      <c r="E70" t="str">
        <f t="shared" si="2"/>
        <v>Not Started</v>
      </c>
    </row>
    <row r="71" spans="1:5">
      <c r="A71" t="s">
        <v>301</v>
      </c>
      <c r="B71" t="s">
        <v>238</v>
      </c>
      <c r="C71" t="s">
        <v>253</v>
      </c>
      <c r="E71" t="str">
        <f t="shared" si="2"/>
        <v>Not Started</v>
      </c>
    </row>
    <row r="72" spans="1:5">
      <c r="A72" t="s">
        <v>302</v>
      </c>
      <c r="B72" t="s">
        <v>238</v>
      </c>
      <c r="C72" t="s">
        <v>253</v>
      </c>
      <c r="E72" t="str">
        <f t="shared" si="2"/>
        <v>Not Started</v>
      </c>
    </row>
    <row r="73" spans="1:5">
      <c r="A73" t="s">
        <v>305</v>
      </c>
      <c r="B73" t="s">
        <v>238</v>
      </c>
      <c r="C73" t="s">
        <v>253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537</v>
      </c>
      <c r="B1" t="s">
        <v>538</v>
      </c>
      <c r="C1" t="s">
        <v>539</v>
      </c>
    </row>
    <row r="2" spans="1:3">
      <c r="A2" t="s">
        <v>523</v>
      </c>
      <c r="B2" t="s">
        <v>523</v>
      </c>
      <c r="C2" t="s">
        <v>523</v>
      </c>
    </row>
    <row r="3" spans="1:3">
      <c r="A3" t="str" cm="1">
        <f t="array" ref="A3:A7">_xlfn.LET(_xlpm.u,_xlfn.UNIQUE(_xlfn._xlws.FILTER(cmsMonth,(cmsDom="CMS")*(cmsMonth&lt;&gt;""))),_xlfn.SORTBY(_xlpm.u,MONTH(DATEVALUE("1 "&amp;_xlpm.u&amp;" 2026"))))</f>
        <v>July</v>
      </c>
      <c r="B3" t="s">
        <v>510</v>
      </c>
      <c r="C3" t="str" cm="1">
        <f t="array" ref="C3:C18">_xlfn.LET(_xlpm.v,_xlfn.VSTACK(cmsDBDev,cmsPBIDev,cmsQA),_xlpm.d,_xlfn.VSTACK(cmsDom,cmsDom,cmsDom),_xlfn._xlws.SORT(_xlfn.UNIQUE(_xlfn._xlws.FILTER(_xlpm.v,(_xlpm.d="CMS")*(_xlpm.v&lt;&gt;"")))))</f>
        <v>Bardia</v>
      </c>
    </row>
    <row r="4" spans="1:3">
      <c r="A4" t="str">
        <v>August</v>
      </c>
      <c r="B4" t="s">
        <v>511</v>
      </c>
      <c r="C4" t="str">
        <v>Fetwi</v>
      </c>
    </row>
    <row r="5" spans="1:3">
      <c r="A5" t="str">
        <v>September</v>
      </c>
      <c r="B5" t="s">
        <v>426</v>
      </c>
      <c r="C5" t="str">
        <v>Geetha</v>
      </c>
    </row>
    <row r="6" spans="1:3">
      <c r="A6" t="str">
        <v>October</v>
      </c>
      <c r="B6" t="s">
        <v>237</v>
      </c>
      <c r="C6" t="str">
        <v>Kushal</v>
      </c>
    </row>
    <row r="7" spans="1:3">
      <c r="A7" t="str">
        <v>November</v>
      </c>
      <c r="B7" t="s">
        <v>200</v>
      </c>
      <c r="C7" t="str">
        <v>Michael</v>
      </c>
    </row>
    <row r="8" spans="1:3">
      <c r="B8" t="s">
        <v>257</v>
      </c>
      <c r="C8" t="str">
        <v>Navya</v>
      </c>
    </row>
    <row r="9" spans="1:3">
      <c r="B9" t="s">
        <v>505</v>
      </c>
      <c r="C9" t="str">
        <v>Nick</v>
      </c>
    </row>
    <row r="10" spans="1:3">
      <c r="B10" t="s">
        <v>512</v>
      </c>
      <c r="C10" t="str">
        <v>Olu</v>
      </c>
    </row>
    <row r="11" spans="1:3">
      <c r="C11" t="str">
        <v>Preety</v>
      </c>
    </row>
    <row r="12" spans="1:3">
      <c r="C12" t="str">
        <v>Rupa</v>
      </c>
    </row>
    <row r="13" spans="1:3">
      <c r="C13" t="str">
        <v>Sarath</v>
      </c>
    </row>
    <row r="14" spans="1:3">
      <c r="C14" t="str">
        <v>Shraddha</v>
      </c>
    </row>
    <row r="15" spans="1:3">
      <c r="C15" t="str">
        <v>Shubha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2026-10-29T15:23:45Z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2026-10-21T16:25:52Z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