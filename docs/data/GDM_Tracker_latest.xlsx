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66" documentId="13_ncr:1_{52745E9B-3AA1-4770-AAD3-E6166BFC13AE}" xr6:coauthVersionLast="47" xr6:coauthVersionMax="47" xr10:uidLastSave="{814EBDBB-39B2-4E2E-BE71-1D077553A93D}"/>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<sst xmlns="http://schemas.openxmlformats.org/spreadsheetml/2006/main" count="3238" uniqueCount="474">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</sst>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C64" sqref="C64"/>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9/28</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46293</v>
      </c>
      <c r="S43" s="36"/>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46302</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187</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c r="Z55" s="36"/>
      <c r="AA55" s="51">
        <v>46290</v>
      </c>
      <c r="AB55" s="36">
        <v>46290</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t="s">
        <v>129</v>
      </c>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v>46283</v>
      </c>
      <c r="Y62" s="36">
        <v>46289</v>
      </c>
      <c r="Z62" s="36"/>
      <c r="AA62" s="51">
        <v>46290</v>
      </c>
      <c r="AB62" s="36">
        <v>46295</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Move status to DPO Approval</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187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187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187</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187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187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3">
        <v>46289</v>
      </c>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187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188</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195</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209</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266</v>
      </c>
      <c r="J86" s="53" t="s">
        <v>84</v>
      </c>
      <c r="K86" s="49">
        <v>46332</v>
      </c>
      <c r="L86" s="43"/>
      <c r="M86" s="44"/>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266</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266</v>
      </c>
      <c r="J89" s="53" t="s">
        <v>227</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266</v>
      </c>
      <c r="J90" s="53" t="s">
        <v>227</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266</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266</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266</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288</v>
      </c>
      <c r="K97" s="49">
        <v>46332</v>
      </c>
      <c r="L97" s="43"/>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266</v>
      </c>
      <c r="J98" s="53" t="s">
        <v>288</v>
      </c>
      <c r="K98" s="49">
        <v>46332</v>
      </c>
      <c r="L98" s="43"/>
      <c r="M98" s="44"/>
      <c r="N98" s="44"/>
      <c r="O98" s="36" t="s">
        <v>273</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266</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296</v>
      </c>
      <c r="B101" s="31" t="s">
        <v>297</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296</v>
      </c>
      <c r="B102" s="31" t="s">
        <v>300</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296</v>
      </c>
      <c r="B103" s="31" t="s">
        <v>303</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c r="K104" s="28">
        <v>46363</v>
      </c>
      <c r="L104" s="43"/>
      <c r="M104" s="31"/>
      <c r="N104" s="31"/>
      <c r="O104" s="36" t="s">
        <v>307</v>
      </c>
      <c r="P104" s="74"/>
      <c r="Q104" s="28">
        <v>46370</v>
      </c>
      <c r="R104" s="43"/>
      <c r="S104" s="31"/>
      <c r="T104" s="68" t="s">
        <v>301</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296</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307</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307</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307</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296</v>
      </c>
      <c r="B108" s="31" t="s">
        <v>315</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c r="A6" s="42" t="s">
        <v>0</v>
      </c>
      <c r="B6" s="172" t="str">
        <f>IF($B$4="","",IFERROR(INDEX('Combined Delivery Data'!$A:$A,MATCH($B$4,'Combined Delivery Data'!$B:$B,0)),""))</f>
        <v/>
      </c>
      <c r="C6" s="176"/>
      <c r="D6" s="176"/>
      <c r="E6" s="177"/>
    </row>
    <row r="7" spans="1:5">
      <c r="A7" s="42" t="s">
        <v>333</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334</v>
      </c>
      <c r="B14" s="171" t="str">
        <f>IF($B$4="","",IFERROR(INDEX('Combined Delivery Data'!$K:$K,MATCH($B$4,'Combined Delivery Data'!$B:$B,0)),""))</f>
        <v/>
      </c>
      <c r="C14" s="176"/>
      <c r="D14" s="176"/>
      <c r="E14" s="177"/>
    </row>
    <row r="15" spans="1:5">
      <c r="A15" s="42" t="s">
        <v>335</v>
      </c>
      <c r="B15" s="171" t="str">
        <f>IF($B$4="","",IFERROR(INDEX('Combined Delivery Data'!$L:$L,MATCH($B$4,'Combined Delivery Data'!$B:$B,0)),""))</f>
        <v/>
      </c>
      <c r="C15" s="176"/>
      <c r="D15" s="176"/>
      <c r="E15" s="177"/>
    </row>
    <row r="16" spans="1:5">
      <c r="A16" s="42" t="s">
        <v>336</v>
      </c>
      <c r="B16" s="171" t="str">
        <f>IF($B$4="","",IFERROR(INDEX('Combined Delivery Data'!$M:$M,MATCH($B$4,'Combined Delivery Data'!$B:$B,0)),""))</f>
        <v/>
      </c>
      <c r="C16" s="176"/>
      <c r="D16" s="176"/>
      <c r="E16" s="177"/>
    </row>
    <row r="17" spans="1:5">
      <c r="A17" s="42" t="s">
        <v>337</v>
      </c>
      <c r="B17" s="171" t="str">
        <f>IF($B$4="","",IFERROR(INDEX('Combined Delivery Data'!$O:$O,MATCH($B$4,'Combined Delivery Data'!$B:$B,0)),""))</f>
        <v/>
      </c>
      <c r="C17" s="176"/>
      <c r="D17" s="176"/>
      <c r="E17" s="177"/>
    </row>
    <row r="18" spans="1:5">
      <c r="A18" s="42" t="s">
        <v>338</v>
      </c>
      <c r="B18" s="171" t="str">
        <f>IF($B$4="","",IFERROR(INDEX('Combined Delivery Data'!$Q:$Q,MATCH($B$4,'Combined Delivery Data'!$B:$B,0)),""))</f>
        <v/>
      </c>
      <c r="C18" s="176"/>
      <c r="D18" s="176"/>
      <c r="E18" s="177"/>
    </row>
    <row r="19" spans="1:5">
      <c r="A19" s="42" t="s">
        <v>339</v>
      </c>
      <c r="B19" s="171" t="str">
        <f>IF($B$4="","",IFERROR(INDEX('Combined Delivery Data'!$R:$R,MATCH($B$4,'Combined Delivery Data'!$B:$B,0)),""))</f>
        <v/>
      </c>
      <c r="C19" s="176"/>
      <c r="D19" s="176"/>
      <c r="E19" s="177"/>
    </row>
    <row r="20" spans="1:5">
      <c r="A20" s="42" t="s">
        <v>340</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341</v>
      </c>
      <c r="B26" s="172" t="str">
        <f>IF($B$4="","",IFERROR(INDEX('Rework Log'!$Q:$Q,MATCH($B$4,'Rework Log'!$P:$P,0)),""))</f>
        <v/>
      </c>
      <c r="C26" s="176"/>
      <c r="D26" s="176"/>
      <c r="E26" s="177"/>
    </row>
    <row r="27" spans="1:5">
      <c r="A27" s="42" t="s">
        <v>342</v>
      </c>
      <c r="B27" s="172" t="str">
        <f>IF($B$4="","",IFERROR(INDEX('Rework Log'!$R:$R,MATCH($B$4,'Rework Log'!$P:$P,0)),""))</f>
        <v/>
      </c>
      <c r="C27" s="176"/>
      <c r="D27" s="176"/>
      <c r="E27" s="177"/>
    </row>
    <row r="28" spans="1:5">
      <c r="A28" s="42" t="s">
        <v>343</v>
      </c>
      <c r="B28" s="172" t="str">
        <f>IF($B$4="","",IFERROR(INDEX('Rework Log'!$S:$S,MATCH($B$4,'Rework Log'!$P:$P,0)),""))</f>
        <v/>
      </c>
      <c r="C28" s="176"/>
      <c r="D28" s="176"/>
      <c r="E28" s="177"/>
    </row>
    <row r="29" spans="1:5">
      <c r="A29" s="42" t="s">
        <v>344</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F37" activePane="bottomLeft" state="frozen"/>
      <selection pane="bottomLeft" activeCell="I44" sqref="I44"/>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79" t="s">
        <v>346</v>
      </c>
      <c r="Q1" s="179"/>
      <c r="R1" s="179"/>
      <c r="S1" s="179"/>
      <c r="T1" s="179"/>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187</v>
      </c>
      <c r="D3" s="33" t="s">
        <v>258</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187</v>
      </c>
      <c r="D4" s="31" t="s">
        <v>258</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187</v>
      </c>
      <c r="D5" s="31" t="s">
        <v>258</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187</v>
      </c>
      <c r="D6" s="31" t="s">
        <v>258</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187</v>
      </c>
      <c r="D7" s="31" t="s">
        <v>258</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187</v>
      </c>
      <c r="D8" s="31" t="s">
        <v>258</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187</v>
      </c>
      <c r="D9" s="31" t="s">
        <v>258</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187</v>
      </c>
      <c r="D10" s="31" t="s">
        <v>258</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187</v>
      </c>
      <c r="D11" s="31" t="s">
        <v>258</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187</v>
      </c>
      <c r="D12" s="31" t="s">
        <v>258</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187</v>
      </c>
      <c r="D13" s="31" t="s">
        <v>258</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187</v>
      </c>
      <c r="D16" s="31" t="s">
        <v>258</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187</v>
      </c>
      <c r="D17" s="31" t="s">
        <v>164</v>
      </c>
      <c r="E17" s="31" t="s">
        <v>143</v>
      </c>
      <c r="F17" s="31" t="s">
        <v>375</v>
      </c>
      <c r="G17" s="31" t="s">
        <v>50</v>
      </c>
      <c r="H17" s="32" t="s">
        <v>46</v>
      </c>
      <c r="I17" s="32"/>
      <c r="J17" s="32"/>
      <c r="K17" s="31"/>
      <c r="L17" s="31"/>
      <c r="M17" s="3"/>
      <c r="S17" s="28"/>
    </row>
    <row r="18" spans="1:20">
      <c r="A18" s="33" t="s">
        <v>181</v>
      </c>
      <c r="B18" s="32">
        <v>46261</v>
      </c>
      <c r="C18" s="31" t="s">
        <v>187</v>
      </c>
      <c r="D18" s="31" t="s">
        <v>258</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187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187</v>
      </c>
      <c r="D21" s="31" t="s">
        <v>258</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187</v>
      </c>
      <c r="D22" s="31" t="s">
        <v>258</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187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187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187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187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23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187</v>
      </c>
      <c r="D27" s="31" t="s">
        <v>258</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187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187</v>
      </c>
      <c r="D31" s="31" t="s">
        <v>258</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187</v>
      </c>
      <c r="D32" s="31" t="s">
        <v>258</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187</v>
      </c>
      <c r="D33" s="31" t="s">
        <v>258</v>
      </c>
      <c r="E33" s="31" t="s">
        <v>200</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187</v>
      </c>
      <c r="D34" s="31" t="s">
        <v>258</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187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187</v>
      </c>
      <c r="D36" s="31" t="s">
        <v>258</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187</v>
      </c>
      <c r="D37" s="31" t="s">
        <v>258</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187</v>
      </c>
      <c r="D38" s="31" t="s">
        <v>258</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187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187</v>
      </c>
      <c r="D40" s="31" t="s">
        <v>258</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187</v>
      </c>
      <c r="D41" s="31" t="s">
        <v>164</v>
      </c>
      <c r="E41" s="31" t="s">
        <v>200</v>
      </c>
      <c r="F41" s="31" t="s">
        <v>403</v>
      </c>
      <c r="G41" s="31" t="s">
        <v>50</v>
      </c>
      <c r="H41" s="32" t="s">
        <v>46</v>
      </c>
      <c r="I41" s="32"/>
      <c r="J41" s="32"/>
      <c r="K41" s="31"/>
      <c r="L41" s="31"/>
      <c r="M41" s="3" t="str">
        <f t="shared" ca="1" si="4"/>
        <v>UNCLAIMED 9 d</v>
      </c>
      <c r="P41" t="str">
        <f>'Combined Delivery Data'!B41</f>
        <v>RPT_02_GRO Control</v>
      </c>
      <c r="Q41">
        <f t="shared" si="5"/>
        <v>0</v>
      </c>
      <c r="R41">
        <f t="shared" si="6"/>
        <v>0</v>
      </c>
      <c r="S41" s="28" t="str">
        <f t="shared" si="7"/>
        <v/>
      </c>
      <c r="T41" t="str">
        <f t="shared" si="8"/>
        <v/>
      </c>
    </row>
    <row r="42" spans="1:20" hidden="1">
      <c r="A42" s="31" t="s">
        <v>210</v>
      </c>
      <c r="B42" s="32">
        <v>46282</v>
      </c>
      <c r="C42" s="31" t="s">
        <v>187</v>
      </c>
      <c r="D42" s="31" t="s">
        <v>258</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187</v>
      </c>
      <c r="D43" s="31" t="s">
        <v>258</v>
      </c>
      <c r="E43" s="31" t="s">
        <v>129</v>
      </c>
      <c r="F43" s="31" t="s">
        <v>406</v>
      </c>
      <c r="G43" s="31" t="s">
        <v>53</v>
      </c>
      <c r="H43" s="32"/>
      <c r="I43" s="32"/>
      <c r="J43" s="32"/>
      <c r="K43" s="31"/>
      <c r="L43" s="31"/>
      <c r="M43" s="3" t="str">
        <f t="shared" ca="1" si="4"/>
        <v>UNCLAIMED 3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c r="I44" s="32">
        <v>46293</v>
      </c>
      <c r="J44" s="32"/>
      <c r="K44" s="31"/>
      <c r="L44" s="31"/>
      <c r="M44" s="3" t="str">
        <f t="shared" ca="1" si="4"/>
        <v>Open 2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187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187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187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187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187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187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187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187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187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187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187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187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187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187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187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187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187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187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187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187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187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187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187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187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187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187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187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187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187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187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187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187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187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187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187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187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187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187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187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187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187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187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187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187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187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187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187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187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187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187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187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187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187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187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187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187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187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187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187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187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187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187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187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187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187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187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187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187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187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187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187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187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187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187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187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187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187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187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187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187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187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187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187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187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187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187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187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187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187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187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187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187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187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187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187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187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187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187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187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187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187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187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187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187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187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187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187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187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187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408</v>
      </c>
      <c r="B1" s="175"/>
      <c r="C1" s="175"/>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425</v>
      </c>
      <c r="B1" s="175"/>
      <c r="C1" s="175"/>
      <c r="D1" s="175"/>
      <c r="E1" s="175"/>
      <c r="F1" s="175"/>
      <c r="G1" s="175"/>
      <c r="H1" s="175"/>
      <c r="I1" s="175"/>
      <c r="J1" s="175"/>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187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187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187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187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187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187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187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187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187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187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258</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187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258</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187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187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187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187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187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187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187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187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187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187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187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187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187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187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187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187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187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187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187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187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187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187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187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187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187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187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187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187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187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187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187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452</v>
      </c>
      <c r="R3" t="s">
        <v>45</v>
      </c>
      <c r="T3" t="s">
        <v>94</v>
      </c>
    </row>
    <row r="4" spans="1:20" ht="15" customHeight="1">
      <c r="A4" t="s">
        <v>126</v>
      </c>
      <c r="B4" t="s">
        <v>59</v>
      </c>
      <c r="C4" t="s">
        <v>46</v>
      </c>
      <c r="D4" t="s">
        <v>143</v>
      </c>
      <c r="E4" t="s">
        <v>53</v>
      </c>
      <c r="F4" t="s">
        <v>258</v>
      </c>
      <c r="G4" t="s">
        <v>59</v>
      </c>
      <c r="H4" t="s">
        <v>88</v>
      </c>
      <c r="I4" t="s">
        <v>206</v>
      </c>
      <c r="J4" t="s">
        <v>164</v>
      </c>
      <c r="L4" t="s">
        <v>50</v>
      </c>
      <c r="M4" t="s">
        <v>103</v>
      </c>
      <c r="N4" t="s">
        <v>453</v>
      </c>
      <c r="R4" t="s">
        <v>454</v>
      </c>
      <c r="T4" t="s">
        <v>72</v>
      </c>
    </row>
    <row r="5" spans="1:20" ht="15" customHeight="1">
      <c r="A5" t="s">
        <v>423</v>
      </c>
      <c r="B5" t="s">
        <v>432</v>
      </c>
      <c r="C5" t="s">
        <v>77</v>
      </c>
      <c r="F5" t="s">
        <v>164</v>
      </c>
      <c r="G5" t="s">
        <v>432</v>
      </c>
      <c r="H5" t="s">
        <v>129</v>
      </c>
      <c r="I5" t="s">
        <v>214</v>
      </c>
      <c r="J5" t="s">
        <v>187</v>
      </c>
      <c r="L5" t="s">
        <v>455</v>
      </c>
      <c r="M5" t="s">
        <v>88</v>
      </c>
      <c r="N5" t="s">
        <v>456</v>
      </c>
    </row>
    <row r="6" spans="1:20" ht="15" customHeight="1">
      <c r="A6" t="s">
        <v>305</v>
      </c>
      <c r="B6" t="s">
        <v>84</v>
      </c>
      <c r="F6" t="s">
        <v>187</v>
      </c>
      <c r="G6" t="s">
        <v>84</v>
      </c>
      <c r="H6" t="s">
        <v>143</v>
      </c>
      <c r="I6" t="s">
        <v>168</v>
      </c>
      <c r="J6" t="s">
        <v>182</v>
      </c>
      <c r="M6" t="s">
        <v>48</v>
      </c>
      <c r="N6" t="s">
        <v>456</v>
      </c>
    </row>
    <row r="7" spans="1:20" ht="15" customHeight="1">
      <c r="A7" t="s">
        <v>296</v>
      </c>
      <c r="B7" t="s">
        <v>65</v>
      </c>
      <c r="F7" t="s">
        <v>182</v>
      </c>
      <c r="G7" t="s">
        <v>65</v>
      </c>
      <c r="H7" t="s">
        <v>200</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227</v>
      </c>
      <c r="N18" t="s">
        <v>472</v>
      </c>
    </row>
    <row r="19" spans="13:14">
      <c r="M19" t="s">
        <v>200</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Preety Jha</cp:lastModifiedBy>
  <cp:revision>0</cp:revision>
  <dcterms:created xsi:type="dcterms:W3CDTF">2026-07-21T14:32:59Z</dcterms:created>
  <dcterms:modified xsi:type="dcterms:W3CDTF">2026-09-25T13:28:21Z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