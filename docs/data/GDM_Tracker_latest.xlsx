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09" documentId="13_ncr:1_{52745E9B-3AA1-4770-AAD3-E6166BFC13AE}" xr6:coauthVersionLast="47" xr6:coauthVersionMax="47" xr10:uidLastSave="{8CA5BB4C-0E85-4608-B254-4717DF5F7E83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<sst xmlns="http://schemas.openxmlformats.org/spreadsheetml/2006/main" count="2936" uniqueCount="412">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</sst>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/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E75" activePane="topRight" state="frozen"/>
      <selection pane="topRight" activeCell="O77" sqref="O7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241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242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243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243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243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101:AD526 W46:AK46 W45:AJ45 W42:AJ42 W4:AK41 W48:AK72 G43:V73 A2:F115 A74:AG100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N19" sqref="N19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368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369</v>
      </c>
      <c r="G20" s="31" t="s">
        <v>52</v>
      </c>
      <c r="H20" s="32"/>
      <c r="I20" s="32"/>
      <c r="J20" s="32"/>
      <c r="K20" s="31"/>
      <c r="L20" s="31"/>
      <c r="M20" s="3" t="str">
        <f t="shared" ca="1" si="0"/>
        <v>UNCLAIMED 0 d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370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0 d</v>
      </c>
      <c r="N21" t="s">
        <v>49</v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1</v>
      </c>
      <c r="R48">
        <f>IF($P48="","",SUMPRODUCT(($A$3:$A$500=$P48)*($G$3:$G$500&lt;&gt;"Yes")*($G$3:$G$500&lt;&gt;"Did not pass re-test")))</f>
        <v>1</v>
      </c>
      <c r="S48" s="28">
        <f>IF($P48="","",IF(SUMPRODUCT(MAX(($A$3:$A$500=$P48)*ROW($A$3:$A$500)))=0,"",INDEX($B:$B,SUMPRODUCT(MAX(($A$3:$A$500=$P48)*ROW($A$3:$A$500))))))</f>
        <v>46265</v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>QA -&gt; DB Dev</v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479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479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479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479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479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479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479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479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479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479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479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479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479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479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479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479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479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479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479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479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479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479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479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479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479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479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479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479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479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479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479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479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479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479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479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479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479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479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479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479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479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479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479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479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479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479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479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479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479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479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479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479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479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479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479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479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479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479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479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479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479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479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479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479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479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479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479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479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479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479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479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479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479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479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479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479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479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479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479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479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479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479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479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479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479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479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479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479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479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479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479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479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479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479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479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479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479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479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479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479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479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479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479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479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479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479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479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479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479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479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479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479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479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479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479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479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479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479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479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479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479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479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479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479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479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479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479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479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479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479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479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479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479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479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479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479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479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479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479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479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479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479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479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479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479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479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479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479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479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479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479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479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479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479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479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479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479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479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479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479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479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479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479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479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479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479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479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479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479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479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479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479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479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479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479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479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479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479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479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479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479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479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479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479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479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479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479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479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479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479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479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479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479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479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479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479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479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479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479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479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479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479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479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479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479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479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479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479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479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479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479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479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479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479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479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479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479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479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479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479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479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479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479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479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479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479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479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479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479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479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479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479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479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479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479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479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479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479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479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479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479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479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479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479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479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479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479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479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479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479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479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479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479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479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479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479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479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479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479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479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479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479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479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479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479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479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479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479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479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479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479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479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479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479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479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479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479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479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479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479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479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479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479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479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479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479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479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479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479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479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479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479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479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479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479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479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479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479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479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479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479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479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479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479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479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479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479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479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479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479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479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479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479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479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479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479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479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479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479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479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479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479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479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479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479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479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479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479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479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479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479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479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479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479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479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479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479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479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479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479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479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479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479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479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479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479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479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479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479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479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479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479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479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479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479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479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479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479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479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479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479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479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479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479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479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479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479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479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479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479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479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479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479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479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479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479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479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479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479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479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479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479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479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479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479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479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479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479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479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479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479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479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479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479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479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479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479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479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479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479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479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479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479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479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479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479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479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479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479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479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371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372</v>
      </c>
      <c r="C2" s="8" t="s">
        <v>1</v>
      </c>
      <c r="D2" s="8" t="s">
        <v>373</v>
      </c>
      <c r="E2" s="8" t="s">
        <v>374</v>
      </c>
      <c r="F2" s="8" t="s">
        <v>6</v>
      </c>
      <c r="G2" s="8" t="s">
        <v>5</v>
      </c>
      <c r="H2" s="8" t="s">
        <v>375</v>
      </c>
      <c r="I2" s="8" t="s">
        <v>376</v>
      </c>
      <c r="J2" s="8" t="s">
        <v>377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378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378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378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378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378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379</v>
      </c>
      <c r="B1" s="103"/>
      <c r="C1" s="103"/>
    </row>
    <row r="2" spans="1:3" ht="14.25" customHeight="1">
      <c r="A2" s="8" t="s">
        <v>0</v>
      </c>
      <c r="B2" s="8" t="s">
        <v>380</v>
      </c>
      <c r="C2" s="8" t="s">
        <v>376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381</v>
      </c>
      <c r="B11" s="11">
        <v>18</v>
      </c>
      <c r="C11" s="12">
        <v>46386</v>
      </c>
    </row>
    <row r="12" spans="1:3" ht="14.25" customHeight="1">
      <c r="A12" s="11" t="s">
        <v>381</v>
      </c>
      <c r="B12" s="11">
        <v>18</v>
      </c>
      <c r="C12" s="12">
        <v>46417</v>
      </c>
    </row>
    <row r="13" spans="1:3" ht="14.25" customHeight="1">
      <c r="A13" s="11" t="s">
        <v>381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382</v>
      </c>
      <c r="F1" s="1" t="s">
        <v>323</v>
      </c>
      <c r="G1" s="5" t="s">
        <v>383</v>
      </c>
      <c r="H1" s="5" t="s">
        <v>20</v>
      </c>
      <c r="I1" t="s">
        <v>34</v>
      </c>
      <c r="J1" s="5" t="s">
        <v>384</v>
      </c>
      <c r="K1" s="5" t="s">
        <v>128</v>
      </c>
      <c r="L1" s="5" t="s">
        <v>342</v>
      </c>
      <c r="M1" s="1" t="s">
        <v>385</v>
      </c>
      <c r="N1" s="1" t="s">
        <v>386</v>
      </c>
      <c r="R1" t="s">
        <v>13</v>
      </c>
      <c r="T1" t="s">
        <v>387</v>
      </c>
    </row>
    <row r="2" spans="1:20" ht="13.5" customHeight="1">
      <c r="A2" s="2" t="s">
        <v>388</v>
      </c>
      <c r="B2" s="2" t="s">
        <v>389</v>
      </c>
      <c r="C2" s="2" t="s">
        <v>390</v>
      </c>
      <c r="D2" s="2" t="s">
        <v>391</v>
      </c>
      <c r="E2" s="2" t="s">
        <v>392</v>
      </c>
      <c r="F2" s="2" t="s">
        <v>393</v>
      </c>
      <c r="G2" t="s">
        <v>394</v>
      </c>
      <c r="H2" t="s">
        <v>395</v>
      </c>
      <c r="I2" t="s">
        <v>396</v>
      </c>
      <c r="J2" s="29" t="s">
        <v>397</v>
      </c>
      <c r="K2" s="29" t="s">
        <v>398</v>
      </c>
      <c r="L2" s="29" t="s">
        <v>399</v>
      </c>
      <c r="M2" t="s">
        <v>146</v>
      </c>
      <c r="N2" s="45" t="s">
        <v>400</v>
      </c>
      <c r="R2" t="s">
        <v>401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402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403</v>
      </c>
      <c r="J4" t="s">
        <v>178</v>
      </c>
      <c r="L4" t="s">
        <v>49</v>
      </c>
      <c r="M4" t="s">
        <v>102</v>
      </c>
      <c r="N4" s="45" t="s">
        <v>402</v>
      </c>
      <c r="R4" t="s">
        <v>193</v>
      </c>
      <c r="T4" t="s">
        <v>71</v>
      </c>
    </row>
    <row r="5" spans="1:20" ht="15" customHeight="1">
      <c r="A5" t="s">
        <v>381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404</v>
      </c>
      <c r="J5" t="s">
        <v>140</v>
      </c>
      <c r="L5" t="s">
        <v>405</v>
      </c>
      <c r="M5" t="s">
        <v>87</v>
      </c>
      <c r="N5" s="45" t="s">
        <v>402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402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406</v>
      </c>
      <c r="M7" t="s">
        <v>129</v>
      </c>
      <c r="N7" s="45" t="s">
        <v>402</v>
      </c>
    </row>
    <row r="8" spans="1:20" ht="15" customHeight="1">
      <c r="B8" t="s">
        <v>75</v>
      </c>
      <c r="F8" t="s">
        <v>41</v>
      </c>
      <c r="G8" t="s">
        <v>75</v>
      </c>
      <c r="I8" t="s">
        <v>407</v>
      </c>
      <c r="M8" t="s">
        <v>59</v>
      </c>
      <c r="N8" s="45" t="s">
        <v>402</v>
      </c>
    </row>
    <row r="9" spans="1:20" ht="15" customHeight="1">
      <c r="B9" t="s">
        <v>102</v>
      </c>
      <c r="G9" t="s">
        <v>102</v>
      </c>
      <c r="I9" t="s">
        <v>408</v>
      </c>
      <c r="M9" t="s">
        <v>158</v>
      </c>
      <c r="N9" s="45" t="s">
        <v>402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402</v>
      </c>
    </row>
    <row r="11" spans="1:20">
      <c r="B11" t="s">
        <v>409</v>
      </c>
      <c r="G11" t="s">
        <v>59</v>
      </c>
      <c r="M11" t="s">
        <v>75</v>
      </c>
      <c r="N11" s="45" t="s">
        <v>402</v>
      </c>
    </row>
    <row r="12" spans="1:20">
      <c r="B12" t="s">
        <v>410</v>
      </c>
      <c r="G12" t="s">
        <v>45</v>
      </c>
      <c r="M12" t="s">
        <v>45</v>
      </c>
      <c r="N12" s="45" t="s">
        <v>402</v>
      </c>
    </row>
    <row r="13" spans="1:20">
      <c r="G13" t="s">
        <v>76</v>
      </c>
      <c r="M13" t="s">
        <v>76</v>
      </c>
      <c r="N13" s="45" t="s">
        <v>402</v>
      </c>
    </row>
    <row r="14" spans="1:20">
      <c r="M14" t="s">
        <v>83</v>
      </c>
      <c r="N14" s="45" t="s">
        <v>411</v>
      </c>
    </row>
    <row r="15" spans="1:20">
      <c r="M15" t="s">
        <v>58</v>
      </c>
      <c r="N15" s="45" t="s">
        <v>402</v>
      </c>
    </row>
    <row r="16" spans="1:20">
      <c r="M16" t="s">
        <v>117</v>
      </c>
      <c r="N16" s="45" t="s">
        <v>402</v>
      </c>
    </row>
    <row r="17" spans="13:14">
      <c r="M17" t="s">
        <v>64</v>
      </c>
      <c r="N17" s="45" t="s">
        <v>402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2026-08-31T16:45:20Z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