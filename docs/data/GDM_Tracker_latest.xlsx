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460" documentId="13_ncr:1_{52745E9B-3AA1-4770-AAD3-E6166BFC13AE}" xr6:coauthVersionLast="47" xr6:coauthVersionMax="47" xr10:uidLastSave="{28D416CA-F2F1-4C6B-B2A9-675877F0D679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O115" i="2" a="1"/>
  <c r="AO115" i="2" s="1"/>
  <c r="AO114" i="2" a="1"/>
  <c r="AO114" i="2" s="1"/>
  <c r="AO113" i="2" a="1"/>
  <c r="AO113" i="2" s="1"/>
  <c r="AO112" i="2" a="1"/>
  <c r="AO112" i="2" s="1"/>
  <c r="AO111" i="2" a="1"/>
  <c r="AO111" i="2" s="1"/>
  <c r="AO110" i="2" a="1"/>
  <c r="AO110" i="2" s="1"/>
  <c r="AO109" i="2" a="1"/>
  <c r="AO109" i="2" s="1"/>
  <c r="AO108" i="2" a="1"/>
  <c r="AO108" i="2" s="1"/>
  <c r="AO107" i="2" a="1"/>
  <c r="AO107" i="2" s="1"/>
  <c r="AO106" i="2" a="1"/>
  <c r="AO106" i="2" s="1"/>
  <c r="AO105" i="2" a="1"/>
  <c r="AO105" i="2" s="1"/>
  <c r="AO104" i="2" a="1"/>
  <c r="AO104" i="2" s="1"/>
  <c r="AO103" i="2" a="1"/>
  <c r="AO103" i="2" s="1"/>
  <c r="AO102" i="2" a="1"/>
  <c r="AO102" i="2" s="1"/>
  <c r="AO101" i="2" a="1"/>
  <c r="AO101" i="2" s="1"/>
  <c r="AO100" i="2" a="1"/>
  <c r="AO100" i="2" s="1"/>
  <c r="AO99" i="2" a="1"/>
  <c r="AO99" i="2" s="1"/>
  <c r="AO98" i="2" a="1"/>
  <c r="AO98" i="2" s="1"/>
  <c r="AO97" i="2" a="1"/>
  <c r="AO97" i="2" s="1"/>
  <c r="AO96" i="2" a="1"/>
  <c r="AO96" i="2" s="1"/>
  <c r="AO95" i="2" a="1"/>
  <c r="AO95" i="2" s="1"/>
  <c r="AO94" i="2" a="1"/>
  <c r="AO94" i="2" s="1"/>
  <c r="AO93" i="2" a="1"/>
  <c r="AO93" i="2" s="1"/>
  <c r="AO92" i="2" a="1"/>
  <c r="AO92" i="2" s="1"/>
  <c r="AO91" i="2" a="1"/>
  <c r="AO91" i="2" s="1"/>
  <c r="AO90" i="2" a="1"/>
  <c r="AO90" i="2" s="1"/>
  <c r="AO89" i="2" a="1"/>
  <c r="AO89" i="2" s="1"/>
  <c r="AO88" i="2" a="1"/>
  <c r="AO88" i="2" s="1"/>
  <c r="AO87" i="2" a="1"/>
  <c r="AO87" i="2" s="1"/>
  <c r="AO86" i="2" a="1"/>
  <c r="AO86" i="2" s="1"/>
  <c r="AO85" i="2" a="1"/>
  <c r="AO85" i="2" s="1"/>
  <c r="AO84" i="2" a="1"/>
  <c r="AO84" i="2" s="1"/>
  <c r="AO83" i="2" a="1"/>
  <c r="AO83" i="2" s="1"/>
  <c r="AO82" i="2" a="1"/>
  <c r="AO82" i="2" s="1"/>
  <c r="AO81" i="2" a="1"/>
  <c r="AO81" i="2" s="1"/>
  <c r="AO80" i="2" a="1"/>
  <c r="AO80" i="2" s="1"/>
  <c r="AO79" i="2" a="1"/>
  <c r="AO79" i="2" s="1"/>
  <c r="AO78" i="2" a="1"/>
  <c r="AO78" i="2" s="1"/>
  <c r="AO77" i="2" a="1"/>
  <c r="AO77" i="2" s="1"/>
  <c r="AO76" i="2" a="1"/>
  <c r="AO76" i="2" s="1"/>
  <c r="AO75" i="2" a="1"/>
  <c r="AO75" i="2" s="1"/>
  <c r="AO74" i="2" a="1"/>
  <c r="AO74" i="2" s="1"/>
  <c r="AO73" i="2" a="1"/>
  <c r="AO73" i="2" s="1"/>
  <c r="AO72" i="2" a="1"/>
  <c r="AO72" i="2" s="1"/>
  <c r="AO71" i="2" a="1"/>
  <c r="AO71" i="2" s="1"/>
  <c r="AO70" i="2" a="1"/>
  <c r="AO70" i="2" s="1"/>
  <c r="AO69" i="2" a="1"/>
  <c r="AO69" i="2" s="1"/>
  <c r="AO68" i="2" a="1"/>
  <c r="AO68" i="2" s="1"/>
  <c r="AO67" i="2" a="1"/>
  <c r="AO67" i="2" s="1"/>
  <c r="AO66" i="2" a="1"/>
  <c r="AO66" i="2" s="1"/>
  <c r="AO65" i="2" a="1"/>
  <c r="AO65" i="2" s="1"/>
  <c r="AO64" i="2" a="1"/>
  <c r="AO64" i="2" s="1"/>
  <c r="AO63" i="2" a="1"/>
  <c r="AO63" i="2" s="1"/>
  <c r="AO62" i="2" a="1"/>
  <c r="AO62" i="2" s="1"/>
  <c r="AO61" i="2" a="1"/>
  <c r="AO61" i="2" s="1"/>
  <c r="AO60" i="2" a="1"/>
  <c r="AO60" i="2" s="1"/>
  <c r="AO59" i="2" a="1"/>
  <c r="AO59" i="2" s="1"/>
  <c r="AO58" i="2" a="1"/>
  <c r="AO58" i="2" s="1"/>
  <c r="AO57" i="2" a="1"/>
  <c r="AO57" i="2" s="1"/>
  <c r="AO56" i="2" a="1"/>
  <c r="AO56" i="2" s="1"/>
  <c r="AO55" i="2" a="1"/>
  <c r="AO55" i="2" s="1"/>
  <c r="AO54" i="2" a="1"/>
  <c r="AO54" i="2" s="1"/>
  <c r="AO53" i="2" a="1"/>
  <c r="AO53" i="2" s="1"/>
  <c r="AO52" i="2" a="1"/>
  <c r="AO52" i="2" s="1"/>
  <c r="AO51" i="2" a="1"/>
  <c r="AO51" i="2" s="1"/>
  <c r="AO50" i="2" a="1"/>
  <c r="AO50" i="2" s="1"/>
  <c r="AO49" i="2" a="1"/>
  <c r="AO49" i="2" s="1"/>
  <c r="AO48" i="2" a="1"/>
  <c r="AO48" i="2" s="1"/>
  <c r="AO47" i="2" a="1"/>
  <c r="AO47" i="2" s="1"/>
  <c r="AO46" i="2" a="1"/>
  <c r="AO46" i="2" s="1"/>
  <c r="AO45" i="2" a="1"/>
  <c r="AO45" i="2" s="1"/>
  <c r="D45" i="2" s="1" a="1"/>
  <c r="D45" i="2" s="1"/>
  <c r="AO44" i="2" a="1"/>
  <c r="AO44" i="2" s="1"/>
  <c r="AO43" i="2" a="1"/>
  <c r="AO43" i="2" s="1"/>
  <c r="AO42" i="2" a="1"/>
  <c r="AO42" i="2" s="1"/>
  <c r="D42" i="2" s="1" a="1"/>
  <c r="D42" i="2" s="1"/>
  <c r="AO41" i="2" a="1"/>
  <c r="AO41" i="2" s="1"/>
  <c r="D41" i="2" s="1" a="1"/>
  <c r="D41" i="2" s="1"/>
  <c r="AO40" i="2" a="1"/>
  <c r="AO40" i="2" s="1"/>
  <c r="D40" i="2" s="1" a="1"/>
  <c r="D40" i="2" s="1"/>
  <c r="AO39" i="2" a="1"/>
  <c r="AO39" i="2" s="1"/>
  <c r="D39" i="2" s="1" a="1"/>
  <c r="D39" i="2" s="1"/>
  <c r="AO38" i="2" a="1"/>
  <c r="AO38" i="2" s="1"/>
  <c r="D38" i="2" s="1" a="1"/>
  <c r="D38" i="2" s="1"/>
  <c r="AO37" i="2" a="1"/>
  <c r="AO37" i="2" s="1"/>
  <c r="D37" i="2" s="1" a="1"/>
  <c r="D37" i="2" s="1"/>
  <c r="AO36" i="2" a="1"/>
  <c r="AO36" i="2" s="1"/>
  <c r="AO35" i="2" a="1"/>
  <c r="AO35" i="2" s="1"/>
  <c r="AO34" i="2" a="1"/>
  <c r="AO34" i="2" s="1"/>
  <c r="D34" i="2" s="1" a="1"/>
  <c r="D34" i="2" s="1"/>
  <c r="AO33" i="2" a="1"/>
  <c r="AO33" i="2" s="1"/>
  <c r="D33" i="2" s="1" a="1"/>
  <c r="D33" i="2" s="1"/>
  <c r="AO32" i="2" a="1"/>
  <c r="AO32" i="2" s="1"/>
  <c r="AO31" i="2" a="1"/>
  <c r="AO31" i="2" s="1"/>
  <c r="D31" i="2" s="1" a="1"/>
  <c r="D31" i="2" s="1"/>
  <c r="AO30" i="2" a="1"/>
  <c r="AO30" i="2" s="1"/>
  <c r="D30" i="2" s="1" a="1"/>
  <c r="D30" i="2" s="1"/>
  <c r="AO29" i="2" a="1"/>
  <c r="AO29" i="2" s="1"/>
  <c r="D29" i="2" s="1" a="1"/>
  <c r="D29" i="2" s="1"/>
  <c r="AO28" i="2" a="1"/>
  <c r="AO28" i="2" s="1"/>
  <c r="AO27" i="2" a="1"/>
  <c r="AO27" i="2" s="1"/>
  <c r="AO26" i="2" a="1"/>
  <c r="AO26" i="2" s="1"/>
  <c r="AO25" i="2" a="1"/>
  <c r="AO25" i="2" s="1"/>
  <c r="AO24" i="2" a="1"/>
  <c r="AO24" i="2" s="1"/>
  <c r="AO23" i="2" a="1"/>
  <c r="AO23" i="2" s="1"/>
  <c r="AO22" i="2" a="1"/>
  <c r="AO22" i="2" s="1"/>
  <c r="AO21" i="2" a="1"/>
  <c r="AO21" i="2" s="1"/>
  <c r="AO20" i="2" a="1"/>
  <c r="AO20" i="2" s="1"/>
  <c r="AO19" i="2" a="1"/>
  <c r="AO19" i="2" s="1"/>
  <c r="AO18" i="2" a="1"/>
  <c r="AO18" i="2" s="1"/>
  <c r="AO17" i="2" a="1"/>
  <c r="AO17" i="2" s="1"/>
  <c r="AO16" i="2" a="1"/>
  <c r="AO16" i="2" s="1"/>
  <c r="AO15" i="2" a="1"/>
  <c r="AO15" i="2" s="1"/>
  <c r="AO14" i="2" a="1"/>
  <c r="AO14" i="2" s="1"/>
  <c r="AO13" i="2" a="1"/>
  <c r="AO13" i="2" s="1"/>
  <c r="AO12" i="2" a="1"/>
  <c r="AO12" i="2" s="1"/>
  <c r="AO11" i="2" a="1"/>
  <c r="AO11" i="2" s="1"/>
  <c r="AO10" i="2" a="1"/>
  <c r="AO10" i="2" s="1"/>
  <c r="AO9" i="2" a="1"/>
  <c r="AO9" i="2" s="1"/>
  <c r="AO8" i="2" a="1"/>
  <c r="AO8" i="2" s="1"/>
  <c r="AO7" i="2" a="1"/>
  <c r="AO7" i="2" s="1"/>
  <c r="AO6" i="2" a="1"/>
  <c r="AO6" i="2" s="1"/>
  <c r="AO5" i="2" a="1"/>
  <c r="AO5" i="2" s="1"/>
  <c r="AO4" i="2" a="1"/>
  <c r="AO4" i="2" s="1"/>
  <c r="AO3" i="2" a="1"/>
  <c r="AO3" i="2" s="1"/>
  <c r="AO2" i="2" a="1"/>
  <c r="AO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D61" i="2" s="1" a="1"/>
  <c r="D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D55" i="2" s="1" a="1"/>
  <c r="D55" i="2" s="1"/>
  <c r="AN54" i="2" a="1"/>
  <c r="AN54" i="2" s="1"/>
  <c r="D54" i="2" s="1" a="1"/>
  <c r="D54" i="2" s="1"/>
  <c r="AN53" i="2" a="1"/>
  <c r="AN53" i="2" s="1"/>
  <c r="D53" i="2" s="1" a="1"/>
  <c r="D53" i="2" s="1"/>
  <c r="AN52" i="2" a="1"/>
  <c r="AN52" i="2" s="1"/>
  <c r="D52" i="2" s="1" a="1"/>
  <c r="D52" i="2" s="1"/>
  <c r="AN51" i="2" a="1"/>
  <c r="AN51" i="2" s="1"/>
  <c r="D51" i="2" s="1" a="1"/>
  <c r="D51" i="2" s="1"/>
  <c r="AN50" i="2" a="1"/>
  <c r="AN50" i="2" s="1"/>
  <c r="D50" i="2" s="1" a="1"/>
  <c r="D50" i="2" s="1"/>
  <c r="AN49" i="2" a="1"/>
  <c r="AN49" i="2" s="1"/>
  <c r="D49" i="2" s="1" a="1"/>
  <c r="D49" i="2" s="1"/>
  <c r="AN48" i="2" a="1"/>
  <c r="AN48" i="2" s="1"/>
  <c r="D48" i="2" s="1" a="1"/>
  <c r="D48" i="2" s="1"/>
  <c r="AN47" i="2" a="1"/>
  <c r="AN47" i="2" s="1"/>
  <c r="AN46" i="2" a="1"/>
  <c r="AN46" i="2" s="1"/>
  <c r="D46" i="2" s="1" a="1"/>
  <c r="D46" i="2" s="1"/>
  <c r="AN45" i="2" a="1"/>
  <c r="AN45" i="2" s="1"/>
  <c r="AN44" i="2" a="1"/>
  <c r="AN44" i="2" s="1"/>
  <c r="D44" i="2" s="1" a="1"/>
  <c r="D44" i="2" s="1"/>
  <c r="AN43" i="2" a="1"/>
  <c r="AN43" i="2" s="1"/>
  <c r="D43" i="2" s="1" a="1"/>
  <c r="D43" i="2" s="1"/>
  <c r="AN42" i="2" a="1"/>
  <c r="AN42" i="2" s="1"/>
  <c r="AN41" i="2" a="1"/>
  <c r="AN41" i="2" s="1"/>
  <c r="AN40" i="2" a="1"/>
  <c r="AN40" i="2" s="1"/>
  <c r="AN39" i="2" a="1"/>
  <c r="AN39" i="2" s="1"/>
  <c r="AN38" i="2" a="1"/>
  <c r="AN38" i="2" s="1"/>
  <c r="AN37" i="2" a="1"/>
  <c r="AN37" i="2" s="1"/>
  <c r="AN36" i="2" a="1"/>
  <c r="AN36" i="2" s="1"/>
  <c r="D36" i="2" s="1" a="1"/>
  <c r="D36" i="2" s="1"/>
  <c r="AN35" i="2" a="1"/>
  <c r="AN35" i="2" s="1"/>
  <c r="D35" i="2" s="1" a="1"/>
  <c r="D35" i="2" s="1"/>
  <c r="AN34" i="2" a="1"/>
  <c r="AN34" i="2" s="1"/>
  <c r="AN33" i="2" a="1"/>
  <c r="AN33" i="2" s="1"/>
  <c r="AN32" i="2" a="1"/>
  <c r="AN32" i="2" s="1"/>
  <c r="D32" i="2" s="1" a="1"/>
  <c r="D32" i="2" s="1"/>
  <c r="AN31" i="2" a="1"/>
  <c r="AN31" i="2" s="1"/>
  <c r="AN30" i="2" a="1"/>
  <c r="AN30" i="2" s="1"/>
  <c r="AN29" i="2" a="1"/>
  <c r="AN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L2" i="2"/>
  <c r="AL3" i="2"/>
  <c r="AL4" i="2"/>
  <c r="AL5" i="2"/>
  <c r="AL10" i="2"/>
  <c r="AL11" i="2"/>
  <c r="AL12" i="2"/>
  <c r="AL13" i="2"/>
  <c r="AL14" i="2"/>
  <c r="AL15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4" i="2"/>
  <c r="AL35" i="2"/>
  <c r="AL36" i="2"/>
  <c r="AL37" i="2"/>
  <c r="AL38" i="2"/>
  <c r="AL39" i="2"/>
  <c r="AL40" i="2"/>
  <c r="AL41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<sst xmlns="http://schemas.openxmlformats.org/spreadsheetml/2006/main" count="2999" uniqueCount="429">
  <si>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</si>
  <si>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</si>
  <si>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</si>
  <si>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</si>
  <si>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</si>
  <si>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</si>
  <si>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</si>
  <si>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</si>
  <si>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</si>
  <si>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</si>
  <si>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</si>
  <si>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</si>
  <si>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</si>
  <si>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</si>
  <si>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</si>
  <si>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</si>
  <si>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</si>
  <si>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</si>
  <si>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</si>
  <si>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</si>
  <si>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</si>
  <si>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</si>
  <si>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</si>
  <si>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</si>
  <si>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</si>
  <si>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</si>
  <si>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</si>
  <si>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</si>
  <si>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</si>
  <si>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</si>
  <si>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</si>
  <si>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</si>
  <si>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</si>
  <si>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</si>
  <si>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</si>
  <si>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</si>
  <si>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</si>
  <si>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</si>
  <si>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</si>
  <si>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</si>
  <si>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</si>
  <si>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</si>
  <si>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</si>
  <si>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</si>
  <si>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</si>
  <si>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</si>
  <si>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</si>
  <si>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</si>
  <si>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</si>
  <si>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</si>
  <si>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</si>
  <si>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</si>
  <si>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</si>
  <si>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</si>
  <si>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</si>
  <si>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</si>
  <si>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</si>
  <si>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</si>
  <si>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</si>
  <si>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</si>
  <si>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</si>
  <si>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</si>
  <si>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</si>
  <si>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</si>
  <si>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</si>
  <si>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</si>
  <si>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</si>
  <si>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</si>
  <si>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</si>
  <si>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</si>
  <si>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</si>
  <si>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</si>
  <si>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</si>
  <si>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</si>
  <si>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</si>
  <si>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</si>
  <si>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</si>
  <si>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</si>
  <si>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</si>
  <si>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</si>
  <si>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</si>
  <si>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</si>
  <si>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</si>
  <si>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</si>
  <si>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</si>
  <si>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</si>
  <si>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</si>
  <si>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</si>
  <si>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</si>
  <si>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</si>
  <si>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</si>
  <si>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</si>
  <si>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</si>
  <si>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</si>
  <si>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</si>
  <si>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</si>
  <si>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</si>
  <si>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</si>
  <si>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</si>
  <si>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</si>
  <si>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</si>
  <si>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</si>
  <si>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</si>
  <si>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</si>
  <si>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</si>
  <si>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</si>
  <si>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</si>
  <si>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</si>
  <si>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</si>
  <si>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</si>
  <si>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</si>
  <si>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</si>
  <si>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</si>
  <si>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</si>
  <si>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</si>
  <si>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</si>
  <si>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</si>
  <si>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</si>
  <si>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</si>
  <si>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</si>
  <si>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</si>
  <si>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</si>
  <si>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</si>
  <si>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</si>
  <si>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</si>
  <si>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</si>
  <si>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</si>
  <si>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</si>
  <si>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</si>
  <si>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</si>
  <si>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</si>
  <si>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</si>
  <si>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</si>
  <si>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</si>
  <si>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</si>
  <si>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</si>
  <si>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</si>
  <si>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</si>
  <si>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</si>
  <si>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</si>
  <si>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</si>
  <si>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</si>
  <si>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</si>
  <si>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</si>
  <si>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</si>
  <si>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</si>
  <si>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</si>
  <si>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</si>
  <si>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</si>
  <si>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QA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</si>
  <si>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</si>
  <si>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</si>
  <si>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</si>
  <si>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</si>
  <si>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</si>
  <si>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</si>
  <si>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</si>
  <si>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</si>
  <si>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</si>
  <si>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</si>
  <si>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</si>
  <si>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</si>
  <si>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</si>
  <si>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</si>
  <si>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</si>
  <si>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</si>
  <si>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</si>
  <si>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</si>
  <si>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</si>
  <si>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</si>
  <si>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</si>
  <si>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</si>
  <si>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</si>
  <si>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</si>
  <si>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</si>
  <si>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</si>
  <si>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</si>
  <si>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</si>
  <si>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</si>
  <si>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</si>
  <si>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</si>
  <si>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</si>
  <si>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</si>
  <si>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</si>
  <si>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</si>
  <si>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</si>
  <si>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</si>
  <si>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</si>
  <si>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</si>
  <si>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</si>
  <si>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</si>
  <si>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</si>
  <si>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</si>
  <si>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</si>
  <si>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</si>
  <si>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</si>
  <si>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</si>
  <si>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</si>
  <si>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</si>
  <si>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</si>
  <si>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</si>
  <si>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</si>
  <si>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</si>
  <si>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</si>
  <si>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</si>
  <si>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</si>
  <si>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</si>
  <si>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</si>
  <si>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</si>
  <si>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</si>
  <si>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</si>
  <si>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</si>
  <si>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</si>
  <si>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</si>
  <si>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</si>
  <si>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</si>
  <si>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</si>
  <si>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</si>
  <si>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</si>
  <si>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</si>
  <si>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</si>
  <si>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</si>
  <si>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</si>
  <si>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</si>
  <si>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</si>
  <si>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</si>
  <si>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</si>
  <si>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</si>
  <si>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</si>
  <si>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</si>
  <si>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</si>
  <si>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</si>
  <si>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</si>
  <si>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</si>
  <si>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</si>
  <si>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</si>
  <si>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</si>
  <si>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</si>
  <si>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</si>
  <si>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</si>
  <si>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</si>
  <si>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</si>
  <si>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</si>
  <si>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</si>
  <si>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</si>
  <si>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</si>
  <si>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</si>
  <si>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</si>
  <si>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</si>
  <si>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</si>
  <si>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</si>
  <si>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</si>
  <si>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</si>
  <si>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</si>
  <si>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</si>
  <si>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</si>
  <si>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</si>
  <si>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</si>
  <si>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</si>
  <si>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</si>
  <si>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</si>
  <si>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</si>
  <si>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</si>
  <si>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</si>
  <si>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</si>
  <si>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</si>
  <si>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</si>
  <si>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</si>
  <si>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</si>
  <si>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</si>
  <si>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</si>
  <si>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</si>
  <si>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</si>
  <si>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</si>
  <si>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</si>
  <si>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</si>
  <si>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</si>
  <si>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</si>
  <si>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</si>
  <si>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</si>
  <si>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</si>
  <si>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</si>
  <si>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</si>
  <si>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</si>
  <si>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</si>
  <si>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</si>
  <si>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</si>
  <si>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</si>
  <si>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</si>
  <si>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</si>
  <si>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</si>
  <si>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</si>
  <si>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</si>
  <si>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</si>
  <si>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</si>
  <si>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</si>
  <si>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</si>
  <si>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</si>
  <si>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</si>
  <si>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</si>
  <si>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</si>
  <si>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</si>
  <si>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</si>
  <si>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</si>
  <si>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</si>
  <si>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</si>
  <si>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</si>
  <si>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</si>
  <si>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</si>
  <si>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</si>
  <si>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</si>
  <si>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</si>
  <si>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</si>
  <si>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</si>
  <si>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</si>
  <si>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</si>
  <si>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</si>
  <si>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</si>
  <si>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</si>
  <si>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</si>
  <si>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</si>
  <si>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</si>
  <si>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</si>
  <si>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</si>
  <si>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</si>
  <si>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</si>
  <si>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</si>
  <si>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</si>
  <si>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</si>
  <si>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</si>
  <si>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</si>
  <si>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</si>
  <si>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</si>
  <si>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</si>
  <si>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</si>
  <si>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</si>
  <si>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</si>
  <si>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</si>
  <si>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</si>
  <si>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</si>
  <si>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</si>
  <si>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</si>
  <si>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</si>
  <si>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</si>
  <si>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</si>
  <si>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</si>
  <si>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</si>
  <si>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</si>
  <si>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</si>
  <si>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</si>
  <si>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</si>
  <si>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</si>
  <si>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</si>
  <si>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</si>
  <si>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</si>
  <si>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</si>
  <si>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</si>
  <si>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</si>
  <si>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</si>
  <si>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</si>
  <si>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</si>
  <si>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</si>
  <si>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</si>
  <si>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</si>
  <si>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</si>
  <si>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</si>
  <si>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</si>
  <si>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</si>
  <si>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</si>
  <si>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</si>
  <si>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</si>
  <si>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</si>
  <si>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</si>
  <si>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</si>
  <si>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</si>
  <si>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</si>
  <si>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</si>
  <si>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</si>
  <si>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</si>
  <si>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</si>
  <si>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</si>
  <si>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</si>
  <si>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</si>
  <si>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</si>
  <si>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</si>
  <si>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</si>
  <si>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</si>
  <si>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</si>
  <si>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</si>
  <si>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</si>
  <si>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</si>
  <si>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</si>
  <si>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</si>
  <si>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</si>
  <si>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</si>
  <si>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</si>
  <si>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</si>
  <si>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</si>
  <si>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</si>
  <si>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</si>
  <si>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</si>
  <si>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</si>
  <si>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</si>
  <si>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</si>
  <si>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</si>
  <si>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</si>
  <si>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</si>
  <si>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</si>
  <si>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</si>
  <si>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</si>
  <si>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</si>
  <si>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</si>
  <si>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</si>
  <si>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</si>
  <si>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</si>
  <si>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</si>
  <si>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</si>
  <si>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</si>
  <si>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</si>
  <si>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</si>
  <si>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</si>
  <si>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 xml:space="preserve">Mismatch for County, phone number, name and phone extension </t>
  </si>
  <si>
    <t>Access was given to the Semantic Model</t>
  </si>
  <si>
    <t>Olu</t>
  </si>
  <si>
    <t>QA 2nd Pass Tester</t>
  </si>
  <si>
    <t>QA 2nd Pass Completion Date</t>
  </si>
  <si>
    <t>Column2</t>
  </si>
  <si>
    <t>QA 2nd Pass Tester2</t>
  </si>
  <si>
    <t>QA 2nd Pass Completion Date2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</si>
</sst>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3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10" fillId="15" borderId="0" xfId="0" applyFont="1" applyFill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5" fillId="0" borderId="0" xfId="0" applyFont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24" fillId="17" borderId="0" xfId="0" applyFont="1" applyFill="1" applyProtection="1">
      <protection locked="0"/>
    </xf>
    <xf numFmtId="0" fontId="24" fillId="0" borderId="0" xfId="0" applyFont="1" applyProtection="1">
      <protection locked="0"/>
    </xf>
  </cellXfs>
  <cellStyles count="2">
    <cellStyle name="Hyperlink" xfId="1" builtinId="8"/>
    <cellStyle name="Normal" xfId="0" builtinId="0"/>
  </cellStyles>
  <dxfs count="133">
    <dxf>
      <numFmt numFmtId="19" formatCode="m/d/yyyy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0" hidden="0"/>
    </dxf>
    <dxf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Q115" dataDxfId="43">
  <autoFilter ref="A1:AQ115" xr:uid="{00000000-0009-0000-0100-000001000000}"/>
  <tableColumns count="43">
    <tableColumn id="1" xr3:uid="{00000000-0010-0000-0000-000001000000}" name="Domain" dataDxfId="42"/>
    <tableColumn id="2" xr3:uid="{00000000-0010-0000-0000-000002000000}" name="Report Name" dataDxfId="41"/>
    <tableColumn id="3" xr3:uid="{00000000-0010-0000-0000-000003000000}" name="Current Status  (Update next stage after completion date)" dataDxfId="40"/>
    <tableColumn id="4" xr3:uid="{00000000-0010-0000-0000-000004000000}" name="Status Flag" dataDxfId="39"/>
    <tableColumn id="5" xr3:uid="{00000000-0010-0000-0000-000005000000}" name="Business Value Rank" dataDxfId="38"/>
    <tableColumn id="6" xr3:uid="{00000000-0010-0000-0000-000006000000}" name="PO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7" xr3:uid="{00000000-0010-0000-0000-000007000000}" name="DB Developer" dataDxfId="33"/>
    <tableColumn id="13" xr3:uid="{00000000-0010-0000-0000-00000D000000}" name="DB Dev Baseline Completion Date" dataDxfId="32"/>
    <tableColumn id="30" xr3:uid="{00000000-0010-0000-0000-00001E000000}" name="DB Dev Reforecast Completion Date" dataDxfId="31"/>
    <tableColumn id="14" xr3:uid="{00000000-0010-0000-0000-00000E000000}" name="DB Dev Actual Completion Date" dataDxfId="30"/>
    <tableColumn id="35" xr3:uid="{1A518B0C-8D73-4DAB-8F10-7B4DFF037343}" name="Build Source" dataDxfId="29"/>
    <tableColumn id="28" xr3:uid="{EFCDFAEE-1B00-42CE-9649-7541F5DDC136}" name="Sprint DB" dataDxfId="28"/>
    <tableColumn id="8" xr3:uid="{00000000-0010-0000-0000-000008000000}" name="PBI Developer" dataDxfId="27"/>
    <tableColumn id="15" xr3:uid="{00000000-0010-0000-0000-00000F000000}" name="PBI Dev Baseline Completion Date" dataDxfId="26"/>
    <tableColumn id="31" xr3:uid="{00000000-0010-0000-0000-00001F000000}" name="PBI Dev Reforecast Completion Date" dataDxfId="25"/>
    <tableColumn id="16" xr3:uid="{00000000-0010-0000-0000-000010000000}" name="PBI Dev Actual Completion Date" dataDxfId="24"/>
    <tableColumn id="29" xr3:uid="{4630D178-9B47-4360-A40B-22C7384DB9C9}" name="Sprint PBI" dataDxfId="23"/>
    <tableColumn id="9" xr3:uid="{00000000-0010-0000-0000-000009000000}" name="QA Tester" dataDxfId="22"/>
    <tableColumn id="17" xr3:uid="{00000000-0010-0000-0000-000011000000}" name="QA Baseline Completion Date" dataDxfId="21"/>
    <tableColumn id="18" xr3:uid="{00000000-0010-0000-0000-000012000000}" name="QA Actual Completion Date" dataDxfId="20"/>
    <tableColumn id="42" xr3:uid="{20341B93-EF3F-4F5E-BE15-9C45599EFAF3}" name="QA 2nd Pass Tester" dataDxfId="19"/>
    <tableColumn id="32" xr3:uid="{00000000-0010-0000-0000-000020000000}" name="QA Reforecast Completion Date" dataDxfId="18"/>
    <tableColumn id="43" xr3:uid="{4636FA56-7728-4236-AC33-8557B12CD9BB}" name="QA 2nd Pass Completion Date" dataDxfId="17"/>
    <tableColumn id="34" xr3:uid="{70C5E8CB-08B0-4A84-9B68-89630FC3C5C7}" name="Sprint QA" dataDxfId="16"/>
    <tableColumn id="19" xr3:uid="{00000000-0010-0000-0000-000013000000}" name="DPO Approval Baseline Completion Date" dataDxfId="15"/>
    <tableColumn id="33" xr3:uid="{00000000-0010-0000-0000-000021000000}" name="DPO Approval Reforecast Completion Date" dataDxfId="14"/>
    <tableColumn id="36" xr3:uid="{86D482BF-E7A4-45A2-B2F5-CA0223EBDDD1}" name="DPO Approval Completion Date" dataDxfId="13"/>
    <tableColumn id="20" xr3:uid="{00000000-0010-0000-0000-000014000000}" name="DPO Approval Reviewer" dataDxfId="12"/>
    <tableColumn id="39" xr3:uid="{D4F67DF1-1A6D-469A-AA66-A681F9EBF81F}" name="Report Type" dataDxfId="11"/>
    <tableColumn id="21" xr3:uid="{00000000-0010-0000-0000-000015000000}" name="Confirmed Deployed?" dataDxfId="10"/>
    <tableColumn id="22" xr3:uid="{00000000-0010-0000-0000-000016000000}" name="Confirmed Deployed Date" dataDxfId="9"/>
    <tableColumn id="23" xr3:uid="{00000000-0010-0000-0000-000017000000}" name="UAT Report URL" dataDxfId="8"/>
    <tableColumn id="24" xr3:uid="{00000000-0010-0000-0000-000018000000}" name="Production URL" dataDxfId="7"/>
    <tableColumn id="25" xr3:uid="{00000000-0010-0000-0000-000019000000}" name="Blocked?" dataDxfId="6"/>
    <tableColumn id="26" xr3:uid="{00000000-0010-0000-0000-00001A000000}" name="Data Check" dataDxfId="5"/>
    <tableColumn id="27" xr3:uid="{00000000-0010-0000-0000-00001B000000}" name="Comments" dataDxfId="4"/>
    <tableColumn id="37" xr3:uid="{80A8E094-8F50-434A-A9E3-195269D50436}" name="QA Rework Due_x0009_DPO Rework Due" dataDxfId="3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2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  <tableColumn id="40" xr3:uid="{3DEEE5F3-65A0-48F0-AA2B-12624F6F31A5}" name="QA 2nd Pass Tester2" dataDxfId="1"/>
    <tableColumn id="41" xr3:uid="{DC9D7214-F9E4-46A5-9B7D-CCAE67F9A44E}" name="QA 2nd Pass Completion Date2" dataDxfId="0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6" Type="http://schemas.microsoft.com/office/2019/04/relationships/namedSheetView" Target="../namedSheetViews/namedSheetView1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Q527"/>
  <sheetViews>
    <sheetView tabSelected="1" topLeftCell="A88" zoomScaleNormal="100" workbookViewId="0">
      <pane xSplit="2" topLeftCell="C1" activePane="topRight" state="frozen"/>
      <selection activeCell="A29" sqref="A29"/>
      <selection pane="topRight" activeCell="G127" sqref="G127"/>
    </sheetView>
  </sheetViews>
  <sheetFormatPr defaultRowHeight="15" customHeight="1" x14ac:dyDescent="0.3"/>
  <cols>
    <col min="1" max="1" width="12" customWidth="1"/>
    <col min="2" max="2" width="47.10937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0937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33203125" customWidth="1"/>
    <col min="19" max="19" width="19" customWidth="1"/>
    <col min="20" max="20" width="16" style="72" customWidth="1"/>
    <col min="21" max="21" width="11" customWidth="1"/>
    <col min="22" max="24" width="13" customWidth="1"/>
    <col min="25" max="25" width="15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33203125" customWidth="1"/>
    <col min="37" max="37" width="45.6640625" customWidth="1"/>
    <col min="38" max="38" width="9.44140625" bestFit="1" customWidth="1"/>
  </cols>
  <sheetData>
    <row r="1" spans="1:43" ht="32.1" customHeigh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23</v>
      </c>
      <c r="X1" s="17" t="s">
        <v>424</v>
      </c>
      <c r="Y1" s="17" t="s">
        <v>22</v>
      </c>
      <c r="Z1" s="17" t="s">
        <v>425</v>
      </c>
      <c r="AA1" s="17" t="s">
        <v>24</v>
      </c>
      <c r="AB1" s="51" t="s">
        <v>25</v>
      </c>
      <c r="AC1" s="18" t="s">
        <v>26</v>
      </c>
      <c r="AD1" s="18" t="s">
        <v>27</v>
      </c>
      <c r="AE1" s="18" t="s">
        <v>28</v>
      </c>
      <c r="AF1" s="18" t="s">
        <v>29</v>
      </c>
      <c r="AG1" s="23" t="s">
        <v>30</v>
      </c>
      <c r="AH1" s="19" t="s">
        <v>31</v>
      </c>
      <c r="AI1" s="24" t="s">
        <v>32</v>
      </c>
      <c r="AJ1" s="20" t="s">
        <v>33</v>
      </c>
      <c r="AK1" s="25" t="s">
        <v>34</v>
      </c>
      <c r="AL1" s="26" t="s">
        <v>35</v>
      </c>
      <c r="AM1" s="27" t="s">
        <v>36</v>
      </c>
      <c r="AN1" t="s">
        <v>37</v>
      </c>
      <c r="AO1" t="s">
        <v>38</v>
      </c>
      <c r="AP1" s="57" t="s">
        <v>427</v>
      </c>
      <c r="AQ1" s="57" t="s">
        <v>428</v>
      </c>
    </row>
    <row r="2" spans="1:43" ht="14.4" x14ac:dyDescent="0.3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IF($B2="","",IF(LEFT($AK2,3)="Yes","Blocked - "&amp;MID($AK2,7,100)&amp;IF(SUMPRODUCT(('Rework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track")),IF(C2="QA",_xlfn.LET(_xlpm.tgt,IF(AN2&lt;&gt;"",AN2,IF(Y2&lt;&gt;"",Y2,V2)),_xlpm.sent,_xlfn.MAXIFS('Rework Log'!$B$3:$B$499,'Rework Log'!$A$3:$A$499,$B2,'Rework Log'!$C$3:$C$499,"QA"),_xlpm.act,IF(AND(W2&lt;&gt;"",W2&gt;_xlpm.sent),W2,""),IF(_xlpm.tgt="","No target set",IF(AND(_xlpm.tgt&lt;TODAY(),_xlpm.act=""),"Overdue","On track"))),IF(C2="DPO Approval",_xlfn.LET(_xlpm.tgt,IF(AO2&lt;&gt;"",AO2,IF(AC2&lt;&gt;"",AC2,AB2)),_xlpm.sent,_xlfn.MAXIFS('Rework Log'!$B$3:$B$499,'Rework Log'!$A$3:$A$499,$B2,'Rework Log'!$C$3:$C$499,"DPO*"),_xlpm.act,IF(AND(AD2&lt;&gt;"",AD2&gt;_xlpm.sent),AD2,""),IF(_xlpm.tgt="","No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3" t="s">
        <v>45</v>
      </c>
      <c r="Q2" s="4">
        <v>46129</v>
      </c>
      <c r="R2" s="36"/>
      <c r="S2" s="36">
        <v>46114</v>
      </c>
      <c r="T2" s="69"/>
      <c r="U2" s="33" t="s">
        <v>46</v>
      </c>
      <c r="V2" s="59">
        <v>46136</v>
      </c>
      <c r="W2" s="36">
        <v>46122</v>
      </c>
      <c r="X2" s="57" t="s">
        <v>426</v>
      </c>
      <c r="Y2" s="36"/>
      <c r="Z2" s="36"/>
      <c r="AA2" s="36"/>
      <c r="AB2" s="52">
        <v>46140</v>
      </c>
      <c r="AC2" s="36"/>
      <c r="AD2" s="36"/>
      <c r="AE2" s="33" t="s">
        <v>47</v>
      </c>
      <c r="AF2" s="33" t="s">
        <v>48</v>
      </c>
      <c r="AG2" s="38" t="s">
        <v>49</v>
      </c>
      <c r="AH2" s="36">
        <v>46122</v>
      </c>
      <c r="AI2" s="39" t="s">
        <v>50</v>
      </c>
      <c r="AJ2" s="33" t="s">
        <v>51</v>
      </c>
      <c r="AK2" s="40" t="s">
        <v>52</v>
      </c>
      <c r="AL2" s="73" t="str">
        <f>IF($B2="","",IF(AND(LEFT($AK2,3)="Yes",SUMPRODUCT(('Rework Log'!$A$3:$A$499=$B2)*('Rework Log'!$G$3:$G$499&lt;&gt;"Yes")*('Rework Log'!$G$3:$G$499&lt;&gt;"Did not pass re-test"))=0),"Blocked - log it on Rework Log",IF(AND(LEFT($AK2,3)&lt;&gt;"Yes",SUMPRODUCT(('Rework Log'!$A$3:$A$499=$B2)*('Rework Log'!$G$3:$G$499&lt;&gt;"Yes")*('Rework Log'!$G$3:$G$499&lt;&gt;"Did not pass re-test"))&gt;0),"Open rework row - mark Blocked? or close it",IF(AND($AK2="Yes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H)",IF(AND($AK2="Yes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H)",IF(AND($AK2="Yes – needs QA to fix",W2&lt;&gt;"",SUMPRODUCT(MAX((('Rework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target",IF(AND(AB2&lt;&gt;"",V2&lt;&gt;"",AB2&lt;V2),"DPO Approval target is before QA target",IF(AND(AH2&lt;&gt;"",AB2&lt;&gt;"",AH2&lt;AB2),"Confirmed Deployed date is before DPO Approval target",""))))))))))))</f>
        <v>Confirmed Deployed date is before DPO Approval target</v>
      </c>
      <c r="AM2" s="41" t="s">
        <v>53</v>
      </c>
      <c r="AN2" s="31" t="str" cm="1">
        <f t="array" ref="AN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2" s="31" t="str" cm="1">
        <f t="array" ref="AO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2" s="31"/>
      <c r="AQ2" s="32"/>
    </row>
    <row r="3" spans="1:43" ht="14.4" x14ac:dyDescent="0.3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IF($B3="","",IF(LEFT($AK3,3)="Yes","Blocked - "&amp;MID($AK3,7,100)&amp;IF(SUMPRODUCT(('Rework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track")),IF(C3="QA",_xlfn.LET(_xlpm.tgt,IF(AN3&lt;&gt;"",AN3,IF(Y3&lt;&gt;"",Y3,V3)),_xlpm.sent,_xlfn.MAXIFS('Rework Log'!$B$3:$B$499,'Rework Log'!$A$3:$A$499,$B3,'Rework Log'!$C$3:$C$499,"QA"),_xlpm.act,IF(AND(W3&lt;&gt;"",W3&gt;_xlpm.sent),W3,""),IF(_xlpm.tgt="","No target set",IF(AND(_xlpm.tgt&lt;TODAY(),_xlpm.act=""),"Overdue","On track"))),IF(C3="DPO Approval",_xlfn.LET(_xlpm.tgt,IF(AO3&lt;&gt;"",AO3,IF(AC3&lt;&gt;"",AC3,AB3)),_xlpm.sent,_xlfn.MAXIFS('Rework Log'!$B$3:$B$499,'Rework Log'!$A$3:$A$499,$B3,'Rework Log'!$C$3:$C$499,"DPO*"),_xlpm.act,IF(AND(AD3&lt;&gt;"",AD3&gt;_xlpm.sent),AD3,""),IF(_xlpm.tgt="","No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3" t="s">
        <v>45</v>
      </c>
      <c r="Q3" s="4">
        <v>46129</v>
      </c>
      <c r="R3" s="36"/>
      <c r="S3" s="36">
        <v>46114</v>
      </c>
      <c r="T3" s="69"/>
      <c r="U3" s="33" t="s">
        <v>46</v>
      </c>
      <c r="V3" s="59">
        <v>46136</v>
      </c>
      <c r="W3" s="36">
        <v>46122</v>
      </c>
      <c r="X3" s="36"/>
      <c r="Y3" s="36"/>
      <c r="Z3" s="36"/>
      <c r="AA3" s="36"/>
      <c r="AB3" s="52">
        <v>46140</v>
      </c>
      <c r="AC3" s="36"/>
      <c r="AD3" s="36"/>
      <c r="AE3" s="33" t="s">
        <v>47</v>
      </c>
      <c r="AF3" s="33" t="s">
        <v>48</v>
      </c>
      <c r="AG3" s="38" t="s">
        <v>49</v>
      </c>
      <c r="AH3" s="36">
        <v>46122</v>
      </c>
      <c r="AI3" s="39" t="s">
        <v>55</v>
      </c>
      <c r="AJ3" s="33" t="s">
        <v>56</v>
      </c>
      <c r="AK3" s="40" t="s">
        <v>52</v>
      </c>
      <c r="AL3" s="73" t="e">
        <f>IF($B3="","",IF(AND(LEFT($AK3,3)="Yes",SUMPRODUCT(('Rework Log'!$A$3:$A$499=$B3)*('Rework Log'!$G$3:$G$499&lt;&gt;"Yes")*('Rework Log'!$G$3:$G$499&lt;&gt;"Did not pass re-test"))=0),"Blocked - log it on Rework Log",IF(AND(LEFT($AK3,3)&lt;&gt;"Yes",SUMPRODUCT(('Rework Log'!$A$3:$A$499=$B3)*('Rework Log'!$G$3:$G$499&lt;&gt;"Yes")*('Rework Log'!$G$3:$G$499&lt;&gt;"Did not pass re-test"))&gt;0),"Open rework row - mark Blocked? or close it",IF(AND($AK3="Yes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H)",IF(AND($AK3="Yes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H)",IF(AND($AK3="Yes – needs QA to fix",W3&lt;&gt;"",SUMPRODUCT(MAX((('Rework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target",IF(AND(AH3&lt;&gt;"",#REF!&lt;&gt;"",AH3&lt;#REF!),"Confirmed Deployed date is before DPO Approval target",""))))))))))))</f>
        <v>#REF!</v>
      </c>
      <c r="AM3" s="41" t="s">
        <v>53</v>
      </c>
      <c r="AN3" s="31" t="str" cm="1">
        <f t="array" ref="AN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3" s="31" t="str" cm="1">
        <f t="array" ref="AO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3" s="31"/>
      <c r="AQ3" s="32"/>
    </row>
    <row r="4" spans="1:43" ht="14.4" x14ac:dyDescent="0.3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IF($B4="","",IF(LEFT($AK4,3)="Yes","Blocked - "&amp;MID($AK4,7,100)&amp;IF(SUMPRODUCT(('Rework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track")),IF(C4="QA",_xlfn.LET(_xlpm.tgt,IF(AN4&lt;&gt;"",AN4,IF(Y4&lt;&gt;"",Y4,V4)),_xlpm.sent,_xlfn.MAXIFS('Rework Log'!$B$3:$B$499,'Rework Log'!$A$3:$A$499,$B4,'Rework Log'!$C$3:$C$499,"QA"),_xlpm.act,IF(AND(W4&lt;&gt;"",W4&gt;_xlpm.sent),W4,""),IF(_xlpm.tgt="","No target set",IF(AND(_xlpm.tgt&lt;TODAY(),_xlpm.act=""),"Overdue","On track"))),IF(C4="DPO Approval",_xlfn.LET(_xlpm.tgt,IF(AO4&lt;&gt;"",AO4,IF(AC4&lt;&gt;"",AC4,AB4)),_xlpm.sent,_xlfn.MAXIFS('Rework Log'!$B$3:$B$499,'Rework Log'!$A$3:$A$499,$B4,'Rework Log'!$C$3:$C$499,"DPO*"),_xlpm.act,IF(AND(AD4&lt;&gt;"",AD4&gt;_xlpm.sent),AD4,""),IF(_xlpm.tgt="","No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3" t="s">
        <v>59</v>
      </c>
      <c r="Q4" s="4">
        <v>46129</v>
      </c>
      <c r="R4" s="36"/>
      <c r="S4" s="36">
        <v>46126</v>
      </c>
      <c r="T4" s="69"/>
      <c r="U4" s="33" t="s">
        <v>46</v>
      </c>
      <c r="V4" s="59">
        <v>46136</v>
      </c>
      <c r="W4" s="36">
        <v>46122</v>
      </c>
      <c r="X4" s="36"/>
      <c r="Y4" s="36"/>
      <c r="Z4" s="36"/>
      <c r="AA4" s="36"/>
      <c r="AB4" s="52">
        <v>46140</v>
      </c>
      <c r="AC4" s="36"/>
      <c r="AD4" s="36"/>
      <c r="AE4" s="33" t="s">
        <v>47</v>
      </c>
      <c r="AF4" s="33" t="s">
        <v>48</v>
      </c>
      <c r="AG4" s="38" t="s">
        <v>49</v>
      </c>
      <c r="AH4" s="36">
        <v>46122</v>
      </c>
      <c r="AI4" s="39" t="s">
        <v>60</v>
      </c>
      <c r="AJ4" s="33" t="s">
        <v>61</v>
      </c>
      <c r="AK4" s="40" t="s">
        <v>52</v>
      </c>
      <c r="AL4" s="73" t="str">
        <f>IF($B4="","",IF(AND(LEFT($AK4,3)="Yes",SUMPRODUCT(('Rework Log'!$A$3:$A$499=$B4)*('Rework Log'!$G$3:$G$499&lt;&gt;"Yes")*('Rework Log'!$G$3:$G$499&lt;&gt;"Did not pass re-test"))=0),"Blocked - log it on Rework Log",IF(AND(LEFT($AK4,3)&lt;&gt;"Yes",SUMPRODUCT(('Rework Log'!$A$3:$A$499=$B4)*('Rework Log'!$G$3:$G$499&lt;&gt;"Yes")*('Rework Log'!$G$3:$G$499&lt;&gt;"Did not pass re-test"))&gt;0),"Open rework row - mark Blocked? or close it",IF(AND($AK4="Yes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H)",IF(AND($AK4="Yes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H)",IF(AND($AK4="Yes – needs QA to fix",W4&lt;&gt;"",SUMPRODUCT(MAX((('Rework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target",IF(AND(AB4&lt;&gt;"",V4&lt;&gt;"",AB4&lt;V4),"DPO Approval target is before QA target",IF(AND(AH4&lt;&gt;"",AB4&lt;&gt;"",AH4&lt;AB4),"Confirmed Deployed date is before DPO Approval target",""))))))))))))</f>
        <v>Confirmed Deployed date is before DPO Approval target</v>
      </c>
      <c r="AM4" s="41" t="s">
        <v>62</v>
      </c>
      <c r="AN4" s="31" t="str" cm="1">
        <f t="array" ref="AN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4" s="31" t="str" cm="1">
        <f t="array" ref="AO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4" s="31"/>
      <c r="AQ4" s="32"/>
    </row>
    <row r="5" spans="1:43" ht="14.4" x14ac:dyDescent="0.3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IF($B5="","",IF(LEFT($AK5,3)="Yes","Blocked - "&amp;MID($AK5,7,100)&amp;IF(SUMPRODUCT(('Rework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track")),IF(C5="QA",_xlfn.LET(_xlpm.tgt,IF(AN5&lt;&gt;"",AN5,IF(Y5&lt;&gt;"",Y5,V5)),_xlpm.sent,_xlfn.MAXIFS('Rework Log'!$B$3:$B$499,'Rework Log'!$A$3:$A$499,$B5,'Rework Log'!$C$3:$C$499,"QA"),_xlpm.act,IF(AND(W5&lt;&gt;"",W5&gt;_xlpm.sent),W5,""),IF(_xlpm.tgt="","No target set",IF(AND(_xlpm.tgt&lt;TODAY(),_xlpm.act=""),"Overdue","On track"))),IF(C5="DPO Approval",_xlfn.LET(_xlpm.tgt,IF(AO5&lt;&gt;"",AO5,IF(AC5&lt;&gt;"",AC5,AB5)),_xlpm.sent,_xlfn.MAXIFS('Rework Log'!$B$3:$B$499,'Rework Log'!$A$3:$A$499,$B5,'Rework Log'!$C$3:$C$499,"DPO*"),_xlpm.act,IF(AND(AD5&lt;&gt;"",AD5&gt;_xlpm.sent),AD5,""),IF(_xlpm.tgt="","No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3" t="s">
        <v>45</v>
      </c>
      <c r="Q5" s="4">
        <v>46129</v>
      </c>
      <c r="R5" s="36"/>
      <c r="S5" s="36">
        <v>46120</v>
      </c>
      <c r="T5" s="69"/>
      <c r="U5" s="33" t="s">
        <v>46</v>
      </c>
      <c r="V5" s="59">
        <v>46136</v>
      </c>
      <c r="W5" s="36">
        <v>46122</v>
      </c>
      <c r="X5" s="36"/>
      <c r="Y5" s="36"/>
      <c r="Z5" s="36"/>
      <c r="AA5" s="36"/>
      <c r="AB5" s="52">
        <v>46140</v>
      </c>
      <c r="AC5" s="36"/>
      <c r="AD5" s="36"/>
      <c r="AE5" s="33" t="s">
        <v>47</v>
      </c>
      <c r="AF5" s="33" t="s">
        <v>48</v>
      </c>
      <c r="AG5" s="38" t="s">
        <v>49</v>
      </c>
      <c r="AH5" s="36">
        <v>46122</v>
      </c>
      <c r="AI5" s="39" t="s">
        <v>65</v>
      </c>
      <c r="AJ5" s="33" t="s">
        <v>66</v>
      </c>
      <c r="AK5" s="40" t="s">
        <v>52</v>
      </c>
      <c r="AL5" s="73" t="str">
        <f>IF($B5="","",IF(AND(LEFT($AK5,3)="Yes",SUMPRODUCT(('Rework Log'!$A$3:$A$499=$B5)*('Rework Log'!$G$3:$G$499&lt;&gt;"Yes")*('Rework Log'!$G$3:$G$499&lt;&gt;"Did not pass re-test"))=0),"Blocked - log it on Rework Log",IF(AND(LEFT($AK5,3)&lt;&gt;"Yes",SUMPRODUCT(('Rework Log'!$A$3:$A$499=$B5)*('Rework Log'!$G$3:$G$499&lt;&gt;"Yes")*('Rework Log'!$G$3:$G$499&lt;&gt;"Did not pass re-test"))&gt;0),"Open rework row - mark Blocked? or close it",IF(AND($AK5="Yes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H)",IF(AND($AK5="Yes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H)",IF(AND($AK5="Yes – needs QA to fix",W5&lt;&gt;"",SUMPRODUCT(MAX((('Rework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target",IF(AND(AB5&lt;&gt;"",V5&lt;&gt;"",AB5&lt;V5),"DPO Approval target is before QA target",IF(AND(AH5&lt;&gt;"",AB5&lt;&gt;"",AH5&lt;AB5),"Confirmed Deployed date is before DPO Approval target",""))))))))))))</f>
        <v>Confirmed Deployed date is before DPO Approval target</v>
      </c>
      <c r="AM5" s="41" t="s">
        <v>67</v>
      </c>
      <c r="AN5" s="31" t="str" cm="1">
        <f t="array" ref="AN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5" s="31" t="str" cm="1">
        <f t="array" ref="AO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5" s="31"/>
      <c r="AQ5" s="32"/>
    </row>
    <row r="6" spans="1:43" ht="14.4" x14ac:dyDescent="0.3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IF($B6="","",IF(LEFT($AK6,3)="Yes","Blocked - "&amp;MID($AK6,7,100)&amp;IF(SUMPRODUCT(('Rework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track")),IF(C6="QA",_xlfn.LET(_xlpm.tgt,IF(AN6&lt;&gt;"",AN6,IF(Y6&lt;&gt;"",Y6,V6)),_xlpm.sent,_xlfn.MAXIFS('Rework Log'!$B$3:$B$499,'Rework Log'!$A$3:$A$499,$B6,'Rework Log'!$C$3:$C$499,"QA"),_xlpm.act,IF(AND(W6&lt;&gt;"",W6&gt;_xlpm.sent),W6,""),IF(_xlpm.tgt="","No target set",IF(AND(_xlpm.tgt&lt;TODAY(),_xlpm.act=""),"Overdue","On track"))),IF(C6="DPO Approval",_xlfn.LET(_xlpm.tgt,IF(AO6&lt;&gt;"",AO6,IF(AC6&lt;&gt;"",AC6,AB6)),_xlpm.sent,_xlfn.MAXIFS('Rework Log'!$B$3:$B$499,'Rework Log'!$A$3:$A$499,$B6,'Rework Log'!$C$3:$C$499,"DPO*"),_xlpm.act,IF(AND(AD6&lt;&gt;"",AD6&gt;_xlpm.sent),AD6,""),IF(_xlpm.tgt="","No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42</v>
      </c>
      <c r="J6" s="33"/>
      <c r="K6" s="4"/>
      <c r="L6" s="47"/>
      <c r="M6" s="36"/>
      <c r="N6" s="36" t="s">
        <v>44</v>
      </c>
      <c r="O6" s="36"/>
      <c r="P6" s="63"/>
      <c r="Q6" s="4"/>
      <c r="R6" s="43"/>
      <c r="S6" s="36"/>
      <c r="T6" s="69"/>
      <c r="U6" s="33"/>
      <c r="V6" s="59"/>
      <c r="W6" s="36"/>
      <c r="X6" s="36"/>
      <c r="Y6" s="43"/>
      <c r="Z6" s="36"/>
      <c r="AA6" s="36"/>
      <c r="AB6" s="52"/>
      <c r="AC6" s="43"/>
      <c r="AD6" s="43"/>
      <c r="AE6" s="33" t="s">
        <v>47</v>
      </c>
      <c r="AF6" s="33" t="s">
        <v>48</v>
      </c>
      <c r="AG6" s="38" t="s">
        <v>49</v>
      </c>
      <c r="AH6" s="36">
        <v>46142</v>
      </c>
      <c r="AI6" s="39"/>
      <c r="AJ6" s="33"/>
      <c r="AK6" s="40"/>
      <c r="AL6" s="48"/>
      <c r="AM6" s="41"/>
      <c r="AN6" s="31" t="str" cm="1">
        <f t="array" ref="AN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6" s="31" t="str" cm="1">
        <f t="array" ref="AO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6" s="31"/>
      <c r="AQ6" s="32"/>
    </row>
    <row r="7" spans="1:43" ht="14.4" x14ac:dyDescent="0.3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IF($B7="","",IF(LEFT($AK7,3)="Yes","Blocked - "&amp;MID($AK7,7,100)&amp;IF(SUMPRODUCT(('Rework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track")),IF(C7="QA",_xlfn.LET(_xlpm.tgt,IF(AN7&lt;&gt;"",AN7,IF(Y7&lt;&gt;"",Y7,V7)),_xlpm.sent,_xlfn.MAXIFS('Rework Log'!$B$3:$B$499,'Rework Log'!$A$3:$A$499,$B7,'Rework Log'!$C$3:$C$499,"QA"),_xlpm.act,IF(AND(W7&lt;&gt;"",W7&gt;_xlpm.sent),W7,""),IF(_xlpm.tgt="","No target set",IF(AND(_xlpm.tgt&lt;TODAY(),_xlpm.act=""),"Overdue","On track"))),IF(C7="DPO Approval",_xlfn.LET(_xlpm.tgt,IF(AO7&lt;&gt;"",AO7,IF(AC7&lt;&gt;"",AC7,AB7)),_xlpm.sent,_xlfn.MAXIFS('Rework Log'!$B$3:$B$499,'Rework Log'!$A$3:$A$499,$B7,'Rework Log'!$C$3:$C$499,"DPO*"),_xlpm.act,IF(AND(AD7&lt;&gt;"",AD7&gt;_xlpm.sent),AD7,""),IF(_xlpm.tgt="","No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42</v>
      </c>
      <c r="J7" s="33"/>
      <c r="K7" s="4"/>
      <c r="L7" s="47"/>
      <c r="M7" s="36"/>
      <c r="N7" s="36" t="s">
        <v>44</v>
      </c>
      <c r="O7" s="36"/>
      <c r="P7" s="63"/>
      <c r="Q7" s="4"/>
      <c r="R7" s="43"/>
      <c r="S7" s="36"/>
      <c r="T7" s="69"/>
      <c r="U7" s="33"/>
      <c r="V7" s="59"/>
      <c r="W7" s="36"/>
      <c r="X7" s="36"/>
      <c r="Y7" s="43"/>
      <c r="Z7" s="36"/>
      <c r="AA7" s="36"/>
      <c r="AB7" s="52"/>
      <c r="AC7" s="43"/>
      <c r="AD7" s="43"/>
      <c r="AE7" s="33" t="s">
        <v>47</v>
      </c>
      <c r="AF7" s="33" t="s">
        <v>48</v>
      </c>
      <c r="AG7" s="38" t="s">
        <v>49</v>
      </c>
      <c r="AH7" s="36">
        <v>46142</v>
      </c>
      <c r="AI7" s="39"/>
      <c r="AJ7" s="33"/>
      <c r="AK7" s="40"/>
      <c r="AL7" s="48"/>
      <c r="AM7" s="41"/>
      <c r="AN7" s="31" t="str" cm="1">
        <f t="array" ref="AN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7" s="31" t="str" cm="1">
        <f t="array" ref="AO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7" s="31"/>
      <c r="AQ7" s="32"/>
    </row>
    <row r="8" spans="1:43" ht="14.4" x14ac:dyDescent="0.3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IF($B8="","",IF(LEFT($AK8,3)="Yes","Blocked - "&amp;MID($AK8,7,100)&amp;IF(SUMPRODUCT(('Rework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track")),IF(C8="QA",_xlfn.LET(_xlpm.tgt,IF(AN8&lt;&gt;"",AN8,IF(Y8&lt;&gt;"",Y8,V8)),_xlpm.sent,_xlfn.MAXIFS('Rework Log'!$B$3:$B$499,'Rework Log'!$A$3:$A$499,$B8,'Rework Log'!$C$3:$C$499,"QA"),_xlpm.act,IF(AND(W8&lt;&gt;"",W8&gt;_xlpm.sent),W8,""),IF(_xlpm.tgt="","No target set",IF(AND(_xlpm.tgt&lt;TODAY(),_xlpm.act=""),"Overdue","On track"))),IF(C8="DPO Approval",_xlfn.LET(_xlpm.tgt,IF(AO8&lt;&gt;"",AO8,IF(AC8&lt;&gt;"",AC8,AB8)),_xlpm.sent,_xlfn.MAXIFS('Rework Log'!$B$3:$B$499,'Rework Log'!$A$3:$A$499,$B8,'Rework Log'!$C$3:$C$499,"DPO*"),_xlpm.act,IF(AND(AD8&lt;&gt;"",AD8&gt;_xlpm.sent),AD8,""),IF(_xlpm.tgt="","No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42</v>
      </c>
      <c r="J8" s="33"/>
      <c r="K8" s="4"/>
      <c r="L8" s="47"/>
      <c r="M8" s="36"/>
      <c r="N8" s="36" t="s">
        <v>44</v>
      </c>
      <c r="O8" s="36"/>
      <c r="P8" s="63"/>
      <c r="Q8" s="4"/>
      <c r="R8" s="43"/>
      <c r="S8" s="36"/>
      <c r="T8" s="69"/>
      <c r="U8" s="33"/>
      <c r="V8" s="59"/>
      <c r="W8" s="36"/>
      <c r="X8" s="36"/>
      <c r="Y8" s="43"/>
      <c r="Z8" s="36"/>
      <c r="AA8" s="36"/>
      <c r="AB8" s="52"/>
      <c r="AC8" s="43"/>
      <c r="AD8" s="43"/>
      <c r="AE8" s="33" t="s">
        <v>47</v>
      </c>
      <c r="AF8" s="33" t="s">
        <v>71</v>
      </c>
      <c r="AG8" s="38" t="s">
        <v>49</v>
      </c>
      <c r="AH8" s="36">
        <v>46142</v>
      </c>
      <c r="AI8" s="39"/>
      <c r="AJ8" s="33"/>
      <c r="AK8" s="40"/>
      <c r="AL8" s="48"/>
      <c r="AM8" s="41"/>
      <c r="AN8" s="31" t="str" cm="1">
        <f t="array" ref="AN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8" s="31" t="str" cm="1">
        <f t="array" ref="AO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8" s="31"/>
      <c r="AQ8" s="32"/>
    </row>
    <row r="9" spans="1:43" ht="14.4" x14ac:dyDescent="0.3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IF($B9="","",IF(LEFT($AK9,3)="Yes","Blocked - "&amp;MID($AK9,7,100)&amp;IF(SUMPRODUCT(('Rework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track")),IF(C9="QA",_xlfn.LET(_xlpm.tgt,IF(AN9&lt;&gt;"",AN9,IF(Y9&lt;&gt;"",Y9,V9)),_xlpm.sent,_xlfn.MAXIFS('Rework Log'!$B$3:$B$499,'Rework Log'!$A$3:$A$499,$B9,'Rework Log'!$C$3:$C$499,"QA"),_xlpm.act,IF(AND(W9&lt;&gt;"",W9&gt;_xlpm.sent),W9,""),IF(_xlpm.tgt="","No target set",IF(AND(_xlpm.tgt&lt;TODAY(),_xlpm.act=""),"Overdue","On track"))),IF(C9="DPO Approval",_xlfn.LET(_xlpm.tgt,IF(AO9&lt;&gt;"",AO9,IF(AC9&lt;&gt;"",AC9,AB9)),_xlpm.sent,_xlfn.MAXIFS('Rework Log'!$B$3:$B$499,'Rework Log'!$A$3:$A$499,$B9,'Rework Log'!$C$3:$C$499,"DPO*"),_xlpm.act,IF(AND(AD9&lt;&gt;"",AD9&gt;_xlpm.sent),AD9,""),IF(_xlpm.tgt="","No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42</v>
      </c>
      <c r="J9" s="33"/>
      <c r="K9" s="4"/>
      <c r="L9" s="47"/>
      <c r="M9" s="36"/>
      <c r="N9" s="36" t="s">
        <v>44</v>
      </c>
      <c r="O9" s="36"/>
      <c r="P9" s="63"/>
      <c r="Q9" s="4"/>
      <c r="R9" s="43"/>
      <c r="S9" s="36"/>
      <c r="T9" s="69"/>
      <c r="U9" s="33"/>
      <c r="V9" s="59"/>
      <c r="W9" s="36"/>
      <c r="X9" s="36"/>
      <c r="Y9" s="43"/>
      <c r="Z9" s="36"/>
      <c r="AA9" s="36"/>
      <c r="AB9" s="52"/>
      <c r="AC9" s="43"/>
      <c r="AD9" s="43"/>
      <c r="AE9" s="33" t="s">
        <v>47</v>
      </c>
      <c r="AF9" s="33" t="s">
        <v>71</v>
      </c>
      <c r="AG9" s="38" t="s">
        <v>49</v>
      </c>
      <c r="AH9" s="36">
        <v>46142</v>
      </c>
      <c r="AI9" s="39"/>
      <c r="AJ9" s="33"/>
      <c r="AK9" s="40"/>
      <c r="AL9" s="48"/>
      <c r="AM9" s="41"/>
      <c r="AN9" s="31" t="str" cm="1">
        <f t="array" ref="AN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9" s="31" t="str" cm="1">
        <f t="array" ref="AO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9" s="31"/>
      <c r="AQ9" s="32"/>
    </row>
    <row r="10" spans="1:43" ht="14.4" x14ac:dyDescent="0.3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IF($B10="","",IF(LEFT($AK10,3)="Yes","Blocked - "&amp;MID($AK10,7,100)&amp;IF(SUMPRODUCT(('Rework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track")),IF(C10="QA",_xlfn.LET(_xlpm.tgt,IF(AN10&lt;&gt;"",AN10,IF(Y10&lt;&gt;"",Y10,V10)),_xlpm.sent,_xlfn.MAXIFS('Rework Log'!$B$3:$B$499,'Rework Log'!$A$3:$A$499,$B10,'Rework Log'!$C$3:$C$499,"QA"),_xlpm.act,IF(AND(W10&lt;&gt;"",W10&gt;_xlpm.sent),W10,""),IF(_xlpm.tgt="","No target set",IF(AND(_xlpm.tgt&lt;TODAY(),_xlpm.act=""),"Overdue","On track"))),IF(C10="DPO Approval",_xlfn.LET(_xlpm.tgt,IF(AO10&lt;&gt;"",AO10,IF(AC10&lt;&gt;"",AC10,AB10)),_xlpm.sent,_xlfn.MAXIFS('Rework Log'!$B$3:$B$499,'Rework Log'!$A$3:$A$499,$B10,'Rework Log'!$C$3:$C$499,"DPO*"),_xlpm.act,IF(AND(AD10&lt;&gt;"",AD10&gt;_xlpm.sent),AD10,""),IF(_xlpm.tgt="","No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3" t="s">
        <v>76</v>
      </c>
      <c r="Q10" s="4">
        <v>46157</v>
      </c>
      <c r="R10" s="36"/>
      <c r="S10" s="36">
        <v>46134</v>
      </c>
      <c r="T10" s="69"/>
      <c r="U10" s="33" t="s">
        <v>46</v>
      </c>
      <c r="V10" s="59">
        <v>46164</v>
      </c>
      <c r="W10" s="36">
        <v>46134</v>
      </c>
      <c r="X10" s="36"/>
      <c r="Y10" s="36"/>
      <c r="Z10" s="36"/>
      <c r="AA10" s="36"/>
      <c r="AB10" s="52">
        <v>46169</v>
      </c>
      <c r="AC10" s="36"/>
      <c r="AD10" s="36"/>
      <c r="AE10" s="33" t="s">
        <v>47</v>
      </c>
      <c r="AF10" s="33" t="s">
        <v>71</v>
      </c>
      <c r="AG10" s="38" t="s">
        <v>49</v>
      </c>
      <c r="AH10" s="36">
        <v>46134</v>
      </c>
      <c r="AI10" s="39" t="s">
        <v>77</v>
      </c>
      <c r="AJ10" s="33" t="s">
        <v>78</v>
      </c>
      <c r="AK10" s="40" t="s">
        <v>52</v>
      </c>
      <c r="AL10" s="73" t="str">
        <f>IF($B10="","",IF(AND(LEFT($AK10,3)="Yes",SUMPRODUCT(('Rework Log'!$A$3:$A$499=$B10)*('Rework Log'!$G$3:$G$499&lt;&gt;"Yes")*('Rework Log'!$G$3:$G$499&lt;&gt;"Did not pass re-test"))=0),"Blocked - log it on Rework Log",IF(AND(LEFT($AK10,3)&lt;&gt;"Yes",SUMPRODUCT(('Rework Log'!$A$3:$A$499=$B10)*('Rework Log'!$G$3:$G$499&lt;&gt;"Yes")*('Rework Log'!$G$3:$G$499&lt;&gt;"Did not pass re-test"))&gt;0),"Open rework row - mark Blocked? or close it",IF(AND($AK10="Yes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H)",IF(AND($AK10="Yes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H)",IF(AND($AK10="Yes – needs QA to fix",W10&lt;&gt;"",SUMPRODUCT(MAX((('Rework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target",IF(AND(AB10&lt;&gt;"",V10&lt;&gt;"",AB10&lt;V10),"DPO Approval target is before QA target",IF(AND(AH10&lt;&gt;"",AB10&lt;&gt;"",AH10&lt;AB10),"Confirmed Deployed date is before DPO Approval target",""))))))))))))</f>
        <v>Confirmed Deployed date is before DPO Approval target</v>
      </c>
      <c r="AM10" s="41"/>
      <c r="AN10" s="31" t="str" cm="1">
        <f t="array" ref="AN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0" s="31" t="str" cm="1">
        <f t="array" ref="AO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0" s="31"/>
      <c r="AQ10" s="32"/>
    </row>
    <row r="11" spans="1:43" ht="14.4" x14ac:dyDescent="0.3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IF($B11="","",IF(LEFT($AK11,3)="Yes","Blocked - "&amp;MID($AK11,7,100)&amp;IF(SUMPRODUCT(('Rework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track")),IF(C11="QA",_xlfn.LET(_xlpm.tgt,IF(AN11&lt;&gt;"",AN11,IF(Y11&lt;&gt;"",Y11,V11)),_xlpm.sent,_xlfn.MAXIFS('Rework Log'!$B$3:$B$499,'Rework Log'!$A$3:$A$499,$B11,'Rework Log'!$C$3:$C$499,"QA"),_xlpm.act,IF(AND(W11&lt;&gt;"",W11&gt;_xlpm.sent),W11,""),IF(_xlpm.tgt="","No target set",IF(AND(_xlpm.tgt&lt;TODAY(),_xlpm.act=""),"Overdue","On track"))),IF(C11="DPO Approval",_xlfn.LET(_xlpm.tgt,IF(AO11&lt;&gt;"",AO11,IF(AC11&lt;&gt;"",AC11,AB11)),_xlpm.sent,_xlfn.MAXIFS('Rework Log'!$B$3:$B$499,'Rework Log'!$A$3:$A$499,$B11,'Rework Log'!$C$3:$C$499,"DPO*"),_xlpm.act,IF(AND(AD11&lt;&gt;"",AD11&gt;_xlpm.sent),AD11,""),IF(_xlpm.tgt="","No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4" t="s">
        <v>76</v>
      </c>
      <c r="Q11" s="4">
        <v>46157</v>
      </c>
      <c r="R11" s="36"/>
      <c r="S11" s="36">
        <v>46139</v>
      </c>
      <c r="T11" s="69"/>
      <c r="U11" s="33" t="s">
        <v>46</v>
      </c>
      <c r="V11" s="59">
        <v>46164</v>
      </c>
      <c r="W11" s="36">
        <v>46139</v>
      </c>
      <c r="X11" s="36"/>
      <c r="Y11" s="36"/>
      <c r="Z11" s="36"/>
      <c r="AA11" s="36"/>
      <c r="AB11" s="52">
        <v>46169</v>
      </c>
      <c r="AC11" s="36"/>
      <c r="AD11" s="36"/>
      <c r="AE11" s="33" t="s">
        <v>47</v>
      </c>
      <c r="AF11" s="33" t="s">
        <v>71</v>
      </c>
      <c r="AG11" s="38" t="s">
        <v>49</v>
      </c>
      <c r="AH11" s="36">
        <v>46139</v>
      </c>
      <c r="AI11" s="39" t="s">
        <v>80</v>
      </c>
      <c r="AJ11" s="33" t="s">
        <v>81</v>
      </c>
      <c r="AK11" s="40" t="s">
        <v>52</v>
      </c>
      <c r="AL11" s="73" t="str">
        <f>IF($B11="","",IF(AND(LEFT($AK11,3)="Yes",SUMPRODUCT(('Rework Log'!$A$3:$A$499=$B11)*('Rework Log'!$G$3:$G$499&lt;&gt;"Yes")*('Rework Log'!$G$3:$G$499&lt;&gt;"Did not pass re-test"))=0),"Blocked - log it on Rework Log",IF(AND(LEFT($AK11,3)&lt;&gt;"Yes",SUMPRODUCT(('Rework Log'!$A$3:$A$499=$B11)*('Rework Log'!$G$3:$G$499&lt;&gt;"Yes")*('Rework Log'!$G$3:$G$499&lt;&gt;"Did not pass re-test"))&gt;0),"Open rework row - mark Blocked? or close it",IF(AND($AK11="Yes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H)",IF(AND($AK11="Yes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H)",IF(AND($AK11="Yes – needs QA to fix",W11&lt;&gt;"",SUMPRODUCT(MAX((('Rework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target",IF(AND(AB11&lt;&gt;"",V11&lt;&gt;"",AB11&lt;V11),"DPO Approval target is before QA target",IF(AND(AH11&lt;&gt;"",AB11&lt;&gt;"",AH11&lt;AB11),"Confirmed Deployed date is before DPO Approval target",""))))))))))))</f>
        <v>Confirmed Deployed date is before DPO Approval target</v>
      </c>
      <c r="AM11" s="41"/>
      <c r="AN11" s="31" t="str" cm="1">
        <f t="array" ref="AN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1" s="31" t="str" cm="1">
        <f t="array" ref="AO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1" s="31"/>
      <c r="AQ11" s="32"/>
    </row>
    <row r="12" spans="1:43" ht="14.4" x14ac:dyDescent="0.3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IF($B12="","",IF(LEFT($AK12,3)="Yes","Blocked - "&amp;MID($AK12,7,100)&amp;IF(SUMPRODUCT(('Rework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track")),IF(C12="QA",_xlfn.LET(_xlpm.tgt,IF(AN12&lt;&gt;"",AN12,IF(Y12&lt;&gt;"",Y12,V12)),_xlpm.sent,_xlfn.MAXIFS('Rework Log'!$B$3:$B$499,'Rework Log'!$A$3:$A$499,$B12,'Rework Log'!$C$3:$C$499,"QA"),_xlpm.act,IF(AND(W12&lt;&gt;"",W12&gt;_xlpm.sent),W12,""),IF(_xlpm.tgt="","No target set",IF(AND(_xlpm.tgt&lt;TODAY(),_xlpm.act=""),"Overdue","On track"))),IF(C12="DPO Approval",_xlfn.LET(_xlpm.tgt,IF(AO12&lt;&gt;"",AO12,IF(AC12&lt;&gt;"",AC12,AB12)),_xlpm.sent,_xlfn.MAXIFS('Rework Log'!$B$3:$B$499,'Rework Log'!$A$3:$A$499,$B12,'Rework Log'!$C$3:$C$499,"DPO*"),_xlpm.act,IF(AND(AD12&lt;&gt;"",AD12&gt;_xlpm.sent),AD12,""),IF(_xlpm.tgt="","No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3" t="s">
        <v>59</v>
      </c>
      <c r="Q12" s="4">
        <v>46157</v>
      </c>
      <c r="R12" s="36"/>
      <c r="S12" s="36">
        <v>46147</v>
      </c>
      <c r="T12" s="69"/>
      <c r="U12" s="33" t="s">
        <v>46</v>
      </c>
      <c r="V12" s="59">
        <v>46164</v>
      </c>
      <c r="W12" s="36">
        <v>46147</v>
      </c>
      <c r="X12" s="36"/>
      <c r="Y12" s="36"/>
      <c r="Z12" s="36"/>
      <c r="AA12" s="36"/>
      <c r="AB12" s="52">
        <v>46169</v>
      </c>
      <c r="AC12" s="36"/>
      <c r="AD12" s="36"/>
      <c r="AE12" s="33" t="s">
        <v>47</v>
      </c>
      <c r="AF12" s="33" t="s">
        <v>48</v>
      </c>
      <c r="AG12" s="38" t="s">
        <v>49</v>
      </c>
      <c r="AH12" s="36">
        <v>46147</v>
      </c>
      <c r="AI12" s="39" t="s">
        <v>84</v>
      </c>
      <c r="AJ12" s="33" t="s">
        <v>85</v>
      </c>
      <c r="AK12" s="40" t="s">
        <v>52</v>
      </c>
      <c r="AL12" s="73" t="str">
        <f>IF($B12="","",IF(AND(LEFT($AK12,3)="Yes",SUMPRODUCT(('Rework Log'!$A$3:$A$499=$B12)*('Rework Log'!$G$3:$G$499&lt;&gt;"Yes")*('Rework Log'!$G$3:$G$499&lt;&gt;"Did not pass re-test"))=0),"Blocked - log it on Rework Log",IF(AND(LEFT($AK12,3)&lt;&gt;"Yes",SUMPRODUCT(('Rework Log'!$A$3:$A$499=$B12)*('Rework Log'!$G$3:$G$499&lt;&gt;"Yes")*('Rework Log'!$G$3:$G$499&lt;&gt;"Did not pass re-test"))&gt;0),"Open rework row - mark Blocked? or close it",IF(AND($AK12="Yes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H)",IF(AND($AK12="Yes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H)",IF(AND($AK12="Yes – needs QA to fix",W12&lt;&gt;"",SUMPRODUCT(MAX((('Rework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target",IF(AND(AB12&lt;&gt;"",V12&lt;&gt;"",AB12&lt;V12),"DPO Approval target is before QA target",IF(AND(AH12&lt;&gt;"",AB12&lt;&gt;"",AH12&lt;AB12),"Confirmed Deployed date is before DPO Approval target",""))))))))))))</f>
        <v>Confirmed Deployed date is before DPO Approval target</v>
      </c>
      <c r="AM12" s="41"/>
      <c r="AN12" s="31" t="str" cm="1">
        <f t="array" ref="AN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2" s="31" t="str" cm="1">
        <f t="array" ref="AO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2" s="31"/>
      <c r="AQ12" s="32"/>
    </row>
    <row r="13" spans="1:43" ht="14.4" x14ac:dyDescent="0.3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IF($B13="","",IF(LEFT($AK13,3)="Yes","Blocked - "&amp;MID($AK13,7,100)&amp;IF(SUMPRODUCT(('Rework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track")),IF(C13="QA",_xlfn.LET(_xlpm.tgt,IF(AN13&lt;&gt;"",AN13,IF(Y13&lt;&gt;"",Y13,V13)),_xlpm.sent,_xlfn.MAXIFS('Rework Log'!$B$3:$B$499,'Rework Log'!$A$3:$A$499,$B13,'Rework Log'!$C$3:$C$499,"QA"),_xlpm.act,IF(AND(W13&lt;&gt;"",W13&gt;_xlpm.sent),W13,""),IF(_xlpm.tgt="","No target set",IF(AND(_xlpm.tgt&lt;TODAY(),_xlpm.act=""),"Overdue","On track"))),IF(C13="DPO Approval",_xlfn.LET(_xlpm.tgt,IF(AO13&lt;&gt;"",AO13,IF(AC13&lt;&gt;"",AC13,AB13)),_xlpm.sent,_xlfn.MAXIFS('Rework Log'!$B$3:$B$499,'Rework Log'!$A$3:$A$499,$B13,'Rework Log'!$C$3:$C$499,"DPO*"),_xlpm.act,IF(AND(AD13&lt;&gt;"",AD13&gt;_xlpm.sent),AD13,""),IF(_xlpm.tgt="","No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3" t="s">
        <v>45</v>
      </c>
      <c r="Q13" s="4">
        <v>46157</v>
      </c>
      <c r="R13" s="36"/>
      <c r="S13" s="36">
        <v>46175</v>
      </c>
      <c r="T13" s="69"/>
      <c r="U13" s="33" t="s">
        <v>87</v>
      </c>
      <c r="V13" s="59">
        <v>46164</v>
      </c>
      <c r="W13" s="36">
        <v>46179</v>
      </c>
      <c r="X13" s="36"/>
      <c r="Y13" s="36"/>
      <c r="Z13" s="36"/>
      <c r="AA13" s="36"/>
      <c r="AB13" s="52">
        <v>46169</v>
      </c>
      <c r="AC13" s="36"/>
      <c r="AD13" s="36"/>
      <c r="AE13" s="33" t="s">
        <v>47</v>
      </c>
      <c r="AF13" s="33" t="s">
        <v>48</v>
      </c>
      <c r="AG13" s="38" t="s">
        <v>49</v>
      </c>
      <c r="AH13" s="36">
        <v>46179</v>
      </c>
      <c r="AI13" s="39" t="s">
        <v>88</v>
      </c>
      <c r="AJ13" s="33"/>
      <c r="AK13" s="40" t="s">
        <v>52</v>
      </c>
      <c r="AL13" s="73" t="str">
        <f>IF($B13="","",IF(AND(LEFT($AK13,3)="Yes",SUMPRODUCT(('Rework Log'!$A$3:$A$499=$B13)*('Rework Log'!$G$3:$G$499&lt;&gt;"Yes")*('Rework Log'!$G$3:$G$499&lt;&gt;"Did not pass re-test"))=0),"Blocked - log it on Rework Log",IF(AND(LEFT($AK13,3)&lt;&gt;"Yes",SUMPRODUCT(('Rework Log'!$A$3:$A$499=$B13)*('Rework Log'!$G$3:$G$499&lt;&gt;"Yes")*('Rework Log'!$G$3:$G$499&lt;&gt;"Did not pass re-test"))&gt;0),"Open rework row - mark Blocked? or close it",IF(AND($AK13="Yes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H)",IF(AND($AK13="Yes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H)",IF(AND($AK13="Yes – needs QA to fix",W13&lt;&gt;"",SUMPRODUCT(MAX((('Rework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target",IF(AND(AB13&lt;&gt;"",V13&lt;&gt;"",AB13&lt;V13),"DPO Approval target is before QA target",IF(AND(AH13&lt;&gt;"",AB13&lt;&gt;"",AH13&lt;AB13),"Confirmed Deployed date is before DPO Approval target",""))))))))))))</f>
        <v/>
      </c>
      <c r="AM13" s="41"/>
      <c r="AN13" s="31" t="str" cm="1">
        <f t="array" ref="AN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3" s="31" t="str" cm="1">
        <f t="array" ref="AO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3" s="31"/>
      <c r="AQ13" s="32"/>
    </row>
    <row r="14" spans="1:43" ht="14.4" x14ac:dyDescent="0.3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IF($B14="","",IF(LEFT($AK14,3)="Yes","Blocked - "&amp;MID($AK14,7,100)&amp;IF(SUMPRODUCT(('Rework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track")),IF(C14="QA",_xlfn.LET(_xlpm.tgt,IF(AN14&lt;&gt;"",AN14,IF(Y14&lt;&gt;"",Y14,V14)),_xlpm.sent,_xlfn.MAXIFS('Rework Log'!$B$3:$B$499,'Rework Log'!$A$3:$A$499,$B14,'Rework Log'!$C$3:$C$499,"QA"),_xlpm.act,IF(AND(W14&lt;&gt;"",W14&gt;_xlpm.sent),W14,""),IF(_xlpm.tgt="","No target set",IF(AND(_xlpm.tgt&lt;TODAY(),_xlpm.act=""),"Overdue","On track"))),IF(C14="DPO Approval",_xlfn.LET(_xlpm.tgt,IF(AO14&lt;&gt;"",AO14,IF(AC14&lt;&gt;"",AC14,AB14)),_xlpm.sent,_xlfn.MAXIFS('Rework Log'!$B$3:$B$499,'Rework Log'!$A$3:$A$499,$B14,'Rework Log'!$C$3:$C$499,"DPO*"),_xlpm.act,IF(AND(AD14&lt;&gt;"",AD14&gt;_xlpm.sent),AD14,""),IF(_xlpm.tgt="","No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3" t="s">
        <v>59</v>
      </c>
      <c r="Q14" s="4">
        <v>46157</v>
      </c>
      <c r="R14" s="36"/>
      <c r="S14" s="36">
        <v>46143</v>
      </c>
      <c r="T14" s="69"/>
      <c r="U14" s="33" t="s">
        <v>87</v>
      </c>
      <c r="V14" s="59">
        <v>46164</v>
      </c>
      <c r="W14" s="36">
        <v>46175</v>
      </c>
      <c r="X14" s="36"/>
      <c r="Y14" s="36"/>
      <c r="Z14" s="36"/>
      <c r="AA14" s="36"/>
      <c r="AB14" s="52">
        <v>46169</v>
      </c>
      <c r="AC14" s="36"/>
      <c r="AD14" s="36"/>
      <c r="AE14" s="33" t="s">
        <v>47</v>
      </c>
      <c r="AF14" s="33" t="s">
        <v>71</v>
      </c>
      <c r="AG14" s="38" t="s">
        <v>49</v>
      </c>
      <c r="AH14" s="36">
        <v>46184</v>
      </c>
      <c r="AI14" s="39" t="s">
        <v>90</v>
      </c>
      <c r="AJ14" s="33" t="s">
        <v>91</v>
      </c>
      <c r="AK14" s="40" t="s">
        <v>52</v>
      </c>
      <c r="AL14" s="73" t="str">
        <f>IF($B14="","",IF(AND(LEFT($AK14,3)="Yes",SUMPRODUCT(('Rework Log'!$A$3:$A$499=$B14)*('Rework Log'!$G$3:$G$499&lt;&gt;"Yes")*('Rework Log'!$G$3:$G$499&lt;&gt;"Did not pass re-test"))=0),"Blocked - log it on Rework Log",IF(AND(LEFT($AK14,3)&lt;&gt;"Yes",SUMPRODUCT(('Rework Log'!$A$3:$A$499=$B14)*('Rework Log'!$G$3:$G$499&lt;&gt;"Yes")*('Rework Log'!$G$3:$G$499&lt;&gt;"Did not pass re-test"))&gt;0),"Open rework row - mark Blocked? or close it",IF(AND($AK14="Yes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H)",IF(AND($AK14="Yes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H)",IF(AND($AK14="Yes – needs QA to fix",W14&lt;&gt;"",SUMPRODUCT(MAX((('Rework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target",IF(AND(AB14&lt;&gt;"",V14&lt;&gt;"",AB14&lt;V14),"DPO Approval target is before QA target",IF(AND(AH14&lt;&gt;"",AB14&lt;&gt;"",AH14&lt;AB14),"Confirmed Deployed date is before DPO Approval target",""))))))))))))</f>
        <v/>
      </c>
      <c r="AM14" s="41"/>
      <c r="AN14" s="31" t="str" cm="1">
        <f t="array" ref="AN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4" s="31" t="str" cm="1">
        <f t="array" ref="AO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4" s="31"/>
      <c r="AQ14" s="32"/>
    </row>
    <row r="15" spans="1:43" ht="14.4" x14ac:dyDescent="0.3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IF($B15="","",IF(LEFT($AK15,3)="Yes","Blocked - "&amp;MID($AK15,7,100)&amp;IF(SUMPRODUCT(('Rework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track")),IF(C15="QA",_xlfn.LET(_xlpm.tgt,IF(AN15&lt;&gt;"",AN15,IF(Y15&lt;&gt;"",Y15,V15)),_xlpm.sent,_xlfn.MAXIFS('Rework Log'!$B$3:$B$499,'Rework Log'!$A$3:$A$499,$B15,'Rework Log'!$C$3:$C$499,"QA"),_xlpm.act,IF(AND(W15&lt;&gt;"",W15&gt;_xlpm.sent),W15,""),IF(_xlpm.tgt="","No target set",IF(AND(_xlpm.tgt&lt;TODAY(),_xlpm.act=""),"Overdue","On track"))),IF(C15="DPO Approval",_xlfn.LET(_xlpm.tgt,IF(AO15&lt;&gt;"",AO15,IF(AC15&lt;&gt;"",AC15,AB15)),_xlpm.sent,_xlfn.MAXIFS('Rework Log'!$B$3:$B$499,'Rework Log'!$A$3:$A$499,$B15,'Rework Log'!$C$3:$C$499,"DPO*"),_xlpm.act,IF(AND(AD15&lt;&gt;"",AD15&gt;_xlpm.sent),AD15,""),IF(_xlpm.tgt="","No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3" t="s">
        <v>76</v>
      </c>
      <c r="Q15" s="4">
        <v>46157</v>
      </c>
      <c r="R15" s="36"/>
      <c r="S15" s="36">
        <v>46178</v>
      </c>
      <c r="T15" s="69"/>
      <c r="U15" s="33" t="s">
        <v>46</v>
      </c>
      <c r="V15" s="59">
        <v>46164</v>
      </c>
      <c r="W15" s="36">
        <v>46175</v>
      </c>
      <c r="X15" s="36"/>
      <c r="Y15" s="36"/>
      <c r="Z15" s="36"/>
      <c r="AA15" s="36"/>
      <c r="AB15" s="52">
        <v>46169</v>
      </c>
      <c r="AC15" s="36"/>
      <c r="AD15" s="36"/>
      <c r="AE15" s="33" t="s">
        <v>47</v>
      </c>
      <c r="AF15" s="33" t="s">
        <v>93</v>
      </c>
      <c r="AG15" s="38" t="s">
        <v>49</v>
      </c>
      <c r="AH15" s="36">
        <v>46192</v>
      </c>
      <c r="AI15" s="39" t="s">
        <v>94</v>
      </c>
      <c r="AJ15" s="33"/>
      <c r="AK15" s="40" t="s">
        <v>52</v>
      </c>
      <c r="AL15" s="73" t="str">
        <f>IF($B15="","",IF(AND(LEFT($AK15,3)="Yes",SUMPRODUCT(('Rework Log'!$A$3:$A$499=$B15)*('Rework Log'!$G$3:$G$499&lt;&gt;"Yes")*('Rework Log'!$G$3:$G$499&lt;&gt;"Did not pass re-test"))=0),"Blocked - log it on Rework Log",IF(AND(LEFT($AK15,3)&lt;&gt;"Yes",SUMPRODUCT(('Rework Log'!$A$3:$A$499=$B15)*('Rework Log'!$G$3:$G$499&lt;&gt;"Yes")*('Rework Log'!$G$3:$G$499&lt;&gt;"Did not pass re-test"))&gt;0),"Open rework row - mark Blocked? or close it",IF(AND($AK15="Yes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H)",IF(AND($AK15="Yes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H)",IF(AND($AK15="Yes – needs QA to fix",W15&lt;&gt;"",SUMPRODUCT(MAX((('Rework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target",IF(AND(AB15&lt;&gt;"",V15&lt;&gt;"",AB15&lt;V15),"DPO Approval target is before QA target",IF(AND(AH15&lt;&gt;"",AB15&lt;&gt;"",AH15&lt;AB15),"Confirmed Deployed date is before DPO Approval target",""))))))))))))</f>
        <v/>
      </c>
      <c r="AM15" s="41" t="s">
        <v>95</v>
      </c>
      <c r="AN15" s="31" t="str" cm="1">
        <f t="array" ref="AN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5" s="31" t="str" cm="1">
        <f t="array" ref="AO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5" s="31"/>
      <c r="AQ15" s="32"/>
    </row>
    <row r="16" spans="1:43" ht="14.4" x14ac:dyDescent="0.3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IF($B16="","",IF(LEFT($AK16,3)="Yes","Blocked - "&amp;MID($AK16,7,100)&amp;IF(SUMPRODUCT(('Rework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track")),IF(C16="QA",_xlfn.LET(_xlpm.tgt,IF(AN16&lt;&gt;"",AN16,IF(Y16&lt;&gt;"",Y16,V16)),_xlpm.sent,_xlfn.MAXIFS('Rework Log'!$B$3:$B$499,'Rework Log'!$A$3:$A$499,$B16,'Rework Log'!$C$3:$C$499,"QA"),_xlpm.act,IF(AND(W16&lt;&gt;"",W16&gt;_xlpm.sent),W16,""),IF(_xlpm.tgt="","No target set",IF(AND(_xlpm.tgt&lt;TODAY(),_xlpm.act=""),"Overdue","On track"))),IF(C16="DPO Approval",_xlfn.LET(_xlpm.tgt,IF(AO16&lt;&gt;"",AO16,IF(AC16&lt;&gt;"",AC16,AB16)),_xlpm.sent,_xlfn.MAXIFS('Rework Log'!$B$3:$B$499,'Rework Log'!$A$3:$A$499,$B16,'Rework Log'!$C$3:$C$499,"DPO*"),_xlpm.act,IF(AND(AD16&lt;&gt;"",AD16&gt;_xlpm.sent),AD16,""),IF(_xlpm.tgt="","No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74</v>
      </c>
      <c r="J16" s="33"/>
      <c r="K16" s="4"/>
      <c r="L16" s="43"/>
      <c r="M16" s="36"/>
      <c r="N16" s="36" t="s">
        <v>44</v>
      </c>
      <c r="O16" s="36"/>
      <c r="P16" s="63"/>
      <c r="Q16" s="4"/>
      <c r="R16" s="43"/>
      <c r="S16" s="36"/>
      <c r="T16" s="69"/>
      <c r="U16" s="33"/>
      <c r="V16" s="59"/>
      <c r="W16" s="36"/>
      <c r="X16" s="36"/>
      <c r="Y16" s="43"/>
      <c r="Z16" s="36"/>
      <c r="AA16" s="36"/>
      <c r="AB16" s="52"/>
      <c r="AC16" s="43"/>
      <c r="AD16" s="43"/>
      <c r="AE16" s="33" t="s">
        <v>47</v>
      </c>
      <c r="AF16" s="33" t="s">
        <v>48</v>
      </c>
      <c r="AG16" s="38" t="s">
        <v>49</v>
      </c>
      <c r="AH16" s="36">
        <v>46203</v>
      </c>
      <c r="AI16" s="39"/>
      <c r="AJ16" s="33"/>
      <c r="AK16" s="40"/>
      <c r="AL16" s="48"/>
      <c r="AM16" s="41"/>
      <c r="AN16" s="31" t="str" cm="1">
        <f t="array" ref="AN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6" s="31" t="str" cm="1">
        <f t="array" ref="AO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6" s="31"/>
      <c r="AQ16" s="32"/>
    </row>
    <row r="17" spans="1:43" ht="14.4" x14ac:dyDescent="0.3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IF($B17="","",IF(LEFT($AK17,3)="Yes","Blocked - "&amp;MID($AK17,7,100)&amp;IF(SUMPRODUCT(('Rework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track")),IF(C17="QA",_xlfn.LET(_xlpm.tgt,IF(AN17&lt;&gt;"",AN17,IF(Y17&lt;&gt;"",Y17,V17)),_xlpm.sent,_xlfn.MAXIFS('Rework Log'!$B$3:$B$499,'Rework Log'!$A$3:$A$499,$B17,'Rework Log'!$C$3:$C$499,"QA"),_xlpm.act,IF(AND(W17&lt;&gt;"",W17&gt;_xlpm.sent),W17,""),IF(_xlpm.tgt="","No target set",IF(AND(_xlpm.tgt&lt;TODAY(),_xlpm.act=""),"Overdue","On track"))),IF(C17="DPO Approval",_xlfn.LET(_xlpm.tgt,IF(AO17&lt;&gt;"",AO17,IF(AC17&lt;&gt;"",AC17,AB17)),_xlpm.sent,_xlfn.MAXIFS('Rework Log'!$B$3:$B$499,'Rework Log'!$A$3:$A$499,$B17,'Rework Log'!$C$3:$C$499,"DPO*"),_xlpm.act,IF(AND(AD17&lt;&gt;"",AD17&gt;_xlpm.sent),AD17,""),IF(_xlpm.tgt="","No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74</v>
      </c>
      <c r="J17" s="33"/>
      <c r="K17" s="4"/>
      <c r="L17" s="43"/>
      <c r="M17" s="36"/>
      <c r="N17" s="36" t="s">
        <v>44</v>
      </c>
      <c r="O17" s="36"/>
      <c r="P17" s="63"/>
      <c r="Q17" s="4"/>
      <c r="R17" s="43"/>
      <c r="S17" s="36"/>
      <c r="T17" s="69"/>
      <c r="U17" s="33"/>
      <c r="V17" s="59"/>
      <c r="W17" s="36"/>
      <c r="X17" s="36"/>
      <c r="Y17" s="43"/>
      <c r="Z17" s="36"/>
      <c r="AA17" s="36"/>
      <c r="AB17" s="52"/>
      <c r="AC17" s="43"/>
      <c r="AD17" s="43"/>
      <c r="AE17" s="33" t="s">
        <v>47</v>
      </c>
      <c r="AF17" s="33" t="s">
        <v>93</v>
      </c>
      <c r="AG17" s="38" t="s">
        <v>49</v>
      </c>
      <c r="AH17" s="36">
        <v>46203</v>
      </c>
      <c r="AI17" s="39"/>
      <c r="AJ17" s="33"/>
      <c r="AK17" s="40"/>
      <c r="AL17" s="48"/>
      <c r="AM17" s="41"/>
      <c r="AN17" s="31" t="str" cm="1">
        <f t="array" ref="AN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7" s="31" t="str" cm="1">
        <f t="array" ref="AO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7" s="31"/>
      <c r="AQ17" s="32"/>
    </row>
    <row r="18" spans="1:43" ht="14.4" x14ac:dyDescent="0.3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IF($B18="","",IF(LEFT($AK18,3)="Yes","Blocked - "&amp;MID($AK18,7,100)&amp;IF(SUMPRODUCT(('Rework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track")),IF(C18="QA",_xlfn.LET(_xlpm.tgt,IF(AN18&lt;&gt;"",AN18,IF(Y18&lt;&gt;"",Y18,V18)),_xlpm.sent,_xlfn.MAXIFS('Rework Log'!$B$3:$B$499,'Rework Log'!$A$3:$A$499,$B18,'Rework Log'!$C$3:$C$499,"QA"),_xlpm.act,IF(AND(W18&lt;&gt;"",W18&gt;_xlpm.sent),W18,""),IF(_xlpm.tgt="","No target set",IF(AND(_xlpm.tgt&lt;TODAY(),_xlpm.act=""),"Overdue","On track"))),IF(C18="DPO Approval",_xlfn.LET(_xlpm.tgt,IF(AO18&lt;&gt;"",AO18,IF(AC18&lt;&gt;"",AC18,AB18)),_xlpm.sent,_xlfn.MAXIFS('Rework Log'!$B$3:$B$499,'Rework Log'!$A$3:$A$499,$B18,'Rework Log'!$C$3:$C$499,"DPO*"),_xlpm.act,IF(AND(AD18&lt;&gt;"",AD18&gt;_xlpm.sent),AD18,""),IF(_xlpm.tgt="","No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74</v>
      </c>
      <c r="J18" s="33"/>
      <c r="K18" s="4"/>
      <c r="L18" s="43"/>
      <c r="M18" s="36"/>
      <c r="N18" s="36" t="s">
        <v>44</v>
      </c>
      <c r="O18" s="36"/>
      <c r="P18" s="63"/>
      <c r="Q18" s="4"/>
      <c r="R18" s="43"/>
      <c r="S18" s="36"/>
      <c r="T18" s="69"/>
      <c r="U18" s="33"/>
      <c r="V18" s="59"/>
      <c r="W18" s="36"/>
      <c r="X18" s="36"/>
      <c r="Y18" s="43"/>
      <c r="Z18" s="36"/>
      <c r="AA18" s="36"/>
      <c r="AB18" s="52"/>
      <c r="AC18" s="43"/>
      <c r="AD18" s="43"/>
      <c r="AE18" s="33" t="s">
        <v>47</v>
      </c>
      <c r="AF18" s="33" t="s">
        <v>48</v>
      </c>
      <c r="AG18" s="38" t="s">
        <v>49</v>
      </c>
      <c r="AH18" s="36">
        <v>46203</v>
      </c>
      <c r="AI18" s="39"/>
      <c r="AJ18" s="33"/>
      <c r="AK18" s="40"/>
      <c r="AL18" s="48"/>
      <c r="AM18" s="41"/>
      <c r="AN18" s="31" t="str" cm="1">
        <f t="array" ref="AN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8" s="31" t="str" cm="1">
        <f t="array" ref="AO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8" s="31"/>
      <c r="AQ18" s="32"/>
    </row>
    <row r="19" spans="1:43" ht="14.4" x14ac:dyDescent="0.3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IF($B19="","",IF(LEFT($AK19,3)="Yes","Blocked - "&amp;MID($AK19,7,100)&amp;IF(SUMPRODUCT(('Rework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track")),IF(C19="QA",_xlfn.LET(_xlpm.tgt,IF(AN19&lt;&gt;"",AN19,IF(Y19&lt;&gt;"",Y19,V19)),_xlpm.sent,_xlfn.MAXIFS('Rework Log'!$B$3:$B$499,'Rework Log'!$A$3:$A$499,$B19,'Rework Log'!$C$3:$C$499,"QA"),_xlpm.act,IF(AND(W19&lt;&gt;"",W19&gt;_xlpm.sent),W19,""),IF(_xlpm.tgt="","No target set",IF(AND(_xlpm.tgt&lt;TODAY(),_xlpm.act=""),"Overdue","On track"))),IF(C19="DPO Approval",_xlfn.LET(_xlpm.tgt,IF(AO19&lt;&gt;"",AO19,IF(AC19&lt;&gt;"",AC19,AB19)),_xlpm.sent,_xlfn.MAXIFS('Rework Log'!$B$3:$B$499,'Rework Log'!$A$3:$A$499,$B19,'Rework Log'!$C$3:$C$499,"DPO*"),_xlpm.act,IF(AND(AD19&lt;&gt;"",AD19&gt;_xlpm.sent),AD19,""),IF(_xlpm.tgt="","No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74</v>
      </c>
      <c r="J19" s="33"/>
      <c r="K19" s="4"/>
      <c r="L19" s="43"/>
      <c r="M19" s="36"/>
      <c r="N19" s="36" t="s">
        <v>44</v>
      </c>
      <c r="O19" s="36"/>
      <c r="P19" s="63"/>
      <c r="Q19" s="4"/>
      <c r="R19" s="43"/>
      <c r="S19" s="36"/>
      <c r="T19" s="69"/>
      <c r="U19" s="33"/>
      <c r="V19" s="59"/>
      <c r="W19" s="36"/>
      <c r="X19" s="36"/>
      <c r="Y19" s="43"/>
      <c r="Z19" s="36"/>
      <c r="AA19" s="36"/>
      <c r="AB19" s="52"/>
      <c r="AC19" s="43"/>
      <c r="AD19" s="43"/>
      <c r="AE19" s="33" t="s">
        <v>47</v>
      </c>
      <c r="AF19" s="33" t="s">
        <v>93</v>
      </c>
      <c r="AG19" s="38" t="s">
        <v>49</v>
      </c>
      <c r="AH19" s="36">
        <v>46203</v>
      </c>
      <c r="AI19" s="39"/>
      <c r="AJ19" s="33"/>
      <c r="AK19" s="40"/>
      <c r="AL19" s="48"/>
      <c r="AM19" s="41"/>
      <c r="AN19" s="31" t="str" cm="1">
        <f t="array" ref="AN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9" s="31" t="str" cm="1">
        <f t="array" ref="AO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9" s="31"/>
      <c r="AQ19" s="32"/>
    </row>
    <row r="20" spans="1:43" ht="14.4" x14ac:dyDescent="0.3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IF($B20="","",IF(LEFT($AK20,3)="Yes","Blocked - "&amp;MID($AK20,7,100)&amp;IF(SUMPRODUCT(('Rework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track")),IF(C20="QA",_xlfn.LET(_xlpm.tgt,IF(AN20&lt;&gt;"",AN20,IF(Y20&lt;&gt;"",Y20,V20)),_xlpm.sent,_xlfn.MAXIFS('Rework Log'!$B$3:$B$499,'Rework Log'!$A$3:$A$499,$B20,'Rework Log'!$C$3:$C$499,"QA"),_xlpm.act,IF(AND(W20&lt;&gt;"",W20&gt;_xlpm.sent),W20,""),IF(_xlpm.tgt="","No target set",IF(AND(_xlpm.tgt&lt;TODAY(),_xlpm.act=""),"Overdue","On track"))),IF(C20="DPO Approval",_xlfn.LET(_xlpm.tgt,IF(AO20&lt;&gt;"",AO20,IF(AC20&lt;&gt;"",AC20,AB20)),_xlpm.sent,_xlfn.MAXIFS('Rework Log'!$B$3:$B$499,'Rework Log'!$A$3:$A$499,$B20,'Rework Log'!$C$3:$C$499,"DPO*"),_xlpm.act,IF(AND(AD20&lt;&gt;"",AD20&gt;_xlpm.sent),AD20,""),IF(_xlpm.tgt="","No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3" t="s">
        <v>59</v>
      </c>
      <c r="Q20" s="4">
        <v>46192</v>
      </c>
      <c r="R20" s="36"/>
      <c r="S20" s="36">
        <v>46183</v>
      </c>
      <c r="T20" s="69"/>
      <c r="U20" s="33" t="s">
        <v>46</v>
      </c>
      <c r="V20" s="59">
        <v>46199</v>
      </c>
      <c r="W20" s="36">
        <v>46195</v>
      </c>
      <c r="X20" s="36"/>
      <c r="Y20" s="36"/>
      <c r="Z20" s="36"/>
      <c r="AA20" s="36"/>
      <c r="AB20" s="52">
        <v>46202</v>
      </c>
      <c r="AC20" s="36"/>
      <c r="AD20" s="36"/>
      <c r="AE20" s="33" t="s">
        <v>103</v>
      </c>
      <c r="AF20" s="33" t="s">
        <v>71</v>
      </c>
      <c r="AG20" s="38" t="s">
        <v>49</v>
      </c>
      <c r="AH20" s="36">
        <v>46195</v>
      </c>
      <c r="AI20" s="39"/>
      <c r="AJ20" s="33"/>
      <c r="AK20" s="40" t="s">
        <v>52</v>
      </c>
      <c r="AL20" s="73" t="str">
        <f>IF($B20="","",IF(AND(LEFT($AK20,3)="Yes",SUMPRODUCT(('Rework Log'!$A$3:$A$499=$B20)*('Rework Log'!$G$3:$G$499&lt;&gt;"Yes")*('Rework Log'!$G$3:$G$499&lt;&gt;"Did not pass re-test"))=0),"Blocked - log it on Rework Log",IF(AND(LEFT($AK20,3)&lt;&gt;"Yes",SUMPRODUCT(('Rework Log'!$A$3:$A$499=$B20)*('Rework Log'!$G$3:$G$499&lt;&gt;"Yes")*('Rework Log'!$G$3:$G$499&lt;&gt;"Did not pass re-test"))&gt;0),"Open rework row - mark Blocked? or close it",IF(AND($AK20="Yes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H)",IF(AND($AK20="Yes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H)",IF(AND($AK20="Yes – needs QA to fix",W20&lt;&gt;"",SUMPRODUCT(MAX((('Rework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target",IF(AND(AB20&lt;&gt;"",V20&lt;&gt;"",AB20&lt;V20),"DPO Approval target is before QA target",IF(AND(AH20&lt;&gt;"",AB20&lt;&gt;"",AH20&lt;AB20),"Confirmed Deployed date is before DPO Approval target",""))))))))))))</f>
        <v>Confirmed Deployed date is before DPO Approval target</v>
      </c>
      <c r="AM20" s="41"/>
      <c r="AN20" s="31" t="str" cm="1">
        <f t="array" ref="AN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20" s="31" t="str" cm="1">
        <f t="array" ref="AO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20" s="31"/>
      <c r="AQ20" s="32"/>
    </row>
    <row r="21" spans="1:43" ht="14.4" x14ac:dyDescent="0.3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IF($B21="","",IF(LEFT($AK21,3)="Yes","Blocked - "&amp;MID($AK21,7,100)&amp;IF(SUMPRODUCT(('Rework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track")),IF(C21="QA",_xlfn.LET(_xlpm.tgt,IF(AN21&lt;&gt;"",AN21,IF(Y21&lt;&gt;"",Y21,V21)),_xlpm.sent,_xlfn.MAXIFS('Rework Log'!$B$3:$B$499,'Rework Log'!$A$3:$A$499,$B21,'Rework Log'!$C$3:$C$499,"QA"),_xlpm.act,IF(AND(W21&lt;&gt;"",W21&gt;_xlpm.sent),W21,""),IF(_xlpm.tgt="","No target set",IF(AND(_xlpm.tgt&lt;TODAY(),_xlpm.act=""),"Overdue","On track"))),IF(C21="DPO Approval",_xlfn.LET(_xlpm.tgt,IF(AO21&lt;&gt;"",AO21,IF(AC21&lt;&gt;"",AC21,AB21)),_xlpm.sent,_xlfn.MAXIFS('Rework Log'!$B$3:$B$499,'Rework Log'!$A$3:$A$499,$B21,'Rework Log'!$C$3:$C$499,"DPO*"),_xlpm.act,IF(AND(AD21&lt;&gt;"",AD21&gt;_xlpm.sent),AD21,""),IF(_xlpm.tgt="","No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3" t="s">
        <v>76</v>
      </c>
      <c r="Q21" s="4">
        <v>46192</v>
      </c>
      <c r="R21" s="36"/>
      <c r="S21" s="36">
        <v>46182</v>
      </c>
      <c r="T21" s="69"/>
      <c r="U21" s="33" t="s">
        <v>46</v>
      </c>
      <c r="V21" s="59">
        <v>46199</v>
      </c>
      <c r="W21" s="36">
        <v>46198</v>
      </c>
      <c r="X21" s="36"/>
      <c r="Y21" s="36"/>
      <c r="Z21" s="36"/>
      <c r="AA21" s="36"/>
      <c r="AB21" s="52">
        <v>46202</v>
      </c>
      <c r="AC21" s="36"/>
      <c r="AD21" s="36"/>
      <c r="AE21" s="33" t="s">
        <v>105</v>
      </c>
      <c r="AF21" s="33" t="s">
        <v>71</v>
      </c>
      <c r="AG21" s="38" t="s">
        <v>49</v>
      </c>
      <c r="AH21" s="36">
        <v>46198</v>
      </c>
      <c r="AI21" s="39"/>
      <c r="AJ21" s="33"/>
      <c r="AK21" s="40" t="s">
        <v>52</v>
      </c>
      <c r="AL21" s="73" t="str">
        <f>IF($B21="","",IF(AND(LEFT($AK21,3)="Yes",SUMPRODUCT(('Rework Log'!$A$3:$A$499=$B21)*('Rework Log'!$G$3:$G$499&lt;&gt;"Yes")*('Rework Log'!$G$3:$G$499&lt;&gt;"Did not pass re-test"))=0),"Blocked - log it on Rework Log",IF(AND(LEFT($AK21,3)&lt;&gt;"Yes",SUMPRODUCT(('Rework Log'!$A$3:$A$499=$B21)*('Rework Log'!$G$3:$G$499&lt;&gt;"Yes")*('Rework Log'!$G$3:$G$499&lt;&gt;"Did not pass re-test"))&gt;0),"Open rework row - mark Blocked? or close it",IF(AND($AK21="Yes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H)",IF(AND($AK21="Yes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H)",IF(AND($AK21="Yes – needs QA to fix",W21&lt;&gt;"",SUMPRODUCT(MAX((('Rework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target",IF(AND(AB21&lt;&gt;"",V21&lt;&gt;"",AB21&lt;V21),"DPO Approval target is before QA target",IF(AND(AH21&lt;&gt;"",AB21&lt;&gt;"",AH21&lt;AB21),"Confirmed Deployed date is before DPO Approval target",""))))))))))))</f>
        <v>Confirmed Deployed date is before DPO Approval target</v>
      </c>
      <c r="AM21" s="41" t="s">
        <v>106</v>
      </c>
      <c r="AN21" s="31" t="str" cm="1">
        <f t="array" ref="AN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21" s="31" t="str" cm="1">
        <f t="array" ref="AO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21" s="31"/>
      <c r="AQ21" s="32"/>
    </row>
    <row r="22" spans="1:43" ht="14.4" x14ac:dyDescent="0.3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IF($B22="","",IF(LEFT($AK22,3)="Yes","Blocked - "&amp;MID($AK22,7,100)&amp;IF(SUMPRODUCT(('Rework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track")),IF(C22="QA",_xlfn.LET(_xlpm.tgt,IF(AN22&lt;&gt;"",AN22,IF(Y22&lt;&gt;"",Y22,V22)),_xlpm.sent,_xlfn.MAXIFS('Rework Log'!$B$3:$B$499,'Rework Log'!$A$3:$A$499,$B22,'Rework Log'!$C$3:$C$499,"QA"),_xlpm.act,IF(AND(W22&lt;&gt;"",W22&gt;_xlpm.sent),W22,""),IF(_xlpm.tgt="","No target set",IF(AND(_xlpm.tgt&lt;TODAY(),_xlpm.act=""),"Overdue","On track"))),IF(C22="DPO Approval",_xlfn.LET(_xlpm.tgt,IF(AO22&lt;&gt;"",AO22,IF(AC22&lt;&gt;"",AC22,AB22)),_xlpm.sent,_xlfn.MAXIFS('Rework Log'!$B$3:$B$499,'Rework Log'!$A$3:$A$499,$B22,'Rework Log'!$C$3:$C$499,"DPO*"),_xlpm.act,IF(AND(AD22&lt;&gt;"",AD22&gt;_xlpm.sent),AD22,""),IF(_xlpm.tgt="","No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3" t="s">
        <v>59</v>
      </c>
      <c r="Q22" s="4">
        <v>46192</v>
      </c>
      <c r="R22" s="36"/>
      <c r="S22" s="36">
        <v>46183</v>
      </c>
      <c r="T22" s="69"/>
      <c r="U22" s="33" t="s">
        <v>46</v>
      </c>
      <c r="V22" s="59">
        <v>46199</v>
      </c>
      <c r="W22" s="36">
        <v>46198</v>
      </c>
      <c r="X22" s="36"/>
      <c r="Y22" s="36"/>
      <c r="Z22" s="36"/>
      <c r="AA22" s="36"/>
      <c r="AB22" s="52">
        <v>46202</v>
      </c>
      <c r="AC22" s="36"/>
      <c r="AD22" s="36"/>
      <c r="AE22" s="33"/>
      <c r="AF22" s="33" t="s">
        <v>71</v>
      </c>
      <c r="AG22" s="38" t="s">
        <v>49</v>
      </c>
      <c r="AH22" s="36">
        <v>46198</v>
      </c>
      <c r="AI22" s="39"/>
      <c r="AJ22" s="33"/>
      <c r="AK22" s="40" t="s">
        <v>52</v>
      </c>
      <c r="AL22" s="73" t="str">
        <f>IF($B22="","",IF(AND(LEFT($AK22,3)="Yes",SUMPRODUCT(('Rework Log'!$A$3:$A$499=$B22)*('Rework Log'!$G$3:$G$499&lt;&gt;"Yes")*('Rework Log'!$G$3:$G$499&lt;&gt;"Did not pass re-test"))=0),"Blocked - log it on Rework Log",IF(AND(LEFT($AK22,3)&lt;&gt;"Yes",SUMPRODUCT(('Rework Log'!$A$3:$A$499=$B22)*('Rework Log'!$G$3:$G$499&lt;&gt;"Yes")*('Rework Log'!$G$3:$G$499&lt;&gt;"Did not pass re-test"))&gt;0),"Open rework row - mark Blocked? or close it",IF(AND($AK22="Yes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H)",IF(AND($AK22="Yes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H)",IF(AND($AK22="Yes – needs QA to fix",W22&lt;&gt;"",SUMPRODUCT(MAX((('Rework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target",IF(AND(AB22&lt;&gt;"",V22&lt;&gt;"",AB22&lt;V22),"DPO Approval target is before QA target",IF(AND(AH22&lt;&gt;"",AB22&lt;&gt;"",AH22&lt;AB22),"Confirmed Deployed date is before DPO Approval target",""))))))))))))</f>
        <v>Confirmed Deployed date is before DPO Approval target</v>
      </c>
      <c r="AM22" s="41"/>
      <c r="AN22" s="31" t="str" cm="1">
        <f t="array" ref="AN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22" s="31" t="str" cm="1">
        <f t="array" ref="AO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22" s="31"/>
      <c r="AQ22" s="32"/>
    </row>
    <row r="23" spans="1:43" ht="14.4" x14ac:dyDescent="0.3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IF($B23="","",IF(LEFT($AK23,3)="Yes","Blocked - "&amp;MID($AK23,7,100)&amp;IF(SUMPRODUCT(('Rework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track")),IF(C23="QA",_xlfn.LET(_xlpm.tgt,IF(AN23&lt;&gt;"",AN23,IF(Y23&lt;&gt;"",Y23,V23)),_xlpm.sent,_xlfn.MAXIFS('Rework Log'!$B$3:$B$499,'Rework Log'!$A$3:$A$499,$B23,'Rework Log'!$C$3:$C$499,"QA"),_xlpm.act,IF(AND(W23&lt;&gt;"",W23&gt;_xlpm.sent),W23,""),IF(_xlpm.tgt="","No target set",IF(AND(_xlpm.tgt&lt;TODAY(),_xlpm.act=""),"Overdue","On track"))),IF(C23="DPO Approval",_xlfn.LET(_xlpm.tgt,IF(AO23&lt;&gt;"",AO23,IF(AC23&lt;&gt;"",AC23,AB23)),_xlpm.sent,_xlfn.MAXIFS('Rework Log'!$B$3:$B$499,'Rework Log'!$A$3:$A$499,$B23,'Rework Log'!$C$3:$C$499,"DPO*"),_xlpm.act,IF(AND(AD23&lt;&gt;"",AD23&gt;_xlpm.sent),AD23,""),IF(_xlpm.tgt="","No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3" t="s">
        <v>59</v>
      </c>
      <c r="Q23" s="4">
        <v>46192</v>
      </c>
      <c r="R23" s="36"/>
      <c r="S23" s="36">
        <v>46153</v>
      </c>
      <c r="T23" s="69"/>
      <c r="U23" s="33" t="s">
        <v>46</v>
      </c>
      <c r="V23" s="59">
        <v>46199</v>
      </c>
      <c r="W23" s="36">
        <v>46154</v>
      </c>
      <c r="X23" s="36"/>
      <c r="Y23" s="36"/>
      <c r="Z23" s="36"/>
      <c r="AA23" s="36"/>
      <c r="AB23" s="52">
        <v>46202</v>
      </c>
      <c r="AC23" s="36"/>
      <c r="AD23" s="36"/>
      <c r="AE23" s="33" t="s">
        <v>109</v>
      </c>
      <c r="AF23" s="33" t="s">
        <v>48</v>
      </c>
      <c r="AG23" s="38" t="s">
        <v>49</v>
      </c>
      <c r="AH23" s="36">
        <v>46184</v>
      </c>
      <c r="AI23" s="39" t="s">
        <v>110</v>
      </c>
      <c r="AJ23" s="33" t="s">
        <v>111</v>
      </c>
      <c r="AK23" s="40" t="s">
        <v>52</v>
      </c>
      <c r="AL23" s="73" t="str">
        <f>IF($B23="","",IF(AND(LEFT($AK23,3)="Yes",SUMPRODUCT(('Rework Log'!$A$3:$A$499=$B23)*('Rework Log'!$G$3:$G$499&lt;&gt;"Yes")*('Rework Log'!$G$3:$G$499&lt;&gt;"Did not pass re-test"))=0),"Blocked - log it on Rework Log",IF(AND(LEFT($AK23,3)&lt;&gt;"Yes",SUMPRODUCT(('Rework Log'!$A$3:$A$499=$B23)*('Rework Log'!$G$3:$G$499&lt;&gt;"Yes")*('Rework Log'!$G$3:$G$499&lt;&gt;"Did not pass re-test"))&gt;0),"Open rework row - mark Blocked? or close it",IF(AND($AK23="Yes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H)",IF(AND($AK23="Yes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H)",IF(AND($AK23="Yes – needs QA to fix",W23&lt;&gt;"",SUMPRODUCT(MAX((('Rework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target",IF(AND(AB23&lt;&gt;"",V23&lt;&gt;"",AB23&lt;V23),"DPO Approval target is before QA target",IF(AND(AH23&lt;&gt;"",AB23&lt;&gt;"",AH23&lt;AB23),"Confirmed Deployed date is before DPO Approval target",""))))))))))))</f>
        <v>Confirmed Deployed date is before DPO Approval target</v>
      </c>
      <c r="AM23" s="41"/>
      <c r="AN23" s="31" t="str" cm="1">
        <f t="array" ref="AN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23" s="31" t="str" cm="1">
        <f t="array" ref="AO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23" s="31"/>
      <c r="AQ23" s="32"/>
    </row>
    <row r="24" spans="1:43" ht="14.4" x14ac:dyDescent="0.3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IF($B24="","",IF(LEFT($AK24,3)="Yes","Blocked - "&amp;MID($AK24,7,100)&amp;IF(SUMPRODUCT(('Rework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track")),IF(C24="QA",_xlfn.LET(_xlpm.tgt,IF(AN24&lt;&gt;"",AN24,IF(Y24&lt;&gt;"",Y24,V24)),_xlpm.sent,_xlfn.MAXIFS('Rework Log'!$B$3:$B$499,'Rework Log'!$A$3:$A$499,$B24,'Rework Log'!$C$3:$C$499,"QA"),_xlpm.act,IF(AND(W24&lt;&gt;"",W24&gt;_xlpm.sent),W24,""),IF(_xlpm.tgt="","No target set",IF(AND(_xlpm.tgt&lt;TODAY(),_xlpm.act=""),"Overdue","On track"))),IF(C24="DPO Approval",_xlfn.LET(_xlpm.tgt,IF(AO24&lt;&gt;"",AO24,IF(AC24&lt;&gt;"",AC24,AB24)),_xlpm.sent,_xlfn.MAXIFS('Rework Log'!$B$3:$B$499,'Rework Log'!$A$3:$A$499,$B24,'Rework Log'!$C$3:$C$499,"DPO*"),_xlpm.act,IF(AND(AD24&lt;&gt;"",AD24&gt;_xlpm.sent),AD24,""),IF(_xlpm.tgt="","No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3" t="s">
        <v>45</v>
      </c>
      <c r="Q24" s="4">
        <v>46192</v>
      </c>
      <c r="R24" s="36"/>
      <c r="S24" s="36">
        <v>46186</v>
      </c>
      <c r="T24" s="69"/>
      <c r="U24" s="33" t="s">
        <v>87</v>
      </c>
      <c r="V24" s="59">
        <v>46199</v>
      </c>
      <c r="W24" s="36"/>
      <c r="X24" s="36"/>
      <c r="Y24" s="36"/>
      <c r="Z24" s="36"/>
      <c r="AA24" s="36"/>
      <c r="AB24" s="52">
        <v>46202</v>
      </c>
      <c r="AC24" s="36"/>
      <c r="AD24" s="36"/>
      <c r="AE24" s="33" t="s">
        <v>113</v>
      </c>
      <c r="AF24" s="33" t="s">
        <v>71</v>
      </c>
      <c r="AG24" s="38" t="s">
        <v>49</v>
      </c>
      <c r="AH24" s="36">
        <v>46227</v>
      </c>
      <c r="AI24" s="39"/>
      <c r="AJ24" s="33"/>
      <c r="AK24" s="40" t="s">
        <v>52</v>
      </c>
      <c r="AL24" s="73" t="str">
        <f>IF($B24="","",IF(AND(LEFT($AK24,3)="Yes",SUMPRODUCT(('Rework Log'!$A$3:$A$499=$B24)*('Rework Log'!$G$3:$G$499&lt;&gt;"Yes")*('Rework Log'!$G$3:$G$499&lt;&gt;"Did not pass re-test"))=0),"Blocked - log it on Rework Log",IF(AND(LEFT($AK24,3)&lt;&gt;"Yes",SUMPRODUCT(('Rework Log'!$A$3:$A$499=$B24)*('Rework Log'!$G$3:$G$499&lt;&gt;"Yes")*('Rework Log'!$G$3:$G$499&lt;&gt;"Did not pass re-test"))&gt;0),"Open rework row - mark Blocked? or close it",IF(AND($AK24="Yes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H)",IF(AND($AK24="Yes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H)",IF(AND($AK24="Yes – needs QA to fix",W24&lt;&gt;"",SUMPRODUCT(MAX((('Rework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target",IF(AND(AB24&lt;&gt;"",V24&lt;&gt;"",AB24&lt;V24),"DPO Approval target is before QA target",IF(AND(AH24&lt;&gt;"",AB24&lt;&gt;"",AH24&lt;AB24),"Confirmed Deployed date is before DPO Approval target",""))))))))))))</f>
        <v/>
      </c>
      <c r="AM24" s="41" t="s">
        <v>114</v>
      </c>
      <c r="AN24" s="31" t="str" cm="1">
        <f t="array" ref="AN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24" s="31" t="str" cm="1">
        <f t="array" ref="AO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24" s="31"/>
      <c r="AQ24" s="32"/>
    </row>
    <row r="25" spans="1:43" ht="14.4" x14ac:dyDescent="0.3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IF($B25="","",IF(LEFT($AK25,3)="Yes","Blocked - "&amp;MID($AK25,7,100)&amp;IF(SUMPRODUCT(('Rework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track")),IF(C25="QA",_xlfn.LET(_xlpm.tgt,IF(AN25&lt;&gt;"",AN25,IF(Y25&lt;&gt;"",Y25,V25)),_xlpm.sent,_xlfn.MAXIFS('Rework Log'!$B$3:$B$499,'Rework Log'!$A$3:$A$499,$B25,'Rework Log'!$C$3:$C$499,"QA"),_xlpm.act,IF(AND(W25&lt;&gt;"",W25&gt;_xlpm.sent),W25,""),IF(_xlpm.tgt="","No target set",IF(AND(_xlpm.tgt&lt;TODAY(),_xlpm.act=""),"Overdue","On track"))),IF(C25="DPO Approval",_xlfn.LET(_xlpm.tgt,IF(AO25&lt;&gt;"",AO25,IF(AC25&lt;&gt;"",AC25,AB25)),_xlpm.sent,_xlfn.MAXIFS('Rework Log'!$B$3:$B$499,'Rework Log'!$A$3:$A$499,$B25,'Rework Log'!$C$3:$C$499,"DPO*"),_xlpm.act,IF(AND(AD25&lt;&gt;"",AD25&gt;_xlpm.sent),AD25,""),IF(_xlpm.tgt="","No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3" t="s">
        <v>76</v>
      </c>
      <c r="Q25" s="4">
        <v>46192</v>
      </c>
      <c r="R25" s="36"/>
      <c r="S25" s="36">
        <v>46164</v>
      </c>
      <c r="T25" s="69"/>
      <c r="U25" s="33" t="s">
        <v>46</v>
      </c>
      <c r="V25" s="59">
        <v>46199</v>
      </c>
      <c r="W25" s="36">
        <v>46204</v>
      </c>
      <c r="X25" s="36"/>
      <c r="Y25" s="36"/>
      <c r="Z25" s="36"/>
      <c r="AA25" s="36"/>
      <c r="AB25" s="52">
        <v>46202</v>
      </c>
      <c r="AC25" s="36"/>
      <c r="AD25" s="36"/>
      <c r="AE25" s="33" t="s">
        <v>109</v>
      </c>
      <c r="AF25" s="33" t="s">
        <v>48</v>
      </c>
      <c r="AG25" s="38" t="s">
        <v>49</v>
      </c>
      <c r="AH25" s="36">
        <v>46204</v>
      </c>
      <c r="AI25" s="39"/>
      <c r="AJ25" s="33"/>
      <c r="AK25" s="40" t="s">
        <v>52</v>
      </c>
      <c r="AL25" s="73" t="str">
        <f>IF($B25="","",IF(AND(LEFT($AK25,3)="Yes",SUMPRODUCT(('Rework Log'!$A$3:$A$499=$B25)*('Rework Log'!$G$3:$G$499&lt;&gt;"Yes")*('Rework Log'!$G$3:$G$499&lt;&gt;"Did not pass re-test"))=0),"Blocked - log it on Rework Log",IF(AND(LEFT($AK25,3)&lt;&gt;"Yes",SUMPRODUCT(('Rework Log'!$A$3:$A$499=$B25)*('Rework Log'!$G$3:$G$499&lt;&gt;"Yes")*('Rework Log'!$G$3:$G$499&lt;&gt;"Did not pass re-test"))&gt;0),"Open rework row - mark Blocked? or close it",IF(AND($AK25="Yes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H)",IF(AND($AK25="Yes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H)",IF(AND($AK25="Yes – needs QA to fix",W25&lt;&gt;"",SUMPRODUCT(MAX((('Rework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target",IF(AND(AB25&lt;&gt;"",V25&lt;&gt;"",AB25&lt;V25),"DPO Approval target is before QA target",IF(AND(AH25&lt;&gt;"",AB25&lt;&gt;"",AH25&lt;AB25),"Confirmed Deployed date is before DPO Approval target",""))))))))))))</f>
        <v/>
      </c>
      <c r="AM25" s="41" t="s">
        <v>114</v>
      </c>
      <c r="AN25" s="31" t="str" cm="1">
        <f t="array" ref="AN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25" s="31" t="str" cm="1">
        <f t="array" ref="AO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25" s="31"/>
      <c r="AQ25" s="32"/>
    </row>
    <row r="26" spans="1:43" ht="14.4" x14ac:dyDescent="0.3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IF($B26="","",IF(LEFT($AK26,3)="Yes","Blocked - "&amp;MID($AK26,7,100)&amp;IF(SUMPRODUCT(('Rework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track")),IF(C26="QA",_xlfn.LET(_xlpm.tgt,IF(AN26&lt;&gt;"",AN26,IF(Y26&lt;&gt;"",Y26,V26)),_xlpm.sent,_xlfn.MAXIFS('Rework Log'!$B$3:$B$499,'Rework Log'!$A$3:$A$499,$B26,'Rework Log'!$C$3:$C$499,"QA"),_xlpm.act,IF(AND(W26&lt;&gt;"",W26&gt;_xlpm.sent),W26,""),IF(_xlpm.tgt="","No target set",IF(AND(_xlpm.tgt&lt;TODAY(),_xlpm.act=""),"Overdue","On track"))),IF(C26="DPO Approval",_xlfn.LET(_xlpm.tgt,IF(AO26&lt;&gt;"",AO26,IF(AC26&lt;&gt;"",AC26,AB26)),_xlpm.sent,_xlfn.MAXIFS('Rework Log'!$B$3:$B$499,'Rework Log'!$A$3:$A$499,$B26,'Rework Log'!$C$3:$C$499,"DPO*"),_xlpm.act,IF(AND(AD26&lt;&gt;"",AD26&gt;_xlpm.sent),AD26,""),IF(_xlpm.tgt="","No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3" t="s">
        <v>59</v>
      </c>
      <c r="Q26" s="4">
        <v>46192</v>
      </c>
      <c r="R26" s="36"/>
      <c r="S26" s="36">
        <v>46191</v>
      </c>
      <c r="T26" s="69"/>
      <c r="U26" s="33" t="s">
        <v>87</v>
      </c>
      <c r="V26" s="59">
        <v>46199</v>
      </c>
      <c r="W26" s="36">
        <v>46196</v>
      </c>
      <c r="X26" s="36"/>
      <c r="Y26" s="36"/>
      <c r="Z26" s="36"/>
      <c r="AA26" s="36"/>
      <c r="AB26" s="52">
        <v>46202</v>
      </c>
      <c r="AC26" s="36"/>
      <c r="AD26" s="36"/>
      <c r="AE26" s="33" t="s">
        <v>118</v>
      </c>
      <c r="AF26" s="33" t="s">
        <v>48</v>
      </c>
      <c r="AG26" s="38" t="s">
        <v>49</v>
      </c>
      <c r="AH26" s="36">
        <v>46196</v>
      </c>
      <c r="AI26" s="39" t="s">
        <v>119</v>
      </c>
      <c r="AJ26" s="33" t="s">
        <v>120</v>
      </c>
      <c r="AK26" s="40" t="s">
        <v>52</v>
      </c>
      <c r="AL26" s="73" t="str">
        <f>IF($B26="","",IF(AND(LEFT($AK26,3)="Yes",SUMPRODUCT(('Rework Log'!$A$3:$A$499=$B26)*('Rework Log'!$G$3:$G$499&lt;&gt;"Yes")*('Rework Log'!$G$3:$G$499&lt;&gt;"Did not pass re-test"))=0),"Blocked - log it on Rework Log",IF(AND(LEFT($AK26,3)&lt;&gt;"Yes",SUMPRODUCT(('Rework Log'!$A$3:$A$499=$B26)*('Rework Log'!$G$3:$G$499&lt;&gt;"Yes")*('Rework Log'!$G$3:$G$499&lt;&gt;"Did not pass re-test"))&gt;0),"Open rework row - mark Blocked? or close it",IF(AND($AK26="Yes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H)",IF(AND($AK26="Yes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H)",IF(AND($AK26="Yes – needs QA to fix",W26&lt;&gt;"",SUMPRODUCT(MAX((('Rework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target",IF(AND(AB26&lt;&gt;"",V26&lt;&gt;"",AB26&lt;V26),"DPO Approval target is before QA target",IF(AND(AH26&lt;&gt;"",AB26&lt;&gt;"",AH26&lt;AB26),"Confirmed Deployed date is before DPO Approval target",""))))))))))))</f>
        <v>Confirmed Deployed date is before DPO Approval target</v>
      </c>
      <c r="AM26" s="41"/>
      <c r="AN26" s="31" t="str" cm="1">
        <f t="array" ref="AN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26" s="31" t="str" cm="1">
        <f t="array" ref="AO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26" s="31"/>
      <c r="AQ26" s="32"/>
    </row>
    <row r="27" spans="1:43" ht="14.4" x14ac:dyDescent="0.3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IF($B27="","",IF(LEFT($AK27,3)="Yes","Blocked - "&amp;MID($AK27,7,100)&amp;IF(SUMPRODUCT(('Rework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track")),IF(C27="QA",_xlfn.LET(_xlpm.tgt,IF(AN27&lt;&gt;"",AN27,IF(Y27&lt;&gt;"",Y27,V27)),_xlpm.sent,_xlfn.MAXIFS('Rework Log'!$B$3:$B$499,'Rework Log'!$A$3:$A$499,$B27,'Rework Log'!$C$3:$C$499,"QA"),_xlpm.act,IF(AND(W27&lt;&gt;"",W27&gt;_xlpm.sent),W27,""),IF(_xlpm.tgt="","No target set",IF(AND(_xlpm.tgt&lt;TODAY(),_xlpm.act=""),"Overdue","On track"))),IF(C27="DPO Approval",_xlfn.LET(_xlpm.tgt,IF(AO27&lt;&gt;"",AO27,IF(AC27&lt;&gt;"",AC27,AB27)),_xlpm.sent,_xlfn.MAXIFS('Rework Log'!$B$3:$B$499,'Rework Log'!$A$3:$A$499,$B27,'Rework Log'!$C$3:$C$499,"DPO*"),_xlpm.act,IF(AND(AD27&lt;&gt;"",AD27&gt;_xlpm.sent),AD27,""),IF(_xlpm.tgt="","No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3" t="s">
        <v>76</v>
      </c>
      <c r="Q27" s="4">
        <v>46192</v>
      </c>
      <c r="R27" s="36"/>
      <c r="S27" s="36">
        <v>46189</v>
      </c>
      <c r="T27" s="69"/>
      <c r="U27" s="54" t="s">
        <v>87</v>
      </c>
      <c r="V27" s="59">
        <v>46199</v>
      </c>
      <c r="W27" s="36">
        <v>46189</v>
      </c>
      <c r="X27" s="36"/>
      <c r="Y27" s="36"/>
      <c r="Z27" s="36"/>
      <c r="AA27" s="36"/>
      <c r="AB27" s="52">
        <v>46202</v>
      </c>
      <c r="AC27" s="36"/>
      <c r="AD27" s="36"/>
      <c r="AE27" s="33"/>
      <c r="AF27" s="33" t="s">
        <v>71</v>
      </c>
      <c r="AG27" s="38" t="s">
        <v>49</v>
      </c>
      <c r="AH27" s="36">
        <v>46192</v>
      </c>
      <c r="AI27" s="39" t="s">
        <v>122</v>
      </c>
      <c r="AJ27" s="33"/>
      <c r="AK27" s="40" t="s">
        <v>52</v>
      </c>
      <c r="AL27" s="73" t="str">
        <f>IF($B27="","",IF(AND(LEFT($AK27,3)="Yes",SUMPRODUCT(('Rework Log'!$A$3:$A$499=$B27)*('Rework Log'!$G$3:$G$499&lt;&gt;"Yes")*('Rework Log'!$G$3:$G$499&lt;&gt;"Did not pass re-test"))=0),"Blocked - log it on Rework Log",IF(AND(LEFT($AK27,3)&lt;&gt;"Yes",SUMPRODUCT(('Rework Log'!$A$3:$A$499=$B27)*('Rework Log'!$G$3:$G$499&lt;&gt;"Yes")*('Rework Log'!$G$3:$G$499&lt;&gt;"Did not pass re-test"))&gt;0),"Open rework row - mark Blocked? or close it",IF(AND($AK27="Yes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H)",IF(AND($AK27="Yes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H)",IF(AND($AK27="Yes – needs QA to fix",W27&lt;&gt;"",SUMPRODUCT(MAX((('Rework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target",IF(AND(AB27&lt;&gt;"",V27&lt;&gt;"",AB27&lt;V27),"DPO Approval target is before QA target",IF(AND(AH27&lt;&gt;"",AB27&lt;&gt;"",AH27&lt;AB27),"Confirmed Deployed date is before DPO Approval target",""))))))))))))</f>
        <v>Confirmed Deployed date is before DPO Approval target</v>
      </c>
      <c r="AM27" s="41"/>
      <c r="AN27" s="31" t="str" cm="1">
        <f t="array" ref="AN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27" s="31" t="str" cm="1">
        <f t="array" ref="AO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27" s="31"/>
      <c r="AQ27" s="32"/>
    </row>
    <row r="28" spans="1:43" ht="14.4" x14ac:dyDescent="0.3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IF($B28="","",IF(LEFT($AK28,3)="Yes","Blocked - "&amp;MID($AK28,7,100)&amp;IF(SUMPRODUCT(('Rework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track")),IF(C28="QA",_xlfn.LET(_xlpm.tgt,IF(AN28&lt;&gt;"",AN28,IF(Y28&lt;&gt;"",Y28,V28)),_xlpm.sent,_xlfn.MAXIFS('Rework Log'!$B$3:$B$499,'Rework Log'!$A$3:$A$499,$B28,'Rework Log'!$C$3:$C$499,"QA"),_xlpm.act,IF(AND(W28&lt;&gt;"",W28&gt;_xlpm.sent),W28,""),IF(_xlpm.tgt="","No target set",IF(AND(_xlpm.tgt&lt;TODAY(),_xlpm.act=""),"Overdue","On track"))),IF(C28="DPO Approval",_xlfn.LET(_xlpm.tgt,IF(AO28&lt;&gt;"",AO28,IF(AC28&lt;&gt;"",AC28,AB28)),_xlpm.sent,_xlfn.MAXIFS('Rework Log'!$B$3:$B$499,'Rework Log'!$A$3:$A$499,$B28,'Rework Log'!$C$3:$C$499,"DPO*"),_xlpm.act,IF(AND(AD28&lt;&gt;"",AD28&gt;_xlpm.sent),AD28,""),IF(_xlpm.tgt="","No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3" t="s">
        <v>76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>
        <v>46197</v>
      </c>
      <c r="X28" s="36"/>
      <c r="Y28" s="36"/>
      <c r="Z28" s="36"/>
      <c r="AA28" s="36"/>
      <c r="AB28" s="52">
        <v>46202</v>
      </c>
      <c r="AC28" s="36"/>
      <c r="AD28" s="36"/>
      <c r="AE28" s="33" t="s">
        <v>124</v>
      </c>
      <c r="AF28" s="33" t="s">
        <v>71</v>
      </c>
      <c r="AG28" s="38" t="s">
        <v>49</v>
      </c>
      <c r="AH28" s="36">
        <v>46197</v>
      </c>
      <c r="AI28" s="39"/>
      <c r="AJ28" s="33"/>
      <c r="AK28" s="40" t="s">
        <v>52</v>
      </c>
      <c r="AL28" s="73" t="str">
        <f>IF($B28="","",IF(AND(LEFT($AK28,3)="Yes",SUMPRODUCT(('Rework Log'!$A$3:$A$499=$B28)*('Rework Log'!$G$3:$G$499&lt;&gt;"Yes")*('Rework Log'!$G$3:$G$499&lt;&gt;"Did not pass re-test"))=0),"Blocked - log it on Rework Log",IF(AND(LEFT($AK28,3)&lt;&gt;"Yes",SUMPRODUCT(('Rework Log'!$A$3:$A$499=$B28)*('Rework Log'!$G$3:$G$499&lt;&gt;"Yes")*('Rework Log'!$G$3:$G$499&lt;&gt;"Did not pass re-test"))&gt;0),"Open rework row - mark Blocked? or close it",IF(AND($AK28="Yes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H)",IF(AND($AK28="Yes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H)",IF(AND($AK28="Yes – needs QA to fix",W28&lt;&gt;"",SUMPRODUCT(MAX((('Rework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target",IF(AND(AB28&lt;&gt;"",V28&lt;&gt;"",AB28&lt;V28),"DPO Approval target is before QA target",IF(AND(AH28&lt;&gt;"",AB28&lt;&gt;"",AH28&lt;AB28),"Confirmed Deployed date is before DPO Approval target",""))))))))))))</f>
        <v>Confirmed Deployed date is before DPO Approval target</v>
      </c>
      <c r="AM28" s="41" t="s">
        <v>125</v>
      </c>
      <c r="AN28" s="31" t="str" cm="1">
        <f t="array" ref="AN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28" s="31" t="str" cm="1">
        <f t="array" ref="AO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28" s="31"/>
      <c r="AQ28" s="32"/>
    </row>
    <row r="29" spans="1:43" ht="14.4" x14ac:dyDescent="0.3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IF($B29="","",IF(LEFT($AK29,3)="Yes","Blocked - "&amp;MID($AK29,7,100)&amp;IF(SUMPRODUCT(('Rework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track"))),IF(C29="QA",_xlfn.LET(_xlpm.tgt,IF(AN29&lt;&gt;"",AN29,IF(Y29&lt;&gt;"",Y29,V29)),_xlpm.sent,_xlfn.MAXIFS('Rework Log'!$B$3:$B$499,'Rework Log'!$A$3:$A$499,$B29,'Rework Log'!$C$3:$C$499,"QA"),_xlpm.act,IF(AND(W29&lt;&gt;"",W29&gt;=_xlpm.sent),W29,""),IF(_xlpm.tgt="","No target set",IF(AND(_xlpm.tgt&lt;TODAY(),_xlpm.act=""),"Overdue","On track"))),IF(C29="DPO Approval",_xlfn.LET(_xlpm.tgt,IF(AO29&lt;&gt;"",AO29,IF(AC29&lt;&gt;"",AC29,AB29)),_xlpm.sent,_xlfn.MAXIFS('Rework Log'!$B$3:$B$499,'Rework Log'!$A$3:$A$499,$B29,'Rework Log'!$C$3:$C$499,"DPO*"),_xlpm.act,IF(AND(AD29&lt;&gt;"",AD29&gt;=_xlpm.sent),AD29,""),IF(_xlpm.tgt="","No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1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5" t="s">
        <v>59</v>
      </c>
      <c r="Q29" s="4">
        <v>46220</v>
      </c>
      <c r="R29" s="36">
        <v>46245</v>
      </c>
      <c r="S29" s="74">
        <v>46245</v>
      </c>
      <c r="T29" s="69"/>
      <c r="U29" s="54" t="s">
        <v>129</v>
      </c>
      <c r="V29" s="59">
        <v>46227</v>
      </c>
      <c r="W29" s="36">
        <v>46252</v>
      </c>
      <c r="X29" s="36"/>
      <c r="Y29" s="36">
        <v>46248</v>
      </c>
      <c r="Z29" s="36"/>
      <c r="AA29" s="36"/>
      <c r="AB29" s="52">
        <v>46232</v>
      </c>
      <c r="AC29" s="36">
        <v>46267</v>
      </c>
      <c r="AD29" s="36"/>
      <c r="AE29" s="33" t="s">
        <v>132</v>
      </c>
      <c r="AF29" s="33" t="s">
        <v>48</v>
      </c>
      <c r="AG29" s="38"/>
      <c r="AH29" s="36"/>
      <c r="AI29" s="39"/>
      <c r="AJ29" s="33"/>
      <c r="AK29" s="40" t="s">
        <v>52</v>
      </c>
      <c r="AL29" s="73" t="str">
        <f>IF($B29="","",IF(AND(LEFT($AK29,3)="Yes",SUMPRODUCT(('Rework Log'!$A$3:$A$499=$B29)*('Rework Log'!$G$3:$G$499&lt;&gt;"Yes")*('Rework Log'!$G$3:$G$499&lt;&gt;"Did not pass re-test"))=0),"Blocked - log it on Rework Log",IF(AND(LEFT($AK29,3)&lt;&gt;"Yes",SUMPRODUCT(('Rework Log'!$A$3:$A$499=$B29)*('Rework Log'!$G$3:$G$499&lt;&gt;"Yes")*('Rework Log'!$G$3:$G$499&lt;&gt;"Did not pass re-test"))&gt;0),"Open rework row - mark Blocked? or close it",IF(AND($AK29="Yes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H)",IF(AND($AK29="Yes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H)",IF(AND($AK29="Yes – needs QA to fix",W29&lt;&gt;"",SUMPRODUCT(MAX((('Rework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target",IF(AND(AB29&lt;&gt;"",V29&lt;&gt;"",AB29&lt;V29),"DPO Approval target is before QA target",IF(AND(AH29&lt;&gt;"",AB29&lt;&gt;"",AH29&lt;AB29),"Confirmed Deployed date is before DPO Approval target",""))))))))))))</f>
        <v/>
      </c>
      <c r="AM29" s="41" t="s">
        <v>133</v>
      </c>
      <c r="AN29" s="32" cm="1">
        <f t="array" ref="AN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O29" s="32" t="str" cm="1">
        <f t="array" ref="AO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29" s="31"/>
      <c r="AQ29" s="32"/>
    </row>
    <row r="30" spans="1:43" ht="14.4" x14ac:dyDescent="0.3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IF($B30="","",IF(LEFT($AK30,3)="Yes","Blocked - "&amp;MID($AK30,7,100)&amp;IF(SUMPRODUCT(('Rework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track")),IF(C30="QA",_xlfn.LET(_xlpm.tgt,IF(AN30&lt;&gt;"",AN30,IF(Y30&lt;&gt;"",Y30,V30)),_xlpm.sent,_xlfn.MAXIFS('Rework Log'!$B$3:$B$499,'Rework Log'!$A$3:$A$499,$B30,'Rework Log'!$C$3:$C$499,"QA"),_xlpm.act,IF(AND(W30&lt;&gt;"",W30&gt;_xlpm.sent),W30,""),IF(_xlpm.tgt="","No target set",IF(AND(_xlpm.tgt&lt;TODAY(),_xlpm.act=""),"Overdue","On track"))),IF(C30="DPO Approval",_xlfn.LET(_xlpm.tgt,IF(AO30&lt;&gt;"",AO30,IF(AC30&lt;&gt;"",AC30,AB30)),_xlpm.sent,_xlfn.MAXIFS('Rework Log'!$B$3:$B$499,'Rework Log'!$A$3:$A$499,$B30,'Rework Log'!$C$3:$C$499,"DPO*"),_xlpm.act,IF(AND(AD30&lt;&gt;"",AD30&gt;_xlpm.sent),AD30,""),IF(_xlpm.tgt="","No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1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5" t="s">
        <v>76</v>
      </c>
      <c r="Q30" s="4">
        <v>46220</v>
      </c>
      <c r="R30" s="36">
        <v>46245</v>
      </c>
      <c r="S30" s="36">
        <v>46246</v>
      </c>
      <c r="T30" s="69"/>
      <c r="U30" s="54" t="s">
        <v>129</v>
      </c>
      <c r="V30" s="59">
        <v>46227</v>
      </c>
      <c r="W30" s="36">
        <v>46255</v>
      </c>
      <c r="X30" s="36"/>
      <c r="Y30" s="36">
        <v>46260</v>
      </c>
      <c r="Z30" s="36"/>
      <c r="AA30" s="36"/>
      <c r="AB30" s="52">
        <v>46232</v>
      </c>
      <c r="AC30" s="36">
        <v>46267</v>
      </c>
      <c r="AD30" s="36"/>
      <c r="AE30" s="33" t="s">
        <v>135</v>
      </c>
      <c r="AF30" s="33" t="s">
        <v>48</v>
      </c>
      <c r="AG30" s="38"/>
      <c r="AH30" s="36"/>
      <c r="AI30" s="39"/>
      <c r="AJ30" s="33"/>
      <c r="AK30" s="40" t="s">
        <v>52</v>
      </c>
      <c r="AL30" s="73" t="str">
        <f>IF($B30="","",IF(AND(LEFT($AK30,3)="Yes",SUMPRODUCT(('Rework Log'!$A$3:$A$499=$B30)*('Rework Log'!$G$3:$G$499&lt;&gt;"Yes")*('Rework Log'!$G$3:$G$499&lt;&gt;"Did not pass re-test"))=0),"Blocked - log it on Rework Log",IF(AND(LEFT($AK30,3)&lt;&gt;"Yes",SUMPRODUCT(('Rework Log'!$A$3:$A$499=$B30)*('Rework Log'!$G$3:$G$499&lt;&gt;"Yes")*('Rework Log'!$G$3:$G$499&lt;&gt;"Did not pass re-test"))&gt;0),"Open rework row - mark Blocked? or close it",IF(AND($AK30="Yes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H)",IF(AND($AK30="Yes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H)",IF(AND($AK30="Yes – needs QA to fix",W30&lt;&gt;"",SUMPRODUCT(MAX((('Rework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target",IF(AND(AB30&lt;&gt;"",V30&lt;&gt;"",AB30&lt;V30),"DPO Approval target is before QA target",IF(AND(AH30&lt;&gt;"",AB30&lt;&gt;"",AH30&lt;AB30),"Confirmed Deployed date is before DPO Approval target",""))))))))))))</f>
        <v/>
      </c>
      <c r="AM30" s="41" t="s">
        <v>136</v>
      </c>
      <c r="AN30" s="32" cm="1">
        <f t="array" ref="AN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O30" s="32" t="str" cm="1">
        <f t="array" ref="AO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30" s="31"/>
      <c r="AQ30" s="32"/>
    </row>
    <row r="31" spans="1:43" ht="14.4" x14ac:dyDescent="0.3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IF($B31="","",IF(LEFT($AK31,3)="Yes","Blocked - "&amp;MID($AK31,7,100)&amp;IF(SUMPRODUCT(('Rework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track")),IF(C31="QA",_xlfn.LET(_xlpm.tgt,IF(AN31&lt;&gt;"",AN31,IF(Y31&lt;&gt;"",Y31,V31)),_xlpm.sent,_xlfn.MAXIFS('Rework Log'!$B$3:$B$499,'Rework Log'!$A$3:$A$499,$B31,'Rework Log'!$C$3:$C$499,"QA"),_xlpm.act,IF(AND(W31&lt;&gt;"",W31&gt;_xlpm.sent),W31,""),IF(_xlpm.tgt="","No target set",IF(AND(_xlpm.tgt&lt;TODAY(),_xlpm.act=""),"Overdue","On track"))),IF(C31="DPO Approval",_xlfn.LET(_xlpm.tgt,IF(AO31&lt;&gt;"",AO31,IF(AC31&lt;&gt;"",AC31,AB31)),_xlpm.sent,_xlfn.MAXIFS('Rework Log'!$B$3:$B$499,'Rework Log'!$A$3:$A$499,$B31,'Rework Log'!$C$3:$C$499,"DPO*"),_xlpm.act,IF(AND(AD31&lt;&gt;"",AD31&gt;_xlpm.sent),AD31,""),IF(_xlpm.tgt="","No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1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5" t="s">
        <v>76</v>
      </c>
      <c r="Q31" s="4">
        <v>46220</v>
      </c>
      <c r="R31" s="36">
        <v>46246</v>
      </c>
      <c r="S31" s="36">
        <v>46251</v>
      </c>
      <c r="T31" s="69"/>
      <c r="U31" s="54" t="s">
        <v>129</v>
      </c>
      <c r="V31" s="59">
        <v>46227</v>
      </c>
      <c r="W31" s="36">
        <v>46258</v>
      </c>
      <c r="X31" s="36"/>
      <c r="Y31" s="36">
        <v>46253</v>
      </c>
      <c r="Z31" s="36"/>
      <c r="AA31" s="36"/>
      <c r="AB31" s="52">
        <v>46232</v>
      </c>
      <c r="AC31" s="36">
        <v>46267</v>
      </c>
      <c r="AD31" s="36"/>
      <c r="AE31" s="33" t="s">
        <v>132</v>
      </c>
      <c r="AF31" s="33" t="s">
        <v>48</v>
      </c>
      <c r="AG31" s="38"/>
      <c r="AH31" s="36"/>
      <c r="AI31" s="39"/>
      <c r="AJ31" s="33"/>
      <c r="AK31" s="40" t="s">
        <v>52</v>
      </c>
      <c r="AL31" s="73" t="str">
        <f>IF($B31="","",IF(AND(LEFT($AK31,3)="Yes",SUMPRODUCT(('Rework Log'!$A$3:$A$499=$B31)*('Rework Log'!$G$3:$G$499&lt;&gt;"Yes")*('Rework Log'!$G$3:$G$499&lt;&gt;"Did not pass re-test"))=0),"Blocked - log it on Rework Log",IF(AND(LEFT($AK31,3)&lt;&gt;"Yes",SUMPRODUCT(('Rework Log'!$A$3:$A$499=$B31)*('Rework Log'!$G$3:$G$499&lt;&gt;"Yes")*('Rework Log'!$G$3:$G$499&lt;&gt;"Did not pass re-test"))&gt;0),"Open rework row - mark Blocked? or close it",IF(AND($AK31="Yes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H)",IF(AND($AK31="Yes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H)",IF(AND($AK31="Yes – needs QA to fix",W31&lt;&gt;"",SUMPRODUCT(MAX((('Rework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target",IF(AND(AB31&lt;&gt;"",V31&lt;&gt;"",AB31&lt;V31),"DPO Approval target is before QA target",IF(AND(AH31&lt;&gt;"",AB31&lt;&gt;"",AH31&lt;AB31),"Confirmed Deployed date is before DPO Approval target",""))))))))))))</f>
        <v/>
      </c>
      <c r="AM31" s="41" t="s">
        <v>138</v>
      </c>
      <c r="AN31" s="32" cm="1">
        <f t="array" ref="AN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O31" s="32" t="str" cm="1">
        <f t="array" ref="AO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31" s="31"/>
      <c r="AQ31" s="32"/>
    </row>
    <row r="32" spans="1:43" ht="14.4" x14ac:dyDescent="0.3">
      <c r="A32" s="33" t="s">
        <v>126</v>
      </c>
      <c r="B32" s="33" t="s">
        <v>139</v>
      </c>
      <c r="C32" s="33" t="s">
        <v>149</v>
      </c>
      <c r="D32" t="str" cm="1">
        <f t="array" aca="1" ref="D32" ca="1">IF($B32="","",IF(LEFT($AK32,3)="Yes","Blocked - "&amp;MID($AK32,7,100)&amp;IF(SUMPRODUCT(('Rework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track")),IF(C32="QA",_xlfn.LET(_xlpm.tgt,IF(AN32&lt;&gt;"",AN32,IF(Y32&lt;&gt;"",Y32,V32)),_xlpm.sent,_xlfn.MAXIFS('Rework Log'!$B$3:$B$499,'Rework Log'!$A$3:$A$499,$B32,'Rework Log'!$C$3:$C$499,"QA"),_xlpm.act,IF(AND(W32&lt;&gt;"",W32&gt;_xlpm.sent),W32,""),IF(_xlpm.tgt="","No target set",IF(AND(_xlpm.tgt&lt;TODAY(),_xlpm.act=""),"Overdue","On track"))),IF(C32="DPO Approval",_xlfn.LET(_xlpm.tgt,IF(AO32&lt;&gt;"",AO32,IF(AC32&lt;&gt;"",AC32,AB32)),_xlpm.sent,_xlfn.MAXIFS('Rework Log'!$B$3:$B$499,'Rework Log'!$A$3:$A$499,$B32,'Rework Log'!$C$3:$C$499,"DPO*"),_xlpm.act,IF(AND(AD32&lt;&gt;"",AD32&gt;_xlpm.sent),AD32,""),IF(_xlpm.tgt="","No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129</v>
      </c>
      <c r="G32" s="33"/>
      <c r="H32" s="50">
        <v>46234</v>
      </c>
      <c r="I32" s="61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5" t="s">
        <v>45</v>
      </c>
      <c r="Q32" s="4">
        <v>46220</v>
      </c>
      <c r="R32" s="36">
        <v>46251</v>
      </c>
      <c r="S32" s="36">
        <v>46253</v>
      </c>
      <c r="T32" s="69"/>
      <c r="U32" s="54" t="s">
        <v>46</v>
      </c>
      <c r="V32" s="59">
        <v>46227</v>
      </c>
      <c r="W32" s="36"/>
      <c r="X32" s="36"/>
      <c r="Y32" s="36">
        <v>46269</v>
      </c>
      <c r="Z32" s="36"/>
      <c r="AA32" s="36"/>
      <c r="AB32" s="52">
        <v>46232</v>
      </c>
      <c r="AC32" s="36">
        <v>46267</v>
      </c>
      <c r="AD32" s="36"/>
      <c r="AE32" s="33" t="s">
        <v>141</v>
      </c>
      <c r="AF32" s="33" t="s">
        <v>48</v>
      </c>
      <c r="AG32" s="38"/>
      <c r="AH32" s="36"/>
      <c r="AI32" s="39"/>
      <c r="AJ32" s="33"/>
      <c r="AK32" s="40" t="s">
        <v>410</v>
      </c>
      <c r="AL32" s="73" t="str">
        <f>IF($B32="","",IF(AND(LEFT($AK32,3)="Yes",SUMPRODUCT(('Rework Log'!$A$3:$A$499=$B32)*('Rework Log'!$G$3:$G$499&lt;&gt;"Yes")*('Rework Log'!$G$3:$G$499&lt;&gt;"Did not pass re-test"))=0),"Blocked - log it on Rework Log",IF(AND(LEFT($AK32,3)&lt;&gt;"Yes",SUMPRODUCT(('Rework Log'!$A$3:$A$499=$B32)*('Rework Log'!$G$3:$G$499&lt;&gt;"Yes")*('Rework Log'!$G$3:$G$499&lt;&gt;"Did not pass re-test"))&gt;0),"Open rework row - mark Blocked? or close it",IF(AND($AK32="Yes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H)",IF(AND($AK32="Yes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H)",IF(AND($AK32="Yes – needs QA to fix",W32&lt;&gt;"",SUMPRODUCT(MAX((('Rework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target",IF(AND(AB32&lt;&gt;"",V32&lt;&gt;"",AB32&lt;V32),"DPO Approval target is before QA target",IF(AND(AH32&lt;&gt;"",AB32&lt;&gt;"",AH32&lt;AB32),"Confirmed Deployed date is before DPO Approval target",""))))))))))))</f>
        <v>Blocked - log it on Rework Log</v>
      </c>
      <c r="AM32" s="41" t="s">
        <v>142</v>
      </c>
      <c r="AN32" s="32" cm="1">
        <f t="array" ref="AN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O32" s="32" t="str" cm="1">
        <f t="array" ref="AO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32" s="31"/>
      <c r="AQ32" s="32"/>
    </row>
    <row r="33" spans="1:43" ht="14.4" x14ac:dyDescent="0.3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IF($B33="","",IF(LEFT($AK33,3)="Yes","Blocked - "&amp;MID($AK33,7,100)&amp;IF(SUMPRODUCT(('Rework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track")),IF(C33="QA",_xlfn.LET(_xlpm.tgt,IF(AN33&lt;&gt;"",AN33,IF(Y33&lt;&gt;"",Y33,V33)),_xlpm.sent,_xlfn.MAXIFS('Rework Log'!$B$3:$B$499,'Rework Log'!$A$3:$A$499,$B33,'Rework Log'!$C$3:$C$499,"QA"),_xlpm.act,IF(AND(W33&lt;&gt;"",W33&gt;_xlpm.sent),W33,""),IF(_xlpm.tgt="","No target set",IF(AND(_xlpm.tgt&lt;TODAY(),_xlpm.act=""),"Overdue","On track"))),IF(C33="DPO Approval",_xlfn.LET(_xlpm.tgt,IF(AO33&lt;&gt;"",AO33,IF(AC33&lt;&gt;"",AC33,AB33)),_xlpm.sent,_xlfn.MAXIFS('Rework Log'!$B$3:$B$499,'Rework Log'!$A$3:$A$499,$B33,'Rework Log'!$C$3:$C$499,"DPO*"),_xlpm.act,IF(AND(AD33&lt;&gt;"",AD33&gt;_xlpm.sent),AD33,""),IF(_xlpm.tgt="","No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1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5" t="s">
        <v>76</v>
      </c>
      <c r="Q33" s="4">
        <v>46220</v>
      </c>
      <c r="R33" s="36">
        <v>46246</v>
      </c>
      <c r="S33" s="36">
        <v>46244</v>
      </c>
      <c r="T33" s="69"/>
      <c r="U33" s="54" t="s">
        <v>46</v>
      </c>
      <c r="V33" s="59">
        <v>46227</v>
      </c>
      <c r="W33" s="36">
        <v>46254</v>
      </c>
      <c r="X33" s="36"/>
      <c r="Y33" s="36">
        <v>46254</v>
      </c>
      <c r="Z33" s="36"/>
      <c r="AA33" s="36"/>
      <c r="AB33" s="52">
        <v>46232</v>
      </c>
      <c r="AC33" s="36">
        <v>46267</v>
      </c>
      <c r="AD33" s="36"/>
      <c r="AE33" s="33" t="s">
        <v>132</v>
      </c>
      <c r="AF33" s="33" t="s">
        <v>48</v>
      </c>
      <c r="AG33" s="38"/>
      <c r="AH33" s="36"/>
      <c r="AI33" s="39"/>
      <c r="AJ33" s="33"/>
      <c r="AK33" s="40" t="s">
        <v>52</v>
      </c>
      <c r="AL33" s="73"/>
      <c r="AM33" s="41" t="s">
        <v>144</v>
      </c>
      <c r="AN33" s="32" cm="1">
        <f t="array" ref="AN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O33" s="32" t="str" cm="1">
        <f t="array" ref="AO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33" s="31"/>
      <c r="AQ33" s="32"/>
    </row>
    <row r="34" spans="1:43" ht="14.4" x14ac:dyDescent="0.3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IF($B34="","",IF(LEFT($AK34,3)="Yes","Blocked - "&amp;MID($AK34,7,100)&amp;IF(SUMPRODUCT(('Rework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track")),IF(C34="QA",_xlfn.LET(_xlpm.tgt,IF(AN34&lt;&gt;"",AN34,IF(Y34&lt;&gt;"",Y34,V34)),_xlpm.sent,_xlfn.MAXIFS('Rework Log'!$B$3:$B$499,'Rework Log'!$A$3:$A$499,$B34,'Rework Log'!$C$3:$C$499,"QA"),_xlpm.act,IF(AND(W34&lt;&gt;"",W34&gt;_xlpm.sent),W34,""),IF(_xlpm.tgt="","No target set",IF(AND(_xlpm.tgt&lt;TODAY(),_xlpm.act=""),"Overdue","On track"))),IF(C34="DPO Approval",_xlfn.LET(_xlpm.tgt,IF(AO34&lt;&gt;"",AO34,IF(AC34&lt;&gt;"",AC34,AB34)),_xlpm.sent,_xlfn.MAXIFS('Rework Log'!$B$3:$B$499,'Rework Log'!$A$3:$A$499,$B34,'Rework Log'!$C$3:$C$499,"DPO*"),_xlpm.act,IF(AND(AD34&lt;&gt;"",AD34&gt;_xlpm.sent),AD34,""),IF(_xlpm.tgt="","No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1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5" t="s">
        <v>59</v>
      </c>
      <c r="Q34" s="4">
        <v>46220</v>
      </c>
      <c r="R34" s="36">
        <v>46246</v>
      </c>
      <c r="S34" s="36">
        <v>46251</v>
      </c>
      <c r="T34" s="69"/>
      <c r="U34" s="54" t="s">
        <v>146</v>
      </c>
      <c r="V34" s="59">
        <v>46227</v>
      </c>
      <c r="W34" s="36">
        <v>46255</v>
      </c>
      <c r="X34" s="36"/>
      <c r="Y34" s="36">
        <v>46255</v>
      </c>
      <c r="Z34" s="36"/>
      <c r="AA34" s="36"/>
      <c r="AB34" s="52">
        <v>46232</v>
      </c>
      <c r="AC34" s="36">
        <v>46269</v>
      </c>
      <c r="AD34" s="36"/>
      <c r="AE34" s="33" t="s">
        <v>132</v>
      </c>
      <c r="AF34" s="33" t="s">
        <v>48</v>
      </c>
      <c r="AG34" s="38"/>
      <c r="AH34" s="36"/>
      <c r="AI34" s="39"/>
      <c r="AJ34" s="33"/>
      <c r="AK34" s="40" t="s">
        <v>52</v>
      </c>
      <c r="AL34" s="73" t="str">
        <f>IF($B34="","",IF(AND(LEFT($AK34,3)="Yes",SUMPRODUCT(('Rework Log'!$A$3:$A$499=$B34)*('Rework Log'!$G$3:$G$499&lt;&gt;"Yes")*('Rework Log'!$G$3:$G$499&lt;&gt;"Did not pass re-test"))=0),"Blocked - log it on Rework Log",IF(AND(LEFT($AK34,3)&lt;&gt;"Yes",SUMPRODUCT(('Rework Log'!$A$3:$A$499=$B34)*('Rework Log'!$G$3:$G$499&lt;&gt;"Yes")*('Rework Log'!$G$3:$G$499&lt;&gt;"Did not pass re-test"))&gt;0),"Open rework row - mark Blocked? or close it",IF(AND($AK34="Yes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H)",IF(AND($AK34="Yes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H)",IF(AND($AK34="Yes – needs QA to fix",W34&lt;&gt;"",SUMPRODUCT(MAX((('Rework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target",IF(AND(AB34&lt;&gt;"",V34&lt;&gt;"",AB34&lt;V34),"DPO Approval target is before QA target",IF(AND(AH34&lt;&gt;"",AB34&lt;&gt;"",AH34&lt;AB34),"Confirmed Deployed date is before DPO Approval target",""))))))))))))</f>
        <v/>
      </c>
      <c r="AM34" s="41" t="s">
        <v>147</v>
      </c>
      <c r="AN34" s="32" cm="1">
        <f t="array" ref="AN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O34" s="32" t="str" cm="1">
        <f t="array" ref="AO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34" s="31"/>
      <c r="AQ34" s="32"/>
    </row>
    <row r="35" spans="1:43" ht="14.4" x14ac:dyDescent="0.3">
      <c r="A35" s="33" t="s">
        <v>126</v>
      </c>
      <c r="B35" s="33" t="s">
        <v>148</v>
      </c>
      <c r="C35" s="33" t="s">
        <v>180</v>
      </c>
      <c r="D35" t="str" cm="1">
        <f t="array" aca="1" ref="D35" ca="1">IF($B35="","",IF(LEFT($AK35,3)="Yes","Blocked - "&amp;MID($AK35,7,100)&amp;IF(SUMPRODUCT(('Rework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track")),IF(C35="QA",_xlfn.LET(_xlpm.tgt,IF(AN35&lt;&gt;"",AN35,IF(Y35&lt;&gt;"",Y35,V35)),_xlpm.sent,_xlfn.MAXIFS('Rework Log'!$B$3:$B$499,'Rework Log'!$A$3:$A$499,$B35,'Rework Log'!$C$3:$C$499,"QA"),_xlpm.act,IF(AND(W35&lt;&gt;"",W35&gt;_xlpm.sent),W35,""),IF(_xlpm.tgt="","No target set",IF(AND(_xlpm.tgt&lt;TODAY(),_xlpm.act=""),"Overdue","On track"))),IF(C35="DPO Approval",_xlfn.LET(_xlpm.tgt,IF(AO35&lt;&gt;"",AO35,IF(AC35&lt;&gt;"",AC35,AB35)),_xlpm.sent,_xlfn.MAXIFS('Rework Log'!$B$3:$B$499,'Rework Log'!$A$3:$A$499,$B35,'Rework Log'!$C$3:$C$499,"DPO*"),_xlpm.act,IF(AND(AD35&lt;&gt;"",AD35&gt;_xlpm.sent),AD35,""),IF(_xlpm.tgt="","No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1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5" t="s">
        <v>45</v>
      </c>
      <c r="Q35" s="4">
        <v>46220</v>
      </c>
      <c r="R35" s="36">
        <v>46251</v>
      </c>
      <c r="S35" s="36">
        <v>46266</v>
      </c>
      <c r="T35" s="69"/>
      <c r="U35" s="54" t="s">
        <v>146</v>
      </c>
      <c r="V35" s="59">
        <v>46227</v>
      </c>
      <c r="W35" s="36"/>
      <c r="X35" s="36"/>
      <c r="Y35" s="36">
        <v>46269</v>
      </c>
      <c r="Z35" s="36"/>
      <c r="AA35" s="36"/>
      <c r="AB35" s="52">
        <v>46232</v>
      </c>
      <c r="AC35" s="36">
        <v>46274</v>
      </c>
      <c r="AD35" s="36"/>
      <c r="AE35" s="33" t="s">
        <v>150</v>
      </c>
      <c r="AF35" s="33" t="s">
        <v>48</v>
      </c>
      <c r="AG35" s="38"/>
      <c r="AH35" s="36"/>
      <c r="AI35" s="39"/>
      <c r="AJ35" s="33"/>
      <c r="AK35" s="40" t="s">
        <v>151</v>
      </c>
      <c r="AL35" s="73" t="str">
        <f>IF($B35="","",IF(AND(LEFT($AK35,3)="Yes",SUMPRODUCT(('Rework Log'!$A$3:$A$499=$B35)*('Rework Log'!$G$3:$G$499&lt;&gt;"Yes")*('Rework Log'!$G$3:$G$499&lt;&gt;"Did not pass re-test"))=0),"Blocked - log it on Rework Log",IF(AND(LEFT($AK35,3)&lt;&gt;"Yes",SUMPRODUCT(('Rework Log'!$A$3:$A$499=$B35)*('Rework Log'!$G$3:$G$499&lt;&gt;"Yes")*('Rework Log'!$G$3:$G$499&lt;&gt;"Did not pass re-test"))&gt;0),"Open rework row - mark Blocked? or close it",IF(AND($AK35="Yes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H)",IF(AND($AK35="Yes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H)",IF(AND($AK35="Yes – needs QA to fix",W35&lt;&gt;"",SUMPRODUCT(MAX((('Rework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target",IF(AND(AB35&lt;&gt;"",V35&lt;&gt;"",AB35&lt;V35),"DPO Approval target is before QA target",IF(AND(AH35&lt;&gt;"",AB35&lt;&gt;"",AH35&lt;AB35),"Confirmed Deployed date is before DPO Approval target",""))))))))))))</f>
        <v/>
      </c>
      <c r="AM35" s="41" t="s">
        <v>152</v>
      </c>
      <c r="AN35" s="32" cm="1">
        <f t="array" ref="AN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O35" s="32" t="str" cm="1">
        <f t="array" ref="AO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35" s="31"/>
      <c r="AQ35" s="32"/>
    </row>
    <row r="36" spans="1:43" ht="14.4" x14ac:dyDescent="0.3">
      <c r="A36" s="33" t="s">
        <v>126</v>
      </c>
      <c r="B36" s="33" t="s">
        <v>153</v>
      </c>
      <c r="C36" s="33" t="s">
        <v>140</v>
      </c>
      <c r="D36" t="str" cm="1">
        <f t="array" aca="1" ref="D36" ca="1">IF($B36="","",IF(LEFT($AK36,3)="Yes","Blocked - "&amp;MID($AK36,7,100)&amp;IF(SUMPRODUCT(('Rework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track")),IF(C36="QA",_xlfn.LET(_xlpm.tgt,IF(AN36&lt;&gt;"",AN36,IF(Y36&lt;&gt;"",Y36,V36)),_xlpm.sent,_xlfn.MAXIFS('Rework Log'!$B$3:$B$499,'Rework Log'!$A$3:$A$499,$B36,'Rework Log'!$C$3:$C$499,"QA"),_xlpm.act,IF(AND(W36&lt;&gt;"",W36&gt;_xlpm.sent),W36,""),IF(_xlpm.tgt="","No target set",IF(AND(_xlpm.tgt&lt;TODAY(),_xlpm.act=""),"Overdue","On track"))),IF(C36="DPO Approval",_xlfn.LET(_xlpm.tgt,IF(AO36&lt;&gt;"",AO36,IF(AC36&lt;&gt;"",AC36,AB36)),_xlpm.sent,_xlfn.MAXIFS('Rework Log'!$B$3:$B$499,'Rework Log'!$A$3:$A$499,$B36,'Rework Log'!$C$3:$C$499,"DPO*"),_xlpm.act,IF(AND(AD36&lt;&gt;"",AD36&gt;_xlpm.sent),AD36,""),IF(_xlpm.tgt="","No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146</v>
      </c>
      <c r="G36" s="33"/>
      <c r="H36" s="50">
        <v>46234</v>
      </c>
      <c r="I36" s="61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5" t="s">
        <v>76</v>
      </c>
      <c r="Q36" s="4">
        <v>46220</v>
      </c>
      <c r="R36" s="36">
        <v>46246</v>
      </c>
      <c r="S36" s="36">
        <v>46246</v>
      </c>
      <c r="T36" s="69"/>
      <c r="U36" s="54" t="s">
        <v>146</v>
      </c>
      <c r="V36" s="59">
        <v>46227</v>
      </c>
      <c r="W36" s="36"/>
      <c r="X36" s="36"/>
      <c r="Y36" s="36">
        <v>46261</v>
      </c>
      <c r="Z36" s="36"/>
      <c r="AA36" s="36"/>
      <c r="AB36" s="52">
        <v>46232</v>
      </c>
      <c r="AC36" s="36">
        <v>46269</v>
      </c>
      <c r="AD36" s="36"/>
      <c r="AE36" s="33" t="s">
        <v>132</v>
      </c>
      <c r="AF36" s="33" t="s">
        <v>48</v>
      </c>
      <c r="AG36" s="38"/>
      <c r="AH36" s="36"/>
      <c r="AI36" s="39"/>
      <c r="AJ36" s="33"/>
      <c r="AK36" s="40" t="s">
        <v>410</v>
      </c>
      <c r="AL36" s="73" t="str">
        <f>IF($B36="","",IF(AND(LEFT($AK36,3)="Yes",SUMPRODUCT(('Rework Log'!$A$3:$A$499=$B36)*('Rework Log'!$G$3:$G$499&lt;&gt;"Yes")*('Rework Log'!$G$3:$G$499&lt;&gt;"Did not pass re-test"))=0),"Blocked - log it on Rework Log",IF(AND(LEFT($AK36,3)&lt;&gt;"Yes",SUMPRODUCT(('Rework Log'!$A$3:$A$499=$B36)*('Rework Log'!$G$3:$G$499&lt;&gt;"Yes")*('Rework Log'!$G$3:$G$499&lt;&gt;"Did not pass re-test"))&gt;0),"Open rework row - mark Blocked? or close it",IF(AND($AK36="Yes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H)",IF(AND($AK36="Yes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H)",IF(AND($AK36="Yes – needs QA to fix",W36&lt;&gt;"",SUMPRODUCT(MAX((('Rework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target",IF(AND(AB36&lt;&gt;"",V36&lt;&gt;"",AB36&lt;V36),"DPO Approval target is before QA target",IF(AND(AH36&lt;&gt;"",AB36&lt;&gt;"",AH36&lt;AB36),"Confirmed Deployed date is before DPO Approval target",""))))))))))))</f>
        <v>Blocked - log it on Rework Log</v>
      </c>
      <c r="AM36" s="41" t="s">
        <v>152</v>
      </c>
      <c r="AN36" s="32" cm="1">
        <f t="array" ref="AN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O36" s="32" t="str" cm="1">
        <f t="array" ref="AO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36" s="31"/>
      <c r="AQ36" s="32"/>
    </row>
    <row r="37" spans="1:43" ht="14.4" x14ac:dyDescent="0.3">
      <c r="A37" s="33" t="s">
        <v>126</v>
      </c>
      <c r="B37" s="33" t="s">
        <v>154</v>
      </c>
      <c r="C37" s="33" t="s">
        <v>128</v>
      </c>
      <c r="D37" t="str" cm="1">
        <f t="array" aca="1" ref="D37" ca="1">IF($B37="","",IF(LEFT($AK37,3)="Yes","Blocked - "&amp;MID($AK37,7,100)&amp;IF(SUMPRODUCT(('Rework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track")),IF(C37="QA",_xlfn.LET(_xlpm.tgt,IF(AN37&lt;&gt;"",AN37,IF(Y37&lt;&gt;"",Y37,V37)),_xlpm.sent,_xlfn.MAXIFS('Rework Log'!$B$3:$B$499,'Rework Log'!$A$3:$A$499,$B37,'Rework Log'!$C$3:$C$499,"QA"),_xlpm.act,IF(AND(W37&lt;&gt;"",W37&gt;_xlpm.sent),W37,""),IF(_xlpm.tgt="","No target set",IF(AND(_xlpm.tgt&lt;TODAY(),_xlpm.act=""),"Overdue","On track"))),IF(C37="DPO Approval",_xlfn.LET(_xlpm.tgt,IF(AO37&lt;&gt;"",AO37,IF(AC37&lt;&gt;"",AC37,AB37)),_xlpm.sent,_xlfn.MAXIFS('Rework Log'!$B$3:$B$499,'Rework Log'!$A$3:$A$499,$B37,'Rework Log'!$C$3:$C$499,"DPO*"),_xlpm.act,IF(AND(AD37&lt;&gt;"",AD37&gt;_xlpm.sent),AD37,""),IF(_xlpm.tgt="","No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1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5" t="s">
        <v>59</v>
      </c>
      <c r="Q37" s="4">
        <v>46220</v>
      </c>
      <c r="R37" s="36">
        <v>46255</v>
      </c>
      <c r="S37" s="36">
        <v>46255</v>
      </c>
      <c r="T37" s="69"/>
      <c r="U37" s="54" t="s">
        <v>146</v>
      </c>
      <c r="V37" s="59">
        <v>46227</v>
      </c>
      <c r="W37" s="36">
        <v>46255</v>
      </c>
      <c r="X37" s="36"/>
      <c r="Y37" s="36">
        <v>46260</v>
      </c>
      <c r="Z37" s="36"/>
      <c r="AA37" s="36"/>
      <c r="AB37" s="52">
        <v>46232</v>
      </c>
      <c r="AC37" s="36">
        <v>46269</v>
      </c>
      <c r="AD37" s="36"/>
      <c r="AE37" s="33" t="s">
        <v>155</v>
      </c>
      <c r="AF37" s="33" t="s">
        <v>48</v>
      </c>
      <c r="AG37" s="38"/>
      <c r="AH37" s="36"/>
      <c r="AI37" s="39"/>
      <c r="AJ37" s="33"/>
      <c r="AK37" s="40" t="s">
        <v>52</v>
      </c>
      <c r="AL37" s="73" t="str">
        <f>IF($B37="","",IF(AND(LEFT($AK37,3)="Yes",SUMPRODUCT(('Rework Log'!$A$3:$A$499=$B37)*('Rework Log'!$G$3:$G$499&lt;&gt;"Yes")*('Rework Log'!$G$3:$G$499&lt;&gt;"Did not pass re-test"))=0),"Blocked - log it on Rework Log",IF(AND(LEFT($AK37,3)&lt;&gt;"Yes",SUMPRODUCT(('Rework Log'!$A$3:$A$499=$B37)*('Rework Log'!$G$3:$G$499&lt;&gt;"Yes")*('Rework Log'!$G$3:$G$499&lt;&gt;"Did not pass re-test"))&gt;0),"Open rework row - mark Blocked? or close it",IF(AND($AK37="Yes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H)",IF(AND($AK37="Yes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H)",IF(AND($AK37="Yes – needs QA to fix",W37&lt;&gt;"",SUMPRODUCT(MAX((('Rework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target",IF(AND(AB37&lt;&gt;"",V37&lt;&gt;"",AB37&lt;V37),"DPO Approval target is before QA target",IF(AND(AH37&lt;&gt;"",AB37&lt;&gt;"",AH37&lt;AB37),"Confirmed Deployed date is before DPO Approval target",""))))))))))))</f>
        <v/>
      </c>
      <c r="AM37" s="41" t="s">
        <v>156</v>
      </c>
      <c r="AN37" s="32" cm="1">
        <f t="array" ref="AN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O37" s="32" t="str" cm="1">
        <f t="array" ref="AO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37" s="31"/>
      <c r="AQ37" s="32"/>
    </row>
    <row r="38" spans="1:43" ht="14.4" x14ac:dyDescent="0.3">
      <c r="A38" s="33" t="s">
        <v>126</v>
      </c>
      <c r="B38" s="33" t="s">
        <v>157</v>
      </c>
      <c r="C38" s="33" t="s">
        <v>128</v>
      </c>
      <c r="D38" t="str" cm="1">
        <f t="array" aca="1" ref="D38" ca="1">IF($B38="","",IF(LEFT($AK38,3)="Yes","Blocked - "&amp;MID($AK38,7,100)&amp;IF(SUMPRODUCT(('Rework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track")),IF(C38="QA",_xlfn.LET(_xlpm.tgt,IF(AN38&lt;&gt;"",AN38,IF(Y38&lt;&gt;"",Y38,V38)),_xlpm.sent,_xlfn.MAXIFS('Rework Log'!$B$3:$B$499,'Rework Log'!$A$3:$A$499,$B38,'Rework Log'!$C$3:$C$499,"QA"),_xlpm.act,IF(AND(W38&lt;&gt;"",W38&gt;_xlpm.sent),W38,""),IF(_xlpm.tgt="","No target set",IF(AND(_xlpm.tgt&lt;TODAY(),_xlpm.act=""),"Overdue","On track"))),IF(C38="DPO Approval",_xlfn.LET(_xlpm.tgt,IF(AO38&lt;&gt;"",AO38,IF(AC38&lt;&gt;"",AC38,AB38)),_xlpm.sent,_xlfn.MAXIFS('Rework Log'!$B$3:$B$499,'Rework Log'!$A$3:$A$499,$B38,'Rework Log'!$C$3:$C$499,"DPO*"),_xlpm.act,IF(AND(AD38&lt;&gt;"",AD38&gt;_xlpm.sent),AD38,""),IF(_xlpm.tgt="","No target set",IF(AND(_xlpm.tgt&lt;TODAY(),_xlpm.act=""),"Overdue","On track"))),IF(C38="RELEASED IN PROD","Delivered",""))))))))</f>
        <v>On track</v>
      </c>
      <c r="E38" s="33" t="s">
        <v>158</v>
      </c>
      <c r="F38" s="34" t="s">
        <v>146</v>
      </c>
      <c r="G38" s="33"/>
      <c r="H38" s="50">
        <v>46234</v>
      </c>
      <c r="I38" s="61" t="s">
        <v>130</v>
      </c>
      <c r="J38" s="33" t="s">
        <v>159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5" t="s">
        <v>59</v>
      </c>
      <c r="Q38" s="4">
        <v>46220</v>
      </c>
      <c r="R38" s="36">
        <v>46254</v>
      </c>
      <c r="S38" s="36">
        <v>46254</v>
      </c>
      <c r="T38" s="69"/>
      <c r="U38" s="54" t="s">
        <v>146</v>
      </c>
      <c r="V38" s="59">
        <v>46227</v>
      </c>
      <c r="W38" s="36">
        <v>46254</v>
      </c>
      <c r="X38" s="36"/>
      <c r="Y38" s="36">
        <v>46259</v>
      </c>
      <c r="Z38" s="36"/>
      <c r="AA38" s="36"/>
      <c r="AB38" s="52">
        <v>46232</v>
      </c>
      <c r="AC38" s="36">
        <v>46269</v>
      </c>
      <c r="AD38" s="36"/>
      <c r="AE38" s="33" t="s">
        <v>155</v>
      </c>
      <c r="AF38" s="33" t="s">
        <v>48</v>
      </c>
      <c r="AG38" s="38"/>
      <c r="AH38" s="36"/>
      <c r="AI38" s="39"/>
      <c r="AJ38" s="33"/>
      <c r="AK38" s="40" t="s">
        <v>52</v>
      </c>
      <c r="AL38" s="73" t="str">
        <f>IF($B38="","",IF(AND(LEFT($AK38,3)="Yes",SUMPRODUCT(('Rework Log'!$A$3:$A$499=$B38)*('Rework Log'!$G$3:$G$499&lt;&gt;"Yes")*('Rework Log'!$G$3:$G$499&lt;&gt;"Did not pass re-test"))=0),"Blocked - log it on Rework Log",IF(AND(LEFT($AK38,3)&lt;&gt;"Yes",SUMPRODUCT(('Rework Log'!$A$3:$A$499=$B38)*('Rework Log'!$G$3:$G$499&lt;&gt;"Yes")*('Rework Log'!$G$3:$G$499&lt;&gt;"Did not pass re-test"))&gt;0),"Open rework row - mark Blocked? or close it",IF(AND($AK38="Yes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H)",IF(AND($AK38="Yes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H)",IF(AND($AK38="Yes – needs QA to fix",W38&lt;&gt;"",SUMPRODUCT(MAX((('Rework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target",IF(AND(AB38&lt;&gt;"",V38&lt;&gt;"",AB38&lt;V38),"DPO Approval target is before QA target",IF(AND(AH38&lt;&gt;"",AB38&lt;&gt;"",AH38&lt;AB38),"Confirmed Deployed date is before DPO Approval target",""))))))))))))</f>
        <v/>
      </c>
      <c r="AM38" s="41"/>
      <c r="AN38" s="32" cm="1">
        <f t="array" ref="AN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O38" s="32" t="str" cm="1">
        <f t="array" ref="AO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38" s="31"/>
      <c r="AQ38" s="32"/>
    </row>
    <row r="39" spans="1:43" ht="14.4" x14ac:dyDescent="0.3">
      <c r="A39" s="33" t="s">
        <v>126</v>
      </c>
      <c r="B39" s="33" t="s">
        <v>160</v>
      </c>
      <c r="C39" s="33" t="s">
        <v>128</v>
      </c>
      <c r="D39" t="str" cm="1">
        <f t="array" aca="1" ref="D39" ca="1">IF($B39="","",IF(LEFT($AK39,3)="Yes","Blocked - "&amp;MID($AK39,7,100)&amp;IF(SUMPRODUCT(('Rework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track")),IF(C39="QA",_xlfn.LET(_xlpm.tgt,IF(AN39&lt;&gt;"",AN39,IF(Y39&lt;&gt;"",Y39,V39)),_xlpm.sent,_xlfn.MAXIFS('Rework Log'!$B$3:$B$499,'Rework Log'!$A$3:$A$499,$B39,'Rework Log'!$C$3:$C$499,"QA"),_xlpm.act,IF(AND(W39&lt;&gt;"",W39&gt;_xlpm.sent),W39,""),IF(_xlpm.tgt="","No target set",IF(AND(_xlpm.tgt&lt;TODAY(),_xlpm.act=""),"Overdue","On track"))),IF(C39="DPO Approval",_xlfn.LET(_xlpm.tgt,IF(AO39&lt;&gt;"",AO39,IF(AC39&lt;&gt;"",AC39,AB39)),_xlpm.sent,_xlfn.MAXIFS('Rework Log'!$B$3:$B$499,'Rework Log'!$A$3:$A$499,$B39,'Rework Log'!$C$3:$C$499,"DPO*"),_xlpm.act,IF(AND(AD39&lt;&gt;"",AD39&gt;_xlpm.sent),AD39,""),IF(_xlpm.tgt="","No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1" t="s">
        <v>130</v>
      </c>
      <c r="J39" s="33" t="s">
        <v>159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5" t="s">
        <v>76</v>
      </c>
      <c r="Q39" s="4">
        <v>46220</v>
      </c>
      <c r="R39" s="36">
        <v>46247</v>
      </c>
      <c r="S39" s="36">
        <v>46258</v>
      </c>
      <c r="T39" s="69"/>
      <c r="U39" s="54" t="s">
        <v>46</v>
      </c>
      <c r="V39" s="59">
        <v>46227</v>
      </c>
      <c r="W39" s="36">
        <v>46258</v>
      </c>
      <c r="X39" s="36"/>
      <c r="Y39" s="36">
        <v>46261</v>
      </c>
      <c r="Z39" s="36"/>
      <c r="AA39" s="36"/>
      <c r="AB39" s="52">
        <v>46232</v>
      </c>
      <c r="AC39" s="36">
        <v>46269</v>
      </c>
      <c r="AD39" s="36"/>
      <c r="AE39" s="33" t="s">
        <v>155</v>
      </c>
      <c r="AF39" s="33" t="s">
        <v>48</v>
      </c>
      <c r="AG39" s="38"/>
      <c r="AH39" s="36"/>
      <c r="AI39" s="39"/>
      <c r="AJ39" s="33"/>
      <c r="AK39" s="40" t="s">
        <v>52</v>
      </c>
      <c r="AL39" s="73" t="str">
        <f>IF($B39="","",IF(AND(LEFT($AK39,3)="Yes",SUMPRODUCT(('Rework Log'!$A$3:$A$499=$B39)*('Rework Log'!$G$3:$G$499&lt;&gt;"Yes")*('Rework Log'!$G$3:$G$499&lt;&gt;"Did not pass re-test"))=0),"Blocked - log it on Rework Log",IF(AND(LEFT($AK39,3)&lt;&gt;"Yes",SUMPRODUCT(('Rework Log'!$A$3:$A$499=$B39)*('Rework Log'!$G$3:$G$499&lt;&gt;"Yes")*('Rework Log'!$G$3:$G$499&lt;&gt;"Did not pass re-test"))&gt;0),"Open rework row - mark Blocked? or close it",IF(AND($AK39="Yes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H)",IF(AND($AK39="Yes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H)",IF(AND($AK39="Yes – needs QA to fix",W39&lt;&gt;"",SUMPRODUCT(MAX((('Rework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target",IF(AND(AB39&lt;&gt;"",V39&lt;&gt;"",AB39&lt;V39),"DPO Approval target is before QA target",IF(AND(AH39&lt;&gt;"",AB39&lt;&gt;"",AH39&lt;AB39),"Confirmed Deployed date is before DPO Approval target",""))))))))))))</f>
        <v/>
      </c>
      <c r="AM39" s="41" t="s">
        <v>152</v>
      </c>
      <c r="AN39" s="32" cm="1">
        <f t="array" ref="AN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O39" s="32" t="str" cm="1">
        <f t="array" ref="AO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39" s="31"/>
      <c r="AQ39" s="32"/>
    </row>
    <row r="40" spans="1:43" ht="14.4" x14ac:dyDescent="0.3">
      <c r="A40" s="33" t="s">
        <v>126</v>
      </c>
      <c r="B40" s="33" t="s">
        <v>161</v>
      </c>
      <c r="C40" s="33" t="s">
        <v>128</v>
      </c>
      <c r="D40" t="str" cm="1">
        <f t="array" aca="1" ref="D40" ca="1">IF($B40="","",IF(LEFT($AK40,3)="Yes","Blocked - "&amp;MID($AK40,7,100)&amp;IF(SUMPRODUCT(('Rework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track")),IF(C40="QA",_xlfn.LET(_xlpm.tgt,IF(AN40&lt;&gt;"",AN40,IF(Y40&lt;&gt;"",Y40,V40)),_xlpm.sent,_xlfn.MAXIFS('Rework Log'!$B$3:$B$499,'Rework Log'!$A$3:$A$499,$B40,'Rework Log'!$C$3:$C$499,"QA"),_xlpm.act,IF(AND(W40&lt;&gt;"",W40&gt;_xlpm.sent),W40,""),IF(_xlpm.tgt="","No target set",IF(AND(_xlpm.tgt&lt;TODAY(),_xlpm.act=""),"Overdue","On track"))),IF(C40="DPO Approval",_xlfn.LET(_xlpm.tgt,IF(AO40&lt;&gt;"",AO40,IF(AC40&lt;&gt;"",AC40,AB40)),_xlpm.sent,_xlfn.MAXIFS('Rework Log'!$B$3:$B$499,'Rework Log'!$A$3:$A$499,$B40,'Rework Log'!$C$3:$C$499,"DPO*"),_xlpm.act,IF(AND(AD40&lt;&gt;"",AD40&gt;_xlpm.sent),AD40,""),IF(_xlpm.tgt="","No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1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5" t="s">
        <v>76</v>
      </c>
      <c r="Q40" s="4">
        <v>46220</v>
      </c>
      <c r="R40" s="36">
        <v>46251</v>
      </c>
      <c r="S40" s="36">
        <v>46255</v>
      </c>
      <c r="T40" s="69"/>
      <c r="U40" s="54" t="s">
        <v>46</v>
      </c>
      <c r="V40" s="59">
        <v>46227</v>
      </c>
      <c r="W40" s="36">
        <v>46258</v>
      </c>
      <c r="X40" s="36"/>
      <c r="Y40" s="36">
        <v>46254</v>
      </c>
      <c r="Z40" s="36"/>
      <c r="AA40" s="36"/>
      <c r="AB40" s="52">
        <v>46232</v>
      </c>
      <c r="AC40" s="36">
        <v>46267</v>
      </c>
      <c r="AD40" s="36"/>
      <c r="AE40" s="33" t="s">
        <v>132</v>
      </c>
      <c r="AF40" s="33" t="s">
        <v>48</v>
      </c>
      <c r="AG40" s="38"/>
      <c r="AH40" s="36"/>
      <c r="AI40" s="39"/>
      <c r="AJ40" s="33"/>
      <c r="AK40" s="40" t="s">
        <v>52</v>
      </c>
      <c r="AL40" s="73" t="str">
        <f>IF($B40="","",IF(AND(LEFT($AK40,3)="Yes",SUMPRODUCT(('Rework Log'!$A$3:$A$499=$B40)*('Rework Log'!$G$3:$G$499&lt;&gt;"Yes")*('Rework Log'!$G$3:$G$499&lt;&gt;"Did not pass re-test"))=0),"Blocked - log it on Rework Log",IF(AND(LEFT($AK40,3)&lt;&gt;"Yes",SUMPRODUCT(('Rework Log'!$A$3:$A$499=$B40)*('Rework Log'!$G$3:$G$499&lt;&gt;"Yes")*('Rework Log'!$G$3:$G$499&lt;&gt;"Did not pass re-test"))&gt;0),"Open rework row - mark Blocked? or close it",IF(AND($AK40="Yes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H)",IF(AND($AK40="Yes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H)",IF(AND($AK40="Yes – needs QA to fix",W40&lt;&gt;"",SUMPRODUCT(MAX((('Rework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target",IF(AND(AB40&lt;&gt;"",V40&lt;&gt;"",AB40&lt;V40),"DPO Approval target is before QA target",IF(AND(AH40&lt;&gt;"",AB40&lt;&gt;"",AH40&lt;AB40),"Confirmed Deployed date is before DPO Approval target",""))))))))))))</f>
        <v/>
      </c>
      <c r="AM40" s="41" t="s">
        <v>162</v>
      </c>
      <c r="AN40" s="32" cm="1">
        <f t="array" ref="AN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O40" s="32" t="str" cm="1">
        <f t="array" ref="AO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40" s="31"/>
      <c r="AQ40" s="32"/>
    </row>
    <row r="41" spans="1:43" ht="14.4" x14ac:dyDescent="0.3">
      <c r="A41" s="33" t="s">
        <v>126</v>
      </c>
      <c r="B41" s="33" t="s">
        <v>163</v>
      </c>
      <c r="C41" s="33" t="s">
        <v>128</v>
      </c>
      <c r="D41" t="str" cm="1">
        <f t="array" aca="1" ref="D41" ca="1">IF($B41="","",IF(LEFT($AK41,3)="Yes","Blocked - "&amp;MID($AK41,7,100)&amp;IF(SUMPRODUCT(('Rework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track")),IF(C41="QA",_xlfn.LET(_xlpm.tgt,IF(AN41&lt;&gt;"",AN41,IF(Y41&lt;&gt;"",Y41,V41)),_xlpm.sent,_xlfn.MAXIFS('Rework Log'!$B$3:$B$499,'Rework Log'!$A$3:$A$499,$B41,'Rework Log'!$C$3:$C$499,"QA"),_xlpm.act,IF(AND(W41&lt;&gt;"",W41&gt;_xlpm.sent),W41,""),IF(_xlpm.tgt="","No target set",IF(AND(_xlpm.tgt&lt;TODAY(),_xlpm.act=""),"Overdue","On track"))),IF(C41="DPO Approval",_xlfn.LET(_xlpm.tgt,IF(AO41&lt;&gt;"",AO41,IF(AC41&lt;&gt;"",AC41,AB41)),_xlpm.sent,_xlfn.MAXIFS('Rework Log'!$B$3:$B$499,'Rework Log'!$A$3:$A$499,$B41,'Rework Log'!$C$3:$C$499,"DPO*"),_xlpm.act,IF(AND(AD41&lt;&gt;"",AD41&gt;_xlpm.sent),AD41,""),IF(_xlpm.tgt="","No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1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5" t="s">
        <v>59</v>
      </c>
      <c r="Q41" s="4">
        <v>46220</v>
      </c>
      <c r="R41" s="36">
        <v>46251</v>
      </c>
      <c r="S41" s="36">
        <v>46251</v>
      </c>
      <c r="T41" s="69"/>
      <c r="U41" s="54" t="s">
        <v>46</v>
      </c>
      <c r="V41" s="59">
        <v>46227</v>
      </c>
      <c r="W41" s="36">
        <v>46258</v>
      </c>
      <c r="X41" s="36"/>
      <c r="Y41" s="36">
        <v>46258</v>
      </c>
      <c r="Z41" s="36"/>
      <c r="AA41" s="36"/>
      <c r="AB41" s="52">
        <v>46232</v>
      </c>
      <c r="AC41" s="36">
        <v>46267</v>
      </c>
      <c r="AD41" s="36"/>
      <c r="AE41" s="33" t="s">
        <v>132</v>
      </c>
      <c r="AF41" s="33" t="s">
        <v>48</v>
      </c>
      <c r="AG41" s="38"/>
      <c r="AH41" s="36"/>
      <c r="AI41" s="39"/>
      <c r="AJ41" s="33"/>
      <c r="AK41" s="40" t="s">
        <v>52</v>
      </c>
      <c r="AL41" s="73" t="str">
        <f>IF($B41="","",IF(AND(LEFT($AK41,3)="Yes",SUMPRODUCT(('Rework Log'!$A$3:$A$499=$B41)*('Rework Log'!$G$3:$G$499&lt;&gt;"Yes")*('Rework Log'!$G$3:$G$499&lt;&gt;"Did not pass re-test"))=0),"Blocked - log it on Rework Log",IF(AND(LEFT($AK41,3)&lt;&gt;"Yes",SUMPRODUCT(('Rework Log'!$A$3:$A$499=$B41)*('Rework Log'!$G$3:$G$499&lt;&gt;"Yes")*('Rework Log'!$G$3:$G$499&lt;&gt;"Did not pass re-test"))&gt;0),"Open rework row - mark Blocked? or close it",IF(AND($AK41="Yes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H)",IF(AND($AK41="Yes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H)",IF(AND($AK41="Yes – needs QA to fix",W41&lt;&gt;"",SUMPRODUCT(MAX((('Rework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target",IF(AND(AB41&lt;&gt;"",V41&lt;&gt;"",AB41&lt;V41),"DPO Approval target is before QA target",IF(AND(AH41&lt;&gt;"",AB41&lt;&gt;"",AH41&lt;AB41),"Confirmed Deployed date is before DPO Approval target",""))))))))))))</f>
        <v/>
      </c>
      <c r="AM41" s="41" t="s">
        <v>164</v>
      </c>
      <c r="AN41" s="32" t="str" cm="1">
        <f t="array" ref="AN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41" s="32" t="str" cm="1">
        <f t="array" ref="AO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41" s="31"/>
      <c r="AQ41" s="32"/>
    </row>
    <row r="42" spans="1:43" ht="14.4" x14ac:dyDescent="0.3">
      <c r="A42" s="33" t="s">
        <v>126</v>
      </c>
      <c r="B42" s="33" t="s">
        <v>165</v>
      </c>
      <c r="C42" s="33" t="s">
        <v>128</v>
      </c>
      <c r="D42" t="str" cm="1">
        <f t="array" aca="1" ref="D42" ca="1">IF($B42="","",IF(LEFT($AK42,3)="Yes","Blocked - "&amp;MID($AK42,7,100)&amp;IF(SUMPRODUCT(('Rework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track")),IF(C42="QA",_xlfn.LET(_xlpm.tgt,IF(AN42&lt;&gt;"",AN42,IF(Y42&lt;&gt;"",Y42,V42)),_xlpm.sent,_xlfn.MAXIFS('Rework Log'!$B$3:$B$499,'Rework Log'!$A$3:$A$499,$B42,'Rework Log'!$C$3:$C$499,"QA"),_xlpm.act,IF(AND(W42&lt;&gt;"",W42&gt;_xlpm.sent),W42,""),IF(_xlpm.tgt="","No target set",IF(AND(_xlpm.tgt&lt;TODAY(),_xlpm.act=""),"Overdue","On track"))),IF(C42="DPO Approval",_xlfn.LET(_xlpm.tgt,IF(AO42&lt;&gt;"",AO42,IF(AC42&lt;&gt;"",AC42,AB42)),_xlpm.sent,_xlfn.MAXIFS('Rework Log'!$B$3:$B$499,'Rework Log'!$A$3:$A$499,$B42,'Rework Log'!$C$3:$C$499,"DPO*"),_xlpm.act,IF(AND(AD42&lt;&gt;"",AD42&gt;_xlpm.sent),AD42,""),IF(_xlpm.tgt="","No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1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166</v>
      </c>
      <c r="P42" s="65" t="s">
        <v>45</v>
      </c>
      <c r="Q42" s="4">
        <v>46220</v>
      </c>
      <c r="R42" s="36">
        <v>46248</v>
      </c>
      <c r="S42" s="36">
        <v>46248</v>
      </c>
      <c r="T42" s="69"/>
      <c r="U42" s="54" t="s">
        <v>46</v>
      </c>
      <c r="V42" s="59">
        <v>46227</v>
      </c>
      <c r="W42" s="36">
        <v>46261</v>
      </c>
      <c r="X42" s="36"/>
      <c r="Y42" s="36">
        <v>46255</v>
      </c>
      <c r="Z42" s="36"/>
      <c r="AA42" s="36"/>
      <c r="AB42" s="52">
        <v>46232</v>
      </c>
      <c r="AC42" s="36">
        <v>46269</v>
      </c>
      <c r="AD42" s="36"/>
      <c r="AE42" s="33" t="s">
        <v>155</v>
      </c>
      <c r="AF42" s="33" t="s">
        <v>48</v>
      </c>
      <c r="AG42" s="38"/>
      <c r="AH42" s="36"/>
      <c r="AI42" s="39"/>
      <c r="AJ42" s="33"/>
      <c r="AK42" s="40" t="s">
        <v>52</v>
      </c>
      <c r="AL42" s="48"/>
      <c r="AM42" s="45" t="s">
        <v>167</v>
      </c>
      <c r="AN42" s="32" t="str" cm="1">
        <f t="array" ref="AN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42" s="32" t="str" cm="1">
        <f t="array" ref="AO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42" s="31"/>
      <c r="AQ42" s="32"/>
    </row>
    <row r="43" spans="1:43" ht="14.4" x14ac:dyDescent="0.3">
      <c r="A43" s="33" t="s">
        <v>126</v>
      </c>
      <c r="B43" s="33" t="s">
        <v>168</v>
      </c>
      <c r="C43" s="33" t="s">
        <v>149</v>
      </c>
      <c r="D43" t="str" cm="1">
        <f t="array" aca="1" ref="D43" ca="1">IF($B43="","",IF(LEFT($AK43,3)="Yes","Blocked - "&amp;MID($AK43,7,100)&amp;IF(SUMPRODUCT(('Rework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track")),IF(C43="QA",_xlfn.LET(_xlpm.tgt,IF(AN43&lt;&gt;"",AN43,IF(Y43&lt;&gt;"",Y43,V43)),_xlpm.sent,_xlfn.MAXIFS('Rework Log'!$B$3:$B$499,'Rework Log'!$A$3:$A$499,$B43,'Rework Log'!$C$3:$C$499,"QA"),_xlpm.act,IF(AND(W43&lt;&gt;"",W43&gt;_xlpm.sent),W43,""),IF(_xlpm.tgt="","No target set",IF(AND(_xlpm.tgt&lt;TODAY(),_xlpm.act=""),"Overdue","On track"))),IF(C43="DPO Approval",_xlfn.LET(_xlpm.tgt,IF(AO43&lt;&gt;"",AO43,IF(AC43&lt;&gt;"",AC43,AB43)),_xlpm.sent,_xlfn.MAXIFS('Rework Log'!$B$3:$B$499,'Rework Log'!$A$3:$A$499,$B43,'Rework Log'!$C$3:$C$499,"DPO*"),_xlpm.act,IF(AND(AD43&lt;&gt;"",AD43&gt;_xlpm.sent),AD43,""),IF(_xlpm.tgt="","No target set",IF(AND(_xlpm.tgt&lt;TODAY(),_xlpm.act=""),"Overdue","On track"))),IF(C43="RELEASED IN PROD","Delivered",""))))))))</f>
        <v>Overdue</v>
      </c>
      <c r="E43" s="33" t="s">
        <v>169</v>
      </c>
      <c r="F43" s="34" t="s">
        <v>146</v>
      </c>
      <c r="G43" s="33"/>
      <c r="H43" s="50">
        <v>46265</v>
      </c>
      <c r="I43" s="61" t="s">
        <v>170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171</v>
      </c>
      <c r="O43" s="36" t="s">
        <v>172</v>
      </c>
      <c r="P43" s="65" t="s">
        <v>59</v>
      </c>
      <c r="Q43" s="4">
        <v>46241</v>
      </c>
      <c r="R43" s="36">
        <v>46260</v>
      </c>
      <c r="S43" s="36">
        <v>46260</v>
      </c>
      <c r="T43" s="69"/>
      <c r="U43" s="54" t="s">
        <v>46</v>
      </c>
      <c r="V43" s="59">
        <v>46255</v>
      </c>
      <c r="W43" s="36"/>
      <c r="X43" s="36"/>
      <c r="Y43" s="36">
        <v>46262</v>
      </c>
      <c r="Z43" s="36"/>
      <c r="AA43" s="36"/>
      <c r="AB43" s="52">
        <v>46260</v>
      </c>
      <c r="AC43" s="36">
        <v>46274</v>
      </c>
      <c r="AD43" s="36"/>
      <c r="AE43" s="33" t="s">
        <v>132</v>
      </c>
      <c r="AF43" s="33" t="s">
        <v>48</v>
      </c>
      <c r="AG43" s="38"/>
      <c r="AH43" s="36"/>
      <c r="AI43" s="39"/>
      <c r="AJ43" s="33"/>
      <c r="AK43" s="40" t="s">
        <v>52</v>
      </c>
      <c r="AL43" s="73" t="str">
        <f>IF($B43="","",IF(AND(LEFT($AK43,3)="Yes",SUMPRODUCT(('Rework Log'!$A$3:$A$499=$B43)*('Rework Log'!$G$3:$G$499&lt;&gt;"Yes")*('Rework Log'!$G$3:$G$499&lt;&gt;"Did not pass re-test"))=0),"Blocked - log it on Rework Log",IF(AND(LEFT($AK43,3)&lt;&gt;"Yes",SUMPRODUCT(('Rework Log'!$A$3:$A$499=$B43)*('Rework Log'!$G$3:$G$499&lt;&gt;"Yes")*('Rework Log'!$G$3:$G$499&lt;&gt;"Did not pass re-test"))&gt;0),"Open rework row - mark Blocked? or close it",IF(AND($AK43="Yes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H)",IF(AND($AK43="Yes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H)",IF(AND($AK43="Yes – needs QA to fix",W43&lt;&gt;"",SUMPRODUCT(MAX((('Rework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target",IF(AND(AB43&lt;&gt;"",V43&lt;&gt;"",AB43&lt;V43),"DPO Approval target is before QA target",IF(AND(AH43&lt;&gt;"",AB43&lt;&gt;"",AH43&lt;AB43),"Confirmed Deployed date is before DPO Approval target",""))))))))))))</f>
        <v/>
      </c>
      <c r="AM43" s="41" t="s">
        <v>173</v>
      </c>
      <c r="AN43" s="32" t="str" cm="1">
        <f t="array" ref="AN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43" s="32" t="str" cm="1">
        <f t="array" ref="AO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43" s="31"/>
      <c r="AQ43" s="32"/>
    </row>
    <row r="44" spans="1:43" ht="14.4" x14ac:dyDescent="0.3">
      <c r="A44" s="33" t="s">
        <v>126</v>
      </c>
      <c r="B44" s="33" t="s">
        <v>174</v>
      </c>
      <c r="C44" s="33" t="s">
        <v>140</v>
      </c>
      <c r="D44" t="str" cm="1">
        <f t="array" aca="1" ref="D44" ca="1">IF($B44="","",IF(LEFT($AK44,3)="Yes","Blocked - "&amp;MID($AK44,7,100)&amp;IF(SUMPRODUCT(('Rework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track")),IF(C44="QA",_xlfn.LET(_xlpm.tgt,IF(AN44&lt;&gt;"",AN44,IF(Y44&lt;&gt;"",Y44,V44)),_xlpm.sent,_xlfn.MAXIFS('Rework Log'!$B$3:$B$499,'Rework Log'!$A$3:$A$499,$B44,'Rework Log'!$C$3:$C$499,"QA"),_xlpm.act,IF(AND(W44&lt;&gt;"",W44&gt;_xlpm.sent),W44,""),IF(_xlpm.tgt="","No target set",IF(AND(_xlpm.tgt&lt;TODAY(),_xlpm.act=""),"Overdue","On track"))),IF(C44="DPO Approval",_xlfn.LET(_xlpm.tgt,IF(AO44&lt;&gt;"",AO44,IF(AC44&lt;&gt;"",AC44,AB44)),_xlpm.sent,_xlfn.MAXIFS('Rework Log'!$B$3:$B$499,'Rework Log'!$A$3:$A$499,$B44,'Rework Log'!$C$3:$C$499,"DPO*"),_xlpm.act,IF(AND(AD44&lt;&gt;"",AD44&gt;_xlpm.sent),AD44,""),IF(_xlpm.tgt="","No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146</v>
      </c>
      <c r="G44" s="33"/>
      <c r="H44" s="50">
        <v>46265</v>
      </c>
      <c r="I44" s="61" t="s">
        <v>170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172</v>
      </c>
      <c r="P44" s="65" t="s">
        <v>45</v>
      </c>
      <c r="Q44" s="4">
        <v>46241</v>
      </c>
      <c r="R44" s="36">
        <v>46258</v>
      </c>
      <c r="S44" s="36">
        <v>46258</v>
      </c>
      <c r="T44" s="69"/>
      <c r="U44" s="54" t="s">
        <v>46</v>
      </c>
      <c r="V44" s="59">
        <v>46255</v>
      </c>
      <c r="W44" s="36"/>
      <c r="X44" s="36"/>
      <c r="Y44" s="36">
        <v>46261</v>
      </c>
      <c r="Z44" s="36"/>
      <c r="AA44" s="36"/>
      <c r="AB44" s="52">
        <v>46260</v>
      </c>
      <c r="AC44" s="36">
        <v>46273</v>
      </c>
      <c r="AD44" s="36"/>
      <c r="AE44" s="33" t="s">
        <v>175</v>
      </c>
      <c r="AF44" s="33" t="s">
        <v>48</v>
      </c>
      <c r="AG44" s="38"/>
      <c r="AH44" s="36"/>
      <c r="AI44" s="39"/>
      <c r="AJ44" s="33"/>
      <c r="AK44" s="40" t="s">
        <v>410</v>
      </c>
      <c r="AL44" s="73" t="str">
        <f>IF($B44="","",IF(AND(LEFT($AK44,3)="Yes",SUMPRODUCT(('Rework Log'!$A$3:$A$499=$B44)*('Rework Log'!$G$3:$G$499&lt;&gt;"Yes")*('Rework Log'!$G$3:$G$499&lt;&gt;"Did not pass re-test"))=0),"Blocked - log it on Rework Log",IF(AND(LEFT($AK44,3)&lt;&gt;"Yes",SUMPRODUCT(('Rework Log'!$A$3:$A$499=$B44)*('Rework Log'!$G$3:$G$499&lt;&gt;"Yes")*('Rework Log'!$G$3:$G$499&lt;&gt;"Did not pass re-test"))&gt;0),"Open rework row - mark Blocked? or close it",IF(AND($AK44="Yes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H)",IF(AND($AK44="Yes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H)",IF(AND($AK44="Yes – needs QA to fix",W44&lt;&gt;"",SUMPRODUCT(MAX((('Rework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target",IF(AND(AB44&lt;&gt;"",V44&lt;&gt;"",AB44&lt;V44),"DPO Approval target is before QA target",IF(AND(AH44&lt;&gt;"",AB44&lt;&gt;"",AH44&lt;AB44),"Confirmed Deployed date is before DPO Approval target",""))))))))))))</f>
        <v/>
      </c>
      <c r="AM44" s="77" t="s">
        <v>176</v>
      </c>
      <c r="AN44" s="32" t="str" cm="1">
        <f t="array" ref="AN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44" s="32" t="str" cm="1">
        <f t="array" ref="AO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44" s="31"/>
      <c r="AQ44" s="32"/>
    </row>
    <row r="45" spans="1:43" ht="14.4" x14ac:dyDescent="0.3">
      <c r="A45" s="33" t="s">
        <v>126</v>
      </c>
      <c r="B45" s="33" t="s">
        <v>177</v>
      </c>
      <c r="C45" s="33" t="s">
        <v>128</v>
      </c>
      <c r="D45" t="str" cm="1">
        <f t="array" aca="1" ref="D45" ca="1">IF($B45="","",IF(LEFT($AK45,3)="Yes","Blocked - "&amp;MID($AK45,7,100)&amp;IF(SUMPRODUCT(('Rework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track")),IF(C45="QA",_xlfn.LET(_xlpm.tgt,IF(AN45&lt;&gt;"",AN45,IF(Y45&lt;&gt;"",Y45,V45)),_xlpm.sent,_xlfn.MAXIFS('Rework Log'!$B$3:$B$499,'Rework Log'!$A$3:$A$499,$B45,'Rework Log'!$C$3:$C$499,"QA"),_xlpm.act,IF(AND(W45&lt;&gt;"",W45&gt;_xlpm.sent),W45,""),IF(_xlpm.tgt="","No target set",IF(AND(_xlpm.tgt&lt;TODAY(),_xlpm.act=""),"Overdue","On track"))),IF(C45="DPO Approval",_xlfn.LET(_xlpm.tgt,IF(AO45&lt;&gt;"",AO45,IF(AC45&lt;&gt;"",AC45,AB45)),_xlpm.sent,_xlfn.MAXIFS('Rework Log'!$B$3:$B$499,'Rework Log'!$A$3:$A$499,$B45,'Rework Log'!$C$3:$C$499,"DPO*"),_xlpm.act,IF(AND(AD45&lt;&gt;"",AD45&gt;_xlpm.sent),AD45,""),IF(_xlpm.tgt="","No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1" t="s">
        <v>170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172</v>
      </c>
      <c r="P45" s="65" t="s">
        <v>76</v>
      </c>
      <c r="Q45" s="4">
        <v>46241</v>
      </c>
      <c r="R45" s="36">
        <v>46252</v>
      </c>
      <c r="S45" s="36">
        <v>46265</v>
      </c>
      <c r="T45" s="69"/>
      <c r="U45" s="54" t="s">
        <v>46</v>
      </c>
      <c r="V45" s="59">
        <v>46255</v>
      </c>
      <c r="W45" s="36">
        <v>46265</v>
      </c>
      <c r="X45" s="36"/>
      <c r="Y45" s="36">
        <v>46268</v>
      </c>
      <c r="Z45" s="36"/>
      <c r="AA45" s="36"/>
      <c r="AB45" s="52">
        <v>46260</v>
      </c>
      <c r="AC45" s="36"/>
      <c r="AD45" s="36"/>
      <c r="AE45" s="33" t="s">
        <v>175</v>
      </c>
      <c r="AF45" s="33" t="s">
        <v>48</v>
      </c>
      <c r="AG45" s="38"/>
      <c r="AH45" s="36"/>
      <c r="AI45" s="39"/>
      <c r="AJ45" s="33"/>
      <c r="AK45" s="40" t="s">
        <v>52</v>
      </c>
      <c r="AL45" s="73" t="str">
        <f>IF($B45="","",IF(AND(LEFT($AK45,3)="Yes",SUMPRODUCT(('Rework Log'!$A$3:$A$499=$B45)*('Rework Log'!$G$3:$G$499&lt;&gt;"Yes")*('Rework Log'!$G$3:$G$499&lt;&gt;"Did not pass re-test"))=0),"Blocked - log it on Rework Log",IF(AND(LEFT($AK45,3)&lt;&gt;"Yes",SUMPRODUCT(('Rework Log'!$A$3:$A$499=$B45)*('Rework Log'!$G$3:$G$499&lt;&gt;"Yes")*('Rework Log'!$G$3:$G$499&lt;&gt;"Did not pass re-test"))&gt;0),"Open rework row - mark Blocked? or close it",IF(AND($AK45="Yes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H)",IF(AND($AK45="Yes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H)",IF(AND($AK45="Yes – needs QA to fix",W45&lt;&gt;"",SUMPRODUCT(MAX((('Rework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target",IF(AND(AB45&lt;&gt;"",V45&lt;&gt;"",AB45&lt;V45),"DPO Approval target is before QA target",IF(AND(AH45&lt;&gt;"",AB45&lt;&gt;"",AH45&lt;AB45),"Confirmed Deployed date is before DPO Approval target",""))))))))))))</f>
        <v/>
      </c>
      <c r="AM45" s="41" t="s">
        <v>178</v>
      </c>
      <c r="AN45" s="32" t="str" cm="1">
        <f t="array" ref="AN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45" s="32" t="str" cm="1">
        <f t="array" ref="AO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45" s="31"/>
      <c r="AQ45" s="32"/>
    </row>
    <row r="46" spans="1:43" ht="14.4" x14ac:dyDescent="0.3">
      <c r="A46" s="33" t="s">
        <v>126</v>
      </c>
      <c r="B46" s="33" t="s">
        <v>179</v>
      </c>
      <c r="C46" s="33" t="s">
        <v>149</v>
      </c>
      <c r="D46" t="str" cm="1">
        <f t="array" aca="1" ref="D46" ca="1">IF($B46="","",IF(LEFT($AK46,3)="Yes","Blocked - "&amp;MID($AK46,7,100)&amp;IF(SUMPRODUCT(('Rework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track")),IF(C46="QA",_xlfn.LET(_xlpm.tgt,IF(AN46&lt;&gt;"",AN46,IF(Y46&lt;&gt;"",Y46,V46)),_xlpm.sent,_xlfn.MAXIFS('Rework Log'!$B$3:$B$499,'Rework Log'!$A$3:$A$499,$B46,'Rework Log'!$C$3:$C$499,"QA"),_xlpm.act,IF(AND(W46&lt;&gt;"",W46&gt;_xlpm.sent),W46,""),IF(_xlpm.tgt="","No target set",IF(AND(_xlpm.tgt&lt;TODAY(),_xlpm.act=""),"Overdue","On track"))),IF(C46="DPO Approval",_xlfn.LET(_xlpm.tgt,IF(AO46&lt;&gt;"",AO46,IF(AC46&lt;&gt;"",AC46,AB46)),_xlpm.sent,_xlfn.MAXIFS('Rework Log'!$B$3:$B$499,'Rework Log'!$A$3:$A$499,$B46,'Rework Log'!$C$3:$C$499,"DPO*"),_xlpm.act,IF(AND(AD46&lt;&gt;"",AD46&gt;_xlpm.sent),AD46,""),IF(_xlpm.tgt="","No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1" t="s">
        <v>170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181</v>
      </c>
      <c r="P46" s="65" t="s">
        <v>59</v>
      </c>
      <c r="Q46" s="4">
        <v>46241</v>
      </c>
      <c r="R46" s="36">
        <v>46261</v>
      </c>
      <c r="S46" s="36">
        <v>46261</v>
      </c>
      <c r="T46" s="69"/>
      <c r="U46" s="54" t="s">
        <v>46</v>
      </c>
      <c r="V46" s="59">
        <v>46255</v>
      </c>
      <c r="W46" s="36">
        <v>46266</v>
      </c>
      <c r="X46" s="36"/>
      <c r="Y46" s="36">
        <v>46266</v>
      </c>
      <c r="Z46" s="36"/>
      <c r="AA46" s="36"/>
      <c r="AB46" s="52">
        <v>46260</v>
      </c>
      <c r="AC46" s="36"/>
      <c r="AD46" s="36"/>
      <c r="AE46" s="33" t="s">
        <v>132</v>
      </c>
      <c r="AF46" s="33" t="s">
        <v>48</v>
      </c>
      <c r="AG46" s="38"/>
      <c r="AH46" s="36"/>
      <c r="AI46" s="39"/>
      <c r="AJ46" s="33"/>
      <c r="AK46" s="40" t="s">
        <v>52</v>
      </c>
      <c r="AL46" s="73" t="str">
        <f>IF($B46="","",IF(AND(LEFT($AK46,3)="Yes",SUMPRODUCT(('Rework Log'!$A$3:$A$499=$B46)*('Rework Log'!$G$3:$G$499&lt;&gt;"Yes")*('Rework Log'!$G$3:$G$499&lt;&gt;"Did not pass re-test"))=0),"Blocked - log it on Rework Log",IF(AND(LEFT($AK46,3)&lt;&gt;"Yes",SUMPRODUCT(('Rework Log'!$A$3:$A$499=$B46)*('Rework Log'!$G$3:$G$499&lt;&gt;"Yes")*('Rework Log'!$G$3:$G$499&lt;&gt;"Did not pass re-test"))&gt;0),"Open rework row - mark Blocked? or close it",IF(AND($AK46="Yes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H)",IF(AND($AK46="Yes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H)",IF(AND($AK46="Yes – needs QA to fix",W46&lt;&gt;"",SUMPRODUCT(MAX((('Rework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target",IF(AND(AB46&lt;&gt;"",V46&lt;&gt;"",AB46&lt;V46),"DPO Approval target is before QA target",IF(AND(AH46&lt;&gt;"",AB46&lt;&gt;"",AH46&lt;AB46),"Confirmed Deployed date is before DPO Approval target",""))))))))))))</f>
        <v/>
      </c>
      <c r="AM46" s="41" t="s">
        <v>178</v>
      </c>
      <c r="AN46" s="32" t="str" cm="1">
        <f t="array" ref="AN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46" s="32" t="str" cm="1">
        <f t="array" ref="AO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46" s="31"/>
      <c r="AQ46" s="32"/>
    </row>
    <row r="47" spans="1:43" ht="14.4" x14ac:dyDescent="0.3">
      <c r="A47" s="33" t="s">
        <v>126</v>
      </c>
      <c r="B47" s="33" t="s">
        <v>182</v>
      </c>
      <c r="C47" s="33" t="s">
        <v>128</v>
      </c>
      <c r="D47" t="str" cm="1">
        <f t="array" aca="1" ref="D47" ca="1">IF($B47="","",IF(LEFT($AK47,3)="Yes","Blocked - "&amp;MID($AK47,7,100)&amp;IF(SUMPRODUCT(('Rework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track")),IF(C47="QA",_xlfn.LET(_xlpm.tgt,IF(AN47&lt;&gt;"",AN47,IF(Y47&lt;&gt;"",Y47,V47)),_xlpm.sent,_xlfn.MAXIFS('Rework Log'!$B$3:$B$499,'Rework Log'!$A$3:$A$499,$B47,'Rework Log'!$C$3:$C$499,"QA"),_xlpm.act,IF(AND(W47&lt;&gt;"",W47&gt;_xlpm.sent),W47,""),IF(_xlpm.tgt="","No target set",IF(AND(_xlpm.tgt&lt;TODAY(),_xlpm.act=""),"Overdue","On track"))),IF(C47="DPO Approval",_xlfn.LET(_xlpm.tgt,IF(AO47&lt;&gt;"",AO47,IF(AC47&lt;&gt;"",AC47,AB47)),_xlpm.sent,_xlfn.MAXIFS('Rework Log'!$B$3:$B$499,'Rework Log'!$A$3:$A$499,$B47,'Rework Log'!$C$3:$C$499,"DPO*"),_xlpm.act,IF(AND(AD47&lt;&gt;"",AD47&gt;_xlpm.sent),AD47,""),IF(_xlpm.tgt="","No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1" t="s">
        <v>170</v>
      </c>
      <c r="J47" s="33" t="s">
        <v>159</v>
      </c>
      <c r="K47" s="4">
        <v>46234</v>
      </c>
      <c r="L47" s="36">
        <v>46246</v>
      </c>
      <c r="M47" s="36">
        <v>46246</v>
      </c>
      <c r="N47" s="36"/>
      <c r="O47" s="36" t="s">
        <v>183</v>
      </c>
      <c r="P47" s="65" t="s">
        <v>76</v>
      </c>
      <c r="Q47" s="4">
        <v>46241</v>
      </c>
      <c r="R47" s="36">
        <v>46261</v>
      </c>
      <c r="S47" s="36">
        <v>46261</v>
      </c>
      <c r="T47" s="69"/>
      <c r="U47" s="54" t="s">
        <v>129</v>
      </c>
      <c r="V47" s="59">
        <v>46255</v>
      </c>
      <c r="W47" s="36">
        <v>46265</v>
      </c>
      <c r="X47" s="36"/>
      <c r="Y47" s="36">
        <v>46265</v>
      </c>
      <c r="Z47" s="36"/>
      <c r="AA47" s="36"/>
      <c r="AB47" s="52">
        <v>46260</v>
      </c>
      <c r="AC47" s="36">
        <v>46280</v>
      </c>
      <c r="AD47" s="36"/>
      <c r="AE47" s="33" t="s">
        <v>132</v>
      </c>
      <c r="AF47" s="33" t="s">
        <v>48</v>
      </c>
      <c r="AG47" s="38"/>
      <c r="AH47" s="36"/>
      <c r="AI47" s="39"/>
      <c r="AJ47" s="33"/>
      <c r="AK47" s="40" t="s">
        <v>52</v>
      </c>
      <c r="AL47" s="73" t="str">
        <f>IF($B47="","",IF(AND(LEFT($AK47,3)="Yes",SUMPRODUCT(('Rework Log'!$A$3:$A$499=$B47)*('Rework Log'!$G$3:$G$499&lt;&gt;"Yes")*('Rework Log'!$G$3:$G$499&lt;&gt;"Did not pass re-test"))=0),"Blocked - log it on Rework Log",IF(AND(LEFT($AK47,3)&lt;&gt;"Yes",SUMPRODUCT(('Rework Log'!$A$3:$A$499=$B47)*('Rework Log'!$G$3:$G$499&lt;&gt;"Yes")*('Rework Log'!$G$3:$G$499&lt;&gt;"Did not pass re-test"))&gt;0),"Open rework row - mark Blocked? or close it",IF(AND($AK47="Yes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H)",IF(AND($AK47="Yes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H)",IF(AND($AK47="Yes – needs QA to fix",W47&lt;&gt;"",SUMPRODUCT(MAX((('Rework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target",IF(AND(AB47&lt;&gt;"",V47&lt;&gt;"",AB47&lt;V47),"DPO Approval target is before QA target",IF(AND(AH47&lt;&gt;"",AB47&lt;&gt;"",AH47&lt;AB47),"Confirmed Deployed date is before DPO Approval target",""))))))))))))</f>
        <v/>
      </c>
      <c r="AM47" s="41" t="s">
        <v>178</v>
      </c>
      <c r="AN47" s="32" t="str" cm="1">
        <f t="array" ref="AN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47" s="32" t="str" cm="1">
        <f t="array" ref="AO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47" s="31"/>
      <c r="AQ47" s="32"/>
    </row>
    <row r="48" spans="1:43" ht="14.4" x14ac:dyDescent="0.3">
      <c r="A48" s="33" t="s">
        <v>126</v>
      </c>
      <c r="B48" s="33" t="s">
        <v>184</v>
      </c>
      <c r="C48" s="33" t="s">
        <v>149</v>
      </c>
      <c r="D48" t="str" cm="1">
        <f t="array" aca="1" ref="D48" ca="1">IF($B48="","",IF(LEFT($AK48,3)="Yes","Blocked - "&amp;MID($AK48,7,100)&amp;IF(SUMPRODUCT(('Rework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track")),IF(C48="QA",_xlfn.LET(_xlpm.tgt,IF(AN48&lt;&gt;"",AN48,IF(Y48&lt;&gt;"",Y48,V48)),_xlpm.sent,_xlfn.MAXIFS('Rework Log'!$B$3:$B$499,'Rework Log'!$A$3:$A$499,$B48,'Rework Log'!$C$3:$C$499,"QA"),_xlpm.act,IF(AND(W48&lt;&gt;"",W48&gt;_xlpm.sent),W48,""),IF(_xlpm.tgt="","No target set",IF(AND(_xlpm.tgt&lt;TODAY(),_xlpm.act=""),"Overdue","On track"))),IF(C48="DPO Approval",_xlfn.LET(_xlpm.tgt,IF(AO48&lt;&gt;"",AO48,IF(AC48&lt;&gt;"",AC48,AB48)),_xlpm.sent,_xlfn.MAXIFS('Rework Log'!$B$3:$B$499,'Rework Log'!$A$3:$A$499,$B48,'Rework Log'!$C$3:$C$499,"DPO*"),_xlpm.act,IF(AND(AD48&lt;&gt;"",AD48&gt;_xlpm.sent),AD48,""),IF(_xlpm.tgt="","No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146</v>
      </c>
      <c r="G48" s="33"/>
      <c r="H48" s="50">
        <v>46265</v>
      </c>
      <c r="I48" s="61" t="s">
        <v>170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183</v>
      </c>
      <c r="P48" s="65" t="s">
        <v>45</v>
      </c>
      <c r="Q48" s="4">
        <v>46241</v>
      </c>
      <c r="R48" s="36">
        <v>46255</v>
      </c>
      <c r="S48" s="36">
        <v>46255</v>
      </c>
      <c r="T48" s="69"/>
      <c r="U48" s="54" t="s">
        <v>146</v>
      </c>
      <c r="V48" s="59">
        <v>46255</v>
      </c>
      <c r="W48" s="36"/>
      <c r="X48" s="36"/>
      <c r="Y48" s="36">
        <v>46269</v>
      </c>
      <c r="Z48" s="36"/>
      <c r="AA48" s="36"/>
      <c r="AB48" s="52">
        <v>46260</v>
      </c>
      <c r="AC48" s="47">
        <v>46268</v>
      </c>
      <c r="AD48" s="36"/>
      <c r="AE48" s="33" t="s">
        <v>175</v>
      </c>
      <c r="AF48" s="33" t="s">
        <v>48</v>
      </c>
      <c r="AG48" s="38"/>
      <c r="AH48" s="36"/>
      <c r="AI48" s="39"/>
      <c r="AJ48" s="33"/>
      <c r="AK48" s="40" t="s">
        <v>52</v>
      </c>
      <c r="AL48" s="73" t="str">
        <f>IF($B48="","",IF(AND(LEFT($AK48,3)="Yes",SUMPRODUCT(('Rework Log'!$A$3:$A$499=$B48)*('Rework Log'!$G$3:$G$499&lt;&gt;"Yes")*('Rework Log'!$G$3:$G$499&lt;&gt;"Did not pass re-test"))=0),"Blocked - log it on Rework Log",IF(AND(LEFT($AK48,3)&lt;&gt;"Yes",SUMPRODUCT(('Rework Log'!$A$3:$A$499=$B48)*('Rework Log'!$G$3:$G$499&lt;&gt;"Yes")*('Rework Log'!$G$3:$G$499&lt;&gt;"Did not pass re-test"))&gt;0),"Open rework row - mark Blocked? or close it",IF(AND($AK48="Yes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H)",IF(AND($AK48="Yes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H)",IF(AND($AK48="Yes – needs QA to fix",W48&lt;&gt;"",SUMPRODUCT(MAX((('Rework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target",IF(AND(AB48&lt;&gt;"",V48&lt;&gt;"",AB48&lt;V48),"DPO Approval target is before QA target",IF(AND(AH48&lt;&gt;"",AB48&lt;&gt;"",AH48&lt;AB48),"Confirmed Deployed date is before DPO Approval target",""))))))))))))</f>
        <v/>
      </c>
      <c r="AM48" s="41" t="s">
        <v>185</v>
      </c>
      <c r="AN48" s="32" t="str" cm="1">
        <f t="array" ref="AN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48" s="32" t="str" cm="1">
        <f t="array" ref="AO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48" s="31"/>
      <c r="AQ48" s="32"/>
    </row>
    <row r="49" spans="1:43" ht="14.4" x14ac:dyDescent="0.3">
      <c r="A49" s="33" t="s">
        <v>126</v>
      </c>
      <c r="B49" s="33" t="s">
        <v>186</v>
      </c>
      <c r="C49" s="33" t="s">
        <v>149</v>
      </c>
      <c r="D49" t="str" cm="1">
        <f t="array" aca="1" ref="D49" ca="1">IF($B49="","",IF(LEFT($AK49,3)="Yes","Blocked - "&amp;MID($AK49,7,100)&amp;IF(SUMPRODUCT(('Rework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track")),IF(C49="QA",_xlfn.LET(_xlpm.tgt,IF(AN49&lt;&gt;"",AN49,IF(Y49&lt;&gt;"",Y49,V49)),_xlpm.sent,_xlfn.MAXIFS('Rework Log'!$B$3:$B$499,'Rework Log'!$A$3:$A$499,$B49,'Rework Log'!$C$3:$C$499,"QA"),_xlpm.act,IF(AND(W49&lt;&gt;"",W49&gt;_xlpm.sent),W49,""),IF(_xlpm.tgt="","No target set",IF(AND(_xlpm.tgt&lt;TODAY(),_xlpm.act=""),"Overdue","On track"))),IF(C49="DPO Approval",_xlfn.LET(_xlpm.tgt,IF(AO49&lt;&gt;"",AO49,IF(AC49&lt;&gt;"",AC49,AB49)),_xlpm.sent,_xlfn.MAXIFS('Rework Log'!$B$3:$B$499,'Rework Log'!$A$3:$A$499,$B49,'Rework Log'!$C$3:$C$499,"DPO*"),_xlpm.act,IF(AND(AD49&lt;&gt;"",AD49&gt;_xlpm.sent),AD49,""),IF(_xlpm.tgt="","No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1" t="s">
        <v>170</v>
      </c>
      <c r="J49" s="33" t="s">
        <v>159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5" t="s">
        <v>45</v>
      </c>
      <c r="Q49" s="4">
        <v>46241</v>
      </c>
      <c r="R49" s="36">
        <v>46259</v>
      </c>
      <c r="S49" s="36">
        <v>46266</v>
      </c>
      <c r="T49" s="69"/>
      <c r="U49" s="54" t="s">
        <v>129</v>
      </c>
      <c r="V49" s="59">
        <v>46255</v>
      </c>
      <c r="W49" s="36"/>
      <c r="X49" s="36"/>
      <c r="Y49" s="36">
        <v>46272</v>
      </c>
      <c r="Z49" s="36"/>
      <c r="AA49" s="36"/>
      <c r="AB49" s="52">
        <v>46260</v>
      </c>
      <c r="AC49" s="36"/>
      <c r="AD49" s="36"/>
      <c r="AE49" s="33" t="s">
        <v>155</v>
      </c>
      <c r="AF49" s="33" t="s">
        <v>71</v>
      </c>
      <c r="AG49" s="38"/>
      <c r="AH49" s="36"/>
      <c r="AI49" s="39"/>
      <c r="AJ49" s="33"/>
      <c r="AK49" s="40" t="s">
        <v>52</v>
      </c>
      <c r="AL49" s="73" t="str">
        <f>IF($B49="","",IF(AND(LEFT($AK49,3)="Yes",SUMPRODUCT(('Rework Log'!$A$3:$A$499=$B49)*('Rework Log'!$G$3:$G$499&lt;&gt;"Yes")*('Rework Log'!$G$3:$G$499&lt;&gt;"Did not pass re-test"))=0),"Blocked - log it on Rework Log",IF(AND(LEFT($AK49,3)&lt;&gt;"Yes",SUMPRODUCT(('Rework Log'!$A$3:$A$499=$B49)*('Rework Log'!$G$3:$G$499&lt;&gt;"Yes")*('Rework Log'!$G$3:$G$499&lt;&gt;"Did not pass re-test"))&gt;0),"Open rework row - mark Blocked? or close it",IF(AND($AK49="Yes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H)",IF(AND($AK49="Yes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H)",IF(AND($AK49="Yes – needs QA to fix",W49&lt;&gt;"",SUMPRODUCT(MAX((('Rework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target",IF(AND(AB49&lt;&gt;"",V49&lt;&gt;"",AB49&lt;V49),"DPO Approval target is before QA target",IF(AND(AH49&lt;&gt;"",AB49&lt;&gt;"",AH49&lt;AB49),"Confirmed Deployed date is before DPO Approval target",""))))))))))))</f>
        <v>Open rework row - mark Blocked? or close it</v>
      </c>
      <c r="AM49" s="41"/>
      <c r="AN49" s="32" cm="1">
        <f t="array" ref="AN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O49" s="32" t="str" cm="1">
        <f t="array" ref="AO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49" s="31"/>
      <c r="AQ49" s="32"/>
    </row>
    <row r="50" spans="1:43" ht="15" customHeight="1" x14ac:dyDescent="0.3">
      <c r="A50" s="33" t="s">
        <v>126</v>
      </c>
      <c r="B50" s="33" t="s">
        <v>187</v>
      </c>
      <c r="C50" s="33" t="s">
        <v>149</v>
      </c>
      <c r="D50" t="str" cm="1">
        <f t="array" aca="1" ref="D50" ca="1">IF($B50="","",IF(LEFT($AK50,3)="Yes","Blocked - "&amp;MID($AK50,7,100)&amp;IF(SUMPRODUCT(('Rework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track")),IF(C50="QA",_xlfn.LET(_xlpm.tgt,IF(AN50&lt;&gt;"",AN50,IF(Y50&lt;&gt;"",Y50,V50)),_xlpm.sent,_xlfn.MAXIFS('Rework Log'!$B$3:$B$499,'Rework Log'!$A$3:$A$499,$B50,'Rework Log'!$C$3:$C$499,"QA"),_xlpm.act,IF(AND(W50&lt;&gt;"",W50&gt;_xlpm.sent),W50,""),IF(_xlpm.tgt="","No target set",IF(AND(_xlpm.tgt&lt;TODAY(),_xlpm.act=""),"Overdue","On track"))),IF(C50="DPO Approval",_xlfn.LET(_xlpm.tgt,IF(AO50&lt;&gt;"",AO50,IF(AC50&lt;&gt;"",AC50,AB50)),_xlpm.sent,_xlfn.MAXIFS('Rework Log'!$B$3:$B$499,'Rework Log'!$A$3:$A$499,$B50,'Rework Log'!$C$3:$C$499,"DPO*"),_xlpm.act,IF(AND(AD50&lt;&gt;"",AD50&gt;_xlpm.sent),AD50,""),IF(_xlpm.tgt="","No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146</v>
      </c>
      <c r="G50" s="33"/>
      <c r="H50" s="50">
        <v>46265</v>
      </c>
      <c r="I50" s="61" t="s">
        <v>170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183</v>
      </c>
      <c r="P50" s="65" t="s">
        <v>59</v>
      </c>
      <c r="Q50" s="4">
        <v>46241</v>
      </c>
      <c r="R50" s="36">
        <v>46252</v>
      </c>
      <c r="S50" s="36">
        <v>46252</v>
      </c>
      <c r="T50" s="69"/>
      <c r="U50" s="54" t="s">
        <v>146</v>
      </c>
      <c r="V50" s="59">
        <v>46255</v>
      </c>
      <c r="W50" s="36"/>
      <c r="X50" s="36"/>
      <c r="Y50" s="36">
        <v>46269</v>
      </c>
      <c r="Z50" s="36"/>
      <c r="AA50" s="36"/>
      <c r="AB50" s="52">
        <v>46260</v>
      </c>
      <c r="AC50" s="36">
        <v>46266</v>
      </c>
      <c r="AD50" s="36"/>
      <c r="AE50" s="33" t="s">
        <v>175</v>
      </c>
      <c r="AF50" s="33" t="s">
        <v>71</v>
      </c>
      <c r="AG50" s="38"/>
      <c r="AH50" s="36"/>
      <c r="AI50" s="39"/>
      <c r="AJ50" s="33"/>
      <c r="AK50" s="40" t="s">
        <v>52</v>
      </c>
      <c r="AL50" s="73" t="str">
        <f>IF($B50="","",IF(AND(LEFT($AK50,3)="Yes",SUMPRODUCT(('Rework Log'!$A$3:$A$499=$B50)*('Rework Log'!$G$3:$G$499&lt;&gt;"Yes")*('Rework Log'!$G$3:$G$499&lt;&gt;"Did not pass re-test"))=0),"Blocked - log it on Rework Log",IF(AND(LEFT($AK50,3)&lt;&gt;"Yes",SUMPRODUCT(('Rework Log'!$A$3:$A$499=$B50)*('Rework Log'!$G$3:$G$499&lt;&gt;"Yes")*('Rework Log'!$G$3:$G$499&lt;&gt;"Did not pass re-test"))&gt;0),"Open rework row - mark Blocked? or close it",IF(AND($AK50="Yes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H)",IF(AND($AK50="Yes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H)",IF(AND($AK50="Yes – needs QA to fix",W50&lt;&gt;"",SUMPRODUCT(MAX((('Rework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target",IF(AND(AB50&lt;&gt;"",V50&lt;&gt;"",AB50&lt;V50),"DPO Approval target is before QA target",IF(AND(AH50&lt;&gt;"",AB50&lt;&gt;"",AH50&lt;AB50),"Confirmed Deployed date is before DPO Approval target",""))))))))))))</f>
        <v/>
      </c>
      <c r="AM50" s="41"/>
      <c r="AN50" s="32" t="str" cm="1">
        <f t="array" ref="AN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50" s="32" t="str" cm="1">
        <f t="array" ref="AO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50" s="31"/>
      <c r="AQ50" s="32"/>
    </row>
    <row r="51" spans="1:43" ht="14.4" x14ac:dyDescent="0.3">
      <c r="A51" s="33" t="s">
        <v>126</v>
      </c>
      <c r="B51" s="33" t="s">
        <v>188</v>
      </c>
      <c r="C51" s="33" t="s">
        <v>149</v>
      </c>
      <c r="D51" t="str" cm="1">
        <f t="array" aca="1" ref="D51" ca="1">IF($B51="","",IF(LEFT($AK51,3)="Yes","Blocked - "&amp;MID($AK51,7,100)&amp;IF(SUMPRODUCT(('Rework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track")),IF(C51="QA",_xlfn.LET(_xlpm.tgt,IF(AN51&lt;&gt;"",AN51,IF(Y51&lt;&gt;"",Y51,V51)),_xlpm.sent,_xlfn.MAXIFS('Rework Log'!$B$3:$B$499,'Rework Log'!$A$3:$A$499,$B51,'Rework Log'!$C$3:$C$499,"QA"),_xlpm.act,IF(AND(W51&lt;&gt;"",W51&gt;_xlpm.sent),W51,""),IF(_xlpm.tgt="","No target set",IF(AND(_xlpm.tgt&lt;TODAY(),_xlpm.act=""),"Overdue","On track"))),IF(C51="DPO Approval",_xlfn.LET(_xlpm.tgt,IF(AO51&lt;&gt;"",AO51,IF(AC51&lt;&gt;"",AC51,AB51)),_xlpm.sent,_xlfn.MAXIFS('Rework Log'!$B$3:$B$499,'Rework Log'!$A$3:$A$499,$B51,'Rework Log'!$C$3:$C$499,"DPO*"),_xlpm.act,IF(AND(AD51&lt;&gt;"",AD51&gt;_xlpm.sent),AD51,""),IF(_xlpm.tgt="","No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146</v>
      </c>
      <c r="G51" s="33"/>
      <c r="H51" s="50">
        <v>46265</v>
      </c>
      <c r="I51" s="61" t="s">
        <v>170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183</v>
      </c>
      <c r="P51" s="65" t="s">
        <v>76</v>
      </c>
      <c r="Q51" s="4">
        <v>46241</v>
      </c>
      <c r="R51" s="36">
        <v>46255</v>
      </c>
      <c r="S51" s="36">
        <v>46260</v>
      </c>
      <c r="T51" s="69"/>
      <c r="U51" s="54" t="s">
        <v>146</v>
      </c>
      <c r="V51" s="59">
        <v>46255</v>
      </c>
      <c r="W51" s="36"/>
      <c r="X51" s="36"/>
      <c r="Y51" s="36">
        <v>46269</v>
      </c>
      <c r="Z51" s="36"/>
      <c r="AA51" s="36"/>
      <c r="AB51" s="52">
        <v>46260</v>
      </c>
      <c r="AC51" s="36">
        <v>46269</v>
      </c>
      <c r="AD51" s="36"/>
      <c r="AE51" s="33" t="s">
        <v>189</v>
      </c>
      <c r="AF51" s="33" t="s">
        <v>71</v>
      </c>
      <c r="AG51" s="38"/>
      <c r="AH51" s="36"/>
      <c r="AI51" s="39"/>
      <c r="AJ51" s="33"/>
      <c r="AK51" s="40" t="s">
        <v>52</v>
      </c>
      <c r="AL51" s="73" t="str">
        <f>IF($B51="","",IF(AND(LEFT($AK51,3)="Yes",SUMPRODUCT(('Rework Log'!$A$3:$A$499=$B51)*('Rework Log'!$G$3:$G$499&lt;&gt;"Yes")*('Rework Log'!$G$3:$G$499&lt;&gt;"Did not pass re-test"))=0),"Blocked - log it on Rework Log",IF(AND(LEFT($AK51,3)&lt;&gt;"Yes",SUMPRODUCT(('Rework Log'!$A$3:$A$499=$B51)*('Rework Log'!$G$3:$G$499&lt;&gt;"Yes")*('Rework Log'!$G$3:$G$499&lt;&gt;"Did not pass re-test"))&gt;0),"Open rework row - mark Blocked? or close it",IF(AND($AK51="Yes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H)",IF(AND($AK51="Yes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H)",IF(AND($AK51="Yes – needs QA to fix",W51&lt;&gt;"",SUMPRODUCT(MAX((('Rework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target",IF(AND(AB51&lt;&gt;"",V51&lt;&gt;"",AB51&lt;V51),"DPO Approval target is before QA target",IF(AND(AH51&lt;&gt;"",AB51&lt;&gt;"",AH51&lt;AB51),"Confirmed Deployed date is before DPO Approval target",""))))))))))))</f>
        <v/>
      </c>
      <c r="AM51" s="41" t="s">
        <v>185</v>
      </c>
      <c r="AN51" s="32" t="str" cm="1">
        <f t="array" ref="AN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51" s="32" t="str" cm="1">
        <f t="array" ref="AO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51" s="31"/>
      <c r="AQ51" s="32"/>
    </row>
    <row r="52" spans="1:43" ht="16.8" customHeight="1" x14ac:dyDescent="0.3">
      <c r="A52" s="33" t="s">
        <v>126</v>
      </c>
      <c r="B52" s="33" t="s">
        <v>190</v>
      </c>
      <c r="C52" s="33" t="s">
        <v>149</v>
      </c>
      <c r="D52" t="str" cm="1">
        <f t="array" aca="1" ref="D52" ca="1">IF($B52="","",IF(LEFT($AK52,3)="Yes","Blocked - "&amp;MID($AK52,7,100)&amp;IF(SUMPRODUCT(('Rework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track")),IF(C52="QA",_xlfn.LET(_xlpm.tgt,IF(AN52&lt;&gt;"",AN52,IF(Y52&lt;&gt;"",Y52,V52)),_xlpm.sent,_xlfn.MAXIFS('Rework Log'!$B$3:$B$499,'Rework Log'!$A$3:$A$499,$B52,'Rework Log'!$C$3:$C$499,"QA"),_xlpm.act,IF(AND(W52&lt;&gt;"",W52&gt;_xlpm.sent),W52,""),IF(_xlpm.tgt="","No target set",IF(AND(_xlpm.tgt&lt;TODAY(),_xlpm.act=""),"Overdue","On track"))),IF(C52="DPO Approval",_xlfn.LET(_xlpm.tgt,IF(AO52&lt;&gt;"",AO52,IF(AC52&lt;&gt;"",AC52,AB52)),_xlpm.sent,_xlfn.MAXIFS('Rework Log'!$B$3:$B$499,'Rework Log'!$A$3:$A$499,$B52,'Rework Log'!$C$3:$C$499,"DPO*"),_xlpm.act,IF(AND(AD52&lt;&gt;"",AD52&gt;_xlpm.sent),AD52,""),IF(_xlpm.tgt="","No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1" t="s">
        <v>170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183</v>
      </c>
      <c r="P52" s="65" t="s">
        <v>45</v>
      </c>
      <c r="Q52" s="4">
        <v>46241</v>
      </c>
      <c r="R52" s="36">
        <v>46266</v>
      </c>
      <c r="S52" s="36">
        <v>46266</v>
      </c>
      <c r="T52" s="69"/>
      <c r="U52" s="54" t="s">
        <v>46</v>
      </c>
      <c r="V52" s="59">
        <v>46255</v>
      </c>
      <c r="W52" s="36"/>
      <c r="X52" s="36"/>
      <c r="Y52" s="36">
        <v>46269</v>
      </c>
      <c r="Z52" s="36"/>
      <c r="AA52" s="36"/>
      <c r="AB52" s="52">
        <v>46260</v>
      </c>
      <c r="AC52" s="36"/>
      <c r="AD52" s="36"/>
      <c r="AE52" s="33" t="s">
        <v>191</v>
      </c>
      <c r="AF52" s="33" t="s">
        <v>71</v>
      </c>
      <c r="AG52" s="38"/>
      <c r="AH52" s="36"/>
      <c r="AI52" s="39"/>
      <c r="AJ52" s="33"/>
      <c r="AK52" s="40" t="s">
        <v>52</v>
      </c>
      <c r="AL52" s="73" t="str">
        <f>IF($B52="","",IF(AND(LEFT($AK52,3)="Yes",SUMPRODUCT(('Rework Log'!$A$3:$A$499=$B52)*('Rework Log'!$G$3:$G$499&lt;&gt;"Yes")*('Rework Log'!$G$3:$G$499&lt;&gt;"Did not pass re-test"))=0),"Blocked - log it on Rework Log",IF(AND(LEFT($AK52,3)&lt;&gt;"Yes",SUMPRODUCT(('Rework Log'!$A$3:$A$499=$B52)*('Rework Log'!$G$3:$G$499&lt;&gt;"Yes")*('Rework Log'!$G$3:$G$499&lt;&gt;"Did not pass re-test"))&gt;0),"Open rework row - mark Blocked? or close it",IF(AND($AK52="Yes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H)",IF(AND($AK52="Yes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H)",IF(AND($AK52="Yes – needs QA to fix",W52&lt;&gt;"",SUMPRODUCT(MAX((('Rework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target",IF(AND(AB52&lt;&gt;"",V52&lt;&gt;"",AB52&lt;V52),"DPO Approval target is before QA target",IF(AND(AH52&lt;&gt;"",AB52&lt;&gt;"",AH52&lt;AB52),"Confirmed Deployed date is before DPO Approval target",""))))))))))))</f>
        <v>Open rework row - mark Blocked? or close it</v>
      </c>
      <c r="AM52" s="81" t="s">
        <v>192</v>
      </c>
      <c r="AN52" s="32" t="str" cm="1">
        <f t="array" ref="AN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52" s="32" t="str" cm="1">
        <f t="array" ref="AO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52" s="31"/>
      <c r="AQ52" s="32"/>
    </row>
    <row r="53" spans="1:43" ht="14.4" x14ac:dyDescent="0.3">
      <c r="A53" s="33" t="s">
        <v>126</v>
      </c>
      <c r="B53" s="33" t="s">
        <v>193</v>
      </c>
      <c r="C53" s="33" t="s">
        <v>149</v>
      </c>
      <c r="D53" t="str" cm="1">
        <f t="array" aca="1" ref="D53" ca="1">IF($B53="","",IF(LEFT($AK53,3)="Yes","Blocked - "&amp;MID($AK53,7,100)&amp;IF(SUMPRODUCT(('Rework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track")),IF(C53="QA",_xlfn.LET(_xlpm.tgt,IF(AN53&lt;&gt;"",AN53,IF(Y53&lt;&gt;"",Y53,V53)),_xlpm.sent,_xlfn.MAXIFS('Rework Log'!$B$3:$B$499,'Rework Log'!$A$3:$A$499,$B53,'Rework Log'!$C$3:$C$499,"QA"),_xlpm.act,IF(AND(W53&lt;&gt;"",W53&gt;_xlpm.sent),W53,""),IF(_xlpm.tgt="","No target set",IF(AND(_xlpm.tgt&lt;TODAY(),_xlpm.act=""),"Overdue","On track"))),IF(C53="DPO Approval",_xlfn.LET(_xlpm.tgt,IF(AO53&lt;&gt;"",AO53,IF(AC53&lt;&gt;"",AC53,AB53)),_xlpm.sent,_xlfn.MAXIFS('Rework Log'!$B$3:$B$499,'Rework Log'!$A$3:$A$499,$B53,'Rework Log'!$C$3:$C$499,"DPO*"),_xlpm.act,IF(AND(AD53&lt;&gt;"",AD53&gt;_xlpm.sent),AD53,""),IF(_xlpm.tgt="","No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1" t="s">
        <v>170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171</v>
      </c>
      <c r="O53" s="36" t="s">
        <v>131</v>
      </c>
      <c r="P53" s="65" t="s">
        <v>76</v>
      </c>
      <c r="Q53" s="4">
        <v>46241</v>
      </c>
      <c r="R53" s="36">
        <v>46265</v>
      </c>
      <c r="S53" s="36">
        <v>46262</v>
      </c>
      <c r="T53" s="69"/>
      <c r="U53" s="54" t="s">
        <v>146</v>
      </c>
      <c r="V53" s="59">
        <v>46255</v>
      </c>
      <c r="W53" s="36"/>
      <c r="X53" s="36"/>
      <c r="Y53" s="36">
        <v>46269</v>
      </c>
      <c r="Z53" s="36"/>
      <c r="AA53" s="36"/>
      <c r="AB53" s="52">
        <v>46260</v>
      </c>
      <c r="AC53" s="47">
        <v>46280</v>
      </c>
      <c r="AD53" s="36"/>
      <c r="AE53" s="33" t="s">
        <v>194</v>
      </c>
      <c r="AF53" s="33" t="s">
        <v>71</v>
      </c>
      <c r="AG53" s="38"/>
      <c r="AH53" s="36"/>
      <c r="AI53" s="39"/>
      <c r="AJ53" s="33"/>
      <c r="AK53" s="40" t="s">
        <v>52</v>
      </c>
      <c r="AL53" s="73" t="str">
        <f>IF($B53="","",IF(AND(LEFT($AK53,3)="Yes",SUMPRODUCT(('Rework Log'!$A$3:$A$499=$B53)*('Rework Log'!$G$3:$G$499&lt;&gt;"Yes")*('Rework Log'!$G$3:$G$499&lt;&gt;"Did not pass re-test"))=0),"Blocked - log it on Rework Log",IF(AND(LEFT($AK53,3)&lt;&gt;"Yes",SUMPRODUCT(('Rework Log'!$A$3:$A$499=$B53)*('Rework Log'!$G$3:$G$499&lt;&gt;"Yes")*('Rework Log'!$G$3:$G$499&lt;&gt;"Did not pass re-test"))&gt;0),"Open rework row - mark Blocked? or close it",IF(AND($AK53="Yes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H)",IF(AND($AK53="Yes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H)",IF(AND($AK53="Yes – needs QA to fix",W53&lt;&gt;"",SUMPRODUCT(MAX((('Rework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target",IF(AND(AB53&lt;&gt;"",V53&lt;&gt;"",AB53&lt;V53),"DPO Approval target is before QA target",IF(AND(AH53&lt;&gt;"",AB53&lt;&gt;"",AH53&lt;AB53),"Confirmed Deployed date is before DPO Approval target",""))))))))))))</f>
        <v/>
      </c>
      <c r="AM53" s="41"/>
      <c r="AN53" s="32" t="str" cm="1">
        <f t="array" ref="AN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53" s="32" t="str" cm="1">
        <f t="array" ref="AO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53" s="31"/>
      <c r="AQ53" s="32"/>
    </row>
    <row r="54" spans="1:43" ht="14.4" x14ac:dyDescent="0.3">
      <c r="A54" s="33" t="s">
        <v>126</v>
      </c>
      <c r="B54" s="33" t="s">
        <v>195</v>
      </c>
      <c r="C54" s="33" t="s">
        <v>149</v>
      </c>
      <c r="D54" t="str" cm="1">
        <f t="array" aca="1" ref="D54" ca="1">IF($B54="","",IF(LEFT($AK54,3)="Yes","Blocked - "&amp;MID($AK54,7,100)&amp;IF(SUMPRODUCT(('Rework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track")),IF(C54="QA",_xlfn.LET(_xlpm.tgt,IF(AN54&lt;&gt;"",AN54,IF(Y54&lt;&gt;"",Y54,V54)),_xlpm.sent,_xlfn.MAXIFS('Rework Log'!$B$3:$B$499,'Rework Log'!$A$3:$A$499,$B54,'Rework Log'!$C$3:$C$499,"QA"),_xlpm.act,IF(AND(W54&lt;&gt;"",W54&gt;_xlpm.sent),W54,""),IF(_xlpm.tgt="","No target set",IF(AND(_xlpm.tgt&lt;TODAY(),_xlpm.act=""),"Overdue","On track"))),IF(C54="DPO Approval",_xlfn.LET(_xlpm.tgt,IF(AO54&lt;&gt;"",AO54,IF(AC54&lt;&gt;"",AC54,AB54)),_xlpm.sent,_xlfn.MAXIFS('Rework Log'!$B$3:$B$499,'Rework Log'!$A$3:$A$499,$B54,'Rework Log'!$C$3:$C$499,"DPO*"),_xlpm.act,IF(AND(AD54&lt;&gt;"",AD54&gt;_xlpm.sent),AD54,""),IF(_xlpm.tgt="","No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1" t="s">
        <v>170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5" t="s">
        <v>59</v>
      </c>
      <c r="Q54" s="4">
        <v>46241</v>
      </c>
      <c r="R54" s="36">
        <v>46262</v>
      </c>
      <c r="S54" s="36"/>
      <c r="T54" s="69"/>
      <c r="U54" s="54" t="s">
        <v>46</v>
      </c>
      <c r="V54" s="59">
        <v>46255</v>
      </c>
      <c r="W54" s="36">
        <v>46267</v>
      </c>
      <c r="X54" s="36"/>
      <c r="Y54" s="36">
        <v>46267</v>
      </c>
      <c r="Z54" s="36"/>
      <c r="AA54" s="36"/>
      <c r="AB54" s="52">
        <v>46260</v>
      </c>
      <c r="AC54" s="36"/>
      <c r="AD54" s="36"/>
      <c r="AE54" s="33" t="s">
        <v>196</v>
      </c>
      <c r="AF54" s="33" t="s">
        <v>71</v>
      </c>
      <c r="AG54" s="38"/>
      <c r="AH54" s="36"/>
      <c r="AI54" s="39"/>
      <c r="AJ54" s="33"/>
      <c r="AK54" s="40" t="s">
        <v>52</v>
      </c>
      <c r="AL54" s="73" t="str">
        <f>IF($B54="","",IF(AND(LEFT($AK54,3)="Yes",SUMPRODUCT(('Rework Log'!$A$3:$A$499=$B54)*('Rework Log'!$G$3:$G$499&lt;&gt;"Yes")*('Rework Log'!$G$3:$G$499&lt;&gt;"Did not pass re-test"))=0),"Blocked - log it on Rework Log",IF(AND(LEFT($AK54,3)&lt;&gt;"Yes",SUMPRODUCT(('Rework Log'!$A$3:$A$499=$B54)*('Rework Log'!$G$3:$G$499&lt;&gt;"Yes")*('Rework Log'!$G$3:$G$499&lt;&gt;"Did not pass re-test"))&gt;0),"Open rework row - mark Blocked? or close it",IF(AND($AK54="Yes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H)",IF(AND($AK54="Yes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H)",IF(AND($AK54="Yes – needs QA to fix",W54&lt;&gt;"",SUMPRODUCT(MAX((('Rework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target",IF(AND(AB54&lt;&gt;"",V54&lt;&gt;"",AB54&lt;V54),"DPO Approval target is before QA target",IF(AND(AH54&lt;&gt;"",AB54&lt;&gt;"",AH54&lt;AB54),"Confirmed Deployed date is before DPO Approval target",""))))))))))))</f>
        <v/>
      </c>
      <c r="AM54" s="41"/>
      <c r="AN54" s="32" t="str" cm="1">
        <f t="array" ref="AN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54" s="32" t="str" cm="1">
        <f t="array" ref="AO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54" s="31"/>
      <c r="AQ54" s="32"/>
    </row>
    <row r="55" spans="1:43" ht="14.4" x14ac:dyDescent="0.3">
      <c r="A55" s="33" t="s">
        <v>126</v>
      </c>
      <c r="B55" s="33" t="s">
        <v>197</v>
      </c>
      <c r="C55" s="33" t="s">
        <v>149</v>
      </c>
      <c r="D55" t="str" cm="1">
        <f t="array" aca="1" ref="D55" ca="1">IF($B55="","",IF(LEFT($AK55,3)="Yes","Blocked - "&amp;MID($AK55,7,100)&amp;IF(SUMPRODUCT(('Rework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track")),IF(C55="QA",_xlfn.LET(_xlpm.tgt,IF(AN55&lt;&gt;"",AN55,IF(Y55&lt;&gt;"",Y55,V55)),_xlpm.sent,_xlfn.MAXIFS('Rework Log'!$B$3:$B$499,'Rework Log'!$A$3:$A$499,$B55,'Rework Log'!$C$3:$C$499,"QA"),_xlpm.act,IF(AND(W55&lt;&gt;"",W55&gt;_xlpm.sent),W55,""),IF(_xlpm.tgt="","No target set",IF(AND(_xlpm.tgt&lt;TODAY(),_xlpm.act=""),"Overdue","On track"))),IF(C55="DPO Approval",_xlfn.LET(_xlpm.tgt,IF(AO55&lt;&gt;"",AO55,IF(AC55&lt;&gt;"",AC55,AB55)),_xlpm.sent,_xlfn.MAXIFS('Rework Log'!$B$3:$B$499,'Rework Log'!$A$3:$A$499,$B55,'Rework Log'!$C$3:$C$499,"DPO*"),_xlpm.act,IF(AND(AD55&lt;&gt;"",AD55&gt;_xlpm.sent),AD55,""),IF(_xlpm.tgt="","No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5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3" t="s">
        <v>76</v>
      </c>
      <c r="Q55" s="4">
        <v>46269</v>
      </c>
      <c r="R55" s="36">
        <v>46267</v>
      </c>
      <c r="S55" s="36">
        <v>46267</v>
      </c>
      <c r="T55" s="69" t="s">
        <v>200</v>
      </c>
      <c r="U55" s="33"/>
      <c r="V55" s="59">
        <v>46276</v>
      </c>
      <c r="W55" s="36"/>
      <c r="X55" s="36"/>
      <c r="Y55" s="36"/>
      <c r="Z55" s="36"/>
      <c r="AA55" s="36"/>
      <c r="AB55" s="52">
        <v>46290</v>
      </c>
      <c r="AC55" s="36"/>
      <c r="AD55" s="36"/>
      <c r="AE55" s="33" t="s">
        <v>201</v>
      </c>
      <c r="AF55" s="33" t="s">
        <v>48</v>
      </c>
      <c r="AG55" s="38"/>
      <c r="AH55" s="36"/>
      <c r="AI55" s="39"/>
      <c r="AJ55" s="33"/>
      <c r="AK55" s="40" t="s">
        <v>52</v>
      </c>
      <c r="AL55" s="73" t="str">
        <f>IF($B55="","",IF(AND(LEFT($AK55,3)="Yes",SUMPRODUCT(('Rework Log'!$A$3:$A$499=$B55)*('Rework Log'!$G$3:$G$499&lt;&gt;"Yes")*('Rework Log'!$G$3:$G$499&lt;&gt;"Did not pass re-test"))=0),"Blocked - log it on Rework Log",IF(AND(LEFT($AK55,3)&lt;&gt;"Yes",SUMPRODUCT(('Rework Log'!$A$3:$A$499=$B55)*('Rework Log'!$G$3:$G$499&lt;&gt;"Yes")*('Rework Log'!$G$3:$G$499&lt;&gt;"Did not pass re-test"))&gt;0),"Open rework row - mark Blocked? or close it",IF(AND($AK55="Yes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H)",IF(AND($AK55="Yes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H)",IF(AND($AK55="Yes – needs QA to fix",W55&lt;&gt;"",SUMPRODUCT(MAX((('Rework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target",IF(AND(AB55&lt;&gt;"",V55&lt;&gt;"",AB55&lt;V55),"DPO Approval target is before QA target",IF(AND(AH55&lt;&gt;"",AB55&lt;&gt;"",AH55&lt;AB55),"Confirmed Deployed date is before DPO Approval target",""))))))))))))</f>
        <v/>
      </c>
      <c r="AM55" s="41"/>
      <c r="AN55" s="32" t="str" cm="1">
        <f t="array" ref="AN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55" s="32" t="str" cm="1">
        <f t="array" ref="AO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55" s="31"/>
      <c r="AQ55" s="32"/>
    </row>
    <row r="56" spans="1:43" ht="14.4" x14ac:dyDescent="0.3">
      <c r="A56" s="33" t="s">
        <v>126</v>
      </c>
      <c r="B56" s="33" t="s">
        <v>202</v>
      </c>
      <c r="C56" s="33" t="s">
        <v>180</v>
      </c>
      <c r="D56" t="str" cm="1">
        <f t="array" aca="1" ref="D56" ca="1">IF($B56="","",IF(LEFT($AK56,3)="Yes","Blocked - "&amp;MID($AK56,7,100)&amp;IF(SUMPRODUCT(('Rework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track")),IF(C56="QA",_xlfn.LET(_xlpm.tgt,IF(AN56&lt;&gt;"",AN56,IF(Y56&lt;&gt;"",Y56,V56)),_xlpm.sent,_xlfn.MAXIFS('Rework Log'!$B$3:$B$499,'Rework Log'!$A$3:$A$499,$B56,'Rework Log'!$C$3:$C$499,"QA"),_xlpm.act,IF(AND(W56&lt;&gt;"",W56&gt;_xlpm.sent),W56,""),IF(_xlpm.tgt="","No target set",IF(AND(_xlpm.tgt&lt;TODAY(),_xlpm.act=""),"Overdue","On track"))),IF(C56="DPO Approval",_xlfn.LET(_xlpm.tgt,IF(AO56&lt;&gt;"",AO56,IF(AC56&lt;&gt;"",AC56,AB56)),_xlpm.sent,_xlfn.MAXIFS('Rework Log'!$B$3:$B$499,'Rework Log'!$A$3:$A$499,$B56,'Rework Log'!$C$3:$C$499,"DPO*"),_xlpm.act,IF(AND(AD56&lt;&gt;"",AD56&gt;_xlpm.sent),AD56,""),IF(_xlpm.tgt="","No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5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171</v>
      </c>
      <c r="O56" s="36" t="s">
        <v>199</v>
      </c>
      <c r="P56" s="63" t="s">
        <v>59</v>
      </c>
      <c r="Q56" s="4">
        <v>46269</v>
      </c>
      <c r="R56" s="36">
        <v>46266</v>
      </c>
      <c r="S56" s="36">
        <v>46266</v>
      </c>
      <c r="T56" s="69" t="s">
        <v>200</v>
      </c>
      <c r="U56" s="33"/>
      <c r="V56" s="59">
        <v>46276</v>
      </c>
      <c r="W56" s="36"/>
      <c r="X56" s="36"/>
      <c r="Y56" s="36"/>
      <c r="Z56" s="36"/>
      <c r="AA56" s="36"/>
      <c r="AB56" s="52">
        <v>46290</v>
      </c>
      <c r="AC56" s="36"/>
      <c r="AD56" s="36"/>
      <c r="AE56" s="33" t="s">
        <v>203</v>
      </c>
      <c r="AF56" s="33" t="s">
        <v>48</v>
      </c>
      <c r="AG56" s="38"/>
      <c r="AH56" s="36"/>
      <c r="AI56" s="39"/>
      <c r="AJ56" s="33"/>
      <c r="AK56" s="40" t="s">
        <v>52</v>
      </c>
      <c r="AL56" s="73" t="str">
        <f>IF($B56="","",IF(AND(LEFT($AK56,3)="Yes",SUMPRODUCT(('Rework Log'!$A$3:$A$499=$B56)*('Rework Log'!$G$3:$G$499&lt;&gt;"Yes")*('Rework Log'!$G$3:$G$499&lt;&gt;"Did not pass re-test"))=0),"Blocked - log it on Rework Log",IF(AND(LEFT($AK56,3)&lt;&gt;"Yes",SUMPRODUCT(('Rework Log'!$A$3:$A$499=$B56)*('Rework Log'!$G$3:$G$499&lt;&gt;"Yes")*('Rework Log'!$G$3:$G$499&lt;&gt;"Did not pass re-test"))&gt;0),"Open rework row - mark Blocked? or close it",IF(AND($AK56="Yes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H)",IF(AND($AK56="Yes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H)",IF(AND($AK56="Yes – needs QA to fix",W56&lt;&gt;"",SUMPRODUCT(MAX((('Rework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target",IF(AND(AB56&lt;&gt;"",V56&lt;&gt;"",AB56&lt;V56),"DPO Approval target is before QA target",IF(AND(AH56&lt;&gt;"",AB56&lt;&gt;"",AH56&lt;AB56),"Confirmed Deployed date is before DPO Approval target",""))))))))))))</f>
        <v/>
      </c>
      <c r="AM56" s="41" t="s">
        <v>204</v>
      </c>
      <c r="AN56" s="32" t="str" cm="1">
        <f t="array" ref="AN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56" s="32" t="str" cm="1">
        <f t="array" ref="AO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56" s="31"/>
      <c r="AQ56" s="32"/>
    </row>
    <row r="57" spans="1:43" ht="14.4" x14ac:dyDescent="0.3">
      <c r="A57" s="33" t="s">
        <v>126</v>
      </c>
      <c r="B57" s="33" t="s">
        <v>205</v>
      </c>
      <c r="C57" s="33" t="s">
        <v>206</v>
      </c>
      <c r="D57" t="str" cm="1">
        <f t="array" aca="1" ref="D57" ca="1">IF($B57="","",IF(LEFT($AK57,3)="Yes","Blocked - "&amp;MID($AK57,7,100)&amp;IF(SUMPRODUCT(('Rework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track")),IF(C57="QA",_xlfn.LET(_xlpm.tgt,IF(AN57&lt;&gt;"",AN57,IF(Y57&lt;&gt;"",Y57,V57)),_xlpm.sent,_xlfn.MAXIFS('Rework Log'!$B$3:$B$499,'Rework Log'!$A$3:$A$499,$B57,'Rework Log'!$C$3:$C$499,"QA"),_xlpm.act,IF(AND(W57&lt;&gt;"",W57&gt;_xlpm.sent),W57,""),IF(_xlpm.tgt="","No target set",IF(AND(_xlpm.tgt&lt;TODAY(),_xlpm.act=""),"Overdue","On track"))),IF(C57="DPO Approval",_xlfn.LET(_xlpm.tgt,IF(AO57&lt;&gt;"",AO57,IF(AC57&lt;&gt;"",AC57,AB57)),_xlpm.sent,_xlfn.MAXIFS('Rework Log'!$B$3:$B$499,'Rework Log'!$A$3:$A$499,$B57,'Rework Log'!$C$3:$C$499,"DPO*"),_xlpm.act,IF(AND(AD57&lt;&gt;"",AD57&gt;_xlpm.sent),AD57,""),IF(_xlpm.tgt="","No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5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3" t="s">
        <v>45</v>
      </c>
      <c r="Q57" s="4">
        <v>46269</v>
      </c>
      <c r="R57" s="36">
        <v>46268</v>
      </c>
      <c r="S57" s="36"/>
      <c r="T57" s="69" t="s">
        <v>200</v>
      </c>
      <c r="U57" s="33"/>
      <c r="V57" s="59">
        <v>46276</v>
      </c>
      <c r="W57" s="36"/>
      <c r="X57" s="36"/>
      <c r="Y57" s="36"/>
      <c r="Z57" s="36"/>
      <c r="AA57" s="36"/>
      <c r="AB57" s="52">
        <v>46290</v>
      </c>
      <c r="AC57" s="36"/>
      <c r="AD57" s="36"/>
      <c r="AE57" s="33" t="s">
        <v>194</v>
      </c>
      <c r="AF57" s="33" t="s">
        <v>48</v>
      </c>
      <c r="AG57" s="38"/>
      <c r="AH57" s="36"/>
      <c r="AI57" s="39"/>
      <c r="AJ57" s="33"/>
      <c r="AK57" s="40" t="s">
        <v>52</v>
      </c>
      <c r="AL57" s="73" t="str">
        <f>IF($B57="","",IF(AND(LEFT($AK57,3)="Yes",SUMPRODUCT(('Rework Log'!$A$3:$A$499=$B57)*('Rework Log'!$G$3:$G$499&lt;&gt;"Yes")*('Rework Log'!$G$3:$G$499&lt;&gt;"Did not pass re-test"))=0),"Blocked - log it on Rework Log",IF(AND(LEFT($AK57,3)&lt;&gt;"Yes",SUMPRODUCT(('Rework Log'!$A$3:$A$499=$B57)*('Rework Log'!$G$3:$G$499&lt;&gt;"Yes")*('Rework Log'!$G$3:$G$499&lt;&gt;"Did not pass re-test"))&gt;0),"Open rework row - mark Blocked? or close it",IF(AND($AK57="Yes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H)",IF(AND($AK57="Yes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H)",IF(AND($AK57="Yes – needs QA to fix",W57&lt;&gt;"",SUMPRODUCT(MAX((('Rework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target",IF(AND(AB57&lt;&gt;"",V57&lt;&gt;"",AB57&lt;V57),"DPO Approval target is before QA target",IF(AND(AH57&lt;&gt;"",AB57&lt;&gt;"",AH57&lt;AB57),"Confirmed Deployed date is before DPO Approval target",""))))))))))))</f>
        <v/>
      </c>
      <c r="AM57" s="41" t="s">
        <v>204</v>
      </c>
      <c r="AN57" s="32" t="str" cm="1">
        <f t="array" ref="AN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57" s="32" t="str" cm="1">
        <f t="array" ref="AO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57" s="31"/>
      <c r="AQ57" s="32"/>
    </row>
    <row r="58" spans="1:43" ht="14.4" x14ac:dyDescent="0.3">
      <c r="A58" s="33" t="s">
        <v>126</v>
      </c>
      <c r="B58" s="33" t="s">
        <v>207</v>
      </c>
      <c r="C58" s="33" t="s">
        <v>180</v>
      </c>
      <c r="D58" t="e" cm="1">
        <f t="array" aca="1" ref="D58" ca="1">IF($B58="","",IF(LEFT($AK58,3)="Yes","Blocked - "&amp;MID($AK58,7,100)&amp;IF(SUMPRODUCT(('Rework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track")),IF(C58="QA",_xlfn.LET(_xlpm.tgt,IF(AN58&lt;&gt;"",AN58,IF(Y58&lt;&gt;"",Y58,V58)),_xlpm.sent,_xlfn.MAXIFS('Rework Log'!$B$3:$B$499,'Rework Log'!$A$3:$A$499,$B58,'Rework Log'!$C$3:$C$499,"QA"),_xlpm.act,IF(AND(W58&lt;&gt;"",W58&gt;_xlpm.sent),W58,""),IF(_xlpm.tgt="","No target set",IF(AND(_xlpm.tgt&lt;TODAY(),_xlpm.act=""),"Overdue","On track"))),IF(C58="DPO Approval",_xlfn.LET(_xlpm.tgt,IF(AO58&lt;&gt;"",AO58,IF(AC58&lt;&gt;"",AC58,AB58)),_xlpm.sent,_xlfn.MAXIFS('Rework Log'!$B$3:$B$499,'Rework Log'!$A$3:$A$499,$B58,'Rework Log'!$C$3:$C$499,"DPO*"),_xlpm.act,IF(AND(AD58&lt;&gt;"",AD58&gt;_xlpm.sent),AD58,""),IF(_xlpm.tgt="","No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129</v>
      </c>
      <c r="G58" s="33"/>
      <c r="H58" s="50">
        <v>46295</v>
      </c>
      <c r="I58" s="55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3" t="s">
        <v>76</v>
      </c>
      <c r="Q58" s="4">
        <v>46269</v>
      </c>
      <c r="R58" s="36">
        <v>46272</v>
      </c>
      <c r="S58" s="36"/>
      <c r="T58" s="69" t="s">
        <v>200</v>
      </c>
      <c r="U58" s="33"/>
      <c r="V58" s="59">
        <v>46276</v>
      </c>
      <c r="W58" s="36"/>
      <c r="X58" s="36"/>
      <c r="Y58" s="36"/>
      <c r="Z58" s="36"/>
      <c r="AA58" s="36"/>
      <c r="AB58" s="52">
        <v>46290</v>
      </c>
      <c r="AC58" s="36"/>
      <c r="AD58" s="36"/>
      <c r="AE58" s="33" t="s">
        <v>132</v>
      </c>
      <c r="AF58" s="33" t="s">
        <v>48</v>
      </c>
      <c r="AG58" s="38"/>
      <c r="AH58" s="36"/>
      <c r="AI58" s="39"/>
      <c r="AJ58" s="33"/>
      <c r="AK58" s="40" t="s">
        <v>52</v>
      </c>
      <c r="AL58" s="73" t="str">
        <f>IF($B58="","",IF(AND(LEFT($AK58,3)="Yes",SUMPRODUCT(('Rework Log'!$A$3:$A$499=$B58)*('Rework Log'!$G$3:$G$499&lt;&gt;"Yes")*('Rework Log'!$G$3:$G$499&lt;&gt;"Did not pass re-test"))=0),"Blocked - log it on Rework Log",IF(AND(LEFT($AK58,3)&lt;&gt;"Yes",SUMPRODUCT(('Rework Log'!$A$3:$A$499=$B58)*('Rework Log'!$G$3:$G$499&lt;&gt;"Yes")*('Rework Log'!$G$3:$G$499&lt;&gt;"Did not pass re-test"))&gt;0),"Open rework row - mark Blocked? or close it",IF(AND($AK58="Yes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H)",IF(AND($AK58="Yes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H)",IF(AND($AK58="Yes – needs QA to fix",W58&lt;&gt;"",SUMPRODUCT(MAX((('Rework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target",IF(AND(AB58&lt;&gt;"",V58&lt;&gt;"",AB58&lt;V58),"DPO Approval target is before QA target",IF(AND(AH58&lt;&gt;"",AB58&lt;&gt;"",AH58&lt;AB58),"Confirmed Deployed date is before DPO Approval target",""))))))))))))</f>
        <v/>
      </c>
      <c r="AM58" s="41"/>
      <c r="AN58" s="32" t="str" cm="1">
        <f t="array" ref="AN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58" s="32" t="str" cm="1">
        <f t="array" ref="AO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58" s="31"/>
      <c r="AQ58" s="32"/>
    </row>
    <row r="59" spans="1:43" ht="14.4" x14ac:dyDescent="0.3">
      <c r="A59" s="33" t="s">
        <v>126</v>
      </c>
      <c r="B59" s="33" t="s">
        <v>208</v>
      </c>
      <c r="C59" s="33" t="s">
        <v>180</v>
      </c>
      <c r="D59" t="str" cm="1">
        <f t="array" aca="1" ref="D59" ca="1">IF($B59="","",IF(LEFT($AK59,3)="Yes","Blocked - "&amp;MID($AK59,7,100)&amp;IF(SUMPRODUCT(('Rework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track")),IF(C59="QA",_xlfn.LET(_xlpm.tgt,IF(AN59&lt;&gt;"",AN59,IF(Y59&lt;&gt;"",Y59,V59)),_xlpm.sent,_xlfn.MAXIFS('Rework Log'!$B$3:$B$499,'Rework Log'!$A$3:$A$499,$B59,'Rework Log'!$C$3:$C$499,"QA"),_xlpm.act,IF(AND(W59&lt;&gt;"",W59&gt;_xlpm.sent),W59,""),IF(_xlpm.tgt="","No target set",IF(AND(_xlpm.tgt&lt;TODAY(),_xlpm.act=""),"Overdue","On track"))),IF(C59="DPO Approval",_xlfn.LET(_xlpm.tgt,IF(AO59&lt;&gt;"",AO59,IF(AC59&lt;&gt;"",AC59,AB59)),_xlpm.sent,_xlfn.MAXIFS('Rework Log'!$B$3:$B$499,'Rework Log'!$A$3:$A$499,$B59,'Rework Log'!$C$3:$C$499,"DPO*"),_xlpm.act,IF(AND(AD59&lt;&gt;"",AD59&gt;_xlpm.sent),AD59,""),IF(_xlpm.tgt="","No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5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3" t="s">
        <v>59</v>
      </c>
      <c r="Q59" s="4">
        <v>46269</v>
      </c>
      <c r="R59" s="36">
        <v>46266</v>
      </c>
      <c r="S59" s="36">
        <v>46266</v>
      </c>
      <c r="T59" s="69" t="s">
        <v>200</v>
      </c>
      <c r="U59" s="33"/>
      <c r="V59" s="59">
        <v>46276</v>
      </c>
      <c r="W59" s="36"/>
      <c r="X59" s="36"/>
      <c r="Y59" s="36"/>
      <c r="Z59" s="36"/>
      <c r="AA59" s="36"/>
      <c r="AB59" s="52">
        <v>46290</v>
      </c>
      <c r="AC59" s="36"/>
      <c r="AD59" s="36"/>
      <c r="AE59" s="33" t="s">
        <v>194</v>
      </c>
      <c r="AF59" s="33" t="s">
        <v>48</v>
      </c>
      <c r="AG59" s="38"/>
      <c r="AH59" s="36"/>
      <c r="AI59" s="39"/>
      <c r="AJ59" s="33"/>
      <c r="AK59" s="40" t="s">
        <v>52</v>
      </c>
      <c r="AL59" s="73" t="str">
        <f>IF($B59="","",IF(AND(LEFT($AK59,3)="Yes",SUMPRODUCT(('Rework Log'!$A$3:$A$499=$B59)*('Rework Log'!$G$3:$G$499&lt;&gt;"Yes")*('Rework Log'!$G$3:$G$499&lt;&gt;"Did not pass re-test"))=0),"Blocked - log it on Rework Log",IF(AND(LEFT($AK59,3)&lt;&gt;"Yes",SUMPRODUCT(('Rework Log'!$A$3:$A$499=$B59)*('Rework Log'!$G$3:$G$499&lt;&gt;"Yes")*('Rework Log'!$G$3:$G$499&lt;&gt;"Did not pass re-test"))&gt;0),"Open rework row - mark Blocked? or close it",IF(AND($AK59="Yes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H)",IF(AND($AK59="Yes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H)",IF(AND($AK59="Yes – needs QA to fix",W59&lt;&gt;"",SUMPRODUCT(MAX((('Rework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target",IF(AND(AB59&lt;&gt;"",V59&lt;&gt;"",AB59&lt;V59),"DPO Approval target is before QA target",IF(AND(AH59&lt;&gt;"",AB59&lt;&gt;"",AH59&lt;AB59),"Confirmed Deployed date is before DPO Approval target",""))))))))))))</f>
        <v/>
      </c>
      <c r="AM59" s="41"/>
      <c r="AN59" s="32" t="str" cm="1">
        <f t="array" ref="AN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59" s="32" t="str" cm="1">
        <f t="array" ref="AO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59" s="31"/>
      <c r="AQ59" s="32"/>
    </row>
    <row r="60" spans="1:43" ht="14.4" x14ac:dyDescent="0.3">
      <c r="A60" s="33" t="s">
        <v>126</v>
      </c>
      <c r="B60" s="33" t="s">
        <v>209</v>
      </c>
      <c r="C60" s="33" t="s">
        <v>180</v>
      </c>
      <c r="D60" t="str" cm="1">
        <f t="array" aca="1" ref="D60" ca="1">IF($B60="","",IF(LEFT($AK60,3)="Yes","Blocked - "&amp;MID($AK60,7,100)&amp;IF(SUMPRODUCT(('Rework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track")),IF(C60="QA",_xlfn.LET(_xlpm.tgt,IF(AN60&lt;&gt;"",AN60,IF(Y60&lt;&gt;"",Y60,V60)),_xlpm.sent,_xlfn.MAXIFS('Rework Log'!$B$3:$B$499,'Rework Log'!$A$3:$A$499,$B60,'Rework Log'!$C$3:$C$499,"QA"),_xlpm.act,IF(AND(W60&lt;&gt;"",W60&gt;_xlpm.sent),W60,""),IF(_xlpm.tgt="","No target set",IF(AND(_xlpm.tgt&lt;TODAY(),_xlpm.act=""),"Overdue","On track"))),IF(C60="DPO Approval",_xlfn.LET(_xlpm.tgt,IF(AO60&lt;&gt;"",AO60,IF(AC60&lt;&gt;"",AC60,AB60)),_xlpm.sent,_xlfn.MAXIFS('Rework Log'!$B$3:$B$499,'Rework Log'!$A$3:$A$499,$B60,'Rework Log'!$C$3:$C$499,"DPO*"),_xlpm.act,IF(AND(AD60&lt;&gt;"",AD60&gt;_xlpm.sent),AD60,""),IF(_xlpm.tgt="","No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5" t="s">
        <v>198</v>
      </c>
      <c r="J60" s="33" t="s">
        <v>159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3" t="s">
        <v>45</v>
      </c>
      <c r="Q60" s="4">
        <v>46269</v>
      </c>
      <c r="R60" s="36"/>
      <c r="S60" s="36"/>
      <c r="T60" s="69" t="s">
        <v>200</v>
      </c>
      <c r="U60" s="33"/>
      <c r="V60" s="59">
        <v>46276</v>
      </c>
      <c r="W60" s="36"/>
      <c r="X60" s="36"/>
      <c r="Y60" s="36"/>
      <c r="Z60" s="36"/>
      <c r="AA60" s="36"/>
      <c r="AB60" s="52">
        <v>46290</v>
      </c>
      <c r="AC60" s="36"/>
      <c r="AD60" s="36"/>
      <c r="AE60" s="33" t="s">
        <v>210</v>
      </c>
      <c r="AF60" s="33" t="s">
        <v>71</v>
      </c>
      <c r="AG60" s="38"/>
      <c r="AH60" s="36"/>
      <c r="AI60" s="39"/>
      <c r="AJ60" s="33"/>
      <c r="AK60" s="40" t="s">
        <v>52</v>
      </c>
      <c r="AL60" s="73" t="str">
        <f>IF($B60="","",IF(AND(LEFT($AK60,3)="Yes",SUMPRODUCT(('Rework Log'!$A$3:$A$499=$B60)*('Rework Log'!$G$3:$G$499&lt;&gt;"Yes")*('Rework Log'!$G$3:$G$499&lt;&gt;"Did not pass re-test"))=0),"Blocked - log it on Rework Log",IF(AND(LEFT($AK60,3)&lt;&gt;"Yes",SUMPRODUCT(('Rework Log'!$A$3:$A$499=$B60)*('Rework Log'!$G$3:$G$499&lt;&gt;"Yes")*('Rework Log'!$G$3:$G$499&lt;&gt;"Did not pass re-test"))&gt;0),"Open rework row - mark Blocked? or close it",IF(AND($AK60="Yes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H)",IF(AND($AK60="Yes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H)",IF(AND($AK60="Yes – needs QA to fix",W60&lt;&gt;"",SUMPRODUCT(MAX((('Rework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target",IF(AND(AB60&lt;&gt;"",V60&lt;&gt;"",AB60&lt;V60),"DPO Approval target is before QA target",IF(AND(AH60&lt;&gt;"",AB60&lt;&gt;"",AH60&lt;AB60),"Confirmed Deployed date is before DPO Approval target",""))))))))))))</f>
        <v/>
      </c>
      <c r="AM60" s="41"/>
      <c r="AN60" s="32" t="str" cm="1">
        <f t="array" ref="AN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60" s="32" t="str" cm="1">
        <f t="array" ref="AO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60" s="31"/>
      <c r="AQ60" s="32"/>
    </row>
    <row r="61" spans="1:43" ht="14.4" x14ac:dyDescent="0.3">
      <c r="A61" s="33" t="s">
        <v>126</v>
      </c>
      <c r="B61" s="33" t="s">
        <v>211</v>
      </c>
      <c r="C61" s="33" t="s">
        <v>206</v>
      </c>
      <c r="D61" t="str" cm="1">
        <f t="array" aca="1" ref="D61" ca="1">IF($B61="","",IF(LEFT($AK61,3)="Yes","Blocked - "&amp;MID($AK61,7,100)&amp;IF(SUMPRODUCT(('Rework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track")),IF(C61="QA",_xlfn.LET(_xlpm.tgt,IF(AN61&lt;&gt;"",AN61,IF(Y61&lt;&gt;"",Y61,V61)),_xlpm.sent,_xlfn.MAXIFS('Rework Log'!$B$3:$B$499,'Rework Log'!$A$3:$A$499,$B61,'Rework Log'!$C$3:$C$499,"QA"),_xlpm.act,IF(AND(W61&lt;&gt;"",W61&gt;_xlpm.sent),W61,""),IF(_xlpm.tgt="","No target set",IF(AND(_xlpm.tgt&lt;TODAY(),_xlpm.act=""),"Overdue","On track"))),IF(C61="DPO Approval",_xlfn.LET(_xlpm.tgt,IF(AO61&lt;&gt;"",AO61,IF(AC61&lt;&gt;"",AC61,AB61)),_xlpm.sent,_xlfn.MAXIFS('Rework Log'!$B$3:$B$499,'Rework Log'!$A$3:$A$499,$B61,'Rework Log'!$C$3:$C$499,"DPO*"),_xlpm.act,IF(AND(AD61&lt;&gt;"",AD61&gt;_xlpm.sent),AD61,""),IF(_xlpm.tgt="","No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5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3" t="s">
        <v>59</v>
      </c>
      <c r="Q61" s="4">
        <v>46269</v>
      </c>
      <c r="R61" s="36">
        <v>46267</v>
      </c>
      <c r="S61" s="36"/>
      <c r="T61" s="69" t="s">
        <v>200</v>
      </c>
      <c r="U61" s="33"/>
      <c r="V61" s="59">
        <v>46276</v>
      </c>
      <c r="W61" s="36"/>
      <c r="X61" s="36"/>
      <c r="Y61" s="36"/>
      <c r="Z61" s="36"/>
      <c r="AA61" s="36"/>
      <c r="AB61" s="52">
        <v>46290</v>
      </c>
      <c r="AC61" s="36"/>
      <c r="AD61" s="36"/>
      <c r="AE61" s="33" t="s">
        <v>212</v>
      </c>
      <c r="AF61" s="33" t="s">
        <v>71</v>
      </c>
      <c r="AG61" s="38"/>
      <c r="AH61" s="36"/>
      <c r="AI61" s="39"/>
      <c r="AJ61" s="33"/>
      <c r="AK61" s="40" t="s">
        <v>52</v>
      </c>
      <c r="AL61" s="73" t="str">
        <f>IF($B61="","",IF(AND(LEFT($AK61,3)="Yes",SUMPRODUCT(('Rework Log'!$A$3:$A$499=$B61)*('Rework Log'!$G$3:$G$499&lt;&gt;"Yes")*('Rework Log'!$G$3:$G$499&lt;&gt;"Did not pass re-test"))=0),"Blocked - log it on Rework Log",IF(AND(LEFT($AK61,3)&lt;&gt;"Yes",SUMPRODUCT(('Rework Log'!$A$3:$A$499=$B61)*('Rework Log'!$G$3:$G$499&lt;&gt;"Yes")*('Rework Log'!$G$3:$G$499&lt;&gt;"Did not pass re-test"))&gt;0),"Open rework row - mark Blocked? or close it",IF(AND($AK61="Yes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H)",IF(AND($AK61="Yes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H)",IF(AND($AK61="Yes – needs QA to fix",W61&lt;&gt;"",SUMPRODUCT(MAX((('Rework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target",IF(AND(AB61&lt;&gt;"",V61&lt;&gt;"",AB61&lt;V61),"DPO Approval target is before QA target",IF(AND(AH61&lt;&gt;"",AB61&lt;&gt;"",AH61&lt;AB61),"Confirmed Deployed date is before DPO Approval target",""))))))))))))</f>
        <v/>
      </c>
      <c r="AM61" s="41"/>
      <c r="AN61" s="32" t="str" cm="1">
        <f t="array" ref="AN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61" s="32" t="str" cm="1">
        <f t="array" ref="AO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61" s="31"/>
      <c r="AQ61" s="32"/>
    </row>
    <row r="62" spans="1:43" ht="14.4" x14ac:dyDescent="0.3">
      <c r="A62" s="33" t="s">
        <v>126</v>
      </c>
      <c r="B62" s="33" t="s">
        <v>213</v>
      </c>
      <c r="C62" s="33" t="s">
        <v>206</v>
      </c>
      <c r="D62" t="str" cm="1">
        <f t="array" aca="1" ref="D62" ca="1">IF($B62="","",IF(LEFT($AK62,3)="Yes","Blocked - "&amp;MID($AK62,7,100)&amp;IF(SUMPRODUCT(('Rework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track")),IF(C62="QA",_xlfn.LET(_xlpm.tgt,IF(AN62&lt;&gt;"",AN62,IF(Y62&lt;&gt;"",Y62,V62)),_xlpm.sent,_xlfn.MAXIFS('Rework Log'!$B$3:$B$499,'Rework Log'!$A$3:$A$499,$B62,'Rework Log'!$C$3:$C$499,"QA"),_xlpm.act,IF(AND(W62&lt;&gt;"",W62&gt;_xlpm.sent),W62,""),IF(_xlpm.tgt="","No target set",IF(AND(_xlpm.tgt&lt;TODAY(),_xlpm.act=""),"Overdue","On track"))),IF(C62="DPO Approval",_xlfn.LET(_xlpm.tgt,IF(AO62&lt;&gt;"",AO62,IF(AC62&lt;&gt;"",AC62,AB62)),_xlpm.sent,_xlfn.MAXIFS('Rework Log'!$B$3:$B$499,'Rework Log'!$A$3:$A$499,$B62,'Rework Log'!$C$3:$C$499,"DPO*"),_xlpm.act,IF(AND(AD62&lt;&gt;"",AD62&gt;_xlpm.sent),AD62,""),IF(_xlpm.tgt="","No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5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3" t="s">
        <v>76</v>
      </c>
      <c r="Q62" s="4">
        <v>46269</v>
      </c>
      <c r="R62" s="36"/>
      <c r="S62" s="36"/>
      <c r="T62" s="69" t="s">
        <v>200</v>
      </c>
      <c r="U62" s="33"/>
      <c r="V62" s="59">
        <v>46276</v>
      </c>
      <c r="W62" s="36"/>
      <c r="X62" s="36"/>
      <c r="Y62" s="36"/>
      <c r="Z62" s="36"/>
      <c r="AA62" s="36"/>
      <c r="AB62" s="52">
        <v>46290</v>
      </c>
      <c r="AC62" s="36"/>
      <c r="AD62" s="36"/>
      <c r="AE62" s="33" t="s">
        <v>214</v>
      </c>
      <c r="AF62" s="33" t="s">
        <v>71</v>
      </c>
      <c r="AG62" s="38"/>
      <c r="AH62" s="36"/>
      <c r="AI62" s="39"/>
      <c r="AJ62" s="33"/>
      <c r="AK62" s="40" t="s">
        <v>52</v>
      </c>
      <c r="AL62" s="73" t="str">
        <f>IF($B62="","",IF(AND(LEFT($AK62,3)="Yes",SUMPRODUCT(('Rework Log'!$A$3:$A$499=$B62)*('Rework Log'!$G$3:$G$499&lt;&gt;"Yes")*('Rework Log'!$G$3:$G$499&lt;&gt;"Did not pass re-test"))=0),"Blocked - log it on Rework Log",IF(AND(LEFT($AK62,3)&lt;&gt;"Yes",SUMPRODUCT(('Rework Log'!$A$3:$A$499=$B62)*('Rework Log'!$G$3:$G$499&lt;&gt;"Yes")*('Rework Log'!$G$3:$G$499&lt;&gt;"Did not pass re-test"))&gt;0),"Open rework row - mark Blocked? or close it",IF(AND($AK62="Yes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H)",IF(AND($AK62="Yes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H)",IF(AND($AK62="Yes – needs QA to fix",W62&lt;&gt;"",SUMPRODUCT(MAX((('Rework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target",IF(AND(AB62&lt;&gt;"",V62&lt;&gt;"",AB62&lt;V62),"DPO Approval target is before QA target",IF(AND(AH62&lt;&gt;"",AB62&lt;&gt;"",AH62&lt;AB62),"Confirmed Deployed date is before DPO Approval target",""))))))))))))</f>
        <v/>
      </c>
      <c r="AM62" s="41"/>
      <c r="AN62" s="32" t="str" cm="1">
        <f t="array" ref="AN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62" s="32" t="str" cm="1">
        <f t="array" ref="AO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62" s="31"/>
      <c r="AQ62" s="32"/>
    </row>
    <row r="63" spans="1:43" ht="14.4" x14ac:dyDescent="0.3">
      <c r="A63" s="33" t="s">
        <v>126</v>
      </c>
      <c r="B63" s="33" t="s">
        <v>215</v>
      </c>
      <c r="C63" s="33" t="s">
        <v>206</v>
      </c>
      <c r="D63" t="str" cm="1">
        <f t="array" aca="1" ref="D63" ca="1">IF($B63="","",IF(LEFT($AK63,3)="Yes","Blocked - "&amp;MID($AK63,7,100)&amp;IF(SUMPRODUCT(('Rework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track")),IF(C63="QA",_xlfn.LET(_xlpm.tgt,IF(AN63&lt;&gt;"",AN63,IF(Y63&lt;&gt;"",Y63,V63)),_xlpm.sent,_xlfn.MAXIFS('Rework Log'!$B$3:$B$499,'Rework Log'!$A$3:$A$499,$B63,'Rework Log'!$C$3:$C$499,"QA"),_xlpm.act,IF(AND(W63&lt;&gt;"",W63&gt;_xlpm.sent),W63,""),IF(_xlpm.tgt="","No target set",IF(AND(_xlpm.tgt&lt;TODAY(),_xlpm.act=""),"Overdue","On track"))),IF(C63="DPO Approval",_xlfn.LET(_xlpm.tgt,IF(AO63&lt;&gt;"",AO63,IF(AC63&lt;&gt;"",AC63,AB63)),_xlpm.sent,_xlfn.MAXIFS('Rework Log'!$B$3:$B$499,'Rework Log'!$A$3:$A$499,$B63,'Rework Log'!$C$3:$C$499,"DPO*"),_xlpm.act,IF(AND(AD63&lt;&gt;"",AD63&gt;_xlpm.sent),AD63,""),IF(_xlpm.tgt="","No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5" t="s">
        <v>198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199</v>
      </c>
      <c r="P63" s="63" t="s">
        <v>45</v>
      </c>
      <c r="Q63" s="4">
        <v>46286</v>
      </c>
      <c r="R63" s="36"/>
      <c r="S63" s="36"/>
      <c r="T63" s="69" t="s">
        <v>200</v>
      </c>
      <c r="U63" s="33"/>
      <c r="V63" s="59">
        <v>46290</v>
      </c>
      <c r="W63" s="36"/>
      <c r="X63" s="36"/>
      <c r="Y63" s="36"/>
      <c r="Z63" s="36"/>
      <c r="AA63" s="36"/>
      <c r="AB63" s="52">
        <v>46295</v>
      </c>
      <c r="AC63" s="36"/>
      <c r="AD63" s="36"/>
      <c r="AE63" s="33" t="s">
        <v>216</v>
      </c>
      <c r="AF63" s="33" t="s">
        <v>71</v>
      </c>
      <c r="AG63" s="38"/>
      <c r="AH63" s="36"/>
      <c r="AI63" s="39"/>
      <c r="AJ63" s="33"/>
      <c r="AK63" s="40" t="s">
        <v>52</v>
      </c>
      <c r="AL63" s="73" t="str">
        <f>IF($B63="","",IF(AND(LEFT($AK63,3)="Yes",SUMPRODUCT(('Rework Log'!$A$3:$A$499=$B63)*('Rework Log'!$G$3:$G$499&lt;&gt;"Yes")*('Rework Log'!$G$3:$G$499&lt;&gt;"Did not pass re-test"))=0),"Blocked - log it on Rework Log",IF(AND(LEFT($AK63,3)&lt;&gt;"Yes",SUMPRODUCT(('Rework Log'!$A$3:$A$499=$B63)*('Rework Log'!$G$3:$G$499&lt;&gt;"Yes")*('Rework Log'!$G$3:$G$499&lt;&gt;"Did not pass re-test"))&gt;0),"Open rework row - mark Blocked? or close it",IF(AND($AK63="Yes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H)",IF(AND($AK63="Yes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H)",IF(AND($AK63="Yes – needs QA to fix",W63&lt;&gt;"",SUMPRODUCT(MAX((('Rework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target",IF(AND(AB63&lt;&gt;"",V63&lt;&gt;"",AB63&lt;V63),"DPO Approval target is before QA target",IF(AND(AH63&lt;&gt;"",AB63&lt;&gt;"",AH63&lt;AB63),"Confirmed Deployed date is before DPO Approval target",""))))))))))))</f>
        <v/>
      </c>
      <c r="AM63" s="41"/>
      <c r="AN63" s="32" t="str" cm="1">
        <f t="array" ref="AN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63" s="32" t="str" cm="1">
        <f t="array" ref="AO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63" s="31"/>
      <c r="AQ63" s="32"/>
    </row>
    <row r="64" spans="1:43" ht="14.4" x14ac:dyDescent="0.3">
      <c r="A64" s="33" t="s">
        <v>126</v>
      </c>
      <c r="B64" s="33" t="s">
        <v>217</v>
      </c>
      <c r="C64" s="33" t="s">
        <v>206</v>
      </c>
      <c r="D64" t="str" cm="1">
        <f t="array" aca="1" ref="D64" ca="1">IF($B64="","",IF(LEFT($AK64,3)="Yes","Blocked - "&amp;MID($AK64,7,100)&amp;IF(SUMPRODUCT(('Rework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track")),IF(C64="QA",_xlfn.LET(_xlpm.tgt,IF(AN64&lt;&gt;"",AN64,IF(Y64&lt;&gt;"",Y64,V64)),_xlpm.sent,_xlfn.MAXIFS('Rework Log'!$B$3:$B$499,'Rework Log'!$A$3:$A$499,$B64,'Rework Log'!$C$3:$C$499,"QA"),_xlpm.act,IF(AND(W64&lt;&gt;"",W64&gt;_xlpm.sent),W64,""),IF(_xlpm.tgt="","No target set",IF(AND(_xlpm.tgt&lt;TODAY(),_xlpm.act=""),"Overdue","On track"))),IF(C64="DPO Approval",_xlfn.LET(_xlpm.tgt,IF(AO64&lt;&gt;"",AO64,IF(AC64&lt;&gt;"",AC64,AB64)),_xlpm.sent,_xlfn.MAXIFS('Rework Log'!$B$3:$B$499,'Rework Log'!$A$3:$A$499,$B64,'Rework Log'!$C$3:$C$499,"DPO*"),_xlpm.act,IF(AND(AD64&lt;&gt;"",AD64&gt;_xlpm.sent),AD64,""),IF(_xlpm.tgt="","No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5" t="s">
        <v>198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199</v>
      </c>
      <c r="P64" s="63" t="s">
        <v>59</v>
      </c>
      <c r="Q64" s="4">
        <v>46286</v>
      </c>
      <c r="R64" s="36"/>
      <c r="S64" s="36"/>
      <c r="T64" s="69" t="s">
        <v>200</v>
      </c>
      <c r="U64" s="33"/>
      <c r="V64" s="59">
        <v>46290</v>
      </c>
      <c r="W64" s="36"/>
      <c r="X64" s="36"/>
      <c r="Y64" s="36"/>
      <c r="Z64" s="36"/>
      <c r="AA64" s="36"/>
      <c r="AB64" s="52">
        <v>46295</v>
      </c>
      <c r="AC64" s="36"/>
      <c r="AD64" s="36"/>
      <c r="AE64" s="33" t="s">
        <v>218</v>
      </c>
      <c r="AF64" s="33" t="s">
        <v>71</v>
      </c>
      <c r="AG64" s="38"/>
      <c r="AH64" s="36"/>
      <c r="AI64" s="39"/>
      <c r="AJ64" s="33"/>
      <c r="AK64" s="40" t="s">
        <v>52</v>
      </c>
      <c r="AL64" s="73" t="str">
        <f>IF($B64="","",IF(AND(LEFT($AK64,3)="Yes",SUMPRODUCT(('Rework Log'!$A$3:$A$499=$B64)*('Rework Log'!$G$3:$G$499&lt;&gt;"Yes")*('Rework Log'!$G$3:$G$499&lt;&gt;"Did not pass re-test"))=0),"Blocked - log it on Rework Log",IF(AND(LEFT($AK64,3)&lt;&gt;"Yes",SUMPRODUCT(('Rework Log'!$A$3:$A$499=$B64)*('Rework Log'!$G$3:$G$499&lt;&gt;"Yes")*('Rework Log'!$G$3:$G$499&lt;&gt;"Did not pass re-test"))&gt;0),"Open rework row - mark Blocked? or close it",IF(AND($AK64="Yes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H)",IF(AND($AK64="Yes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H)",IF(AND($AK64="Yes – needs QA to fix",W64&lt;&gt;"",SUMPRODUCT(MAX((('Rework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target",IF(AND(AB64&lt;&gt;"",V64&lt;&gt;"",AB64&lt;V64),"DPO Approval target is before QA target",IF(AND(AH64&lt;&gt;"",AB64&lt;&gt;"",AH64&lt;AB64),"Confirmed Deployed date is before DPO Approval target",""))))))))))))</f>
        <v/>
      </c>
      <c r="AM64" s="41"/>
      <c r="AN64" s="32" t="str" cm="1">
        <f t="array" ref="AN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64" s="32" t="str" cm="1">
        <f t="array" ref="AO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64" s="31"/>
      <c r="AQ64" s="32"/>
    </row>
    <row r="65" spans="1:43" ht="14.4" x14ac:dyDescent="0.3">
      <c r="A65" s="33" t="s">
        <v>126</v>
      </c>
      <c r="B65" s="33" t="s">
        <v>219</v>
      </c>
      <c r="C65" s="33" t="s">
        <v>140</v>
      </c>
      <c r="D65" t="str" cm="1">
        <f t="array" aca="1" ref="D65" ca="1">IF($B65="","",IF(LEFT($AK65,3)="Yes","Blocked - "&amp;MID($AK65,7,100)&amp;IF(SUMPRODUCT(('Rework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track")),IF(C65="QA",_xlfn.LET(_xlpm.tgt,IF(AN65&lt;&gt;"",AN65,IF(Y65&lt;&gt;"",Y65,V65)),_xlpm.sent,_xlfn.MAXIFS('Rework Log'!$B$3:$B$499,'Rework Log'!$A$3:$A$499,$B65,'Rework Log'!$C$3:$C$499,"QA"),_xlpm.act,IF(AND(W65&lt;&gt;"",W65&gt;_xlpm.sent),W65,""),IF(_xlpm.tgt="","No target set",IF(AND(_xlpm.tgt&lt;TODAY(),_xlpm.act=""),"Overdue","On track"))),IF(C65="DPO Approval",_xlfn.LET(_xlpm.tgt,IF(AO65&lt;&gt;"",AO65,IF(AC65&lt;&gt;"",AC65,AB65)),_xlpm.sent,_xlfn.MAXIFS('Rework Log'!$B$3:$B$499,'Rework Log'!$A$3:$A$499,$B65,'Rework Log'!$C$3:$C$499,"DPO*"),_xlpm.act,IF(AND(AD65&lt;&gt;"",AD65&gt;_xlpm.sent),AD65,""),IF(_xlpm.tgt="","No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5" t="s">
        <v>198</v>
      </c>
      <c r="J65" s="33" t="s">
        <v>159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3" t="s">
        <v>76</v>
      </c>
      <c r="Q65" s="4">
        <v>46286</v>
      </c>
      <c r="R65" s="43"/>
      <c r="S65" s="31"/>
      <c r="T65" s="69" t="s">
        <v>200</v>
      </c>
      <c r="U65" s="33"/>
      <c r="V65" s="59">
        <v>46290</v>
      </c>
      <c r="W65" s="36"/>
      <c r="X65" s="36"/>
      <c r="Y65" s="36"/>
      <c r="Z65" s="36"/>
      <c r="AA65" s="36"/>
      <c r="AB65" s="52">
        <v>46295</v>
      </c>
      <c r="AC65" s="36"/>
      <c r="AD65" s="36"/>
      <c r="AE65" s="33" t="s">
        <v>132</v>
      </c>
      <c r="AF65" s="33" t="s">
        <v>48</v>
      </c>
      <c r="AG65" s="38"/>
      <c r="AH65" s="36"/>
      <c r="AI65" s="39"/>
      <c r="AJ65" s="33"/>
      <c r="AK65" s="40" t="s">
        <v>52</v>
      </c>
      <c r="AL65" s="73" t="str">
        <f>IF($B65="","",IF(AND(LEFT($AK65,3)="Yes",SUMPRODUCT(('Rework Log'!$A$3:$A$499=$B65)*('Rework Log'!$G$3:$G$499&lt;&gt;"Yes")*('Rework Log'!$G$3:$G$499&lt;&gt;"Did not pass re-test"))=0),"Blocked - log it on Rework Log",IF(AND(LEFT($AK65,3)&lt;&gt;"Yes",SUMPRODUCT(('Rework Log'!$A$3:$A$499=$B65)*('Rework Log'!$G$3:$G$499&lt;&gt;"Yes")*('Rework Log'!$G$3:$G$499&lt;&gt;"Did not pass re-test"))&gt;0),"Open rework row - mark Blocked? or close it",IF(AND($AK65="Yes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H)",IF(AND($AK65="Yes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H)",IF(AND($AK65="Yes – needs QA to fix",W65&lt;&gt;"",SUMPRODUCT(MAX((('Rework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target",IF(AND(AB65&lt;&gt;"",V65&lt;&gt;"",AB65&lt;V65),"DPO Approval target is before QA target",IF(AND(AH65&lt;&gt;"",AB65&lt;&gt;"",AH65&lt;AB65),"Confirmed Deployed date is before DPO Approval target",""))))))))))))</f>
        <v/>
      </c>
      <c r="AM65" s="41"/>
      <c r="AN65" s="32" t="str" cm="1">
        <f t="array" ref="AN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65" s="32" t="str" cm="1">
        <f t="array" ref="AO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65" s="31"/>
      <c r="AQ65" s="32"/>
    </row>
    <row r="66" spans="1:43" ht="14.4" x14ac:dyDescent="0.3">
      <c r="A66" s="33" t="s">
        <v>126</v>
      </c>
      <c r="B66" s="33" t="s">
        <v>220</v>
      </c>
      <c r="C66" s="33" t="s">
        <v>206</v>
      </c>
      <c r="D66" t="str" cm="1">
        <f t="array" aca="1" ref="D66" ca="1">IF($B66="","",IF(LEFT($AK66,3)="Yes","Blocked - "&amp;MID($AK66,7,100)&amp;IF(SUMPRODUCT(('Rework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track")),IF(C66="QA",_xlfn.LET(_xlpm.tgt,IF(AN66&lt;&gt;"",AN66,IF(Y66&lt;&gt;"",Y66,V66)),_xlpm.sent,_xlfn.MAXIFS('Rework Log'!$B$3:$B$499,'Rework Log'!$A$3:$A$499,$B66,'Rework Log'!$C$3:$C$499,"QA"),_xlpm.act,IF(AND(W66&lt;&gt;"",W66&gt;_xlpm.sent),W66,""),IF(_xlpm.tgt="","No target set",IF(AND(_xlpm.tgt&lt;TODAY(),_xlpm.act=""),"Overdue","On track"))),IF(C66="DPO Approval",_xlfn.LET(_xlpm.tgt,IF(AO66&lt;&gt;"",AO66,IF(AC66&lt;&gt;"",AC66,AB66)),_xlpm.sent,_xlfn.MAXIFS('Rework Log'!$B$3:$B$499,'Rework Log'!$A$3:$A$499,$B66,'Rework Log'!$C$3:$C$499,"DPO*"),_xlpm.act,IF(AND(AD66&lt;&gt;"",AD66&gt;_xlpm.sent),AD66,""),IF(_xlpm.tgt="","No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5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3" t="s">
        <v>45</v>
      </c>
      <c r="Q66" s="4">
        <v>46286</v>
      </c>
      <c r="R66" s="36"/>
      <c r="S66" s="36"/>
      <c r="T66" s="69" t="s">
        <v>200</v>
      </c>
      <c r="U66" s="33"/>
      <c r="V66" s="59">
        <v>46290</v>
      </c>
      <c r="W66" s="36"/>
      <c r="X66" s="36"/>
      <c r="Y66" s="36"/>
      <c r="Z66" s="36"/>
      <c r="AA66" s="36"/>
      <c r="AB66" s="52">
        <v>46295</v>
      </c>
      <c r="AC66" s="36"/>
      <c r="AD66" s="36"/>
      <c r="AE66" s="33" t="s">
        <v>218</v>
      </c>
      <c r="AF66" s="33" t="s">
        <v>93</v>
      </c>
      <c r="AG66" s="38"/>
      <c r="AH66" s="36"/>
      <c r="AI66" s="39"/>
      <c r="AJ66" s="33"/>
      <c r="AK66" s="40" t="s">
        <v>52</v>
      </c>
      <c r="AL66" s="73" t="str">
        <f>IF($B66="","",IF(AND(LEFT($AK66,3)="Yes",SUMPRODUCT(('Rework Log'!$A$3:$A$499=$B66)*('Rework Log'!$G$3:$G$499&lt;&gt;"Yes")*('Rework Log'!$G$3:$G$499&lt;&gt;"Did not pass re-test"))=0),"Blocked - log it on Rework Log",IF(AND(LEFT($AK66,3)&lt;&gt;"Yes",SUMPRODUCT(('Rework Log'!$A$3:$A$499=$B66)*('Rework Log'!$G$3:$G$499&lt;&gt;"Yes")*('Rework Log'!$G$3:$G$499&lt;&gt;"Did not pass re-test"))&gt;0),"Open rework row - mark Blocked? or close it",IF(AND($AK66="Yes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H)",IF(AND($AK66="Yes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H)",IF(AND($AK66="Yes – needs QA to fix",W66&lt;&gt;"",SUMPRODUCT(MAX((('Rework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target",IF(AND(AB66&lt;&gt;"",V66&lt;&gt;"",AB66&lt;V66),"DPO Approval target is before QA target",IF(AND(AH66&lt;&gt;"",AB66&lt;&gt;"",AH66&lt;AB66),"Confirmed Deployed date is before DPO Approval target",""))))))))))))</f>
        <v/>
      </c>
      <c r="AM66" s="41"/>
      <c r="AN66" s="32" t="str" cm="1">
        <f t="array" ref="AN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66" s="32" t="str" cm="1">
        <f t="array" ref="AO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66" s="31"/>
      <c r="AQ66" s="32"/>
    </row>
    <row r="67" spans="1:43" ht="14.4" x14ac:dyDescent="0.3">
      <c r="A67" s="33" t="s">
        <v>126</v>
      </c>
      <c r="B67" s="33" t="s">
        <v>221</v>
      </c>
      <c r="C67" s="33" t="s">
        <v>206</v>
      </c>
      <c r="D67" t="str" cm="1">
        <f t="array" aca="1" ref="D67" ca="1">IF($B67="","",IF(LEFT($AK67,3)="Yes","Blocked - "&amp;MID($AK67,7,100)&amp;IF(SUMPRODUCT(('Rework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track")),IF(C67="QA",_xlfn.LET(_xlpm.tgt,IF(AN67&lt;&gt;"",AN67,IF(Y67&lt;&gt;"",Y67,V67)),_xlpm.sent,_xlfn.MAXIFS('Rework Log'!$B$3:$B$499,'Rework Log'!$A$3:$A$499,$B67,'Rework Log'!$C$3:$C$499,"QA"),_xlpm.act,IF(AND(W67&lt;&gt;"",W67&gt;_xlpm.sent),W67,""),IF(_xlpm.tgt="","No target set",IF(AND(_xlpm.tgt&lt;TODAY(),_xlpm.act=""),"Overdue","On track"))),IF(C67="DPO Approval",_xlfn.LET(_xlpm.tgt,IF(AO67&lt;&gt;"",AO67,IF(AC67&lt;&gt;"",AC67,AB67)),_xlpm.sent,_xlfn.MAXIFS('Rework Log'!$B$3:$B$499,'Rework Log'!$A$3:$A$499,$B67,'Rework Log'!$C$3:$C$499,"DPO*"),_xlpm.act,IF(AND(AD67&lt;&gt;"",AD67&gt;_xlpm.sent),AD67,""),IF(_xlpm.tgt="","No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5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3" t="s">
        <v>59</v>
      </c>
      <c r="Q67" s="4">
        <v>46286</v>
      </c>
      <c r="R67" s="36">
        <v>46254</v>
      </c>
      <c r="S67" s="36">
        <v>46254</v>
      </c>
      <c r="T67" s="69" t="s">
        <v>200</v>
      </c>
      <c r="U67" s="33"/>
      <c r="V67" s="59">
        <v>46290</v>
      </c>
      <c r="W67" s="36"/>
      <c r="X67" s="36"/>
      <c r="Y67" s="36">
        <v>46259</v>
      </c>
      <c r="Z67" s="36"/>
      <c r="AA67" s="36"/>
      <c r="AB67" s="52">
        <v>46295</v>
      </c>
      <c r="AC67" s="36">
        <v>46268</v>
      </c>
      <c r="AD67" s="36"/>
      <c r="AE67" s="33" t="s">
        <v>222</v>
      </c>
      <c r="AF67" s="33" t="s">
        <v>93</v>
      </c>
      <c r="AG67" s="38"/>
      <c r="AH67" s="36"/>
      <c r="AI67" s="39"/>
      <c r="AJ67" s="33"/>
      <c r="AK67" s="40" t="s">
        <v>52</v>
      </c>
      <c r="AL67" s="73" t="str">
        <f>IF($B67="","",IF(AND(LEFT($AK67,3)="Yes",SUMPRODUCT(('Rework Log'!$A$3:$A$499=$B67)*('Rework Log'!$G$3:$G$499&lt;&gt;"Yes")*('Rework Log'!$G$3:$G$499&lt;&gt;"Did not pass re-test"))=0),"Blocked - log it on Rework Log",IF(AND(LEFT($AK67,3)&lt;&gt;"Yes",SUMPRODUCT(('Rework Log'!$A$3:$A$499=$B67)*('Rework Log'!$G$3:$G$499&lt;&gt;"Yes")*('Rework Log'!$G$3:$G$499&lt;&gt;"Did not pass re-test"))&gt;0),"Open rework row - mark Blocked? or close it",IF(AND($AK67="Yes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H)",IF(AND($AK67="Yes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H)",IF(AND($AK67="Yes – needs QA to fix",W67&lt;&gt;"",SUMPRODUCT(MAX((('Rework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target",IF(AND(AB67&lt;&gt;"",V67&lt;&gt;"",AB67&lt;V67),"DPO Approval target is before QA target",IF(AND(AH67&lt;&gt;"",AB67&lt;&gt;"",AH67&lt;AB67),"Confirmed Deployed date is before DPO Approval target",""))))))))))))</f>
        <v/>
      </c>
      <c r="AM67" s="41"/>
      <c r="AN67" s="32" t="str" cm="1">
        <f t="array" ref="AN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67" s="32" t="str" cm="1">
        <f t="array" ref="AO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67" s="31"/>
      <c r="AQ67" s="32"/>
    </row>
    <row r="68" spans="1:43" s="94" customFormat="1" ht="14.4" x14ac:dyDescent="0.3">
      <c r="A68" s="93" t="s">
        <v>126</v>
      </c>
      <c r="B68" s="79" t="s">
        <v>223</v>
      </c>
      <c r="C68" s="93" t="s">
        <v>180</v>
      </c>
      <c r="D68" s="94" t="str" cm="1">
        <f t="array" aca="1" ref="D68" ca="1">IF($B68="","",IF(LEFT($AK68,3)="Yes","Blocked - "&amp;MID($AK68,7,100)&amp;IF(SUMPRODUCT(('Rework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track")),IF(C68="QA",_xlfn.LET(_xlpm.tgt,IF(AN68&lt;&gt;"",AN68,IF(Y68&lt;&gt;"",Y68,V68)),_xlpm.sent,_xlfn.MAXIFS('Rework Log'!$B$3:$B$499,'Rework Log'!$A$3:$A$499,$B68,'Rework Log'!$C$3:$C$499,"QA"),_xlpm.act,IF(AND(W68&lt;&gt;"",W68&gt;_xlpm.sent),W68,""),IF(_xlpm.tgt="","No target set",IF(AND(_xlpm.tgt&lt;TODAY(),_xlpm.act=""),"Overdue","On track"))),IF(C68="DPO Approval",_xlfn.LET(_xlpm.tgt,IF(AO68&lt;&gt;"",AO68,IF(AC68&lt;&gt;"",AC68,AB68)),_xlpm.sent,_xlfn.MAXIFS('Rework Log'!$B$3:$B$499,'Rework Log'!$A$3:$A$499,$B68,'Rework Log'!$C$3:$C$499,"DPO*"),_xlpm.act,IF(AND(AD68&lt;&gt;"",AD68&gt;_xlpm.sent),AD68,""),IF(_xlpm.tgt="","No target set",IF(AND(_xlpm.tgt&lt;TODAY(),_xlpm.act=""),"Overdue","On track"))),IF(C68="RELEASED IN PROD","Delivered",""))))))))</f>
        <v>On track</v>
      </c>
      <c r="E68" s="93">
        <v>44</v>
      </c>
      <c r="F68" s="95" t="s">
        <v>129</v>
      </c>
      <c r="G68" s="93"/>
      <c r="H68" s="96">
        <v>46295</v>
      </c>
      <c r="I68" s="97" t="s">
        <v>198</v>
      </c>
      <c r="J68" s="93" t="s">
        <v>224</v>
      </c>
      <c r="K68" s="98">
        <v>46276</v>
      </c>
      <c r="L68" s="99">
        <v>46258</v>
      </c>
      <c r="M68" s="99">
        <v>46258</v>
      </c>
      <c r="N68" s="99"/>
      <c r="O68" s="99" t="s">
        <v>199</v>
      </c>
      <c r="P68" s="100" t="s">
        <v>76</v>
      </c>
      <c r="Q68" s="98">
        <v>46286</v>
      </c>
      <c r="R68" s="99"/>
      <c r="S68" s="99"/>
      <c r="T68" s="101" t="s">
        <v>225</v>
      </c>
      <c r="U68" s="93"/>
      <c r="V68" s="102">
        <v>46290</v>
      </c>
      <c r="W68" s="99"/>
      <c r="X68" s="99"/>
      <c r="Y68" s="99"/>
      <c r="Z68" s="99"/>
      <c r="AA68" s="99"/>
      <c r="AB68" s="103">
        <v>46295</v>
      </c>
      <c r="AC68" s="99"/>
      <c r="AD68" s="99"/>
      <c r="AE68" s="79" t="s">
        <v>226</v>
      </c>
      <c r="AF68" s="93" t="s">
        <v>71</v>
      </c>
      <c r="AG68" s="104"/>
      <c r="AH68" s="99"/>
      <c r="AI68" s="105"/>
      <c r="AJ68" s="93"/>
      <c r="AK68" s="106" t="s">
        <v>52</v>
      </c>
      <c r="AL68" s="107" t="str">
        <f>IF($B68="","",IF(AND(LEFT($AK68,3)="Yes",SUMPRODUCT(('Rework Log'!$A$3:$A$499=$B68)*('Rework Log'!$G$3:$G$499&lt;&gt;"Yes")*('Rework Log'!$G$3:$G$499&lt;&gt;"Did not pass re-test"))=0),"Blocked - log it on Rework Log",IF(AND(LEFT($AK68,3)&lt;&gt;"Yes",SUMPRODUCT(('Rework Log'!$A$3:$A$499=$B68)*('Rework Log'!$G$3:$G$499&lt;&gt;"Yes")*('Rework Log'!$G$3:$G$499&lt;&gt;"Did not pass re-test"))&gt;0),"Open rework row - mark Blocked? or close it",IF(AND($AK68="Yes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H)",IF(AND($AK68="Yes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H)",IF(AND($AK68="Yes – needs QA to fix",W68&lt;&gt;"",SUMPRODUCT(MAX((('Rework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target",IF(AND(AB68&lt;&gt;"",V68&lt;&gt;"",AB68&lt;V68),"DPO Approval target is before QA target",IF(AND(AH68&lt;&gt;"",AB68&lt;&gt;"",AH68&lt;AB68),"Confirmed Deployed date is before DPO Approval target",""))))))))))))</f>
        <v/>
      </c>
      <c r="AM68" s="108" t="s">
        <v>227</v>
      </c>
      <c r="AN68" s="109" t="str" cm="1">
        <f t="array" ref="AN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68" s="109" t="str" cm="1">
        <f t="array" ref="AO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68" s="128"/>
      <c r="AQ68" s="109"/>
    </row>
    <row r="69" spans="1:43" s="111" customFormat="1" ht="14.4" x14ac:dyDescent="0.3">
      <c r="A69" s="110" t="s">
        <v>126</v>
      </c>
      <c r="B69" s="80" t="s">
        <v>228</v>
      </c>
      <c r="C69" s="110" t="s">
        <v>206</v>
      </c>
      <c r="D69" s="111" t="str" cm="1">
        <f t="array" aca="1" ref="D69" ca="1">IF($B69="","",IF(LEFT($AK69,3)="Yes","Blocked - "&amp;MID($AK69,7,100)&amp;IF(SUMPRODUCT(('Rework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track")),IF(C69="QA",_xlfn.LET(_xlpm.tgt,IF(AN69&lt;&gt;"",AN69,IF(Y69&lt;&gt;"",Y69,V69)),_xlpm.sent,_xlfn.MAXIFS('Rework Log'!$B$3:$B$499,'Rework Log'!$A$3:$A$499,$B69,'Rework Log'!$C$3:$C$499,"QA"),_xlpm.act,IF(AND(W69&lt;&gt;"",W69&gt;_xlpm.sent),W69,""),IF(_xlpm.tgt="","No target set",IF(AND(_xlpm.tgt&lt;TODAY(),_xlpm.act=""),"Overdue","On track"))),IF(C69="DPO Approval",_xlfn.LET(_xlpm.tgt,IF(AO69&lt;&gt;"",AO69,IF(AC69&lt;&gt;"",AC69,AB69)),_xlpm.sent,_xlfn.MAXIFS('Rework Log'!$B$3:$B$499,'Rework Log'!$A$3:$A$499,$B69,'Rework Log'!$C$3:$C$499,"DPO*"),_xlpm.act,IF(AND(AD69&lt;&gt;"",AD69&gt;_xlpm.sent),AD69,""),IF(_xlpm.tgt="","No target set",IF(AND(_xlpm.tgt&lt;TODAY(),_xlpm.act=""),"Overdue","On track"))),IF(C69="RELEASED IN PROD","Delivered",""))))))))</f>
        <v>On track</v>
      </c>
      <c r="E69" s="110">
        <v>45</v>
      </c>
      <c r="F69" s="112" t="s">
        <v>146</v>
      </c>
      <c r="G69" s="110"/>
      <c r="H69" s="113">
        <v>46295</v>
      </c>
      <c r="I69" s="114" t="s">
        <v>198</v>
      </c>
      <c r="J69" s="110" t="s">
        <v>58</v>
      </c>
      <c r="K69" s="115">
        <v>46276</v>
      </c>
      <c r="L69" s="116"/>
      <c r="M69" s="116"/>
      <c r="N69" s="116"/>
      <c r="O69" s="116" t="s">
        <v>199</v>
      </c>
      <c r="P69" s="117" t="s">
        <v>45</v>
      </c>
      <c r="Q69" s="115">
        <v>46286</v>
      </c>
      <c r="R69" s="116"/>
      <c r="S69" s="116"/>
      <c r="T69" s="118" t="s">
        <v>225</v>
      </c>
      <c r="U69" s="110"/>
      <c r="V69" s="119">
        <v>46290</v>
      </c>
      <c r="W69" s="116"/>
      <c r="X69" s="116"/>
      <c r="Y69" s="116"/>
      <c r="Z69" s="116"/>
      <c r="AA69" s="116"/>
      <c r="AB69" s="120">
        <v>46295</v>
      </c>
      <c r="AC69" s="116"/>
      <c r="AD69" s="116"/>
      <c r="AE69" s="80" t="s">
        <v>229</v>
      </c>
      <c r="AF69" s="110" t="s">
        <v>71</v>
      </c>
      <c r="AG69" s="121"/>
      <c r="AH69" s="116"/>
      <c r="AI69" s="122"/>
      <c r="AJ69" s="110"/>
      <c r="AK69" s="123" t="s">
        <v>52</v>
      </c>
      <c r="AL69" s="124" t="str">
        <f>IF($B69="","",IF(AND(LEFT($AK69,3)="Yes",SUMPRODUCT(('Rework Log'!$A$3:$A$499=$B69)*('Rework Log'!$G$3:$G$499&lt;&gt;"Yes")*('Rework Log'!$G$3:$G$499&lt;&gt;"Did not pass re-test"))=0),"Blocked - log it on Rework Log",IF(AND(LEFT($AK69,3)&lt;&gt;"Yes",SUMPRODUCT(('Rework Log'!$A$3:$A$499=$B69)*('Rework Log'!$G$3:$G$499&lt;&gt;"Yes")*('Rework Log'!$G$3:$G$499&lt;&gt;"Did not pass re-test"))&gt;0),"Open rework row - mark Blocked? or close it",IF(AND($AK69="Yes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H)",IF(AND($AK69="Yes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H)",IF(AND($AK69="Yes – needs QA to fix",W69&lt;&gt;"",SUMPRODUCT(MAX((('Rework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target",IF(AND(AB69&lt;&gt;"",V69&lt;&gt;"",AB69&lt;V69),"DPO Approval target is before QA target",IF(AND(AH69&lt;&gt;"",AB69&lt;&gt;"",AH69&lt;AB69),"Confirmed Deployed date is before DPO Approval target",""))))))))))))</f>
        <v/>
      </c>
      <c r="AM69" s="125" t="s">
        <v>230</v>
      </c>
      <c r="AN69" s="126" t="str" cm="1">
        <f t="array" ref="AN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69" s="126" t="str" cm="1">
        <f t="array" ref="AO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69" s="129"/>
      <c r="AQ69" s="126"/>
    </row>
    <row r="70" spans="1:43" ht="14.4" x14ac:dyDescent="0.3">
      <c r="A70" s="33" t="s">
        <v>126</v>
      </c>
      <c r="B70" s="33" t="s">
        <v>231</v>
      </c>
      <c r="C70" s="33" t="s">
        <v>206</v>
      </c>
      <c r="D70" t="str" cm="1">
        <f t="array" aca="1" ref="D70" ca="1">IF($B70="","",IF(LEFT($AK70,3)="Yes","Blocked - "&amp;MID($AK70,7,100)&amp;IF(SUMPRODUCT(('Rework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track")),IF(C70="QA",_xlfn.LET(_xlpm.tgt,IF(AN70&lt;&gt;"",AN70,IF(Y70&lt;&gt;"",Y70,V70)),_xlpm.sent,_xlfn.MAXIFS('Rework Log'!$B$3:$B$499,'Rework Log'!$A$3:$A$499,$B70,'Rework Log'!$C$3:$C$499,"QA"),_xlpm.act,IF(AND(W70&lt;&gt;"",W70&gt;_xlpm.sent),W70,""),IF(_xlpm.tgt="","No target set",IF(AND(_xlpm.tgt&lt;TODAY(),_xlpm.act=""),"Overdue","On track"))),IF(C70="DPO Approval",_xlfn.LET(_xlpm.tgt,IF(AO70&lt;&gt;"",AO70,IF(AC70&lt;&gt;"",AC70,AB70)),_xlpm.sent,_xlfn.MAXIFS('Rework Log'!$B$3:$B$499,'Rework Log'!$A$3:$A$499,$B70,'Rework Log'!$C$3:$C$499,"DPO*"),_xlpm.act,IF(AND(AD70&lt;&gt;"",AD70&gt;_xlpm.sent),AD70,""),IF(_xlpm.tgt="","No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5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3" t="s">
        <v>45</v>
      </c>
      <c r="Q70" s="4">
        <v>46286</v>
      </c>
      <c r="R70" s="36"/>
      <c r="S70" s="36"/>
      <c r="T70" s="69" t="s">
        <v>225</v>
      </c>
      <c r="U70" s="33"/>
      <c r="V70" s="59">
        <v>46290</v>
      </c>
      <c r="W70" s="36"/>
      <c r="X70" s="36"/>
      <c r="Y70" s="36"/>
      <c r="Z70" s="36"/>
      <c r="AA70" s="36"/>
      <c r="AB70" s="52">
        <v>46295</v>
      </c>
      <c r="AC70" s="36"/>
      <c r="AD70" s="36"/>
      <c r="AE70" s="33" t="s">
        <v>194</v>
      </c>
      <c r="AF70" s="33" t="s">
        <v>71</v>
      </c>
      <c r="AG70" s="38"/>
      <c r="AH70" s="36"/>
      <c r="AI70" s="39"/>
      <c r="AJ70" s="33"/>
      <c r="AK70" s="40" t="s">
        <v>52</v>
      </c>
      <c r="AL70" s="73" t="str">
        <f>IF($B70="","",IF(AND(LEFT($AK70,3)="Yes",SUMPRODUCT(('Rework Log'!$A$3:$A$499=$B70)*('Rework Log'!$G$3:$G$499&lt;&gt;"Yes")*('Rework Log'!$G$3:$G$499&lt;&gt;"Did not pass re-test"))=0),"Blocked - log it on Rework Log",IF(AND(LEFT($AK70,3)&lt;&gt;"Yes",SUMPRODUCT(('Rework Log'!$A$3:$A$499=$B70)*('Rework Log'!$G$3:$G$499&lt;&gt;"Yes")*('Rework Log'!$G$3:$G$499&lt;&gt;"Did not pass re-test"))&gt;0),"Open rework row - mark Blocked? or close it",IF(AND($AK70="Yes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H)",IF(AND($AK70="Yes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H)",IF(AND($AK70="Yes – needs QA to fix",W70&lt;&gt;"",SUMPRODUCT(MAX((('Rework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target",IF(AND(AB70&lt;&gt;"",V70&lt;&gt;"",AB70&lt;V70),"DPO Approval target is before QA target",IF(AND(AH70&lt;&gt;"",AB70&lt;&gt;"",AH70&lt;AB70),"Confirmed Deployed date is before DPO Approval target",""))))))))))))</f>
        <v/>
      </c>
      <c r="AM70" s="41"/>
      <c r="AN70" s="32" t="str" cm="1">
        <f t="array" ref="AN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70" s="32" t="str" cm="1">
        <f t="array" ref="AO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70" s="31"/>
      <c r="AQ70" s="32"/>
    </row>
    <row r="71" spans="1:43" ht="14.4" x14ac:dyDescent="0.3">
      <c r="A71" s="33" t="s">
        <v>126</v>
      </c>
      <c r="B71" s="33" t="s">
        <v>232</v>
      </c>
      <c r="C71" s="33" t="s">
        <v>206</v>
      </c>
      <c r="D71" t="str" cm="1">
        <f t="array" aca="1" ref="D71" ca="1">IF($B71="","",IF(LEFT($AK71,3)="Yes","Blocked - "&amp;MID($AK71,7,100)&amp;IF(SUMPRODUCT(('Rework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track")),IF(C71="QA",_xlfn.LET(_xlpm.tgt,IF(AN71&lt;&gt;"",AN71,IF(Y71&lt;&gt;"",Y71,V71)),_xlpm.sent,_xlfn.MAXIFS('Rework Log'!$B$3:$B$499,'Rework Log'!$A$3:$A$499,$B71,'Rework Log'!$C$3:$C$499,"QA"),_xlpm.act,IF(AND(W71&lt;&gt;"",W71&gt;_xlpm.sent),W71,""),IF(_xlpm.tgt="","No target set",IF(AND(_xlpm.tgt&lt;TODAY(),_xlpm.act=""),"Overdue","On track"))),IF(C71="DPO Approval",_xlfn.LET(_xlpm.tgt,IF(AO71&lt;&gt;"",AO71,IF(AC71&lt;&gt;"",AC71,AB71)),_xlpm.sent,_xlfn.MAXIFS('Rework Log'!$B$3:$B$499,'Rework Log'!$A$3:$A$499,$B71,'Rework Log'!$C$3:$C$499,"DPO*"),_xlpm.act,IF(AND(AD71&lt;&gt;"",AD71&gt;_xlpm.sent),AD71,""),IF(_xlpm.tgt="","No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5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3" t="s">
        <v>59</v>
      </c>
      <c r="Q71" s="4">
        <v>46286</v>
      </c>
      <c r="R71" s="36"/>
      <c r="S71" s="36"/>
      <c r="T71" s="69" t="s">
        <v>225</v>
      </c>
      <c r="U71" s="33"/>
      <c r="V71" s="59">
        <v>46290</v>
      </c>
      <c r="W71" s="36"/>
      <c r="X71" s="36"/>
      <c r="Y71" s="36"/>
      <c r="Z71" s="36"/>
      <c r="AA71" s="36"/>
      <c r="AB71" s="52">
        <v>46295</v>
      </c>
      <c r="AC71" s="36"/>
      <c r="AD71" s="36"/>
      <c r="AE71" s="33" t="s">
        <v>233</v>
      </c>
      <c r="AF71" s="33" t="s">
        <v>93</v>
      </c>
      <c r="AG71" s="38"/>
      <c r="AH71" s="36"/>
      <c r="AI71" s="39"/>
      <c r="AJ71" s="33"/>
      <c r="AK71" s="40" t="s">
        <v>52</v>
      </c>
      <c r="AL71" s="73" t="str">
        <f>IF($B71="","",IF(AND(LEFT($AK71,3)="Yes",SUMPRODUCT(('Rework Log'!$A$3:$A$499=$B71)*('Rework Log'!$G$3:$G$499&lt;&gt;"Yes")*('Rework Log'!$G$3:$G$499&lt;&gt;"Did not pass re-test"))=0),"Blocked - log it on Rework Log",IF(AND(LEFT($AK71,3)&lt;&gt;"Yes",SUMPRODUCT(('Rework Log'!$A$3:$A$499=$B71)*('Rework Log'!$G$3:$G$499&lt;&gt;"Yes")*('Rework Log'!$G$3:$G$499&lt;&gt;"Did not pass re-test"))&gt;0),"Open rework row - mark Blocked? or close it",IF(AND($AK71="Yes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H)",IF(AND($AK71="Yes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H)",IF(AND($AK71="Yes – needs QA to fix",W71&lt;&gt;"",SUMPRODUCT(MAX((('Rework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target",IF(AND(AB71&lt;&gt;"",V71&lt;&gt;"",AB71&lt;V71),"DPO Approval target is before QA target",IF(AND(AH71&lt;&gt;"",AB71&lt;&gt;"",AH71&lt;AB71),"Confirmed Deployed date is before DPO Approval target",""))))))))))))</f>
        <v/>
      </c>
      <c r="AM71" s="41"/>
      <c r="AN71" s="32" t="str" cm="1">
        <f t="array" ref="AN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71" s="32" t="str" cm="1">
        <f t="array" ref="AO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71" s="31"/>
      <c r="AQ71" s="32"/>
    </row>
    <row r="72" spans="1:43" ht="14.4" x14ac:dyDescent="0.3">
      <c r="A72" s="33" t="s">
        <v>126</v>
      </c>
      <c r="B72" s="33" t="s">
        <v>234</v>
      </c>
      <c r="C72" s="33" t="s">
        <v>180</v>
      </c>
      <c r="D72" t="str" cm="1">
        <f t="array" aca="1" ref="D72" ca="1">IF($B72="","",IF(LEFT($AK72,3)="Yes","Blocked - "&amp;MID($AK72,7,100)&amp;IF(SUMPRODUCT(('Rework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track")),IF(C72="QA",_xlfn.LET(_xlpm.tgt,IF(AN72&lt;&gt;"",AN72,IF(Y72&lt;&gt;"",Y72,V72)),_xlpm.sent,_xlfn.MAXIFS('Rework Log'!$B$3:$B$499,'Rework Log'!$A$3:$A$499,$B72,'Rework Log'!$C$3:$C$499,"QA"),_xlpm.act,IF(AND(W72&lt;&gt;"",W72&gt;_xlpm.sent),W72,""),IF(_xlpm.tgt="","No target set",IF(AND(_xlpm.tgt&lt;TODAY(),_xlpm.act=""),"Overdue","On track"))),IF(C72="DPO Approval",_xlfn.LET(_xlpm.tgt,IF(AO72&lt;&gt;"",AO72,IF(AC72&lt;&gt;"",AC72,AB72)),_xlpm.sent,_xlfn.MAXIFS('Rework Log'!$B$3:$B$499,'Rework Log'!$A$3:$A$499,$B72,'Rework Log'!$C$3:$C$499,"DPO*"),_xlpm.act,IF(AND(AD72&lt;&gt;"",AD72&gt;_xlpm.sent),AD72,""),IF(_xlpm.tgt="","No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5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3" t="s">
        <v>76</v>
      </c>
      <c r="Q72" s="4">
        <v>46286</v>
      </c>
      <c r="R72" s="36"/>
      <c r="S72" s="36"/>
      <c r="T72" s="69" t="s">
        <v>225</v>
      </c>
      <c r="U72" s="33"/>
      <c r="V72" s="59">
        <v>46290</v>
      </c>
      <c r="W72" s="36"/>
      <c r="X72" s="36"/>
      <c r="Y72" s="36"/>
      <c r="Z72" s="36"/>
      <c r="AA72" s="36"/>
      <c r="AB72" s="52">
        <v>46295</v>
      </c>
      <c r="AC72" s="36"/>
      <c r="AD72" s="36"/>
      <c r="AE72" s="33" t="s">
        <v>175</v>
      </c>
      <c r="AF72" s="33" t="s">
        <v>48</v>
      </c>
      <c r="AG72" s="38"/>
      <c r="AH72" s="36"/>
      <c r="AI72" s="39"/>
      <c r="AJ72" s="33"/>
      <c r="AK72" s="40" t="s">
        <v>52</v>
      </c>
      <c r="AL72" s="73" t="str">
        <f>IF($B72="","",IF(AND(LEFT($AK72,3)="Yes",SUMPRODUCT(('Rework Log'!$A$3:$A$499=$B72)*('Rework Log'!$G$3:$G$499&lt;&gt;"Yes")*('Rework Log'!$G$3:$G$499&lt;&gt;"Did not pass re-test"))=0),"Blocked - log it on Rework Log",IF(AND(LEFT($AK72,3)&lt;&gt;"Yes",SUMPRODUCT(('Rework Log'!$A$3:$A$499=$B72)*('Rework Log'!$G$3:$G$499&lt;&gt;"Yes")*('Rework Log'!$G$3:$G$499&lt;&gt;"Did not pass re-test"))&gt;0),"Open rework row - mark Blocked? or close it",IF(AND($AK72="Yes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H)",IF(AND($AK72="Yes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H)",IF(AND($AK72="Yes – needs QA to fix",W72&lt;&gt;"",SUMPRODUCT(MAX((('Rework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target",IF(AND(AB72&lt;&gt;"",V72&lt;&gt;"",AB72&lt;V72),"DPO Approval target is before QA target",IF(AND(AH72&lt;&gt;"",AB72&lt;&gt;"",AH72&lt;AB72),"Confirmed Deployed date is before DPO Approval target",""))))))))))))</f>
        <v/>
      </c>
      <c r="AM72" s="41"/>
      <c r="AN72" s="32" t="str" cm="1">
        <f t="array" ref="AN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72" s="32" t="str" cm="1">
        <f t="array" ref="AO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72" s="31"/>
      <c r="AQ72" s="32"/>
    </row>
    <row r="73" spans="1:43" ht="14.4" x14ac:dyDescent="0.3">
      <c r="A73" s="78" t="s">
        <v>126</v>
      </c>
      <c r="B73" s="31" t="s">
        <v>235</v>
      </c>
      <c r="C73" s="31" t="s">
        <v>180</v>
      </c>
      <c r="D73" t="str" cm="1">
        <f t="array" aca="1" ref="D73" ca="1">IF($B73="","",IF(LEFT($AK73,3)="Yes","Blocked - "&amp;MID($AK73,7,100)&amp;IF(SUMPRODUCT(('Rework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track")),IF(C73="QA",_xlfn.LET(_xlpm.tgt,IF(AN73&lt;&gt;"",AN73,IF(Y73&lt;&gt;"",Y73,V73)),_xlpm.sent,_xlfn.MAXIFS('Rework Log'!$B$3:$B$499,'Rework Log'!$A$3:$A$499,$B73,'Rework Log'!$C$3:$C$499,"QA"),_xlpm.act,IF(AND(W73&lt;&gt;"",W73&gt;_xlpm.sent),W73,""),IF(_xlpm.tgt="","No target set",IF(AND(_xlpm.tgt&lt;TODAY(),_xlpm.act=""),"Overdue","On track"))),IF(C73="DPO Approval",_xlfn.LET(_xlpm.tgt,IF(AO73&lt;&gt;"",AO73,IF(AC73&lt;&gt;"",AC73,AB73)),_xlpm.sent,_xlfn.MAXIFS('Rework Log'!$B$3:$B$499,'Rework Log'!$A$3:$A$499,$B73,'Rework Log'!$C$3:$C$499,"DPO*"),_xlpm.act,IF(AND(AD73&lt;&gt;"",AD73&gt;_xlpm.sent),AD73,""),IF(_xlpm.tgt="","No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236</v>
      </c>
      <c r="J73" s="31" t="s">
        <v>75</v>
      </c>
      <c r="K73" s="43">
        <v>46304</v>
      </c>
      <c r="L73" s="43">
        <v>46259</v>
      </c>
      <c r="M73" s="47">
        <v>46259</v>
      </c>
      <c r="N73" s="44" t="s">
        <v>44</v>
      </c>
      <c r="O73" s="44" t="s">
        <v>199</v>
      </c>
      <c r="P73" s="66"/>
      <c r="Q73" s="43">
        <v>46313</v>
      </c>
      <c r="R73" s="43"/>
      <c r="S73" s="44"/>
      <c r="T73" s="70" t="s">
        <v>237</v>
      </c>
      <c r="U73" s="31"/>
      <c r="V73" s="28">
        <v>46316</v>
      </c>
      <c r="W73" s="31"/>
      <c r="X73" s="31"/>
      <c r="Y73" s="43"/>
      <c r="Z73" s="31"/>
      <c r="AA73" s="31"/>
      <c r="AB73" s="28">
        <v>46325</v>
      </c>
      <c r="AC73" s="43"/>
      <c r="AD73" s="43"/>
      <c r="AE73" s="31" t="s">
        <v>201</v>
      </c>
      <c r="AF73" s="31" t="s">
        <v>71</v>
      </c>
      <c r="AG73" s="31"/>
      <c r="AH73" s="31"/>
      <c r="AI73" s="31"/>
      <c r="AJ73" s="31"/>
      <c r="AK73" s="31"/>
      <c r="AL73" s="31"/>
      <c r="AM73" s="31"/>
      <c r="AN73" s="32" t="str" cm="1">
        <f t="array" ref="AN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73" s="32" t="str" cm="1">
        <f t="array" ref="AO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73" s="31"/>
      <c r="AQ73" s="32"/>
    </row>
    <row r="74" spans="1:43" ht="14.4" x14ac:dyDescent="0.3">
      <c r="A74" s="31" t="s">
        <v>126</v>
      </c>
      <c r="B74" s="31" t="s">
        <v>238</v>
      </c>
      <c r="C74" s="31" t="s">
        <v>206</v>
      </c>
      <c r="D74" t="str" cm="1">
        <f t="array" aca="1" ref="D74" ca="1">IF($B74="","",IF(LEFT($AK74,3)="Yes","Blocked - "&amp;MID($AK74,7,100)&amp;IF(SUMPRODUCT(('Rework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track")),IF(C74="QA",_xlfn.LET(_xlpm.tgt,IF(AN74&lt;&gt;"",AN74,IF(Y74&lt;&gt;"",Y74,V74)),_xlpm.sent,_xlfn.MAXIFS('Rework Log'!$B$3:$B$499,'Rework Log'!$A$3:$A$499,$B74,'Rework Log'!$C$3:$C$499,"QA"),_xlpm.act,IF(AND(W74&lt;&gt;"",W74&gt;_xlpm.sent),W74,""),IF(_xlpm.tgt="","No target set",IF(AND(_xlpm.tgt&lt;TODAY(),_xlpm.act=""),"Overdue","On track"))),IF(C74="DPO Approval",_xlfn.LET(_xlpm.tgt,IF(AO74&lt;&gt;"",AO74,IF(AC74&lt;&gt;"",AC74,AB74)),_xlpm.sent,_xlfn.MAXIFS('Rework Log'!$B$3:$B$499,'Rework Log'!$A$3:$A$499,$B74,'Rework Log'!$C$3:$C$499,"DPO*"),_xlpm.act,IF(AND(AD74&lt;&gt;"",AD74&gt;_xlpm.sent),AD74,""),IF(_xlpm.tgt="","No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236</v>
      </c>
      <c r="J74" s="54" t="s">
        <v>224</v>
      </c>
      <c r="K74" s="43">
        <v>46304</v>
      </c>
      <c r="L74" s="43"/>
      <c r="M74" s="44"/>
      <c r="N74" s="44"/>
      <c r="O74" s="44" t="s">
        <v>199</v>
      </c>
      <c r="P74" s="75"/>
      <c r="Q74" s="43">
        <v>46313</v>
      </c>
      <c r="R74" s="43"/>
      <c r="S74" s="44"/>
      <c r="T74" s="70" t="s">
        <v>237</v>
      </c>
      <c r="U74" s="47"/>
      <c r="V74" s="28">
        <v>46316</v>
      </c>
      <c r="W74" s="31"/>
      <c r="X74" s="31"/>
      <c r="Y74" s="43"/>
      <c r="Z74" s="31"/>
      <c r="AA74" s="36"/>
      <c r="AB74" s="28">
        <v>46325</v>
      </c>
      <c r="AC74" s="43"/>
      <c r="AD74" s="43"/>
      <c r="AE74" s="31" t="s">
        <v>175</v>
      </c>
      <c r="AF74" s="31" t="s">
        <v>93</v>
      </c>
      <c r="AG74" s="31"/>
      <c r="AH74" s="31"/>
      <c r="AI74" s="31"/>
      <c r="AJ74" s="31"/>
      <c r="AK74" s="31"/>
      <c r="AL74" s="31"/>
      <c r="AM74" s="31"/>
      <c r="AN74" s="32" t="str" cm="1">
        <f t="array" ref="AN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74" s="32" t="str" cm="1">
        <f t="array" ref="AO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74" s="31"/>
      <c r="AQ74" s="32"/>
    </row>
    <row r="75" spans="1:43" ht="14.4" x14ac:dyDescent="0.3">
      <c r="A75" s="31" t="s">
        <v>126</v>
      </c>
      <c r="B75" s="31" t="s">
        <v>239</v>
      </c>
      <c r="C75" s="31" t="s">
        <v>206</v>
      </c>
      <c r="D75" t="str" cm="1">
        <f t="array" aca="1" ref="D75" ca="1">IF($B75="","",IF(LEFT($AK75,3)="Yes","Blocked - "&amp;MID($AK75,7,100)&amp;IF(SUMPRODUCT(('Rework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track")),IF(C75="QA",_xlfn.LET(_xlpm.tgt,IF(AN75&lt;&gt;"",AN75,IF(Y75&lt;&gt;"",Y75,V75)),_xlpm.sent,_xlfn.MAXIFS('Rework Log'!$B$3:$B$499,'Rework Log'!$A$3:$A$499,$B75,'Rework Log'!$C$3:$C$499,"QA"),_xlpm.act,IF(AND(W75&lt;&gt;"",W75&gt;_xlpm.sent),W75,""),IF(_xlpm.tgt="","No target set",IF(AND(_xlpm.tgt&lt;TODAY(),_xlpm.act=""),"Overdue","On track"))),IF(C75="DPO Approval",_xlfn.LET(_xlpm.tgt,IF(AO75&lt;&gt;"",AO75,IF(AC75&lt;&gt;"",AC75,AB75)),_xlpm.sent,_xlfn.MAXIFS('Rework Log'!$B$3:$B$499,'Rework Log'!$A$3:$A$499,$B75,'Rework Log'!$C$3:$C$499,"DPO*"),_xlpm.act,IF(AND(AD75&lt;&gt;"",AD75&gt;_xlpm.sent),AD75,""),IF(_xlpm.tgt="","No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236</v>
      </c>
      <c r="J75" s="54" t="s">
        <v>58</v>
      </c>
      <c r="K75" s="43">
        <v>46304</v>
      </c>
      <c r="L75" s="43"/>
      <c r="M75" s="44"/>
      <c r="N75" s="44"/>
      <c r="O75" s="44" t="s">
        <v>199</v>
      </c>
      <c r="P75" s="75"/>
      <c r="Q75" s="43">
        <v>46313</v>
      </c>
      <c r="R75" s="43"/>
      <c r="S75" s="44"/>
      <c r="T75" s="70" t="s">
        <v>237</v>
      </c>
      <c r="U75" s="47"/>
      <c r="V75" s="28">
        <v>46316</v>
      </c>
      <c r="W75" s="31"/>
      <c r="X75" s="31"/>
      <c r="Y75" s="43"/>
      <c r="Z75" s="31"/>
      <c r="AA75" s="36"/>
      <c r="AB75" s="28">
        <v>46325</v>
      </c>
      <c r="AC75" s="43"/>
      <c r="AD75" s="43"/>
      <c r="AE75" s="31" t="s">
        <v>240</v>
      </c>
      <c r="AF75" s="31" t="s">
        <v>93</v>
      </c>
      <c r="AG75" s="31"/>
      <c r="AH75" s="31"/>
      <c r="AI75" s="31"/>
      <c r="AJ75" s="31"/>
      <c r="AK75" s="31"/>
      <c r="AL75" s="31"/>
      <c r="AM75" s="31"/>
      <c r="AN75" s="32" t="str" cm="1">
        <f t="array" ref="AN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75" s="32" t="str" cm="1">
        <f t="array" ref="AO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75" s="31"/>
      <c r="AQ75" s="32"/>
    </row>
    <row r="76" spans="1:43" ht="14.4" x14ac:dyDescent="0.3">
      <c r="A76" s="31" t="s">
        <v>126</v>
      </c>
      <c r="B76" s="31" t="s">
        <v>241</v>
      </c>
      <c r="C76" s="31" t="s">
        <v>206</v>
      </c>
      <c r="D76" t="str" cm="1">
        <f t="array" aca="1" ref="D76" ca="1">IF($B76="","",IF(LEFT($AK76,3)="Yes","Blocked - "&amp;MID($AK76,7,100)&amp;IF(SUMPRODUCT(('Rework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track")),IF(C76="QA",_xlfn.LET(_xlpm.tgt,IF(AN76&lt;&gt;"",AN76,IF(Y76&lt;&gt;"",Y76,V76)),_xlpm.sent,_xlfn.MAXIFS('Rework Log'!$B$3:$B$499,'Rework Log'!$A$3:$A$499,$B76,'Rework Log'!$C$3:$C$499,"QA"),_xlpm.act,IF(AND(W76&lt;&gt;"",W76&gt;_xlpm.sent),W76,""),IF(_xlpm.tgt="","No target set",IF(AND(_xlpm.tgt&lt;TODAY(),_xlpm.act=""),"Overdue","On track"))),IF(C76="DPO Approval",_xlfn.LET(_xlpm.tgt,IF(AO76&lt;&gt;"",AO76,IF(AC76&lt;&gt;"",AC76,AB76)),_xlpm.sent,_xlfn.MAXIFS('Rework Log'!$B$3:$B$499,'Rework Log'!$A$3:$A$499,$B76,'Rework Log'!$C$3:$C$499,"DPO*"),_xlpm.act,IF(AND(AD76&lt;&gt;"",AD76&gt;_xlpm.sent),AD76,""),IF(_xlpm.tgt="","No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236</v>
      </c>
      <c r="J76" s="54" t="s">
        <v>58</v>
      </c>
      <c r="K76" s="43">
        <v>46304</v>
      </c>
      <c r="L76" s="43"/>
      <c r="M76" s="44"/>
      <c r="N76" s="44"/>
      <c r="O76" s="44" t="s">
        <v>199</v>
      </c>
      <c r="P76" s="75"/>
      <c r="Q76" s="43">
        <v>46313</v>
      </c>
      <c r="R76" s="43"/>
      <c r="S76" s="44"/>
      <c r="T76" s="70" t="s">
        <v>237</v>
      </c>
      <c r="U76" s="47"/>
      <c r="V76" s="28">
        <v>46316</v>
      </c>
      <c r="W76" s="31"/>
      <c r="X76" s="31"/>
      <c r="Y76" s="43"/>
      <c r="Z76" s="31"/>
      <c r="AA76" s="36"/>
      <c r="AB76" s="28">
        <v>46325</v>
      </c>
      <c r="AC76" s="43"/>
      <c r="AD76" s="43"/>
      <c r="AE76" s="31" t="s">
        <v>240</v>
      </c>
      <c r="AF76" s="31" t="s">
        <v>93</v>
      </c>
      <c r="AG76" s="31"/>
      <c r="AH76" s="31"/>
      <c r="AI76" s="31"/>
      <c r="AJ76" s="31"/>
      <c r="AK76" s="31"/>
      <c r="AL76" s="31"/>
      <c r="AM76" s="31"/>
      <c r="AN76" s="32" t="str" cm="1">
        <f t="array" ref="AN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76" s="32" t="str" cm="1">
        <f t="array" ref="AO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76" s="31"/>
      <c r="AQ76" s="32"/>
    </row>
    <row r="77" spans="1:43" ht="14.4" x14ac:dyDescent="0.3">
      <c r="A77" s="31" t="s">
        <v>126</v>
      </c>
      <c r="B77" s="31" t="s">
        <v>242</v>
      </c>
      <c r="C77" s="31" t="s">
        <v>206</v>
      </c>
      <c r="D77" t="str" cm="1">
        <f t="array" aca="1" ref="D77" ca="1">IF($B77="","",IF(LEFT($AK77,3)="Yes","Blocked - "&amp;MID($AK77,7,100)&amp;IF(SUMPRODUCT(('Rework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track")),IF(C77="QA",_xlfn.LET(_xlpm.tgt,IF(AN77&lt;&gt;"",AN77,IF(Y77&lt;&gt;"",Y77,V77)),_xlpm.sent,_xlfn.MAXIFS('Rework Log'!$B$3:$B$499,'Rework Log'!$A$3:$A$499,$B77,'Rework Log'!$C$3:$C$499,"QA"),_xlpm.act,IF(AND(W77&lt;&gt;"",W77&gt;_xlpm.sent),W77,""),IF(_xlpm.tgt="","No target set",IF(AND(_xlpm.tgt&lt;TODAY(),_xlpm.act=""),"Overdue","On track"))),IF(C77="DPO Approval",_xlfn.LET(_xlpm.tgt,IF(AO77&lt;&gt;"",AO77,IF(AC77&lt;&gt;"",AC77,AB77)),_xlpm.sent,_xlfn.MAXIFS('Rework Log'!$B$3:$B$499,'Rework Log'!$A$3:$A$499,$B77,'Rework Log'!$C$3:$C$499,"DPO*"),_xlpm.act,IF(AND(AD77&lt;&gt;"",AD77&gt;_xlpm.sent),AD77,""),IF(_xlpm.tgt="","No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236</v>
      </c>
      <c r="J77" s="54" t="s">
        <v>159</v>
      </c>
      <c r="K77" s="43">
        <v>46304</v>
      </c>
      <c r="L77" s="43"/>
      <c r="M77" s="44"/>
      <c r="N77" s="44"/>
      <c r="O77" s="44" t="s">
        <v>199</v>
      </c>
      <c r="P77" s="75"/>
      <c r="Q77" s="43">
        <v>46313</v>
      </c>
      <c r="R77" s="43"/>
      <c r="S77" s="44"/>
      <c r="T77" s="70" t="s">
        <v>237</v>
      </c>
      <c r="U77" s="47"/>
      <c r="V77" s="28">
        <v>46316</v>
      </c>
      <c r="W77" s="31"/>
      <c r="X77" s="31"/>
      <c r="Y77" s="43"/>
      <c r="Z77" s="31"/>
      <c r="AA77" s="36"/>
      <c r="AB77" s="28">
        <v>46325</v>
      </c>
      <c r="AC77" s="43"/>
      <c r="AD77" s="43"/>
      <c r="AE77" s="31" t="s">
        <v>240</v>
      </c>
      <c r="AF77" s="31" t="s">
        <v>93</v>
      </c>
      <c r="AG77" s="31"/>
      <c r="AH77" s="31"/>
      <c r="AI77" s="31"/>
      <c r="AJ77" s="31"/>
      <c r="AK77" s="31"/>
      <c r="AL77" s="31"/>
      <c r="AM77" s="31"/>
      <c r="AN77" s="32" t="str" cm="1">
        <f t="array" ref="AN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77" s="32" t="str" cm="1">
        <f t="array" ref="AO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77" s="31"/>
      <c r="AQ77" s="32"/>
    </row>
    <row r="78" spans="1:43" ht="14.4" x14ac:dyDescent="0.3">
      <c r="A78" s="31" t="s">
        <v>126</v>
      </c>
      <c r="B78" s="31" t="s">
        <v>243</v>
      </c>
      <c r="C78" s="31" t="s">
        <v>206</v>
      </c>
      <c r="D78" t="str" cm="1">
        <f t="array" aca="1" ref="D78" ca="1">IF($B78="","",IF(LEFT($AK78,3)="Yes","Blocked - "&amp;MID($AK78,7,100)&amp;IF(SUMPRODUCT(('Rework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track")),IF(C78="QA",_xlfn.LET(_xlpm.tgt,IF(AN78&lt;&gt;"",AN78,IF(Y78&lt;&gt;"",Y78,V78)),_xlpm.sent,_xlfn.MAXIFS('Rework Log'!$B$3:$B$499,'Rework Log'!$A$3:$A$499,$B78,'Rework Log'!$C$3:$C$499,"QA"),_xlpm.act,IF(AND(W78&lt;&gt;"",W78&gt;_xlpm.sent),W78,""),IF(_xlpm.tgt="","No target set",IF(AND(_xlpm.tgt&lt;TODAY(),_xlpm.act=""),"Overdue","On track"))),IF(C78="DPO Approval",_xlfn.LET(_xlpm.tgt,IF(AO78&lt;&gt;"",AO78,IF(AC78&lt;&gt;"",AC78,AB78)),_xlpm.sent,_xlfn.MAXIFS('Rework Log'!$B$3:$B$499,'Rework Log'!$A$3:$A$499,$B78,'Rework Log'!$C$3:$C$499,"DPO*"),_xlpm.act,IF(AND(AD78&lt;&gt;"",AD78&gt;_xlpm.sent),AD78,""),IF(_xlpm.tgt="","No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236</v>
      </c>
      <c r="J78" s="54" t="s">
        <v>43</v>
      </c>
      <c r="K78" s="43">
        <v>46304</v>
      </c>
      <c r="L78" s="43"/>
      <c r="M78" s="44"/>
      <c r="N78" s="44"/>
      <c r="O78" s="44" t="s">
        <v>244</v>
      </c>
      <c r="P78" s="75"/>
      <c r="Q78" s="43">
        <v>46313</v>
      </c>
      <c r="R78" s="43"/>
      <c r="S78" s="44"/>
      <c r="T78" s="70" t="s">
        <v>237</v>
      </c>
      <c r="U78" s="47"/>
      <c r="V78" s="28">
        <v>46316</v>
      </c>
      <c r="W78" s="31"/>
      <c r="X78" s="31"/>
      <c r="Y78" s="43"/>
      <c r="Z78" s="31"/>
      <c r="AA78" s="36"/>
      <c r="AB78" s="28">
        <v>46325</v>
      </c>
      <c r="AC78" s="43"/>
      <c r="AD78" s="43"/>
      <c r="AE78" s="31" t="s">
        <v>191</v>
      </c>
      <c r="AF78" s="31" t="s">
        <v>93</v>
      </c>
      <c r="AG78" s="31"/>
      <c r="AH78" s="31"/>
      <c r="AI78" s="31"/>
      <c r="AJ78" s="31"/>
      <c r="AK78" s="31"/>
      <c r="AL78" s="31"/>
      <c r="AM78" s="31"/>
      <c r="AN78" s="32" t="str" cm="1">
        <f t="array" ref="AN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78" s="32" t="str" cm="1">
        <f t="array" ref="AO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78" s="31"/>
      <c r="AQ78" s="32"/>
    </row>
    <row r="79" spans="1:43" ht="14.4" x14ac:dyDescent="0.3">
      <c r="A79" s="31" t="s">
        <v>126</v>
      </c>
      <c r="B79" s="31" t="s">
        <v>245</v>
      </c>
      <c r="C79" s="31" t="s">
        <v>206</v>
      </c>
      <c r="D79" t="str" cm="1">
        <f t="array" aca="1" ref="D79" ca="1">IF($B79="","",IF(LEFT($AK79,3)="Yes","Blocked - "&amp;MID($AK79,7,100)&amp;IF(SUMPRODUCT(('Rework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track")),IF(C79="QA",_xlfn.LET(_xlpm.tgt,IF(AN79&lt;&gt;"",AN79,IF(Y79&lt;&gt;"",Y79,V79)),_xlpm.sent,_xlfn.MAXIFS('Rework Log'!$B$3:$B$499,'Rework Log'!$A$3:$A$499,$B79,'Rework Log'!$C$3:$C$499,"QA"),_xlpm.act,IF(AND(W79&lt;&gt;"",W79&gt;_xlpm.sent),W79,""),IF(_xlpm.tgt="","No target set",IF(AND(_xlpm.tgt&lt;TODAY(),_xlpm.act=""),"Overdue","On track"))),IF(C79="DPO Approval",_xlfn.LET(_xlpm.tgt,IF(AO79&lt;&gt;"",AO79,IF(AC79&lt;&gt;"",AC79,AB79)),_xlpm.sent,_xlfn.MAXIFS('Rework Log'!$B$3:$B$499,'Rework Log'!$A$3:$A$499,$B79,'Rework Log'!$C$3:$C$499,"DPO*"),_xlpm.act,IF(AND(AD79&lt;&gt;"",AD79&gt;_xlpm.sent),AD79,""),IF(_xlpm.tgt="","No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6" t="s">
        <v>236</v>
      </c>
      <c r="J79" s="54" t="s">
        <v>75</v>
      </c>
      <c r="K79" s="43">
        <v>46304</v>
      </c>
      <c r="L79" s="43"/>
      <c r="M79" s="44"/>
      <c r="N79" s="44"/>
      <c r="O79" s="44" t="s">
        <v>199</v>
      </c>
      <c r="P79" s="75"/>
      <c r="Q79" s="43">
        <v>46313</v>
      </c>
      <c r="R79" s="43"/>
      <c r="S79" s="44"/>
      <c r="T79" s="70" t="s">
        <v>237</v>
      </c>
      <c r="U79" s="47"/>
      <c r="V79" s="28">
        <v>46316</v>
      </c>
      <c r="W79" s="31"/>
      <c r="X79" s="31"/>
      <c r="Y79" s="43"/>
      <c r="Z79" s="31"/>
      <c r="AA79" s="36"/>
      <c r="AB79" s="28">
        <v>46325</v>
      </c>
      <c r="AC79" s="43"/>
      <c r="AD79" s="43"/>
      <c r="AE79" s="31" t="s">
        <v>246</v>
      </c>
      <c r="AF79" s="31" t="s">
        <v>93</v>
      </c>
      <c r="AG79" s="31"/>
      <c r="AH79" s="31"/>
      <c r="AI79" s="31"/>
      <c r="AJ79" s="31"/>
      <c r="AK79" s="31"/>
      <c r="AL79" s="31"/>
      <c r="AM79" s="31"/>
      <c r="AN79" s="32" t="str" cm="1">
        <f t="array" ref="AN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79" s="32" t="str" cm="1">
        <f t="array" ref="AO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79" s="31"/>
      <c r="AQ79" s="32"/>
    </row>
    <row r="80" spans="1:43" ht="14.4" x14ac:dyDescent="0.3">
      <c r="A80" s="31" t="s">
        <v>126</v>
      </c>
      <c r="B80" s="31" t="s">
        <v>247</v>
      </c>
      <c r="C80" s="31" t="s">
        <v>206</v>
      </c>
      <c r="D80" t="str" cm="1">
        <f t="array" aca="1" ref="D80" ca="1">IF($B80="","",IF(LEFT($AK80,3)="Yes","Blocked - "&amp;MID($AK80,7,100)&amp;IF(SUMPRODUCT(('Rework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track")),IF(C80="QA",_xlfn.LET(_xlpm.tgt,IF(AN80&lt;&gt;"",AN80,IF(Y80&lt;&gt;"",Y80,V80)),_xlpm.sent,_xlfn.MAXIFS('Rework Log'!$B$3:$B$499,'Rework Log'!$A$3:$A$499,$B80,'Rework Log'!$C$3:$C$499,"QA"),_xlpm.act,IF(AND(W80&lt;&gt;"",W80&gt;_xlpm.sent),W80,""),IF(_xlpm.tgt="","No target set",IF(AND(_xlpm.tgt&lt;TODAY(),_xlpm.act=""),"Overdue","On track"))),IF(C80="DPO Approval",_xlfn.LET(_xlpm.tgt,IF(AO80&lt;&gt;"",AO80,IF(AC80&lt;&gt;"",AC80,AB80)),_xlpm.sent,_xlfn.MAXIFS('Rework Log'!$B$3:$B$499,'Rework Log'!$A$3:$A$499,$B80,'Rework Log'!$C$3:$C$499,"DPO*"),_xlpm.act,IF(AND(AD80&lt;&gt;"",AD80&gt;_xlpm.sent),AD80,""),IF(_xlpm.tgt="","No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236</v>
      </c>
      <c r="J80" s="54" t="s">
        <v>248</v>
      </c>
      <c r="K80" s="43">
        <v>46304</v>
      </c>
      <c r="L80" s="43"/>
      <c r="M80" s="44"/>
      <c r="N80" s="44"/>
      <c r="O80" s="44" t="s">
        <v>244</v>
      </c>
      <c r="P80" s="75"/>
      <c r="Q80" s="43">
        <v>46313</v>
      </c>
      <c r="R80" s="43"/>
      <c r="S80" s="44"/>
      <c r="T80" s="70" t="s">
        <v>237</v>
      </c>
      <c r="U80" s="47"/>
      <c r="V80" s="28">
        <v>46316</v>
      </c>
      <c r="W80" s="31"/>
      <c r="X80" s="31"/>
      <c r="Y80" s="43"/>
      <c r="Z80" s="31"/>
      <c r="AA80" s="36"/>
      <c r="AB80" s="28">
        <v>46325</v>
      </c>
      <c r="AC80" s="43"/>
      <c r="AD80" s="43"/>
      <c r="AE80" s="31" t="s">
        <v>210</v>
      </c>
      <c r="AF80" s="31" t="s">
        <v>93</v>
      </c>
      <c r="AG80" s="31"/>
      <c r="AH80" s="31"/>
      <c r="AI80" s="31"/>
      <c r="AJ80" s="31"/>
      <c r="AK80" s="31"/>
      <c r="AL80" s="31"/>
      <c r="AM80" s="31"/>
      <c r="AN80" s="32" t="str" cm="1">
        <f t="array" ref="AN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80" s="32" t="str" cm="1">
        <f t="array" ref="AO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80" s="31"/>
      <c r="AQ80" s="32"/>
    </row>
    <row r="81" spans="1:43" ht="14.4" x14ac:dyDescent="0.3">
      <c r="A81" s="31" t="s">
        <v>126</v>
      </c>
      <c r="B81" s="31" t="s">
        <v>249</v>
      </c>
      <c r="C81" s="31" t="s">
        <v>206</v>
      </c>
      <c r="D81" t="str" cm="1">
        <f t="array" aca="1" ref="D81" ca="1">IF($B81="","",IF(LEFT($AK81,3)="Yes","Blocked - "&amp;MID($AK81,7,100)&amp;IF(SUMPRODUCT(('Rework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track")),IF(C81="QA",_xlfn.LET(_xlpm.tgt,IF(AN81&lt;&gt;"",AN81,IF(Y81&lt;&gt;"",Y81,V81)),_xlpm.sent,_xlfn.MAXIFS('Rework Log'!$B$3:$B$499,'Rework Log'!$A$3:$A$499,$B81,'Rework Log'!$C$3:$C$499,"QA"),_xlpm.act,IF(AND(W81&lt;&gt;"",W81&gt;_xlpm.sent),W81,""),IF(_xlpm.tgt="","No target set",IF(AND(_xlpm.tgt&lt;TODAY(),_xlpm.act=""),"Overdue","On track"))),IF(C81="DPO Approval",_xlfn.LET(_xlpm.tgt,IF(AO81&lt;&gt;"",AO81,IF(AC81&lt;&gt;"",AC81,AB81)),_xlpm.sent,_xlfn.MAXIFS('Rework Log'!$B$3:$B$499,'Rework Log'!$A$3:$A$499,$B81,'Rework Log'!$C$3:$C$499,"DPO*"),_xlpm.act,IF(AND(AD81&lt;&gt;"",AD81&gt;_xlpm.sent),AD81,""),IF(_xlpm.tgt="","No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236</v>
      </c>
      <c r="J81" s="54" t="s">
        <v>248</v>
      </c>
      <c r="K81" s="43">
        <v>46304</v>
      </c>
      <c r="L81" s="43"/>
      <c r="M81" s="44"/>
      <c r="N81" s="44"/>
      <c r="O81" s="44" t="s">
        <v>244</v>
      </c>
      <c r="P81" s="75"/>
      <c r="Q81" s="43">
        <v>46313</v>
      </c>
      <c r="R81" s="43"/>
      <c r="S81" s="44"/>
      <c r="T81" s="69" t="s">
        <v>250</v>
      </c>
      <c r="U81" s="47"/>
      <c r="V81" s="28">
        <v>46316</v>
      </c>
      <c r="W81" s="31"/>
      <c r="X81" s="31"/>
      <c r="Y81" s="43"/>
      <c r="Z81" s="31"/>
      <c r="AA81" s="36"/>
      <c r="AB81" s="28">
        <v>46325</v>
      </c>
      <c r="AC81" s="43"/>
      <c r="AD81" s="43"/>
      <c r="AE81" s="31" t="s">
        <v>218</v>
      </c>
      <c r="AF81" s="31" t="s">
        <v>93</v>
      </c>
      <c r="AG81" s="31"/>
      <c r="AH81" s="31"/>
      <c r="AI81" s="31"/>
      <c r="AJ81" s="31"/>
      <c r="AK81" s="31"/>
      <c r="AL81" s="31"/>
      <c r="AM81" s="31"/>
      <c r="AN81" s="32" t="str" cm="1">
        <f t="array" ref="AN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81" s="32" t="str" cm="1">
        <f t="array" ref="AO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81" s="31"/>
      <c r="AQ81" s="32"/>
    </row>
    <row r="82" spans="1:43" ht="14.4" x14ac:dyDescent="0.3">
      <c r="A82" s="31" t="s">
        <v>126</v>
      </c>
      <c r="B82" s="31" t="s">
        <v>251</v>
      </c>
      <c r="C82" s="31" t="s">
        <v>206</v>
      </c>
      <c r="D82" t="str" cm="1">
        <f t="array" aca="1" ref="D82" ca="1">IF($B82="","",IF(LEFT($AK82,3)="Yes","Blocked - "&amp;MID($AK82,7,100)&amp;IF(SUMPRODUCT(('Rework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track")),IF(C82="QA",_xlfn.LET(_xlpm.tgt,IF(AN82&lt;&gt;"",AN82,IF(Y82&lt;&gt;"",Y82,V82)),_xlpm.sent,_xlfn.MAXIFS('Rework Log'!$B$3:$B$499,'Rework Log'!$A$3:$A$499,$B82,'Rework Log'!$C$3:$C$499,"QA"),_xlpm.act,IF(AND(W82&lt;&gt;"",W82&gt;_xlpm.sent),W82,""),IF(_xlpm.tgt="","No target set",IF(AND(_xlpm.tgt&lt;TODAY(),_xlpm.act=""),"Overdue","On track"))),IF(C82="DPO Approval",_xlfn.LET(_xlpm.tgt,IF(AO82&lt;&gt;"",AO82,IF(AC82&lt;&gt;"",AC82,AB82)),_xlpm.sent,_xlfn.MAXIFS('Rework Log'!$B$3:$B$499,'Rework Log'!$A$3:$A$499,$B82,'Rework Log'!$C$3:$C$499,"DPO*"),_xlpm.act,IF(AND(AD82&lt;&gt;"",AD82&gt;_xlpm.sent),AD82,""),IF(_xlpm.tgt="","No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236</v>
      </c>
      <c r="J82" s="54"/>
      <c r="K82" s="43">
        <v>46304</v>
      </c>
      <c r="L82" s="43"/>
      <c r="M82" s="44"/>
      <c r="N82" s="44"/>
      <c r="O82" s="36" t="s">
        <v>252</v>
      </c>
      <c r="P82" s="75"/>
      <c r="Q82" s="43">
        <v>46313</v>
      </c>
      <c r="R82" s="43"/>
      <c r="S82" s="44"/>
      <c r="T82" s="69" t="s">
        <v>250</v>
      </c>
      <c r="U82" s="47"/>
      <c r="V82" s="28">
        <v>46316</v>
      </c>
      <c r="W82" s="31"/>
      <c r="X82" s="31"/>
      <c r="Y82" s="43"/>
      <c r="Z82" s="31"/>
      <c r="AA82" s="36"/>
      <c r="AB82" s="28">
        <v>46325</v>
      </c>
      <c r="AC82" s="43"/>
      <c r="AD82" s="43"/>
      <c r="AE82" s="31" t="s">
        <v>253</v>
      </c>
      <c r="AF82" s="31" t="s">
        <v>93</v>
      </c>
      <c r="AG82" s="31"/>
      <c r="AH82" s="31"/>
      <c r="AI82" s="31"/>
      <c r="AJ82" s="31"/>
      <c r="AK82" s="31"/>
      <c r="AL82" s="31"/>
      <c r="AM82" s="31"/>
      <c r="AN82" s="32" t="str" cm="1">
        <f t="array" ref="AN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82" s="32" t="str" cm="1">
        <f t="array" ref="AO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82" s="31"/>
      <c r="AQ82" s="32"/>
    </row>
    <row r="83" spans="1:43" ht="14.4" x14ac:dyDescent="0.3">
      <c r="A83" s="31" t="s">
        <v>126</v>
      </c>
      <c r="B83" s="31" t="s">
        <v>254</v>
      </c>
      <c r="C83" s="31" t="s">
        <v>206</v>
      </c>
      <c r="D83" t="str" cm="1">
        <f t="array" aca="1" ref="D83" ca="1">IF($B83="","",IF(LEFT($AK83,3)="Yes","Blocked - "&amp;MID($AK83,7,100)&amp;IF(SUMPRODUCT(('Rework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track")),IF(C83="QA",_xlfn.LET(_xlpm.tgt,IF(AN83&lt;&gt;"",AN83,IF(Y83&lt;&gt;"",Y83,V83)),_xlpm.sent,_xlfn.MAXIFS('Rework Log'!$B$3:$B$499,'Rework Log'!$A$3:$A$499,$B83,'Rework Log'!$C$3:$C$499,"QA"),_xlpm.act,IF(AND(W83&lt;&gt;"",W83&gt;_xlpm.sent),W83,""),IF(_xlpm.tgt="","No target set",IF(AND(_xlpm.tgt&lt;TODAY(),_xlpm.act=""),"Overdue","On track"))),IF(C83="DPO Approval",_xlfn.LET(_xlpm.tgt,IF(AO83&lt;&gt;"",AO83,IF(AC83&lt;&gt;"",AC83,AB83)),_xlpm.sent,_xlfn.MAXIFS('Rework Log'!$B$3:$B$499,'Rework Log'!$A$3:$A$499,$B83,'Rework Log'!$C$3:$C$499,"DPO*"),_xlpm.act,IF(AND(AD83&lt;&gt;"",AD83&gt;_xlpm.sent),AD83,""),IF(_xlpm.tgt="","No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236</v>
      </c>
      <c r="J83" s="54"/>
      <c r="K83" s="43">
        <v>46304</v>
      </c>
      <c r="L83" s="43"/>
      <c r="M83" s="44"/>
      <c r="N83" s="44"/>
      <c r="O83" s="36" t="s">
        <v>252</v>
      </c>
      <c r="P83" s="75"/>
      <c r="Q83" s="43">
        <v>46313</v>
      </c>
      <c r="R83" s="43"/>
      <c r="S83" s="44"/>
      <c r="T83" s="69" t="s">
        <v>250</v>
      </c>
      <c r="U83" s="47"/>
      <c r="V83" s="28">
        <v>46316</v>
      </c>
      <c r="W83" s="31"/>
      <c r="X83" s="31"/>
      <c r="Y83" s="43"/>
      <c r="Z83" s="31"/>
      <c r="AA83" s="36"/>
      <c r="AB83" s="28">
        <v>46325</v>
      </c>
      <c r="AC83" s="43"/>
      <c r="AD83" s="43"/>
      <c r="AE83" s="31" t="s">
        <v>255</v>
      </c>
      <c r="AF83" s="31" t="s">
        <v>93</v>
      </c>
      <c r="AG83" s="31"/>
      <c r="AH83" s="31"/>
      <c r="AI83" s="31"/>
      <c r="AJ83" s="31"/>
      <c r="AK83" s="31"/>
      <c r="AL83" s="31"/>
      <c r="AM83" s="31"/>
      <c r="AN83" s="32" t="str" cm="1">
        <f t="array" ref="AN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83" s="32" t="str" cm="1">
        <f t="array" ref="AO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83" s="31"/>
      <c r="AQ83" s="32"/>
    </row>
    <row r="84" spans="1:43" ht="14.4" x14ac:dyDescent="0.3">
      <c r="A84" s="31" t="s">
        <v>126</v>
      </c>
      <c r="B84" s="31" t="s">
        <v>256</v>
      </c>
      <c r="C84" s="31" t="s">
        <v>206</v>
      </c>
      <c r="D84" t="str" cm="1">
        <f t="array" aca="1" ref="D84" ca="1">IF($B84="","",IF(LEFT($AK84,3)="Yes","Blocked - "&amp;MID($AK84,7,100)&amp;IF(SUMPRODUCT(('Rework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track")),IF(C84="QA",_xlfn.LET(_xlpm.tgt,IF(AN84&lt;&gt;"",AN84,IF(Y84&lt;&gt;"",Y84,V84)),_xlpm.sent,_xlfn.MAXIFS('Rework Log'!$B$3:$B$499,'Rework Log'!$A$3:$A$499,$B84,'Rework Log'!$C$3:$C$499,"QA"),_xlpm.act,IF(AND(W84&lt;&gt;"",W84&gt;_xlpm.sent),W84,""),IF(_xlpm.tgt="","No target set",IF(AND(_xlpm.tgt&lt;TODAY(),_xlpm.act=""),"Overdue","On track"))),IF(C84="DPO Approval",_xlfn.LET(_xlpm.tgt,IF(AO84&lt;&gt;"",AO84,IF(AC84&lt;&gt;"",AC84,AB84)),_xlpm.sent,_xlfn.MAXIFS('Rework Log'!$B$3:$B$499,'Rework Log'!$A$3:$A$499,$B84,'Rework Log'!$C$3:$C$499,"DPO*"),_xlpm.act,IF(AND(AD84&lt;&gt;"",AD84&gt;_xlpm.sent),AD84,""),IF(_xlpm.tgt="","No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236</v>
      </c>
      <c r="J84" s="54"/>
      <c r="K84" s="43">
        <v>46304</v>
      </c>
      <c r="L84" s="43"/>
      <c r="M84" s="44"/>
      <c r="N84" s="44"/>
      <c r="O84" s="36" t="s">
        <v>252</v>
      </c>
      <c r="P84" s="75"/>
      <c r="Q84" s="43">
        <v>46313</v>
      </c>
      <c r="R84" s="43"/>
      <c r="S84" s="44"/>
      <c r="T84" s="69" t="s">
        <v>250</v>
      </c>
      <c r="U84" s="47"/>
      <c r="V84" s="28">
        <v>46316</v>
      </c>
      <c r="W84" s="31"/>
      <c r="X84" s="31"/>
      <c r="Y84" s="43"/>
      <c r="Z84" s="31"/>
      <c r="AA84" s="36"/>
      <c r="AB84" s="28">
        <v>46325</v>
      </c>
      <c r="AC84" s="43"/>
      <c r="AD84" s="43"/>
      <c r="AE84" s="31" t="s">
        <v>194</v>
      </c>
      <c r="AF84" s="31" t="s">
        <v>71</v>
      </c>
      <c r="AG84" s="31"/>
      <c r="AH84" s="31"/>
      <c r="AI84" s="31"/>
      <c r="AJ84" s="31"/>
      <c r="AK84" s="31"/>
      <c r="AL84" s="31"/>
      <c r="AM84" s="31"/>
      <c r="AN84" s="32" t="str" cm="1">
        <f t="array" ref="AN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84" s="32" t="str" cm="1">
        <f t="array" ref="AO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84" s="31"/>
      <c r="AQ84" s="32"/>
    </row>
    <row r="85" spans="1:43" ht="14.4" x14ac:dyDescent="0.3">
      <c r="A85" s="31" t="s">
        <v>126</v>
      </c>
      <c r="B85" s="31" t="s">
        <v>257</v>
      </c>
      <c r="C85" s="31" t="s">
        <v>206</v>
      </c>
      <c r="D85" t="str" cm="1">
        <f t="array" aca="1" ref="D85" ca="1">IF($B85="","",IF(LEFT($AK85,3)="Yes","Blocked - "&amp;MID($AK85,7,100)&amp;IF(SUMPRODUCT(('Rework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track")),IF(C85="QA",_xlfn.LET(_xlpm.tgt,IF(AN85&lt;&gt;"",AN85,IF(Y85&lt;&gt;"",Y85,V85)),_xlpm.sent,_xlfn.MAXIFS('Rework Log'!$B$3:$B$499,'Rework Log'!$A$3:$A$499,$B85,'Rework Log'!$C$3:$C$499,"QA"),_xlpm.act,IF(AND(W85&lt;&gt;"",W85&gt;_xlpm.sent),W85,""),IF(_xlpm.tgt="","No target set",IF(AND(_xlpm.tgt&lt;TODAY(),_xlpm.act=""),"Overdue","On track"))),IF(C85="DPO Approval",_xlfn.LET(_xlpm.tgt,IF(AO85&lt;&gt;"",AO85,IF(AC85&lt;&gt;"",AC85,AB85)),_xlpm.sent,_xlfn.MAXIFS('Rework Log'!$B$3:$B$499,'Rework Log'!$A$3:$A$499,$B85,'Rework Log'!$C$3:$C$499,"DPO*"),_xlpm.act,IF(AND(AD85&lt;&gt;"",AD85&gt;_xlpm.sent),AD85,""),IF(_xlpm.tgt="","No target set",IF(AND(_xlpm.tgt&lt;TODAY(),_xlpm.act=""),"Overdue","On track"))),IF(C85="RELEASED IN PROD","Delivered",""))))))))</f>
        <v>On track</v>
      </c>
      <c r="E85" s="31" t="s">
        <v>258</v>
      </c>
      <c r="F85" s="31"/>
      <c r="G85" s="31"/>
      <c r="H85" s="50">
        <v>46325</v>
      </c>
      <c r="I85" s="56" t="s">
        <v>236</v>
      </c>
      <c r="J85" s="54"/>
      <c r="K85" s="43">
        <v>46304</v>
      </c>
      <c r="L85" s="43"/>
      <c r="M85" s="44"/>
      <c r="N85" s="44"/>
      <c r="O85" s="36" t="s">
        <v>259</v>
      </c>
      <c r="P85" s="75"/>
      <c r="Q85" s="43">
        <v>46313</v>
      </c>
      <c r="R85" s="43"/>
      <c r="S85" s="44"/>
      <c r="T85" s="69" t="s">
        <v>250</v>
      </c>
      <c r="U85" s="47"/>
      <c r="V85" s="28">
        <v>46316</v>
      </c>
      <c r="W85" s="31"/>
      <c r="X85" s="31"/>
      <c r="Y85" s="43"/>
      <c r="Z85" s="31"/>
      <c r="AA85" s="36"/>
      <c r="AB85" s="28">
        <v>46325</v>
      </c>
      <c r="AC85" s="43"/>
      <c r="AD85" s="43"/>
      <c r="AE85" s="31" t="s">
        <v>191</v>
      </c>
      <c r="AF85" s="31" t="s">
        <v>93</v>
      </c>
      <c r="AG85" s="31"/>
      <c r="AH85" s="31"/>
      <c r="AI85" s="31"/>
      <c r="AJ85" s="31"/>
      <c r="AK85" s="31"/>
      <c r="AL85" s="31"/>
      <c r="AM85" s="31"/>
      <c r="AN85" s="32" t="str" cm="1">
        <f t="array" ref="AN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85" s="32" t="str" cm="1">
        <f t="array" ref="AO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85" s="31"/>
      <c r="AQ85" s="32"/>
    </row>
    <row r="86" spans="1:43" ht="14.4" x14ac:dyDescent="0.3">
      <c r="A86" s="31" t="s">
        <v>126</v>
      </c>
      <c r="B86" s="31" t="s">
        <v>260</v>
      </c>
      <c r="C86" s="31" t="s">
        <v>206</v>
      </c>
      <c r="D86" t="str" cm="1">
        <f t="array" aca="1" ref="D86" ca="1">IF($B86="","",IF(LEFT($AK86,3)="Yes","Blocked - "&amp;MID($AK86,7,100)&amp;IF(SUMPRODUCT(('Rework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track")),IF(C86="QA",_xlfn.LET(_xlpm.tgt,IF(AN86&lt;&gt;"",AN86,IF(Y86&lt;&gt;"",Y86,V86)),_xlpm.sent,_xlfn.MAXIFS('Rework Log'!$B$3:$B$499,'Rework Log'!$A$3:$A$499,$B86,'Rework Log'!$C$3:$C$499,"QA"),_xlpm.act,IF(AND(W86&lt;&gt;"",W86&gt;_xlpm.sent),W86,""),IF(_xlpm.tgt="","No target set",IF(AND(_xlpm.tgt&lt;TODAY(),_xlpm.act=""),"Overdue","On track"))),IF(C86="DPO Approval",_xlfn.LET(_xlpm.tgt,IF(AO86&lt;&gt;"",AO86,IF(AC86&lt;&gt;"",AC86,AB86)),_xlpm.sent,_xlfn.MAXIFS('Rework Log'!$B$3:$B$499,'Rework Log'!$A$3:$A$499,$B86,'Rework Log'!$C$3:$C$499,"DPO*"),_xlpm.act,IF(AND(AD86&lt;&gt;"",AD86&gt;_xlpm.sent),AD86,""),IF(_xlpm.tgt="","No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261</v>
      </c>
      <c r="J86" s="54"/>
      <c r="K86" s="50">
        <v>46332</v>
      </c>
      <c r="L86" s="43"/>
      <c r="M86" s="44"/>
      <c r="N86" s="44"/>
      <c r="O86" s="36" t="s">
        <v>259</v>
      </c>
      <c r="P86" s="75"/>
      <c r="Q86" s="50">
        <v>46339</v>
      </c>
      <c r="R86" s="43"/>
      <c r="S86" s="44"/>
      <c r="T86" s="69" t="s">
        <v>250</v>
      </c>
      <c r="U86" s="47"/>
      <c r="V86" s="28">
        <v>46344</v>
      </c>
      <c r="W86" s="31"/>
      <c r="X86" s="31"/>
      <c r="Y86" s="43"/>
      <c r="Z86" s="31"/>
      <c r="AA86" s="36"/>
      <c r="AB86" s="28">
        <v>46356</v>
      </c>
      <c r="AC86" s="43"/>
      <c r="AD86" s="43"/>
      <c r="AE86" s="31" t="s">
        <v>262</v>
      </c>
      <c r="AF86" s="31" t="s">
        <v>48</v>
      </c>
      <c r="AG86" s="31"/>
      <c r="AH86" s="31"/>
      <c r="AI86" s="31"/>
      <c r="AJ86" s="31"/>
      <c r="AK86" s="31"/>
      <c r="AL86" s="31"/>
      <c r="AM86" s="31"/>
      <c r="AN86" s="32" t="str" cm="1">
        <f t="array" ref="AN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86" s="32" t="str" cm="1">
        <f t="array" ref="AO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86" s="31"/>
      <c r="AQ86" s="32"/>
    </row>
    <row r="87" spans="1:43" ht="14.4" x14ac:dyDescent="0.3">
      <c r="A87" s="31" t="s">
        <v>126</v>
      </c>
      <c r="B87" s="31" t="s">
        <v>263</v>
      </c>
      <c r="C87" s="31" t="s">
        <v>206</v>
      </c>
      <c r="D87" t="str" cm="1">
        <f t="array" aca="1" ref="D87" ca="1">IF($B87="","",IF(LEFT($AK87,3)="Yes","Blocked - "&amp;MID($AK87,7,100)&amp;IF(SUMPRODUCT(('Rework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track")),IF(C87="QA",_xlfn.LET(_xlpm.tgt,IF(AN87&lt;&gt;"",AN87,IF(Y87&lt;&gt;"",Y87,V87)),_xlpm.sent,_xlfn.MAXIFS('Rework Log'!$B$3:$B$499,'Rework Log'!$A$3:$A$499,$B87,'Rework Log'!$C$3:$C$499,"QA"),_xlpm.act,IF(AND(W87&lt;&gt;"",W87&gt;_xlpm.sent),W87,""),IF(_xlpm.tgt="","No target set",IF(AND(_xlpm.tgt&lt;TODAY(),_xlpm.act=""),"Overdue","On track"))),IF(C87="DPO Approval",_xlfn.LET(_xlpm.tgt,IF(AO87&lt;&gt;"",AO87,IF(AC87&lt;&gt;"",AC87,AB87)),_xlpm.sent,_xlfn.MAXIFS('Rework Log'!$B$3:$B$499,'Rework Log'!$A$3:$A$499,$B87,'Rework Log'!$C$3:$C$499,"DPO*"),_xlpm.act,IF(AND(AD87&lt;&gt;"",AD87&gt;_xlpm.sent),AD87,""),IF(_xlpm.tgt="","No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261</v>
      </c>
      <c r="J87" s="54"/>
      <c r="K87" s="50">
        <v>46332</v>
      </c>
      <c r="L87" s="43"/>
      <c r="M87" s="44"/>
      <c r="N87" s="44"/>
      <c r="O87" s="36" t="s">
        <v>259</v>
      </c>
      <c r="P87" s="75"/>
      <c r="Q87" s="50">
        <v>46339</v>
      </c>
      <c r="R87" s="43"/>
      <c r="S87" s="44"/>
      <c r="T87" s="69" t="s">
        <v>250</v>
      </c>
      <c r="U87" s="47"/>
      <c r="V87" s="28">
        <v>46344</v>
      </c>
      <c r="W87" s="31"/>
      <c r="X87" s="31"/>
      <c r="Y87" s="43"/>
      <c r="Z87" s="31"/>
      <c r="AA87" s="36"/>
      <c r="AB87" s="28">
        <v>46356</v>
      </c>
      <c r="AC87" s="43"/>
      <c r="AD87" s="43"/>
      <c r="AE87" s="31" t="s">
        <v>175</v>
      </c>
      <c r="AF87" s="31" t="s">
        <v>48</v>
      </c>
      <c r="AG87" s="31"/>
      <c r="AH87" s="31"/>
      <c r="AI87" s="31"/>
      <c r="AJ87" s="31"/>
      <c r="AK87" s="31"/>
      <c r="AL87" s="31"/>
      <c r="AM87" s="31"/>
      <c r="AN87" s="32" t="str" cm="1">
        <f t="array" ref="AN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87" s="32" t="str" cm="1">
        <f t="array" ref="AO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87" s="31"/>
      <c r="AQ87" s="32"/>
    </row>
    <row r="88" spans="1:43" ht="14.4" x14ac:dyDescent="0.3">
      <c r="A88" s="31" t="s">
        <v>126</v>
      </c>
      <c r="B88" s="31" t="s">
        <v>264</v>
      </c>
      <c r="C88" s="31" t="s">
        <v>206</v>
      </c>
      <c r="D88" t="str" cm="1">
        <f t="array" aca="1" ref="D88" ca="1">IF($B88="","",IF(LEFT($AK88,3)="Yes","Blocked - "&amp;MID($AK88,7,100)&amp;IF(SUMPRODUCT(('Rework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track")),IF(C88="QA",_xlfn.LET(_xlpm.tgt,IF(AN88&lt;&gt;"",AN88,IF(Y88&lt;&gt;"",Y88,V88)),_xlpm.sent,_xlfn.MAXIFS('Rework Log'!$B$3:$B$499,'Rework Log'!$A$3:$A$499,$B88,'Rework Log'!$C$3:$C$499,"QA"),_xlpm.act,IF(AND(W88&lt;&gt;"",W88&gt;_xlpm.sent),W88,""),IF(_xlpm.tgt="","No target set",IF(AND(_xlpm.tgt&lt;TODAY(),_xlpm.act=""),"Overdue","On track"))),IF(C88="DPO Approval",_xlfn.LET(_xlpm.tgt,IF(AO88&lt;&gt;"",AO88,IF(AC88&lt;&gt;"",AC88,AB88)),_xlpm.sent,_xlfn.MAXIFS('Rework Log'!$B$3:$B$499,'Rework Log'!$A$3:$A$499,$B88,'Rework Log'!$C$3:$C$499,"DPO*"),_xlpm.act,IF(AND(AD88&lt;&gt;"",AD88&gt;_xlpm.sent),AD88,""),IF(_xlpm.tgt="","No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261</v>
      </c>
      <c r="J88" s="54"/>
      <c r="K88" s="50">
        <v>46332</v>
      </c>
      <c r="L88" s="43"/>
      <c r="M88" s="44"/>
      <c r="N88" s="44"/>
      <c r="O88" s="36" t="s">
        <v>259</v>
      </c>
      <c r="P88" s="75"/>
      <c r="Q88" s="50">
        <v>46339</v>
      </c>
      <c r="R88" s="43"/>
      <c r="S88" s="44"/>
      <c r="T88" s="69" t="s">
        <v>265</v>
      </c>
      <c r="U88" s="47"/>
      <c r="V88" s="28">
        <v>46344</v>
      </c>
      <c r="W88" s="31"/>
      <c r="X88" s="31"/>
      <c r="Y88" s="43"/>
      <c r="Z88" s="31"/>
      <c r="AA88" s="36"/>
      <c r="AB88" s="28">
        <v>46356</v>
      </c>
      <c r="AC88" s="43"/>
      <c r="AD88" s="43"/>
      <c r="AE88" s="31" t="s">
        <v>175</v>
      </c>
      <c r="AF88" s="31" t="s">
        <v>71</v>
      </c>
      <c r="AG88" s="31"/>
      <c r="AH88" s="31"/>
      <c r="AI88" s="31"/>
      <c r="AJ88" s="31"/>
      <c r="AK88" s="31"/>
      <c r="AL88" s="31"/>
      <c r="AM88" s="31"/>
      <c r="AN88" s="32" t="str" cm="1">
        <f t="array" ref="AN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88" s="32" t="str" cm="1">
        <f t="array" ref="AO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88" s="31"/>
      <c r="AQ88" s="32"/>
    </row>
    <row r="89" spans="1:43" ht="14.4" x14ac:dyDescent="0.3">
      <c r="A89" s="31" t="s">
        <v>126</v>
      </c>
      <c r="B89" s="31" t="s">
        <v>266</v>
      </c>
      <c r="C89" s="31" t="s">
        <v>206</v>
      </c>
      <c r="D89" t="str" cm="1">
        <f t="array" aca="1" ref="D89" ca="1">IF($B89="","",IF(LEFT($AK89,3)="Yes","Blocked - "&amp;MID($AK89,7,100)&amp;IF(SUMPRODUCT(('Rework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track")),IF(C89="QA",_xlfn.LET(_xlpm.tgt,IF(AN89&lt;&gt;"",AN89,IF(Y89&lt;&gt;"",Y89,V89)),_xlpm.sent,_xlfn.MAXIFS('Rework Log'!$B$3:$B$499,'Rework Log'!$A$3:$A$499,$B89,'Rework Log'!$C$3:$C$499,"QA"),_xlpm.act,IF(AND(W89&lt;&gt;"",W89&gt;_xlpm.sent),W89,""),IF(_xlpm.tgt="","No target set",IF(AND(_xlpm.tgt&lt;TODAY(),_xlpm.act=""),"Overdue","On track"))),IF(C89="DPO Approval",_xlfn.LET(_xlpm.tgt,IF(AO89&lt;&gt;"",AO89,IF(AC89&lt;&gt;"",AC89,AB89)),_xlpm.sent,_xlfn.MAXIFS('Rework Log'!$B$3:$B$499,'Rework Log'!$A$3:$A$499,$B89,'Rework Log'!$C$3:$C$499,"DPO*"),_xlpm.act,IF(AND(AD89&lt;&gt;"",AD89&gt;_xlpm.sent),AD89,""),IF(_xlpm.tgt="","No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261</v>
      </c>
      <c r="J89" s="54"/>
      <c r="K89" s="50">
        <v>46332</v>
      </c>
      <c r="L89" s="43"/>
      <c r="M89" s="44"/>
      <c r="N89" s="44"/>
      <c r="O89" s="36" t="s">
        <v>259</v>
      </c>
      <c r="P89" s="75"/>
      <c r="Q89" s="50">
        <v>46339</v>
      </c>
      <c r="R89" s="43"/>
      <c r="S89" s="44"/>
      <c r="T89" s="69" t="s">
        <v>265</v>
      </c>
      <c r="U89" s="47"/>
      <c r="V89" s="28">
        <v>46344</v>
      </c>
      <c r="W89" s="31"/>
      <c r="X89" s="31"/>
      <c r="Y89" s="43"/>
      <c r="Z89" s="31"/>
      <c r="AA89" s="36"/>
      <c r="AB89" s="28">
        <v>46356</v>
      </c>
      <c r="AC89" s="43"/>
      <c r="AD89" s="43"/>
      <c r="AE89" s="31" t="s">
        <v>175</v>
      </c>
      <c r="AF89" s="31" t="s">
        <v>71</v>
      </c>
      <c r="AG89" s="31"/>
      <c r="AH89" s="31"/>
      <c r="AI89" s="31"/>
      <c r="AJ89" s="31"/>
      <c r="AK89" s="31"/>
      <c r="AL89" s="31"/>
      <c r="AM89" s="31"/>
      <c r="AN89" s="32" t="str" cm="1">
        <f t="array" ref="AN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89" s="32" t="str" cm="1">
        <f t="array" ref="AO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89" s="31"/>
      <c r="AQ89" s="32"/>
    </row>
    <row r="90" spans="1:43" ht="14.4" x14ac:dyDescent="0.3">
      <c r="A90" s="31" t="s">
        <v>126</v>
      </c>
      <c r="B90" s="31" t="s">
        <v>267</v>
      </c>
      <c r="C90" s="31" t="s">
        <v>206</v>
      </c>
      <c r="D90" t="str" cm="1">
        <f t="array" aca="1" ref="D90" ca="1">IF($B90="","",IF(LEFT($AK90,3)="Yes","Blocked - "&amp;MID($AK90,7,100)&amp;IF(SUMPRODUCT(('Rework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track")),IF(C90="QA",_xlfn.LET(_xlpm.tgt,IF(AN90&lt;&gt;"",AN90,IF(Y90&lt;&gt;"",Y90,V90)),_xlpm.sent,_xlfn.MAXIFS('Rework Log'!$B$3:$B$499,'Rework Log'!$A$3:$A$499,$B90,'Rework Log'!$C$3:$C$499,"QA"),_xlpm.act,IF(AND(W90&lt;&gt;"",W90&gt;_xlpm.sent),W90,""),IF(_xlpm.tgt="","No target set",IF(AND(_xlpm.tgt&lt;TODAY(),_xlpm.act=""),"Overdue","On track"))),IF(C90="DPO Approval",_xlfn.LET(_xlpm.tgt,IF(AO90&lt;&gt;"",AO90,IF(AC90&lt;&gt;"",AC90,AB90)),_xlpm.sent,_xlfn.MAXIFS('Rework Log'!$B$3:$B$499,'Rework Log'!$A$3:$A$499,$B90,'Rework Log'!$C$3:$C$499,"DPO*"),_xlpm.act,IF(AND(AD90&lt;&gt;"",AD90&gt;_xlpm.sent),AD90,""),IF(_xlpm.tgt="","No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261</v>
      </c>
      <c r="J90" s="54"/>
      <c r="K90" s="50">
        <v>46332</v>
      </c>
      <c r="L90" s="43"/>
      <c r="M90" s="44"/>
      <c r="N90" s="44"/>
      <c r="O90" s="36" t="s">
        <v>259</v>
      </c>
      <c r="P90" s="75"/>
      <c r="Q90" s="50">
        <v>46339</v>
      </c>
      <c r="R90" s="43"/>
      <c r="S90" s="44"/>
      <c r="T90" s="69" t="s">
        <v>265</v>
      </c>
      <c r="U90" s="47"/>
      <c r="V90" s="28">
        <v>46344</v>
      </c>
      <c r="W90" s="31"/>
      <c r="X90" s="31"/>
      <c r="Y90" s="43"/>
      <c r="Z90" s="31"/>
      <c r="AA90" s="36"/>
      <c r="AB90" s="28">
        <v>46356</v>
      </c>
      <c r="AC90" s="43"/>
      <c r="AD90" s="43"/>
      <c r="AE90" s="31" t="s">
        <v>175</v>
      </c>
      <c r="AF90" s="31" t="s">
        <v>71</v>
      </c>
      <c r="AG90" s="31"/>
      <c r="AH90" s="31"/>
      <c r="AI90" s="31"/>
      <c r="AJ90" s="31"/>
      <c r="AK90" s="31"/>
      <c r="AL90" s="31"/>
      <c r="AM90" s="31"/>
      <c r="AN90" s="32" t="str" cm="1">
        <f t="array" ref="AN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90" s="32" t="str" cm="1">
        <f t="array" ref="AO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90" s="31"/>
      <c r="AQ90" s="32"/>
    </row>
    <row r="91" spans="1:43" ht="14.4" x14ac:dyDescent="0.3">
      <c r="A91" s="31" t="s">
        <v>126</v>
      </c>
      <c r="B91" s="31" t="s">
        <v>268</v>
      </c>
      <c r="C91" s="31" t="s">
        <v>206</v>
      </c>
      <c r="D91" t="str" cm="1">
        <f t="array" aca="1" ref="D91" ca="1">IF($B91="","",IF(LEFT($AK91,3)="Yes","Blocked - "&amp;MID($AK91,7,100)&amp;IF(SUMPRODUCT(('Rework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track")),IF(C91="QA",_xlfn.LET(_xlpm.tgt,IF(AN91&lt;&gt;"",AN91,IF(Y91&lt;&gt;"",Y91,V91)),_xlpm.sent,_xlfn.MAXIFS('Rework Log'!$B$3:$B$499,'Rework Log'!$A$3:$A$499,$B91,'Rework Log'!$C$3:$C$499,"QA"),_xlpm.act,IF(AND(W91&lt;&gt;"",W91&gt;_xlpm.sent),W91,""),IF(_xlpm.tgt="","No target set",IF(AND(_xlpm.tgt&lt;TODAY(),_xlpm.act=""),"Overdue","On track"))),IF(C91="DPO Approval",_xlfn.LET(_xlpm.tgt,IF(AO91&lt;&gt;"",AO91,IF(AC91&lt;&gt;"",AC91,AB91)),_xlpm.sent,_xlfn.MAXIFS('Rework Log'!$B$3:$B$499,'Rework Log'!$A$3:$A$499,$B91,'Rework Log'!$C$3:$C$499,"DPO*"),_xlpm.act,IF(AND(AD91&lt;&gt;"",AD91&gt;_xlpm.sent),AD91,""),IF(_xlpm.tgt="","No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261</v>
      </c>
      <c r="J91" s="54"/>
      <c r="K91" s="50">
        <v>46332</v>
      </c>
      <c r="L91" s="43"/>
      <c r="M91" s="44"/>
      <c r="N91" s="44"/>
      <c r="O91" s="36" t="s">
        <v>259</v>
      </c>
      <c r="P91" s="75"/>
      <c r="Q91" s="50">
        <v>46339</v>
      </c>
      <c r="R91" s="43"/>
      <c r="S91" s="44"/>
      <c r="T91" s="69" t="s">
        <v>265</v>
      </c>
      <c r="U91" s="47"/>
      <c r="V91" s="28">
        <v>46344</v>
      </c>
      <c r="W91" s="31"/>
      <c r="X91" s="31"/>
      <c r="Y91" s="43"/>
      <c r="Z91" s="31"/>
      <c r="AA91" s="36"/>
      <c r="AB91" s="28">
        <v>46356</v>
      </c>
      <c r="AC91" s="43"/>
      <c r="AD91" s="43"/>
      <c r="AE91" s="31" t="s">
        <v>269</v>
      </c>
      <c r="AF91" s="31" t="s">
        <v>71</v>
      </c>
      <c r="AG91" s="31"/>
      <c r="AH91" s="31"/>
      <c r="AI91" s="31"/>
      <c r="AJ91" s="31"/>
      <c r="AK91" s="31"/>
      <c r="AL91" s="31"/>
      <c r="AM91" s="31"/>
      <c r="AN91" s="32" t="str" cm="1">
        <f t="array" ref="AN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91" s="32" t="str" cm="1">
        <f t="array" ref="AO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91" s="31"/>
      <c r="AQ91" s="32"/>
    </row>
    <row r="92" spans="1:43" ht="14.4" x14ac:dyDescent="0.3">
      <c r="A92" s="31" t="s">
        <v>126</v>
      </c>
      <c r="B92" s="31" t="s">
        <v>270</v>
      </c>
      <c r="C92" s="31" t="s">
        <v>206</v>
      </c>
      <c r="D92" t="str" cm="1">
        <f t="array" aca="1" ref="D92" ca="1">IF($B92="","",IF(LEFT($AK92,3)="Yes","Blocked - "&amp;MID($AK92,7,100)&amp;IF(SUMPRODUCT(('Rework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track")),IF(C92="QA",_xlfn.LET(_xlpm.tgt,IF(AN92&lt;&gt;"",AN92,IF(Y92&lt;&gt;"",Y92,V92)),_xlpm.sent,_xlfn.MAXIFS('Rework Log'!$B$3:$B$499,'Rework Log'!$A$3:$A$499,$B92,'Rework Log'!$C$3:$C$499,"QA"),_xlpm.act,IF(AND(W92&lt;&gt;"",W92&gt;_xlpm.sent),W92,""),IF(_xlpm.tgt="","No target set",IF(AND(_xlpm.tgt&lt;TODAY(),_xlpm.act=""),"Overdue","On track"))),IF(C92="DPO Approval",_xlfn.LET(_xlpm.tgt,IF(AO92&lt;&gt;"",AO92,IF(AC92&lt;&gt;"",AC92,AB92)),_xlpm.sent,_xlfn.MAXIFS('Rework Log'!$B$3:$B$499,'Rework Log'!$A$3:$A$499,$B92,'Rework Log'!$C$3:$C$499,"DPO*"),_xlpm.act,IF(AND(AD92&lt;&gt;"",AD92&gt;_xlpm.sent),AD92,""),IF(_xlpm.tgt="","No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261</v>
      </c>
      <c r="J92" s="54"/>
      <c r="K92" s="50">
        <v>46332</v>
      </c>
      <c r="L92" s="43"/>
      <c r="M92" s="44"/>
      <c r="N92" s="44"/>
      <c r="O92" s="36" t="s">
        <v>271</v>
      </c>
      <c r="P92" s="75"/>
      <c r="Q92" s="50">
        <v>46339</v>
      </c>
      <c r="R92" s="43"/>
      <c r="S92" s="44"/>
      <c r="T92" s="69" t="s">
        <v>265</v>
      </c>
      <c r="U92" s="47"/>
      <c r="V92" s="28">
        <v>46344</v>
      </c>
      <c r="W92" s="31"/>
      <c r="X92" s="31"/>
      <c r="Y92" s="43"/>
      <c r="Z92" s="31"/>
      <c r="AA92" s="36"/>
      <c r="AB92" s="28">
        <v>46356</v>
      </c>
      <c r="AC92" s="43"/>
      <c r="AD92" s="43"/>
      <c r="AE92" s="31" t="s">
        <v>175</v>
      </c>
      <c r="AF92" s="31" t="s">
        <v>71</v>
      </c>
      <c r="AG92" s="31"/>
      <c r="AH92" s="31"/>
      <c r="AI92" s="31"/>
      <c r="AJ92" s="31"/>
      <c r="AK92" s="31"/>
      <c r="AL92" s="31"/>
      <c r="AM92" s="31"/>
      <c r="AN92" s="32" t="str" cm="1">
        <f t="array" ref="AN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92" s="32" t="str" cm="1">
        <f t="array" ref="AO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92" s="31"/>
      <c r="AQ92" s="32"/>
    </row>
    <row r="93" spans="1:43" ht="14.4" x14ac:dyDescent="0.3">
      <c r="A93" s="31" t="s">
        <v>126</v>
      </c>
      <c r="B93" s="31" t="s">
        <v>272</v>
      </c>
      <c r="C93" s="31" t="s">
        <v>206</v>
      </c>
      <c r="D93" t="str" cm="1">
        <f t="array" aca="1" ref="D93" ca="1">IF($B93="","",IF(LEFT($AK93,3)="Yes","Blocked - "&amp;MID($AK93,7,100)&amp;IF(SUMPRODUCT(('Rework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track")),IF(C93="QA",_xlfn.LET(_xlpm.tgt,IF(AN93&lt;&gt;"",AN93,IF(Y93&lt;&gt;"",Y93,V93)),_xlpm.sent,_xlfn.MAXIFS('Rework Log'!$B$3:$B$499,'Rework Log'!$A$3:$A$499,$B93,'Rework Log'!$C$3:$C$499,"QA"),_xlpm.act,IF(AND(W93&lt;&gt;"",W93&gt;_xlpm.sent),W93,""),IF(_xlpm.tgt="","No target set",IF(AND(_xlpm.tgt&lt;TODAY(),_xlpm.act=""),"Overdue","On track"))),IF(C93="DPO Approval",_xlfn.LET(_xlpm.tgt,IF(AO93&lt;&gt;"",AO93,IF(AC93&lt;&gt;"",AC93,AB93)),_xlpm.sent,_xlfn.MAXIFS('Rework Log'!$B$3:$B$499,'Rework Log'!$A$3:$A$499,$B93,'Rework Log'!$C$3:$C$499,"DPO*"),_xlpm.act,IF(AND(AD93&lt;&gt;"",AD93&gt;_xlpm.sent),AD93,""),IF(_xlpm.tgt="","No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261</v>
      </c>
      <c r="J93" s="54"/>
      <c r="K93" s="50">
        <v>46332</v>
      </c>
      <c r="L93" s="43"/>
      <c r="M93" s="44"/>
      <c r="N93" s="44"/>
      <c r="O93" s="36" t="s">
        <v>271</v>
      </c>
      <c r="P93" s="75"/>
      <c r="Q93" s="50">
        <v>46339</v>
      </c>
      <c r="R93" s="43"/>
      <c r="S93" s="44"/>
      <c r="T93" s="69" t="s">
        <v>265</v>
      </c>
      <c r="U93" s="47"/>
      <c r="V93" s="28">
        <v>46344</v>
      </c>
      <c r="W93" s="31"/>
      <c r="X93" s="31"/>
      <c r="Y93" s="43"/>
      <c r="Z93" s="31"/>
      <c r="AA93" s="36"/>
      <c r="AB93" s="28">
        <v>46356</v>
      </c>
      <c r="AC93" s="43"/>
      <c r="AD93" s="43"/>
      <c r="AE93" s="31" t="s">
        <v>196</v>
      </c>
      <c r="AF93" s="31" t="s">
        <v>93</v>
      </c>
      <c r="AG93" s="31"/>
      <c r="AH93" s="31"/>
      <c r="AI93" s="31"/>
      <c r="AJ93" s="31"/>
      <c r="AK93" s="31"/>
      <c r="AL93" s="31"/>
      <c r="AM93" s="31"/>
      <c r="AN93" s="32" t="str" cm="1">
        <f t="array" ref="AN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93" s="32" t="str" cm="1">
        <f t="array" ref="AO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93" s="31"/>
      <c r="AQ93" s="32"/>
    </row>
    <row r="94" spans="1:43" ht="14.4" x14ac:dyDescent="0.3">
      <c r="A94" s="31" t="s">
        <v>126</v>
      </c>
      <c r="B94" s="31" t="s">
        <v>273</v>
      </c>
      <c r="C94" s="31" t="s">
        <v>206</v>
      </c>
      <c r="D94" t="str" cm="1">
        <f t="array" aca="1" ref="D94" ca="1">IF($B94="","",IF(LEFT($AK94,3)="Yes","Blocked - "&amp;MID($AK94,7,100)&amp;IF(SUMPRODUCT(('Rework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track")),IF(C94="QA",_xlfn.LET(_xlpm.tgt,IF(AN94&lt;&gt;"",AN94,IF(Y94&lt;&gt;"",Y94,V94)),_xlpm.sent,_xlfn.MAXIFS('Rework Log'!$B$3:$B$499,'Rework Log'!$A$3:$A$499,$B94,'Rework Log'!$C$3:$C$499,"QA"),_xlpm.act,IF(AND(W94&lt;&gt;"",W94&gt;_xlpm.sent),W94,""),IF(_xlpm.tgt="","No target set",IF(AND(_xlpm.tgt&lt;TODAY(),_xlpm.act=""),"Overdue","On track"))),IF(C94="DPO Approval",_xlfn.LET(_xlpm.tgt,IF(AO94&lt;&gt;"",AO94,IF(AC94&lt;&gt;"",AC94,AB94)),_xlpm.sent,_xlfn.MAXIFS('Rework Log'!$B$3:$B$499,'Rework Log'!$A$3:$A$499,$B94,'Rework Log'!$C$3:$C$499,"DPO*"),_xlpm.act,IF(AND(AD94&lt;&gt;"",AD94&gt;_xlpm.sent),AD94,""),IF(_xlpm.tgt="","No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261</v>
      </c>
      <c r="J94" s="54"/>
      <c r="K94" s="50">
        <v>46332</v>
      </c>
      <c r="L94" s="43"/>
      <c r="M94" s="44"/>
      <c r="N94" s="44"/>
      <c r="O94" s="36" t="s">
        <v>271</v>
      </c>
      <c r="P94" s="75"/>
      <c r="Q94" s="50">
        <v>46339</v>
      </c>
      <c r="R94" s="43"/>
      <c r="S94" s="44"/>
      <c r="T94" s="69" t="s">
        <v>265</v>
      </c>
      <c r="U94" s="47"/>
      <c r="V94" s="28">
        <v>46344</v>
      </c>
      <c r="W94" s="31"/>
      <c r="X94" s="31"/>
      <c r="Y94" s="43"/>
      <c r="Z94" s="31"/>
      <c r="AA94" s="36"/>
      <c r="AB94" s="28">
        <v>46356</v>
      </c>
      <c r="AC94" s="43"/>
      <c r="AD94" s="43"/>
      <c r="AE94" s="31" t="s">
        <v>274</v>
      </c>
      <c r="AF94" s="31" t="s">
        <v>71</v>
      </c>
      <c r="AG94" s="31"/>
      <c r="AH94" s="31"/>
      <c r="AI94" s="31"/>
      <c r="AJ94" s="31"/>
      <c r="AK94" s="31"/>
      <c r="AL94" s="31"/>
      <c r="AM94" s="31"/>
      <c r="AN94" s="32" t="str" cm="1">
        <f t="array" ref="AN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94" s="32" t="str" cm="1">
        <f t="array" ref="AO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94" s="31"/>
      <c r="AQ94" s="32"/>
    </row>
    <row r="95" spans="1:43" ht="14.4" x14ac:dyDescent="0.3">
      <c r="A95" s="31" t="s">
        <v>126</v>
      </c>
      <c r="B95" s="31" t="s">
        <v>275</v>
      </c>
      <c r="C95" s="31" t="s">
        <v>206</v>
      </c>
      <c r="D95" t="str" cm="1">
        <f t="array" aca="1" ref="D95" ca="1">IF($B95="","",IF(LEFT($AK95,3)="Yes","Blocked - "&amp;MID($AK95,7,100)&amp;IF(SUMPRODUCT(('Rework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track")),IF(C95="QA",_xlfn.LET(_xlpm.tgt,IF(AN95&lt;&gt;"",AN95,IF(Y95&lt;&gt;"",Y95,V95)),_xlpm.sent,_xlfn.MAXIFS('Rework Log'!$B$3:$B$499,'Rework Log'!$A$3:$A$499,$B95,'Rework Log'!$C$3:$C$499,"QA"),_xlpm.act,IF(AND(W95&lt;&gt;"",W95&gt;_xlpm.sent),W95,""),IF(_xlpm.tgt="","No target set",IF(AND(_xlpm.tgt&lt;TODAY(),_xlpm.act=""),"Overdue","On track"))),IF(C95="DPO Approval",_xlfn.LET(_xlpm.tgt,IF(AO95&lt;&gt;"",AO95,IF(AC95&lt;&gt;"",AC95,AB95)),_xlpm.sent,_xlfn.MAXIFS('Rework Log'!$B$3:$B$499,'Rework Log'!$A$3:$A$499,$B95,'Rework Log'!$C$3:$C$499,"DPO*"),_xlpm.act,IF(AND(AD95&lt;&gt;"",AD95&gt;_xlpm.sent),AD95,""),IF(_xlpm.tgt="","No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261</v>
      </c>
      <c r="J95" s="54"/>
      <c r="K95" s="50">
        <v>46332</v>
      </c>
      <c r="L95" s="43"/>
      <c r="M95" s="44"/>
      <c r="N95" s="44"/>
      <c r="O95" s="36" t="s">
        <v>271</v>
      </c>
      <c r="P95" s="75"/>
      <c r="Q95" s="50">
        <v>46339</v>
      </c>
      <c r="R95" s="43"/>
      <c r="S95" s="44"/>
      <c r="T95" s="69" t="s">
        <v>276</v>
      </c>
      <c r="U95" s="47"/>
      <c r="V95" s="28">
        <v>46344</v>
      </c>
      <c r="W95" s="31"/>
      <c r="X95" s="31"/>
      <c r="Y95" s="43"/>
      <c r="Z95" s="31"/>
      <c r="AA95" s="36"/>
      <c r="AB95" s="28">
        <v>46356</v>
      </c>
      <c r="AC95" s="43"/>
      <c r="AD95" s="43"/>
      <c r="AE95" s="31" t="s">
        <v>277</v>
      </c>
      <c r="AF95" s="31" t="s">
        <v>71</v>
      </c>
      <c r="AG95" s="31"/>
      <c r="AH95" s="31"/>
      <c r="AI95" s="31"/>
      <c r="AJ95" s="31"/>
      <c r="AK95" s="31"/>
      <c r="AL95" s="31"/>
      <c r="AM95" s="31"/>
      <c r="AN95" s="32" t="str" cm="1">
        <f t="array" ref="AN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95" s="32" t="str" cm="1">
        <f t="array" ref="AO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95" s="31"/>
      <c r="AQ95" s="32"/>
    </row>
    <row r="96" spans="1:43" ht="14.4" x14ac:dyDescent="0.3">
      <c r="A96" s="31" t="s">
        <v>126</v>
      </c>
      <c r="B96" s="31" t="s">
        <v>278</v>
      </c>
      <c r="C96" s="31" t="s">
        <v>206</v>
      </c>
      <c r="D96" t="str" cm="1">
        <f t="array" aca="1" ref="D96" ca="1">IF($B96="","",IF(LEFT($AK96,3)="Yes","Blocked - "&amp;MID($AK96,7,100)&amp;IF(SUMPRODUCT(('Rework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track")),IF(C96="QA",_xlfn.LET(_xlpm.tgt,IF(AN96&lt;&gt;"",AN96,IF(Y96&lt;&gt;"",Y96,V96)),_xlpm.sent,_xlfn.MAXIFS('Rework Log'!$B$3:$B$499,'Rework Log'!$A$3:$A$499,$B96,'Rework Log'!$C$3:$C$499,"QA"),_xlpm.act,IF(AND(W96&lt;&gt;"",W96&gt;_xlpm.sent),W96,""),IF(_xlpm.tgt="","No target set",IF(AND(_xlpm.tgt&lt;TODAY(),_xlpm.act=""),"Overdue","On track"))),IF(C96="DPO Approval",_xlfn.LET(_xlpm.tgt,IF(AO96&lt;&gt;"",AO96,IF(AC96&lt;&gt;"",AC96,AB96)),_xlpm.sent,_xlfn.MAXIFS('Rework Log'!$B$3:$B$499,'Rework Log'!$A$3:$A$499,$B96,'Rework Log'!$C$3:$C$499,"DPO*"),_xlpm.act,IF(AND(AD96&lt;&gt;"",AD96&gt;_xlpm.sent),AD96,""),IF(_xlpm.tgt="","No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261</v>
      </c>
      <c r="J96" s="54"/>
      <c r="K96" s="50">
        <v>46332</v>
      </c>
      <c r="L96" s="43"/>
      <c r="M96" s="44"/>
      <c r="N96" s="44"/>
      <c r="O96" s="36" t="s">
        <v>271</v>
      </c>
      <c r="P96" s="75"/>
      <c r="Q96" s="50">
        <v>46339</v>
      </c>
      <c r="R96" s="43"/>
      <c r="S96" s="44"/>
      <c r="T96" s="69" t="s">
        <v>276</v>
      </c>
      <c r="U96" s="47"/>
      <c r="V96" s="28">
        <v>46344</v>
      </c>
      <c r="W96" s="31"/>
      <c r="X96" s="31"/>
      <c r="Y96" s="43"/>
      <c r="Z96" s="31"/>
      <c r="AA96" s="36"/>
      <c r="AB96" s="28">
        <v>46356</v>
      </c>
      <c r="AC96" s="43"/>
      <c r="AD96" s="43"/>
      <c r="AE96" s="31" t="s">
        <v>279</v>
      </c>
      <c r="AF96" s="31" t="s">
        <v>71</v>
      </c>
      <c r="AG96" s="31"/>
      <c r="AH96" s="31"/>
      <c r="AI96" s="31"/>
      <c r="AJ96" s="31"/>
      <c r="AK96" s="31"/>
      <c r="AL96" s="31"/>
      <c r="AM96" s="31"/>
      <c r="AN96" s="32" t="str" cm="1">
        <f t="array" ref="AN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96" s="32" t="str" cm="1">
        <f t="array" ref="AO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96" s="31"/>
      <c r="AQ96" s="32"/>
    </row>
    <row r="97" spans="1:43" ht="14.4" x14ac:dyDescent="0.3">
      <c r="A97" s="31" t="s">
        <v>126</v>
      </c>
      <c r="B97" s="31" t="s">
        <v>280</v>
      </c>
      <c r="C97" s="31" t="s">
        <v>206</v>
      </c>
      <c r="D97" t="str" cm="1">
        <f t="array" aca="1" ref="D97" ca="1">IF($B97="","",IF(LEFT($AK97,3)="Yes","Blocked - "&amp;MID($AK97,7,100)&amp;IF(SUMPRODUCT(('Rework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track")),IF(C97="QA",_xlfn.LET(_xlpm.tgt,IF(AN97&lt;&gt;"",AN97,IF(Y97&lt;&gt;"",Y97,V97)),_xlpm.sent,_xlfn.MAXIFS('Rework Log'!$B$3:$B$499,'Rework Log'!$A$3:$A$499,$B97,'Rework Log'!$C$3:$C$499,"QA"),_xlpm.act,IF(AND(W97&lt;&gt;"",W97&gt;_xlpm.sent),W97,""),IF(_xlpm.tgt="","No target set",IF(AND(_xlpm.tgt&lt;TODAY(),_xlpm.act=""),"Overdue","On track"))),IF(C97="DPO Approval",_xlfn.LET(_xlpm.tgt,IF(AO97&lt;&gt;"",AO97,IF(AC97&lt;&gt;"",AC97,AB97)),_xlpm.sent,_xlfn.MAXIFS('Rework Log'!$B$3:$B$499,'Rework Log'!$A$3:$A$499,$B97,'Rework Log'!$C$3:$C$499,"DPO*"),_xlpm.act,IF(AND(AD97&lt;&gt;"",AD97&gt;_xlpm.sent),AD97,""),IF(_xlpm.tgt="","No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261</v>
      </c>
      <c r="J97" s="54"/>
      <c r="K97" s="50">
        <v>46332</v>
      </c>
      <c r="L97" s="43"/>
      <c r="M97" s="44"/>
      <c r="N97" s="44"/>
      <c r="O97" s="36" t="s">
        <v>271</v>
      </c>
      <c r="P97" s="75"/>
      <c r="Q97" s="50">
        <v>46339</v>
      </c>
      <c r="R97" s="43"/>
      <c r="S97" s="44"/>
      <c r="T97" s="69" t="s">
        <v>276</v>
      </c>
      <c r="U97" s="47"/>
      <c r="V97" s="28">
        <v>46344</v>
      </c>
      <c r="W97" s="31"/>
      <c r="X97" s="31"/>
      <c r="Y97" s="43"/>
      <c r="Z97" s="31"/>
      <c r="AA97" s="36"/>
      <c r="AB97" s="28">
        <v>46356</v>
      </c>
      <c r="AC97" s="43"/>
      <c r="AD97" s="43"/>
      <c r="AE97" s="31" t="s">
        <v>281</v>
      </c>
      <c r="AF97" s="31" t="s">
        <v>71</v>
      </c>
      <c r="AG97" s="31"/>
      <c r="AH97" s="31"/>
      <c r="AI97" s="31"/>
      <c r="AJ97" s="31"/>
      <c r="AK97" s="31"/>
      <c r="AL97" s="31"/>
      <c r="AM97" s="31"/>
      <c r="AN97" s="32" t="str" cm="1">
        <f t="array" ref="AN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97" s="32" t="str" cm="1">
        <f t="array" ref="AO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97" s="31"/>
      <c r="AQ97" s="32"/>
    </row>
    <row r="98" spans="1:43" ht="14.4" x14ac:dyDescent="0.3">
      <c r="A98" s="31" t="s">
        <v>126</v>
      </c>
      <c r="B98" s="31" t="s">
        <v>282</v>
      </c>
      <c r="C98" s="31" t="s">
        <v>206</v>
      </c>
      <c r="D98" t="str" cm="1">
        <f t="array" aca="1" ref="D98" ca="1">IF($B98="","",IF(LEFT($AK98,3)="Yes","Blocked - "&amp;MID($AK98,7,100)&amp;IF(SUMPRODUCT(('Rework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track")),IF(C98="QA",_xlfn.LET(_xlpm.tgt,IF(AN98&lt;&gt;"",AN98,IF(Y98&lt;&gt;"",Y98,V98)),_xlpm.sent,_xlfn.MAXIFS('Rework Log'!$B$3:$B$499,'Rework Log'!$A$3:$A$499,$B98,'Rework Log'!$C$3:$C$499,"QA"),_xlpm.act,IF(AND(W98&lt;&gt;"",W98&gt;_xlpm.sent),W98,""),IF(_xlpm.tgt="","No target set",IF(AND(_xlpm.tgt&lt;TODAY(),_xlpm.act=""),"Overdue","On track"))),IF(C98="DPO Approval",_xlfn.LET(_xlpm.tgt,IF(AO98&lt;&gt;"",AO98,IF(AC98&lt;&gt;"",AC98,AB98)),_xlpm.sent,_xlfn.MAXIFS('Rework Log'!$B$3:$B$499,'Rework Log'!$A$3:$A$499,$B98,'Rework Log'!$C$3:$C$499,"DPO*"),_xlpm.act,IF(AND(AD98&lt;&gt;"",AD98&gt;_xlpm.sent),AD98,""),IF(_xlpm.tgt="","No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261</v>
      </c>
      <c r="J98" s="54"/>
      <c r="K98" s="50">
        <v>46332</v>
      </c>
      <c r="L98" s="43"/>
      <c r="M98" s="44"/>
      <c r="N98" s="44"/>
      <c r="O98" s="36" t="s">
        <v>271</v>
      </c>
      <c r="P98" s="75"/>
      <c r="Q98" s="50">
        <v>46339</v>
      </c>
      <c r="R98" s="43"/>
      <c r="S98" s="44"/>
      <c r="T98" s="69" t="s">
        <v>276</v>
      </c>
      <c r="U98" s="47"/>
      <c r="V98" s="28">
        <v>46344</v>
      </c>
      <c r="W98" s="31"/>
      <c r="X98" s="31"/>
      <c r="Y98" s="43"/>
      <c r="Z98" s="31"/>
      <c r="AA98" s="36"/>
      <c r="AB98" s="28">
        <v>46356</v>
      </c>
      <c r="AC98" s="43"/>
      <c r="AD98" s="43"/>
      <c r="AE98" s="31" t="s">
        <v>175</v>
      </c>
      <c r="AF98" s="31" t="s">
        <v>48</v>
      </c>
      <c r="AG98" s="31"/>
      <c r="AH98" s="31"/>
      <c r="AI98" s="31"/>
      <c r="AJ98" s="31"/>
      <c r="AK98" s="31"/>
      <c r="AL98" s="31"/>
      <c r="AM98" s="31"/>
      <c r="AN98" s="32" t="str" cm="1">
        <f t="array" ref="AN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98" s="32" t="str" cm="1">
        <f t="array" ref="AO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98" s="31"/>
      <c r="AQ98" s="32"/>
    </row>
    <row r="99" spans="1:43" ht="14.4" x14ac:dyDescent="0.3">
      <c r="A99" s="31" t="s">
        <v>126</v>
      </c>
      <c r="B99" s="31" t="s">
        <v>283</v>
      </c>
      <c r="C99" s="31" t="s">
        <v>206</v>
      </c>
      <c r="D99" t="str" cm="1">
        <f t="array" aca="1" ref="D99" ca="1">IF($B99="","",IF(LEFT($AK99,3)="Yes","Blocked - "&amp;MID($AK99,7,100)&amp;IF(SUMPRODUCT(('Rework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track")),IF(C99="QA",_xlfn.LET(_xlpm.tgt,IF(AN99&lt;&gt;"",AN99,IF(Y99&lt;&gt;"",Y99,V99)),_xlpm.sent,_xlfn.MAXIFS('Rework Log'!$B$3:$B$499,'Rework Log'!$A$3:$A$499,$B99,'Rework Log'!$C$3:$C$499,"QA"),_xlpm.act,IF(AND(W99&lt;&gt;"",W99&gt;_xlpm.sent),W99,""),IF(_xlpm.tgt="","No target set",IF(AND(_xlpm.tgt&lt;TODAY(),_xlpm.act=""),"Overdue","On track"))),IF(C99="DPO Approval",_xlfn.LET(_xlpm.tgt,IF(AO99&lt;&gt;"",AO99,IF(AC99&lt;&gt;"",AC99,AB99)),_xlpm.sent,_xlfn.MAXIFS('Rework Log'!$B$3:$B$499,'Rework Log'!$A$3:$A$499,$B99,'Rework Log'!$C$3:$C$499,"DPO*"),_xlpm.act,IF(AND(AD99&lt;&gt;"",AD99&gt;_xlpm.sent),AD99,""),IF(_xlpm.tgt="","No target set",IF(AND(_xlpm.tgt&lt;TODAY(),_xlpm.act=""),"Overdue","On track"))),IF(C99="RELEASED IN PROD","Delivered",""))))))))</f>
        <v>On track</v>
      </c>
      <c r="E99" s="31" t="s">
        <v>284</v>
      </c>
      <c r="F99" s="31"/>
      <c r="G99" s="31"/>
      <c r="H99" s="50">
        <v>46356</v>
      </c>
      <c r="I99" s="56" t="s">
        <v>261</v>
      </c>
      <c r="J99" s="54"/>
      <c r="K99" s="50">
        <v>46332</v>
      </c>
      <c r="L99" s="43"/>
      <c r="M99" s="44"/>
      <c r="N99" s="44"/>
      <c r="O99" s="36" t="s">
        <v>271</v>
      </c>
      <c r="P99" s="75"/>
      <c r="Q99" s="50">
        <v>46339</v>
      </c>
      <c r="R99" s="43"/>
      <c r="S99" s="44"/>
      <c r="T99" s="69" t="s">
        <v>276</v>
      </c>
      <c r="U99" s="47"/>
      <c r="V99" s="28">
        <v>46344</v>
      </c>
      <c r="W99" s="31"/>
      <c r="X99" s="31"/>
      <c r="Y99" s="43"/>
      <c r="Z99" s="31"/>
      <c r="AA99" s="36"/>
      <c r="AB99" s="28">
        <v>46356</v>
      </c>
      <c r="AC99" s="43"/>
      <c r="AD99" s="43"/>
      <c r="AE99" s="31" t="s">
        <v>285</v>
      </c>
      <c r="AF99" s="31" t="s">
        <v>93</v>
      </c>
      <c r="AG99" s="31"/>
      <c r="AH99" s="31"/>
      <c r="AI99" s="31"/>
      <c r="AJ99" s="31"/>
      <c r="AK99" s="31"/>
      <c r="AL99" s="31"/>
      <c r="AM99" s="31"/>
      <c r="AN99" s="32" t="str" cm="1">
        <f t="array" ref="AN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99" s="32" t="str" cm="1">
        <f t="array" ref="AO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99" s="31"/>
      <c r="AQ99" s="32"/>
    </row>
    <row r="100" spans="1:43" ht="14.4" x14ac:dyDescent="0.3">
      <c r="A100" s="31" t="s">
        <v>126</v>
      </c>
      <c r="B100" s="31" t="s">
        <v>286</v>
      </c>
      <c r="C100" s="31" t="s">
        <v>206</v>
      </c>
      <c r="D100" t="str" cm="1">
        <f t="array" aca="1" ref="D100" ca="1">IF($B100="","",IF(LEFT($AK100,3)="Yes","Blocked - "&amp;MID($AK100,7,100)&amp;IF(SUMPRODUCT(('Rework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track")),IF(C100="QA",_xlfn.LET(_xlpm.tgt,IF(AN100&lt;&gt;"",AN100,IF(Y100&lt;&gt;"",Y100,V100)),_xlpm.sent,_xlfn.MAXIFS('Rework Log'!$B$3:$B$499,'Rework Log'!$A$3:$A$499,$B100,'Rework Log'!$C$3:$C$499,"QA"),_xlpm.act,IF(AND(W100&lt;&gt;"",W100&gt;_xlpm.sent),W100,""),IF(_xlpm.tgt="","No target set",IF(AND(_xlpm.tgt&lt;TODAY(),_xlpm.act=""),"Overdue","On track"))),IF(C100="DPO Approval",_xlfn.LET(_xlpm.tgt,IF(AO100&lt;&gt;"",AO100,IF(AC100&lt;&gt;"",AC100,AB100)),_xlpm.sent,_xlfn.MAXIFS('Rework Log'!$B$3:$B$499,'Rework Log'!$A$3:$A$499,$B100,'Rework Log'!$C$3:$C$499,"DPO*"),_xlpm.act,IF(AND(AD100&lt;&gt;"",AD100&gt;_xlpm.sent),AD100,""),IF(_xlpm.tgt="","No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261</v>
      </c>
      <c r="J100" s="54"/>
      <c r="K100" s="50">
        <v>46332</v>
      </c>
      <c r="L100" s="43"/>
      <c r="M100" s="44"/>
      <c r="N100" s="44"/>
      <c r="O100" s="36" t="s">
        <v>271</v>
      </c>
      <c r="P100" s="75"/>
      <c r="Q100" s="50">
        <v>46339</v>
      </c>
      <c r="R100" s="43"/>
      <c r="S100" s="44"/>
      <c r="T100" s="69" t="s">
        <v>276</v>
      </c>
      <c r="U100" s="47"/>
      <c r="V100" s="28">
        <v>46344</v>
      </c>
      <c r="W100" s="31"/>
      <c r="X100" s="31"/>
      <c r="Y100" s="43"/>
      <c r="Z100" s="31"/>
      <c r="AA100" s="36"/>
      <c r="AB100" s="28">
        <v>46356</v>
      </c>
      <c r="AC100" s="43"/>
      <c r="AD100" s="43"/>
      <c r="AE100" s="31" t="s">
        <v>287</v>
      </c>
      <c r="AF100" s="31" t="s">
        <v>71</v>
      </c>
      <c r="AG100" s="31"/>
      <c r="AH100" s="31"/>
      <c r="AI100" s="31"/>
      <c r="AJ100" s="31"/>
      <c r="AK100" s="31"/>
      <c r="AL100" s="31"/>
      <c r="AM100" s="31"/>
      <c r="AN100" s="32" t="str" cm="1">
        <f t="array" ref="AN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00" s="32" t="str" cm="1">
        <f t="array" ref="AO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00" s="31"/>
      <c r="AQ100" s="32"/>
    </row>
    <row r="101" spans="1:43" ht="14.4" x14ac:dyDescent="0.3">
      <c r="A101" s="31" t="s">
        <v>288</v>
      </c>
      <c r="B101" s="31" t="s">
        <v>289</v>
      </c>
      <c r="C101" s="31" t="s">
        <v>206</v>
      </c>
      <c r="D101" t="str" cm="1">
        <f t="array" aca="1" ref="D101" ca="1">IF($B101="","",IF(LEFT($AK101,3)="Yes","Blocked - "&amp;MID($AK101,7,100)&amp;IF(SUMPRODUCT(('Rework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track")),IF(C101="QA",_xlfn.LET(_xlpm.tgt,IF(AN101&lt;&gt;"",AN101,IF(Y101&lt;&gt;"",Y101,V101)),_xlpm.sent,_xlfn.MAXIFS('Rework Log'!$B$3:$B$499,'Rework Log'!$A$3:$A$499,$B101,'Rework Log'!$C$3:$C$499,"QA"),_xlpm.act,IF(AND(W101&lt;&gt;"",W101&gt;_xlpm.sent),W101,""),IF(_xlpm.tgt="","No target set",IF(AND(_xlpm.tgt&lt;TODAY(),_xlpm.act=""),"Overdue","On track"))),IF(C101="DPO Approval",_xlfn.LET(_xlpm.tgt,IF(AO101&lt;&gt;"",AO101,IF(AC101&lt;&gt;"",AC101,AB101)),_xlpm.sent,_xlfn.MAXIFS('Rework Log'!$B$3:$B$499,'Rework Log'!$A$3:$A$499,$B101,'Rework Log'!$C$3:$C$499,"DPO*"),_xlpm.act,IF(AND(AD101&lt;&gt;"",AD101&gt;_xlpm.sent),AD101,""),IF(_xlpm.tgt="","No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6" t="s">
        <v>290</v>
      </c>
      <c r="J101" s="54"/>
      <c r="K101" s="28">
        <v>46363</v>
      </c>
      <c r="L101" s="43"/>
      <c r="M101" s="31"/>
      <c r="N101" s="31"/>
      <c r="O101" s="36" t="s">
        <v>291</v>
      </c>
      <c r="P101" s="75"/>
      <c r="Q101" s="28">
        <v>46370</v>
      </c>
      <c r="R101" s="43"/>
      <c r="S101" s="31"/>
      <c r="T101" s="69" t="s">
        <v>276</v>
      </c>
      <c r="U101" s="47"/>
      <c r="V101" s="28">
        <v>46373</v>
      </c>
      <c r="W101" s="31"/>
      <c r="X101" s="31"/>
      <c r="Y101" s="43"/>
      <c r="Z101" s="31"/>
      <c r="AA101" s="36"/>
      <c r="AB101" s="28">
        <v>46386</v>
      </c>
      <c r="AC101" s="43"/>
      <c r="AD101" s="43"/>
      <c r="AE101" s="31" t="s">
        <v>292</v>
      </c>
      <c r="AF101" s="31" t="s">
        <v>93</v>
      </c>
      <c r="AG101" s="31"/>
      <c r="AH101" s="31"/>
      <c r="AI101" s="31"/>
      <c r="AJ101" s="31"/>
      <c r="AK101" s="31"/>
      <c r="AL101" s="31"/>
      <c r="AM101" s="31"/>
      <c r="AN101" s="31" t="str" cm="1">
        <f t="array" ref="AN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01" s="31" t="str" cm="1">
        <f t="array" ref="AO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01" s="31"/>
      <c r="AQ101" s="32"/>
    </row>
    <row r="102" spans="1:43" ht="14.4" x14ac:dyDescent="0.3">
      <c r="A102" s="31" t="s">
        <v>288</v>
      </c>
      <c r="B102" s="31" t="s">
        <v>293</v>
      </c>
      <c r="C102" s="31" t="s">
        <v>206</v>
      </c>
      <c r="D102" t="str" cm="1">
        <f t="array" aca="1" ref="D102" ca="1">IF($B102="","",IF(LEFT($AK102,3)="Yes","Blocked - "&amp;MID($AK102,7,100)&amp;IF(SUMPRODUCT(('Rework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track")),IF(C102="QA",_xlfn.LET(_xlpm.tgt,IF(AN102&lt;&gt;"",AN102,IF(Y102&lt;&gt;"",Y102,V102)),_xlpm.sent,_xlfn.MAXIFS('Rework Log'!$B$3:$B$499,'Rework Log'!$A$3:$A$499,$B102,'Rework Log'!$C$3:$C$499,"QA"),_xlpm.act,IF(AND(W102&lt;&gt;"",W102&gt;_xlpm.sent),W102,""),IF(_xlpm.tgt="","No target set",IF(AND(_xlpm.tgt&lt;TODAY(),_xlpm.act=""),"Overdue","On track"))),IF(C102="DPO Approval",_xlfn.LET(_xlpm.tgt,IF(AO102&lt;&gt;"",AO102,IF(AC102&lt;&gt;"",AC102,AB102)),_xlpm.sent,_xlfn.MAXIFS('Rework Log'!$B$3:$B$499,'Rework Log'!$A$3:$A$499,$B102,'Rework Log'!$C$3:$C$499,"DPO*"),_xlpm.act,IF(AND(AD102&lt;&gt;"",AD102&gt;_xlpm.sent),AD102,""),IF(_xlpm.tgt="","No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6" t="s">
        <v>290</v>
      </c>
      <c r="J102" s="54"/>
      <c r="K102" s="28">
        <v>46363</v>
      </c>
      <c r="L102" s="43"/>
      <c r="M102" s="31"/>
      <c r="N102" s="31"/>
      <c r="O102" s="36" t="s">
        <v>291</v>
      </c>
      <c r="P102" s="75"/>
      <c r="Q102" s="28">
        <v>46370</v>
      </c>
      <c r="R102" s="43"/>
      <c r="S102" s="31"/>
      <c r="T102" s="69" t="s">
        <v>294</v>
      </c>
      <c r="U102" s="47"/>
      <c r="V102" s="28">
        <v>46373</v>
      </c>
      <c r="W102" s="31"/>
      <c r="X102" s="31"/>
      <c r="Y102" s="43"/>
      <c r="Z102" s="31"/>
      <c r="AA102" s="36"/>
      <c r="AB102" s="28">
        <v>46386</v>
      </c>
      <c r="AC102" s="43"/>
      <c r="AD102" s="43"/>
      <c r="AE102" s="31" t="s">
        <v>295</v>
      </c>
      <c r="AF102" s="31" t="s">
        <v>93</v>
      </c>
      <c r="AG102" s="31"/>
      <c r="AH102" s="31"/>
      <c r="AI102" s="31"/>
      <c r="AJ102" s="31"/>
      <c r="AK102" s="31"/>
      <c r="AL102" s="31"/>
      <c r="AM102" s="31"/>
      <c r="AN102" s="31" t="str" cm="1">
        <f t="array" ref="AN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02" s="31" t="str" cm="1">
        <f t="array" ref="AO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02" s="31"/>
      <c r="AQ102" s="32"/>
    </row>
    <row r="103" spans="1:43" ht="14.4" x14ac:dyDescent="0.3">
      <c r="A103" s="31" t="s">
        <v>288</v>
      </c>
      <c r="B103" s="31" t="s">
        <v>296</v>
      </c>
      <c r="C103" s="31" t="s">
        <v>206</v>
      </c>
      <c r="D103" t="str" cm="1">
        <f t="array" aca="1" ref="D103" ca="1">IF($B103="","",IF(LEFT($AK103,3)="Yes","Blocked - "&amp;MID($AK103,7,100)&amp;IF(SUMPRODUCT(('Rework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track")),IF(C103="QA",_xlfn.LET(_xlpm.tgt,IF(AN103&lt;&gt;"",AN103,IF(Y103&lt;&gt;"",Y103,V103)),_xlpm.sent,_xlfn.MAXIFS('Rework Log'!$B$3:$B$499,'Rework Log'!$A$3:$A$499,$B103,'Rework Log'!$C$3:$C$499,"QA"),_xlpm.act,IF(AND(W103&lt;&gt;"",W103&gt;_xlpm.sent),W103,""),IF(_xlpm.tgt="","No target set",IF(AND(_xlpm.tgt&lt;TODAY(),_xlpm.act=""),"Overdue","On track"))),IF(C103="DPO Approval",_xlfn.LET(_xlpm.tgt,IF(AO103&lt;&gt;"",AO103,IF(AC103&lt;&gt;"",AC103,AB103)),_xlpm.sent,_xlfn.MAXIFS('Rework Log'!$B$3:$B$499,'Rework Log'!$A$3:$A$499,$B103,'Rework Log'!$C$3:$C$499,"DPO*"),_xlpm.act,IF(AND(AD103&lt;&gt;"",AD103&gt;_xlpm.sent),AD103,""),IF(_xlpm.tgt="","No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6" t="s">
        <v>290</v>
      </c>
      <c r="J103" s="54"/>
      <c r="K103" s="28">
        <v>46363</v>
      </c>
      <c r="L103" s="43"/>
      <c r="M103" s="31"/>
      <c r="N103" s="31"/>
      <c r="O103" s="36" t="s">
        <v>291</v>
      </c>
      <c r="P103" s="75"/>
      <c r="Q103" s="28">
        <v>46370</v>
      </c>
      <c r="R103" s="43"/>
      <c r="S103" s="31"/>
      <c r="T103" s="69" t="s">
        <v>294</v>
      </c>
      <c r="U103" s="47"/>
      <c r="V103" s="28">
        <v>46373</v>
      </c>
      <c r="W103" s="31"/>
      <c r="X103" s="31"/>
      <c r="Y103" s="43"/>
      <c r="Z103" s="31"/>
      <c r="AA103" s="36"/>
      <c r="AB103" s="28">
        <v>46386</v>
      </c>
      <c r="AC103" s="43"/>
      <c r="AD103" s="43"/>
      <c r="AE103" s="31" t="s">
        <v>297</v>
      </c>
      <c r="AF103" s="31" t="s">
        <v>93</v>
      </c>
      <c r="AG103" s="31"/>
      <c r="AH103" s="31"/>
      <c r="AI103" s="31"/>
      <c r="AJ103" s="31"/>
      <c r="AK103" s="31"/>
      <c r="AL103" s="31"/>
      <c r="AM103" s="31"/>
      <c r="AN103" s="31" t="str" cm="1">
        <f t="array" ref="AN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03" s="31" t="str" cm="1">
        <f t="array" ref="AO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03" s="31"/>
      <c r="AQ103" s="32"/>
    </row>
    <row r="104" spans="1:43" ht="14.4" x14ac:dyDescent="0.3">
      <c r="A104" s="31" t="s">
        <v>298</v>
      </c>
      <c r="B104" s="31" t="s">
        <v>299</v>
      </c>
      <c r="C104" s="31" t="s">
        <v>206</v>
      </c>
      <c r="D104" t="str" cm="1">
        <f t="array" aca="1" ref="D104" ca="1">IF($B104="","",IF(LEFT($AK104,3)="Yes","Blocked - "&amp;MID($AK104,7,100)&amp;IF(SUMPRODUCT(('Rework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track")),IF(C104="QA",_xlfn.LET(_xlpm.tgt,IF(AN104&lt;&gt;"",AN104,IF(Y104&lt;&gt;"",Y104,V104)),_xlpm.sent,_xlfn.MAXIFS('Rework Log'!$B$3:$B$499,'Rework Log'!$A$3:$A$499,$B104,'Rework Log'!$C$3:$C$499,"QA"),_xlpm.act,IF(AND(W104&lt;&gt;"",W104&gt;_xlpm.sent),W104,""),IF(_xlpm.tgt="","No target set",IF(AND(_xlpm.tgt&lt;TODAY(),_xlpm.act=""),"Overdue","On track"))),IF(C104="DPO Approval",_xlfn.LET(_xlpm.tgt,IF(AO104&lt;&gt;"",AO104,IF(AC104&lt;&gt;"",AC104,AB104)),_xlpm.sent,_xlfn.MAXIFS('Rework Log'!$B$3:$B$499,'Rework Log'!$A$3:$A$499,$B104,'Rework Log'!$C$3:$C$499,"DPO*"),_xlpm.act,IF(AND(AD104&lt;&gt;"",AD104&gt;_xlpm.sent),AD104,""),IF(_xlpm.tgt="","No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6" t="s">
        <v>290</v>
      </c>
      <c r="J104" s="54"/>
      <c r="K104" s="28">
        <v>46363</v>
      </c>
      <c r="L104" s="43"/>
      <c r="M104" s="31"/>
      <c r="N104" s="31"/>
      <c r="O104" s="36" t="s">
        <v>291</v>
      </c>
      <c r="P104" s="75"/>
      <c r="Q104" s="28">
        <v>46370</v>
      </c>
      <c r="R104" s="43"/>
      <c r="S104" s="31"/>
      <c r="T104" s="69" t="s">
        <v>294</v>
      </c>
      <c r="U104" s="47"/>
      <c r="V104" s="28">
        <v>46373</v>
      </c>
      <c r="W104" s="31"/>
      <c r="X104" s="31"/>
      <c r="Y104" s="43"/>
      <c r="Z104" s="31"/>
      <c r="AA104" s="36"/>
      <c r="AB104" s="28">
        <v>46386</v>
      </c>
      <c r="AC104" s="43"/>
      <c r="AD104" s="43"/>
      <c r="AE104" s="31" t="s">
        <v>300</v>
      </c>
      <c r="AF104" s="31" t="s">
        <v>48</v>
      </c>
      <c r="AG104" s="31"/>
      <c r="AH104" s="31"/>
      <c r="AI104" s="31"/>
      <c r="AJ104" s="31"/>
      <c r="AK104" s="31"/>
      <c r="AL104" s="31"/>
      <c r="AM104" s="31"/>
      <c r="AN104" s="31" t="str" cm="1">
        <f t="array" ref="AN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04" s="31" t="str" cm="1">
        <f t="array" ref="AO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04" s="31"/>
      <c r="AQ104" s="32"/>
    </row>
    <row r="105" spans="1:43" ht="14.4" x14ac:dyDescent="0.3">
      <c r="A105" s="31" t="s">
        <v>288</v>
      </c>
      <c r="B105" s="31" t="s">
        <v>301</v>
      </c>
      <c r="C105" s="31" t="s">
        <v>206</v>
      </c>
      <c r="D105" t="str" cm="1">
        <f t="array" aca="1" ref="D105" ca="1">IF($B105="","",IF(LEFT($AK105,3)="Yes","Blocked - "&amp;MID($AK105,7,100)&amp;IF(SUMPRODUCT(('Rework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track")),IF(C105="QA",_xlfn.LET(_xlpm.tgt,IF(AN105&lt;&gt;"",AN105,IF(Y105&lt;&gt;"",Y105,V105)),_xlpm.sent,_xlfn.MAXIFS('Rework Log'!$B$3:$B$499,'Rework Log'!$A$3:$A$499,$B105,'Rework Log'!$C$3:$C$499,"QA"),_xlpm.act,IF(AND(W105&lt;&gt;"",W105&gt;_xlpm.sent),W105,""),IF(_xlpm.tgt="","No target set",IF(AND(_xlpm.tgt&lt;TODAY(),_xlpm.act=""),"Overdue","On track"))),IF(C105="DPO Approval",_xlfn.LET(_xlpm.tgt,IF(AO105&lt;&gt;"",AO105,IF(AC105&lt;&gt;"",AC105,AB105)),_xlpm.sent,_xlfn.MAXIFS('Rework Log'!$B$3:$B$499,'Rework Log'!$A$3:$A$499,$B105,'Rework Log'!$C$3:$C$499,"DPO*"),_xlpm.act,IF(AND(AD105&lt;&gt;"",AD105&gt;_xlpm.sent),AD105,""),IF(_xlpm.tgt="","No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6" t="s">
        <v>290</v>
      </c>
      <c r="J105" s="54"/>
      <c r="K105" s="28">
        <v>46363</v>
      </c>
      <c r="L105" s="43"/>
      <c r="M105" s="31"/>
      <c r="N105" s="31"/>
      <c r="O105" s="36" t="s">
        <v>291</v>
      </c>
      <c r="P105" s="75"/>
      <c r="Q105" s="28">
        <v>46370</v>
      </c>
      <c r="R105" s="43"/>
      <c r="S105" s="31"/>
      <c r="T105" s="69" t="s">
        <v>294</v>
      </c>
      <c r="U105" s="47"/>
      <c r="V105" s="28">
        <v>46373</v>
      </c>
      <c r="W105" s="31"/>
      <c r="X105" s="31"/>
      <c r="Y105" s="43"/>
      <c r="Z105" s="31"/>
      <c r="AA105" s="36"/>
      <c r="AB105" s="28">
        <v>46386</v>
      </c>
      <c r="AC105" s="43"/>
      <c r="AD105" s="43"/>
      <c r="AE105" s="31" t="s">
        <v>302</v>
      </c>
      <c r="AF105" s="31" t="s">
        <v>71</v>
      </c>
      <c r="AG105" s="31"/>
      <c r="AH105" s="31"/>
      <c r="AI105" s="31"/>
      <c r="AJ105" s="31"/>
      <c r="AK105" s="31"/>
      <c r="AL105" s="31"/>
      <c r="AM105" s="31"/>
      <c r="AN105" s="31" t="str" cm="1">
        <f t="array" ref="AN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05" s="31" t="str" cm="1">
        <f t="array" ref="AO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05" s="31"/>
      <c r="AQ105" s="32"/>
    </row>
    <row r="106" spans="1:43" ht="14.4" x14ac:dyDescent="0.3">
      <c r="A106" s="31" t="s">
        <v>288</v>
      </c>
      <c r="B106" s="31" t="s">
        <v>303</v>
      </c>
      <c r="C106" s="31" t="s">
        <v>206</v>
      </c>
      <c r="D106" t="str" cm="1">
        <f t="array" aca="1" ref="D106" ca="1">IF($B106="","",IF(LEFT($AK106,3)="Yes","Blocked - "&amp;MID($AK106,7,100)&amp;IF(SUMPRODUCT(('Rework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track")),IF(C106="QA",_xlfn.LET(_xlpm.tgt,IF(AN106&lt;&gt;"",AN106,IF(Y106&lt;&gt;"",Y106,V106)),_xlpm.sent,_xlfn.MAXIFS('Rework Log'!$B$3:$B$499,'Rework Log'!$A$3:$A$499,$B106,'Rework Log'!$C$3:$C$499,"QA"),_xlpm.act,IF(AND(W106&lt;&gt;"",W106&gt;_xlpm.sent),W106,""),IF(_xlpm.tgt="","No target set",IF(AND(_xlpm.tgt&lt;TODAY(),_xlpm.act=""),"Overdue","On track"))),IF(C106="DPO Approval",_xlfn.LET(_xlpm.tgt,IF(AO106&lt;&gt;"",AO106,IF(AC106&lt;&gt;"",AC106,AB106)),_xlpm.sent,_xlfn.MAXIFS('Rework Log'!$B$3:$B$499,'Rework Log'!$A$3:$A$499,$B106,'Rework Log'!$C$3:$C$499,"DPO*"),_xlpm.act,IF(AND(AD106&lt;&gt;"",AD106&gt;_xlpm.sent),AD106,""),IF(_xlpm.tgt="","No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6" t="s">
        <v>290</v>
      </c>
      <c r="J106" s="54"/>
      <c r="K106" s="28">
        <v>46363</v>
      </c>
      <c r="L106" s="43"/>
      <c r="M106" s="31"/>
      <c r="N106" s="31"/>
      <c r="O106" s="36" t="s">
        <v>291</v>
      </c>
      <c r="P106" s="75"/>
      <c r="Q106" s="28">
        <v>46370</v>
      </c>
      <c r="R106" s="43"/>
      <c r="S106" s="31"/>
      <c r="T106" s="69" t="s">
        <v>294</v>
      </c>
      <c r="U106" s="47"/>
      <c r="V106" s="28">
        <v>46373</v>
      </c>
      <c r="W106" s="31"/>
      <c r="X106" s="31"/>
      <c r="Y106" s="43"/>
      <c r="Z106" s="31"/>
      <c r="AA106" s="36"/>
      <c r="AB106" s="28">
        <v>46386</v>
      </c>
      <c r="AC106" s="43"/>
      <c r="AD106" s="43"/>
      <c r="AE106" s="31" t="s">
        <v>304</v>
      </c>
      <c r="AF106" s="31" t="s">
        <v>71</v>
      </c>
      <c r="AG106" s="31"/>
      <c r="AH106" s="31"/>
      <c r="AI106" s="31"/>
      <c r="AJ106" s="31"/>
      <c r="AK106" s="31"/>
      <c r="AL106" s="31"/>
      <c r="AM106" s="31"/>
      <c r="AN106" s="31" t="str" cm="1">
        <f t="array" ref="AN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06" s="31" t="str" cm="1">
        <f t="array" ref="AO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06" s="31"/>
      <c r="AQ106" s="32"/>
    </row>
    <row r="107" spans="1:43" ht="14.4" x14ac:dyDescent="0.3">
      <c r="A107" s="31" t="s">
        <v>288</v>
      </c>
      <c r="B107" s="31" t="s">
        <v>305</v>
      </c>
      <c r="C107" s="31" t="s">
        <v>206</v>
      </c>
      <c r="D107" t="str" cm="1">
        <f t="array" aca="1" ref="D107" ca="1">IF($B107="","",IF(LEFT($AK107,3)="Yes","Blocked - "&amp;MID($AK107,7,100)&amp;IF(SUMPRODUCT(('Rework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track")),IF(C107="QA",_xlfn.LET(_xlpm.tgt,IF(AN107&lt;&gt;"",AN107,IF(Y107&lt;&gt;"",Y107,V107)),_xlpm.sent,_xlfn.MAXIFS('Rework Log'!$B$3:$B$499,'Rework Log'!$A$3:$A$499,$B107,'Rework Log'!$C$3:$C$499,"QA"),_xlpm.act,IF(AND(W107&lt;&gt;"",W107&gt;_xlpm.sent),W107,""),IF(_xlpm.tgt="","No target set",IF(AND(_xlpm.tgt&lt;TODAY(),_xlpm.act=""),"Overdue","On track"))),IF(C107="DPO Approval",_xlfn.LET(_xlpm.tgt,IF(AO107&lt;&gt;"",AO107,IF(AC107&lt;&gt;"",AC107,AB107)),_xlpm.sent,_xlfn.MAXIFS('Rework Log'!$B$3:$B$499,'Rework Log'!$A$3:$A$499,$B107,'Rework Log'!$C$3:$C$499,"DPO*"),_xlpm.act,IF(AND(AD107&lt;&gt;"",AD107&gt;_xlpm.sent),AD107,""),IF(_xlpm.tgt="","No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6" t="s">
        <v>290</v>
      </c>
      <c r="J107" s="54"/>
      <c r="K107" s="28">
        <v>46363</v>
      </c>
      <c r="L107" s="43"/>
      <c r="M107" s="31"/>
      <c r="N107" s="31"/>
      <c r="O107" s="36" t="s">
        <v>291</v>
      </c>
      <c r="P107" s="75"/>
      <c r="Q107" s="28">
        <v>46370</v>
      </c>
      <c r="R107" s="43"/>
      <c r="S107" s="31"/>
      <c r="T107" s="69" t="s">
        <v>294</v>
      </c>
      <c r="U107" s="47"/>
      <c r="V107" s="28">
        <v>46373</v>
      </c>
      <c r="W107" s="31"/>
      <c r="X107" s="31"/>
      <c r="Y107" s="43"/>
      <c r="Z107" s="31"/>
      <c r="AA107" s="36"/>
      <c r="AB107" s="28">
        <v>46386</v>
      </c>
      <c r="AC107" s="43"/>
      <c r="AD107" s="43"/>
      <c r="AE107" s="31" t="s">
        <v>306</v>
      </c>
      <c r="AF107" s="31" t="s">
        <v>71</v>
      </c>
      <c r="AG107" s="31"/>
      <c r="AH107" s="31"/>
      <c r="AI107" s="31"/>
      <c r="AJ107" s="31"/>
      <c r="AK107" s="31"/>
      <c r="AL107" s="31"/>
      <c r="AM107" s="31"/>
      <c r="AN107" s="31" t="str" cm="1">
        <f t="array" ref="AN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07" s="31" t="str" cm="1">
        <f t="array" ref="AO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07" s="31"/>
      <c r="AQ107" s="32"/>
    </row>
    <row r="108" spans="1:43" ht="14.4" x14ac:dyDescent="0.3">
      <c r="A108" s="31" t="s">
        <v>288</v>
      </c>
      <c r="B108" s="31" t="s">
        <v>307</v>
      </c>
      <c r="C108" s="31" t="s">
        <v>206</v>
      </c>
      <c r="D108" t="str" cm="1">
        <f t="array" aca="1" ref="D108" ca="1">IF($B108="","",IF(LEFT($AK108,3)="Yes","Blocked - "&amp;MID($AK108,7,100)&amp;IF(SUMPRODUCT(('Rework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track")),IF(C108="QA",_xlfn.LET(_xlpm.tgt,IF(AN108&lt;&gt;"",AN108,IF(Y108&lt;&gt;"",Y108,V108)),_xlpm.sent,_xlfn.MAXIFS('Rework Log'!$B$3:$B$499,'Rework Log'!$A$3:$A$499,$B108,'Rework Log'!$C$3:$C$499,"QA"),_xlpm.act,IF(AND(W108&lt;&gt;"",W108&gt;_xlpm.sent),W108,""),IF(_xlpm.tgt="","No target set",IF(AND(_xlpm.tgt&lt;TODAY(),_xlpm.act=""),"Overdue","On track"))),IF(C108="DPO Approval",_xlfn.LET(_xlpm.tgt,IF(AO108&lt;&gt;"",AO108,IF(AC108&lt;&gt;"",AC108,AB108)),_xlpm.sent,_xlfn.MAXIFS('Rework Log'!$B$3:$B$499,'Rework Log'!$A$3:$A$499,$B108,'Rework Log'!$C$3:$C$499,"DPO*"),_xlpm.act,IF(AND(AD108&lt;&gt;"",AD108&gt;_xlpm.sent),AD108,""),IF(_xlpm.tgt="","No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6" t="s">
        <v>290</v>
      </c>
      <c r="J108" s="54"/>
      <c r="K108" s="28">
        <v>46363</v>
      </c>
      <c r="L108" s="43"/>
      <c r="M108" s="31"/>
      <c r="N108" s="31"/>
      <c r="O108" s="36" t="s">
        <v>308</v>
      </c>
      <c r="P108" s="75"/>
      <c r="Q108" s="28">
        <v>46370</v>
      </c>
      <c r="R108" s="43"/>
      <c r="S108" s="31"/>
      <c r="T108" s="69" t="s">
        <v>294</v>
      </c>
      <c r="U108" s="47"/>
      <c r="V108" s="28">
        <v>46373</v>
      </c>
      <c r="W108" s="31"/>
      <c r="X108" s="31"/>
      <c r="Y108" s="43"/>
      <c r="Z108" s="31"/>
      <c r="AA108" s="36"/>
      <c r="AB108" s="28">
        <v>46386</v>
      </c>
      <c r="AC108" s="43"/>
      <c r="AD108" s="43"/>
      <c r="AE108" s="31" t="s">
        <v>309</v>
      </c>
      <c r="AF108" s="31" t="s">
        <v>71</v>
      </c>
      <c r="AG108" s="31"/>
      <c r="AH108" s="31"/>
      <c r="AI108" s="31"/>
      <c r="AJ108" s="31"/>
      <c r="AK108" s="31"/>
      <c r="AL108" s="31"/>
      <c r="AM108" s="31"/>
      <c r="AN108" s="31" t="str" cm="1">
        <f t="array" ref="AN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08" s="31" t="str" cm="1">
        <f t="array" ref="AO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08" s="31"/>
      <c r="AQ108" s="32"/>
    </row>
    <row r="109" spans="1:43" ht="14.4" x14ac:dyDescent="0.3">
      <c r="A109" s="31" t="s">
        <v>298</v>
      </c>
      <c r="B109" s="31" t="s">
        <v>310</v>
      </c>
      <c r="C109" s="31" t="s">
        <v>206</v>
      </c>
      <c r="D109" t="str" cm="1">
        <f t="array" aca="1" ref="D109" ca="1">IF($B109="","",IF(LEFT($AK109,3)="Yes","Blocked - "&amp;MID($AK109,7,100)&amp;IF(SUMPRODUCT(('Rework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track")),IF(C109="QA",_xlfn.LET(_xlpm.tgt,IF(AN109&lt;&gt;"",AN109,IF(Y109&lt;&gt;"",Y109,V109)),_xlpm.sent,_xlfn.MAXIFS('Rework Log'!$B$3:$B$499,'Rework Log'!$A$3:$A$499,$B109,'Rework Log'!$C$3:$C$499,"QA"),_xlpm.act,IF(AND(W109&lt;&gt;"",W109&gt;_xlpm.sent),W109,""),IF(_xlpm.tgt="","No target set",IF(AND(_xlpm.tgt&lt;TODAY(),_xlpm.act=""),"Overdue","On track"))),IF(C109="DPO Approval",_xlfn.LET(_xlpm.tgt,IF(AO109&lt;&gt;"",AO109,IF(AC109&lt;&gt;"",AC109,AB109)),_xlpm.sent,_xlfn.MAXIFS('Rework Log'!$B$3:$B$499,'Rework Log'!$A$3:$A$499,$B109,'Rework Log'!$C$3:$C$499,"DPO*"),_xlpm.act,IF(AND(AD109&lt;&gt;"",AD109&gt;_xlpm.sent),AD109,""),IF(_xlpm.tgt="","No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6" t="s">
        <v>290</v>
      </c>
      <c r="J109" s="54"/>
      <c r="K109" s="28">
        <v>46363</v>
      </c>
      <c r="L109" s="43"/>
      <c r="M109" s="31"/>
      <c r="N109" s="31"/>
      <c r="O109" s="36" t="s">
        <v>308</v>
      </c>
      <c r="P109" s="75"/>
      <c r="Q109" s="28">
        <v>46370</v>
      </c>
      <c r="R109" s="43"/>
      <c r="S109" s="31"/>
      <c r="T109" s="69" t="s">
        <v>311</v>
      </c>
      <c r="U109" s="47"/>
      <c r="V109" s="28">
        <v>46373</v>
      </c>
      <c r="W109" s="31"/>
      <c r="X109" s="31"/>
      <c r="Y109" s="43"/>
      <c r="Z109" s="31"/>
      <c r="AA109" s="36"/>
      <c r="AB109" s="28">
        <v>46386</v>
      </c>
      <c r="AC109" s="43"/>
      <c r="AD109" s="43"/>
      <c r="AE109" s="31" t="s">
        <v>312</v>
      </c>
      <c r="AF109" s="31" t="s">
        <v>71</v>
      </c>
      <c r="AG109" s="31"/>
      <c r="AH109" s="31"/>
      <c r="AI109" s="31"/>
      <c r="AJ109" s="31"/>
      <c r="AK109" s="31"/>
      <c r="AL109" s="31"/>
      <c r="AM109" s="31"/>
      <c r="AN109" s="31" t="str" cm="1">
        <f t="array" ref="AN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09" s="31" t="str" cm="1">
        <f t="array" ref="AO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09" s="31"/>
      <c r="AQ109" s="32"/>
    </row>
    <row r="110" spans="1:43" ht="14.4" x14ac:dyDescent="0.3">
      <c r="A110" s="31" t="s">
        <v>288</v>
      </c>
      <c r="B110" s="31" t="s">
        <v>313</v>
      </c>
      <c r="C110" s="31" t="s">
        <v>206</v>
      </c>
      <c r="D110" t="str" cm="1">
        <f t="array" aca="1" ref="D110" ca="1">IF($B110="","",IF(LEFT($AK110,3)="Yes","Blocked - "&amp;MID($AK110,7,100)&amp;IF(SUMPRODUCT(('Rework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track")),IF(C110="QA",_xlfn.LET(_xlpm.tgt,IF(AN110&lt;&gt;"",AN110,IF(Y110&lt;&gt;"",Y110,V110)),_xlpm.sent,_xlfn.MAXIFS('Rework Log'!$B$3:$B$499,'Rework Log'!$A$3:$A$499,$B110,'Rework Log'!$C$3:$C$499,"QA"),_xlpm.act,IF(AND(W110&lt;&gt;"",W110&gt;_xlpm.sent),W110,""),IF(_xlpm.tgt="","No target set",IF(AND(_xlpm.tgt&lt;TODAY(),_xlpm.act=""),"Overdue","On track"))),IF(C110="DPO Approval",_xlfn.LET(_xlpm.tgt,IF(AO110&lt;&gt;"",AO110,IF(AC110&lt;&gt;"",AC110,AB110)),_xlpm.sent,_xlfn.MAXIFS('Rework Log'!$B$3:$B$499,'Rework Log'!$A$3:$A$499,$B110,'Rework Log'!$C$3:$C$499,"DPO*"),_xlpm.act,IF(AND(AD110&lt;&gt;"",AD110&gt;_xlpm.sent),AD110,""),IF(_xlpm.tgt="","No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6" t="s">
        <v>290</v>
      </c>
      <c r="J110" s="54"/>
      <c r="K110" s="28">
        <v>46363</v>
      </c>
      <c r="L110" s="43"/>
      <c r="M110" s="31"/>
      <c r="N110" s="31"/>
      <c r="O110" s="36" t="s">
        <v>308</v>
      </c>
      <c r="P110" s="75"/>
      <c r="Q110" s="28">
        <v>46370</v>
      </c>
      <c r="R110" s="43"/>
      <c r="S110" s="31"/>
      <c r="T110" s="69" t="s">
        <v>311</v>
      </c>
      <c r="U110" s="47"/>
      <c r="V110" s="28">
        <v>46373</v>
      </c>
      <c r="W110" s="31"/>
      <c r="X110" s="31"/>
      <c r="Y110" s="43"/>
      <c r="Z110" s="31"/>
      <c r="AA110" s="36"/>
      <c r="AB110" s="28">
        <v>46386</v>
      </c>
      <c r="AC110" s="43"/>
      <c r="AD110" s="43"/>
      <c r="AE110" s="31" t="s">
        <v>314</v>
      </c>
      <c r="AF110" s="31" t="s">
        <v>71</v>
      </c>
      <c r="AG110" s="31"/>
      <c r="AH110" s="31"/>
      <c r="AI110" s="31"/>
      <c r="AJ110" s="31"/>
      <c r="AK110" s="31"/>
      <c r="AL110" s="31"/>
      <c r="AM110" s="31"/>
      <c r="AN110" s="31" t="str" cm="1">
        <f t="array" ref="AN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10" s="31" t="str" cm="1">
        <f t="array" ref="AO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10" s="31"/>
      <c r="AQ110" s="32"/>
    </row>
    <row r="111" spans="1:43" ht="14.4" x14ac:dyDescent="0.3">
      <c r="A111" s="31" t="s">
        <v>298</v>
      </c>
      <c r="B111" s="31" t="s">
        <v>315</v>
      </c>
      <c r="C111" s="31" t="s">
        <v>206</v>
      </c>
      <c r="D111" t="str" cm="1">
        <f t="array" aca="1" ref="D111" ca="1">IF($B111="","",IF(LEFT($AK111,3)="Yes","Blocked - "&amp;MID($AK111,7,100)&amp;IF(SUMPRODUCT(('Rework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track")),IF(C111="QA",_xlfn.LET(_xlpm.tgt,IF(AN111&lt;&gt;"",AN111,IF(Y111&lt;&gt;"",Y111,V111)),_xlpm.sent,_xlfn.MAXIFS('Rework Log'!$B$3:$B$499,'Rework Log'!$A$3:$A$499,$B111,'Rework Log'!$C$3:$C$499,"QA"),_xlpm.act,IF(AND(W111&lt;&gt;"",W111&gt;_xlpm.sent),W111,""),IF(_xlpm.tgt="","No target set",IF(AND(_xlpm.tgt&lt;TODAY(),_xlpm.act=""),"Overdue","On track"))),IF(C111="DPO Approval",_xlfn.LET(_xlpm.tgt,IF(AO111&lt;&gt;"",AO111,IF(AC111&lt;&gt;"",AC111,AB111)),_xlpm.sent,_xlfn.MAXIFS('Rework Log'!$B$3:$B$499,'Rework Log'!$A$3:$A$499,$B111,'Rework Log'!$C$3:$C$499,"DPO*"),_xlpm.act,IF(AND(AD111&lt;&gt;"",AD111&gt;_xlpm.sent),AD111,""),IF(_xlpm.tgt="","No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6" t="s">
        <v>290</v>
      </c>
      <c r="J111" s="54"/>
      <c r="K111" s="28">
        <v>46363</v>
      </c>
      <c r="L111" s="43"/>
      <c r="M111" s="31"/>
      <c r="N111" s="31"/>
      <c r="O111" s="36" t="s">
        <v>308</v>
      </c>
      <c r="P111" s="75"/>
      <c r="Q111" s="28">
        <v>46370</v>
      </c>
      <c r="R111" s="43"/>
      <c r="S111" s="31"/>
      <c r="T111" s="69" t="s">
        <v>311</v>
      </c>
      <c r="U111" s="47"/>
      <c r="V111" s="28">
        <v>46373</v>
      </c>
      <c r="W111" s="31"/>
      <c r="X111" s="31"/>
      <c r="Y111" s="43"/>
      <c r="Z111" s="31"/>
      <c r="AA111" s="36"/>
      <c r="AB111" s="28">
        <v>46386</v>
      </c>
      <c r="AC111" s="43"/>
      <c r="AD111" s="43"/>
      <c r="AE111" s="31" t="s">
        <v>316</v>
      </c>
      <c r="AF111" s="31" t="s">
        <v>71</v>
      </c>
      <c r="AG111" s="31"/>
      <c r="AH111" s="31"/>
      <c r="AI111" s="31"/>
      <c r="AJ111" s="31"/>
      <c r="AK111" s="31"/>
      <c r="AL111" s="31"/>
      <c r="AM111" s="31"/>
      <c r="AN111" s="31" t="str" cm="1">
        <f t="array" ref="AN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11" s="31" t="str" cm="1">
        <f t="array" ref="AO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11" s="31"/>
      <c r="AQ111" s="32"/>
    </row>
    <row r="112" spans="1:43" ht="14.4" x14ac:dyDescent="0.3">
      <c r="A112" s="31" t="s">
        <v>298</v>
      </c>
      <c r="B112" s="31" t="s">
        <v>317</v>
      </c>
      <c r="C112" s="31" t="s">
        <v>206</v>
      </c>
      <c r="D112" t="str" cm="1">
        <f t="array" aca="1" ref="D112" ca="1">IF($B112="","",IF(LEFT($AK112,3)="Yes","Blocked - "&amp;MID($AK112,7,100)&amp;IF(SUMPRODUCT(('Rework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track")),IF(C112="QA",_xlfn.LET(_xlpm.tgt,IF(AN112&lt;&gt;"",AN112,IF(Y112&lt;&gt;"",Y112,V112)),_xlpm.sent,_xlfn.MAXIFS('Rework Log'!$B$3:$B$499,'Rework Log'!$A$3:$A$499,$B112,'Rework Log'!$C$3:$C$499,"QA"),_xlpm.act,IF(AND(W112&lt;&gt;"",W112&gt;_xlpm.sent),W112,""),IF(_xlpm.tgt="","No target set",IF(AND(_xlpm.tgt&lt;TODAY(),_xlpm.act=""),"Overdue","On track"))),IF(C112="DPO Approval",_xlfn.LET(_xlpm.tgt,IF(AO112&lt;&gt;"",AO112,IF(AC112&lt;&gt;"",AC112,AB112)),_xlpm.sent,_xlfn.MAXIFS('Rework Log'!$B$3:$B$499,'Rework Log'!$A$3:$A$499,$B112,'Rework Log'!$C$3:$C$499,"DPO*"),_xlpm.act,IF(AND(AD112&lt;&gt;"",AD112&gt;_xlpm.sent),AD112,""),IF(_xlpm.tgt="","No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6" t="s">
        <v>290</v>
      </c>
      <c r="J112" s="54"/>
      <c r="K112" s="28">
        <v>46363</v>
      </c>
      <c r="L112" s="43"/>
      <c r="M112" s="31"/>
      <c r="N112" s="31"/>
      <c r="O112" s="36" t="s">
        <v>308</v>
      </c>
      <c r="P112" s="75"/>
      <c r="Q112" s="28">
        <v>46370</v>
      </c>
      <c r="R112" s="43"/>
      <c r="S112" s="31"/>
      <c r="T112" s="69" t="s">
        <v>311</v>
      </c>
      <c r="U112" s="47"/>
      <c r="V112" s="28">
        <v>46373</v>
      </c>
      <c r="W112" s="31"/>
      <c r="X112" s="31"/>
      <c r="Y112" s="43"/>
      <c r="Z112" s="31"/>
      <c r="AA112" s="36"/>
      <c r="AB112" s="28">
        <v>46386</v>
      </c>
      <c r="AC112" s="43"/>
      <c r="AD112" s="43"/>
      <c r="AE112" s="31" t="s">
        <v>312</v>
      </c>
      <c r="AF112" s="31" t="s">
        <v>71</v>
      </c>
      <c r="AG112" s="31"/>
      <c r="AH112" s="31"/>
      <c r="AI112" s="31"/>
      <c r="AJ112" s="31"/>
      <c r="AK112" s="31"/>
      <c r="AL112" s="31"/>
      <c r="AM112" s="31"/>
      <c r="AN112" s="31" t="str" cm="1">
        <f t="array" ref="AN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12" s="31" t="str" cm="1">
        <f t="array" ref="AO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12" s="31"/>
      <c r="AQ112" s="32"/>
    </row>
    <row r="113" spans="1:43" ht="14.4" x14ac:dyDescent="0.3">
      <c r="A113" s="31" t="s">
        <v>298</v>
      </c>
      <c r="B113" s="31" t="s">
        <v>318</v>
      </c>
      <c r="C113" s="31" t="s">
        <v>206</v>
      </c>
      <c r="D113" t="str" cm="1">
        <f t="array" aca="1" ref="D113" ca="1">IF($B113="","",IF(LEFT($AK113,3)="Yes","Blocked - "&amp;MID($AK113,7,100)&amp;IF(SUMPRODUCT(('Rework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track")),IF(C113="QA",_xlfn.LET(_xlpm.tgt,IF(AN113&lt;&gt;"",AN113,IF(Y113&lt;&gt;"",Y113,V113)),_xlpm.sent,_xlfn.MAXIFS('Rework Log'!$B$3:$B$499,'Rework Log'!$A$3:$A$499,$B113,'Rework Log'!$C$3:$C$499,"QA"),_xlpm.act,IF(AND(W113&lt;&gt;"",W113&gt;_xlpm.sent),W113,""),IF(_xlpm.tgt="","No target set",IF(AND(_xlpm.tgt&lt;TODAY(),_xlpm.act=""),"Overdue","On track"))),IF(C113="DPO Approval",_xlfn.LET(_xlpm.tgt,IF(AO113&lt;&gt;"",AO113,IF(AC113&lt;&gt;"",AC113,AB113)),_xlpm.sent,_xlfn.MAXIFS('Rework Log'!$B$3:$B$499,'Rework Log'!$A$3:$A$499,$B113,'Rework Log'!$C$3:$C$499,"DPO*"),_xlpm.act,IF(AND(AD113&lt;&gt;"",AD113&gt;_xlpm.sent),AD113,""),IF(_xlpm.tgt="","No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6" t="s">
        <v>290</v>
      </c>
      <c r="J113" s="54"/>
      <c r="K113" s="28">
        <v>46363</v>
      </c>
      <c r="L113" s="43"/>
      <c r="M113" s="31"/>
      <c r="N113" s="31"/>
      <c r="O113" s="36" t="s">
        <v>308</v>
      </c>
      <c r="P113" s="75"/>
      <c r="Q113" s="28">
        <v>46370</v>
      </c>
      <c r="R113" s="43"/>
      <c r="S113" s="31"/>
      <c r="T113" s="69" t="s">
        <v>311</v>
      </c>
      <c r="U113" s="47"/>
      <c r="V113" s="28">
        <v>46373</v>
      </c>
      <c r="W113" s="31"/>
      <c r="X113" s="31"/>
      <c r="Y113" s="43"/>
      <c r="Z113" s="31"/>
      <c r="AA113" s="36"/>
      <c r="AB113" s="28">
        <v>46386</v>
      </c>
      <c r="AC113" s="43"/>
      <c r="AD113" s="43"/>
      <c r="AE113" s="31" t="s">
        <v>312</v>
      </c>
      <c r="AF113" s="31" t="s">
        <v>71</v>
      </c>
      <c r="AG113" s="31"/>
      <c r="AH113" s="31"/>
      <c r="AI113" s="31"/>
      <c r="AJ113" s="31"/>
      <c r="AK113" s="31"/>
      <c r="AL113" s="31"/>
      <c r="AM113" s="31"/>
      <c r="AN113" s="31" t="str" cm="1">
        <f t="array" ref="AN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13" s="31" t="str" cm="1">
        <f t="array" ref="AO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13" s="31"/>
      <c r="AQ113" s="32"/>
    </row>
    <row r="114" spans="1:43" ht="14.4" x14ac:dyDescent="0.3">
      <c r="A114" s="31" t="s">
        <v>298</v>
      </c>
      <c r="B114" s="31" t="s">
        <v>319</v>
      </c>
      <c r="C114" s="31" t="s">
        <v>206</v>
      </c>
      <c r="D114" t="str" cm="1">
        <f t="array" aca="1" ref="D114" ca="1">IF($B114="","",IF(LEFT($AK114,3)="Yes","Blocked - "&amp;MID($AK114,7,100)&amp;IF(SUMPRODUCT(('Rework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track")),IF(C114="QA",_xlfn.LET(_xlpm.tgt,IF(AN114&lt;&gt;"",AN114,IF(Y114&lt;&gt;"",Y114,V114)),_xlpm.sent,_xlfn.MAXIFS('Rework Log'!$B$3:$B$499,'Rework Log'!$A$3:$A$499,$B114,'Rework Log'!$C$3:$C$499,"QA"),_xlpm.act,IF(AND(W114&lt;&gt;"",W114&gt;_xlpm.sent),W114,""),IF(_xlpm.tgt="","No target set",IF(AND(_xlpm.tgt&lt;TODAY(),_xlpm.act=""),"Overdue","On track"))),IF(C114="DPO Approval",_xlfn.LET(_xlpm.tgt,IF(AO114&lt;&gt;"",AO114,IF(AC114&lt;&gt;"",AC114,AB114)),_xlpm.sent,_xlfn.MAXIFS('Rework Log'!$B$3:$B$499,'Rework Log'!$A$3:$A$499,$B114,'Rework Log'!$C$3:$C$499,"DPO*"),_xlpm.act,IF(AND(AD114&lt;&gt;"",AD114&gt;_xlpm.sent),AD114,""),IF(_xlpm.tgt="","No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6" t="s">
        <v>290</v>
      </c>
      <c r="J114" s="54"/>
      <c r="K114" s="28">
        <v>46363</v>
      </c>
      <c r="L114" s="43"/>
      <c r="M114" s="31"/>
      <c r="N114" s="31"/>
      <c r="O114" s="36" t="s">
        <v>320</v>
      </c>
      <c r="P114" s="75"/>
      <c r="Q114" s="28">
        <v>46370</v>
      </c>
      <c r="R114" s="43"/>
      <c r="S114" s="31"/>
      <c r="T114" s="69" t="s">
        <v>311</v>
      </c>
      <c r="U114" s="47"/>
      <c r="V114" s="28">
        <v>46373</v>
      </c>
      <c r="W114" s="31"/>
      <c r="X114" s="31"/>
      <c r="Y114" s="43"/>
      <c r="Z114" s="31"/>
      <c r="AA114" s="36"/>
      <c r="AB114" s="28">
        <v>46386</v>
      </c>
      <c r="AC114" s="43"/>
      <c r="AD114" s="43"/>
      <c r="AE114" s="31" t="s">
        <v>316</v>
      </c>
      <c r="AF114" s="31" t="s">
        <v>71</v>
      </c>
      <c r="AG114" s="31"/>
      <c r="AH114" s="31"/>
      <c r="AI114" s="31"/>
      <c r="AJ114" s="31"/>
      <c r="AK114" s="31"/>
      <c r="AL114" s="31"/>
      <c r="AM114" s="31"/>
      <c r="AN114" s="31" t="str" cm="1">
        <f t="array" ref="AN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14" s="31" t="str" cm="1">
        <f t="array" ref="AO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14" s="31"/>
      <c r="AQ114" s="32"/>
    </row>
    <row r="115" spans="1:43" ht="14.4" x14ac:dyDescent="0.3">
      <c r="A115" s="31" t="s">
        <v>298</v>
      </c>
      <c r="B115" s="31" t="s">
        <v>321</v>
      </c>
      <c r="C115" s="31" t="s">
        <v>206</v>
      </c>
      <c r="D115" t="str" cm="1">
        <f t="array" aca="1" ref="D115" ca="1">IF($B115="","",IF(LEFT($AK115,3)="Yes","Blocked - "&amp;MID($AK115,7,100)&amp;IF(SUMPRODUCT(('Rework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track")),IF(C115="QA",_xlfn.LET(_xlpm.tgt,IF(AN115&lt;&gt;"",AN115,IF(Y115&lt;&gt;"",Y115,V115)),_xlpm.sent,_xlfn.MAXIFS('Rework Log'!$B$3:$B$499,'Rework Log'!$A$3:$A$499,$B115,'Rework Log'!$C$3:$C$499,"QA"),_xlpm.act,IF(AND(W115&lt;&gt;"",W115&gt;_xlpm.sent),W115,""),IF(_xlpm.tgt="","No target set",IF(AND(_xlpm.tgt&lt;TODAY(),_xlpm.act=""),"Overdue","On track"))),IF(C115="DPO Approval",_xlfn.LET(_xlpm.tgt,IF(AO115&lt;&gt;"",AO115,IF(AC115&lt;&gt;"",AC115,AB115)),_xlpm.sent,_xlfn.MAXIFS('Rework Log'!$B$3:$B$499,'Rework Log'!$A$3:$A$499,$B115,'Rework Log'!$C$3:$C$499,"DPO*"),_xlpm.act,IF(AND(AD115&lt;&gt;"",AD115&gt;_xlpm.sent),AD115,""),IF(_xlpm.tgt="","No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6" t="s">
        <v>290</v>
      </c>
      <c r="J115" s="54"/>
      <c r="K115" s="28">
        <v>46363</v>
      </c>
      <c r="L115" s="43"/>
      <c r="M115" s="31"/>
      <c r="N115" s="31"/>
      <c r="O115" s="36" t="s">
        <v>320</v>
      </c>
      <c r="P115" s="75"/>
      <c r="Q115" s="28">
        <v>46370</v>
      </c>
      <c r="R115" s="43"/>
      <c r="S115" s="31"/>
      <c r="T115" s="69" t="s">
        <v>311</v>
      </c>
      <c r="U115" s="47"/>
      <c r="V115" s="28">
        <v>46373</v>
      </c>
      <c r="W115" s="31"/>
      <c r="X115" s="31"/>
      <c r="Y115" s="43"/>
      <c r="Z115" s="31"/>
      <c r="AA115" s="36"/>
      <c r="AB115" s="28">
        <v>46386</v>
      </c>
      <c r="AC115" s="43"/>
      <c r="AD115" s="43"/>
      <c r="AE115" s="31" t="s">
        <v>262</v>
      </c>
      <c r="AF115" s="31" t="s">
        <v>71</v>
      </c>
      <c r="AG115" s="31"/>
      <c r="AH115" s="31"/>
      <c r="AI115" s="31"/>
      <c r="AJ115" s="31"/>
      <c r="AK115" s="31"/>
      <c r="AL115" s="31"/>
      <c r="AM115" s="31"/>
      <c r="AN115" s="31" t="str" cm="1">
        <f t="array" ref="AN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O115" s="31" t="str" cm="1">
        <f t="array" ref="AO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  <c r="AP115" s="31"/>
      <c r="AQ115" s="32"/>
    </row>
    <row r="116" spans="1:43" ht="14.4" x14ac:dyDescent="0.3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43" ht="14.4" x14ac:dyDescent="0.3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43" ht="14.4" x14ac:dyDescent="0.3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43" ht="14.4" x14ac:dyDescent="0.3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43" ht="14.4" x14ac:dyDescent="0.3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43" ht="14.4" x14ac:dyDescent="0.3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43" ht="14.4" x14ac:dyDescent="0.3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43" ht="14.4" x14ac:dyDescent="0.3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43" ht="14.4" x14ac:dyDescent="0.3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43" ht="14.4" x14ac:dyDescent="0.3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43" ht="14.4" x14ac:dyDescent="0.3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43" ht="14.4" x14ac:dyDescent="0.3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43" ht="14.4" x14ac:dyDescent="0.3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 ht="14.4" x14ac:dyDescent="0.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 ht="14.4" x14ac:dyDescent="0.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 ht="14.4" x14ac:dyDescent="0.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 ht="14.4" x14ac:dyDescent="0.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 ht="14.4" x14ac:dyDescent="0.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 ht="14.4" x14ac:dyDescent="0.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 ht="14.4" x14ac:dyDescent="0.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 ht="14.4" x14ac:dyDescent="0.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 ht="14.4" x14ac:dyDescent="0.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 ht="14.4" x14ac:dyDescent="0.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 ht="14.4" x14ac:dyDescent="0.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 ht="14.4" x14ac:dyDescent="0.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 ht="14.4" x14ac:dyDescent="0.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 ht="14.4" x14ac:dyDescent="0.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 ht="14.4" x14ac:dyDescent="0.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 ht="14.4" x14ac:dyDescent="0.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 ht="14.4" x14ac:dyDescent="0.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 ht="14.4" x14ac:dyDescent="0.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 ht="14.4" x14ac:dyDescent="0.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 ht="14.4" x14ac:dyDescent="0.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 ht="14.4" x14ac:dyDescent="0.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 ht="14.4" x14ac:dyDescent="0.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 ht="14.4" x14ac:dyDescent="0.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 ht="14.4" x14ac:dyDescent="0.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 ht="14.4" x14ac:dyDescent="0.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 ht="14.4" x14ac:dyDescent="0.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 ht="14.4" x14ac:dyDescent="0.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 ht="14.4" x14ac:dyDescent="0.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 ht="14.4" x14ac:dyDescent="0.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 ht="14.4" x14ac:dyDescent="0.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 ht="14.4" x14ac:dyDescent="0.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 ht="14.4" x14ac:dyDescent="0.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 ht="14.4" x14ac:dyDescent="0.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 ht="14.4" x14ac:dyDescent="0.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 ht="14.4" x14ac:dyDescent="0.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 ht="14.4" x14ac:dyDescent="0.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 ht="14.4" x14ac:dyDescent="0.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 ht="14.4" x14ac:dyDescent="0.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 ht="14.4" x14ac:dyDescent="0.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 ht="14.4" x14ac:dyDescent="0.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 ht="14.4" x14ac:dyDescent="0.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 ht="14.4" x14ac:dyDescent="0.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 ht="14.4" x14ac:dyDescent="0.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 ht="14.4" x14ac:dyDescent="0.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 ht="14.4" x14ac:dyDescent="0.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 ht="14.4" x14ac:dyDescent="0.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 ht="14.4" x14ac:dyDescent="0.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 ht="14.4" x14ac:dyDescent="0.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 ht="14.4" x14ac:dyDescent="0.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 ht="14.4" x14ac:dyDescent="0.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 ht="14.4" x14ac:dyDescent="0.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 ht="14.4" x14ac:dyDescent="0.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 ht="14.4" x14ac:dyDescent="0.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 ht="14.4" x14ac:dyDescent="0.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 ht="14.4" x14ac:dyDescent="0.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 ht="14.4" x14ac:dyDescent="0.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 ht="14.4" x14ac:dyDescent="0.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 ht="14.4" x14ac:dyDescent="0.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 ht="14.4" x14ac:dyDescent="0.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 ht="14.4" x14ac:dyDescent="0.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 ht="14.4" x14ac:dyDescent="0.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 ht="14.4" x14ac:dyDescent="0.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 ht="14.4" x14ac:dyDescent="0.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 ht="14.4" x14ac:dyDescent="0.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 ht="14.4" x14ac:dyDescent="0.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 ht="14.4" x14ac:dyDescent="0.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 ht="14.4" x14ac:dyDescent="0.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 ht="14.4" x14ac:dyDescent="0.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 ht="14.4" x14ac:dyDescent="0.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 ht="14.4" x14ac:dyDescent="0.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 ht="14.4" x14ac:dyDescent="0.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 ht="14.4" x14ac:dyDescent="0.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 ht="14.4" x14ac:dyDescent="0.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 ht="14.4" x14ac:dyDescent="0.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 ht="14.4" x14ac:dyDescent="0.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 ht="14.4" x14ac:dyDescent="0.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 ht="14.4" x14ac:dyDescent="0.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 ht="14.4" x14ac:dyDescent="0.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 ht="14.4" x14ac:dyDescent="0.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 ht="14.4" x14ac:dyDescent="0.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 ht="14.4" x14ac:dyDescent="0.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 ht="14.4" x14ac:dyDescent="0.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 ht="14.4" x14ac:dyDescent="0.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 ht="14.4" x14ac:dyDescent="0.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 ht="14.4" x14ac:dyDescent="0.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 ht="14.4" x14ac:dyDescent="0.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 ht="14.4" x14ac:dyDescent="0.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 ht="14.4" x14ac:dyDescent="0.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 ht="14.4" x14ac:dyDescent="0.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 ht="14.4" x14ac:dyDescent="0.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 ht="14.4" x14ac:dyDescent="0.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 ht="14.4" x14ac:dyDescent="0.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 ht="14.4" x14ac:dyDescent="0.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 ht="14.4" x14ac:dyDescent="0.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 ht="14.4" x14ac:dyDescent="0.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 ht="14.4" x14ac:dyDescent="0.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 ht="14.4" x14ac:dyDescent="0.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 ht="14.4" x14ac:dyDescent="0.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 ht="14.4" x14ac:dyDescent="0.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 ht="14.4" x14ac:dyDescent="0.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 ht="14.4" x14ac:dyDescent="0.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 ht="14.4" x14ac:dyDescent="0.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 ht="14.4" x14ac:dyDescent="0.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 ht="14.4" x14ac:dyDescent="0.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 ht="14.4" x14ac:dyDescent="0.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 ht="14.4" x14ac:dyDescent="0.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 ht="14.4" x14ac:dyDescent="0.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 ht="14.4" x14ac:dyDescent="0.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 ht="14.4" x14ac:dyDescent="0.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 ht="14.4" x14ac:dyDescent="0.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 ht="14.4" x14ac:dyDescent="0.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 ht="14.4" x14ac:dyDescent="0.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 ht="14.4" x14ac:dyDescent="0.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 ht="14.4" x14ac:dyDescent="0.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 ht="14.4" x14ac:dyDescent="0.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 ht="14.4" x14ac:dyDescent="0.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 ht="14.4" x14ac:dyDescent="0.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 ht="14.4" x14ac:dyDescent="0.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 ht="14.4" x14ac:dyDescent="0.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 ht="14.4" x14ac:dyDescent="0.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 ht="14.4" x14ac:dyDescent="0.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 ht="14.4" x14ac:dyDescent="0.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 ht="14.4" x14ac:dyDescent="0.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 ht="14.4" x14ac:dyDescent="0.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 ht="14.4" x14ac:dyDescent="0.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 ht="14.4" x14ac:dyDescent="0.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 ht="14.4" x14ac:dyDescent="0.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 ht="14.4" x14ac:dyDescent="0.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 ht="14.4" x14ac:dyDescent="0.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 ht="14.4" x14ac:dyDescent="0.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 ht="14.4" x14ac:dyDescent="0.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 ht="14.4" x14ac:dyDescent="0.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 ht="14.4" x14ac:dyDescent="0.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 ht="14.4" x14ac:dyDescent="0.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 ht="14.4" x14ac:dyDescent="0.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 ht="14.4" x14ac:dyDescent="0.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 ht="14.4" x14ac:dyDescent="0.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 ht="14.4" x14ac:dyDescent="0.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 ht="14.4" x14ac:dyDescent="0.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 ht="14.4" x14ac:dyDescent="0.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 ht="14.4" x14ac:dyDescent="0.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 ht="14.4" x14ac:dyDescent="0.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 ht="14.4" x14ac:dyDescent="0.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 ht="14.4" x14ac:dyDescent="0.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 ht="14.4" x14ac:dyDescent="0.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 ht="14.4" x14ac:dyDescent="0.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 ht="14.4" x14ac:dyDescent="0.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 ht="14.4" x14ac:dyDescent="0.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 ht="14.4" x14ac:dyDescent="0.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 ht="14.4" x14ac:dyDescent="0.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 ht="14.4" x14ac:dyDescent="0.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 ht="14.4" x14ac:dyDescent="0.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 ht="14.4" x14ac:dyDescent="0.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 ht="14.4" x14ac:dyDescent="0.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 ht="14.4" x14ac:dyDescent="0.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 ht="14.4" x14ac:dyDescent="0.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 ht="14.4" x14ac:dyDescent="0.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 ht="14.4" x14ac:dyDescent="0.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 ht="14.4" x14ac:dyDescent="0.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 ht="14.4" x14ac:dyDescent="0.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 ht="14.4" x14ac:dyDescent="0.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 ht="14.4" x14ac:dyDescent="0.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 ht="14.4" x14ac:dyDescent="0.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 ht="14.4" x14ac:dyDescent="0.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 ht="14.4" x14ac:dyDescent="0.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 ht="14.4" x14ac:dyDescent="0.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 ht="14.4" x14ac:dyDescent="0.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 ht="14.4" x14ac:dyDescent="0.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 ht="14.4" x14ac:dyDescent="0.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 ht="14.4" x14ac:dyDescent="0.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 ht="14.4" x14ac:dyDescent="0.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 ht="14.4" x14ac:dyDescent="0.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 ht="14.4" x14ac:dyDescent="0.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 ht="14.4" x14ac:dyDescent="0.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 ht="14.4" x14ac:dyDescent="0.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 ht="14.4" x14ac:dyDescent="0.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 ht="14.4" x14ac:dyDescent="0.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 ht="14.4" x14ac:dyDescent="0.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 ht="14.4" x14ac:dyDescent="0.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 ht="14.4" x14ac:dyDescent="0.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 ht="14.4" x14ac:dyDescent="0.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 ht="14.4" x14ac:dyDescent="0.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 ht="14.4" x14ac:dyDescent="0.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 ht="14.4" x14ac:dyDescent="0.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 ht="14.4" x14ac:dyDescent="0.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 ht="14.4" x14ac:dyDescent="0.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 ht="14.4" x14ac:dyDescent="0.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 ht="14.4" x14ac:dyDescent="0.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 ht="14.4" x14ac:dyDescent="0.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 ht="14.4" x14ac:dyDescent="0.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 ht="14.4" x14ac:dyDescent="0.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 ht="14.4" x14ac:dyDescent="0.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 ht="14.4" x14ac:dyDescent="0.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 ht="14.4" x14ac:dyDescent="0.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 ht="14.4" x14ac:dyDescent="0.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 ht="14.4" x14ac:dyDescent="0.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 ht="14.4" x14ac:dyDescent="0.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 ht="14.4" x14ac:dyDescent="0.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 ht="14.4" x14ac:dyDescent="0.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 ht="14.4" x14ac:dyDescent="0.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 ht="14.4" x14ac:dyDescent="0.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 ht="14.4" x14ac:dyDescent="0.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 ht="14.4" x14ac:dyDescent="0.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 ht="14.4" x14ac:dyDescent="0.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 ht="14.4" x14ac:dyDescent="0.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 ht="14.4" x14ac:dyDescent="0.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 ht="14.4" x14ac:dyDescent="0.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 ht="14.4" x14ac:dyDescent="0.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 ht="14.4" x14ac:dyDescent="0.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 ht="14.4" x14ac:dyDescent="0.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 ht="14.4" x14ac:dyDescent="0.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 ht="14.4" x14ac:dyDescent="0.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 ht="14.4" x14ac:dyDescent="0.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 ht="14.4" x14ac:dyDescent="0.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 ht="14.4" x14ac:dyDescent="0.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 ht="14.4" x14ac:dyDescent="0.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 ht="14.4" x14ac:dyDescent="0.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 ht="14.4" x14ac:dyDescent="0.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 ht="14.4" x14ac:dyDescent="0.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 ht="14.4" x14ac:dyDescent="0.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 ht="14.4" x14ac:dyDescent="0.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 ht="14.4" x14ac:dyDescent="0.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 ht="14.4" x14ac:dyDescent="0.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 ht="14.4" x14ac:dyDescent="0.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 ht="14.4" x14ac:dyDescent="0.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 ht="14.4" x14ac:dyDescent="0.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 ht="14.4" x14ac:dyDescent="0.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 ht="14.4" x14ac:dyDescent="0.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 ht="14.4" x14ac:dyDescent="0.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 ht="14.4" x14ac:dyDescent="0.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 ht="14.4" x14ac:dyDescent="0.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 ht="14.4" x14ac:dyDescent="0.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 ht="14.4" x14ac:dyDescent="0.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 ht="14.4" x14ac:dyDescent="0.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 ht="14.4" x14ac:dyDescent="0.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 ht="14.4" x14ac:dyDescent="0.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 ht="14.4" x14ac:dyDescent="0.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 ht="14.4" x14ac:dyDescent="0.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 ht="14.4" x14ac:dyDescent="0.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 ht="14.4" x14ac:dyDescent="0.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 ht="14.4" x14ac:dyDescent="0.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 ht="14.4" x14ac:dyDescent="0.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 ht="14.4" x14ac:dyDescent="0.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 ht="14.4" x14ac:dyDescent="0.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 ht="14.4" x14ac:dyDescent="0.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 ht="14.4" x14ac:dyDescent="0.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 ht="14.4" x14ac:dyDescent="0.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 ht="14.4" x14ac:dyDescent="0.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 ht="14.4" x14ac:dyDescent="0.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 ht="14.4" x14ac:dyDescent="0.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 ht="14.4" x14ac:dyDescent="0.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 ht="14.4" x14ac:dyDescent="0.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 ht="14.4" x14ac:dyDescent="0.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 ht="14.4" x14ac:dyDescent="0.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 ht="14.4" x14ac:dyDescent="0.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 ht="14.4" x14ac:dyDescent="0.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 ht="14.4" x14ac:dyDescent="0.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 ht="14.4" x14ac:dyDescent="0.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 ht="14.4" x14ac:dyDescent="0.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 ht="14.4" x14ac:dyDescent="0.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 ht="14.4" x14ac:dyDescent="0.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 ht="14.4" x14ac:dyDescent="0.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 ht="14.4" x14ac:dyDescent="0.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 ht="14.4" x14ac:dyDescent="0.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 ht="14.4" x14ac:dyDescent="0.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 ht="14.4" x14ac:dyDescent="0.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 ht="14.4" x14ac:dyDescent="0.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 ht="14.4" x14ac:dyDescent="0.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 ht="14.4" x14ac:dyDescent="0.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 ht="14.4" x14ac:dyDescent="0.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 ht="14.4" x14ac:dyDescent="0.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 ht="14.4" x14ac:dyDescent="0.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 ht="14.4" x14ac:dyDescent="0.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 ht="14.4" x14ac:dyDescent="0.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 ht="14.4" x14ac:dyDescent="0.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 ht="14.4" x14ac:dyDescent="0.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 ht="14.4" x14ac:dyDescent="0.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 ht="14.4" x14ac:dyDescent="0.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 ht="14.4" x14ac:dyDescent="0.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 ht="14.4" x14ac:dyDescent="0.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 ht="14.4" x14ac:dyDescent="0.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 ht="14.4" x14ac:dyDescent="0.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 ht="14.4" x14ac:dyDescent="0.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 ht="14.4" x14ac:dyDescent="0.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 ht="14.4" x14ac:dyDescent="0.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 ht="14.4" x14ac:dyDescent="0.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 ht="14.4" x14ac:dyDescent="0.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 ht="14.4" x14ac:dyDescent="0.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 ht="14.4" x14ac:dyDescent="0.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 ht="14.4" x14ac:dyDescent="0.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 ht="14.4" x14ac:dyDescent="0.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 ht="14.4" x14ac:dyDescent="0.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 ht="14.4" x14ac:dyDescent="0.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 ht="14.4" x14ac:dyDescent="0.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 ht="14.4" x14ac:dyDescent="0.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 ht="14.4" x14ac:dyDescent="0.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 ht="14.4" x14ac:dyDescent="0.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 ht="14.4" x14ac:dyDescent="0.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 ht="14.4" x14ac:dyDescent="0.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 ht="14.4" x14ac:dyDescent="0.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 ht="14.4" x14ac:dyDescent="0.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 ht="14.4" x14ac:dyDescent="0.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 ht="14.4" x14ac:dyDescent="0.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 ht="14.4" x14ac:dyDescent="0.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 ht="14.4" x14ac:dyDescent="0.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 ht="14.4" x14ac:dyDescent="0.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 ht="14.4" x14ac:dyDescent="0.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 ht="14.4" x14ac:dyDescent="0.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 ht="14.4" x14ac:dyDescent="0.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 ht="14.4" x14ac:dyDescent="0.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 ht="14.4" x14ac:dyDescent="0.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 ht="14.4" x14ac:dyDescent="0.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 ht="14.4" x14ac:dyDescent="0.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 ht="14.4" x14ac:dyDescent="0.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 ht="14.4" x14ac:dyDescent="0.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 ht="14.4" x14ac:dyDescent="0.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 ht="14.4" x14ac:dyDescent="0.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 ht="14.4" x14ac:dyDescent="0.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 ht="14.4" x14ac:dyDescent="0.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 ht="14.4" x14ac:dyDescent="0.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 ht="14.4" x14ac:dyDescent="0.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 ht="14.4" x14ac:dyDescent="0.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 ht="14.4" x14ac:dyDescent="0.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 ht="14.4" x14ac:dyDescent="0.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 ht="14.4" x14ac:dyDescent="0.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 ht="14.4" x14ac:dyDescent="0.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 ht="14.4" x14ac:dyDescent="0.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 ht="14.4" x14ac:dyDescent="0.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 ht="14.4" x14ac:dyDescent="0.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 ht="14.4" x14ac:dyDescent="0.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 ht="14.4" x14ac:dyDescent="0.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 ht="14.4" x14ac:dyDescent="0.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 ht="14.4" x14ac:dyDescent="0.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 ht="14.4" x14ac:dyDescent="0.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 ht="14.4" x14ac:dyDescent="0.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 ht="14.4" x14ac:dyDescent="0.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 ht="14.4" x14ac:dyDescent="0.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 ht="14.4" x14ac:dyDescent="0.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 ht="14.4" x14ac:dyDescent="0.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 ht="14.4" x14ac:dyDescent="0.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 ht="14.4" x14ac:dyDescent="0.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 ht="14.4" x14ac:dyDescent="0.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 ht="14.4" x14ac:dyDescent="0.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 ht="14.4" x14ac:dyDescent="0.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 ht="14.4" x14ac:dyDescent="0.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 ht="14.4" x14ac:dyDescent="0.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 ht="14.4" x14ac:dyDescent="0.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 ht="14.4" x14ac:dyDescent="0.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 ht="14.4" x14ac:dyDescent="0.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 ht="14.4" x14ac:dyDescent="0.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 ht="14.4" x14ac:dyDescent="0.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 ht="14.4" x14ac:dyDescent="0.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 ht="14.4" x14ac:dyDescent="0.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 ht="14.4" x14ac:dyDescent="0.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 ht="14.4" x14ac:dyDescent="0.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 ht="14.4" x14ac:dyDescent="0.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 ht="14.4" x14ac:dyDescent="0.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 ht="14.4" x14ac:dyDescent="0.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 ht="14.4" x14ac:dyDescent="0.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 ht="14.4" x14ac:dyDescent="0.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 ht="14.4" x14ac:dyDescent="0.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 ht="14.4" x14ac:dyDescent="0.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 ht="14.4" x14ac:dyDescent="0.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 ht="14.4" x14ac:dyDescent="0.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 ht="14.4" x14ac:dyDescent="0.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 ht="14.4" x14ac:dyDescent="0.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 ht="14.4" x14ac:dyDescent="0.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 ht="14.4" x14ac:dyDescent="0.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 ht="14.4" x14ac:dyDescent="0.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 ht="14.4" x14ac:dyDescent="0.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 ht="14.4" x14ac:dyDescent="0.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4.4" x14ac:dyDescent="0.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 x14ac:dyDescent="0.3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 x14ac:dyDescent="0.3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 x14ac:dyDescent="0.3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 x14ac:dyDescent="0.3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 x14ac:dyDescent="0.3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 x14ac:dyDescent="0.3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 x14ac:dyDescent="0.3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 x14ac:dyDescent="0.3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 x14ac:dyDescent="0.3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 x14ac:dyDescent="0.3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 x14ac:dyDescent="0.3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 x14ac:dyDescent="0.3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 x14ac:dyDescent="0.3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 x14ac:dyDescent="0.3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 x14ac:dyDescent="0.3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 x14ac:dyDescent="0.3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 x14ac:dyDescent="0.3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 x14ac:dyDescent="0.3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 x14ac:dyDescent="0.3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 x14ac:dyDescent="0.3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 x14ac:dyDescent="0.3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 x14ac:dyDescent="0.3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 x14ac:dyDescent="0.3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 x14ac:dyDescent="0.3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 x14ac:dyDescent="0.3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 x14ac:dyDescent="0.3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  <row r="527" spans="1:34" ht="15" customHeight="1" x14ac:dyDescent="0.3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X527" s="31"/>
      <c r="Y527" s="31"/>
      <c r="AA527" s="31"/>
      <c r="AB527" s="31"/>
      <c r="AC527" s="31"/>
      <c r="AD527" s="31"/>
      <c r="AE527" s="31"/>
      <c r="AF527" s="31"/>
      <c r="AH527" s="31"/>
    </row>
  </sheetData>
  <sheetProtection formatColumns="0" formatRows="0" sort="0" autoFilter="0"/>
  <phoneticPr fontId="19" type="noConversion"/>
  <conditionalFormatting sqref="A2:F115 G2:V40 N3:N44 L41:V42 G41:J42 AC3:AM3 G43:V64 T65:V65 G65:Q65 G66:V73 W2 Y2:AM2 W3:AA3 W42:AL42 W43:AM44 W73:AI100 W4:AM41 W48:AM72 W45:AL47 W116:AD527 A74:V527 W101:AF115">
    <cfRule type="expression" dxfId="132" priority="47">
      <formula>AND($B2&lt;&gt;"",MOD(ROW(),2)=0)</formula>
    </cfRule>
  </conditionalFormatting>
  <conditionalFormatting sqref="D2:D527">
    <cfRule type="expression" dxfId="131" priority="31">
      <formula>ISNUMBER(SEARCH("Blocked",$D2))</formula>
    </cfRule>
    <cfRule type="expression" dxfId="130" priority="32">
      <formula>ISNUMBER(SEARCH("overdue",$D2))</formula>
    </cfRule>
    <cfRule type="expression" dxfId="129" priority="33">
      <formula>ISNUMBER(SEARCH("no target",$D2))</formula>
    </cfRule>
    <cfRule type="expression" dxfId="128" priority="34">
      <formula>ISNUMBER(SEARCH("Review",$D2))</formula>
    </cfRule>
    <cfRule type="expression" dxfId="127" priority="35">
      <formula>OR($D2="On track",$D2="Delivered")</formula>
    </cfRule>
  </conditionalFormatting>
  <conditionalFormatting sqref="J116:O192">
    <cfRule type="expression" dxfId="126" priority="14">
      <formula>$AI116="Yes – needs DB Dev to fix"</formula>
    </cfRule>
  </conditionalFormatting>
  <conditionalFormatting sqref="K73:L100">
    <cfRule type="expression" dxfId="125" priority="106">
      <formula>$AG73="Yes – needs DB Dev to fix"</formula>
    </cfRule>
  </conditionalFormatting>
  <conditionalFormatting sqref="K116:L527">
    <cfRule type="expression" dxfId="124" priority="40">
      <formula>$Z116="Yes – needs DB Dev to fix"</formula>
    </cfRule>
  </conditionalFormatting>
  <conditionalFormatting sqref="M73">
    <cfRule type="expression" dxfId="123" priority="13">
      <formula>$AG73="Yes – needs DB Dev to fix"</formula>
    </cfRule>
  </conditionalFormatting>
  <conditionalFormatting sqref="M73:P100">
    <cfRule type="expression" dxfId="122" priority="291">
      <formula>$AE73="Yes – needs PBI Dev to fix"</formula>
    </cfRule>
  </conditionalFormatting>
  <conditionalFormatting sqref="M116:P527">
    <cfRule type="expression" dxfId="121" priority="293">
      <formula>$Z116="Yes – needs PBI Dev to fix"</formula>
    </cfRule>
  </conditionalFormatting>
  <conditionalFormatting sqref="O101:O113">
    <cfRule type="expression" dxfId="120" priority="12">
      <formula>$AE101="Yes – needs PBI Dev to fix"</formula>
    </cfRule>
  </conditionalFormatting>
  <conditionalFormatting sqref="Q73:Q100">
    <cfRule type="expression" dxfId="119" priority="110">
      <formula>$AG73="Yes – needs PBI Dev to fix"</formula>
    </cfRule>
  </conditionalFormatting>
  <conditionalFormatting sqref="Q116:R527">
    <cfRule type="expression" dxfId="118" priority="42">
      <formula>$Z116="Yes – needs QA to fix"</formula>
    </cfRule>
  </conditionalFormatting>
  <conditionalFormatting sqref="J29 M29:P29 J32:J33 M32:P33 K40:K41 M40:P41 Q2:U64 T65:U65 Q65 Q66:U115">
    <cfRule type="expression" dxfId="117" priority="21">
      <formula>$AK2="Yes – needs PBI Dev to fix"</formula>
    </cfRule>
  </conditionalFormatting>
  <conditionalFormatting sqref="R73:U100 T96:T101">
    <cfRule type="expression" dxfId="116" priority="112">
      <formula>$AG73="Yes – needs QA to fix"</formula>
    </cfRule>
  </conditionalFormatting>
  <conditionalFormatting sqref="S116:U527">
    <cfRule type="expression" dxfId="115" priority="43">
      <formula>$Z116="Yes – needs DPO Approval to fix"</formula>
    </cfRule>
  </conditionalFormatting>
  <conditionalFormatting sqref="U10:V19">
    <cfRule type="expression" dxfId="114" priority="30">
      <formula>$AK10="Yes – needs PBI Dev to fix"</formula>
    </cfRule>
  </conditionalFormatting>
  <conditionalFormatting sqref="U101:V527">
    <cfRule type="expression" dxfId="113" priority="39">
      <formula>$V101="Yes"</formula>
    </cfRule>
  </conditionalFormatting>
  <conditionalFormatting sqref="U73:V100 Y73:Y100">
    <cfRule type="expression" dxfId="112" priority="114">
      <formula>$AG73="Yes – needs DPO Approval to fix"</formula>
    </cfRule>
  </conditionalFormatting>
  <conditionalFormatting sqref="W73:AA100">
    <cfRule type="expression" dxfId="111" priority="116">
      <formula>$W73="Yes"</formula>
    </cfRule>
  </conditionalFormatting>
  <conditionalFormatting sqref="Z116:Z527">
    <cfRule type="expression" dxfId="110" priority="36">
      <formula>LEFT($Z116,3)="Yes"</formula>
    </cfRule>
  </conditionalFormatting>
  <conditionalFormatting sqref="AB2:AF2 AC3:AF3 AB4:AF100">
    <cfRule type="expression" dxfId="109" priority="88">
      <formula>$AK2="Yes – needs DPO Approval to fix"</formula>
    </cfRule>
  </conditionalFormatting>
  <conditionalFormatting sqref="AA116:AB527">
    <cfRule type="expression" dxfId="108" priority="44">
      <formula>ISNUMBER(SEARCH("Open rework",$AA116))</formula>
    </cfRule>
    <cfRule type="expression" dxfId="107" priority="44">
      <formula>ISNUMBER(SEARCH("Move old",$AA116))</formula>
    </cfRule>
    <cfRule type="expression" dxfId="106" priority="44">
      <formula>ISNUMBER(SEARCH("log it",$AA116))</formula>
    </cfRule>
    <cfRule type="expression" dxfId="105" priority="45">
      <formula>ISNUMBER(SEARCH("Duplicate",$AA116))</formula>
    </cfRule>
    <cfRule type="expression" dxfId="104" priority="46">
      <formula>$AA116&lt;&gt;""</formula>
    </cfRule>
  </conditionalFormatting>
  <conditionalFormatting sqref="AG2:AG115">
    <cfRule type="expression" dxfId="103" priority="60">
      <formula>$AG2="Yes"</formula>
    </cfRule>
  </conditionalFormatting>
  <conditionalFormatting sqref="AG73:AG100">
    <cfRule type="expression" dxfId="102" priority="118">
      <formula>LEFT($AG73,3)="Yes"</formula>
    </cfRule>
  </conditionalFormatting>
  <conditionalFormatting sqref="AH73:AH100">
    <cfRule type="expression" dxfId="101" priority="124">
      <formula>ISNUMBER(SEARCH("Open rework",$AH73))</formula>
    </cfRule>
    <cfRule type="expression" dxfId="100" priority="125">
      <formula>ISNUMBER(SEARCH("Move old",$AH73))</formula>
    </cfRule>
    <cfRule type="expression" dxfId="99" priority="126">
      <formula>ISNUMBER(SEARCH("log it",$AH73))</formula>
    </cfRule>
    <cfRule type="expression" dxfId="98" priority="127">
      <formula>ISNUMBER(SEARCH("Duplicate",$AH73))</formula>
    </cfRule>
    <cfRule type="expression" dxfId="97" priority="128">
      <formula>$AH73&lt;&gt;""</formula>
    </cfRule>
  </conditionalFormatting>
  <conditionalFormatting sqref="AK2:AK115">
    <cfRule type="expression" dxfId="96" priority="62">
      <formula>LEFT($AK2,3)="Yes"</formula>
    </cfRule>
  </conditionalFormatting>
  <conditionalFormatting sqref="AL2:AL115">
    <cfRule type="expression" dxfId="95" priority="68">
      <formula>ISNUMBER(SEARCH("log it",$AL2))</formula>
    </cfRule>
    <cfRule type="expression" dxfId="94" priority="69">
      <formula>ISNUMBER(SEARCH("Open rework",$AL2))</formula>
    </cfRule>
    <cfRule type="expression" dxfId="93" priority="70">
      <formula>ISNUMBER(SEARCH("Move old",$AL2))</formula>
    </cfRule>
    <cfRule type="expression" dxfId="92" priority="71">
      <formula>ISNUMBER(SEARCH("Duplicate",$AL2))</formula>
    </cfRule>
    <cfRule type="expression" dxfId="91" priority="72">
      <formula>$AL2&lt;&gt;""</formula>
    </cfRule>
  </conditionalFormatting>
  <conditionalFormatting sqref="AM45:AM46">
    <cfRule type="expression" dxfId="90" priority="11">
      <formula>AND($B49&lt;&gt;"",MOD(ROW(),2)=0)</formula>
    </cfRule>
  </conditionalFormatting>
  <conditionalFormatting sqref="AM47">
    <cfRule type="expression" dxfId="89" priority="304">
      <formula>AND($B51&lt;&gt;"",MOD(ROW(),2)=0)</formula>
    </cfRule>
  </conditionalFormatting>
  <conditionalFormatting sqref="R58">
    <cfRule type="expression" dxfId="88" priority="306">
      <formula>AND($B65&lt;&gt;"",MOD(ROW(),2)=0)</formula>
    </cfRule>
  </conditionalFormatting>
  <conditionalFormatting sqref="R58">
    <cfRule type="expression" dxfId="87" priority="308">
      <formula>$AK65="Yes – needs PBI Dev to fix"</formula>
    </cfRule>
  </conditionalFormatting>
  <conditionalFormatting sqref="Q73:Q85 J2:O115">
    <cfRule type="expression" dxfId="86" priority="9">
      <formula>$AK2="Yes – needs DB Dev to fix"</formula>
    </cfRule>
  </conditionalFormatting>
  <conditionalFormatting sqref="Q73:Q85">
    <cfRule type="expression" dxfId="85" priority="10">
      <formula>$AG73="Yes – needs DB Dev to fix"</formula>
    </cfRule>
  </conditionalFormatting>
  <conditionalFormatting sqref="Q86:Q100">
    <cfRule type="expression" dxfId="84" priority="7">
      <formula>$AK86="Yes – needs DB Dev to fix"</formula>
    </cfRule>
  </conditionalFormatting>
  <conditionalFormatting sqref="Q86:Q100">
    <cfRule type="expression" dxfId="83" priority="8">
      <formula>$AG86="Yes – needs DB Dev to fix"</formula>
    </cfRule>
  </conditionalFormatting>
  <conditionalFormatting sqref="V101:V115 Q101:R115">
    <cfRule type="expression" dxfId="82" priority="6">
      <formula>$AB101="Yes – needs QA to fix"</formula>
    </cfRule>
  </conditionalFormatting>
  <conditionalFormatting sqref="V101:V115">
    <cfRule type="expression" dxfId="81" priority="5">
      <formula>$AK101="Yes – needs PBI Dev to fix"</formula>
    </cfRule>
  </conditionalFormatting>
  <conditionalFormatting sqref="AB101:AB115">
    <cfRule type="expression" dxfId="80" priority="3">
      <formula>$V101="Yes"</formula>
    </cfRule>
  </conditionalFormatting>
  <conditionalFormatting sqref="AB101:AB115 W3:X115 Y2:AA115 U2:V115 W2">
    <cfRule type="expression" dxfId="79" priority="4">
      <formula>$AK2="Yes – needs QA to fix"</formula>
    </cfRule>
  </conditionalFormatting>
  <conditionalFormatting sqref="AB101:AB115">
    <cfRule type="expression" dxfId="78" priority="2">
      <formula>$AB101="Yes – needs QA to fix"</formula>
    </cfRule>
  </conditionalFormatting>
  <conditionalFormatting sqref="AB101:AB115">
    <cfRule type="expression" dxfId="77" priority="1">
      <formula>$AK101="Yes – needs PBI Dev to fix"</formula>
    </cfRule>
  </conditionalFormatting>
  <conditionalFormatting sqref="K101:L115">
    <cfRule type="expression" dxfId="76" priority="336">
      <formula>$AB101="Yes – needs DB Dev to fix"</formula>
    </cfRule>
  </conditionalFormatting>
  <conditionalFormatting sqref="M101:P115">
    <cfRule type="expression" dxfId="75" priority="338">
      <formula>$AB101="Yes – needs PBI Dev to fix"</formula>
    </cfRule>
  </conditionalFormatting>
  <conditionalFormatting sqref="S101:U115">
    <cfRule type="expression" dxfId="74" priority="352">
      <formula>$AB101="Yes – needs DPO Approval to fix"</formula>
    </cfRule>
  </conditionalFormatting>
  <conditionalFormatting sqref="AB101:AB115">
    <cfRule type="expression" dxfId="73" priority="360">
      <formula>LEFT($AB101,3)="Yes"</formula>
    </cfRule>
  </conditionalFormatting>
  <conditionalFormatting sqref="AC101:AD115">
    <cfRule type="expression" dxfId="72" priority="368">
      <formula>ISNUMBER(SEARCH("Open rework",$AC101))</formula>
    </cfRule>
    <cfRule type="expression" dxfId="71" priority="369">
      <formula>ISNUMBER(SEARCH("Move old",$AC101))</formula>
    </cfRule>
    <cfRule type="expression" dxfId="70" priority="370">
      <formula>ISNUMBER(SEARCH("log it",$AC101))</formula>
    </cfRule>
    <cfRule type="expression" dxfId="69" priority="371">
      <formula>ISNUMBER(SEARCH("Duplicate",$AC101))</formula>
    </cfRule>
    <cfRule type="expression" dxfId="68" priority="372">
      <formula>$AC101&lt;&gt;""</formula>
    </cfRule>
  </conditionalFormatting>
  <conditionalFormatting sqref="K41">
    <cfRule type="expression" dxfId="49" priority="392">
      <formula>AND($B41&lt;&gt;"",MOD(ROW(),2)=0)</formula>
    </cfRule>
    <cfRule type="expression" dxfId="48" priority="393">
      <formula>$AK41="Yes – needs DB Dev to fix"</formula>
    </cfRule>
  </conditionalFormatting>
  <conditionalFormatting sqref="K42">
    <cfRule type="expression" dxfId="47" priority="394">
      <formula>AND($B41&lt;&gt;"",MOD(ROW(),2)=0)</formula>
    </cfRule>
    <cfRule type="expression" dxfId="46" priority="395">
      <formula>$AK41="Yes – needs DB Dev to fix"</formula>
    </cfRule>
  </conditionalFormatting>
  <conditionalFormatting sqref="AB3">
    <cfRule type="expression" dxfId="45" priority="396">
      <formula>AND($B3&lt;&gt;"",MOD(ROW(),2)=0)</formula>
    </cfRule>
    <cfRule type="expression" dxfId="44" priority="397">
      <formula>$AK3="Yes – needs DPO Approval to fix"</formula>
    </cfRule>
  </conditionalFormatting>
  <dataValidations count="7">
    <dataValidation type="date" operator="greaterThanOrEqual" allowBlank="1" showErrorMessage="1" errorTitle="Real date only" error="This column only accepts real dates. Put notes in Comments instead." sqref="Y101:Y527 AH2:AH72 AC2:AC72 H2:H527 AD5:AD72 S2:S28 Q2:R64 K2:M527 AB2:AB115 AD2:AD3 S30:S64 Q65 Q66:S527 V2:V115 X3:Y72 Y2:Z72 W2:W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D4" xr:uid="{AB5B7243-367B-48A5-B4E6-E66C038D2D60}">
      <formula1>"Compliance, Regulatory, Ops "</formula1>
    </dataValidation>
    <dataValidation allowBlank="1" showInputMessage="1" showErrorMessage="1" sqref="AF1" xr:uid="{FECAB9FC-5D18-4A69-8AB2-F9B5CCD5292C}"/>
    <dataValidation type="date" operator="greaterThanOrEqual" allowBlank="1" showInputMessage="1" showErrorMessage="1" errorTitle="Real date only" error="This column only accepts real dates. Put notes in Comments instead." sqref="AQ2:AQ115" xr:uid="{F9E23CD0-81CE-4667-8944-6F69A80D165C}">
      <formula1>DATE(2020,1,1)</formula1>
    </dataValidation>
    <dataValidation type="list" allowBlank="1" showInputMessage="1" showErrorMessage="1" sqref="AD116:AD1048576 AF2:AF115" xr:uid="{DA68FF9D-BD58-4B66-BD0E-CEC5E83F324E}">
      <formula1>$T$2:$T$4</formula1>
    </dataValidation>
  </dataValidations>
  <hyperlinks>
    <hyperlink ref="AM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AG2:AG72 U116:V527 W73:Z100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AK2:AK115 AG73:AG100 Z116:Z527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  <x14:dataValidation type="list" allowBlank="1" showInputMessage="1" showErrorMessage="1" errorTitle="QA 2nd Pass Tester" error="Pick a tester from the list. To add a new tester, add the name to the QA Tester list on the Data Validation tab." xr:uid="{A53EBA84-8A64-4B12-9A94-A34A89F93C55}">
          <x14:formula1>
            <xm:f>'Data Validation'!$H$3:$H$7</xm:f>
          </x14:formula1>
          <xm:sqref>AP2:AP115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7" t="s">
        <v>322</v>
      </c>
    </row>
    <row r="2" spans="1:5" x14ac:dyDescent="0.3">
      <c r="A2" s="6" t="s">
        <v>323</v>
      </c>
    </row>
    <row r="4" spans="1:5" ht="21.9" customHeight="1" x14ac:dyDescent="0.3">
      <c r="A4" s="5" t="s">
        <v>324</v>
      </c>
      <c r="B4" s="82"/>
      <c r="C4" s="83"/>
      <c r="D4" s="83"/>
      <c r="E4" s="83"/>
    </row>
    <row r="6" spans="1:5" x14ac:dyDescent="0.3">
      <c r="A6" s="42" t="s">
        <v>0</v>
      </c>
      <c r="B6" s="87" t="str">
        <f>IF($B$4="","",IFERROR(INDEX('Combined Delivery Data'!$A:$A,MATCH($B$4,'Combined Delivery Data'!$B:$B,0)),""))</f>
        <v/>
      </c>
      <c r="C6" s="85"/>
      <c r="D6" s="85"/>
      <c r="E6" s="86"/>
    </row>
    <row r="7" spans="1:5" x14ac:dyDescent="0.3">
      <c r="A7" s="42" t="s">
        <v>325</v>
      </c>
      <c r="B7" s="87" t="str">
        <f>IF($B$4="","",IFERROR(INDEX('Combined Delivery Data'!$C:$C,MATCH($B$4,'Combined Delivery Data'!$B:$B,0)),""))</f>
        <v/>
      </c>
      <c r="C7" s="85"/>
      <c r="D7" s="85"/>
      <c r="E7" s="86"/>
    </row>
    <row r="8" spans="1:5" x14ac:dyDescent="0.3">
      <c r="A8" s="42" t="s">
        <v>3</v>
      </c>
      <c r="B8" s="87" t="str">
        <f>IF($B$4="","",IFERROR(INDEX('Combined Delivery Data'!$D:$D,MATCH($B$4,'Combined Delivery Data'!$B:$B,0)),""))</f>
        <v/>
      </c>
      <c r="C8" s="85"/>
      <c r="D8" s="85"/>
      <c r="E8" s="86"/>
    </row>
    <row r="9" spans="1:5" x14ac:dyDescent="0.3">
      <c r="A9" s="42" t="s">
        <v>4</v>
      </c>
      <c r="B9" s="87" t="str">
        <f>IF($B$4="","",IFERROR(INDEX('Combined Delivery Data'!$E:$E,MATCH($B$4,'Combined Delivery Data'!$B:$B,0)),""))</f>
        <v/>
      </c>
      <c r="C9" s="85"/>
      <c r="D9" s="85"/>
      <c r="E9" s="86"/>
    </row>
    <row r="10" spans="1:5" x14ac:dyDescent="0.3">
      <c r="A10" s="42" t="s">
        <v>5</v>
      </c>
      <c r="B10" s="87" t="str">
        <f>IF($B$4="","",IFERROR(INDEX('Combined Delivery Data'!$F:$F,MATCH($B$4,'Combined Delivery Data'!$B:$B,0)),""))</f>
        <v/>
      </c>
      <c r="C10" s="85"/>
      <c r="D10" s="85"/>
      <c r="E10" s="86"/>
    </row>
    <row r="11" spans="1:5" x14ac:dyDescent="0.3">
      <c r="A11" s="42" t="s">
        <v>9</v>
      </c>
      <c r="B11" s="87" t="str">
        <f>IF($B$4="","",IFERROR(INDEX('Combined Delivery Data'!$J:$J,MATCH($B$4,'Combined Delivery Data'!$B:$B,0)),""))</f>
        <v/>
      </c>
      <c r="C11" s="85"/>
      <c r="D11" s="85"/>
      <c r="E11" s="86"/>
    </row>
    <row r="12" spans="1:5" x14ac:dyDescent="0.3">
      <c r="A12" s="42" t="s">
        <v>15</v>
      </c>
      <c r="B12" s="87" t="str">
        <f>IF($B$4="","",IFERROR(INDEX('Combined Delivery Data'!$P:$P,MATCH($B$4,'Combined Delivery Data'!$B:$B,0)),""))</f>
        <v/>
      </c>
      <c r="C12" s="85"/>
      <c r="D12" s="85"/>
      <c r="E12" s="86"/>
    </row>
    <row r="13" spans="1:5" x14ac:dyDescent="0.3">
      <c r="A13" s="42" t="s">
        <v>20</v>
      </c>
      <c r="B13" s="87" t="str">
        <f>IF($B$4="","",IFERROR(INDEX('Combined Delivery Data'!$U:$U,MATCH($B$4,'Combined Delivery Data'!$B:$B,0)),""))</f>
        <v/>
      </c>
      <c r="C13" s="85"/>
      <c r="D13" s="85"/>
      <c r="E13" s="86"/>
    </row>
    <row r="14" spans="1:5" x14ac:dyDescent="0.3">
      <c r="A14" s="42" t="s">
        <v>326</v>
      </c>
      <c r="B14" s="84" t="str">
        <f>IF($B$4="","",IFERROR(INDEX('Combined Delivery Data'!$K:$K,MATCH($B$4,'Combined Delivery Data'!$B:$B,0)),""))</f>
        <v/>
      </c>
      <c r="C14" s="85"/>
      <c r="D14" s="85"/>
      <c r="E14" s="86"/>
    </row>
    <row r="15" spans="1:5" x14ac:dyDescent="0.3">
      <c r="A15" s="42" t="s">
        <v>327</v>
      </c>
      <c r="B15" s="84" t="str">
        <f>IF($B$4="","",IFERROR(INDEX('Combined Delivery Data'!$L:$L,MATCH($B$4,'Combined Delivery Data'!$B:$B,0)),""))</f>
        <v/>
      </c>
      <c r="C15" s="85"/>
      <c r="D15" s="85"/>
      <c r="E15" s="86"/>
    </row>
    <row r="16" spans="1:5" x14ac:dyDescent="0.3">
      <c r="A16" s="42" t="s">
        <v>328</v>
      </c>
      <c r="B16" s="84" t="str">
        <f>IF($B$4="","",IFERROR(INDEX('Combined Delivery Data'!$M:$M,MATCH($B$4,'Combined Delivery Data'!$B:$B,0)),""))</f>
        <v/>
      </c>
      <c r="C16" s="85"/>
      <c r="D16" s="85"/>
      <c r="E16" s="86"/>
    </row>
    <row r="17" spans="1:5" x14ac:dyDescent="0.3">
      <c r="A17" s="42" t="s">
        <v>329</v>
      </c>
      <c r="B17" s="84" t="str">
        <f>IF($B$4="","",IFERROR(INDEX('Combined Delivery Data'!$O:$O,MATCH($B$4,'Combined Delivery Data'!$B:$B,0)),""))</f>
        <v/>
      </c>
      <c r="C17" s="85"/>
      <c r="D17" s="85"/>
      <c r="E17" s="86"/>
    </row>
    <row r="18" spans="1:5" x14ac:dyDescent="0.3">
      <c r="A18" s="42" t="s">
        <v>330</v>
      </c>
      <c r="B18" s="84" t="str">
        <f>IF($B$4="","",IFERROR(INDEX('Combined Delivery Data'!$Q:$Q,MATCH($B$4,'Combined Delivery Data'!$B:$B,0)),""))</f>
        <v/>
      </c>
      <c r="C18" s="85"/>
      <c r="D18" s="85"/>
      <c r="E18" s="86"/>
    </row>
    <row r="19" spans="1:5" x14ac:dyDescent="0.3">
      <c r="A19" s="42" t="s">
        <v>331</v>
      </c>
      <c r="B19" s="84" t="str">
        <f>IF($B$4="","",IFERROR(INDEX('Combined Delivery Data'!$R:$R,MATCH($B$4,'Combined Delivery Data'!$B:$B,0)),""))</f>
        <v/>
      </c>
      <c r="C19" s="85"/>
      <c r="D19" s="85"/>
      <c r="E19" s="86"/>
    </row>
    <row r="20" spans="1:5" x14ac:dyDescent="0.3">
      <c r="A20" s="42" t="s">
        <v>332</v>
      </c>
      <c r="B20" s="84" t="str">
        <f>IF($B$4="","",IFERROR(INDEX('Combined Delivery Data'!$S:$S,MATCH($B$4,'Combined Delivery Data'!$B:$B,0)),""))</f>
        <v/>
      </c>
      <c r="C20" s="85"/>
      <c r="D20" s="85"/>
      <c r="E20" s="86"/>
    </row>
    <row r="21" spans="1:5" x14ac:dyDescent="0.3">
      <c r="A21" s="42" t="s">
        <v>28</v>
      </c>
      <c r="B21" s="87" t="str">
        <f>IF($B$4="","",IFERROR(INDEX('Combined Delivery Data'!$T:$T,MATCH($B$4,'Combined Delivery Data'!$B:$B,0)),""))</f>
        <v/>
      </c>
      <c r="C21" s="85"/>
      <c r="D21" s="85"/>
      <c r="E21" s="86"/>
    </row>
    <row r="22" spans="1:5" x14ac:dyDescent="0.3">
      <c r="A22" s="42" t="s">
        <v>30</v>
      </c>
      <c r="B22" s="87" t="str">
        <f>IF($B$4="","",IFERROR(INDEX('Combined Delivery Data'!$V:$V,MATCH($B$4,'Combined Delivery Data'!$B:$B,0)),""))</f>
        <v/>
      </c>
      <c r="C22" s="85"/>
      <c r="D22" s="85"/>
      <c r="E22" s="86"/>
    </row>
    <row r="23" spans="1:5" x14ac:dyDescent="0.3">
      <c r="A23" s="42" t="s">
        <v>31</v>
      </c>
      <c r="B23" s="84" t="str">
        <f>IF($B$4="","",IFERROR(INDEX('Combined Delivery Data'!$Y:$Y,MATCH($B$4,'Combined Delivery Data'!$B:$B,0)),""))</f>
        <v/>
      </c>
      <c r="C23" s="85"/>
      <c r="D23" s="85"/>
      <c r="E23" s="86"/>
    </row>
    <row r="24" spans="1:5" x14ac:dyDescent="0.3">
      <c r="A24" s="42" t="s">
        <v>34</v>
      </c>
      <c r="B24" s="87" t="str">
        <f>IF($B$4="","",IFERROR(INDEX('Combined Delivery Data'!$Z:$Z,MATCH($B$4,'Combined Delivery Data'!$B:$B,0)),""))</f>
        <v/>
      </c>
      <c r="C24" s="85"/>
      <c r="D24" s="85"/>
      <c r="E24" s="86"/>
    </row>
    <row r="25" spans="1:5" x14ac:dyDescent="0.3">
      <c r="A25" s="42" t="s">
        <v>35</v>
      </c>
      <c r="B25" s="87" t="str">
        <f>IF($B$4="","",IFERROR(INDEX('Combined Delivery Data'!$AA:$AA,MATCH($B$4,'Combined Delivery Data'!$B:$B,0)),""))</f>
        <v/>
      </c>
      <c r="C25" s="85"/>
      <c r="D25" s="85"/>
      <c r="E25" s="86"/>
    </row>
    <row r="26" spans="1:5" x14ac:dyDescent="0.3">
      <c r="A26" s="42" t="s">
        <v>333</v>
      </c>
      <c r="B26" s="87" t="str">
        <f>IF($B$4="","",IFERROR(INDEX('Rework Log'!$Q:$Q,MATCH($B$4,'Rework Log'!$P:$P,0)),""))</f>
        <v/>
      </c>
      <c r="C26" s="85"/>
      <c r="D26" s="85"/>
      <c r="E26" s="86"/>
    </row>
    <row r="27" spans="1:5" x14ac:dyDescent="0.3">
      <c r="A27" s="42" t="s">
        <v>334</v>
      </c>
      <c r="B27" s="87" t="str">
        <f>IF($B$4="","",IFERROR(INDEX('Rework Log'!$R:$R,MATCH($B$4,'Rework Log'!$P:$P,0)),""))</f>
        <v/>
      </c>
      <c r="C27" s="85"/>
      <c r="D27" s="85"/>
      <c r="E27" s="86"/>
    </row>
    <row r="28" spans="1:5" x14ac:dyDescent="0.3">
      <c r="A28" s="42" t="s">
        <v>335</v>
      </c>
      <c r="B28" s="87" t="str">
        <f>IF($B$4="","",IFERROR(INDEX('Rework Log'!$S:$S,MATCH($B$4,'Rework Log'!$P:$P,0)),""))</f>
        <v/>
      </c>
      <c r="C28" s="85"/>
      <c r="D28" s="85"/>
      <c r="E28" s="86"/>
    </row>
    <row r="29" spans="1:5" x14ac:dyDescent="0.3">
      <c r="A29" s="42" t="s">
        <v>336</v>
      </c>
      <c r="B29" s="87" t="str">
        <f>IF($B$4="","",IFERROR(INDEX('Rework Log'!$T:$T,MATCH($B$4,'Rework Log'!$P:$P,0)),""))</f>
        <v/>
      </c>
      <c r="C29" s="85"/>
      <c r="D29" s="85"/>
      <c r="E29" s="86"/>
    </row>
    <row r="30" spans="1:5" ht="15.6" customHeight="1" x14ac:dyDescent="0.3">
      <c r="A30" s="42"/>
      <c r="B30" s="87"/>
      <c r="C30" s="85"/>
      <c r="D30" s="85"/>
      <c r="E30" s="86"/>
    </row>
    <row r="31" spans="1:5" ht="15.6" customHeight="1" x14ac:dyDescent="0.3">
      <c r="A31" s="5" t="s">
        <v>36</v>
      </c>
      <c r="B31" s="88" t="str">
        <f>IF($B$4="","",IFERROR(INDEX('Combined Delivery Data'!$AC:$AC,MATCH($B$4,'Combined Delivery Data'!$B:$B,0)),""))</f>
        <v/>
      </c>
      <c r="C31" s="83"/>
      <c r="D31" s="83"/>
      <c r="E31" s="8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" activePane="bottomLeft" state="frozen"/>
      <selection pane="bottomLeft" activeCell="L26" sqref="L26"/>
    </sheetView>
  </sheetViews>
  <sheetFormatPr defaultRowHeight="14.4" x14ac:dyDescent="0.3"/>
  <cols>
    <col min="1" max="1" width="50.5546875" customWidth="1"/>
    <col min="2" max="2" width="14" customWidth="1"/>
    <col min="3" max="4" width="11" customWidth="1"/>
    <col min="5" max="5" width="13" customWidth="1"/>
    <col min="6" max="6" width="56" customWidth="1"/>
    <col min="7" max="7" width="9.6640625" customWidth="1"/>
    <col min="8" max="8" width="3.5546875" customWidth="1"/>
    <col min="9" max="9" width="17.6640625" customWidth="1"/>
    <col min="10" max="11" width="12" customWidth="1"/>
    <col min="12" max="12" width="51.109375" bestFit="1" customWidth="1"/>
    <col min="13" max="13" width="18" customWidth="1"/>
    <col min="15" max="15" width="84.441406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00000000000006" hidden="1" customHeight="1" x14ac:dyDescent="0.3">
      <c r="A1" s="89" t="s">
        <v>337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P1" s="90" t="s">
        <v>338</v>
      </c>
      <c r="Q1" s="90"/>
      <c r="R1" s="90"/>
      <c r="S1" s="90"/>
      <c r="T1" s="90"/>
    </row>
    <row r="2" spans="1:20" ht="30" customHeight="1" x14ac:dyDescent="0.3">
      <c r="A2" s="17" t="s">
        <v>1</v>
      </c>
      <c r="B2" s="17" t="s">
        <v>339</v>
      </c>
      <c r="C2" s="17" t="s">
        <v>340</v>
      </c>
      <c r="D2" s="17" t="s">
        <v>341</v>
      </c>
      <c r="E2" s="17" t="s">
        <v>342</v>
      </c>
      <c r="F2" s="17" t="s">
        <v>343</v>
      </c>
      <c r="G2" s="17" t="s">
        <v>344</v>
      </c>
      <c r="H2" s="30" t="s">
        <v>345</v>
      </c>
      <c r="I2" s="30" t="s">
        <v>346</v>
      </c>
      <c r="J2" s="30" t="s">
        <v>347</v>
      </c>
      <c r="K2" s="30" t="s">
        <v>348</v>
      </c>
      <c r="L2" s="30" t="s">
        <v>349</v>
      </c>
      <c r="M2" s="21" t="s">
        <v>350</v>
      </c>
      <c r="N2" s="21" t="s">
        <v>351</v>
      </c>
      <c r="P2" s="13" t="s">
        <v>1</v>
      </c>
      <c r="Q2" s="13" t="s">
        <v>333</v>
      </c>
      <c r="R2" s="13" t="s">
        <v>334</v>
      </c>
      <c r="S2" s="13" t="s">
        <v>335</v>
      </c>
      <c r="T2" s="13" t="s">
        <v>336</v>
      </c>
    </row>
    <row r="3" spans="1:20" x14ac:dyDescent="0.3">
      <c r="A3" s="33" t="s">
        <v>145</v>
      </c>
      <c r="B3" s="36">
        <v>46230</v>
      </c>
      <c r="C3" s="33" t="s">
        <v>149</v>
      </c>
      <c r="D3" s="33" t="s">
        <v>140</v>
      </c>
      <c r="E3" s="33" t="s">
        <v>146</v>
      </c>
      <c r="F3" s="33" t="s">
        <v>352</v>
      </c>
      <c r="G3" s="33" t="s">
        <v>49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 x14ac:dyDescent="0.3">
      <c r="A4" s="31" t="s">
        <v>157</v>
      </c>
      <c r="B4" s="32">
        <v>46237</v>
      </c>
      <c r="C4" s="31" t="s">
        <v>149</v>
      </c>
      <c r="D4" s="31" t="s">
        <v>140</v>
      </c>
      <c r="E4" s="31" t="s">
        <v>146</v>
      </c>
      <c r="F4" s="31" t="s">
        <v>353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354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 x14ac:dyDescent="0.3">
      <c r="A5" s="54" t="s">
        <v>127</v>
      </c>
      <c r="B5" s="32">
        <v>46238</v>
      </c>
      <c r="C5" s="31" t="s">
        <v>149</v>
      </c>
      <c r="D5" s="31" t="s">
        <v>140</v>
      </c>
      <c r="E5" s="31" t="s">
        <v>129</v>
      </c>
      <c r="F5" s="31" t="s">
        <v>355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 x14ac:dyDescent="0.3">
      <c r="A6" s="54" t="s">
        <v>143</v>
      </c>
      <c r="B6" s="32">
        <v>46234</v>
      </c>
      <c r="C6" s="31" t="s">
        <v>149</v>
      </c>
      <c r="D6" s="31" t="s">
        <v>140</v>
      </c>
      <c r="E6" s="31" t="s">
        <v>129</v>
      </c>
      <c r="F6" s="31" t="s">
        <v>356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 x14ac:dyDescent="0.3">
      <c r="A7" s="54" t="s">
        <v>134</v>
      </c>
      <c r="B7" s="32">
        <v>46239</v>
      </c>
      <c r="C7" s="31" t="s">
        <v>149</v>
      </c>
      <c r="D7" s="31" t="s">
        <v>140</v>
      </c>
      <c r="E7" s="31" t="s">
        <v>129</v>
      </c>
      <c r="F7" s="31" t="s">
        <v>357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 x14ac:dyDescent="0.3">
      <c r="A8" s="54" t="s">
        <v>134</v>
      </c>
      <c r="B8" s="32">
        <v>46246</v>
      </c>
      <c r="C8" s="31" t="s">
        <v>149</v>
      </c>
      <c r="D8" s="31" t="s">
        <v>140</v>
      </c>
      <c r="E8" s="31" t="s">
        <v>129</v>
      </c>
      <c r="F8" s="31" t="s">
        <v>358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359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 x14ac:dyDescent="0.3">
      <c r="A9" s="31" t="s">
        <v>157</v>
      </c>
      <c r="B9" s="32">
        <v>46251</v>
      </c>
      <c r="C9" s="31" t="s">
        <v>149</v>
      </c>
      <c r="D9" s="31" t="s">
        <v>140</v>
      </c>
      <c r="E9" s="31" t="s">
        <v>146</v>
      </c>
      <c r="F9" s="31" t="s">
        <v>360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359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 x14ac:dyDescent="0.3">
      <c r="A10" s="31" t="s">
        <v>145</v>
      </c>
      <c r="B10" s="32">
        <v>46237</v>
      </c>
      <c r="C10" s="31" t="s">
        <v>149</v>
      </c>
      <c r="D10" s="31" t="s">
        <v>140</v>
      </c>
      <c r="E10" s="31" t="s">
        <v>146</v>
      </c>
      <c r="F10" s="31" t="s">
        <v>353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359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 x14ac:dyDescent="0.3">
      <c r="A11" s="54" t="s">
        <v>134</v>
      </c>
      <c r="B11" s="32">
        <v>46254</v>
      </c>
      <c r="C11" s="31" t="s">
        <v>149</v>
      </c>
      <c r="D11" s="31" t="s">
        <v>140</v>
      </c>
      <c r="E11" s="31" t="s">
        <v>129</v>
      </c>
      <c r="F11" s="31" t="s">
        <v>355</v>
      </c>
      <c r="G11" s="31" t="s">
        <v>49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 x14ac:dyDescent="0.3">
      <c r="A12" s="54" t="s">
        <v>154</v>
      </c>
      <c r="B12" s="32">
        <v>46254</v>
      </c>
      <c r="C12" s="31" t="s">
        <v>149</v>
      </c>
      <c r="D12" s="31" t="s">
        <v>140</v>
      </c>
      <c r="E12" s="31" t="s">
        <v>146</v>
      </c>
      <c r="F12" s="31" t="s">
        <v>361</v>
      </c>
      <c r="G12" s="31" t="s">
        <v>49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362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 x14ac:dyDescent="0.3">
      <c r="A13" s="54" t="s">
        <v>139</v>
      </c>
      <c r="B13" s="32">
        <v>46258</v>
      </c>
      <c r="C13" s="31" t="s">
        <v>149</v>
      </c>
      <c r="D13" s="31" t="s">
        <v>140</v>
      </c>
      <c r="E13" s="31" t="s">
        <v>129</v>
      </c>
      <c r="F13" s="31" t="s">
        <v>363</v>
      </c>
      <c r="G13" s="31" t="s">
        <v>49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 x14ac:dyDescent="0.3">
      <c r="A14" s="31" t="s">
        <v>148</v>
      </c>
      <c r="B14" s="32">
        <v>46258</v>
      </c>
      <c r="C14" s="31" t="s">
        <v>149</v>
      </c>
      <c r="D14" s="31" t="s">
        <v>180</v>
      </c>
      <c r="E14" s="31" t="s">
        <v>146</v>
      </c>
      <c r="F14" s="31" t="s">
        <v>364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 x14ac:dyDescent="0.3">
      <c r="A15" s="31" t="s">
        <v>160</v>
      </c>
      <c r="B15" s="32">
        <v>46258</v>
      </c>
      <c r="C15" s="31" t="s">
        <v>149</v>
      </c>
      <c r="D15" s="31" t="s">
        <v>180</v>
      </c>
      <c r="E15" s="31" t="s">
        <v>146</v>
      </c>
      <c r="F15" s="31" t="s">
        <v>365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49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 x14ac:dyDescent="0.3">
      <c r="A16" s="31" t="s">
        <v>153</v>
      </c>
      <c r="B16" s="32">
        <v>46258</v>
      </c>
      <c r="C16" s="31" t="s">
        <v>149</v>
      </c>
      <c r="D16" s="31" t="s">
        <v>140</v>
      </c>
      <c r="E16" s="31" t="s">
        <v>146</v>
      </c>
      <c r="F16" s="31" t="s">
        <v>366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362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 x14ac:dyDescent="0.3">
      <c r="A17" s="31" t="s">
        <v>148</v>
      </c>
      <c r="B17" s="32">
        <v>46260</v>
      </c>
      <c r="C17" s="31" t="s">
        <v>149</v>
      </c>
      <c r="D17" s="31" t="s">
        <v>180</v>
      </c>
      <c r="E17" s="31" t="s">
        <v>146</v>
      </c>
      <c r="F17" s="31" t="s">
        <v>367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x14ac:dyDescent="0.3">
      <c r="A18" s="33" t="s">
        <v>186</v>
      </c>
      <c r="B18" s="32">
        <v>46261</v>
      </c>
      <c r="C18" s="31" t="s">
        <v>149</v>
      </c>
      <c r="D18" s="31" t="s">
        <v>140</v>
      </c>
      <c r="E18" s="31" t="s">
        <v>129</v>
      </c>
      <c r="F18" s="31" t="s">
        <v>368</v>
      </c>
      <c r="G18" s="31" t="s">
        <v>49</v>
      </c>
      <c r="H18" s="32"/>
      <c r="I18" s="32"/>
      <c r="J18" s="32">
        <v>46261</v>
      </c>
      <c r="K18" s="31" t="s">
        <v>159</v>
      </c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 x14ac:dyDescent="0.3">
      <c r="A19" s="31" t="s">
        <v>148</v>
      </c>
      <c r="B19" s="32">
        <v>46262</v>
      </c>
      <c r="C19" s="31" t="s">
        <v>149</v>
      </c>
      <c r="D19" s="31" t="s">
        <v>180</v>
      </c>
      <c r="E19" s="31" t="s">
        <v>146</v>
      </c>
      <c r="F19" s="31" t="s">
        <v>369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359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 x14ac:dyDescent="0.3">
      <c r="A20" s="31" t="s">
        <v>370</v>
      </c>
      <c r="B20" s="32">
        <v>46265</v>
      </c>
      <c r="C20" s="31" t="s">
        <v>149</v>
      </c>
      <c r="D20" s="31" t="s">
        <v>180</v>
      </c>
      <c r="E20" s="31" t="s">
        <v>46</v>
      </c>
      <c r="F20" s="31" t="s">
        <v>371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372</v>
      </c>
      <c r="M20" s="3" t="str">
        <f t="shared" ca="1" si="0"/>
        <v>Fixed</v>
      </c>
      <c r="N20" t="s">
        <v>362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 x14ac:dyDescent="0.3">
      <c r="A21" s="31" t="s">
        <v>179</v>
      </c>
      <c r="B21" s="32">
        <v>46265</v>
      </c>
      <c r="C21" s="31" t="s">
        <v>149</v>
      </c>
      <c r="D21" s="31" t="s">
        <v>140</v>
      </c>
      <c r="E21" s="31" t="s">
        <v>46</v>
      </c>
      <c r="F21" s="31" t="s">
        <v>373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 x14ac:dyDescent="0.3">
      <c r="A22" s="54" t="s">
        <v>139</v>
      </c>
      <c r="B22" s="32">
        <v>46265</v>
      </c>
      <c r="C22" s="31" t="s">
        <v>149</v>
      </c>
      <c r="D22" s="31" t="s">
        <v>140</v>
      </c>
      <c r="E22" s="31" t="s">
        <v>129</v>
      </c>
      <c r="F22" s="31" t="s">
        <v>374</v>
      </c>
      <c r="G22" s="31" t="s">
        <v>49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 x14ac:dyDescent="0.3">
      <c r="A23" s="31" t="s">
        <v>174</v>
      </c>
      <c r="B23" s="32">
        <v>46266</v>
      </c>
      <c r="C23" s="31" t="s">
        <v>149</v>
      </c>
      <c r="D23" s="31" t="s">
        <v>140</v>
      </c>
      <c r="E23" s="31" t="s">
        <v>46</v>
      </c>
      <c r="F23" s="31" t="s">
        <v>375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 x14ac:dyDescent="0.3">
      <c r="A24" s="31" t="s">
        <v>174</v>
      </c>
      <c r="B24" s="32">
        <v>46266</v>
      </c>
      <c r="C24" s="31" t="s">
        <v>149</v>
      </c>
      <c r="D24" s="31" t="s">
        <v>140</v>
      </c>
      <c r="E24" s="31" t="s">
        <v>46</v>
      </c>
      <c r="F24" s="31" t="s">
        <v>376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 x14ac:dyDescent="0.3">
      <c r="A25" s="31" t="s">
        <v>174</v>
      </c>
      <c r="B25" s="32">
        <v>46267</v>
      </c>
      <c r="C25" s="31" t="s">
        <v>149</v>
      </c>
      <c r="D25" s="31" t="s">
        <v>180</v>
      </c>
      <c r="E25" s="31" t="s">
        <v>46</v>
      </c>
      <c r="F25" s="78" t="s">
        <v>418</v>
      </c>
      <c r="G25" s="31" t="s">
        <v>52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 x14ac:dyDescent="0.3">
      <c r="A26" s="54" t="s">
        <v>190</v>
      </c>
      <c r="B26" s="32">
        <v>46267</v>
      </c>
      <c r="C26" s="31" t="s">
        <v>149</v>
      </c>
      <c r="D26" s="31" t="s">
        <v>180</v>
      </c>
      <c r="E26" s="31" t="s">
        <v>129</v>
      </c>
      <c r="F26" s="31" t="s">
        <v>419</v>
      </c>
      <c r="G26" s="31" t="s">
        <v>52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N26" t="s">
        <v>49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 x14ac:dyDescent="0.3">
      <c r="A27" s="54" t="s">
        <v>186</v>
      </c>
      <c r="B27" s="32">
        <v>46267</v>
      </c>
      <c r="C27" s="31" t="s">
        <v>149</v>
      </c>
      <c r="D27" s="31" t="s">
        <v>140</v>
      </c>
      <c r="E27" s="31" t="s">
        <v>129</v>
      </c>
      <c r="F27" s="31" t="s">
        <v>368</v>
      </c>
      <c r="G27" s="31" t="s">
        <v>49</v>
      </c>
      <c r="H27" s="32"/>
      <c r="I27" s="32"/>
      <c r="J27" s="32">
        <v>46267</v>
      </c>
      <c r="K27" s="31" t="s">
        <v>159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 x14ac:dyDescent="0.3">
      <c r="A28" s="31" t="s">
        <v>160</v>
      </c>
      <c r="B28" s="32">
        <v>46267</v>
      </c>
      <c r="C28" s="31" t="s">
        <v>149</v>
      </c>
      <c r="D28" s="31" t="s">
        <v>180</v>
      </c>
      <c r="E28" s="31" t="s">
        <v>146</v>
      </c>
      <c r="F28" s="31" t="s">
        <v>420</v>
      </c>
      <c r="G28" s="31" t="s">
        <v>49</v>
      </c>
      <c r="H28" s="32"/>
      <c r="I28" s="32"/>
      <c r="J28" s="32">
        <v>46267</v>
      </c>
      <c r="K28" s="31" t="s">
        <v>76</v>
      </c>
      <c r="L28" s="31" t="s">
        <v>422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 x14ac:dyDescent="0.3">
      <c r="A29" s="31" t="s">
        <v>137</v>
      </c>
      <c r="B29" s="32">
        <v>46267</v>
      </c>
      <c r="C29" s="31" t="s">
        <v>149</v>
      </c>
      <c r="D29" s="31" t="s">
        <v>180</v>
      </c>
      <c r="E29" s="31" t="s">
        <v>129</v>
      </c>
      <c r="F29" s="31" t="s">
        <v>420</v>
      </c>
      <c r="G29" s="31" t="s">
        <v>49</v>
      </c>
      <c r="H29" s="32"/>
      <c r="I29" s="32"/>
      <c r="J29" s="32">
        <v>46267</v>
      </c>
      <c r="K29" s="31" t="s">
        <v>76</v>
      </c>
      <c r="L29" s="127" t="s">
        <v>422</v>
      </c>
      <c r="M29" s="3" t="str">
        <f t="shared" ca="1" si="0"/>
        <v>Fixed</v>
      </c>
      <c r="N29" t="s">
        <v>49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 x14ac:dyDescent="0.3">
      <c r="A30" s="31" t="s">
        <v>161</v>
      </c>
      <c r="B30" s="32">
        <v>46267</v>
      </c>
      <c r="C30" s="31" t="s">
        <v>149</v>
      </c>
      <c r="D30" s="31" t="s">
        <v>180</v>
      </c>
      <c r="E30" s="31" t="s">
        <v>129</v>
      </c>
      <c r="F30" s="31" t="s">
        <v>420</v>
      </c>
      <c r="G30" s="31" t="s">
        <v>49</v>
      </c>
      <c r="H30" s="32"/>
      <c r="I30" s="32"/>
      <c r="J30" s="32">
        <v>46267</v>
      </c>
      <c r="K30" s="31" t="s">
        <v>76</v>
      </c>
      <c r="L30" s="127" t="s">
        <v>422</v>
      </c>
      <c r="M30" s="3" t="str">
        <f t="shared" ca="1" si="0"/>
        <v>Fixed</v>
      </c>
      <c r="N30" t="s">
        <v>49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 x14ac:dyDescent="0.3">
      <c r="A31" s="54" t="s">
        <v>186</v>
      </c>
      <c r="B31" s="32">
        <v>46267</v>
      </c>
      <c r="C31" s="31" t="s">
        <v>149</v>
      </c>
      <c r="D31" s="31" t="s">
        <v>140</v>
      </c>
      <c r="E31" s="31" t="s">
        <v>129</v>
      </c>
      <c r="F31" s="31" t="s">
        <v>421</v>
      </c>
      <c r="G31" s="31" t="s">
        <v>52</v>
      </c>
      <c r="H31" s="32"/>
      <c r="I31" s="32"/>
      <c r="J31" s="32"/>
      <c r="K31" s="31"/>
      <c r="L31" s="31"/>
      <c r="M31" s="3" t="str">
        <f t="shared" ca="1" si="0"/>
        <v>UNCLAIMED 0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 x14ac:dyDescent="0.3">
      <c r="A32" s="31"/>
      <c r="B32" s="32"/>
      <c r="C32" s="31" t="s">
        <v>149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 x14ac:dyDescent="0.3">
      <c r="A33" s="31"/>
      <c r="B33" s="32"/>
      <c r="C33" s="31" t="s">
        <v>149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 x14ac:dyDescent="0.3">
      <c r="A34" s="31"/>
      <c r="B34" s="32"/>
      <c r="C34" s="31" t="s">
        <v>149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 x14ac:dyDescent="0.3">
      <c r="A35" s="31"/>
      <c r="B35" s="32"/>
      <c r="C35" s="31" t="s">
        <v>149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 x14ac:dyDescent="0.3">
      <c r="A36" s="31"/>
      <c r="B36" s="32"/>
      <c r="C36" s="31" t="s">
        <v>149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 x14ac:dyDescent="0.3">
      <c r="A37" s="31"/>
      <c r="B37" s="32"/>
      <c r="C37" s="31" t="s">
        <v>149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 x14ac:dyDescent="0.3">
      <c r="A38" s="31"/>
      <c r="B38" s="32"/>
      <c r="C38" s="31" t="s">
        <v>149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 x14ac:dyDescent="0.3">
      <c r="A39" s="31"/>
      <c r="B39" s="32"/>
      <c r="C39" s="31" t="s">
        <v>149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 x14ac:dyDescent="0.3">
      <c r="A40" s="31"/>
      <c r="B40" s="32"/>
      <c r="C40" s="31" t="s">
        <v>149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 x14ac:dyDescent="0.3">
      <c r="A41" s="31"/>
      <c r="B41" s="32"/>
      <c r="C41" s="31" t="s">
        <v>149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 x14ac:dyDescent="0.3">
      <c r="A42" s="31"/>
      <c r="B42" s="32"/>
      <c r="C42" s="31" t="s">
        <v>149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 x14ac:dyDescent="0.3">
      <c r="A43" s="31"/>
      <c r="B43" s="32"/>
      <c r="C43" s="31" t="s">
        <v>149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 x14ac:dyDescent="0.3">
      <c r="A44" s="31"/>
      <c r="B44" s="32"/>
      <c r="C44" s="31" t="s">
        <v>149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 x14ac:dyDescent="0.3">
      <c r="A45" s="31"/>
      <c r="B45" s="32"/>
      <c r="C45" s="31" t="s">
        <v>149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 x14ac:dyDescent="0.3">
      <c r="A46" s="31"/>
      <c r="B46" s="32"/>
      <c r="C46" s="31" t="s">
        <v>149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 x14ac:dyDescent="0.3">
      <c r="A47" s="31"/>
      <c r="B47" s="32"/>
      <c r="C47" s="31" t="s">
        <v>149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 x14ac:dyDescent="0.3">
      <c r="A48" s="31"/>
      <c r="B48" s="32"/>
      <c r="C48" s="31" t="s">
        <v>149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 x14ac:dyDescent="0.3">
      <c r="A49" s="31"/>
      <c r="B49" s="32"/>
      <c r="C49" s="31" t="s">
        <v>149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 x14ac:dyDescent="0.3">
      <c r="A50" s="31"/>
      <c r="B50" s="32"/>
      <c r="C50" s="31" t="s">
        <v>149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 x14ac:dyDescent="0.3">
      <c r="A51" s="31"/>
      <c r="B51" s="32"/>
      <c r="C51" s="31" t="s">
        <v>149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 x14ac:dyDescent="0.3">
      <c r="A52" s="31"/>
      <c r="B52" s="32"/>
      <c r="C52" s="31" t="s">
        <v>149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 x14ac:dyDescent="0.3">
      <c r="A53" s="31"/>
      <c r="B53" s="32"/>
      <c r="C53" s="31" t="s">
        <v>149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 x14ac:dyDescent="0.3">
      <c r="A54" s="31"/>
      <c r="B54" s="32"/>
      <c r="C54" s="31" t="s">
        <v>149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 x14ac:dyDescent="0.3">
      <c r="A55" s="31"/>
      <c r="B55" s="32"/>
      <c r="C55" s="31" t="s">
        <v>149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 x14ac:dyDescent="0.3">
      <c r="A56" s="31"/>
      <c r="B56" s="32"/>
      <c r="C56" s="31" t="s">
        <v>149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 x14ac:dyDescent="0.3">
      <c r="A57" s="31"/>
      <c r="B57" s="32"/>
      <c r="C57" s="31" t="s">
        <v>149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 x14ac:dyDescent="0.3">
      <c r="A58" s="31"/>
      <c r="B58" s="32"/>
      <c r="C58" s="31" t="s">
        <v>149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 x14ac:dyDescent="0.3">
      <c r="A59" s="31"/>
      <c r="B59" s="32"/>
      <c r="C59" s="31" t="s">
        <v>149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 x14ac:dyDescent="0.3">
      <c r="A60" s="31"/>
      <c r="B60" s="32"/>
      <c r="C60" s="31" t="s">
        <v>149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 x14ac:dyDescent="0.3">
      <c r="A61" s="31"/>
      <c r="B61" s="32"/>
      <c r="C61" s="31" t="s">
        <v>149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 x14ac:dyDescent="0.3">
      <c r="A62" s="31"/>
      <c r="B62" s="32"/>
      <c r="C62" s="31" t="s">
        <v>149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 x14ac:dyDescent="0.3">
      <c r="A63" s="31"/>
      <c r="B63" s="32"/>
      <c r="C63" s="31" t="s">
        <v>149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 x14ac:dyDescent="0.3">
      <c r="A64" s="31"/>
      <c r="B64" s="32"/>
      <c r="C64" s="31" t="s">
        <v>149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 x14ac:dyDescent="0.3">
      <c r="A65" s="31"/>
      <c r="B65" s="32"/>
      <c r="C65" s="31" t="s">
        <v>149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 x14ac:dyDescent="0.3">
      <c r="A66" s="31"/>
      <c r="B66" s="32"/>
      <c r="C66" s="31" t="s">
        <v>149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 x14ac:dyDescent="0.3">
      <c r="A67" s="31"/>
      <c r="B67" s="32"/>
      <c r="C67" s="31" t="s">
        <v>149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 x14ac:dyDescent="0.3">
      <c r="A68" s="31"/>
      <c r="B68" s="32"/>
      <c r="C68" s="31" t="s">
        <v>149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 x14ac:dyDescent="0.3">
      <c r="A69" s="31"/>
      <c r="B69" s="32"/>
      <c r="C69" s="31" t="s">
        <v>149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 x14ac:dyDescent="0.3">
      <c r="A70" s="31"/>
      <c r="B70" s="32"/>
      <c r="C70" s="31" t="s">
        <v>149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 x14ac:dyDescent="0.3">
      <c r="A71" s="31"/>
      <c r="B71" s="32"/>
      <c r="C71" s="31" t="s">
        <v>149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 x14ac:dyDescent="0.3">
      <c r="A72" s="31"/>
      <c r="B72" s="32"/>
      <c r="C72" s="31" t="s">
        <v>149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 x14ac:dyDescent="0.3">
      <c r="A73" s="31"/>
      <c r="B73" s="32"/>
      <c r="C73" s="31" t="s">
        <v>149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 x14ac:dyDescent="0.3">
      <c r="A74" s="31"/>
      <c r="B74" s="32"/>
      <c r="C74" s="31" t="s">
        <v>149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 x14ac:dyDescent="0.3">
      <c r="A75" s="31"/>
      <c r="B75" s="32"/>
      <c r="C75" s="31" t="s">
        <v>149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 x14ac:dyDescent="0.3">
      <c r="A76" s="31"/>
      <c r="B76" s="32"/>
      <c r="C76" s="31" t="s">
        <v>149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 x14ac:dyDescent="0.3">
      <c r="A77" s="31"/>
      <c r="B77" s="32"/>
      <c r="C77" s="31" t="s">
        <v>149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 x14ac:dyDescent="0.3">
      <c r="A78" s="31"/>
      <c r="B78" s="32"/>
      <c r="C78" s="31" t="s">
        <v>149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 x14ac:dyDescent="0.3">
      <c r="A79" s="31"/>
      <c r="B79" s="32"/>
      <c r="C79" s="31" t="s">
        <v>149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 x14ac:dyDescent="0.3">
      <c r="A80" s="31"/>
      <c r="B80" s="32"/>
      <c r="C80" s="31" t="s">
        <v>149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 x14ac:dyDescent="0.3">
      <c r="A81" s="31"/>
      <c r="B81" s="32"/>
      <c r="C81" s="31" t="s">
        <v>149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 x14ac:dyDescent="0.3">
      <c r="A82" s="31"/>
      <c r="B82" s="32"/>
      <c r="C82" s="31" t="s">
        <v>149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 x14ac:dyDescent="0.3">
      <c r="A83" s="31"/>
      <c r="B83" s="32"/>
      <c r="C83" s="31" t="s">
        <v>149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 x14ac:dyDescent="0.3">
      <c r="A84" s="31"/>
      <c r="B84" s="32"/>
      <c r="C84" s="31" t="s">
        <v>149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 x14ac:dyDescent="0.3">
      <c r="A85" s="31"/>
      <c r="B85" s="32"/>
      <c r="C85" s="31" t="s">
        <v>149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 x14ac:dyDescent="0.3">
      <c r="A86" s="31"/>
      <c r="B86" s="32"/>
      <c r="C86" s="31" t="s">
        <v>149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 x14ac:dyDescent="0.3">
      <c r="A87" s="31"/>
      <c r="B87" s="32"/>
      <c r="C87" s="31" t="s">
        <v>149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 x14ac:dyDescent="0.3">
      <c r="A88" s="31"/>
      <c r="B88" s="32"/>
      <c r="C88" s="31" t="s">
        <v>149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 x14ac:dyDescent="0.3">
      <c r="A89" s="31"/>
      <c r="B89" s="32"/>
      <c r="C89" s="31" t="s">
        <v>149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 x14ac:dyDescent="0.3">
      <c r="A90" s="31"/>
      <c r="B90" s="32"/>
      <c r="C90" s="31" t="s">
        <v>149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468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 x14ac:dyDescent="0.3">
      <c r="A91" s="31"/>
      <c r="B91" s="32"/>
      <c r="C91" s="31" t="s">
        <v>149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468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 x14ac:dyDescent="0.3">
      <c r="A92" s="31"/>
      <c r="B92" s="32"/>
      <c r="C92" s="31" t="s">
        <v>149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468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 x14ac:dyDescent="0.3">
      <c r="A93" s="31"/>
      <c r="B93" s="32"/>
      <c r="C93" s="31" t="s">
        <v>149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468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 x14ac:dyDescent="0.3">
      <c r="A94" s="31"/>
      <c r="B94" s="32"/>
      <c r="C94" s="31" t="s">
        <v>149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468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 x14ac:dyDescent="0.3">
      <c r="A95" s="31"/>
      <c r="B95" s="32"/>
      <c r="C95" s="31" t="s">
        <v>149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468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 x14ac:dyDescent="0.3">
      <c r="A96" s="31"/>
      <c r="B96" s="32"/>
      <c r="C96" s="31" t="s">
        <v>149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468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 x14ac:dyDescent="0.3">
      <c r="A97" s="31"/>
      <c r="B97" s="32"/>
      <c r="C97" s="31" t="s">
        <v>149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468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 x14ac:dyDescent="0.3">
      <c r="A98" s="31"/>
      <c r="B98" s="32"/>
      <c r="C98" s="31" t="s">
        <v>149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468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 x14ac:dyDescent="0.3">
      <c r="A99" s="31"/>
      <c r="B99" s="32"/>
      <c r="C99" s="31" t="s">
        <v>149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468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 x14ac:dyDescent="0.3">
      <c r="A100" s="31"/>
      <c r="B100" s="32"/>
      <c r="C100" s="31" t="s">
        <v>149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468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 x14ac:dyDescent="0.3">
      <c r="A101" s="31"/>
      <c r="B101" s="32"/>
      <c r="C101" s="31" t="s">
        <v>149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468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 x14ac:dyDescent="0.3">
      <c r="A102" s="31"/>
      <c r="B102" s="32"/>
      <c r="C102" s="31" t="s">
        <v>149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468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 x14ac:dyDescent="0.3">
      <c r="A103" s="31"/>
      <c r="B103" s="32"/>
      <c r="C103" s="31" t="s">
        <v>149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468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 x14ac:dyDescent="0.3">
      <c r="A104" s="31"/>
      <c r="B104" s="32"/>
      <c r="C104" s="31" t="s">
        <v>149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468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 x14ac:dyDescent="0.3">
      <c r="A105" s="31"/>
      <c r="B105" s="32"/>
      <c r="C105" s="31" t="s">
        <v>149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468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 x14ac:dyDescent="0.3">
      <c r="A106" s="31"/>
      <c r="B106" s="32"/>
      <c r="C106" s="31" t="s">
        <v>149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468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 x14ac:dyDescent="0.3">
      <c r="A107" s="31"/>
      <c r="B107" s="32"/>
      <c r="C107" s="31" t="s">
        <v>149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468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 x14ac:dyDescent="0.3">
      <c r="A108" s="31"/>
      <c r="B108" s="32"/>
      <c r="C108" s="31" t="s">
        <v>149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468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 x14ac:dyDescent="0.3">
      <c r="A109" s="31"/>
      <c r="B109" s="32"/>
      <c r="C109" s="31" t="s">
        <v>149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468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 x14ac:dyDescent="0.3">
      <c r="A110" s="31"/>
      <c r="B110" s="32"/>
      <c r="C110" s="31" t="s">
        <v>149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468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 x14ac:dyDescent="0.3">
      <c r="A111" s="31"/>
      <c r="B111" s="32"/>
      <c r="C111" s="31" t="s">
        <v>149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468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 x14ac:dyDescent="0.3">
      <c r="A112" s="31"/>
      <c r="B112" s="32"/>
      <c r="C112" s="31" t="s">
        <v>149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468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 x14ac:dyDescent="0.3">
      <c r="A113" s="31"/>
      <c r="B113" s="32"/>
      <c r="C113" s="31" t="s">
        <v>149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468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 x14ac:dyDescent="0.3">
      <c r="A114" s="31"/>
      <c r="B114" s="32"/>
      <c r="C114" s="31" t="s">
        <v>149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468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 x14ac:dyDescent="0.3">
      <c r="A115" s="31"/>
      <c r="B115" s="32"/>
      <c r="C115" s="31" t="s">
        <v>149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468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 x14ac:dyDescent="0.3">
      <c r="A116" s="31"/>
      <c r="B116" s="32"/>
      <c r="C116" s="31" t="s">
        <v>149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468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 x14ac:dyDescent="0.3">
      <c r="A117" s="31"/>
      <c r="B117" s="32"/>
      <c r="C117" s="31" t="s">
        <v>149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468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 x14ac:dyDescent="0.3">
      <c r="A118" s="31"/>
      <c r="B118" s="32"/>
      <c r="C118" s="31" t="s">
        <v>149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468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 x14ac:dyDescent="0.3">
      <c r="A119" s="31"/>
      <c r="B119" s="32"/>
      <c r="C119" s="31" t="s">
        <v>149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468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 x14ac:dyDescent="0.3">
      <c r="A120" s="31"/>
      <c r="B120" s="32"/>
      <c r="C120" s="31" t="s">
        <v>149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468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 x14ac:dyDescent="0.3">
      <c r="A121" s="31"/>
      <c r="B121" s="32"/>
      <c r="C121" s="31" t="s">
        <v>149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468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 x14ac:dyDescent="0.3">
      <c r="A122" s="31"/>
      <c r="B122" s="32"/>
      <c r="C122" s="31" t="s">
        <v>149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468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 x14ac:dyDescent="0.3">
      <c r="A123" s="31"/>
      <c r="B123" s="32"/>
      <c r="C123" s="31" t="s">
        <v>149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468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 x14ac:dyDescent="0.3">
      <c r="A124" s="31"/>
      <c r="B124" s="32"/>
      <c r="C124" s="31" t="s">
        <v>149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468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 x14ac:dyDescent="0.3">
      <c r="A125" s="31"/>
      <c r="B125" s="32"/>
      <c r="C125" s="31" t="s">
        <v>149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468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 x14ac:dyDescent="0.3">
      <c r="A126" s="31"/>
      <c r="B126" s="32"/>
      <c r="C126" s="31" t="s">
        <v>149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468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 x14ac:dyDescent="0.3">
      <c r="A127" s="31"/>
      <c r="B127" s="32"/>
      <c r="C127" s="31" t="s">
        <v>149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468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 x14ac:dyDescent="0.3">
      <c r="A128" s="31"/>
      <c r="B128" s="32"/>
      <c r="C128" s="31" t="s">
        <v>149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468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 x14ac:dyDescent="0.3">
      <c r="A129" s="31"/>
      <c r="B129" s="32"/>
      <c r="C129" s="31" t="s">
        <v>149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468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 x14ac:dyDescent="0.3">
      <c r="A130" s="31"/>
      <c r="B130" s="32"/>
      <c r="C130" s="31" t="s">
        <v>149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468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 x14ac:dyDescent="0.3">
      <c r="A131" s="31"/>
      <c r="B131" s="32"/>
      <c r="C131" s="31" t="s">
        <v>149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468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 x14ac:dyDescent="0.3">
      <c r="A132" s="31"/>
      <c r="B132" s="32"/>
      <c r="C132" s="31" t="s">
        <v>149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468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 x14ac:dyDescent="0.3">
      <c r="A133" s="31"/>
      <c r="B133" s="32"/>
      <c r="C133" s="31" t="s">
        <v>149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468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 x14ac:dyDescent="0.3">
      <c r="A134" s="31"/>
      <c r="B134" s="32"/>
      <c r="C134" s="31" t="s">
        <v>149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468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 x14ac:dyDescent="0.3">
      <c r="A135" s="31"/>
      <c r="B135" s="32"/>
      <c r="C135" s="31" t="s">
        <v>149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468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 x14ac:dyDescent="0.3">
      <c r="A136" s="31"/>
      <c r="B136" s="32"/>
      <c r="C136" s="31" t="s">
        <v>149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468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 x14ac:dyDescent="0.3">
      <c r="A137" s="31"/>
      <c r="B137" s="32"/>
      <c r="C137" s="31" t="s">
        <v>149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468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 x14ac:dyDescent="0.3">
      <c r="A138" s="31"/>
      <c r="B138" s="32"/>
      <c r="C138" s="31" t="s">
        <v>149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468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 x14ac:dyDescent="0.3">
      <c r="A139" s="31"/>
      <c r="B139" s="32"/>
      <c r="C139" s="31" t="s">
        <v>149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468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 x14ac:dyDescent="0.3">
      <c r="A140" s="31"/>
      <c r="B140" s="32"/>
      <c r="C140" s="31" t="s">
        <v>149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468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 x14ac:dyDescent="0.3">
      <c r="A141" s="31"/>
      <c r="B141" s="32"/>
      <c r="C141" s="31" t="s">
        <v>149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468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 x14ac:dyDescent="0.3">
      <c r="A142" s="31"/>
      <c r="B142" s="32"/>
      <c r="C142" s="31" t="s">
        <v>149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468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 x14ac:dyDescent="0.3">
      <c r="A143" s="31"/>
      <c r="B143" s="32"/>
      <c r="C143" s="31" t="s">
        <v>149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468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 x14ac:dyDescent="0.3">
      <c r="A144" s="31"/>
      <c r="B144" s="32"/>
      <c r="C144" s="31" t="s">
        <v>149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468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 x14ac:dyDescent="0.3">
      <c r="A145" s="31"/>
      <c r="B145" s="32"/>
      <c r="C145" s="31" t="s">
        <v>149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468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 x14ac:dyDescent="0.3">
      <c r="A146" s="31"/>
      <c r="B146" s="32"/>
      <c r="C146" s="31" t="s">
        <v>149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468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 x14ac:dyDescent="0.3">
      <c r="A147" s="31"/>
      <c r="B147" s="32"/>
      <c r="C147" s="31" t="s">
        <v>149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468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 x14ac:dyDescent="0.3">
      <c r="A148" s="31"/>
      <c r="B148" s="32"/>
      <c r="C148" s="31" t="s">
        <v>149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468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 x14ac:dyDescent="0.3">
      <c r="A149" s="31"/>
      <c r="B149" s="32"/>
      <c r="C149" s="31" t="s">
        <v>149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468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 x14ac:dyDescent="0.3">
      <c r="A150" s="31"/>
      <c r="B150" s="32"/>
      <c r="C150" s="31" t="s">
        <v>149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468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 x14ac:dyDescent="0.3">
      <c r="A151" s="31"/>
      <c r="B151" s="32"/>
      <c r="C151" s="31" t="s">
        <v>149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468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 x14ac:dyDescent="0.3">
      <c r="A152" s="31"/>
      <c r="B152" s="32"/>
      <c r="C152" s="31" t="s">
        <v>149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468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 x14ac:dyDescent="0.3">
      <c r="A153" s="31"/>
      <c r="B153" s="32"/>
      <c r="C153" s="31" t="s">
        <v>149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468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 x14ac:dyDescent="0.3">
      <c r="A154" s="31"/>
      <c r="B154" s="32"/>
      <c r="C154" s="31" t="s">
        <v>149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468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 x14ac:dyDescent="0.3">
      <c r="A155" s="31"/>
      <c r="B155" s="32"/>
      <c r="C155" s="31" t="s">
        <v>149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468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 x14ac:dyDescent="0.3">
      <c r="A156" s="31"/>
      <c r="B156" s="32"/>
      <c r="C156" s="31" t="s">
        <v>149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468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 x14ac:dyDescent="0.3">
      <c r="A157" s="31"/>
      <c r="B157" s="32"/>
      <c r="C157" s="31" t="s">
        <v>149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468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 x14ac:dyDescent="0.3">
      <c r="A158" s="31"/>
      <c r="B158" s="32"/>
      <c r="C158" s="31" t="s">
        <v>149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468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 x14ac:dyDescent="0.3">
      <c r="A159" s="31"/>
      <c r="B159" s="32"/>
      <c r="C159" s="31" t="s">
        <v>149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468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 x14ac:dyDescent="0.3">
      <c r="A160" s="31"/>
      <c r="B160" s="32"/>
      <c r="C160" s="31" t="s">
        <v>149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468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 x14ac:dyDescent="0.3">
      <c r="A161" s="31"/>
      <c r="B161" s="32"/>
      <c r="C161" s="31" t="s">
        <v>149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468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 x14ac:dyDescent="0.3">
      <c r="A162" s="31"/>
      <c r="B162" s="32"/>
      <c r="C162" s="31" t="s">
        <v>149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468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 x14ac:dyDescent="0.3">
      <c r="A163" s="31"/>
      <c r="B163" s="32"/>
      <c r="C163" s="31" t="s">
        <v>149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468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 x14ac:dyDescent="0.3">
      <c r="A164" s="31"/>
      <c r="B164" s="32"/>
      <c r="C164" s="31" t="s">
        <v>149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468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 x14ac:dyDescent="0.3">
      <c r="A165" s="31"/>
      <c r="B165" s="32"/>
      <c r="C165" s="31" t="s">
        <v>149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468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 x14ac:dyDescent="0.3">
      <c r="A166" s="31"/>
      <c r="B166" s="32"/>
      <c r="C166" s="31" t="s">
        <v>149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468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 x14ac:dyDescent="0.3">
      <c r="A167" s="31"/>
      <c r="B167" s="32"/>
      <c r="C167" s="31" t="s">
        <v>149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468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 x14ac:dyDescent="0.3">
      <c r="A168" s="31"/>
      <c r="B168" s="32"/>
      <c r="C168" s="31" t="s">
        <v>149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468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 x14ac:dyDescent="0.3">
      <c r="A169" s="31"/>
      <c r="B169" s="32"/>
      <c r="C169" s="31" t="s">
        <v>149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468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 x14ac:dyDescent="0.3">
      <c r="A170" s="31"/>
      <c r="B170" s="32"/>
      <c r="C170" s="31" t="s">
        <v>149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468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 x14ac:dyDescent="0.3">
      <c r="A171" s="31"/>
      <c r="B171" s="32"/>
      <c r="C171" s="31" t="s">
        <v>149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468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 x14ac:dyDescent="0.3">
      <c r="A172" s="31"/>
      <c r="B172" s="32"/>
      <c r="C172" s="31" t="s">
        <v>149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468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 x14ac:dyDescent="0.3">
      <c r="A173" s="31"/>
      <c r="B173" s="32"/>
      <c r="C173" s="31" t="s">
        <v>149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468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 x14ac:dyDescent="0.3">
      <c r="A174" s="31"/>
      <c r="B174" s="32"/>
      <c r="C174" s="31" t="s">
        <v>149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468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 x14ac:dyDescent="0.3">
      <c r="A175" s="31"/>
      <c r="B175" s="32"/>
      <c r="C175" s="31" t="s">
        <v>149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468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 x14ac:dyDescent="0.3">
      <c r="A176" s="31"/>
      <c r="B176" s="32"/>
      <c r="C176" s="31" t="s">
        <v>149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468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 x14ac:dyDescent="0.3">
      <c r="A177" s="31"/>
      <c r="B177" s="32"/>
      <c r="C177" s="31" t="s">
        <v>149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468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 x14ac:dyDescent="0.3">
      <c r="A178" s="31"/>
      <c r="B178" s="32"/>
      <c r="C178" s="31" t="s">
        <v>149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468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 x14ac:dyDescent="0.3">
      <c r="A179" s="31"/>
      <c r="B179" s="32"/>
      <c r="C179" s="31" t="s">
        <v>149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468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 x14ac:dyDescent="0.3">
      <c r="A180" s="31"/>
      <c r="B180" s="32"/>
      <c r="C180" s="31" t="s">
        <v>149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468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 x14ac:dyDescent="0.3">
      <c r="A181" s="31"/>
      <c r="B181" s="32"/>
      <c r="C181" s="31" t="s">
        <v>149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468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 x14ac:dyDescent="0.3">
      <c r="A182" s="31"/>
      <c r="B182" s="32"/>
      <c r="C182" s="31" t="s">
        <v>149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468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 x14ac:dyDescent="0.3">
      <c r="A183" s="31"/>
      <c r="B183" s="32"/>
      <c r="C183" s="31" t="s">
        <v>149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468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 x14ac:dyDescent="0.3">
      <c r="A184" s="31"/>
      <c r="B184" s="32"/>
      <c r="C184" s="31" t="s">
        <v>149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468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 x14ac:dyDescent="0.3">
      <c r="A185" s="31"/>
      <c r="B185" s="32"/>
      <c r="C185" s="31" t="s">
        <v>149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468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 x14ac:dyDescent="0.3">
      <c r="A186" s="31"/>
      <c r="B186" s="32"/>
      <c r="C186" s="31" t="s">
        <v>149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468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 x14ac:dyDescent="0.3">
      <c r="A187" s="31"/>
      <c r="B187" s="32"/>
      <c r="C187" s="31" t="s">
        <v>149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468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 x14ac:dyDescent="0.3">
      <c r="A188" s="31"/>
      <c r="B188" s="32"/>
      <c r="C188" s="31" t="s">
        <v>149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468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 x14ac:dyDescent="0.3">
      <c r="A189" s="31"/>
      <c r="B189" s="32"/>
      <c r="C189" s="31" t="s">
        <v>149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468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 x14ac:dyDescent="0.3">
      <c r="A190" s="31"/>
      <c r="B190" s="32"/>
      <c r="C190" s="31" t="s">
        <v>149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468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 x14ac:dyDescent="0.3">
      <c r="A191" s="31"/>
      <c r="B191" s="32"/>
      <c r="C191" s="31" t="s">
        <v>149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468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 x14ac:dyDescent="0.3">
      <c r="A192" s="31"/>
      <c r="B192" s="32"/>
      <c r="C192" s="31" t="s">
        <v>149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468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 x14ac:dyDescent="0.3">
      <c r="A193" s="31"/>
      <c r="B193" s="32"/>
      <c r="C193" s="31" t="s">
        <v>149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468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 x14ac:dyDescent="0.3">
      <c r="A194" s="31"/>
      <c r="B194" s="32"/>
      <c r="C194" s="31" t="s">
        <v>149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468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 x14ac:dyDescent="0.3">
      <c r="A195" s="31"/>
      <c r="B195" s="32"/>
      <c r="C195" s="31" t="s">
        <v>149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468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 x14ac:dyDescent="0.3">
      <c r="A196" s="31"/>
      <c r="B196" s="32"/>
      <c r="C196" s="31" t="s">
        <v>149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468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 x14ac:dyDescent="0.3">
      <c r="A197" s="31"/>
      <c r="B197" s="32"/>
      <c r="C197" s="31" t="s">
        <v>149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468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 x14ac:dyDescent="0.3">
      <c r="A198" s="31"/>
      <c r="B198" s="32"/>
      <c r="C198" s="31" t="s">
        <v>149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468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 x14ac:dyDescent="0.3">
      <c r="A199" s="31"/>
      <c r="B199" s="32"/>
      <c r="C199" s="31" t="s">
        <v>149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468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 x14ac:dyDescent="0.3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468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 x14ac:dyDescent="0.3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468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 x14ac:dyDescent="0.3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468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 x14ac:dyDescent="0.3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468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 x14ac:dyDescent="0.3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468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 x14ac:dyDescent="0.3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468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 x14ac:dyDescent="0.3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468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 x14ac:dyDescent="0.3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468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 x14ac:dyDescent="0.3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468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 x14ac:dyDescent="0.3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468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 x14ac:dyDescent="0.3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468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 x14ac:dyDescent="0.3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468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 x14ac:dyDescent="0.3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468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 x14ac:dyDescent="0.3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468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 x14ac:dyDescent="0.3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468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 x14ac:dyDescent="0.3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468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 x14ac:dyDescent="0.3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468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 x14ac:dyDescent="0.3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468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 x14ac:dyDescent="0.3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468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 x14ac:dyDescent="0.3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468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 x14ac:dyDescent="0.3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468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 x14ac:dyDescent="0.3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468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 x14ac:dyDescent="0.3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468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 x14ac:dyDescent="0.3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468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 x14ac:dyDescent="0.3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468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 x14ac:dyDescent="0.3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468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 x14ac:dyDescent="0.3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468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 x14ac:dyDescent="0.3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468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 x14ac:dyDescent="0.3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468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 x14ac:dyDescent="0.3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468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 x14ac:dyDescent="0.3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468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 x14ac:dyDescent="0.3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468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 x14ac:dyDescent="0.3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468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 x14ac:dyDescent="0.3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468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 x14ac:dyDescent="0.3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468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 x14ac:dyDescent="0.3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468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 x14ac:dyDescent="0.3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468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 x14ac:dyDescent="0.3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468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 x14ac:dyDescent="0.3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468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 x14ac:dyDescent="0.3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468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 x14ac:dyDescent="0.3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468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 x14ac:dyDescent="0.3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468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 x14ac:dyDescent="0.3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468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 x14ac:dyDescent="0.3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468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 x14ac:dyDescent="0.3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468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 x14ac:dyDescent="0.3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468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 x14ac:dyDescent="0.3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468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 x14ac:dyDescent="0.3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468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 x14ac:dyDescent="0.3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468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 x14ac:dyDescent="0.3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468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 x14ac:dyDescent="0.3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468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 x14ac:dyDescent="0.3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468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 x14ac:dyDescent="0.3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468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 x14ac:dyDescent="0.3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468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 x14ac:dyDescent="0.3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468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 x14ac:dyDescent="0.3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468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 x14ac:dyDescent="0.3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468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 x14ac:dyDescent="0.3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468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 x14ac:dyDescent="0.3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468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 x14ac:dyDescent="0.3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468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 x14ac:dyDescent="0.3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468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 x14ac:dyDescent="0.3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468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 x14ac:dyDescent="0.3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468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 x14ac:dyDescent="0.3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468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 x14ac:dyDescent="0.3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468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 x14ac:dyDescent="0.3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468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 x14ac:dyDescent="0.3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468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 x14ac:dyDescent="0.3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468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 x14ac:dyDescent="0.3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468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 x14ac:dyDescent="0.3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468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 x14ac:dyDescent="0.3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468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 x14ac:dyDescent="0.3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468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 x14ac:dyDescent="0.3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468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 x14ac:dyDescent="0.3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468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 x14ac:dyDescent="0.3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468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 x14ac:dyDescent="0.3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468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 x14ac:dyDescent="0.3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468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 x14ac:dyDescent="0.3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468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 x14ac:dyDescent="0.3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468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 x14ac:dyDescent="0.3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468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 x14ac:dyDescent="0.3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468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 x14ac:dyDescent="0.3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468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 x14ac:dyDescent="0.3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468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 x14ac:dyDescent="0.3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468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 x14ac:dyDescent="0.3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468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 x14ac:dyDescent="0.3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468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 x14ac:dyDescent="0.3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468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 x14ac:dyDescent="0.3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468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 x14ac:dyDescent="0.3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468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 x14ac:dyDescent="0.3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468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 x14ac:dyDescent="0.3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468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 x14ac:dyDescent="0.3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468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 x14ac:dyDescent="0.3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468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 x14ac:dyDescent="0.3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468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 x14ac:dyDescent="0.3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468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 x14ac:dyDescent="0.3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468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 x14ac:dyDescent="0.3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468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 x14ac:dyDescent="0.3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468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 x14ac:dyDescent="0.3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468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 x14ac:dyDescent="0.3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468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 x14ac:dyDescent="0.3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468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 x14ac:dyDescent="0.3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468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 x14ac:dyDescent="0.3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468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 x14ac:dyDescent="0.3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468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 x14ac:dyDescent="0.3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468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 x14ac:dyDescent="0.3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468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 x14ac:dyDescent="0.3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468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 x14ac:dyDescent="0.3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468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 x14ac:dyDescent="0.3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468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 x14ac:dyDescent="0.3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468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 x14ac:dyDescent="0.3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468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 x14ac:dyDescent="0.3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468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 x14ac:dyDescent="0.3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468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 x14ac:dyDescent="0.3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468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 x14ac:dyDescent="0.3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468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 x14ac:dyDescent="0.3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468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 x14ac:dyDescent="0.3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468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 x14ac:dyDescent="0.3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468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 x14ac:dyDescent="0.3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468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 x14ac:dyDescent="0.3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468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 x14ac:dyDescent="0.3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468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 x14ac:dyDescent="0.3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468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 x14ac:dyDescent="0.3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468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 x14ac:dyDescent="0.3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468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 x14ac:dyDescent="0.3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468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 x14ac:dyDescent="0.3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468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 x14ac:dyDescent="0.3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468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 x14ac:dyDescent="0.3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468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 x14ac:dyDescent="0.3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468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 x14ac:dyDescent="0.3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468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 x14ac:dyDescent="0.3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468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 x14ac:dyDescent="0.3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468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 x14ac:dyDescent="0.3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468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 x14ac:dyDescent="0.3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468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 x14ac:dyDescent="0.3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468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 x14ac:dyDescent="0.3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468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 x14ac:dyDescent="0.3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468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 x14ac:dyDescent="0.3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468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 x14ac:dyDescent="0.3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468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 x14ac:dyDescent="0.3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468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 x14ac:dyDescent="0.3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468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 x14ac:dyDescent="0.3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468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 x14ac:dyDescent="0.3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468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 x14ac:dyDescent="0.3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468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 x14ac:dyDescent="0.3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468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 x14ac:dyDescent="0.3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468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 x14ac:dyDescent="0.3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468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 x14ac:dyDescent="0.3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468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 x14ac:dyDescent="0.3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468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 x14ac:dyDescent="0.3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468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 x14ac:dyDescent="0.3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468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 x14ac:dyDescent="0.3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468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 x14ac:dyDescent="0.3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468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 x14ac:dyDescent="0.3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468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 x14ac:dyDescent="0.3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468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 x14ac:dyDescent="0.3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468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 x14ac:dyDescent="0.3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468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 x14ac:dyDescent="0.3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468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 x14ac:dyDescent="0.3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468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 x14ac:dyDescent="0.3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468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 x14ac:dyDescent="0.3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468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 x14ac:dyDescent="0.3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468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 x14ac:dyDescent="0.3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468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 x14ac:dyDescent="0.3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468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 x14ac:dyDescent="0.3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468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 x14ac:dyDescent="0.3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468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 x14ac:dyDescent="0.3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468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 x14ac:dyDescent="0.3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468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 x14ac:dyDescent="0.3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468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 x14ac:dyDescent="0.3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468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 x14ac:dyDescent="0.3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468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 x14ac:dyDescent="0.3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468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 x14ac:dyDescent="0.3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468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 x14ac:dyDescent="0.3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468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 x14ac:dyDescent="0.3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468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 x14ac:dyDescent="0.3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468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 x14ac:dyDescent="0.3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468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 x14ac:dyDescent="0.3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468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 x14ac:dyDescent="0.3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468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 x14ac:dyDescent="0.3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468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 x14ac:dyDescent="0.3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468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 x14ac:dyDescent="0.3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468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 x14ac:dyDescent="0.3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468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 x14ac:dyDescent="0.3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468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 x14ac:dyDescent="0.3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468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 x14ac:dyDescent="0.3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468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 x14ac:dyDescent="0.3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468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 x14ac:dyDescent="0.3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468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 x14ac:dyDescent="0.3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468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 x14ac:dyDescent="0.3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468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 x14ac:dyDescent="0.3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468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 x14ac:dyDescent="0.3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468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 x14ac:dyDescent="0.3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468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 x14ac:dyDescent="0.3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468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 x14ac:dyDescent="0.3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468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 x14ac:dyDescent="0.3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468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 x14ac:dyDescent="0.3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468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 x14ac:dyDescent="0.3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468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 x14ac:dyDescent="0.3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468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 x14ac:dyDescent="0.3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468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 x14ac:dyDescent="0.3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468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 x14ac:dyDescent="0.3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468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 x14ac:dyDescent="0.3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468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 x14ac:dyDescent="0.3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468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 x14ac:dyDescent="0.3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468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 x14ac:dyDescent="0.3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468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 x14ac:dyDescent="0.3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468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 x14ac:dyDescent="0.3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468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 x14ac:dyDescent="0.3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468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 x14ac:dyDescent="0.3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468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 x14ac:dyDescent="0.3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468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 x14ac:dyDescent="0.3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468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 x14ac:dyDescent="0.3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468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 x14ac:dyDescent="0.3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468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 x14ac:dyDescent="0.3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468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 x14ac:dyDescent="0.3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468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 x14ac:dyDescent="0.3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468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 x14ac:dyDescent="0.3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468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 x14ac:dyDescent="0.3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468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 x14ac:dyDescent="0.3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468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 x14ac:dyDescent="0.3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468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 x14ac:dyDescent="0.3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468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 x14ac:dyDescent="0.3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468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 x14ac:dyDescent="0.3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468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 x14ac:dyDescent="0.3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468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 x14ac:dyDescent="0.3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468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 x14ac:dyDescent="0.3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468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 x14ac:dyDescent="0.3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468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 x14ac:dyDescent="0.3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468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 x14ac:dyDescent="0.3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468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 x14ac:dyDescent="0.3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468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 x14ac:dyDescent="0.3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468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 x14ac:dyDescent="0.3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468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 x14ac:dyDescent="0.3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468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 x14ac:dyDescent="0.3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468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 x14ac:dyDescent="0.3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468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 x14ac:dyDescent="0.3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468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 x14ac:dyDescent="0.3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468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 x14ac:dyDescent="0.3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468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 x14ac:dyDescent="0.3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468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 x14ac:dyDescent="0.3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468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 x14ac:dyDescent="0.3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468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 x14ac:dyDescent="0.3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468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 x14ac:dyDescent="0.3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468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 x14ac:dyDescent="0.3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468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 x14ac:dyDescent="0.3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468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 x14ac:dyDescent="0.3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468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 x14ac:dyDescent="0.3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468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 x14ac:dyDescent="0.3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468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 x14ac:dyDescent="0.3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468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 x14ac:dyDescent="0.3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468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 x14ac:dyDescent="0.3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468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 x14ac:dyDescent="0.3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468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 x14ac:dyDescent="0.3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468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 x14ac:dyDescent="0.3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468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 x14ac:dyDescent="0.3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468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 x14ac:dyDescent="0.3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468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 x14ac:dyDescent="0.3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468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 x14ac:dyDescent="0.3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468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 x14ac:dyDescent="0.3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468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 x14ac:dyDescent="0.3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468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 x14ac:dyDescent="0.3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468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 x14ac:dyDescent="0.3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468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 x14ac:dyDescent="0.3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468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 x14ac:dyDescent="0.3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468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 x14ac:dyDescent="0.3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468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 x14ac:dyDescent="0.3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468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 x14ac:dyDescent="0.3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468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 x14ac:dyDescent="0.3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468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 x14ac:dyDescent="0.3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468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 x14ac:dyDescent="0.3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468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 x14ac:dyDescent="0.3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468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 x14ac:dyDescent="0.3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468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 x14ac:dyDescent="0.3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468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 x14ac:dyDescent="0.3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468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 x14ac:dyDescent="0.3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468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 x14ac:dyDescent="0.3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468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 x14ac:dyDescent="0.3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468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 x14ac:dyDescent="0.3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468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 x14ac:dyDescent="0.3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468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 x14ac:dyDescent="0.3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468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 x14ac:dyDescent="0.3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468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 x14ac:dyDescent="0.3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468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 x14ac:dyDescent="0.3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468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 x14ac:dyDescent="0.3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468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 x14ac:dyDescent="0.3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468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 x14ac:dyDescent="0.3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468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 x14ac:dyDescent="0.3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468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 x14ac:dyDescent="0.3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468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 x14ac:dyDescent="0.3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468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 x14ac:dyDescent="0.3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468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 x14ac:dyDescent="0.3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468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 x14ac:dyDescent="0.3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468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 x14ac:dyDescent="0.3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468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 x14ac:dyDescent="0.3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468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 x14ac:dyDescent="0.3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468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 x14ac:dyDescent="0.3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468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 x14ac:dyDescent="0.3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468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 x14ac:dyDescent="0.3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468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 x14ac:dyDescent="0.3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468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67" priority="10">
      <formula>AND($B5&lt;&gt;"",MOD(ROW(),2)=0)</formula>
    </cfRule>
  </conditionalFormatting>
  <conditionalFormatting sqref="A11:A13">
    <cfRule type="expression" dxfId="6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65" priority="20">
      <formula>AND($A3&lt;&gt;"",$G3="Yes")</formula>
    </cfRule>
    <cfRule type="expression" dxfId="64" priority="21">
      <formula>AND($A3&lt;&gt;"",$J3&lt;&gt;"")</formula>
    </cfRule>
    <cfRule type="expression" dxfId="63" priority="22">
      <formula>$A3&lt;&gt;""</formula>
    </cfRule>
  </conditionalFormatting>
  <conditionalFormatting sqref="C3:C199 G3:G199">
    <cfRule type="expression" dxfId="6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61" priority="19">
      <formula>AND($A3&lt;&gt;"",$G3="Did not pass re-test")</formula>
    </cfRule>
  </conditionalFormatting>
  <conditionalFormatting sqref="M3:M499">
    <cfRule type="expression" dxfId="60" priority="13">
      <formula>ISNUMBER(SEARCH("Sent back again",$M3))</formula>
    </cfRule>
    <cfRule type="expression" dxfId="59" priority="14">
      <formula>ISNUMBER(SEARCH("LATE",$M3))</formula>
    </cfRule>
    <cfRule type="expression" dxfId="58" priority="15">
      <formula>ISNUMBER(SEARCH("UNCLAIMED",$M3))</formula>
    </cfRule>
    <cfRule type="expression" dxfId="57" priority="16">
      <formula>ISNUMBER(SEARCH("Missing",$M3))</formula>
    </cfRule>
    <cfRule type="expression" dxfId="56" priority="17">
      <formula>ISNUMBER(SEARCH("Fixed in",$M3))</formula>
    </cfRule>
    <cfRule type="expression" dxfId="55" priority="18">
      <formula>ISNUMBER(SEARCH("Open",$M3))</formula>
    </cfRule>
  </conditionalFormatting>
  <conditionalFormatting sqref="A18">
    <cfRule type="expression" dxfId="54" priority="6">
      <formula>AND($B18&lt;&gt;"",MOD(ROW(),2)=0)</formula>
    </cfRule>
  </conditionalFormatting>
  <conditionalFormatting sqref="A22">
    <cfRule type="expression" dxfId="53" priority="4">
      <formula>AND($B22&lt;&gt;"",MOD(ROW(),2)=0)</formula>
    </cfRule>
  </conditionalFormatting>
  <conditionalFormatting sqref="A26">
    <cfRule type="expression" dxfId="52" priority="3">
      <formula>AND($B26&lt;&gt;"",MOD(ROW(),2)=0)</formula>
    </cfRule>
  </conditionalFormatting>
  <conditionalFormatting sqref="A27">
    <cfRule type="expression" dxfId="51" priority="2">
      <formula>AND($B27&lt;&gt;"",MOD(ROW(),2)=0)</formula>
    </cfRule>
  </conditionalFormatting>
  <conditionalFormatting sqref="A31">
    <cfRule type="expression" dxfId="5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91" t="s">
        <v>377</v>
      </c>
      <c r="B1" s="83"/>
      <c r="C1" s="83"/>
      <c r="D1" s="83"/>
      <c r="E1" s="83"/>
      <c r="F1" s="83"/>
      <c r="G1" s="83"/>
      <c r="H1" s="83"/>
      <c r="I1" s="83"/>
      <c r="J1" s="83"/>
    </row>
    <row r="2" spans="1:10" ht="27" customHeight="1" x14ac:dyDescent="0.3">
      <c r="A2" s="8" t="s">
        <v>0</v>
      </c>
      <c r="B2" s="8" t="s">
        <v>378</v>
      </c>
      <c r="C2" s="8" t="s">
        <v>1</v>
      </c>
      <c r="D2" s="8" t="s">
        <v>379</v>
      </c>
      <c r="E2" s="8" t="s">
        <v>380</v>
      </c>
      <c r="F2" s="8" t="s">
        <v>6</v>
      </c>
      <c r="G2" s="8" t="s">
        <v>5</v>
      </c>
      <c r="H2" s="8" t="s">
        <v>381</v>
      </c>
      <c r="I2" s="8" t="s">
        <v>382</v>
      </c>
      <c r="J2" s="8" t="s">
        <v>383</v>
      </c>
    </row>
    <row r="3" spans="1:10" ht="14.25" customHeight="1" x14ac:dyDescent="0.3">
      <c r="A3" s="9" t="s">
        <v>39</v>
      </c>
      <c r="B3" s="9" t="s">
        <v>140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">
      <c r="A4" s="9" t="s">
        <v>39</v>
      </c>
      <c r="B4" s="9" t="s">
        <v>180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">
      <c r="A5" s="9" t="s">
        <v>39</v>
      </c>
      <c r="B5" s="9" t="s">
        <v>149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 x14ac:dyDescent="0.3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 x14ac:dyDescent="0.3">
      <c r="A8" s="9" t="s">
        <v>39</v>
      </c>
      <c r="B8" s="9" t="s">
        <v>140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">
      <c r="A9" s="9" t="s">
        <v>39</v>
      </c>
      <c r="B9" s="9" t="s">
        <v>180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">
      <c r="A10" s="9" t="s">
        <v>39</v>
      </c>
      <c r="B10" s="9" t="s">
        <v>149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 x14ac:dyDescent="0.3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 x14ac:dyDescent="0.3">
      <c r="A13" s="9" t="s">
        <v>39</v>
      </c>
      <c r="B13" s="9" t="s">
        <v>140</v>
      </c>
      <c r="C13" s="9" t="s">
        <v>384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">
      <c r="A14" s="9" t="s">
        <v>39</v>
      </c>
      <c r="B14" s="9" t="s">
        <v>180</v>
      </c>
      <c r="C14" s="9" t="s">
        <v>384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">
      <c r="A15" s="9" t="s">
        <v>39</v>
      </c>
      <c r="B15" s="9" t="s">
        <v>149</v>
      </c>
      <c r="C15" s="9" t="s">
        <v>384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">
      <c r="A16" s="9" t="s">
        <v>39</v>
      </c>
      <c r="B16" s="9" t="s">
        <v>128</v>
      </c>
      <c r="C16" s="9" t="s">
        <v>384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 x14ac:dyDescent="0.3">
      <c r="A17" s="9" t="s">
        <v>39</v>
      </c>
      <c r="B17" s="9" t="s">
        <v>41</v>
      </c>
      <c r="C17" s="9" t="s">
        <v>384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 x14ac:dyDescent="0.3">
      <c r="A18" s="9" t="s">
        <v>39</v>
      </c>
      <c r="B18" s="9" t="s">
        <v>140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">
      <c r="A19" s="9" t="s">
        <v>39</v>
      </c>
      <c r="B19" s="9" t="s">
        <v>180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">
      <c r="A20" s="9" t="s">
        <v>39</v>
      </c>
      <c r="B20" s="9" t="s">
        <v>149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 x14ac:dyDescent="0.3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 x14ac:dyDescent="0.3">
      <c r="A23" s="9" t="s">
        <v>39</v>
      </c>
      <c r="B23" s="9" t="s">
        <v>140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">
      <c r="A24" s="9" t="s">
        <v>39</v>
      </c>
      <c r="B24" s="9" t="s">
        <v>180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">
      <c r="A25" s="9" t="s">
        <v>39</v>
      </c>
      <c r="B25" s="9" t="s">
        <v>149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 x14ac:dyDescent="0.3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 x14ac:dyDescent="0.3">
      <c r="A28" s="9" t="s">
        <v>39</v>
      </c>
      <c r="B28" s="9" t="s">
        <v>140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">
      <c r="A29" s="9" t="s">
        <v>39</v>
      </c>
      <c r="B29" s="9" t="s">
        <v>180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">
      <c r="A30" s="9" t="s">
        <v>39</v>
      </c>
      <c r="B30" s="9" t="s">
        <v>149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 x14ac:dyDescent="0.3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 x14ac:dyDescent="0.3">
      <c r="A33" s="9" t="s">
        <v>39</v>
      </c>
      <c r="B33" s="9" t="s">
        <v>140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">
      <c r="A34" s="9" t="s">
        <v>39</v>
      </c>
      <c r="B34" s="9" t="s">
        <v>180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">
      <c r="A35" s="9" t="s">
        <v>39</v>
      </c>
      <c r="B35" s="9" t="s">
        <v>149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 x14ac:dyDescent="0.3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 x14ac:dyDescent="0.3">
      <c r="A38" s="9" t="s">
        <v>39</v>
      </c>
      <c r="B38" s="9" t="s">
        <v>140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">
      <c r="A39" s="9" t="s">
        <v>39</v>
      </c>
      <c r="B39" s="9" t="s">
        <v>180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">
      <c r="A40" s="9" t="s">
        <v>39</v>
      </c>
      <c r="B40" s="9" t="s">
        <v>149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 x14ac:dyDescent="0.3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 x14ac:dyDescent="0.3">
      <c r="A43" s="9" t="s">
        <v>39</v>
      </c>
      <c r="B43" s="9" t="s">
        <v>140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">
      <c r="A44" s="9" t="s">
        <v>39</v>
      </c>
      <c r="B44" s="9" t="s">
        <v>180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">
      <c r="A45" s="9" t="s">
        <v>39</v>
      </c>
      <c r="B45" s="9" t="s">
        <v>149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 x14ac:dyDescent="0.3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 x14ac:dyDescent="0.3">
      <c r="A48" s="9" t="s">
        <v>39</v>
      </c>
      <c r="B48" s="9" t="s">
        <v>140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 x14ac:dyDescent="0.3">
      <c r="A49" s="9" t="s">
        <v>39</v>
      </c>
      <c r="B49" s="9" t="s">
        <v>180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">
      <c r="A50" s="9" t="s">
        <v>39</v>
      </c>
      <c r="B50" s="9" t="s">
        <v>149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 x14ac:dyDescent="0.3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 x14ac:dyDescent="0.3">
      <c r="A53" s="9" t="s">
        <v>39</v>
      </c>
      <c r="B53" s="9" t="s">
        <v>140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 x14ac:dyDescent="0.3">
      <c r="A54" s="9" t="s">
        <v>39</v>
      </c>
      <c r="B54" s="9" t="s">
        <v>180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">
      <c r="A55" s="9" t="s">
        <v>39</v>
      </c>
      <c r="B55" s="9" t="s">
        <v>149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 x14ac:dyDescent="0.3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 x14ac:dyDescent="0.3">
      <c r="A58" s="9" t="s">
        <v>39</v>
      </c>
      <c r="B58" s="9" t="s">
        <v>140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 x14ac:dyDescent="0.3">
      <c r="A59" s="9" t="s">
        <v>39</v>
      </c>
      <c r="B59" s="9" t="s">
        <v>180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">
      <c r="A60" s="9" t="s">
        <v>39</v>
      </c>
      <c r="B60" s="9" t="s">
        <v>149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 x14ac:dyDescent="0.3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 x14ac:dyDescent="0.3">
      <c r="A63" s="9" t="s">
        <v>39</v>
      </c>
      <c r="B63" s="9" t="s">
        <v>140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 x14ac:dyDescent="0.3">
      <c r="A64" s="9" t="s">
        <v>39</v>
      </c>
      <c r="B64" s="9" t="s">
        <v>180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">
      <c r="A65" s="9" t="s">
        <v>39</v>
      </c>
      <c r="B65" s="9" t="s">
        <v>149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 x14ac:dyDescent="0.3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">
      <c r="A68" s="9" t="s">
        <v>39</v>
      </c>
      <c r="B68" s="9" t="s">
        <v>140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 x14ac:dyDescent="0.3">
      <c r="A69" s="9" t="s">
        <v>39</v>
      </c>
      <c r="B69" s="9" t="s">
        <v>180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">
      <c r="A70" s="9" t="s">
        <v>39</v>
      </c>
      <c r="B70" s="9" t="s">
        <v>149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 x14ac:dyDescent="0.3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 x14ac:dyDescent="0.3">
      <c r="A73" s="9" t="s">
        <v>39</v>
      </c>
      <c r="B73" s="9" t="s">
        <v>140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 x14ac:dyDescent="0.3">
      <c r="A74" s="9" t="s">
        <v>39</v>
      </c>
      <c r="B74" s="9" t="s">
        <v>180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">
      <c r="A75" s="9" t="s">
        <v>39</v>
      </c>
      <c r="B75" s="9" t="s">
        <v>149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 x14ac:dyDescent="0.3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 x14ac:dyDescent="0.3">
      <c r="A78" s="9" t="s">
        <v>39</v>
      </c>
      <c r="B78" s="9" t="s">
        <v>140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 x14ac:dyDescent="0.3">
      <c r="A79" s="9" t="s">
        <v>39</v>
      </c>
      <c r="B79" s="9" t="s">
        <v>180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">
      <c r="A80" s="9" t="s">
        <v>39</v>
      </c>
      <c r="B80" s="9" t="s">
        <v>149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 x14ac:dyDescent="0.3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 x14ac:dyDescent="0.3">
      <c r="A83" s="9" t="s">
        <v>39</v>
      </c>
      <c r="B83" s="9" t="s">
        <v>140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 x14ac:dyDescent="0.3">
      <c r="A84" s="9" t="s">
        <v>39</v>
      </c>
      <c r="B84" s="9" t="s">
        <v>180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">
      <c r="A85" s="9" t="s">
        <v>39</v>
      </c>
      <c r="B85" s="9" t="s">
        <v>149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 x14ac:dyDescent="0.3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 x14ac:dyDescent="0.3">
      <c r="A88" s="9" t="s">
        <v>39</v>
      </c>
      <c r="B88" s="9" t="s">
        <v>140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 x14ac:dyDescent="0.3">
      <c r="A89" s="9" t="s">
        <v>39</v>
      </c>
      <c r="B89" s="9" t="s">
        <v>180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">
      <c r="A90" s="9" t="s">
        <v>39</v>
      </c>
      <c r="B90" s="9" t="s">
        <v>149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 x14ac:dyDescent="0.3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">
      <c r="A93" s="9" t="s">
        <v>39</v>
      </c>
      <c r="B93" s="9" t="s">
        <v>140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">
      <c r="A94" s="9" t="s">
        <v>39</v>
      </c>
      <c r="B94" s="9" t="s">
        <v>180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">
      <c r="A95" s="9" t="s">
        <v>39</v>
      </c>
      <c r="B95" s="9" t="s">
        <v>149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 x14ac:dyDescent="0.3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">
      <c r="A98" s="9" t="s">
        <v>39</v>
      </c>
      <c r="B98" s="9" t="s">
        <v>140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">
      <c r="A99" s="9" t="s">
        <v>39</v>
      </c>
      <c r="B99" s="9" t="s">
        <v>180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">
      <c r="A100" s="9" t="s">
        <v>39</v>
      </c>
      <c r="B100" s="9" t="s">
        <v>149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 x14ac:dyDescent="0.3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 x14ac:dyDescent="0.3">
      <c r="A103" s="9" t="s">
        <v>39</v>
      </c>
      <c r="B103" s="9" t="s">
        <v>140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">
      <c r="A104" s="9" t="s">
        <v>39</v>
      </c>
      <c r="B104" s="9" t="s">
        <v>180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">
      <c r="A105" s="9" t="s">
        <v>39</v>
      </c>
      <c r="B105" s="9" t="s">
        <v>149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 x14ac:dyDescent="0.3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 x14ac:dyDescent="0.3">
      <c r="A108" s="9" t="s">
        <v>39</v>
      </c>
      <c r="B108" s="9" t="s">
        <v>140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">
      <c r="A109" s="9" t="s">
        <v>39</v>
      </c>
      <c r="B109" s="9" t="s">
        <v>180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">
      <c r="A110" s="9" t="s">
        <v>39</v>
      </c>
      <c r="B110" s="9" t="s">
        <v>149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 x14ac:dyDescent="0.3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 x14ac:dyDescent="0.3">
      <c r="A113" s="9" t="s">
        <v>39</v>
      </c>
      <c r="B113" s="9" t="s">
        <v>140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">
      <c r="A114" s="9" t="s">
        <v>39</v>
      </c>
      <c r="B114" s="9" t="s">
        <v>180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">
      <c r="A115" s="9" t="s">
        <v>39</v>
      </c>
      <c r="B115" s="9" t="s">
        <v>149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 x14ac:dyDescent="0.3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">
      <c r="A118" s="9" t="s">
        <v>39</v>
      </c>
      <c r="B118" s="9" t="s">
        <v>140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">
      <c r="A119" s="9" t="s">
        <v>39</v>
      </c>
      <c r="B119" s="9" t="s">
        <v>180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">
      <c r="A120" s="9" t="s">
        <v>39</v>
      </c>
      <c r="B120" s="9" t="s">
        <v>149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">
      <c r="A121" s="9" t="s">
        <v>39</v>
      </c>
      <c r="B121" s="9" t="s">
        <v>140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">
      <c r="A122" s="9" t="s">
        <v>39</v>
      </c>
      <c r="B122" s="9" t="s">
        <v>180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">
      <c r="A123" s="9" t="s">
        <v>39</v>
      </c>
      <c r="B123" s="9" t="s">
        <v>149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 x14ac:dyDescent="0.3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 x14ac:dyDescent="0.3">
      <c r="A126" s="9" t="s">
        <v>39</v>
      </c>
      <c r="B126" s="9" t="s">
        <v>140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">
      <c r="A127" s="9" t="s">
        <v>39</v>
      </c>
      <c r="B127" s="9" t="s">
        <v>180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">
      <c r="A128" s="9" t="s">
        <v>39</v>
      </c>
      <c r="B128" s="9" t="s">
        <v>149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 x14ac:dyDescent="0.3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 x14ac:dyDescent="0.3">
      <c r="A131" s="9" t="s">
        <v>39</v>
      </c>
      <c r="B131" s="9" t="s">
        <v>140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">
      <c r="A132" s="9" t="s">
        <v>39</v>
      </c>
      <c r="B132" s="9" t="s">
        <v>180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">
      <c r="A133" s="9" t="s">
        <v>39</v>
      </c>
      <c r="B133" s="9" t="s">
        <v>149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 x14ac:dyDescent="0.3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">
      <c r="A136" s="9" t="s">
        <v>39</v>
      </c>
      <c r="B136" s="9" t="s">
        <v>140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">
      <c r="A137" s="9" t="s">
        <v>39</v>
      </c>
      <c r="B137" s="9" t="s">
        <v>180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">
      <c r="A138" s="9" t="s">
        <v>39</v>
      </c>
      <c r="B138" s="9" t="s">
        <v>149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 x14ac:dyDescent="0.3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 x14ac:dyDescent="0.3">
      <c r="A141" s="9" t="s">
        <v>126</v>
      </c>
      <c r="B141" s="9" t="s">
        <v>140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 x14ac:dyDescent="0.3">
      <c r="A142" s="9" t="s">
        <v>126</v>
      </c>
      <c r="B142" s="9" t="s">
        <v>180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 x14ac:dyDescent="0.3">
      <c r="A143" s="9" t="s">
        <v>126</v>
      </c>
      <c r="B143" s="9" t="s">
        <v>149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 x14ac:dyDescent="0.3">
      <c r="A144" s="9" t="s">
        <v>126</v>
      </c>
      <c r="B144" s="9" t="s">
        <v>140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 x14ac:dyDescent="0.3">
      <c r="A145" s="9" t="s">
        <v>126</v>
      </c>
      <c r="B145" s="9" t="s">
        <v>180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 x14ac:dyDescent="0.3">
      <c r="A146" s="9" t="s">
        <v>126</v>
      </c>
      <c r="B146" s="9" t="s">
        <v>149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 x14ac:dyDescent="0.3">
      <c r="A147" s="9" t="s">
        <v>126</v>
      </c>
      <c r="B147" s="9" t="s">
        <v>140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 x14ac:dyDescent="0.3">
      <c r="A148" s="9" t="s">
        <v>126</v>
      </c>
      <c r="B148" s="9" t="s">
        <v>180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 x14ac:dyDescent="0.3">
      <c r="A149" s="9" t="s">
        <v>126</v>
      </c>
      <c r="B149" s="9" t="s">
        <v>149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 x14ac:dyDescent="0.3">
      <c r="A150" s="9" t="s">
        <v>126</v>
      </c>
      <c r="B150" s="9" t="s">
        <v>140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 x14ac:dyDescent="0.3">
      <c r="A151" s="9" t="s">
        <v>126</v>
      </c>
      <c r="B151" s="9" t="s">
        <v>180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 x14ac:dyDescent="0.3">
      <c r="A152" s="9" t="s">
        <v>126</v>
      </c>
      <c r="B152" s="9" t="s">
        <v>149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 x14ac:dyDescent="0.3">
      <c r="A153" s="9" t="s">
        <v>126</v>
      </c>
      <c r="B153" s="9" t="s">
        <v>140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 x14ac:dyDescent="0.3">
      <c r="A154" s="9" t="s">
        <v>126</v>
      </c>
      <c r="B154" s="9" t="s">
        <v>180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 x14ac:dyDescent="0.3">
      <c r="A155" s="9" t="s">
        <v>126</v>
      </c>
      <c r="B155" s="9" t="s">
        <v>149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 x14ac:dyDescent="0.3">
      <c r="A156" s="9" t="s">
        <v>126</v>
      </c>
      <c r="B156" s="9" t="s">
        <v>140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 x14ac:dyDescent="0.3">
      <c r="A157" s="3" t="s">
        <v>126</v>
      </c>
      <c r="B157" s="3" t="s">
        <v>140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 x14ac:dyDescent="0.3">
      <c r="A158" s="3" t="s">
        <v>126</v>
      </c>
      <c r="B158" s="3" t="s">
        <v>140</v>
      </c>
      <c r="C158" s="3" t="s">
        <v>153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 x14ac:dyDescent="0.3">
      <c r="A159" s="3" t="s">
        <v>126</v>
      </c>
      <c r="B159" s="3" t="s">
        <v>180</v>
      </c>
      <c r="C159" s="3" t="s">
        <v>153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 x14ac:dyDescent="0.3">
      <c r="A160" s="3" t="s">
        <v>126</v>
      </c>
      <c r="B160" s="3" t="s">
        <v>149</v>
      </c>
      <c r="C160" s="3" t="s">
        <v>153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 x14ac:dyDescent="0.3">
      <c r="A161" s="3" t="s">
        <v>126</v>
      </c>
      <c r="B161" s="3" t="s">
        <v>140</v>
      </c>
      <c r="C161" s="3" t="s">
        <v>154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 x14ac:dyDescent="0.3">
      <c r="A162" s="3" t="s">
        <v>126</v>
      </c>
      <c r="B162" s="3" t="s">
        <v>180</v>
      </c>
      <c r="C162" s="3" t="s">
        <v>154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 x14ac:dyDescent="0.3">
      <c r="A163" s="3" t="s">
        <v>126</v>
      </c>
      <c r="B163" s="3" t="s">
        <v>149</v>
      </c>
      <c r="C163" s="3" t="s">
        <v>154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 x14ac:dyDescent="0.3">
      <c r="A164" s="3" t="s">
        <v>126</v>
      </c>
      <c r="B164" s="3" t="s">
        <v>140</v>
      </c>
      <c r="C164" s="3" t="s">
        <v>157</v>
      </c>
      <c r="D164" s="3" t="s">
        <v>159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 x14ac:dyDescent="0.3">
      <c r="A165" s="3" t="s">
        <v>126</v>
      </c>
      <c r="B165" s="3" t="s">
        <v>180</v>
      </c>
      <c r="C165" s="3" t="s">
        <v>157</v>
      </c>
      <c r="D165" s="3" t="s">
        <v>159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 x14ac:dyDescent="0.3">
      <c r="A166" s="3" t="s">
        <v>126</v>
      </c>
      <c r="B166" s="3" t="s">
        <v>149</v>
      </c>
      <c r="C166" s="3" t="s">
        <v>157</v>
      </c>
      <c r="D166" s="3" t="s">
        <v>159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 x14ac:dyDescent="0.3">
      <c r="A167" s="3" t="s">
        <v>126</v>
      </c>
      <c r="B167" s="3" t="s">
        <v>140</v>
      </c>
      <c r="C167" s="3" t="s">
        <v>160</v>
      </c>
      <c r="D167" s="3" t="s">
        <v>159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 x14ac:dyDescent="0.3">
      <c r="A168" s="3" t="s">
        <v>126</v>
      </c>
      <c r="B168" s="3" t="s">
        <v>180</v>
      </c>
      <c r="C168" s="3" t="s">
        <v>160</v>
      </c>
      <c r="D168" s="3" t="s">
        <v>159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 x14ac:dyDescent="0.3">
      <c r="A169" s="3" t="s">
        <v>126</v>
      </c>
      <c r="B169" s="3" t="s">
        <v>149</v>
      </c>
      <c r="C169" s="3" t="s">
        <v>160</v>
      </c>
      <c r="D169" s="3" t="s">
        <v>159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 x14ac:dyDescent="0.3">
      <c r="A170" s="3" t="s">
        <v>126</v>
      </c>
      <c r="B170" s="3" t="s">
        <v>140</v>
      </c>
      <c r="C170" s="3" t="s">
        <v>161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 x14ac:dyDescent="0.3">
      <c r="A171" s="3" t="s">
        <v>126</v>
      </c>
      <c r="B171" s="3" t="s">
        <v>180</v>
      </c>
      <c r="C171" s="3" t="s">
        <v>161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 x14ac:dyDescent="0.3">
      <c r="A172" s="3" t="s">
        <v>126</v>
      </c>
      <c r="B172" s="3" t="s">
        <v>149</v>
      </c>
      <c r="C172" s="3" t="s">
        <v>161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 x14ac:dyDescent="0.3">
      <c r="A173" s="3" t="s">
        <v>126</v>
      </c>
      <c r="B173" s="3" t="s">
        <v>140</v>
      </c>
      <c r="C173" s="3" t="s">
        <v>163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 x14ac:dyDescent="0.3">
      <c r="A174" s="3" t="s">
        <v>126</v>
      </c>
      <c r="B174" s="3" t="s">
        <v>180</v>
      </c>
      <c r="C174" s="3" t="s">
        <v>163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 x14ac:dyDescent="0.3">
      <c r="A175" s="3" t="s">
        <v>126</v>
      </c>
      <c r="B175" s="3" t="s">
        <v>149</v>
      </c>
      <c r="C175" s="3" t="s">
        <v>163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 x14ac:dyDescent="0.3">
      <c r="A176" s="3" t="s">
        <v>126</v>
      </c>
      <c r="B176" s="3" t="s">
        <v>140</v>
      </c>
      <c r="C176" s="3" t="s">
        <v>165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 x14ac:dyDescent="0.3">
      <c r="A177" s="3" t="s">
        <v>126</v>
      </c>
      <c r="B177" s="3" t="s">
        <v>180</v>
      </c>
      <c r="C177" s="3" t="s">
        <v>165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 x14ac:dyDescent="0.3">
      <c r="A178" s="3" t="s">
        <v>126</v>
      </c>
      <c r="B178" s="3" t="s">
        <v>149</v>
      </c>
      <c r="C178" s="3" t="s">
        <v>165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 x14ac:dyDescent="0.3">
      <c r="A179" s="3" t="s">
        <v>126</v>
      </c>
      <c r="B179" s="3" t="s">
        <v>140</v>
      </c>
      <c r="C179" s="3" t="s">
        <v>168</v>
      </c>
      <c r="D179" s="3" t="s">
        <v>102</v>
      </c>
      <c r="E179" s="3"/>
      <c r="F179" s="3"/>
      <c r="G179" s="3"/>
      <c r="H179" s="3"/>
      <c r="I179" s="3"/>
      <c r="J179" s="3"/>
    </row>
    <row r="180" spans="1:10" x14ac:dyDescent="0.3">
      <c r="A180" s="3" t="s">
        <v>126</v>
      </c>
      <c r="B180" s="3" t="s">
        <v>180</v>
      </c>
      <c r="C180" s="3" t="s">
        <v>168</v>
      </c>
      <c r="D180" s="3" t="s">
        <v>102</v>
      </c>
      <c r="E180" s="3"/>
      <c r="F180" s="3"/>
      <c r="G180" s="3"/>
      <c r="H180" s="3"/>
      <c r="I180" s="3"/>
      <c r="J180" s="3"/>
    </row>
    <row r="181" spans="1:10" x14ac:dyDescent="0.3">
      <c r="A181" s="3" t="s">
        <v>126</v>
      </c>
      <c r="B181" s="3" t="s">
        <v>149</v>
      </c>
      <c r="C181" s="3" t="s">
        <v>168</v>
      </c>
      <c r="D181" s="3" t="s">
        <v>102</v>
      </c>
      <c r="E181" s="3"/>
      <c r="F181" s="3"/>
      <c r="G181" s="3"/>
      <c r="H181" s="3"/>
      <c r="I181" s="3"/>
      <c r="J181" s="3"/>
    </row>
    <row r="182" spans="1:10" x14ac:dyDescent="0.3">
      <c r="A182" s="3" t="s">
        <v>126</v>
      </c>
      <c r="B182" s="3" t="s">
        <v>140</v>
      </c>
      <c r="C182" s="3" t="s">
        <v>179</v>
      </c>
      <c r="D182" s="3" t="s">
        <v>83</v>
      </c>
      <c r="E182" s="3"/>
      <c r="F182" s="3"/>
      <c r="G182" s="3"/>
      <c r="H182" s="3"/>
      <c r="I182" s="3"/>
      <c r="J182" s="3"/>
    </row>
    <row r="183" spans="1:10" x14ac:dyDescent="0.3">
      <c r="A183" s="3" t="s">
        <v>126</v>
      </c>
      <c r="B183" s="3" t="s">
        <v>180</v>
      </c>
      <c r="C183" s="3" t="s">
        <v>179</v>
      </c>
      <c r="D183" s="3" t="s">
        <v>83</v>
      </c>
      <c r="E183" s="3"/>
      <c r="F183" s="3"/>
      <c r="G183" s="3"/>
      <c r="H183" s="3"/>
      <c r="I183" s="3"/>
      <c r="J183" s="3"/>
    </row>
    <row r="184" spans="1:10" x14ac:dyDescent="0.3">
      <c r="A184" s="3" t="s">
        <v>126</v>
      </c>
      <c r="B184" s="3" t="s">
        <v>149</v>
      </c>
      <c r="C184" s="3" t="s">
        <v>179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6640625" defaultRowHeight="14.4" x14ac:dyDescent="0.3"/>
  <cols>
    <col min="1" max="3" width="22" customWidth="1"/>
  </cols>
  <sheetData>
    <row r="1" spans="1:3" ht="14.25" hidden="1" customHeight="1" x14ac:dyDescent="0.3">
      <c r="A1" s="92" t="s">
        <v>385</v>
      </c>
      <c r="B1" s="83"/>
      <c r="C1" s="83"/>
    </row>
    <row r="2" spans="1:3" ht="14.25" customHeight="1" x14ac:dyDescent="0.3">
      <c r="A2" s="8" t="s">
        <v>0</v>
      </c>
      <c r="B2" s="8" t="s">
        <v>386</v>
      </c>
      <c r="C2" s="8" t="s">
        <v>382</v>
      </c>
    </row>
    <row r="3" spans="1:3" ht="14.25" customHeight="1" x14ac:dyDescent="0.3">
      <c r="A3" s="11" t="s">
        <v>39</v>
      </c>
      <c r="B3" s="11">
        <v>8</v>
      </c>
      <c r="C3" s="12">
        <v>46142</v>
      </c>
    </row>
    <row r="4" spans="1:3" ht="14.25" customHeight="1" x14ac:dyDescent="0.3">
      <c r="A4" s="11" t="s">
        <v>39</v>
      </c>
      <c r="B4" s="11">
        <v>10</v>
      </c>
      <c r="C4" s="12">
        <v>46172</v>
      </c>
    </row>
    <row r="5" spans="1:3" ht="14.25" customHeight="1" x14ac:dyDescent="0.3">
      <c r="A5" s="11" t="s">
        <v>39</v>
      </c>
      <c r="B5" s="11">
        <v>9</v>
      </c>
      <c r="C5" s="12">
        <v>46203</v>
      </c>
    </row>
    <row r="6" spans="1:3" ht="14.25" customHeight="1" x14ac:dyDescent="0.3">
      <c r="A6" s="11" t="s">
        <v>126</v>
      </c>
      <c r="B6" s="11">
        <v>15</v>
      </c>
      <c r="C6" s="12">
        <v>46233</v>
      </c>
    </row>
    <row r="7" spans="1:3" ht="14.25" customHeight="1" x14ac:dyDescent="0.3">
      <c r="A7" s="11" t="s">
        <v>126</v>
      </c>
      <c r="B7" s="11">
        <v>15</v>
      </c>
      <c r="C7" s="12">
        <v>46264</v>
      </c>
    </row>
    <row r="8" spans="1:3" ht="14.25" customHeight="1" x14ac:dyDescent="0.3">
      <c r="A8" s="11" t="s">
        <v>126</v>
      </c>
      <c r="B8" s="11">
        <v>17</v>
      </c>
      <c r="C8" s="12">
        <v>46295</v>
      </c>
    </row>
    <row r="9" spans="1:3" ht="14.25" customHeight="1" x14ac:dyDescent="0.3">
      <c r="A9" s="11" t="s">
        <v>126</v>
      </c>
      <c r="B9" s="11">
        <v>20</v>
      </c>
      <c r="C9" s="12">
        <v>46325</v>
      </c>
    </row>
    <row r="10" spans="1:3" ht="14.25" customHeight="1" x14ac:dyDescent="0.3">
      <c r="A10" s="11" t="s">
        <v>126</v>
      </c>
      <c r="B10" s="11">
        <v>20</v>
      </c>
      <c r="C10" s="12">
        <v>46356</v>
      </c>
    </row>
    <row r="11" spans="1:3" ht="14.25" customHeight="1" x14ac:dyDescent="0.3">
      <c r="A11" s="11" t="s">
        <v>387</v>
      </c>
      <c r="B11" s="11">
        <v>18</v>
      </c>
      <c r="C11" s="12">
        <v>46386</v>
      </c>
    </row>
    <row r="12" spans="1:3" ht="14.25" customHeight="1" x14ac:dyDescent="0.3">
      <c r="A12" s="11" t="s">
        <v>387</v>
      </c>
      <c r="B12" s="11">
        <v>18</v>
      </c>
      <c r="C12" s="12">
        <v>46417</v>
      </c>
    </row>
    <row r="13" spans="1:3" ht="14.25" customHeight="1" x14ac:dyDescent="0.3">
      <c r="A13" s="11" t="s">
        <v>387</v>
      </c>
      <c r="B13" s="11">
        <v>19</v>
      </c>
      <c r="C13" s="12">
        <v>46446</v>
      </c>
    </row>
    <row r="14" spans="1:3" ht="14.25" customHeight="1" x14ac:dyDescent="0.3">
      <c r="A14" s="11" t="s">
        <v>298</v>
      </c>
      <c r="B14" s="11">
        <v>9</v>
      </c>
      <c r="C14" s="12">
        <v>46476</v>
      </c>
    </row>
    <row r="15" spans="1:3" ht="14.25" customHeight="1" x14ac:dyDescent="0.3">
      <c r="A15" s="11" t="s">
        <v>288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4140625" bestFit="1" customWidth="1"/>
  </cols>
  <sheetData>
    <row r="1" spans="1:20" ht="15" customHeight="1" x14ac:dyDescent="0.3">
      <c r="A1" s="1" t="s">
        <v>0</v>
      </c>
      <c r="B1" s="1" t="s">
        <v>9</v>
      </c>
      <c r="C1" s="1" t="s">
        <v>15</v>
      </c>
      <c r="D1" s="1" t="s">
        <v>5</v>
      </c>
      <c r="E1" s="1" t="s">
        <v>388</v>
      </c>
      <c r="F1" s="1" t="s">
        <v>325</v>
      </c>
      <c r="G1" s="5" t="s">
        <v>389</v>
      </c>
      <c r="H1" s="5" t="s">
        <v>20</v>
      </c>
      <c r="I1" t="s">
        <v>34</v>
      </c>
      <c r="J1" s="5" t="s">
        <v>390</v>
      </c>
      <c r="K1" s="5" t="s">
        <v>128</v>
      </c>
      <c r="L1" s="5" t="s">
        <v>344</v>
      </c>
      <c r="M1" s="1" t="s">
        <v>391</v>
      </c>
      <c r="N1" s="1" t="s">
        <v>392</v>
      </c>
      <c r="R1" t="s">
        <v>13</v>
      </c>
      <c r="T1" t="s">
        <v>393</v>
      </c>
    </row>
    <row r="2" spans="1:20" ht="13.5" customHeight="1" x14ac:dyDescent="0.3">
      <c r="A2" s="2" t="s">
        <v>394</v>
      </c>
      <c r="B2" s="2" t="s">
        <v>395</v>
      </c>
      <c r="C2" s="2" t="s">
        <v>396</v>
      </c>
      <c r="D2" s="2" t="s">
        <v>397</v>
      </c>
      <c r="E2" s="2" t="s">
        <v>398</v>
      </c>
      <c r="F2" s="2" t="s">
        <v>399</v>
      </c>
      <c r="G2" t="s">
        <v>400</v>
      </c>
      <c r="H2" t="s">
        <v>401</v>
      </c>
      <c r="I2" t="s">
        <v>402</v>
      </c>
      <c r="J2" s="29" t="s">
        <v>403</v>
      </c>
      <c r="K2" s="29" t="s">
        <v>404</v>
      </c>
      <c r="L2" s="29" t="s">
        <v>405</v>
      </c>
      <c r="M2" t="s">
        <v>146</v>
      </c>
      <c r="N2" s="45" t="s">
        <v>406</v>
      </c>
      <c r="R2" t="s">
        <v>407</v>
      </c>
      <c r="T2" t="s">
        <v>48</v>
      </c>
    </row>
    <row r="3" spans="1:20" ht="15" customHeight="1" x14ac:dyDescent="0.3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206</v>
      </c>
      <c r="G3" t="s">
        <v>43</v>
      </c>
      <c r="H3" t="s">
        <v>46</v>
      </c>
      <c r="I3" t="s">
        <v>52</v>
      </c>
      <c r="J3" t="s">
        <v>140</v>
      </c>
      <c r="K3" t="s">
        <v>47</v>
      </c>
      <c r="L3" t="s">
        <v>52</v>
      </c>
      <c r="M3" t="s">
        <v>43</v>
      </c>
      <c r="N3" s="45" t="s">
        <v>408</v>
      </c>
      <c r="R3" t="s">
        <v>44</v>
      </c>
      <c r="T3" t="s">
        <v>93</v>
      </c>
    </row>
    <row r="4" spans="1:20" ht="15" customHeight="1" x14ac:dyDescent="0.3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140</v>
      </c>
      <c r="G4" t="s">
        <v>58</v>
      </c>
      <c r="H4" t="s">
        <v>87</v>
      </c>
      <c r="I4" t="s">
        <v>409</v>
      </c>
      <c r="J4" t="s">
        <v>180</v>
      </c>
      <c r="L4" t="s">
        <v>49</v>
      </c>
      <c r="M4" t="s">
        <v>102</v>
      </c>
      <c r="N4" s="45" t="s">
        <v>408</v>
      </c>
      <c r="R4" t="s">
        <v>171</v>
      </c>
      <c r="T4" t="s">
        <v>71</v>
      </c>
    </row>
    <row r="5" spans="1:20" ht="15" customHeight="1" x14ac:dyDescent="0.3">
      <c r="A5" t="s">
        <v>387</v>
      </c>
      <c r="B5" t="s">
        <v>64</v>
      </c>
      <c r="C5" t="s">
        <v>76</v>
      </c>
      <c r="F5" t="s">
        <v>180</v>
      </c>
      <c r="G5" t="s">
        <v>64</v>
      </c>
      <c r="H5" t="s">
        <v>129</v>
      </c>
      <c r="I5" t="s">
        <v>410</v>
      </c>
      <c r="J5" t="s">
        <v>149</v>
      </c>
      <c r="L5" t="s">
        <v>411</v>
      </c>
      <c r="M5" t="s">
        <v>87</v>
      </c>
      <c r="N5" s="45" t="s">
        <v>408</v>
      </c>
    </row>
    <row r="6" spans="1:20" ht="15" customHeight="1" x14ac:dyDescent="0.3">
      <c r="A6" t="s">
        <v>298</v>
      </c>
      <c r="B6" t="s">
        <v>83</v>
      </c>
      <c r="F6" t="s">
        <v>149</v>
      </c>
      <c r="G6" t="s">
        <v>83</v>
      </c>
      <c r="H6" t="s">
        <v>146</v>
      </c>
      <c r="I6" t="s">
        <v>151</v>
      </c>
      <c r="J6" t="s">
        <v>128</v>
      </c>
      <c r="M6" t="s">
        <v>47</v>
      </c>
      <c r="N6" s="45" t="s">
        <v>408</v>
      </c>
    </row>
    <row r="7" spans="1:20" ht="15" customHeight="1" x14ac:dyDescent="0.3">
      <c r="A7" t="s">
        <v>288</v>
      </c>
      <c r="B7" t="s">
        <v>117</v>
      </c>
      <c r="F7" t="s">
        <v>128</v>
      </c>
      <c r="G7" t="s">
        <v>117</v>
      </c>
      <c r="H7" t="s">
        <v>423</v>
      </c>
      <c r="I7" t="s">
        <v>412</v>
      </c>
      <c r="M7" t="s">
        <v>129</v>
      </c>
      <c r="N7" s="45" t="s">
        <v>408</v>
      </c>
    </row>
    <row r="8" spans="1:20" ht="15" customHeight="1" x14ac:dyDescent="0.3">
      <c r="B8" t="s">
        <v>75</v>
      </c>
      <c r="F8" t="s">
        <v>41</v>
      </c>
      <c r="G8" t="s">
        <v>75</v>
      </c>
      <c r="I8" t="s">
        <v>413</v>
      </c>
      <c r="M8" t="s">
        <v>59</v>
      </c>
      <c r="N8" s="45" t="s">
        <v>408</v>
      </c>
    </row>
    <row r="9" spans="1:20" ht="15" customHeight="1" x14ac:dyDescent="0.3">
      <c r="B9" t="s">
        <v>102</v>
      </c>
      <c r="G9" t="s">
        <v>102</v>
      </c>
      <c r="I9" t="s">
        <v>414</v>
      </c>
      <c r="M9" t="s">
        <v>159</v>
      </c>
      <c r="N9" s="45" t="s">
        <v>408</v>
      </c>
    </row>
    <row r="10" spans="1:20" ht="15" customHeight="1" x14ac:dyDescent="0.3">
      <c r="B10" t="s">
        <v>159</v>
      </c>
      <c r="G10" t="s">
        <v>159</v>
      </c>
      <c r="M10" t="s">
        <v>46</v>
      </c>
      <c r="N10" s="45" t="s">
        <v>408</v>
      </c>
    </row>
    <row r="11" spans="1:20" x14ac:dyDescent="0.3">
      <c r="B11" t="s">
        <v>415</v>
      </c>
      <c r="G11" t="s">
        <v>59</v>
      </c>
      <c r="M11" t="s">
        <v>75</v>
      </c>
      <c r="N11" s="45" t="s">
        <v>408</v>
      </c>
    </row>
    <row r="12" spans="1:20" x14ac:dyDescent="0.3">
      <c r="B12" t="s">
        <v>416</v>
      </c>
      <c r="G12" t="s">
        <v>45</v>
      </c>
      <c r="M12" t="s">
        <v>45</v>
      </c>
      <c r="N12" s="45" t="s">
        <v>408</v>
      </c>
    </row>
    <row r="13" spans="1:20" x14ac:dyDescent="0.3">
      <c r="G13" t="s">
        <v>76</v>
      </c>
      <c r="M13" t="s">
        <v>76</v>
      </c>
      <c r="N13" s="45" t="s">
        <v>408</v>
      </c>
    </row>
    <row r="14" spans="1:20" x14ac:dyDescent="0.3">
      <c r="M14" t="s">
        <v>83</v>
      </c>
      <c r="N14" s="45" t="s">
        <v>417</v>
      </c>
    </row>
    <row r="15" spans="1:20" x14ac:dyDescent="0.3">
      <c r="M15" t="s">
        <v>58</v>
      </c>
      <c r="N15" s="45" t="s">
        <v>408</v>
      </c>
    </row>
    <row r="16" spans="1:20" x14ac:dyDescent="0.3">
      <c r="M16" t="s">
        <v>117</v>
      </c>
      <c r="N16" s="45" t="s">
        <v>408</v>
      </c>
    </row>
    <row r="17" spans="13:14" x14ac:dyDescent="0.3">
      <c r="M17" t="s">
        <v>64</v>
      </c>
      <c r="N17" s="45" t="s">
        <v>408</v>
      </c>
    </row>
    <row r="18" spans="13:14" x14ac:dyDescent="0.3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D54C7CB-11A4-40CF-B95E-1D5833A38355}">
  <ds:schemaRefs>
    <ds:schemaRef ds:uri="http://purl.org/dc/dcmitype/"/>
    <ds:schemaRef ds:uri="http://purl.org/dc/terms/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cadce026-d35b-4a62-a2ee-1436bb44fb55"/>
    <ds:schemaRef ds:uri="6d32ee4e-79d4-4fe0-ad34-1cbae873c51e"/>
    <ds:schemaRef ds:uri="5b9cbbf0-fbbf-4687-be4c-62cb1159071c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A73A73</vt:lpstr>
      <vt:lpstr>DB_Dev_List</vt:lpstr>
      <vt:lpstr>DPO_Approval_List</vt:lpstr>
      <vt:lpstr>L2T2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Sailaja Gorijala</cp:lastModifiedBy>
  <cp:revision>0</cp:revision>
  <dcterms:created xsi:type="dcterms:W3CDTF">2026-07-21T14:32:59Z</dcterms:created>
  <dcterms:modified xsi:type="dcterms:W3CDTF">2026-09-02T18:31:55Z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