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974" documentId="13_ncr:1_{52745E9B-3AA1-4770-AAD3-E6166BFC13AE}" xr6:coauthVersionLast="47" xr6:coauthVersionMax="47" xr10:uidLastSave="{71098482-8B51-45F9-A8C5-1FA78D688294}"/>
  <bookViews>
    <workbookView minimized="1" xWindow="-2760" yWindow="1245" windowWidth="27000" windowHeight="13875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4" l="1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D2" i="2"/>
  <c r="AG2" i="2"/>
  <c r="D3" i="2"/>
  <c r="AG3" i="2"/>
  <c r="D4" i="2"/>
  <c r="AG4" i="2"/>
  <c r="D5" i="2"/>
  <c r="AG5" i="2"/>
  <c r="D10" i="2"/>
  <c r="AG10" i="2"/>
  <c r="D11" i="2"/>
  <c r="AG11" i="2"/>
  <c r="D12" i="2"/>
  <c r="AG12" i="2"/>
  <c r="D13" i="2"/>
  <c r="AG13" i="2"/>
  <c r="D14" i="2"/>
  <c r="AG14" i="2"/>
  <c r="D15" i="2"/>
  <c r="AG15" i="2"/>
  <c r="D20" i="2"/>
  <c r="AG20" i="2"/>
  <c r="D21" i="2"/>
  <c r="AG21" i="2"/>
  <c r="D22" i="2"/>
  <c r="AG22" i="2"/>
  <c r="D23" i="2"/>
  <c r="AG23" i="2"/>
  <c r="D24" i="2"/>
  <c r="AG24" i="2"/>
  <c r="D25" i="2"/>
  <c r="AG25" i="2"/>
  <c r="D26" i="2"/>
  <c r="AG26" i="2"/>
  <c r="D27" i="2"/>
  <c r="AG27" i="2"/>
  <c r="D28" i="2"/>
  <c r="AG28" i="2"/>
  <c r="D29" i="2"/>
  <c r="AG29" i="2"/>
  <c r="D30" i="2"/>
  <c r="AG30" i="2"/>
  <c r="D31" i="2"/>
  <c r="AG31" i="2"/>
  <c r="D32" i="2"/>
  <c r="AG32" i="2"/>
  <c r="D33" i="2"/>
  <c r="D34" i="2"/>
  <c r="AG34" i="2"/>
  <c r="D35" i="2"/>
  <c r="AG35" i="2"/>
  <c r="D36" i="2"/>
  <c r="AG36" i="2"/>
  <c r="D37" i="2"/>
  <c r="AG37" i="2"/>
  <c r="D38" i="2"/>
  <c r="AG38" i="2"/>
  <c r="D39" i="2"/>
  <c r="AG39" i="2"/>
  <c r="AG40" i="2"/>
  <c r="D41" i="2"/>
  <c r="AG41" i="2"/>
  <c r="D42" i="2"/>
  <c r="D43" i="2"/>
  <c r="AG43" i="2"/>
  <c r="D44" i="2"/>
  <c r="AG44" i="2"/>
  <c r="D45" i="2"/>
  <c r="AG45" i="2"/>
  <c r="D46" i="2"/>
  <c r="AG46" i="2"/>
  <c r="D47" i="2"/>
  <c r="AG47" i="2"/>
  <c r="D48" i="2"/>
  <c r="AG48" i="2"/>
  <c r="D49" i="2"/>
  <c r="AG49" i="2"/>
  <c r="D50" i="2"/>
  <c r="AG50" i="2"/>
  <c r="D51" i="2"/>
  <c r="AG51" i="2"/>
  <c r="D52" i="2"/>
  <c r="AG52" i="2"/>
  <c r="D53" i="2"/>
  <c r="AG53" i="2"/>
  <c r="D54" i="2"/>
  <c r="AG54" i="2"/>
  <c r="D55" i="2"/>
  <c r="D56" i="2"/>
  <c r="AG56" i="2"/>
  <c r="D57" i="2"/>
  <c r="AG57" i="2"/>
  <c r="D58" i="2"/>
  <c r="AG58" i="2"/>
  <c r="D59" i="2"/>
  <c r="AG59" i="2"/>
  <c r="D60" i="2"/>
  <c r="AG60" i="2"/>
  <c r="D61" i="2"/>
  <c r="AG61" i="2"/>
  <c r="D62" i="2"/>
  <c r="AG62" i="2"/>
  <c r="D63" i="2"/>
  <c r="AG63" i="2"/>
  <c r="D64" i="2"/>
  <c r="AG64" i="2"/>
  <c r="D65" i="2"/>
  <c r="AG65" i="2"/>
  <c r="D66" i="2"/>
  <c r="AG66" i="2"/>
  <c r="D67" i="2"/>
  <c r="AG67" i="2"/>
  <c r="D68" i="2"/>
  <c r="AG68" i="2"/>
  <c r="D69" i="2"/>
  <c r="AG69" i="2"/>
  <c r="D70" i="2"/>
  <c r="AG70" i="2"/>
  <c r="D71" i="2"/>
  <c r="AG71" i="2"/>
  <c r="D72" i="2"/>
  <c r="AG72" i="2"/>
  <c r="AG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7" i="4"/>
  <c r="P6" i="4"/>
  <c r="P5" i="4"/>
  <c r="P4" i="4"/>
  <c r="P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T423" i="4" l="1"/>
  <c r="S423" i="4"/>
  <c r="T437" i="4"/>
  <c r="S437" i="4"/>
  <c r="T451" i="4"/>
  <c r="S451" i="4"/>
  <c r="T458" i="4"/>
  <c r="S458" i="4"/>
  <c r="T465" i="4"/>
  <c r="S465" i="4"/>
  <c r="T472" i="4"/>
  <c r="S472" i="4"/>
  <c r="T479" i="4"/>
  <c r="S479" i="4"/>
  <c r="T486" i="4"/>
  <c r="S486" i="4"/>
  <c r="T493" i="4"/>
  <c r="S493" i="4"/>
  <c r="T500" i="4"/>
  <c r="S500" i="4"/>
  <c r="T15" i="4"/>
  <c r="S15" i="4"/>
  <c r="T29" i="4"/>
  <c r="S29" i="4"/>
  <c r="T64" i="4"/>
  <c r="S64" i="4"/>
  <c r="T99" i="4"/>
  <c r="S99" i="4"/>
  <c r="T134" i="4"/>
  <c r="S134" i="4"/>
  <c r="T169" i="4"/>
  <c r="S169" i="4"/>
  <c r="T204" i="4"/>
  <c r="S204" i="4"/>
  <c r="T239" i="4"/>
  <c r="S239" i="4"/>
  <c r="T274" i="4"/>
  <c r="S274" i="4"/>
  <c r="T309" i="4"/>
  <c r="S309" i="4"/>
  <c r="T330" i="4"/>
  <c r="S330" i="4"/>
  <c r="T351" i="4"/>
  <c r="S351" i="4"/>
  <c r="T372" i="4"/>
  <c r="S372" i="4"/>
  <c r="T393" i="4"/>
  <c r="S393" i="4"/>
  <c r="T407" i="4"/>
  <c r="S407" i="4"/>
  <c r="T414" i="4"/>
  <c r="S414" i="4"/>
  <c r="T428" i="4"/>
  <c r="S428" i="4"/>
  <c r="T442" i="4"/>
  <c r="S442" i="4"/>
  <c r="T456" i="4"/>
  <c r="S456" i="4"/>
  <c r="T470" i="4"/>
  <c r="S470" i="4"/>
  <c r="T491" i="4"/>
  <c r="S491" i="4"/>
  <c r="T5" i="4"/>
  <c r="S5" i="4"/>
  <c r="T23" i="4"/>
  <c r="S23" i="4"/>
  <c r="T65" i="4"/>
  <c r="S65" i="4"/>
  <c r="T107" i="4"/>
  <c r="S107" i="4"/>
  <c r="T135" i="4"/>
  <c r="S135" i="4"/>
  <c r="T163" i="4"/>
  <c r="S163" i="4"/>
  <c r="T184" i="4"/>
  <c r="S184" i="4"/>
  <c r="T212" i="4"/>
  <c r="S212" i="4"/>
  <c r="T240" i="4"/>
  <c r="S240" i="4"/>
  <c r="T268" i="4"/>
  <c r="S268" i="4"/>
  <c r="T289" i="4"/>
  <c r="S289" i="4"/>
  <c r="T317" i="4"/>
  <c r="S317" i="4"/>
  <c r="T359" i="4"/>
  <c r="S359" i="4"/>
  <c r="T492" i="4"/>
  <c r="S492" i="4"/>
  <c r="T115" i="4"/>
  <c r="S115" i="4"/>
  <c r="T227" i="4"/>
  <c r="S227" i="4"/>
  <c r="T283" i="4"/>
  <c r="S283" i="4"/>
  <c r="T304" i="4"/>
  <c r="S304" i="4"/>
  <c r="T416" i="4"/>
  <c r="S416" i="4"/>
  <c r="T18" i="4"/>
  <c r="S18" i="4"/>
  <c r="T39" i="4"/>
  <c r="S39" i="4"/>
  <c r="T46" i="4"/>
  <c r="S46" i="4"/>
  <c r="T53" i="4"/>
  <c r="S53" i="4"/>
  <c r="T60" i="4"/>
  <c r="S60" i="4"/>
  <c r="T67" i="4"/>
  <c r="S67" i="4"/>
  <c r="T74" i="4"/>
  <c r="S74" i="4"/>
  <c r="T81" i="4"/>
  <c r="S81" i="4"/>
  <c r="T88" i="4"/>
  <c r="S88" i="4"/>
  <c r="T95" i="4"/>
  <c r="S95" i="4"/>
  <c r="T102" i="4"/>
  <c r="S102" i="4"/>
  <c r="T109" i="4"/>
  <c r="S109" i="4"/>
  <c r="T116" i="4"/>
  <c r="S116" i="4"/>
  <c r="T123" i="4"/>
  <c r="S123" i="4"/>
  <c r="T130" i="4"/>
  <c r="S130" i="4"/>
  <c r="T137" i="4"/>
  <c r="S137" i="4"/>
  <c r="T144" i="4"/>
  <c r="S144" i="4"/>
  <c r="T151" i="4"/>
  <c r="S151" i="4"/>
  <c r="T158" i="4"/>
  <c r="S158" i="4"/>
  <c r="T165" i="4"/>
  <c r="S165" i="4"/>
  <c r="T172" i="4"/>
  <c r="S172" i="4"/>
  <c r="T179" i="4"/>
  <c r="S179" i="4"/>
  <c r="T186" i="4"/>
  <c r="S186" i="4"/>
  <c r="T193" i="4"/>
  <c r="S193" i="4"/>
  <c r="T200" i="4"/>
  <c r="S200" i="4"/>
  <c r="T207" i="4"/>
  <c r="S207" i="4"/>
  <c r="T214" i="4"/>
  <c r="S214" i="4"/>
  <c r="T221" i="4"/>
  <c r="S221" i="4"/>
  <c r="T228" i="4"/>
  <c r="S228" i="4"/>
  <c r="T235" i="4"/>
  <c r="S235" i="4"/>
  <c r="T242" i="4"/>
  <c r="S242" i="4"/>
  <c r="T249" i="4"/>
  <c r="S249" i="4"/>
  <c r="T256" i="4"/>
  <c r="S256" i="4"/>
  <c r="T263" i="4"/>
  <c r="S263" i="4"/>
  <c r="T270" i="4"/>
  <c r="S270" i="4"/>
  <c r="T277" i="4"/>
  <c r="S277" i="4"/>
  <c r="T284" i="4"/>
  <c r="S284" i="4"/>
  <c r="T291" i="4"/>
  <c r="S291" i="4"/>
  <c r="T298" i="4"/>
  <c r="S298" i="4"/>
  <c r="T305" i="4"/>
  <c r="S305" i="4"/>
  <c r="T312" i="4"/>
  <c r="S312" i="4"/>
  <c r="T319" i="4"/>
  <c r="S319" i="4"/>
  <c r="T326" i="4"/>
  <c r="S326" i="4"/>
  <c r="T333" i="4"/>
  <c r="S333" i="4"/>
  <c r="T340" i="4"/>
  <c r="S340" i="4"/>
  <c r="T347" i="4"/>
  <c r="S347" i="4"/>
  <c r="T354" i="4"/>
  <c r="S354" i="4"/>
  <c r="T361" i="4"/>
  <c r="S361" i="4"/>
  <c r="T368" i="4"/>
  <c r="S368" i="4"/>
  <c r="T375" i="4"/>
  <c r="S375" i="4"/>
  <c r="T382" i="4"/>
  <c r="S382" i="4"/>
  <c r="T389" i="4"/>
  <c r="S389" i="4"/>
  <c r="T396" i="4"/>
  <c r="S396" i="4"/>
  <c r="T403" i="4"/>
  <c r="S403" i="4"/>
  <c r="T410" i="4"/>
  <c r="S410" i="4"/>
  <c r="T417" i="4"/>
  <c r="S417" i="4"/>
  <c r="T424" i="4"/>
  <c r="S424" i="4"/>
  <c r="T431" i="4"/>
  <c r="S431" i="4"/>
  <c r="T438" i="4"/>
  <c r="S438" i="4"/>
  <c r="T445" i="4"/>
  <c r="S445" i="4"/>
  <c r="T452" i="4"/>
  <c r="S452" i="4"/>
  <c r="T459" i="4"/>
  <c r="S459" i="4"/>
  <c r="T466" i="4"/>
  <c r="S466" i="4"/>
  <c r="T473" i="4"/>
  <c r="S473" i="4"/>
  <c r="T480" i="4"/>
  <c r="S480" i="4"/>
  <c r="T487" i="4"/>
  <c r="S487" i="4"/>
  <c r="T494" i="4"/>
  <c r="S494" i="4"/>
  <c r="T14" i="4"/>
  <c r="S14" i="4"/>
  <c r="T444" i="4"/>
  <c r="S444" i="4"/>
  <c r="T25" i="4"/>
  <c r="S25" i="4"/>
  <c r="T13" i="4"/>
  <c r="S13" i="4"/>
  <c r="T4" i="4"/>
  <c r="S4" i="4"/>
  <c r="T22" i="4"/>
  <c r="S22" i="4"/>
  <c r="T50" i="4"/>
  <c r="S50" i="4"/>
  <c r="T78" i="4"/>
  <c r="S78" i="4"/>
  <c r="T113" i="4"/>
  <c r="S113" i="4"/>
  <c r="T148" i="4"/>
  <c r="S148" i="4"/>
  <c r="T183" i="4"/>
  <c r="S183" i="4"/>
  <c r="T218" i="4"/>
  <c r="S218" i="4"/>
  <c r="T253" i="4"/>
  <c r="S253" i="4"/>
  <c r="T288" i="4"/>
  <c r="S288" i="4"/>
  <c r="T316" i="4"/>
  <c r="S316" i="4"/>
  <c r="T344" i="4"/>
  <c r="S344" i="4"/>
  <c r="T365" i="4"/>
  <c r="S365" i="4"/>
  <c r="T379" i="4"/>
  <c r="S379" i="4"/>
  <c r="T400" i="4"/>
  <c r="S400" i="4"/>
  <c r="T421" i="4"/>
  <c r="S421" i="4"/>
  <c r="T435" i="4"/>
  <c r="S435" i="4"/>
  <c r="T449" i="4"/>
  <c r="S449" i="4"/>
  <c r="T463" i="4"/>
  <c r="S463" i="4"/>
  <c r="T477" i="4"/>
  <c r="S477" i="4"/>
  <c r="T498" i="4"/>
  <c r="S498" i="4"/>
  <c r="T30" i="4"/>
  <c r="S30" i="4"/>
  <c r="T51" i="4"/>
  <c r="S51" i="4"/>
  <c r="T100" i="4"/>
  <c r="S100" i="4"/>
  <c r="T149" i="4"/>
  <c r="S149" i="4"/>
  <c r="T191" i="4"/>
  <c r="S191" i="4"/>
  <c r="T247" i="4"/>
  <c r="S247" i="4"/>
  <c r="T324" i="4"/>
  <c r="S324" i="4"/>
  <c r="T499" i="4"/>
  <c r="S499" i="4"/>
  <c r="T87" i="4"/>
  <c r="S87" i="4"/>
  <c r="T206" i="4"/>
  <c r="S206" i="4"/>
  <c r="T276" i="4"/>
  <c r="S276" i="4"/>
  <c r="T290" i="4"/>
  <c r="S290" i="4"/>
  <c r="T311" i="4"/>
  <c r="S311" i="4"/>
  <c r="T409" i="4"/>
  <c r="S409" i="4"/>
  <c r="T33" i="4"/>
  <c r="S33" i="4"/>
  <c r="T61" i="4"/>
  <c r="S61" i="4"/>
  <c r="T103" i="4"/>
  <c r="S103" i="4"/>
  <c r="T145" i="4"/>
  <c r="S145" i="4"/>
  <c r="T187" i="4"/>
  <c r="S187" i="4"/>
  <c r="T215" i="4"/>
  <c r="S215" i="4"/>
  <c r="T236" i="4"/>
  <c r="S236" i="4"/>
  <c r="T250" i="4"/>
  <c r="S250" i="4"/>
  <c r="T264" i="4"/>
  <c r="S264" i="4"/>
  <c r="T271" i="4"/>
  <c r="S271" i="4"/>
  <c r="T278" i="4"/>
  <c r="S278" i="4"/>
  <c r="T285" i="4"/>
  <c r="S285" i="4"/>
  <c r="T292" i="4"/>
  <c r="S292" i="4"/>
  <c r="T306" i="4"/>
  <c r="S306" i="4"/>
  <c r="T313" i="4"/>
  <c r="S313" i="4"/>
  <c r="T320" i="4"/>
  <c r="S320" i="4"/>
  <c r="T327" i="4"/>
  <c r="S327" i="4"/>
  <c r="T334" i="4"/>
  <c r="S334" i="4"/>
  <c r="T341" i="4"/>
  <c r="S341" i="4"/>
  <c r="T348" i="4"/>
  <c r="S348" i="4"/>
  <c r="T355" i="4"/>
  <c r="S355" i="4"/>
  <c r="T362" i="4"/>
  <c r="S362" i="4"/>
  <c r="T369" i="4"/>
  <c r="S369" i="4"/>
  <c r="T376" i="4"/>
  <c r="S376" i="4"/>
  <c r="T383" i="4"/>
  <c r="S383" i="4"/>
  <c r="T390" i="4"/>
  <c r="S390" i="4"/>
  <c r="T397" i="4"/>
  <c r="S397" i="4"/>
  <c r="T404" i="4"/>
  <c r="S404" i="4"/>
  <c r="T411" i="4"/>
  <c r="S411" i="4"/>
  <c r="T418" i="4"/>
  <c r="S418" i="4"/>
  <c r="T425" i="4"/>
  <c r="S425" i="4"/>
  <c r="T432" i="4"/>
  <c r="S432" i="4"/>
  <c r="T439" i="4"/>
  <c r="S439" i="4"/>
  <c r="T446" i="4"/>
  <c r="S446" i="4"/>
  <c r="T453" i="4"/>
  <c r="S453" i="4"/>
  <c r="T460" i="4"/>
  <c r="S460" i="4"/>
  <c r="T467" i="4"/>
  <c r="S467" i="4"/>
  <c r="T474" i="4"/>
  <c r="S474" i="4"/>
  <c r="T481" i="4"/>
  <c r="S481" i="4"/>
  <c r="T488" i="4"/>
  <c r="S488" i="4"/>
  <c r="T495" i="4"/>
  <c r="S495" i="4"/>
  <c r="T12" i="4"/>
  <c r="S12" i="4"/>
  <c r="T213" i="4"/>
  <c r="S213" i="4"/>
  <c r="T234" i="4"/>
  <c r="S234" i="4"/>
  <c r="T241" i="4"/>
  <c r="S241" i="4"/>
  <c r="T248" i="4"/>
  <c r="S248" i="4"/>
  <c r="T262" i="4"/>
  <c r="S262" i="4"/>
  <c r="T269" i="4"/>
  <c r="S269" i="4"/>
  <c r="T297" i="4"/>
  <c r="S297" i="4"/>
  <c r="T318" i="4"/>
  <c r="S318" i="4"/>
  <c r="T325" i="4"/>
  <c r="S325" i="4"/>
  <c r="T332" i="4"/>
  <c r="S332" i="4"/>
  <c r="T339" i="4"/>
  <c r="S339" i="4"/>
  <c r="T346" i="4"/>
  <c r="S346" i="4"/>
  <c r="T353" i="4"/>
  <c r="S353" i="4"/>
  <c r="T360" i="4"/>
  <c r="S360" i="4"/>
  <c r="T367" i="4"/>
  <c r="S367" i="4"/>
  <c r="T374" i="4"/>
  <c r="S374" i="4"/>
  <c r="T381" i="4"/>
  <c r="S381" i="4"/>
  <c r="T388" i="4"/>
  <c r="S388" i="4"/>
  <c r="T402" i="4"/>
  <c r="S402" i="4"/>
  <c r="T430" i="4"/>
  <c r="S430" i="4"/>
  <c r="T7" i="4"/>
  <c r="S7" i="4"/>
  <c r="T32" i="4"/>
  <c r="S32" i="4"/>
  <c r="T19" i="4"/>
  <c r="S19" i="4"/>
  <c r="T26" i="4"/>
  <c r="S26" i="4"/>
  <c r="T40" i="4"/>
  <c r="S40" i="4"/>
  <c r="T47" i="4"/>
  <c r="S47" i="4"/>
  <c r="T54" i="4"/>
  <c r="S54" i="4"/>
  <c r="T68" i="4"/>
  <c r="S68" i="4"/>
  <c r="T75" i="4"/>
  <c r="S75" i="4"/>
  <c r="T82" i="4"/>
  <c r="S82" i="4"/>
  <c r="T89" i="4"/>
  <c r="S89" i="4"/>
  <c r="T96" i="4"/>
  <c r="S96" i="4"/>
  <c r="T110" i="4"/>
  <c r="S110" i="4"/>
  <c r="T117" i="4"/>
  <c r="S117" i="4"/>
  <c r="T124" i="4"/>
  <c r="S124" i="4"/>
  <c r="T131" i="4"/>
  <c r="S131" i="4"/>
  <c r="T138" i="4"/>
  <c r="S138" i="4"/>
  <c r="T152" i="4"/>
  <c r="S152" i="4"/>
  <c r="T159" i="4"/>
  <c r="S159" i="4"/>
  <c r="T166" i="4"/>
  <c r="S166" i="4"/>
  <c r="T173" i="4"/>
  <c r="S173" i="4"/>
  <c r="T180" i="4"/>
  <c r="S180" i="4"/>
  <c r="T194" i="4"/>
  <c r="S194" i="4"/>
  <c r="T201" i="4"/>
  <c r="S201" i="4"/>
  <c r="T208" i="4"/>
  <c r="S208" i="4"/>
  <c r="T222" i="4"/>
  <c r="S222" i="4"/>
  <c r="T229" i="4"/>
  <c r="S229" i="4"/>
  <c r="T243" i="4"/>
  <c r="S243" i="4"/>
  <c r="T257" i="4"/>
  <c r="S257" i="4"/>
  <c r="T299" i="4"/>
  <c r="S299" i="4"/>
  <c r="T11" i="4"/>
  <c r="S11" i="4"/>
  <c r="T167" i="4"/>
  <c r="S167" i="4"/>
  <c r="T328" i="4"/>
  <c r="S328" i="4"/>
  <c r="T370" i="4"/>
  <c r="S370" i="4"/>
  <c r="T384" i="4"/>
  <c r="S384" i="4"/>
  <c r="T398" i="4"/>
  <c r="S398" i="4"/>
  <c r="T405" i="4"/>
  <c r="S405" i="4"/>
  <c r="T419" i="4"/>
  <c r="S419" i="4"/>
  <c r="T426" i="4"/>
  <c r="S426" i="4"/>
  <c r="T433" i="4"/>
  <c r="S433" i="4"/>
  <c r="T440" i="4"/>
  <c r="S440" i="4"/>
  <c r="T447" i="4"/>
  <c r="S447" i="4"/>
  <c r="T454" i="4"/>
  <c r="S454" i="4"/>
  <c r="T461" i="4"/>
  <c r="S461" i="4"/>
  <c r="T468" i="4"/>
  <c r="S468" i="4"/>
  <c r="T475" i="4"/>
  <c r="S475" i="4"/>
  <c r="T482" i="4"/>
  <c r="S482" i="4"/>
  <c r="T489" i="4"/>
  <c r="S489" i="4"/>
  <c r="T496" i="4"/>
  <c r="S496" i="4"/>
  <c r="T10" i="4"/>
  <c r="S10" i="4"/>
  <c r="T36" i="4"/>
  <c r="S36" i="4"/>
  <c r="T43" i="4"/>
  <c r="S43" i="4"/>
  <c r="T57" i="4"/>
  <c r="S57" i="4"/>
  <c r="T71" i="4"/>
  <c r="S71" i="4"/>
  <c r="T85" i="4"/>
  <c r="S85" i="4"/>
  <c r="T92" i="4"/>
  <c r="S92" i="4"/>
  <c r="T106" i="4"/>
  <c r="S106" i="4"/>
  <c r="T120" i="4"/>
  <c r="S120" i="4"/>
  <c r="T127" i="4"/>
  <c r="S127" i="4"/>
  <c r="T141" i="4"/>
  <c r="S141" i="4"/>
  <c r="T155" i="4"/>
  <c r="S155" i="4"/>
  <c r="T162" i="4"/>
  <c r="S162" i="4"/>
  <c r="T176" i="4"/>
  <c r="S176" i="4"/>
  <c r="T190" i="4"/>
  <c r="S190" i="4"/>
  <c r="T197" i="4"/>
  <c r="S197" i="4"/>
  <c r="T211" i="4"/>
  <c r="S211" i="4"/>
  <c r="T225" i="4"/>
  <c r="S225" i="4"/>
  <c r="T232" i="4"/>
  <c r="S232" i="4"/>
  <c r="T246" i="4"/>
  <c r="S246" i="4"/>
  <c r="T260" i="4"/>
  <c r="S260" i="4"/>
  <c r="T267" i="4"/>
  <c r="S267" i="4"/>
  <c r="T281" i="4"/>
  <c r="S281" i="4"/>
  <c r="T295" i="4"/>
  <c r="S295" i="4"/>
  <c r="T302" i="4"/>
  <c r="S302" i="4"/>
  <c r="T323" i="4"/>
  <c r="S323" i="4"/>
  <c r="T337" i="4"/>
  <c r="S337" i="4"/>
  <c r="T358" i="4"/>
  <c r="S358" i="4"/>
  <c r="T386" i="4"/>
  <c r="S386" i="4"/>
  <c r="T484" i="4"/>
  <c r="S484" i="4"/>
  <c r="T16" i="4"/>
  <c r="S16" i="4"/>
  <c r="T37" i="4"/>
  <c r="S37" i="4"/>
  <c r="T44" i="4"/>
  <c r="S44" i="4"/>
  <c r="T58" i="4"/>
  <c r="S58" i="4"/>
  <c r="T72" i="4"/>
  <c r="S72" i="4"/>
  <c r="T79" i="4"/>
  <c r="S79" i="4"/>
  <c r="T86" i="4"/>
  <c r="S86" i="4"/>
  <c r="T93" i="4"/>
  <c r="S93" i="4"/>
  <c r="T114" i="4"/>
  <c r="S114" i="4"/>
  <c r="T121" i="4"/>
  <c r="S121" i="4"/>
  <c r="T128" i="4"/>
  <c r="S128" i="4"/>
  <c r="T142" i="4"/>
  <c r="S142" i="4"/>
  <c r="T156" i="4"/>
  <c r="S156" i="4"/>
  <c r="T170" i="4"/>
  <c r="S170" i="4"/>
  <c r="T177" i="4"/>
  <c r="S177" i="4"/>
  <c r="T198" i="4"/>
  <c r="S198" i="4"/>
  <c r="T205" i="4"/>
  <c r="S205" i="4"/>
  <c r="T219" i="4"/>
  <c r="S219" i="4"/>
  <c r="T226" i="4"/>
  <c r="S226" i="4"/>
  <c r="T233" i="4"/>
  <c r="S233" i="4"/>
  <c r="T254" i="4"/>
  <c r="S254" i="4"/>
  <c r="T261" i="4"/>
  <c r="S261" i="4"/>
  <c r="T275" i="4"/>
  <c r="S275" i="4"/>
  <c r="T282" i="4"/>
  <c r="S282" i="4"/>
  <c r="T296" i="4"/>
  <c r="S296" i="4"/>
  <c r="T303" i="4"/>
  <c r="S303" i="4"/>
  <c r="T310" i="4"/>
  <c r="S310" i="4"/>
  <c r="T331" i="4"/>
  <c r="S331" i="4"/>
  <c r="T338" i="4"/>
  <c r="S338" i="4"/>
  <c r="T345" i="4"/>
  <c r="S345" i="4"/>
  <c r="T352" i="4"/>
  <c r="S352" i="4"/>
  <c r="T366" i="4"/>
  <c r="S366" i="4"/>
  <c r="T373" i="4"/>
  <c r="S373" i="4"/>
  <c r="T380" i="4"/>
  <c r="S380" i="4"/>
  <c r="T387" i="4"/>
  <c r="S387" i="4"/>
  <c r="T394" i="4"/>
  <c r="S394" i="4"/>
  <c r="T401" i="4"/>
  <c r="S401" i="4"/>
  <c r="T408" i="4"/>
  <c r="S408" i="4"/>
  <c r="T415" i="4"/>
  <c r="S415" i="4"/>
  <c r="T422" i="4"/>
  <c r="S422" i="4"/>
  <c r="T429" i="4"/>
  <c r="S429" i="4"/>
  <c r="T436" i="4"/>
  <c r="S436" i="4"/>
  <c r="T443" i="4"/>
  <c r="S443" i="4"/>
  <c r="T450" i="4"/>
  <c r="S450" i="4"/>
  <c r="T457" i="4"/>
  <c r="S457" i="4"/>
  <c r="T464" i="4"/>
  <c r="S464" i="4"/>
  <c r="T471" i="4"/>
  <c r="S471" i="4"/>
  <c r="T478" i="4"/>
  <c r="S478" i="4"/>
  <c r="T485" i="4"/>
  <c r="S485" i="4"/>
  <c r="T6" i="4"/>
  <c r="S6" i="4"/>
  <c r="T17" i="4"/>
  <c r="S17" i="4"/>
  <c r="T24" i="4"/>
  <c r="S24" i="4"/>
  <c r="T31" i="4"/>
  <c r="S31" i="4"/>
  <c r="T38" i="4"/>
  <c r="S38" i="4"/>
  <c r="T45" i="4"/>
  <c r="S45" i="4"/>
  <c r="T52" i="4"/>
  <c r="S52" i="4"/>
  <c r="T59" i="4"/>
  <c r="S59" i="4"/>
  <c r="T66" i="4"/>
  <c r="S66" i="4"/>
  <c r="T73" i="4"/>
  <c r="S73" i="4"/>
  <c r="T80" i="4"/>
  <c r="S80" i="4"/>
  <c r="T94" i="4"/>
  <c r="S94" i="4"/>
  <c r="T101" i="4"/>
  <c r="S101" i="4"/>
  <c r="T108" i="4"/>
  <c r="S108" i="4"/>
  <c r="T122" i="4"/>
  <c r="S122" i="4"/>
  <c r="T129" i="4"/>
  <c r="S129" i="4"/>
  <c r="T136" i="4"/>
  <c r="S136" i="4"/>
  <c r="T143" i="4"/>
  <c r="S143" i="4"/>
  <c r="T150" i="4"/>
  <c r="S150" i="4"/>
  <c r="T157" i="4"/>
  <c r="S157" i="4"/>
  <c r="T164" i="4"/>
  <c r="S164" i="4"/>
  <c r="T171" i="4"/>
  <c r="S171" i="4"/>
  <c r="T178" i="4"/>
  <c r="S178" i="4"/>
  <c r="T185" i="4"/>
  <c r="S185" i="4"/>
  <c r="T192" i="4"/>
  <c r="S192" i="4"/>
  <c r="T199" i="4"/>
  <c r="S199" i="4"/>
  <c r="T220" i="4"/>
  <c r="S220" i="4"/>
  <c r="T255" i="4"/>
  <c r="S255" i="4"/>
  <c r="T395" i="4"/>
  <c r="S395" i="4"/>
  <c r="T20" i="4"/>
  <c r="S20" i="4"/>
  <c r="T27" i="4"/>
  <c r="S27" i="4"/>
  <c r="T34" i="4"/>
  <c r="S34" i="4"/>
  <c r="T41" i="4"/>
  <c r="S41" i="4"/>
  <c r="T48" i="4"/>
  <c r="S48" i="4"/>
  <c r="T55" i="4"/>
  <c r="S55" i="4"/>
  <c r="T62" i="4"/>
  <c r="S62" i="4"/>
  <c r="T69" i="4"/>
  <c r="S69" i="4"/>
  <c r="T76" i="4"/>
  <c r="S76" i="4"/>
  <c r="T83" i="4"/>
  <c r="S83" i="4"/>
  <c r="T90" i="4"/>
  <c r="S90" i="4"/>
  <c r="T97" i="4"/>
  <c r="S97" i="4"/>
  <c r="T104" i="4"/>
  <c r="S104" i="4"/>
  <c r="T111" i="4"/>
  <c r="S111" i="4"/>
  <c r="T118" i="4"/>
  <c r="S118" i="4"/>
  <c r="T125" i="4"/>
  <c r="S125" i="4"/>
  <c r="T132" i="4"/>
  <c r="S132" i="4"/>
  <c r="T139" i="4"/>
  <c r="S139" i="4"/>
  <c r="T146" i="4"/>
  <c r="S146" i="4"/>
  <c r="T153" i="4"/>
  <c r="S153" i="4"/>
  <c r="T160" i="4"/>
  <c r="S160" i="4"/>
  <c r="T174" i="4"/>
  <c r="S174" i="4"/>
  <c r="T181" i="4"/>
  <c r="S181" i="4"/>
  <c r="T188" i="4"/>
  <c r="S188" i="4"/>
  <c r="T195" i="4"/>
  <c r="S195" i="4"/>
  <c r="T202" i="4"/>
  <c r="S202" i="4"/>
  <c r="T209" i="4"/>
  <c r="S209" i="4"/>
  <c r="T216" i="4"/>
  <c r="S216" i="4"/>
  <c r="T223" i="4"/>
  <c r="S223" i="4"/>
  <c r="T230" i="4"/>
  <c r="S230" i="4"/>
  <c r="T237" i="4"/>
  <c r="S237" i="4"/>
  <c r="T244" i="4"/>
  <c r="S244" i="4"/>
  <c r="T251" i="4"/>
  <c r="S251" i="4"/>
  <c r="T258" i="4"/>
  <c r="S258" i="4"/>
  <c r="T265" i="4"/>
  <c r="S265" i="4"/>
  <c r="T272" i="4"/>
  <c r="S272" i="4"/>
  <c r="T279" i="4"/>
  <c r="S279" i="4"/>
  <c r="T286" i="4"/>
  <c r="S286" i="4"/>
  <c r="T293" i="4"/>
  <c r="S293" i="4"/>
  <c r="T300" i="4"/>
  <c r="S300" i="4"/>
  <c r="T307" i="4"/>
  <c r="S307" i="4"/>
  <c r="T314" i="4"/>
  <c r="S314" i="4"/>
  <c r="T321" i="4"/>
  <c r="S321" i="4"/>
  <c r="T335" i="4"/>
  <c r="S335" i="4"/>
  <c r="T342" i="4"/>
  <c r="S342" i="4"/>
  <c r="T349" i="4"/>
  <c r="S349" i="4"/>
  <c r="T356" i="4"/>
  <c r="S356" i="4"/>
  <c r="T363" i="4"/>
  <c r="S363" i="4"/>
  <c r="T377" i="4"/>
  <c r="S377" i="4"/>
  <c r="T391" i="4"/>
  <c r="S391" i="4"/>
  <c r="T412" i="4"/>
  <c r="S412" i="4"/>
  <c r="T9" i="4"/>
  <c r="S9" i="4"/>
  <c r="T3" i="4"/>
  <c r="S3" i="4"/>
  <c r="T21" i="4"/>
  <c r="S21" i="4"/>
  <c r="T28" i="4"/>
  <c r="S28" i="4"/>
  <c r="T35" i="4"/>
  <c r="S35" i="4"/>
  <c r="T42" i="4"/>
  <c r="S42" i="4"/>
  <c r="T49" i="4"/>
  <c r="S49" i="4"/>
  <c r="T56" i="4"/>
  <c r="S56" i="4"/>
  <c r="T63" i="4"/>
  <c r="S63" i="4"/>
  <c r="T70" i="4"/>
  <c r="S70" i="4"/>
  <c r="T77" i="4"/>
  <c r="S77" i="4"/>
  <c r="T84" i="4"/>
  <c r="S84" i="4"/>
  <c r="T91" i="4"/>
  <c r="S91" i="4"/>
  <c r="T98" i="4"/>
  <c r="S98" i="4"/>
  <c r="T105" i="4"/>
  <c r="S105" i="4"/>
  <c r="T112" i="4"/>
  <c r="S112" i="4"/>
  <c r="T119" i="4"/>
  <c r="S119" i="4"/>
  <c r="T126" i="4"/>
  <c r="S126" i="4"/>
  <c r="T133" i="4"/>
  <c r="S133" i="4"/>
  <c r="T140" i="4"/>
  <c r="S140" i="4"/>
  <c r="T147" i="4"/>
  <c r="S147" i="4"/>
  <c r="T154" i="4"/>
  <c r="S154" i="4"/>
  <c r="T161" i="4"/>
  <c r="S161" i="4"/>
  <c r="T168" i="4"/>
  <c r="S168" i="4"/>
  <c r="T175" i="4"/>
  <c r="S175" i="4"/>
  <c r="T182" i="4"/>
  <c r="S182" i="4"/>
  <c r="T189" i="4"/>
  <c r="S189" i="4"/>
  <c r="T196" i="4"/>
  <c r="S196" i="4"/>
  <c r="T203" i="4"/>
  <c r="S203" i="4"/>
  <c r="T210" i="4"/>
  <c r="S210" i="4"/>
  <c r="T217" i="4"/>
  <c r="S217" i="4"/>
  <c r="T224" i="4"/>
  <c r="S224" i="4"/>
  <c r="T231" i="4"/>
  <c r="S231" i="4"/>
  <c r="T238" i="4"/>
  <c r="S238" i="4"/>
  <c r="T245" i="4"/>
  <c r="S245" i="4"/>
  <c r="T252" i="4"/>
  <c r="S252" i="4"/>
  <c r="T259" i="4"/>
  <c r="S259" i="4"/>
  <c r="T266" i="4"/>
  <c r="S266" i="4"/>
  <c r="T273" i="4"/>
  <c r="S273" i="4"/>
  <c r="T280" i="4"/>
  <c r="S280" i="4"/>
  <c r="T287" i="4"/>
  <c r="S287" i="4"/>
  <c r="T294" i="4"/>
  <c r="S294" i="4"/>
  <c r="T301" i="4"/>
  <c r="S301" i="4"/>
  <c r="T308" i="4"/>
  <c r="S308" i="4"/>
  <c r="T315" i="4"/>
  <c r="S315" i="4"/>
  <c r="T322" i="4"/>
  <c r="S322" i="4"/>
  <c r="T329" i="4"/>
  <c r="S329" i="4"/>
  <c r="T336" i="4"/>
  <c r="S336" i="4"/>
  <c r="T343" i="4"/>
  <c r="S343" i="4"/>
  <c r="T350" i="4"/>
  <c r="S350" i="4"/>
  <c r="T357" i="4"/>
  <c r="S357" i="4"/>
  <c r="T364" i="4"/>
  <c r="S364" i="4"/>
  <c r="T371" i="4"/>
  <c r="S371" i="4"/>
  <c r="T378" i="4"/>
  <c r="S378" i="4"/>
  <c r="T385" i="4"/>
  <c r="S385" i="4"/>
  <c r="T392" i="4"/>
  <c r="S392" i="4"/>
  <c r="T399" i="4"/>
  <c r="S399" i="4"/>
  <c r="T406" i="4"/>
  <c r="S406" i="4"/>
  <c r="T413" i="4"/>
  <c r="S413" i="4"/>
  <c r="T420" i="4"/>
  <c r="S420" i="4"/>
  <c r="T427" i="4"/>
  <c r="S427" i="4"/>
  <c r="T434" i="4"/>
  <c r="S434" i="4"/>
  <c r="T441" i="4"/>
  <c r="S441" i="4"/>
  <c r="T448" i="4"/>
  <c r="S448" i="4"/>
  <c r="T455" i="4"/>
  <c r="S455" i="4"/>
  <c r="T462" i="4"/>
  <c r="S462" i="4"/>
  <c r="T469" i="4"/>
  <c r="S469" i="4"/>
  <c r="T476" i="4"/>
  <c r="S476" i="4"/>
  <c r="T483" i="4"/>
  <c r="S483" i="4"/>
  <c r="T490" i="4"/>
  <c r="S490" i="4"/>
  <c r="T497" i="4"/>
  <c r="S497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Q17" i="4"/>
  <c r="R17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<sst xmlns="http://schemas.openxmlformats.org/spreadsheetml/2006/main" count="2239" uniqueCount="266">
  <si>
    <t>Domain</t>
  </si>
  <si>
    <t>Report Name</t>
  </si>
  <si>
    <t>Current Status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</si>
  <si>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</si>
  <si>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</si>
  <si>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</si>
  <si>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</si>
  <si>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</si>
  <si>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</si>
  <si>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</si>
  <si>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</si>
  <si>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</si>
  <si>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</si>
  <si>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</si>
  <si>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</si>
  <si>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</si>
  <si>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</si>
  <si>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</si>
  <si>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</si>
  <si>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</si>
  <si>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</si>
  <si>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</si>
  <si>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</si>
  <si>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</si>
  <si>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</si>
  <si>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</si>
  <si>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</si>
  <si>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</si>
  <si>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</si>
  <si>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</si>
  <si>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</si>
  <si>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</si>
  <si>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</si>
  <si>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</si>
  <si>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</si>
  <si>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</si>
  <si>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</si>
  <si>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April</t>
  </si>
  <si>
    <t>Fetwi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</si>
  <si>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</si>
  <si>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</si>
  <si>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</si>
  <si>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</si>
  <si>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</si>
  <si>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</si>
  <si>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</si>
  <si>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</si>
  <si>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</si>
  <si>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</si>
  <si>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</si>
  <si>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</si>
  <si>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</si>
  <si>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</si>
  <si>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</si>
  <si>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</si>
  <si>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</si>
  <si>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</si>
  <si>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</si>
  <si>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</si>
  <si>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</si>
  <si>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</si>
  <si>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</si>
  <si>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</si>
  <si>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</si>
  <si>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</si>
  <si>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</si>
  <si>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</si>
  <si>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</si>
  <si>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</si>
  <si>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</si>
  <si>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</si>
  <si>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</si>
  <si>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</si>
  <si>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</si>
  <si>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</si>
  <si>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</si>
  <si>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</si>
  <si>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</si>
  <si>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</si>
  <si>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</si>
  <si>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</si>
  <si>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</si>
  <si>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</si>
  <si>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</si>
  <si>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</si>
  <si>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</si>
  <si>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</si>
  <si>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</si>
  <si>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</si>
  <si>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</si>
  <si>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</si>
  <si>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</si>
  <si>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</si>
  <si>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</si>
  <si>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</si>
  <si>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</si>
  <si>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</si>
  <si>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</si>
  <si>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</si>
  <si>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</si>
  <si>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</si>
  <si>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</si>
  <si>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</si>
  <si>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</si>
  <si>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</si>
  <si>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</si>
  <si>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</si>
  <si>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</si>
  <si>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</si>
  <si>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</si>
  <si>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</si>
  <si>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</si>
  <si>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</si>
  <si>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</si>
  <si>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</si>
  <si>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</si>
  <si>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</si>
  <si>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</si>
  <si>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Blocked with  https://jira.prod.nationalgrid.com/browse/GDMP-2875</t>
  </si>
  <si>
    <t>RPT_02_Warning Tag HEFPA</t>
  </si>
  <si>
    <t>QA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</si>
  <si>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</si>
  <si>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</si>
  <si>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</si>
  <si>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</si>
  <si>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PBI Dev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</si>
  <si>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</si>
  <si>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</si>
  <si>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</si>
  <si>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</si>
  <si>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</si>
  <si>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</si>
  <si>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</si>
  <si>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Available for PBI</t>
  </si>
  <si>
    <t>RPT_02_Service Regulator Inspection Printout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</si>
  <si>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</si>
  <si>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</si>
  <si>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</si>
  <si>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</si>
  <si>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</si>
  <si>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RPT_02_Fixed Factor Printout</t>
  </si>
  <si>
    <t>[QA note, 08/13/2026]: Ready for review</t>
  </si>
  <si>
    <t>RPT_02_Work Order Completion Printout</t>
  </si>
  <si>
    <t>Blocked on requirements- Need Business confirmation</t>
  </si>
  <si>
    <t>Unblocked and Dev completed after requirements confirmation from Kushal</t>
  </si>
  <si>
    <t>RPT_02_GRO Control</t>
  </si>
  <si>
    <t>QA note ; 8/18/2026 : Blocked with https://jira.prod.nationalgrid.com/browse/GDMP-2929</t>
  </si>
  <si>
    <t>RPT_02_GRO Monitor</t>
  </si>
  <si>
    <t>PI2 - S3</t>
  </si>
  <si>
    <t>RPT_02_Public Buildings Inspection</t>
  </si>
  <si>
    <t>16,17,24, 28</t>
  </si>
  <si>
    <t>August</t>
  </si>
  <si>
    <t>PI2, S2, S4</t>
  </si>
  <si>
    <t>RPT_02_Investigate Wall Check and Service Check</t>
  </si>
  <si>
    <t>DB Dev</t>
  </si>
  <si>
    <t>RPT_02_Cut Out Orders</t>
  </si>
  <si>
    <t>RPT_02_Gas Trouble</t>
  </si>
  <si>
    <t>PI2, S2, S3</t>
  </si>
  <si>
    <t>RPT_02_Wall Check Control</t>
  </si>
  <si>
    <t>PI2, S3, S4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</si>
  <si>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</si>
  <si>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</si>
  <si>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</si>
  <si>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</si>
  <si>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</si>
  <si>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</si>
  <si>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</si>
  <si>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</si>
  <si>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NOT STARTED</t>
  </si>
  <si>
    <t>September</t>
  </si>
  <si>
    <t>PI2, S5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</si>
  <si>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</si>
  <si>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</si>
  <si>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</si>
  <si>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</si>
  <si>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</si>
  <si>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</si>
  <si>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</si>
  <si>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</si>
  <si>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</si>
  <si>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</si>
  <si>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</si>
  <si>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</si>
  <si>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</si>
  <si>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</si>
  <si>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</si>
  <si>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</si>
  <si>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</si>
  <si>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</si>
  <si>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</si>
  <si>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</si>
  <si>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</si>
  <si>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</si>
  <si>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</si>
  <si>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</si>
  <si>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</si>
  <si>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</si>
  <si>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</si>
  <si>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</si>
  <si>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</si>
  <si>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</si>
  <si>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</si>
  <si>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</si>
  <si>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</si>
  <si>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</si>
  <si>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</si>
  <si>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</si>
  <si>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</si>
  <si>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</si>
  <si>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</si>
  <si>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</si>
  <si>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</si>
  <si>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</si>
  <si>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</si>
  <si>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</si>
  <si>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</si>
  <si>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</si>
  <si>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</si>
  <si>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</si>
  <si>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</si>
  <si>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yes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</si>
  <si>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</si>
  <si>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</si>
  <si>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</si>
  <si>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</si>
  <si>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2 columns missing. 1 record mismatch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</si>
  <si>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</si>
  <si>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</si>
  <si>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</si>
  <si>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</si>
  <si>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</si>
  <si>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</si>
  <si>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</si>
  <si>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</si>
  <si>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</si>
  <si>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</si>
  <si>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</si>
  <si>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</si>
  <si>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</si>
  <si>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</si>
  <si>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</si>
  <si>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</si>
  <si>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</si>
  <si>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</si>
  <si>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</si>
  <si>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</si>
  <si>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</si>
  <si>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</si>
  <si>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</si>
  <si>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</si>
  <si>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</si>
  <si>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</si>
  <si>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</si>
  <si>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</si>
  <si>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</si>
  <si>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</si>
  <si>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</si>
  <si>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</si>
  <si>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</si>
  <si>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Yes – needs DB Dev to fix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</si>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</sst>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7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0" fontId="15" fillId="0" borderId="0" xfId="0" applyFont="1"/>
    <xf numFmtId="0" fontId="0" fillId="0" borderId="0" xfId="0"/>
    <xf numFmtId="14" fontId="15" fillId="0" borderId="1" xfId="0" applyNumberFormat="1" applyFont="1" applyBorder="1" applyAlignment="1">
      <alignment vertical="center" wrapText="1"/>
    </xf>
    <xf numFmtId="0" fontId="0" fillId="0" borderId="2" xfId="0" applyBorder="1"/>
    <xf numFmtId="0" fontId="0" fillId="0" borderId="3" xfId="0" applyBorder="1"/>
    <xf numFmtId="0" fontId="15" fillId="0" borderId="1" xfId="0" applyFont="1" applyBorder="1" applyAlignment="1">
      <alignment vertical="center" wrapText="1"/>
    </xf>
    <xf numFmtId="0" fontId="10" fillId="15" borderId="0" xfId="0" applyFont="1" applyFill="1"/>
    <xf numFmtId="0" fontId="13" fillId="0" borderId="0" xfId="0" applyFont="1" applyAlignment="1">
      <alignment vertical="center" wrapText="1"/>
    </xf>
    <xf numFmtId="0" fontId="14" fillId="0" borderId="0" xfId="0" applyFont="1"/>
    <xf numFmtId="0" fontId="1" fillId="3" borderId="0" xfId="0" applyFont="1" applyFill="1"/>
    <xf numFmtId="0" fontId="3" fillId="3" borderId="0" xfId="0" applyFont="1" applyFill="1"/>
  </cellXfs>
  <cellStyles count="2">
    <cellStyle name="Hyperlink" xfId="1" builtinId="8"/>
    <cellStyle name="Normal" xfId="0" builtinId="0"/>
  </cellStyles>
  <dxfs count="96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95">
  <autoFilter ref="A1:AH73" xr:uid="{00000000-0009-0000-0100-000001000000}">
    <filterColumn colId="0">
      <filters>
        <filter val="CMS"/>
      </filters>
    </filterColumn>
    <filterColumn colId="8">
      <filters>
        <filter val="August"/>
        <filter val="July"/>
      </filters>
    </filterColumn>
  </autoFilter>
  <tableColumns count="34">
    <tableColumn id="1" xr3:uid="{00000000-0010-0000-0000-000001000000}" name="Domain" dataDxfId="94"/>
    <tableColumn id="2" xr3:uid="{00000000-0010-0000-0000-000002000000}" name="Report Name" dataDxfId="93"/>
    <tableColumn id="3" xr3:uid="{00000000-0010-0000-0000-000003000000}" name="Current Status" dataDxfId="92"/>
    <tableColumn id="4" xr3:uid="{00000000-0010-0000-0000-000004000000}" name="Status Flag" dataDxfId="91"/>
    <tableColumn id="5" xr3:uid="{00000000-0010-0000-0000-000005000000}" name="Business Value Rank" dataDxfId="90"/>
    <tableColumn id="6" xr3:uid="{00000000-0010-0000-0000-000006000000}" name="PO" dataDxfId="89"/>
    <tableColumn id="10" xr3:uid="{00000000-0010-0000-0000-00000A000000}" name="Schema" dataDxfId="88"/>
    <tableColumn id="11" xr3:uid="{00000000-0010-0000-0000-00000B000000}" name="Plan Delivery Date" dataDxfId="87"/>
    <tableColumn id="12" xr3:uid="{00000000-0010-0000-0000-00000C000000}" name="Plan Delivery Month" dataDxfId="86"/>
    <tableColumn id="7" xr3:uid="{00000000-0010-0000-0000-000007000000}" name="DB Developer" dataDxfId="85"/>
    <tableColumn id="13" xr3:uid="{00000000-0010-0000-0000-00000D000000}" name="DB Dev Baseline Completion Date" dataDxfId="84"/>
    <tableColumn id="30" xr3:uid="{00000000-0010-0000-0000-00001E000000}" name="DB Dev Reforecast Completion Date" dataDxfId="83"/>
    <tableColumn id="14" xr3:uid="{00000000-0010-0000-0000-00000E000000}" name="DB Dev Actual Completion Date" dataDxfId="82"/>
    <tableColumn id="28" xr3:uid="{EFCDFAEE-1B00-42CE-9649-7541F5DDC136}" name="Sprint DB" dataDxfId="81"/>
    <tableColumn id="8" xr3:uid="{00000000-0010-0000-0000-000008000000}" name="PBI Developer" dataDxfId="80"/>
    <tableColumn id="15" xr3:uid="{00000000-0010-0000-0000-00000F000000}" name="PBI Dev Baseline Completion Date" dataDxfId="79"/>
    <tableColumn id="31" xr3:uid="{00000000-0010-0000-0000-00001F000000}" name="PBI Dev Reforecast Completion Date" dataDxfId="78"/>
    <tableColumn id="16" xr3:uid="{00000000-0010-0000-0000-000010000000}" name="PBI Dev Actual Completion Date" dataDxfId="77"/>
    <tableColumn id="29" xr3:uid="{4630D178-9B47-4360-A40B-22C7384DB9C9}" name="Sprint PBI" dataDxfId="76"/>
    <tableColumn id="9" xr3:uid="{00000000-0010-0000-0000-000009000000}" name="QA Tester" dataDxfId="75"/>
    <tableColumn id="17" xr3:uid="{00000000-0010-0000-0000-000011000000}" name="QA Baseline Completion Date" dataDxfId="74"/>
    <tableColumn id="32" xr3:uid="{00000000-0010-0000-0000-000020000000}" name="QA Reforecast Completion Date" dataDxfId="73"/>
    <tableColumn id="18" xr3:uid="{00000000-0010-0000-0000-000012000000}" name="QA Actual Completion Date" dataDxfId="72"/>
    <tableColumn id="34" xr3:uid="{70C5E8CB-08B0-4A84-9B68-89630FC3C5C7}" name="Sprint QA" dataDxfId="71"/>
    <tableColumn id="19" xr3:uid="{00000000-0010-0000-0000-000013000000}" name="DPO Approval Baseline Completion Date" dataDxfId="70"/>
    <tableColumn id="33" xr3:uid="{00000000-0010-0000-0000-000021000000}" name="DPO Approval Reforecast Completion Date" dataDxfId="69"/>
    <tableColumn id="20" xr3:uid="{00000000-0010-0000-0000-000014000000}" name="DPO Approval Reviewer" dataDxfId="68"/>
    <tableColumn id="21" xr3:uid="{00000000-0010-0000-0000-000015000000}" name="Confirmed Deployed?" dataDxfId="67"/>
    <tableColumn id="22" xr3:uid="{00000000-0010-0000-0000-000016000000}" name="Confirmed Deployed Date" dataDxfId="66"/>
    <tableColumn id="23" xr3:uid="{00000000-0010-0000-0000-000017000000}" name="UAT Report URL" dataDxfId="65"/>
    <tableColumn id="24" xr3:uid="{00000000-0010-0000-0000-000018000000}" name="Production URL" dataDxfId="64"/>
    <tableColumn id="25" xr3:uid="{00000000-0010-0000-0000-000019000000}" name="Blocked?" dataDxfId="63"/>
    <tableColumn id="26" xr3:uid="{00000000-0010-0000-0000-00001A000000}" name="Data Check" dataDxfId="62"/>
    <tableColumn id="27" xr3:uid="{00000000-0010-0000-0000-00001B000000}" name="Comments" dataDxfId="61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tabSelected="1" zoomScaleNormal="100" workbookViewId="0">
      <pane xSplit="2" ySplit="28" topLeftCell="F39" activePane="bottomRight" state="frozen"/>
      <selection pane="topRight" activeCell="C1" sqref="C1"/>
      <selection pane="bottomLeft" activeCell="A29" sqref="A29"/>
      <selection pane="bottomRight" activeCell="J67" sqref="J67"/>
    </sheetView>
  </sheetViews>
  <sheetFormatPr defaultRowHeight="15" customHeight="1" x14ac:dyDescent="0.3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0.88671875" style="57" customWidth="1"/>
    <col min="10" max="10" width="13" customWidth="1"/>
    <col min="11" max="11" width="17" customWidth="1"/>
    <col min="12" max="12" width="15" customWidth="1"/>
    <col min="13" max="13" width="17" customWidth="1"/>
    <col min="14" max="14" width="15" customWidth="1"/>
    <col min="15" max="15" width="13" style="68" customWidth="1"/>
    <col min="16" max="16" width="17" customWidth="1"/>
    <col min="17" max="17" width="15" customWidth="1"/>
    <col min="18" max="18" width="19" customWidth="1"/>
    <col min="19" max="19" width="16" style="73" customWidth="1"/>
    <col min="20" max="20" width="11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  <col min="33" max="33" width="36.33203125" customWidth="1"/>
  </cols>
  <sheetData>
    <row r="1" spans="1:34" ht="32.1" customHeight="1" x14ac:dyDescent="0.3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63" t="s">
        <v>14</v>
      </c>
      <c r="P1" s="16" t="s">
        <v>15</v>
      </c>
      <c r="Q1" s="16" t="s">
        <v>16</v>
      </c>
      <c r="R1" s="16" t="s">
        <v>17</v>
      </c>
      <c r="S1" s="69" t="s">
        <v>18</v>
      </c>
      <c r="T1" s="58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52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" hidden="1" x14ac:dyDescent="0.3">
      <c r="A2" s="33" t="s">
        <v>34</v>
      </c>
      <c r="B2" s="33" t="s">
        <v>35</v>
      </c>
      <c r="C2" s="33" t="s">
        <v>36</v>
      </c>
      <c r="D2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Dev",IF(K2="","No target set",IF(AND(K2&lt;TODAY(),M2=""),"Overdue","On track")),IF(C2="PBI Dev",IF(P2="","No target set",IF(AND(P2&lt;TODAY(),R2=""),"Overdue","On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37</v>
      </c>
      <c r="J2" s="33" t="s">
        <v>38</v>
      </c>
      <c r="K2" s="4">
        <v>46122</v>
      </c>
      <c r="L2" s="36"/>
      <c r="M2" s="36">
        <v>46115</v>
      </c>
      <c r="N2" s="36"/>
      <c r="O2" s="64" t="s">
        <v>39</v>
      </c>
      <c r="P2" s="4">
        <v>46129</v>
      </c>
      <c r="Q2" s="36"/>
      <c r="R2" s="36">
        <v>46114</v>
      </c>
      <c r="S2" s="70"/>
      <c r="T2" s="33" t="s">
        <v>40</v>
      </c>
      <c r="U2" s="60">
        <v>46136</v>
      </c>
      <c r="V2" s="36"/>
      <c r="W2" s="36">
        <v>46122</v>
      </c>
      <c r="X2" s="36"/>
      <c r="Y2" s="53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74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fix",R2&lt;&gt;"",SUMPRODUCT(MAX((('Rework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Log'!$A$3:$A$500,$B2)&gt;0,"",IF(AND(U2&lt;&gt;"",K2&lt;&gt;"",U2&lt;K2),"QA target is before DB Dev target",IF(AND(U2&lt;&gt;"",P2&lt;&gt;"",U2&lt;P2),"QA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" hidden="1" x14ac:dyDescent="0.3">
      <c r="A3" s="33" t="s">
        <v>34</v>
      </c>
      <c r="B3" s="33" t="s">
        <v>47</v>
      </c>
      <c r="C3" s="33" t="s">
        <v>36</v>
      </c>
      <c r="D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Dev",IF(K3="","No target set",IF(AND(K3&lt;TODAY(),M3=""),"Overdue","On track")),IF(C3="PBI Dev",IF(P3="","No target set",IF(AND(P3&lt;TODAY(),R3=""),"Overdue","On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37</v>
      </c>
      <c r="J3" s="33" t="s">
        <v>38</v>
      </c>
      <c r="K3" s="4">
        <v>46122</v>
      </c>
      <c r="L3" s="36"/>
      <c r="M3" s="36">
        <v>46115</v>
      </c>
      <c r="N3" s="36"/>
      <c r="O3" s="64" t="s">
        <v>39</v>
      </c>
      <c r="P3" s="4">
        <v>46129</v>
      </c>
      <c r="Q3" s="36"/>
      <c r="R3" s="36">
        <v>46114</v>
      </c>
      <c r="S3" s="70"/>
      <c r="T3" s="33" t="s">
        <v>40</v>
      </c>
      <c r="U3" s="60">
        <v>46136</v>
      </c>
      <c r="V3" s="36"/>
      <c r="W3" s="36">
        <v>46122</v>
      </c>
      <c r="X3" s="36"/>
      <c r="Y3" s="53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74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fix",R3&lt;&gt;"",SUMPRODUCT(MAX((('Rework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Log'!$A$3:$A$500,$B3)&gt;0,"",IF(AND(U3&lt;&gt;"",K3&lt;&gt;"",U3&lt;K3),"QA target is before DB Dev target",IF(AND(U3&lt;&gt;"",P3&lt;&gt;"",U3&lt;P3),"QA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" hidden="1" x14ac:dyDescent="0.3">
      <c r="A4" s="33" t="s">
        <v>34</v>
      </c>
      <c r="B4" s="33" t="s">
        <v>50</v>
      </c>
      <c r="C4" s="33" t="s">
        <v>36</v>
      </c>
      <c r="D4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Dev",IF(K4="","No target set",IF(AND(K4&lt;TODAY(),M4=""),"Overdue","On track")),IF(C4="PBI Dev",IF(P4="","No target set",IF(AND(P4&lt;TODAY(),R4=""),"Overdue","On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37</v>
      </c>
      <c r="J4" s="33" t="s">
        <v>51</v>
      </c>
      <c r="K4" s="4">
        <v>46122</v>
      </c>
      <c r="L4" s="36"/>
      <c r="M4" s="36">
        <v>46115</v>
      </c>
      <c r="N4" s="36"/>
      <c r="O4" s="64" t="s">
        <v>52</v>
      </c>
      <c r="P4" s="4">
        <v>46129</v>
      </c>
      <c r="Q4" s="36"/>
      <c r="R4" s="36">
        <v>46126</v>
      </c>
      <c r="S4" s="70"/>
      <c r="T4" s="33" t="s">
        <v>40</v>
      </c>
      <c r="U4" s="60">
        <v>46136</v>
      </c>
      <c r="V4" s="36"/>
      <c r="W4" s="36">
        <v>46122</v>
      </c>
      <c r="X4" s="36"/>
      <c r="Y4" s="53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74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fix",R4&lt;&gt;"",SUMPRODUCT(MAX((('Rework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Log'!$A$3:$A$500,$B4)&gt;0,"",IF(AND(U4&lt;&gt;"",K4&lt;&gt;"",U4&lt;K4),"QA target is before DB Dev target",IF(AND(U4&lt;&gt;"",P4&lt;&gt;"",U4&lt;P4),"QA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" hidden="1" x14ac:dyDescent="0.3">
      <c r="A5" s="33" t="s">
        <v>34</v>
      </c>
      <c r="B5" s="33" t="s">
        <v>56</v>
      </c>
      <c r="C5" s="33" t="s">
        <v>36</v>
      </c>
      <c r="D5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Dev",IF(K5="","No target set",IF(AND(K5&lt;TODAY(),M5=""),"Overdue","On track")),IF(C5="PBI Dev",IF(P5="","No target set",IF(AND(P5&lt;TODAY(),R5=""),"Overdue","On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37</v>
      </c>
      <c r="J5" s="33" t="s">
        <v>57</v>
      </c>
      <c r="K5" s="4">
        <v>46122</v>
      </c>
      <c r="L5" s="36"/>
      <c r="M5" s="36">
        <v>46115</v>
      </c>
      <c r="N5" s="36"/>
      <c r="O5" s="64" t="s">
        <v>39</v>
      </c>
      <c r="P5" s="4">
        <v>46129</v>
      </c>
      <c r="Q5" s="36"/>
      <c r="R5" s="36">
        <v>46120</v>
      </c>
      <c r="S5" s="70"/>
      <c r="T5" s="33" t="s">
        <v>40</v>
      </c>
      <c r="U5" s="60">
        <v>46136</v>
      </c>
      <c r="V5" s="36"/>
      <c r="W5" s="36">
        <v>46122</v>
      </c>
      <c r="X5" s="36"/>
      <c r="Y5" s="53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74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fix",R5&lt;&gt;"",SUMPRODUCT(MAX((('Rework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Log'!$A$3:$A$500,$B5)&gt;0,"",IF(AND(U5&lt;&gt;"",K5&lt;&gt;"",U5&lt;K5),"QA target is before DB Dev target",IF(AND(U5&lt;&gt;"",P5&lt;&gt;"",U5&lt;P5),"QA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" hidden="1" x14ac:dyDescent="0.3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50">
        <v>46142</v>
      </c>
      <c r="I6" s="56" t="s">
        <v>37</v>
      </c>
      <c r="J6" s="33"/>
      <c r="K6" s="4"/>
      <c r="L6" s="47"/>
      <c r="M6" s="36"/>
      <c r="N6" s="36"/>
      <c r="O6" s="64"/>
      <c r="P6" s="4"/>
      <c r="Q6" s="43"/>
      <c r="R6" s="36"/>
      <c r="S6" s="70"/>
      <c r="T6" s="33"/>
      <c r="U6" s="60"/>
      <c r="V6" s="43"/>
      <c r="W6" s="36"/>
      <c r="X6" s="36"/>
      <c r="Y6" s="53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" hidden="1" x14ac:dyDescent="0.3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50">
        <v>46142</v>
      </c>
      <c r="I7" s="56" t="s">
        <v>37</v>
      </c>
      <c r="J7" s="33"/>
      <c r="K7" s="4"/>
      <c r="L7" s="47"/>
      <c r="M7" s="36"/>
      <c r="N7" s="36"/>
      <c r="O7" s="64"/>
      <c r="P7" s="4"/>
      <c r="Q7" s="43"/>
      <c r="R7" s="36"/>
      <c r="S7" s="70"/>
      <c r="T7" s="33"/>
      <c r="U7" s="60"/>
      <c r="V7" s="43"/>
      <c r="W7" s="36"/>
      <c r="X7" s="36"/>
      <c r="Y7" s="53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" hidden="1" x14ac:dyDescent="0.3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50">
        <v>46142</v>
      </c>
      <c r="I8" s="56" t="s">
        <v>37</v>
      </c>
      <c r="J8" s="33"/>
      <c r="K8" s="4"/>
      <c r="L8" s="47"/>
      <c r="M8" s="36"/>
      <c r="N8" s="36"/>
      <c r="O8" s="64"/>
      <c r="P8" s="4"/>
      <c r="Q8" s="43"/>
      <c r="R8" s="36"/>
      <c r="S8" s="70"/>
      <c r="T8" s="33"/>
      <c r="U8" s="60"/>
      <c r="V8" s="43"/>
      <c r="W8" s="36"/>
      <c r="X8" s="36"/>
      <c r="Y8" s="53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" hidden="1" x14ac:dyDescent="0.3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50">
        <v>46142</v>
      </c>
      <c r="I9" s="56" t="s">
        <v>37</v>
      </c>
      <c r="J9" s="33"/>
      <c r="K9" s="4"/>
      <c r="L9" s="47"/>
      <c r="M9" s="36"/>
      <c r="N9" s="36"/>
      <c r="O9" s="64"/>
      <c r="P9" s="4"/>
      <c r="Q9" s="43"/>
      <c r="R9" s="36"/>
      <c r="S9" s="70"/>
      <c r="T9" s="33"/>
      <c r="U9" s="60"/>
      <c r="V9" s="43"/>
      <c r="W9" s="36"/>
      <c r="X9" s="36"/>
      <c r="Y9" s="53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" hidden="1" x14ac:dyDescent="0.3">
      <c r="A10" s="33" t="s">
        <v>34</v>
      </c>
      <c r="B10" s="33" t="s">
        <v>66</v>
      </c>
      <c r="C10" s="33" t="s">
        <v>36</v>
      </c>
      <c r="D10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Dev",IF(K10="","No target set",IF(AND(K10&lt;TODAY(),M10=""),"Overdue","On track")),IF(C10="PBI Dev",IF(P10="","No target set",IF(AND(P10&lt;TODAY(),R10=""),"Overdue","On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67</v>
      </c>
      <c r="J10" s="33" t="s">
        <v>68</v>
      </c>
      <c r="K10" s="4">
        <v>46150</v>
      </c>
      <c r="L10" s="36"/>
      <c r="M10" s="36">
        <v>46157</v>
      </c>
      <c r="N10" s="36"/>
      <c r="O10" s="64" t="s">
        <v>69</v>
      </c>
      <c r="P10" s="4">
        <v>46157</v>
      </c>
      <c r="Q10" s="36"/>
      <c r="R10" s="36">
        <v>46134</v>
      </c>
      <c r="S10" s="70"/>
      <c r="T10" s="33" t="s">
        <v>40</v>
      </c>
      <c r="U10" s="60">
        <v>46164</v>
      </c>
      <c r="V10" s="36"/>
      <c r="W10" s="36">
        <v>46134</v>
      </c>
      <c r="X10" s="36"/>
      <c r="Y10" s="53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74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fix",R10&lt;&gt;"",SUMPRODUCT(MAX((('Rework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Log'!$A$3:$A$500,$B10)&gt;0,"",IF(AND(U10&lt;&gt;"",K10&lt;&gt;"",U10&lt;K10),"QA target is before DB Dev target",IF(AND(U10&lt;&gt;"",P10&lt;&gt;"",U10&lt;P10),"QA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" hidden="1" x14ac:dyDescent="0.3">
      <c r="A11" s="33" t="s">
        <v>34</v>
      </c>
      <c r="B11" s="33" t="s">
        <v>72</v>
      </c>
      <c r="C11" s="33" t="s">
        <v>36</v>
      </c>
      <c r="D11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Dev",IF(K11="","No target set",IF(AND(K11&lt;TODAY(),M11=""),"Overdue","On track")),IF(C11="PBI Dev",IF(P11="","No target set",IF(AND(P11&lt;TODAY(),R11=""),"Overdue","On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67</v>
      </c>
      <c r="J11" s="33" t="s">
        <v>51</v>
      </c>
      <c r="K11" s="4">
        <v>46150</v>
      </c>
      <c r="L11" s="36"/>
      <c r="M11" s="36">
        <v>46157</v>
      </c>
      <c r="N11" s="36"/>
      <c r="O11" s="65" t="s">
        <v>69</v>
      </c>
      <c r="P11" s="4">
        <v>46157</v>
      </c>
      <c r="Q11" s="36"/>
      <c r="R11" s="36">
        <v>46139</v>
      </c>
      <c r="S11" s="70"/>
      <c r="T11" s="33" t="s">
        <v>40</v>
      </c>
      <c r="U11" s="60">
        <v>46164</v>
      </c>
      <c r="V11" s="36"/>
      <c r="W11" s="36">
        <v>46139</v>
      </c>
      <c r="X11" s="36"/>
      <c r="Y11" s="53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74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fix",R11&lt;&gt;"",SUMPRODUCT(MAX((('Rework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Log'!$A$3:$A$500,$B11)&gt;0,"",IF(AND(U11&lt;&gt;"",K11&lt;&gt;"",U11&lt;K11),"QA target is before DB Dev target",IF(AND(U11&lt;&gt;"",P11&lt;&gt;"",U11&lt;P11),"QA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" hidden="1" x14ac:dyDescent="0.3">
      <c r="A12" s="33" t="s">
        <v>34</v>
      </c>
      <c r="B12" s="33" t="s">
        <v>75</v>
      </c>
      <c r="C12" s="33" t="s">
        <v>36</v>
      </c>
      <c r="D12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Dev",IF(K12="","No target set",IF(AND(K12&lt;TODAY(),M12=""),"Overdue","On track")),IF(C12="PBI Dev",IF(P12="","No target set",IF(AND(P12&lt;TODAY(),R12=""),"Overdue","On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67</v>
      </c>
      <c r="J12" s="33" t="s">
        <v>76</v>
      </c>
      <c r="K12" s="4">
        <v>46150</v>
      </c>
      <c r="L12" s="36"/>
      <c r="M12" s="36">
        <v>46157</v>
      </c>
      <c r="N12" s="36"/>
      <c r="O12" s="64" t="s">
        <v>52</v>
      </c>
      <c r="P12" s="4">
        <v>46157</v>
      </c>
      <c r="Q12" s="36"/>
      <c r="R12" s="36">
        <v>46147</v>
      </c>
      <c r="S12" s="70"/>
      <c r="T12" s="33" t="s">
        <v>40</v>
      </c>
      <c r="U12" s="60">
        <v>46164</v>
      </c>
      <c r="V12" s="36"/>
      <c r="W12" s="36">
        <v>46147</v>
      </c>
      <c r="X12" s="36"/>
      <c r="Y12" s="53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74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fix",R12&lt;&gt;"",SUMPRODUCT(MAX((('Rework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Log'!$A$3:$A$500,$B12)&gt;0,"",IF(AND(U12&lt;&gt;"",K12&lt;&gt;"",U12&lt;K12),"QA target is before DB Dev target",IF(AND(U12&lt;&gt;"",P12&lt;&gt;"",U12&lt;P12),"QA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" hidden="1" x14ac:dyDescent="0.3">
      <c r="A13" s="33" t="s">
        <v>34</v>
      </c>
      <c r="B13" s="33" t="s">
        <v>79</v>
      </c>
      <c r="C13" s="33" t="s">
        <v>36</v>
      </c>
      <c r="D1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Dev",IF(K13="","No target set",IF(AND(K13&lt;TODAY(),M13=""),"Overdue","On track")),IF(C13="PBI Dev",IF(P13="","No target set",IF(AND(P13&lt;TODAY(),R13=""),"Overdue","On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67</v>
      </c>
      <c r="J13" s="33" t="s">
        <v>76</v>
      </c>
      <c r="K13" s="4">
        <v>46150</v>
      </c>
      <c r="L13" s="36"/>
      <c r="M13" s="36">
        <v>46157</v>
      </c>
      <c r="N13" s="36"/>
      <c r="O13" s="64" t="s">
        <v>39</v>
      </c>
      <c r="P13" s="4">
        <v>46157</v>
      </c>
      <c r="Q13" s="36"/>
      <c r="R13" s="36">
        <v>46175</v>
      </c>
      <c r="S13" s="70"/>
      <c r="T13" s="33" t="s">
        <v>80</v>
      </c>
      <c r="U13" s="60">
        <v>46164</v>
      </c>
      <c r="V13" s="36"/>
      <c r="W13" s="36">
        <v>46179</v>
      </c>
      <c r="X13" s="36"/>
      <c r="Y13" s="53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74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fix",R13&lt;&gt;"",SUMPRODUCT(MAX((('Rework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Log'!$A$3:$A$500,$B13)&gt;0,"",IF(AND(U13&lt;&gt;"",K13&lt;&gt;"",U13&lt;K13),"QA target is before DB Dev target",IF(AND(U13&lt;&gt;"",P13&lt;&gt;"",U13&lt;P13),"QA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" hidden="1" x14ac:dyDescent="0.3">
      <c r="A14" s="33" t="s">
        <v>34</v>
      </c>
      <c r="B14" s="33" t="s">
        <v>82</v>
      </c>
      <c r="C14" s="33" t="s">
        <v>36</v>
      </c>
      <c r="D14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Dev",IF(K14="","No target set",IF(AND(K14&lt;TODAY(),M14=""),"Overdue","On track")),IF(C14="PBI Dev",IF(P14="","No target set",IF(AND(P14&lt;TODAY(),R14=""),"Overdue","On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67</v>
      </c>
      <c r="J14" s="33" t="s">
        <v>38</v>
      </c>
      <c r="K14" s="4">
        <v>46150</v>
      </c>
      <c r="L14" s="36"/>
      <c r="M14" s="36">
        <v>46157</v>
      </c>
      <c r="N14" s="36"/>
      <c r="O14" s="64" t="s">
        <v>52</v>
      </c>
      <c r="P14" s="4">
        <v>46157</v>
      </c>
      <c r="Q14" s="36"/>
      <c r="R14" s="36">
        <v>46143</v>
      </c>
      <c r="S14" s="70"/>
      <c r="T14" s="33" t="s">
        <v>80</v>
      </c>
      <c r="U14" s="60">
        <v>46164</v>
      </c>
      <c r="V14" s="36"/>
      <c r="W14" s="36">
        <v>46175</v>
      </c>
      <c r="X14" s="36"/>
      <c r="Y14" s="53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74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fix",R14&lt;&gt;"",SUMPRODUCT(MAX((('Rework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Log'!$A$3:$A$500,$B14)&gt;0,"",IF(AND(U14&lt;&gt;"",K14&lt;&gt;"",U14&lt;K14),"QA target is before DB Dev target",IF(AND(U14&lt;&gt;"",P14&lt;&gt;"",U14&lt;P14),"QA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" hidden="1" x14ac:dyDescent="0.3">
      <c r="A15" s="33" t="s">
        <v>34</v>
      </c>
      <c r="B15" s="33" t="s">
        <v>85</v>
      </c>
      <c r="C15" s="33" t="s">
        <v>36</v>
      </c>
      <c r="D15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Dev",IF(K15="","No target set",IF(AND(K15&lt;TODAY(),M15=""),"Overdue","On track")),IF(C15="PBI Dev",IF(P15="","No target set",IF(AND(P15&lt;TODAY(),R15=""),"Overdue","On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67</v>
      </c>
      <c r="J15" s="33" t="s">
        <v>38</v>
      </c>
      <c r="K15" s="4">
        <v>46150</v>
      </c>
      <c r="L15" s="36"/>
      <c r="M15" s="36">
        <v>46157</v>
      </c>
      <c r="N15" s="36"/>
      <c r="O15" s="64" t="s">
        <v>69</v>
      </c>
      <c r="P15" s="4">
        <v>46157</v>
      </c>
      <c r="Q15" s="36"/>
      <c r="R15" s="36">
        <v>46178</v>
      </c>
      <c r="S15" s="70"/>
      <c r="T15" s="33" t="s">
        <v>40</v>
      </c>
      <c r="U15" s="60">
        <v>46164</v>
      </c>
      <c r="V15" s="36"/>
      <c r="W15" s="36">
        <v>46175</v>
      </c>
      <c r="X15" s="36"/>
      <c r="Y15" s="53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74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fix",R15&lt;&gt;"",SUMPRODUCT(MAX((('Rework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Log'!$A$3:$A$500,$B15)&gt;0,"",IF(AND(U15&lt;&gt;"",K15&lt;&gt;"",U15&lt;K15),"QA target is before DB Dev target",IF(AND(U15&lt;&gt;"",P15&lt;&gt;"",U15&lt;P15),"QA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" hidden="1" x14ac:dyDescent="0.3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50">
        <v>46173</v>
      </c>
      <c r="I16" s="56" t="s">
        <v>67</v>
      </c>
      <c r="J16" s="33"/>
      <c r="K16" s="4"/>
      <c r="L16" s="43"/>
      <c r="M16" s="36"/>
      <c r="N16" s="36"/>
      <c r="O16" s="64"/>
      <c r="P16" s="4"/>
      <c r="Q16" s="43"/>
      <c r="R16" s="36"/>
      <c r="S16" s="70"/>
      <c r="T16" s="33"/>
      <c r="U16" s="60"/>
      <c r="V16" s="43"/>
      <c r="W16" s="36"/>
      <c r="X16" s="36"/>
      <c r="Y16" s="53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" hidden="1" x14ac:dyDescent="0.3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50">
        <v>46173</v>
      </c>
      <c r="I17" s="56" t="s">
        <v>67</v>
      </c>
      <c r="J17" s="33"/>
      <c r="K17" s="4"/>
      <c r="L17" s="43"/>
      <c r="M17" s="36"/>
      <c r="N17" s="36"/>
      <c r="O17" s="64"/>
      <c r="P17" s="4"/>
      <c r="Q17" s="43"/>
      <c r="R17" s="36"/>
      <c r="S17" s="70"/>
      <c r="T17" s="33"/>
      <c r="U17" s="60"/>
      <c r="V17" s="43"/>
      <c r="W17" s="36"/>
      <c r="X17" s="36"/>
      <c r="Y17" s="53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" hidden="1" x14ac:dyDescent="0.3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50">
        <v>46173</v>
      </c>
      <c r="I18" s="56" t="s">
        <v>67</v>
      </c>
      <c r="J18" s="33"/>
      <c r="K18" s="4"/>
      <c r="L18" s="43"/>
      <c r="M18" s="36"/>
      <c r="N18" s="36"/>
      <c r="O18" s="64"/>
      <c r="P18" s="4"/>
      <c r="Q18" s="43"/>
      <c r="R18" s="36"/>
      <c r="S18" s="70"/>
      <c r="T18" s="33"/>
      <c r="U18" s="60"/>
      <c r="V18" s="43"/>
      <c r="W18" s="36"/>
      <c r="X18" s="36"/>
      <c r="Y18" s="53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" hidden="1" x14ac:dyDescent="0.3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50">
        <v>46173</v>
      </c>
      <c r="I19" s="56" t="s">
        <v>67</v>
      </c>
      <c r="J19" s="33"/>
      <c r="K19" s="4"/>
      <c r="L19" s="43"/>
      <c r="M19" s="36"/>
      <c r="N19" s="36"/>
      <c r="O19" s="64"/>
      <c r="P19" s="4"/>
      <c r="Q19" s="43"/>
      <c r="R19" s="36"/>
      <c r="S19" s="70"/>
      <c r="T19" s="33"/>
      <c r="U19" s="60"/>
      <c r="V19" s="43"/>
      <c r="W19" s="36"/>
      <c r="X19" s="36"/>
      <c r="Y19" s="53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" hidden="1" x14ac:dyDescent="0.3">
      <c r="A20" s="33" t="s">
        <v>34</v>
      </c>
      <c r="B20" s="33" t="s">
        <v>92</v>
      </c>
      <c r="C20" s="33" t="s">
        <v>36</v>
      </c>
      <c r="D20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Dev",IF(K20="","No target set",IF(AND(K20&lt;TODAY(),M20=""),"Overdue","On track")),IF(C20="PBI Dev",IF(P20="","No target set",IF(AND(P20&lt;TODAY(),R20=""),"Overdue","On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93</v>
      </c>
      <c r="J20" s="33" t="s">
        <v>94</v>
      </c>
      <c r="K20" s="4">
        <v>46185</v>
      </c>
      <c r="L20" s="36"/>
      <c r="M20" s="36">
        <v>46148</v>
      </c>
      <c r="N20" s="36"/>
      <c r="O20" s="64" t="s">
        <v>52</v>
      </c>
      <c r="P20" s="4">
        <v>46192</v>
      </c>
      <c r="Q20" s="36"/>
      <c r="R20" s="36">
        <v>46183</v>
      </c>
      <c r="S20" s="70"/>
      <c r="T20" s="33" t="s">
        <v>40</v>
      </c>
      <c r="U20" s="60">
        <v>46199</v>
      </c>
      <c r="V20" s="36"/>
      <c r="W20" s="36">
        <v>46195</v>
      </c>
      <c r="X20" s="36"/>
      <c r="Y20" s="53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74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fix",R20&lt;&gt;"",SUMPRODUCT(MAX((('Rework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Log'!$A$3:$A$500,$B20)&gt;0,"",IF(AND(U20&lt;&gt;"",K20&lt;&gt;"",U20&lt;K20),"QA target is before DB Dev target",IF(AND(U20&lt;&gt;"",P20&lt;&gt;"",U20&lt;P20),"QA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" hidden="1" x14ac:dyDescent="0.3">
      <c r="A21" s="33" t="s">
        <v>34</v>
      </c>
      <c r="B21" s="33" t="s">
        <v>95</v>
      </c>
      <c r="C21" s="33" t="s">
        <v>36</v>
      </c>
      <c r="D21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Dev",IF(K21="","No target set",IF(AND(K21&lt;TODAY(),M21=""),"Overdue","On track")),IF(C21="PBI Dev",IF(P21="","No target set",IF(AND(P21&lt;TODAY(),R21=""),"Overdue","On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93</v>
      </c>
      <c r="J21" s="33" t="s">
        <v>94</v>
      </c>
      <c r="K21" s="4">
        <v>46185</v>
      </c>
      <c r="L21" s="36"/>
      <c r="M21" s="36">
        <v>46162</v>
      </c>
      <c r="N21" s="36"/>
      <c r="O21" s="64" t="s">
        <v>69</v>
      </c>
      <c r="P21" s="4">
        <v>46192</v>
      </c>
      <c r="Q21" s="36"/>
      <c r="R21" s="36">
        <v>46182</v>
      </c>
      <c r="S21" s="70"/>
      <c r="T21" s="33" t="s">
        <v>40</v>
      </c>
      <c r="U21" s="60">
        <v>46199</v>
      </c>
      <c r="V21" s="36"/>
      <c r="W21" s="36">
        <v>46198</v>
      </c>
      <c r="X21" s="36"/>
      <c r="Y21" s="53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74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fix",R21&lt;&gt;"",SUMPRODUCT(MAX((('Rework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Log'!$A$3:$A$500,$B21)&gt;0,"",IF(AND(U21&lt;&gt;"",K21&lt;&gt;"",U21&lt;K21),"QA target is before DB Dev target",IF(AND(U21&lt;&gt;"",P21&lt;&gt;"",U21&lt;P21),"QA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" hidden="1" x14ac:dyDescent="0.3">
      <c r="A22" s="33" t="s">
        <v>34</v>
      </c>
      <c r="B22" s="33" t="s">
        <v>97</v>
      </c>
      <c r="C22" s="33" t="s">
        <v>36</v>
      </c>
      <c r="D22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Dev",IF(K22="","No target set",IF(AND(K22&lt;TODAY(),M22=""),"Overdue","On track")),IF(C22="PBI Dev",IF(P22="","No target set",IF(AND(P22&lt;TODAY(),R22=""),"Overdue","On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93</v>
      </c>
      <c r="J22" s="33" t="s">
        <v>38</v>
      </c>
      <c r="K22" s="4">
        <v>46185</v>
      </c>
      <c r="L22" s="36"/>
      <c r="M22" s="36">
        <v>46168</v>
      </c>
      <c r="N22" s="36"/>
      <c r="O22" s="64" t="s">
        <v>52</v>
      </c>
      <c r="P22" s="4">
        <v>46192</v>
      </c>
      <c r="Q22" s="36"/>
      <c r="R22" s="36">
        <v>46183</v>
      </c>
      <c r="S22" s="70"/>
      <c r="T22" s="33" t="s">
        <v>40</v>
      </c>
      <c r="U22" s="60">
        <v>46199</v>
      </c>
      <c r="V22" s="36"/>
      <c r="W22" s="36">
        <v>46198</v>
      </c>
      <c r="X22" s="36"/>
      <c r="Y22" s="53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74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fix",R22&lt;&gt;"",SUMPRODUCT(MAX((('Rework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Log'!$A$3:$A$500,$B22)&gt;0,"",IF(AND(U22&lt;&gt;"",K22&lt;&gt;"",U22&lt;K22),"QA target is before DB Dev target",IF(AND(U22&lt;&gt;"",P22&lt;&gt;"",U22&lt;P22),"QA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" hidden="1" x14ac:dyDescent="0.3">
      <c r="A23" s="33" t="s">
        <v>34</v>
      </c>
      <c r="B23" s="33" t="s">
        <v>98</v>
      </c>
      <c r="C23" s="33" t="s">
        <v>36</v>
      </c>
      <c r="D2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Dev",IF(K23="","No target set",IF(AND(K23&lt;TODAY(),M23=""),"Overdue","On track")),IF(C23="PBI Dev",IF(P23="","No target set",IF(AND(P23&lt;TODAY(),R23=""),"Overdue","On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93</v>
      </c>
      <c r="J23" s="33" t="s">
        <v>38</v>
      </c>
      <c r="K23" s="4">
        <v>46185</v>
      </c>
      <c r="L23" s="36"/>
      <c r="M23" s="36">
        <v>46165</v>
      </c>
      <c r="N23" s="36"/>
      <c r="O23" s="64" t="s">
        <v>52</v>
      </c>
      <c r="P23" s="4">
        <v>46192</v>
      </c>
      <c r="Q23" s="36"/>
      <c r="R23" s="36">
        <v>46153</v>
      </c>
      <c r="S23" s="70"/>
      <c r="T23" s="33" t="s">
        <v>40</v>
      </c>
      <c r="U23" s="60">
        <v>46199</v>
      </c>
      <c r="V23" s="36"/>
      <c r="W23" s="36">
        <v>46154</v>
      </c>
      <c r="X23" s="36"/>
      <c r="Y23" s="53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74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fix",R23&lt;&gt;"",SUMPRODUCT(MAX((('Rework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Log'!$A$3:$A$500,$B23)&gt;0,"",IF(AND(U23&lt;&gt;"",K23&lt;&gt;"",U23&lt;K23),"QA target is before DB Dev target",IF(AND(U23&lt;&gt;"",P23&lt;&gt;"",U23&lt;P23),"QA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" hidden="1" x14ac:dyDescent="0.3">
      <c r="A24" s="33" t="s">
        <v>34</v>
      </c>
      <c r="B24" s="33" t="s">
        <v>101</v>
      </c>
      <c r="C24" s="33" t="s">
        <v>36</v>
      </c>
      <c r="D24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Dev",IF(K24="","No target set",IF(AND(K24&lt;TODAY(),M24=""),"Overdue","On track")),IF(C24="PBI Dev",IF(P24="","No target set",IF(AND(P24&lt;TODAY(),R24=""),"Overdue","On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93</v>
      </c>
      <c r="J24" s="33" t="s">
        <v>51</v>
      </c>
      <c r="K24" s="4">
        <v>46185</v>
      </c>
      <c r="L24" s="36"/>
      <c r="M24" s="36">
        <v>46162</v>
      </c>
      <c r="N24" s="36"/>
      <c r="O24" s="64" t="s">
        <v>39</v>
      </c>
      <c r="P24" s="4">
        <v>46192</v>
      </c>
      <c r="Q24" s="36"/>
      <c r="R24" s="36">
        <v>46186</v>
      </c>
      <c r="S24" s="70"/>
      <c r="T24" s="33" t="s">
        <v>80</v>
      </c>
      <c r="U24" s="60">
        <v>46199</v>
      </c>
      <c r="V24" s="36"/>
      <c r="W24" s="36"/>
      <c r="X24" s="36"/>
      <c r="Y24" s="53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74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fix",R24&lt;&gt;"",SUMPRODUCT(MAX((('Rework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Log'!$A$3:$A$500,$B24)&gt;0,"",IF(AND(U24&lt;&gt;"",K24&lt;&gt;"",U24&lt;K24),"QA target is before DB Dev target",IF(AND(U24&lt;&gt;"",P24&lt;&gt;"",U24&lt;P24),"QA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" hidden="1" x14ac:dyDescent="0.3">
      <c r="A25" s="33" t="s">
        <v>34</v>
      </c>
      <c r="B25" s="33" t="s">
        <v>103</v>
      </c>
      <c r="C25" s="33" t="s">
        <v>36</v>
      </c>
      <c r="D25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Dev",IF(K25="","No target set",IF(AND(K25&lt;TODAY(),M25=""),"Overdue","On track")),IF(C25="PBI Dev",IF(P25="","No target set",IF(AND(P25&lt;TODAY(),R25=""),"Overdue","On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93</v>
      </c>
      <c r="J25" s="33" t="s">
        <v>51</v>
      </c>
      <c r="K25" s="4">
        <v>46185</v>
      </c>
      <c r="L25" s="36"/>
      <c r="M25" s="36">
        <v>46162</v>
      </c>
      <c r="N25" s="36"/>
      <c r="O25" s="64" t="s">
        <v>69</v>
      </c>
      <c r="P25" s="4">
        <v>46192</v>
      </c>
      <c r="Q25" s="36"/>
      <c r="R25" s="36">
        <v>46164</v>
      </c>
      <c r="S25" s="70"/>
      <c r="T25" s="33" t="s">
        <v>40</v>
      </c>
      <c r="U25" s="60">
        <v>46199</v>
      </c>
      <c r="V25" s="36"/>
      <c r="W25" s="36">
        <v>46204</v>
      </c>
      <c r="X25" s="36"/>
      <c r="Y25" s="53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74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fix",R25&lt;&gt;"",SUMPRODUCT(MAX((('Rework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Log'!$A$3:$A$500,$B25)&gt;0,"",IF(AND(U25&lt;&gt;"",K25&lt;&gt;"",U25&lt;K25),"QA target is before DB Dev target",IF(AND(U25&lt;&gt;"",P25&lt;&gt;"",U25&lt;P25),"QA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" hidden="1" x14ac:dyDescent="0.3">
      <c r="A26" s="33" t="s">
        <v>34</v>
      </c>
      <c r="B26" s="33" t="s">
        <v>104</v>
      </c>
      <c r="C26" s="33" t="s">
        <v>36</v>
      </c>
      <c r="D26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Dev",IF(K26="","No target set",IF(AND(K26&lt;TODAY(),M26=""),"Overdue","On track")),IF(C26="PBI Dev",IF(P26="","No target set",IF(AND(P26&lt;TODAY(),R26=""),"Overdue","On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93</v>
      </c>
      <c r="J26" s="33" t="s">
        <v>105</v>
      </c>
      <c r="K26" s="4">
        <v>46185</v>
      </c>
      <c r="L26" s="36"/>
      <c r="M26" s="36">
        <v>46169</v>
      </c>
      <c r="N26" s="36"/>
      <c r="O26" s="64" t="s">
        <v>52</v>
      </c>
      <c r="P26" s="4">
        <v>46192</v>
      </c>
      <c r="Q26" s="36"/>
      <c r="R26" s="36">
        <v>46191</v>
      </c>
      <c r="S26" s="70"/>
      <c r="T26" s="33" t="s">
        <v>80</v>
      </c>
      <c r="U26" s="60">
        <v>46199</v>
      </c>
      <c r="V26" s="36"/>
      <c r="W26" s="36">
        <v>46196</v>
      </c>
      <c r="X26" s="36"/>
      <c r="Y26" s="53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74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fix",R26&lt;&gt;"",SUMPRODUCT(MAX((('Rework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Log'!$A$3:$A$500,$B26)&gt;0,"",IF(AND(U26&lt;&gt;"",K26&lt;&gt;"",U26&lt;K26),"QA target is before DB Dev target",IF(AND(U26&lt;&gt;"",P26&lt;&gt;"",U26&lt;P26),"QA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" hidden="1" x14ac:dyDescent="0.3">
      <c r="A27" s="33" t="s">
        <v>34</v>
      </c>
      <c r="B27" s="33" t="s">
        <v>108</v>
      </c>
      <c r="C27" s="33" t="s">
        <v>36</v>
      </c>
      <c r="D27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Dev",IF(K27="","No target set",IF(AND(K27&lt;TODAY(),M27=""),"Overdue","On track")),IF(C27="PBI Dev",IF(P27="","No target set",IF(AND(P27&lt;TODAY(),R27=""),"Overdue","On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93</v>
      </c>
      <c r="J27" s="33" t="s">
        <v>94</v>
      </c>
      <c r="K27" s="4">
        <v>46185</v>
      </c>
      <c r="L27" s="36"/>
      <c r="M27" s="36">
        <v>46168</v>
      </c>
      <c r="N27" s="36"/>
      <c r="O27" s="64" t="s">
        <v>69</v>
      </c>
      <c r="P27" s="4">
        <v>46192</v>
      </c>
      <c r="Q27" s="36"/>
      <c r="R27" s="36">
        <v>46189</v>
      </c>
      <c r="S27" s="70"/>
      <c r="T27" s="55" t="s">
        <v>80</v>
      </c>
      <c r="U27" s="60">
        <v>46199</v>
      </c>
      <c r="V27" s="36"/>
      <c r="W27" s="36">
        <v>46189</v>
      </c>
      <c r="X27" s="36"/>
      <c r="Y27" s="53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74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fix",R27&lt;&gt;"",SUMPRODUCT(MAX((('Rework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Log'!$A$3:$A$500,$B27)&gt;0,"",IF(AND(U27&lt;&gt;"",K27&lt;&gt;"",U27&lt;K27),"QA target is before DB Dev target",IF(AND(U27&lt;&gt;"",P27&lt;&gt;"",U27&lt;P27),"QA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" hidden="1" x14ac:dyDescent="0.3">
      <c r="A28" s="33" t="s">
        <v>34</v>
      </c>
      <c r="B28" s="33" t="s">
        <v>110</v>
      </c>
      <c r="C28" s="33" t="s">
        <v>36</v>
      </c>
      <c r="D28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Dev",IF(K28="","No target set",IF(AND(K28&lt;TODAY(),M28=""),"Overdue","On track")),IF(C28="PBI Dev",IF(P28="","No target set",IF(AND(P28&lt;TODAY(),R28=""),"Overdue","On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93</v>
      </c>
      <c r="J28" s="33" t="s">
        <v>76</v>
      </c>
      <c r="K28" s="4">
        <v>46185</v>
      </c>
      <c r="L28" s="36"/>
      <c r="M28" s="36">
        <v>46169</v>
      </c>
      <c r="N28" s="36"/>
      <c r="O28" s="64" t="s">
        <v>69</v>
      </c>
      <c r="P28" s="4">
        <v>46192</v>
      </c>
      <c r="Q28" s="36"/>
      <c r="R28" s="36">
        <v>46195</v>
      </c>
      <c r="S28" s="70"/>
      <c r="T28" s="33"/>
      <c r="U28" s="60">
        <v>46199</v>
      </c>
      <c r="V28" s="36"/>
      <c r="W28" s="36">
        <v>46197</v>
      </c>
      <c r="X28" s="36"/>
      <c r="Y28" s="53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74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fix",R28&lt;&gt;"",SUMPRODUCT(MAX((('Rework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Log'!$A$3:$A$500,$B28)&gt;0,"",IF(AND(U28&lt;&gt;"",K28&lt;&gt;"",U28&lt;K28),"QA target is before DB Dev target",IF(AND(U28&lt;&gt;"",P28&lt;&gt;"",U28&lt;P28),"QA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" x14ac:dyDescent="0.3">
      <c r="A29" s="33" t="s">
        <v>112</v>
      </c>
      <c r="B29" s="33" t="s">
        <v>113</v>
      </c>
      <c r="C29" s="33" t="s">
        <v>114</v>
      </c>
      <c r="D29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Dev",IF(K29="","No target set",IF(AND(K29&lt;TODAY(),M29=""),"Overdue","On track")),IF(C29="PBI Dev",IF(P29="","No target set",IF(AND(P29&lt;TODAY(),R29=""),"Overdue","On track")),IF(C29="QA",IF(U29="","No target set",IF(AND(U29&lt;TODAY(),W29=""),"Overdue","On track")),IF(C29="DPO Approval",IF(Y29="","No target set",IF(Y29&lt;TODAY(),"Overdue","On track")),IF(C29="RELEASED IN PROD","Delivered",""))))))))</f>
        <v>Overdue</v>
      </c>
      <c r="E29" s="33">
        <v>1</v>
      </c>
      <c r="F29" s="34" t="s">
        <v>115</v>
      </c>
      <c r="G29" s="33"/>
      <c r="H29" s="50">
        <v>46234</v>
      </c>
      <c r="I29" s="62" t="s">
        <v>116</v>
      </c>
      <c r="J29" s="33" t="s">
        <v>68</v>
      </c>
      <c r="K29" s="4">
        <v>46213</v>
      </c>
      <c r="L29" s="36">
        <v>46244</v>
      </c>
      <c r="M29" s="37">
        <v>46244</v>
      </c>
      <c r="N29" s="36" t="s">
        <v>117</v>
      </c>
      <c r="O29" s="66" t="s">
        <v>52</v>
      </c>
      <c r="P29" s="4">
        <v>46220</v>
      </c>
      <c r="Q29" s="36">
        <v>46245</v>
      </c>
      <c r="R29" s="75">
        <v>46245</v>
      </c>
      <c r="S29" s="70"/>
      <c r="T29" s="55" t="s">
        <v>115</v>
      </c>
      <c r="U29" s="60">
        <v>46227</v>
      </c>
      <c r="V29" s="36">
        <v>46252</v>
      </c>
      <c r="W29" s="36">
        <v>46252</v>
      </c>
      <c r="X29" s="36"/>
      <c r="Y29" s="53">
        <v>46232</v>
      </c>
      <c r="Z29" s="36">
        <v>46258</v>
      </c>
      <c r="AA29" s="33"/>
      <c r="AB29" s="38"/>
      <c r="AC29" s="36"/>
      <c r="AD29" s="39"/>
      <c r="AE29" s="33"/>
      <c r="AF29" s="40" t="s">
        <v>45</v>
      </c>
      <c r="AG29" s="74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fix",R29&lt;&gt;"",SUMPRODUCT(MAX((('Rework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Log'!$A$3:$A$500,$B29)&gt;0,"",IF(AND(U29&lt;&gt;"",K29&lt;&gt;"",U29&lt;K29),"QA target is before DB Dev target",IF(AND(U29&lt;&gt;"",P29&lt;&gt;"",U29&lt;P29),"QA target is before PBI Dev target",IF(AND(Y29&lt;&gt;"",U29&lt;&gt;"",Y29&lt;U29),"DPO Approval target is before QA target",IF(AND(AC29&lt;&gt;"",Y29&lt;&gt;"",AC29&lt;Y29),"Confirmed Deployed date is before DPO Approval target",""))))))))))))</f>
        <v>Open rework row - mark Blocked? or close it</v>
      </c>
      <c r="AH29" s="41" t="s">
        <v>118</v>
      </c>
    </row>
    <row r="30" spans="1:34" ht="14.4" x14ac:dyDescent="0.3">
      <c r="A30" s="33" t="s">
        <v>112</v>
      </c>
      <c r="B30" s="33" t="s">
        <v>119</v>
      </c>
      <c r="C30" s="33" t="s">
        <v>120</v>
      </c>
      <c r="D30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Dev",IF(K30="","No target set",IF(AND(K30&lt;TODAY(),M30=""),"Overdue","On track")),IF(C30="PBI Dev",IF(P30="","No target set",IF(AND(P30&lt;TODAY(),R30=""),"Overdue","On track")),IF(C30="QA",IF(U30="","No target set",IF(AND(U30&lt;TODAY(),W30=""),"Overdue","On track")),IF(C30="DPO Approval",IF(Y30="","No target set",IF(Y30&lt;TODAY(),"Overdue","On track")),IF(C30="RELEASED IN PROD","Delivered",""))))))))</f>
        <v>Overdue</v>
      </c>
      <c r="E30" s="33">
        <v>2</v>
      </c>
      <c r="F30" s="34" t="s">
        <v>115</v>
      </c>
      <c r="G30" s="33"/>
      <c r="H30" s="50">
        <v>46234</v>
      </c>
      <c r="I30" s="62" t="s">
        <v>116</v>
      </c>
      <c r="J30" s="33" t="s">
        <v>105</v>
      </c>
      <c r="K30" s="4">
        <v>46213</v>
      </c>
      <c r="L30" s="36">
        <v>46244</v>
      </c>
      <c r="M30" s="35">
        <v>46245</v>
      </c>
      <c r="N30" s="36" t="s">
        <v>117</v>
      </c>
      <c r="O30" s="66" t="s">
        <v>69</v>
      </c>
      <c r="P30" s="4">
        <v>46220</v>
      </c>
      <c r="Q30" s="36">
        <v>46245</v>
      </c>
      <c r="R30" s="36">
        <v>46246</v>
      </c>
      <c r="S30" s="70"/>
      <c r="T30" s="55" t="s">
        <v>115</v>
      </c>
      <c r="U30" s="60">
        <v>46227</v>
      </c>
      <c r="V30" s="36">
        <v>46253</v>
      </c>
      <c r="W30" s="36"/>
      <c r="X30" s="36"/>
      <c r="Y30" s="53">
        <v>46232</v>
      </c>
      <c r="Z30" s="36">
        <v>46258</v>
      </c>
      <c r="AA30" s="33"/>
      <c r="AB30" s="38"/>
      <c r="AC30" s="36"/>
      <c r="AD30" s="39"/>
      <c r="AE30" s="33"/>
      <c r="AF30" s="40" t="s">
        <v>45</v>
      </c>
      <c r="AG30" s="74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fix",R30&lt;&gt;"",SUMPRODUCT(MAX((('Rework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Log'!$A$3:$A$500,$B30)&gt;0,"",IF(AND(U30&lt;&gt;"",K30&lt;&gt;"",U30&lt;K30),"QA target is before DB Dev target",IF(AND(U30&lt;&gt;"",P30&lt;&gt;"",U30&lt;P30),"QA target is before PBI Dev target",IF(AND(Y30&lt;&gt;"",U30&lt;&gt;"",Y30&lt;U30),"DPO Approval target is before QA target",IF(AND(AC30&lt;&gt;"",Y30&lt;&gt;"",AC30&lt;Y30),"Confirmed Deployed date is before DPO Approval target",""))))))))))))</f>
        <v>Open rework row - mark Blocked? or close it</v>
      </c>
      <c r="AH30" s="41" t="s">
        <v>121</v>
      </c>
    </row>
    <row r="31" spans="1:34" ht="14.4" x14ac:dyDescent="0.3">
      <c r="A31" s="33" t="s">
        <v>112</v>
      </c>
      <c r="B31" s="33" t="s">
        <v>122</v>
      </c>
      <c r="C31" s="33" t="s">
        <v>120</v>
      </c>
      <c r="D31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Dev",IF(K31="","No target set",IF(AND(K31&lt;TODAY(),M31=""),"Overdue","On track")),IF(C31="PBI Dev",IF(P31="","No target set",IF(AND(P31&lt;TODAY(),R31=""),"Overdue","On track")),IF(C31="QA",IF(U31="","No target set",IF(AND(U31&lt;TODAY(),W31=""),"Overdue","On track")),IF(C31="DPO Approval",IF(Y31="","No target set",IF(Y31&lt;TODAY(),"Overdue","On track")),IF(C31="RELEASED IN PROD","Delivered",""))))))))</f>
        <v>Overdue</v>
      </c>
      <c r="E31" s="33">
        <v>3</v>
      </c>
      <c r="F31" s="34" t="s">
        <v>115</v>
      </c>
      <c r="G31" s="33"/>
      <c r="H31" s="50">
        <v>46234</v>
      </c>
      <c r="I31" s="62" t="s">
        <v>116</v>
      </c>
      <c r="J31" s="33" t="s">
        <v>105</v>
      </c>
      <c r="K31" s="4">
        <v>46213</v>
      </c>
      <c r="L31" s="36">
        <v>46245</v>
      </c>
      <c r="M31" s="35">
        <v>46246</v>
      </c>
      <c r="N31" s="36" t="s">
        <v>117</v>
      </c>
      <c r="O31" s="66" t="s">
        <v>69</v>
      </c>
      <c r="P31" s="4">
        <v>46220</v>
      </c>
      <c r="Q31" s="36">
        <v>46246</v>
      </c>
      <c r="R31" s="36">
        <v>46251</v>
      </c>
      <c r="S31" s="70"/>
      <c r="T31" s="55" t="s">
        <v>115</v>
      </c>
      <c r="U31" s="60">
        <v>46227</v>
      </c>
      <c r="V31" s="36">
        <v>46253</v>
      </c>
      <c r="W31" s="36"/>
      <c r="X31" s="36"/>
      <c r="Y31" s="53">
        <v>46232</v>
      </c>
      <c r="Z31" s="36">
        <v>46259</v>
      </c>
      <c r="AA31" s="33"/>
      <c r="AB31" s="38"/>
      <c r="AC31" s="36"/>
      <c r="AD31" s="39"/>
      <c r="AE31" s="33"/>
      <c r="AF31" s="40" t="s">
        <v>45</v>
      </c>
      <c r="AG31" s="74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fix",R31&lt;&gt;"",SUMPRODUCT(MAX((('Rework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Log'!$A$3:$A$500,$B31)&gt;0,"",IF(AND(U31&lt;&gt;"",K31&lt;&gt;"",U31&lt;K31),"QA target is before DB Dev target",IF(AND(U31&lt;&gt;"",P31&lt;&gt;"",U31&lt;P31),"QA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41" t="s">
        <v>123</v>
      </c>
    </row>
    <row r="32" spans="1:34" ht="14.4" x14ac:dyDescent="0.3">
      <c r="A32" s="33" t="s">
        <v>112</v>
      </c>
      <c r="B32" s="33" t="s">
        <v>124</v>
      </c>
      <c r="C32" s="33" t="s">
        <v>125</v>
      </c>
      <c r="D32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Dev",IF(K32="","No target set",IF(AND(K32&lt;TODAY(),M32=""),"Overdue","On track")),IF(C32="PBI Dev",IF(P32="","No target set",IF(AND(P32&lt;TODAY(),R32=""),"Overdue","On track")),IF(C32="QA",IF(U32="","No target set",IF(AND(U32&lt;TODAY(),W32=""),"Overdue","On track")),IF(C32="DPO Approval",IF(Y32="","No target set",IF(Y32&lt;TODAY(),"Overdue","On track")),IF(C32="RELEASED IN PROD","Delivered",""))))))))</f>
        <v>Overdue</v>
      </c>
      <c r="E32" s="33">
        <v>4</v>
      </c>
      <c r="F32" s="34" t="s">
        <v>115</v>
      </c>
      <c r="G32" s="33"/>
      <c r="H32" s="50">
        <v>46234</v>
      </c>
      <c r="I32" s="62" t="s">
        <v>116</v>
      </c>
      <c r="J32" s="33" t="s">
        <v>51</v>
      </c>
      <c r="K32" s="4">
        <v>46213</v>
      </c>
      <c r="L32" s="36">
        <v>46248</v>
      </c>
      <c r="M32" s="37">
        <v>46248</v>
      </c>
      <c r="N32" s="36" t="s">
        <v>117</v>
      </c>
      <c r="O32" s="66" t="s">
        <v>39</v>
      </c>
      <c r="P32" s="4">
        <v>46220</v>
      </c>
      <c r="Q32" s="36">
        <v>46251</v>
      </c>
      <c r="R32" s="36"/>
      <c r="S32" s="70"/>
      <c r="T32" s="55" t="s">
        <v>40</v>
      </c>
      <c r="U32" s="60">
        <v>46227</v>
      </c>
      <c r="V32" s="36">
        <v>46251</v>
      </c>
      <c r="W32" s="36"/>
      <c r="X32" s="36"/>
      <c r="Y32" s="53">
        <v>46232</v>
      </c>
      <c r="Z32" s="36">
        <v>46260</v>
      </c>
      <c r="AA32" s="33"/>
      <c r="AB32" s="38"/>
      <c r="AC32" s="36"/>
      <c r="AD32" s="39"/>
      <c r="AE32" s="33"/>
      <c r="AF32" s="40" t="s">
        <v>45</v>
      </c>
      <c r="AG32" s="74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fix",R32&lt;&gt;"",SUMPRODUCT(MAX((('Rework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Log'!$A$3:$A$500,$B32)&gt;0,"",IF(AND(U32&lt;&gt;"",K32&lt;&gt;"",U32&lt;K32),"QA target is before DB Dev target",IF(AND(U32&lt;&gt;"",P32&lt;&gt;"",U32&lt;P32),"QA target is before PBI Dev target",IF(AND(Y32&lt;&gt;"",U32&lt;&gt;"",Y32&lt;U32),"DPO Approval target is before QA target",IF(AND(AC32&lt;&gt;"",Y32&lt;&gt;"",AC32&lt;Y32),"Confirmed Deployed date is before DPO Approval target",""))))))))))))</f>
        <v/>
      </c>
      <c r="AH32" s="41" t="s">
        <v>126</v>
      </c>
    </row>
    <row r="33" spans="1:34" ht="14.4" x14ac:dyDescent="0.3">
      <c r="A33" s="33" t="s">
        <v>112</v>
      </c>
      <c r="B33" s="33" t="s">
        <v>127</v>
      </c>
      <c r="C33" s="33" t="s">
        <v>114</v>
      </c>
      <c r="D3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Dev",IF(K33="","No target set",IF(AND(K33&lt;TODAY(),M33=""),"Overdue","On track")),IF(C33="PBI Dev",IF(P33="","No target set",IF(AND(P33&lt;TODAY(),R33=""),"Overdue","On track")),IF(C33="QA",IF(U33="","No target set",IF(AND(U33&lt;TODAY(),W33=""),"Overdue","On track")),IF(C33="DPO Approval",IF(Y33="","No target set",IF(Y33&lt;TODAY(),"Overdue","On track")),IF(C33="RELEASED IN PROD","Delivered",""))))))))</f>
        <v>Overdue</v>
      </c>
      <c r="E33" s="33">
        <v>5</v>
      </c>
      <c r="F33" s="34" t="s">
        <v>115</v>
      </c>
      <c r="G33" s="33"/>
      <c r="H33" s="50">
        <v>46234</v>
      </c>
      <c r="I33" s="62" t="s">
        <v>116</v>
      </c>
      <c r="J33" s="33" t="s">
        <v>94</v>
      </c>
      <c r="K33" s="4">
        <v>46213</v>
      </c>
      <c r="L33" s="36">
        <v>46246</v>
      </c>
      <c r="M33" s="37">
        <v>46245</v>
      </c>
      <c r="N33" s="36" t="s">
        <v>117</v>
      </c>
      <c r="O33" s="66" t="s">
        <v>69</v>
      </c>
      <c r="P33" s="4">
        <v>46220</v>
      </c>
      <c r="Q33" s="36">
        <v>46246</v>
      </c>
      <c r="R33" s="36">
        <v>46244</v>
      </c>
      <c r="S33" s="70"/>
      <c r="T33" s="55" t="s">
        <v>40</v>
      </c>
      <c r="U33" s="60">
        <v>46227</v>
      </c>
      <c r="V33" s="36">
        <v>46253</v>
      </c>
      <c r="W33" s="36">
        <v>46251</v>
      </c>
      <c r="X33" s="36"/>
      <c r="Y33" s="53">
        <v>46232</v>
      </c>
      <c r="Z33" s="36">
        <v>46260</v>
      </c>
      <c r="AA33" s="33"/>
      <c r="AB33" s="38"/>
      <c r="AC33" s="36"/>
      <c r="AD33" s="39"/>
      <c r="AE33" s="33"/>
      <c r="AF33" s="40" t="s">
        <v>45</v>
      </c>
      <c r="AG33" s="74"/>
      <c r="AH33" s="41" t="s">
        <v>128</v>
      </c>
    </row>
    <row r="34" spans="1:34" ht="14.4" x14ac:dyDescent="0.3">
      <c r="A34" s="33" t="s">
        <v>112</v>
      </c>
      <c r="B34" s="33" t="s">
        <v>129</v>
      </c>
      <c r="C34" s="33" t="s">
        <v>120</v>
      </c>
      <c r="D34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Dev",IF(K34="","No target set",IF(AND(K34&lt;TODAY(),M34=""),"Overdue","On track")),IF(C34="PBI Dev",IF(P34="","No target set",IF(AND(P34&lt;TODAY(),R34=""),"Overdue","On track")),IF(C34="QA",IF(U34="","No target set",IF(AND(U34&lt;TODAY(),W34=""),"Overdue","On track")),IF(C34="DPO Approval",IF(Y34="","No target set",IF(Y34&lt;TODAY(),"Overdue","On track")),IF(C34="RELEASED IN PROD","Delivered",""))))))))</f>
        <v>Overdue</v>
      </c>
      <c r="E34" s="33">
        <v>6</v>
      </c>
      <c r="F34" s="34" t="s">
        <v>130</v>
      </c>
      <c r="G34" s="33"/>
      <c r="H34" s="50">
        <v>46234</v>
      </c>
      <c r="I34" s="62" t="s">
        <v>116</v>
      </c>
      <c r="J34" s="33" t="s">
        <v>76</v>
      </c>
      <c r="K34" s="4">
        <v>46213</v>
      </c>
      <c r="L34" s="36">
        <v>46246</v>
      </c>
      <c r="M34" s="36">
        <v>46246</v>
      </c>
      <c r="N34" s="36" t="s">
        <v>117</v>
      </c>
      <c r="O34" s="66" t="s">
        <v>52</v>
      </c>
      <c r="P34" s="4">
        <v>46220</v>
      </c>
      <c r="Q34" s="36">
        <v>46246</v>
      </c>
      <c r="R34" s="36">
        <v>46251</v>
      </c>
      <c r="S34" s="70"/>
      <c r="T34" s="55" t="s">
        <v>130</v>
      </c>
      <c r="U34" s="60">
        <v>46227</v>
      </c>
      <c r="V34" s="36"/>
      <c r="W34" s="36"/>
      <c r="X34" s="36"/>
      <c r="Y34" s="53">
        <v>46232</v>
      </c>
      <c r="Z34" s="36">
        <v>46259</v>
      </c>
      <c r="AA34" s="33"/>
      <c r="AB34" s="38"/>
      <c r="AC34" s="36"/>
      <c r="AD34" s="39"/>
      <c r="AE34" s="33"/>
      <c r="AF34" s="40" t="s">
        <v>45</v>
      </c>
      <c r="AG34" s="74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fix",R34&lt;&gt;"",SUMPRODUCT(MAX((('Rework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Log'!$A$3:$A$500,$B34)&gt;0,"",IF(AND(U34&lt;&gt;"",K34&lt;&gt;"",U34&lt;K34),"QA target is before DB Dev target",IF(AND(U34&lt;&gt;"",P34&lt;&gt;"",U34&lt;P34),"QA target is before PBI Dev target",IF(AND(Y34&lt;&gt;"",U34&lt;&gt;"",Y34&lt;U34),"DPO Approval target is before QA target",IF(AND(AC34&lt;&gt;"",Y34&lt;&gt;"",AC34&lt;Y34),"Confirmed Deployed date is before DPO Approval target",""))))))))))))</f>
        <v>Open rework row - mark Blocked? or close it</v>
      </c>
      <c r="AH34" s="41" t="s">
        <v>131</v>
      </c>
    </row>
    <row r="35" spans="1:34" ht="14.4" x14ac:dyDescent="0.3">
      <c r="A35" s="33" t="s">
        <v>112</v>
      </c>
      <c r="B35" s="33" t="s">
        <v>132</v>
      </c>
      <c r="C35" s="33" t="s">
        <v>125</v>
      </c>
      <c r="D35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Dev",IF(K35="","No target set",IF(AND(K35&lt;TODAY(),M35=""),"Overdue","On track")),IF(C35="PBI Dev",IF(P35="","No target set",IF(AND(P35&lt;TODAY(),R35=""),"Overdue","On track")),IF(C35="QA",IF(U35="","No target set",IF(AND(U35&lt;TODAY(),W35=""),"Overdue","On track")),IF(C35="DPO Approval",IF(Y35="","No target set",IF(Y35&lt;TODAY(),"Overdue","On track")),IF(C35="RELEASED IN PROD","Delivered",""))))))))</f>
        <v>Overdue</v>
      </c>
      <c r="E35" s="33">
        <v>7</v>
      </c>
      <c r="F35" s="34" t="s">
        <v>130</v>
      </c>
      <c r="G35" s="33"/>
      <c r="H35" s="50">
        <v>46234</v>
      </c>
      <c r="I35" s="62" t="s">
        <v>116</v>
      </c>
      <c r="J35" s="33" t="s">
        <v>105</v>
      </c>
      <c r="K35" s="4">
        <v>46213</v>
      </c>
      <c r="L35" s="36">
        <v>46244</v>
      </c>
      <c r="M35" s="35">
        <v>46248</v>
      </c>
      <c r="N35" s="36" t="s">
        <v>117</v>
      </c>
      <c r="O35" s="66" t="s">
        <v>39</v>
      </c>
      <c r="P35" s="4">
        <v>46220</v>
      </c>
      <c r="Q35" s="36">
        <v>46251</v>
      </c>
      <c r="R35" s="36"/>
      <c r="S35" s="70"/>
      <c r="T35" s="55" t="s">
        <v>130</v>
      </c>
      <c r="U35" s="60">
        <v>46227</v>
      </c>
      <c r="V35" s="36">
        <v>46255</v>
      </c>
      <c r="W35" s="36"/>
      <c r="X35" s="36"/>
      <c r="Y35" s="53">
        <v>46232</v>
      </c>
      <c r="Z35" s="36">
        <v>46259</v>
      </c>
      <c r="AA35" s="33"/>
      <c r="AB35" s="38"/>
      <c r="AC35" s="36"/>
      <c r="AD35" s="39"/>
      <c r="AE35" s="33"/>
      <c r="AF35" s="40" t="s">
        <v>45</v>
      </c>
      <c r="AG35" s="74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fix",R35&lt;&gt;"",SUMPRODUCT(MAX((('Rework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Log'!$A$3:$A$500,$B35)&gt;0,"",IF(AND(U35&lt;&gt;"",K35&lt;&gt;"",U35&lt;K35),"QA target is before DB Dev target",IF(AND(U35&lt;&gt;"",P35&lt;&gt;"",U35&lt;P35),"QA target is before PBI Dev target",IF(AND(Y35&lt;&gt;"",U35&lt;&gt;"",Y35&lt;U35),"DPO Approval target is before QA target",IF(AND(AC35&lt;&gt;"",Y35&lt;&gt;"",AC35&lt;Y35),"Confirmed Deployed date is before DPO Approval target",""))))))))))))</f>
        <v/>
      </c>
      <c r="AH35" s="41" t="s">
        <v>133</v>
      </c>
    </row>
    <row r="36" spans="1:34" ht="14.4" x14ac:dyDescent="0.3">
      <c r="A36" s="33" t="s">
        <v>112</v>
      </c>
      <c r="B36" s="33" t="s">
        <v>134</v>
      </c>
      <c r="C36" s="33" t="s">
        <v>114</v>
      </c>
      <c r="D36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Dev",IF(K36="","No target set",IF(AND(K36&lt;TODAY(),M36=""),"Overdue","On track")),IF(C36="PBI Dev",IF(P36="","No target set",IF(AND(P36&lt;TODAY(),R36=""),"Overdue","On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3">
        <v>8</v>
      </c>
      <c r="F36" s="34" t="s">
        <v>130</v>
      </c>
      <c r="G36" s="33"/>
      <c r="H36" s="50">
        <v>46234</v>
      </c>
      <c r="I36" s="62" t="s">
        <v>116</v>
      </c>
      <c r="J36" s="33" t="s">
        <v>105</v>
      </c>
      <c r="K36" s="4">
        <v>46213</v>
      </c>
      <c r="L36" s="36">
        <v>46245</v>
      </c>
      <c r="M36" s="36">
        <v>46245</v>
      </c>
      <c r="N36" s="36" t="s">
        <v>117</v>
      </c>
      <c r="O36" s="66" t="s">
        <v>69</v>
      </c>
      <c r="P36" s="4">
        <v>46220</v>
      </c>
      <c r="Q36" s="36">
        <v>46246</v>
      </c>
      <c r="R36" s="36">
        <v>46246</v>
      </c>
      <c r="S36" s="70"/>
      <c r="T36" s="55" t="s">
        <v>130</v>
      </c>
      <c r="U36" s="60">
        <v>46227</v>
      </c>
      <c r="V36" s="36">
        <v>46251</v>
      </c>
      <c r="W36" s="36">
        <v>46251</v>
      </c>
      <c r="X36" s="36"/>
      <c r="Y36" s="53">
        <v>46232</v>
      </c>
      <c r="Z36" s="36">
        <v>46259</v>
      </c>
      <c r="AA36" s="33"/>
      <c r="AB36" s="38"/>
      <c r="AC36" s="36"/>
      <c r="AD36" s="39"/>
      <c r="AE36" s="33"/>
      <c r="AF36" s="40" t="s">
        <v>45</v>
      </c>
      <c r="AG36" s="74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fix",R36&lt;&gt;"",SUMPRODUCT(MAX((('Rework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Log'!$A$3:$A$500,$B36)&gt;0,"",IF(AND(U36&lt;&gt;"",K36&lt;&gt;"",U36&lt;K36),"QA target is before DB Dev target",IF(AND(U36&lt;&gt;"",P36&lt;&gt;"",U36&lt;P36),"QA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1" t="s">
        <v>121</v>
      </c>
    </row>
    <row r="37" spans="1:34" ht="14.4" x14ac:dyDescent="0.3">
      <c r="A37" s="33" t="s">
        <v>112</v>
      </c>
      <c r="B37" s="33" t="s">
        <v>135</v>
      </c>
      <c r="C37" s="33" t="s">
        <v>120</v>
      </c>
      <c r="D37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Dev",IF(K37="","No target set",IF(AND(K37&lt;TODAY(),M37=""),"Overdue","On track")),IF(C37="PBI Dev",IF(P37="","No target set",IF(AND(P37&lt;TODAY(),R37=""),"Overdue","On track")),IF(C37="QA",IF(U37="","No target set",IF(AND(U37&lt;TODAY(),W37=""),"Overdue","On track")),IF(C37="DPO Approval",IF(Y37="","No target set",IF(Y37&lt;TODAY(),"Overdue","On track")),IF(C37="RELEASED IN PROD","Delivered",""))))))))</f>
        <v>Overdue</v>
      </c>
      <c r="E37" s="33">
        <v>9</v>
      </c>
      <c r="F37" s="34" t="s">
        <v>130</v>
      </c>
      <c r="G37" s="33"/>
      <c r="H37" s="50">
        <v>46234</v>
      </c>
      <c r="I37" s="62" t="s">
        <v>116</v>
      </c>
      <c r="J37" s="33" t="s">
        <v>76</v>
      </c>
      <c r="K37" s="4">
        <v>46213</v>
      </c>
      <c r="L37" s="36">
        <v>46246</v>
      </c>
      <c r="M37" s="36">
        <v>46246</v>
      </c>
      <c r="N37" s="36" t="s">
        <v>117</v>
      </c>
      <c r="O37" s="66" t="s">
        <v>52</v>
      </c>
      <c r="P37" s="4">
        <v>46220</v>
      </c>
      <c r="Q37" s="36">
        <v>46248</v>
      </c>
      <c r="R37" s="36">
        <v>46248</v>
      </c>
      <c r="S37" s="70"/>
      <c r="T37" s="55" t="s">
        <v>130</v>
      </c>
      <c r="U37" s="60">
        <v>46227</v>
      </c>
      <c r="V37" s="36">
        <v>46252</v>
      </c>
      <c r="W37" s="36"/>
      <c r="X37" s="36"/>
      <c r="Y37" s="53">
        <v>46232</v>
      </c>
      <c r="Z37" s="36">
        <v>46259</v>
      </c>
      <c r="AA37" s="33"/>
      <c r="AB37" s="38"/>
      <c r="AC37" s="36"/>
      <c r="AD37" s="39"/>
      <c r="AE37" s="33"/>
      <c r="AF37" s="40" t="s">
        <v>45</v>
      </c>
      <c r="AG37" s="74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fix",R37&lt;&gt;"",SUMPRODUCT(MAX((('Rework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Log'!$A$3:$A$500,$B37)&gt;0,"",IF(AND(U37&lt;&gt;"",K37&lt;&gt;"",U37&lt;K37),"QA target is before DB Dev target",IF(AND(U37&lt;&gt;"",P37&lt;&gt;"",U37&lt;P37),"QA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1" t="s">
        <v>136</v>
      </c>
    </row>
    <row r="38" spans="1:34" ht="14.4" x14ac:dyDescent="0.3">
      <c r="A38" s="33" t="s">
        <v>112</v>
      </c>
      <c r="B38" s="33" t="s">
        <v>137</v>
      </c>
      <c r="C38" s="33" t="s">
        <v>120</v>
      </c>
      <c r="D38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Dev",IF(K38="","No target set",IF(AND(K38&lt;TODAY(),M38=""),"Overdue","On track")),IF(C38="PBI Dev",IF(P38="","No target set",IF(AND(P38&lt;TODAY(),R38=""),"Overdue","On track")),IF(C38="QA",IF(U38="","No target set",IF(AND(U38&lt;TODAY(),W38=""),"Overdue","On track")),IF(C38="DPO Approval",IF(Y38="","No target set",IF(Y38&lt;TODAY(),"Overdue","On track")),IF(C38="RELEASED IN PROD","Delivered",""))))))))</f>
        <v>Overdue</v>
      </c>
      <c r="E38" s="33" t="s">
        <v>138</v>
      </c>
      <c r="F38" s="34" t="s">
        <v>130</v>
      </c>
      <c r="G38" s="33"/>
      <c r="H38" s="50">
        <v>46234</v>
      </c>
      <c r="I38" s="62" t="s">
        <v>116</v>
      </c>
      <c r="J38" s="33" t="s">
        <v>139</v>
      </c>
      <c r="K38" s="4">
        <v>46213</v>
      </c>
      <c r="L38" s="36">
        <v>46246</v>
      </c>
      <c r="M38" s="35">
        <v>46245</v>
      </c>
      <c r="N38" s="36" t="s">
        <v>117</v>
      </c>
      <c r="O38" s="66" t="s">
        <v>52</v>
      </c>
      <c r="P38" s="4">
        <v>46220</v>
      </c>
      <c r="Q38" s="36">
        <v>46247</v>
      </c>
      <c r="R38" s="36">
        <v>46247</v>
      </c>
      <c r="S38" s="70"/>
      <c r="T38" s="55" t="s">
        <v>130</v>
      </c>
      <c r="U38" s="60">
        <v>46227</v>
      </c>
      <c r="V38" s="36">
        <v>46252</v>
      </c>
      <c r="W38" s="36"/>
      <c r="X38" s="36"/>
      <c r="Y38" s="53">
        <v>46232</v>
      </c>
      <c r="Z38" s="36">
        <v>46259</v>
      </c>
      <c r="AA38" s="33"/>
      <c r="AB38" s="38"/>
      <c r="AC38" s="36"/>
      <c r="AD38" s="39"/>
      <c r="AE38" s="33"/>
      <c r="AF38" s="40" t="s">
        <v>45</v>
      </c>
      <c r="AG38" s="74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fix",R38&lt;&gt;"",SUMPRODUCT(MAX((('Rework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Log'!$A$3:$A$500,$B38)&gt;0,"",IF(AND(U38&lt;&gt;"",K38&lt;&gt;"",U38&lt;K38),"QA target is before DB Dev target",IF(AND(U38&lt;&gt;"",P38&lt;&gt;"",U38&lt;P38),"QA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41"/>
    </row>
    <row r="39" spans="1:34" ht="14.4" x14ac:dyDescent="0.3">
      <c r="A39" s="33" t="s">
        <v>112</v>
      </c>
      <c r="B39" s="33" t="s">
        <v>140</v>
      </c>
      <c r="C39" s="33" t="s">
        <v>120</v>
      </c>
      <c r="D39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Dev",IF(K39="","No target set",IF(AND(K39&lt;TODAY(),M39=""),"Overdue","On track")),IF(C39="PBI Dev",IF(P39="","No target set",IF(AND(P39&lt;TODAY(),R39=""),"Overdue","On track")),IF(C39="QA",IF(U39="","No target set",IF(AND(U39&lt;TODAY(),W39=""),"Overdue","On track")),IF(C39="DPO Approval",IF(Y39="","No target set",IF(Y39&lt;TODAY(),"Overdue","On track")),IF(C39="RELEASED IN PROD","Delivered",""))))))))</f>
        <v>On track</v>
      </c>
      <c r="E39" s="33">
        <v>11</v>
      </c>
      <c r="F39" s="34" t="s">
        <v>130</v>
      </c>
      <c r="G39" s="33"/>
      <c r="H39" s="50">
        <v>46234</v>
      </c>
      <c r="I39" s="62" t="s">
        <v>116</v>
      </c>
      <c r="J39" s="33" t="s">
        <v>139</v>
      </c>
      <c r="K39" s="4">
        <v>46213</v>
      </c>
      <c r="L39" s="36">
        <v>46246</v>
      </c>
      <c r="M39" s="36">
        <v>46245</v>
      </c>
      <c r="N39" s="36" t="s">
        <v>117</v>
      </c>
      <c r="O39" s="66" t="s">
        <v>69</v>
      </c>
      <c r="P39" s="4">
        <v>46220</v>
      </c>
      <c r="Q39" s="36">
        <v>46247</v>
      </c>
      <c r="R39" s="36">
        <v>46247</v>
      </c>
      <c r="S39" s="70"/>
      <c r="T39" s="55" t="s">
        <v>40</v>
      </c>
      <c r="U39" s="60">
        <v>46227</v>
      </c>
      <c r="V39" s="36">
        <v>46247</v>
      </c>
      <c r="W39" s="36">
        <v>46247</v>
      </c>
      <c r="X39" s="36"/>
      <c r="Y39" s="53">
        <v>46232</v>
      </c>
      <c r="Z39" s="36">
        <v>46259</v>
      </c>
      <c r="AA39" s="33"/>
      <c r="AB39" s="38"/>
      <c r="AC39" s="36"/>
      <c r="AD39" s="39"/>
      <c r="AE39" s="33"/>
      <c r="AF39" s="40" t="s">
        <v>45</v>
      </c>
      <c r="AG39" s="74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fix",R39&lt;&gt;"",SUMPRODUCT(MAX((('Rework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Log'!$A$3:$A$500,$B39)&gt;0,"",IF(AND(U39&lt;&gt;"",K39&lt;&gt;"",U39&lt;K39),"QA target is before DB Dev target",IF(AND(U39&lt;&gt;"",P39&lt;&gt;"",U39&lt;P39),"QA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1" t="s">
        <v>141</v>
      </c>
    </row>
    <row r="40" spans="1:34" ht="14.4" x14ac:dyDescent="0.3">
      <c r="A40" s="33" t="s">
        <v>112</v>
      </c>
      <c r="B40" s="33" t="s">
        <v>142</v>
      </c>
      <c r="C40" s="33" t="s">
        <v>120</v>
      </c>
      <c r="D40" s="3" t="s">
        <v>143</v>
      </c>
      <c r="E40" s="33">
        <v>13</v>
      </c>
      <c r="F40" s="34" t="s">
        <v>115</v>
      </c>
      <c r="G40" s="33"/>
      <c r="H40" s="50">
        <v>46234</v>
      </c>
      <c r="I40" s="62" t="s">
        <v>116</v>
      </c>
      <c r="J40" s="33" t="s">
        <v>68</v>
      </c>
      <c r="K40" s="4">
        <v>46213</v>
      </c>
      <c r="L40" s="36">
        <v>46251</v>
      </c>
      <c r="M40" s="37"/>
      <c r="N40" s="36" t="s">
        <v>117</v>
      </c>
      <c r="O40" s="66" t="s">
        <v>69</v>
      </c>
      <c r="P40" s="4">
        <v>46220</v>
      </c>
      <c r="Q40" s="36">
        <v>46251</v>
      </c>
      <c r="R40" s="36"/>
      <c r="S40" s="70"/>
      <c r="T40" s="55" t="s">
        <v>40</v>
      </c>
      <c r="U40" s="60">
        <v>46227</v>
      </c>
      <c r="V40" s="36">
        <v>46254</v>
      </c>
      <c r="W40" s="36"/>
      <c r="X40" s="36"/>
      <c r="Y40" s="53">
        <v>46232</v>
      </c>
      <c r="Z40" s="36">
        <v>46265</v>
      </c>
      <c r="AA40" s="33"/>
      <c r="AB40" s="38"/>
      <c r="AC40" s="36"/>
      <c r="AD40" s="39"/>
      <c r="AE40" s="33"/>
      <c r="AF40" s="40" t="s">
        <v>45</v>
      </c>
      <c r="AG40" s="74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fix",R40&lt;&gt;"",SUMPRODUCT(MAX((('Rework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Log'!$A$3:$A$500,$B40)&gt;0,"",IF(AND(U40&lt;&gt;"",K40&lt;&gt;"",U40&lt;K40),"QA target is before DB Dev target",IF(AND(U40&lt;&gt;"",P40&lt;&gt;"",U40&lt;P40),"QA target is before PBI Dev target",IF(AND(Y40&lt;&gt;"",U40&lt;&gt;"",Y40&lt;U40),"DPO Approval target is before QA target",IF(AND(AC40&lt;&gt;"",Y40&lt;&gt;"",AC40&lt;Y40),"Confirmed Deployed date is before DPO Approval target",""))))))))))))</f>
        <v/>
      </c>
      <c r="AH40" s="41" t="s">
        <v>144</v>
      </c>
    </row>
    <row r="41" spans="1:34" ht="14.4" x14ac:dyDescent="0.3">
      <c r="A41" s="33" t="s">
        <v>112</v>
      </c>
      <c r="B41" s="33" t="s">
        <v>145</v>
      </c>
      <c r="C41" s="33" t="s">
        <v>120</v>
      </c>
      <c r="D41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Dev",IF(K42="","No target set",IF(AND(K42&lt;TODAY(),M41=""),"Overdue","On track")),IF(C41="PBI Dev",IF(P41="","No target set",IF(AND(P41&lt;TODAY(),R41=""),"Overdue","On track")),IF(C41="QA",IF(U41="","No target set",IF(AND(U41&lt;TODAY(),W41=""),"Overdue","On track")),IF(C41="DPO Approval",IF(Y41="","No target set",IF(Y41&lt;TODAY(),"Overdue","On track")),IF(C41="RELEASED IN PROD","Delivered",""))))))))</f>
        <v>Overdue</v>
      </c>
      <c r="E41" s="33">
        <v>14</v>
      </c>
      <c r="F41" s="34" t="s">
        <v>115</v>
      </c>
      <c r="G41" s="33"/>
      <c r="H41" s="50">
        <v>46234</v>
      </c>
      <c r="I41" s="62" t="s">
        <v>116</v>
      </c>
      <c r="J41" s="33" t="s">
        <v>51</v>
      </c>
      <c r="K41" s="4">
        <v>46213</v>
      </c>
      <c r="L41" s="35">
        <v>46248</v>
      </c>
      <c r="M41" s="37">
        <v>46248</v>
      </c>
      <c r="N41" s="36" t="s">
        <v>117</v>
      </c>
      <c r="O41" s="66" t="s">
        <v>52</v>
      </c>
      <c r="P41" s="4">
        <v>46220</v>
      </c>
      <c r="Q41" s="36">
        <v>46251</v>
      </c>
      <c r="R41" s="36">
        <v>46251</v>
      </c>
      <c r="S41" s="70"/>
      <c r="T41" s="55" t="s">
        <v>40</v>
      </c>
      <c r="U41" s="60">
        <v>46227</v>
      </c>
      <c r="V41" s="36"/>
      <c r="W41" s="36"/>
      <c r="X41" s="36"/>
      <c r="Y41" s="53">
        <v>46232</v>
      </c>
      <c r="Z41" s="36">
        <v>46262</v>
      </c>
      <c r="AA41" s="33"/>
      <c r="AB41" s="38"/>
      <c r="AC41" s="36"/>
      <c r="AD41" s="39"/>
      <c r="AE41" s="33"/>
      <c r="AF41" s="40" t="s">
        <v>45</v>
      </c>
      <c r="AG41" s="74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fix",R41&lt;&gt;"",SUMPRODUCT(MAX((('Rework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Log'!$A$3:$A$500,$B41)&gt;0,"",IF(AND(U41&lt;&gt;"",K42&lt;&gt;"",U41&lt;K42),"QA target is before DB Dev target",IF(AND(U41&lt;&gt;"",P41&lt;&gt;"",U41&lt;P41),"QA target is before PBI Dev target",IF(AND(Y41&lt;&gt;"",U41&lt;&gt;"",Y41&lt;U41),"DPO Approval target is before QA target",IF(AND(AC41&lt;&gt;"",Y41&lt;&gt;"",AC41&lt;Y41),"Confirmed Deployed date is before DPO Approval target",""))))))))))))</f>
        <v/>
      </c>
      <c r="AH41" s="41" t="s">
        <v>146</v>
      </c>
    </row>
    <row r="42" spans="1:34" ht="14.4" x14ac:dyDescent="0.3">
      <c r="A42" s="33" t="s">
        <v>112</v>
      </c>
      <c r="B42" s="33" t="s">
        <v>147</v>
      </c>
      <c r="C42" s="33" t="s">
        <v>120</v>
      </c>
      <c r="D42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Dev",IF(#REF!="","No target set",IF(AND(#REF!&lt;TODAY(),M42=""),"Overdue","On track")),IF(C42="PBI Dev",IF(P42="","No target set",IF(AND(P42&lt;TODAY(),R42=""),"Overdue","On track")),IF(C42="QA",IF(U42="","No target set",IF(AND(U42&lt;TODAY(),W42=""),"Overdue","On track")),IF(C42="DPO Approval",IF(Y42="","No target set",IF(Y42&lt;TODAY(),"Overdue","On track")),IF(C42="RELEASED IN PROD","Delivered",""))))))))</f>
        <v>Overdue</v>
      </c>
      <c r="E42" s="33">
        <v>15</v>
      </c>
      <c r="F42" s="34" t="s">
        <v>130</v>
      </c>
      <c r="G42" s="33"/>
      <c r="H42" s="50">
        <v>46234</v>
      </c>
      <c r="I42" s="62" t="s">
        <v>116</v>
      </c>
      <c r="J42" s="33" t="s">
        <v>68</v>
      </c>
      <c r="K42" s="4">
        <v>46213</v>
      </c>
      <c r="L42" s="36">
        <v>46245</v>
      </c>
      <c r="M42" s="36">
        <v>46245</v>
      </c>
      <c r="N42" s="36" t="s">
        <v>148</v>
      </c>
      <c r="O42" s="66" t="s">
        <v>39</v>
      </c>
      <c r="P42" s="4">
        <v>46220</v>
      </c>
      <c r="Q42" s="36">
        <v>46248</v>
      </c>
      <c r="R42" s="36">
        <v>46248</v>
      </c>
      <c r="S42" s="70"/>
      <c r="T42" s="55" t="s">
        <v>40</v>
      </c>
      <c r="U42" s="60">
        <v>46227</v>
      </c>
      <c r="V42" s="36">
        <v>46258</v>
      </c>
      <c r="W42" s="36"/>
      <c r="X42" s="36"/>
      <c r="Y42" s="53">
        <v>46232</v>
      </c>
      <c r="Z42" s="36">
        <v>46267</v>
      </c>
      <c r="AA42" s="33"/>
      <c r="AB42" s="38"/>
      <c r="AC42" s="36"/>
      <c r="AD42" s="39"/>
      <c r="AE42" s="33"/>
      <c r="AF42" s="40" t="s">
        <v>45</v>
      </c>
      <c r="AG42" s="48"/>
      <c r="AH42" s="41"/>
    </row>
    <row r="43" spans="1:34" ht="14.4" x14ac:dyDescent="0.3">
      <c r="A43" s="33" t="s">
        <v>112</v>
      </c>
      <c r="B43" s="33" t="s">
        <v>149</v>
      </c>
      <c r="C43" s="33" t="s">
        <v>125</v>
      </c>
      <c r="D4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Dev",IF(K43="","No target set",IF(AND(K43&lt;TODAY(),M43=""),"Overdue","On track")),IF(C43="PBI Dev",IF(P43="","No target set",IF(AND(P43&lt;TODAY(),R43=""),"Overdue","On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150</v>
      </c>
      <c r="F43" s="34" t="s">
        <v>130</v>
      </c>
      <c r="G43" s="33"/>
      <c r="H43" s="50">
        <v>46265</v>
      </c>
      <c r="I43" s="62" t="s">
        <v>151</v>
      </c>
      <c r="J43" s="33" t="s">
        <v>94</v>
      </c>
      <c r="K43" s="4">
        <v>46234</v>
      </c>
      <c r="L43" s="36">
        <v>46251</v>
      </c>
      <c r="M43" s="36">
        <v>46252</v>
      </c>
      <c r="N43" s="36" t="s">
        <v>152</v>
      </c>
      <c r="O43" s="66" t="s">
        <v>52</v>
      </c>
      <c r="P43" s="4">
        <v>46241</v>
      </c>
      <c r="Q43" s="36"/>
      <c r="R43" s="36"/>
      <c r="S43" s="70"/>
      <c r="T43" s="55"/>
      <c r="U43" s="60">
        <v>46255</v>
      </c>
      <c r="V43" s="36"/>
      <c r="W43" s="36"/>
      <c r="X43" s="36"/>
      <c r="Y43" s="53">
        <v>46260</v>
      </c>
      <c r="Z43" s="36"/>
      <c r="AA43" s="33"/>
      <c r="AB43" s="38"/>
      <c r="AC43" s="36"/>
      <c r="AD43" s="39"/>
      <c r="AE43" s="33"/>
      <c r="AF43" s="40" t="s">
        <v>45</v>
      </c>
      <c r="AG43" s="74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fix",R43&lt;&gt;"",SUMPRODUCT(MAX((('Rework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Log'!$A$3:$A$500,$B43)&gt;0,"",IF(AND(U43&lt;&gt;"",K43&lt;&gt;"",U43&lt;K43),"QA target is before DB Dev target",IF(AND(U43&lt;&gt;"",P43&lt;&gt;"",U43&lt;P43),"QA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 ht="14.4" x14ac:dyDescent="0.3">
      <c r="A44" s="33" t="s">
        <v>112</v>
      </c>
      <c r="B44" s="33" t="s">
        <v>153</v>
      </c>
      <c r="C44" s="33" t="s">
        <v>154</v>
      </c>
      <c r="D44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Dev",IF(K44="","No target set",IF(AND(K44&lt;TODAY(),M44=""),"Overdue","On track")),IF(C44="PBI Dev",IF(P44="","No target set",IF(AND(P44&lt;TODAY(),R44=""),"Overdue","On track")),IF(C44="QA",IF(U44="","No target set",IF(AND(U44&lt;TODAY(),W44=""),"Overdue","On track")),IF(C44="DPO Approval",IF(Y44="","No target set",IF(Y44&lt;TODAY(),"Overdue","On track")),IF(C44="RELEASED IN PROD","Delivered",""))))))))</f>
        <v>Overdue</v>
      </c>
      <c r="E44" s="33">
        <v>18</v>
      </c>
      <c r="F44" s="34" t="s">
        <v>130</v>
      </c>
      <c r="G44" s="33"/>
      <c r="H44" s="50">
        <v>46265</v>
      </c>
      <c r="I44" s="62" t="s">
        <v>151</v>
      </c>
      <c r="J44" s="33" t="s">
        <v>51</v>
      </c>
      <c r="K44" s="4">
        <v>46234</v>
      </c>
      <c r="L44" s="36">
        <v>46255</v>
      </c>
      <c r="M44" s="36"/>
      <c r="N44" s="36" t="s">
        <v>152</v>
      </c>
      <c r="O44" s="66" t="s">
        <v>39</v>
      </c>
      <c r="P44" s="4">
        <v>46241</v>
      </c>
      <c r="Q44" s="36"/>
      <c r="R44" s="36"/>
      <c r="S44" s="70"/>
      <c r="T44" s="55"/>
      <c r="U44" s="60">
        <v>46255</v>
      </c>
      <c r="V44" s="36"/>
      <c r="W44" s="36"/>
      <c r="X44" s="36"/>
      <c r="Y44" s="53">
        <v>46260</v>
      </c>
      <c r="Z44" s="36"/>
      <c r="AA44" s="33"/>
      <c r="AB44" s="38"/>
      <c r="AC44" s="36"/>
      <c r="AD44" s="39"/>
      <c r="AE44" s="33"/>
      <c r="AF44" s="40" t="s">
        <v>45</v>
      </c>
      <c r="AG44" s="74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fix",R44&lt;&gt;"",SUMPRODUCT(MAX((('Rework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Log'!$A$3:$A$500,$B44)&gt;0,"",IF(AND(U44&lt;&gt;"",K44&lt;&gt;"",U44&lt;K44),"QA target is before DB Dev target",IF(AND(U44&lt;&gt;"",P44&lt;&gt;"",U44&lt;P44),"QA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4" x14ac:dyDescent="0.3">
      <c r="A45" s="33" t="s">
        <v>112</v>
      </c>
      <c r="B45" s="33" t="s">
        <v>155</v>
      </c>
      <c r="C45" s="33" t="s">
        <v>120</v>
      </c>
      <c r="D45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Dev",IF(K45="","No target set",IF(AND(K45&lt;TODAY(),M45=""),"Overdue","On track")),IF(C45="PBI Dev",IF(P45="","No target set",IF(AND(P45&lt;TODAY(),R45=""),"Overdue","On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 t="s">
        <v>115</v>
      </c>
      <c r="G45" s="33"/>
      <c r="H45" s="50">
        <v>46265</v>
      </c>
      <c r="I45" s="62" t="s">
        <v>151</v>
      </c>
      <c r="J45" s="33" t="s">
        <v>38</v>
      </c>
      <c r="K45" s="4">
        <v>46234</v>
      </c>
      <c r="L45" s="36">
        <v>46249</v>
      </c>
      <c r="M45" s="36">
        <v>46244</v>
      </c>
      <c r="N45" s="36" t="s">
        <v>152</v>
      </c>
      <c r="O45" s="66" t="s">
        <v>69</v>
      </c>
      <c r="P45" s="4">
        <v>46241</v>
      </c>
      <c r="Q45" s="36">
        <v>46252</v>
      </c>
      <c r="R45" s="36">
        <v>46251</v>
      </c>
      <c r="S45" s="70"/>
      <c r="T45" s="55"/>
      <c r="U45" s="60">
        <v>46255</v>
      </c>
      <c r="V45" s="36"/>
      <c r="W45" s="36"/>
      <c r="X45" s="36"/>
      <c r="Y45" s="53">
        <v>46260</v>
      </c>
      <c r="Z45" s="36"/>
      <c r="AA45" s="33"/>
      <c r="AB45" s="38"/>
      <c r="AC45" s="36"/>
      <c r="AD45" s="39"/>
      <c r="AE45" s="33"/>
      <c r="AF45" s="40" t="s">
        <v>45</v>
      </c>
      <c r="AG45" s="74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fix",R45&lt;&gt;"",SUMPRODUCT(MAX((('Rework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Log'!$A$3:$A$500,$B45)&gt;0,"",IF(AND(U45&lt;&gt;"",K45&lt;&gt;"",U45&lt;K45),"QA target is before DB Dev target",IF(AND(U45&lt;&gt;"",P45&lt;&gt;"",U45&lt;P45),"QA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" x14ac:dyDescent="0.3">
      <c r="A46" s="33" t="s">
        <v>112</v>
      </c>
      <c r="B46" s="33" t="s">
        <v>156</v>
      </c>
      <c r="C46" s="33" t="s">
        <v>125</v>
      </c>
      <c r="D46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Dev",IF(K46="","No target set",IF(AND(K46&lt;TODAY(),M46=""),"Overdue","On track")),IF(C46="PBI Dev",IF(P46="","No target set",IF(AND(P46&lt;TODAY(),R46=""),"Overdue","On track")),IF(C46="QA",IF(U46="","No target set",IF(AND(U46&lt;TODAY(),W46=""),"Overdue","On track")),IF(C46="DPO Approval",IF(Y46="","No target set",IF(Y46&lt;TODAY(),"Overdue","On track")),IF(C46="RELEASED IN PROD","Delivered",""))))))))</f>
        <v>Overdue</v>
      </c>
      <c r="E46" s="33">
        <v>20</v>
      </c>
      <c r="F46" s="34" t="s">
        <v>115</v>
      </c>
      <c r="G46" s="33"/>
      <c r="H46" s="50">
        <v>46265</v>
      </c>
      <c r="I46" s="62" t="s">
        <v>151</v>
      </c>
      <c r="J46" s="33" t="s">
        <v>76</v>
      </c>
      <c r="K46" s="4">
        <v>46234</v>
      </c>
      <c r="L46" s="36">
        <v>46213</v>
      </c>
      <c r="M46" s="36">
        <v>46244</v>
      </c>
      <c r="N46" s="36" t="s">
        <v>157</v>
      </c>
      <c r="O46" s="66" t="s">
        <v>52</v>
      </c>
      <c r="P46" s="4">
        <v>46241</v>
      </c>
      <c r="Q46" s="36"/>
      <c r="R46" s="36"/>
      <c r="S46" s="70"/>
      <c r="T46" s="55"/>
      <c r="U46" s="60">
        <v>46255</v>
      </c>
      <c r="V46" s="36"/>
      <c r="W46" s="36"/>
      <c r="X46" s="36"/>
      <c r="Y46" s="53">
        <v>46260</v>
      </c>
      <c r="Z46" s="36"/>
      <c r="AA46" s="33"/>
      <c r="AB46" s="38"/>
      <c r="AC46" s="36"/>
      <c r="AD46" s="39"/>
      <c r="AE46" s="33"/>
      <c r="AF46" s="40" t="s">
        <v>45</v>
      </c>
      <c r="AG46" s="74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fix",R46&lt;&gt;"",SUMPRODUCT(MAX((('Rework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Log'!$A$3:$A$500,$B46)&gt;0,"",IF(AND(U46&lt;&gt;"",K46&lt;&gt;"",U46&lt;K46),"QA target is before DB Dev target",IF(AND(U46&lt;&gt;"",P46&lt;&gt;"",U46&lt;P46),"QA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 ht="14.4" x14ac:dyDescent="0.3">
      <c r="A47" s="33" t="s">
        <v>112</v>
      </c>
      <c r="B47" s="33" t="s">
        <v>158</v>
      </c>
      <c r="C47" s="33" t="s">
        <v>125</v>
      </c>
      <c r="D47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Dev",IF(K47="","No target set",IF(AND(K47&lt;TODAY(),M47=""),"Overdue","On track")),IF(C47="PBI Dev",IF(P47="","No target set",IF(AND(P47&lt;TODAY(),R47=""),"Overdue","On track")),IF(C47="QA",IF(U47="","No target set",IF(AND(U47&lt;TODAY(),W47=""),"Overdue","On track")),IF(C47="DPO Approval",IF(Y47="","No target set",IF(Y47&lt;TODAY(),"Overdue","On track")),IF(C47="RELEASED IN PROD","Delivered",""))))))))</f>
        <v>Overdue</v>
      </c>
      <c r="E47" s="33">
        <v>21</v>
      </c>
      <c r="F47" s="34" t="s">
        <v>115</v>
      </c>
      <c r="G47" s="33"/>
      <c r="H47" s="50">
        <v>46265</v>
      </c>
      <c r="I47" s="62" t="s">
        <v>151</v>
      </c>
      <c r="J47" s="33" t="s">
        <v>139</v>
      </c>
      <c r="K47" s="4">
        <v>46234</v>
      </c>
      <c r="L47" s="36">
        <v>46246</v>
      </c>
      <c r="M47" s="36">
        <v>46246</v>
      </c>
      <c r="N47" s="36" t="s">
        <v>159</v>
      </c>
      <c r="O47" s="66" t="s">
        <v>69</v>
      </c>
      <c r="P47" s="4">
        <v>46241</v>
      </c>
      <c r="Q47" s="36"/>
      <c r="R47" s="36"/>
      <c r="S47" s="70"/>
      <c r="T47" s="55"/>
      <c r="U47" s="60">
        <v>46255</v>
      </c>
      <c r="V47" s="36"/>
      <c r="W47" s="36"/>
      <c r="X47" s="36"/>
      <c r="Y47" s="53">
        <v>46260</v>
      </c>
      <c r="Z47" s="36"/>
      <c r="AA47" s="33"/>
      <c r="AB47" s="38"/>
      <c r="AC47" s="36"/>
      <c r="AD47" s="39"/>
      <c r="AE47" s="33"/>
      <c r="AF47" s="40" t="s">
        <v>45</v>
      </c>
      <c r="AG47" s="74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fix",R47&lt;&gt;"",SUMPRODUCT(MAX((('Rework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Log'!$A$3:$A$500,$B47)&gt;0,"",IF(AND(U47&lt;&gt;"",K47&lt;&gt;"",U47&lt;K47),"QA target is before DB Dev target",IF(AND(U47&lt;&gt;"",P47&lt;&gt;"",U47&lt;P47),"QA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 ht="14.4" x14ac:dyDescent="0.3">
      <c r="A48" s="33" t="s">
        <v>112</v>
      </c>
      <c r="B48" s="33" t="s">
        <v>160</v>
      </c>
      <c r="C48" s="33" t="s">
        <v>154</v>
      </c>
      <c r="D48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Dev",IF(K48="","No target set",IF(AND(K48&lt;TODAY(),M48=""),"Overdue","On track")),IF(C48="PBI Dev",IF(P48="","No target set",IF(AND(P48&lt;TODAY(),R48=""),"Overdue","On track")),IF(C48="QA",IF(U48="","No target set",IF(AND(U48&lt;TODAY(),W48=""),"Overdue","On track")),IF(C48="DPO Approval",IF(Y48="","No target set",IF(Y48&lt;TODAY(),"Overdue","On track")),IF(C48="RELEASED IN PROD","Delivered",""))))))))</f>
        <v>Overdue</v>
      </c>
      <c r="E48" s="33">
        <v>22</v>
      </c>
      <c r="F48" s="34" t="s">
        <v>130</v>
      </c>
      <c r="G48" s="33"/>
      <c r="H48" s="50">
        <v>46265</v>
      </c>
      <c r="I48" s="62" t="s">
        <v>151</v>
      </c>
      <c r="J48" s="33" t="s">
        <v>94</v>
      </c>
      <c r="K48" s="4">
        <v>46234</v>
      </c>
      <c r="L48" s="36">
        <v>46255</v>
      </c>
      <c r="M48" s="36"/>
      <c r="N48" s="36" t="s">
        <v>159</v>
      </c>
      <c r="O48" s="66" t="s">
        <v>39</v>
      </c>
      <c r="P48" s="4">
        <v>46241</v>
      </c>
      <c r="Q48" s="36"/>
      <c r="R48" s="36"/>
      <c r="S48" s="70"/>
      <c r="T48" s="55"/>
      <c r="U48" s="60">
        <v>46255</v>
      </c>
      <c r="V48" s="36"/>
      <c r="W48" s="36"/>
      <c r="X48" s="36"/>
      <c r="Y48" s="53">
        <v>46260</v>
      </c>
      <c r="Z48" s="36"/>
      <c r="AA48" s="33"/>
      <c r="AB48" s="38"/>
      <c r="AC48" s="36"/>
      <c r="AD48" s="39"/>
      <c r="AE48" s="33"/>
      <c r="AF48" s="40" t="s">
        <v>45</v>
      </c>
      <c r="AG48" s="74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fix",R48&lt;&gt;"",SUMPRODUCT(MAX((('Rework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Log'!$A$3:$A$500,$B48)&gt;0,"",IF(AND(U48&lt;&gt;"",K48&lt;&gt;"",U48&lt;K48),"QA target is before DB Dev target",IF(AND(U48&lt;&gt;"",P48&lt;&gt;"",U48&lt;P48),"QA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" x14ac:dyDescent="0.3">
      <c r="A49" s="33" t="s">
        <v>112</v>
      </c>
      <c r="B49" s="33" t="s">
        <v>161</v>
      </c>
      <c r="C49" s="33" t="s">
        <v>154</v>
      </c>
      <c r="D49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Dev",IF(K49="","No target set",IF(AND(K49&lt;TODAY(),M49=""),"Overdue","On track")),IF(C49="PBI Dev",IF(P49="","No target set",IF(AND(P49&lt;TODAY(),R49=""),"Overdue","On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 t="s">
        <v>115</v>
      </c>
      <c r="G49" s="33"/>
      <c r="H49" s="50">
        <v>46265</v>
      </c>
      <c r="I49" s="62" t="s">
        <v>151</v>
      </c>
      <c r="J49" s="33" t="s">
        <v>139</v>
      </c>
      <c r="K49" s="4">
        <v>46234</v>
      </c>
      <c r="L49" s="36">
        <v>46253</v>
      </c>
      <c r="M49" s="36">
        <v>46252</v>
      </c>
      <c r="N49" s="36" t="s">
        <v>117</v>
      </c>
      <c r="O49" s="66" t="s">
        <v>39</v>
      </c>
      <c r="P49" s="4">
        <v>46241</v>
      </c>
      <c r="Q49" s="36"/>
      <c r="R49" s="36"/>
      <c r="S49" s="70"/>
      <c r="T49" s="55"/>
      <c r="U49" s="60">
        <v>46255</v>
      </c>
      <c r="V49" s="36"/>
      <c r="W49" s="36"/>
      <c r="X49" s="36"/>
      <c r="Y49" s="53">
        <v>46260</v>
      </c>
      <c r="Z49" s="36"/>
      <c r="AA49" s="33"/>
      <c r="AB49" s="38"/>
      <c r="AC49" s="36"/>
      <c r="AD49" s="39"/>
      <c r="AE49" s="33"/>
      <c r="AF49" s="40" t="s">
        <v>45</v>
      </c>
      <c r="AG49" s="74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fix",R49&lt;&gt;"",SUMPRODUCT(MAX((('Rework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Log'!$A$3:$A$500,$B49)&gt;0,"",IF(AND(U49&lt;&gt;"",K49&lt;&gt;"",U49&lt;K49),"QA target is before DB Dev target",IF(AND(U49&lt;&gt;"",P49&lt;&gt;"",U49&lt;P49),"QA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4.4" x14ac:dyDescent="0.3">
      <c r="A50" s="33" t="s">
        <v>112</v>
      </c>
      <c r="B50" s="33" t="s">
        <v>162</v>
      </c>
      <c r="C50" s="33" t="s">
        <v>125</v>
      </c>
      <c r="D50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Dev",IF(K50="","No target set",IF(AND(K50&lt;TODAY(),M50=""),"Overdue","On track")),IF(C50="PBI Dev",IF(P50="","No target set",IF(AND(P50&lt;TODAY(),R50=""),"Overdue","On track")),IF(C50="QA",IF(U50="","No target set",IF(AND(U50&lt;TODAY(),W50=""),"Overdue","On track")),IF(C50="DPO Approval",IF(Y50="","No target set",IF(Y50&lt;TODAY(),"Overdue","On track")),IF(C50="RELEASED IN PROD","Delivered",""))))))))</f>
        <v>Overdue</v>
      </c>
      <c r="E50" s="33">
        <v>25</v>
      </c>
      <c r="F50" s="34" t="s">
        <v>130</v>
      </c>
      <c r="G50" s="33"/>
      <c r="H50" s="50">
        <v>46265</v>
      </c>
      <c r="I50" s="62" t="s">
        <v>151</v>
      </c>
      <c r="J50" s="33" t="s">
        <v>38</v>
      </c>
      <c r="K50" s="4">
        <v>46234</v>
      </c>
      <c r="L50" s="36">
        <v>46249</v>
      </c>
      <c r="M50" s="36">
        <v>46245</v>
      </c>
      <c r="N50" s="36" t="s">
        <v>159</v>
      </c>
      <c r="O50" s="66" t="s">
        <v>52</v>
      </c>
      <c r="P50" s="4">
        <v>46241</v>
      </c>
      <c r="Q50" s="36"/>
      <c r="R50" s="36"/>
      <c r="S50" s="70"/>
      <c r="T50" s="55"/>
      <c r="U50" s="60">
        <v>46255</v>
      </c>
      <c r="V50" s="36"/>
      <c r="W50" s="36"/>
      <c r="X50" s="36"/>
      <c r="Y50" s="53">
        <v>46260</v>
      </c>
      <c r="Z50" s="36"/>
      <c r="AA50" s="33"/>
      <c r="AB50" s="38"/>
      <c r="AC50" s="36"/>
      <c r="AD50" s="39"/>
      <c r="AE50" s="33"/>
      <c r="AF50" s="40" t="s">
        <v>45</v>
      </c>
      <c r="AG50" s="74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fix",R50&lt;&gt;"",SUMPRODUCT(MAX((('Rework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Log'!$A$3:$A$500,$B50)&gt;0,"",IF(AND(U50&lt;&gt;"",K50&lt;&gt;"",U50&lt;K50),"QA target is before DB Dev target",IF(AND(U50&lt;&gt;"",P50&lt;&gt;"",U50&lt;P50),"QA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 ht="14.4" x14ac:dyDescent="0.3">
      <c r="A51" s="33" t="s">
        <v>112</v>
      </c>
      <c r="B51" s="33" t="s">
        <v>163</v>
      </c>
      <c r="C51" s="33" t="s">
        <v>125</v>
      </c>
      <c r="D51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Dev",IF(K51="","No target set",IF(AND(K51&lt;TODAY(),M51=""),"Overdue","On track")),IF(C51="PBI Dev",IF(P51="","No target set",IF(AND(P51&lt;TODAY(),R51=""),"Overdue","On track")),IF(C51="QA",IF(U51="","No target set",IF(AND(U51&lt;TODAY(),W51=""),"Overdue","On track")),IF(C51="DPO Approval",IF(Y51="","No target set",IF(Y51&lt;TODAY(),"Overdue","On track")),IF(C51="RELEASED IN PROD","Delivered",""))))))))</f>
        <v>Overdue</v>
      </c>
      <c r="E51" s="33">
        <v>26</v>
      </c>
      <c r="F51" s="34" t="s">
        <v>130</v>
      </c>
      <c r="G51" s="33"/>
      <c r="H51" s="50">
        <v>46265</v>
      </c>
      <c r="I51" s="62" t="s">
        <v>151</v>
      </c>
      <c r="J51" s="33" t="s">
        <v>68</v>
      </c>
      <c r="K51" s="4">
        <v>46234</v>
      </c>
      <c r="L51" s="36">
        <v>46248</v>
      </c>
      <c r="M51" s="36">
        <v>46248</v>
      </c>
      <c r="N51" s="36" t="s">
        <v>159</v>
      </c>
      <c r="O51" s="66" t="s">
        <v>69</v>
      </c>
      <c r="P51" s="4">
        <v>46241</v>
      </c>
      <c r="Q51" s="36"/>
      <c r="R51" s="36"/>
      <c r="S51" s="70"/>
      <c r="T51" s="55"/>
      <c r="U51" s="60">
        <v>46255</v>
      </c>
      <c r="V51" s="36"/>
      <c r="W51" s="36"/>
      <c r="X51" s="36"/>
      <c r="Y51" s="53">
        <v>46260</v>
      </c>
      <c r="Z51" s="36"/>
      <c r="AA51" s="33"/>
      <c r="AB51" s="38"/>
      <c r="AC51" s="36"/>
      <c r="AD51" s="39"/>
      <c r="AE51" s="33"/>
      <c r="AF51" s="40" t="s">
        <v>45</v>
      </c>
      <c r="AG51" s="74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fix",R51&lt;&gt;"",SUMPRODUCT(MAX((('Rework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Log'!$A$3:$A$500,$B51)&gt;0,"",IF(AND(U51&lt;&gt;"",K51&lt;&gt;"",U51&lt;K51),"QA target is before DB Dev target",IF(AND(U51&lt;&gt;"",P51&lt;&gt;"",U51&lt;P51),"QA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 ht="14.4" x14ac:dyDescent="0.3">
      <c r="A52" s="33" t="s">
        <v>112</v>
      </c>
      <c r="B52" s="33" t="s">
        <v>164</v>
      </c>
      <c r="C52" s="33" t="s">
        <v>154</v>
      </c>
      <c r="D52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Dev",IF(K52="","No target set",IF(AND(K52&lt;TODAY(),M52=""),"Overdue","On track")),IF(C52="PBI Dev",IF(P52="","No target set",IF(AND(P52&lt;TODAY(),R52=""),"Overdue","On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 t="s">
        <v>115</v>
      </c>
      <c r="G52" s="33"/>
      <c r="H52" s="50">
        <v>46265</v>
      </c>
      <c r="I52" s="62" t="s">
        <v>151</v>
      </c>
      <c r="J52" s="33" t="s">
        <v>105</v>
      </c>
      <c r="K52" s="4">
        <v>46234</v>
      </c>
      <c r="L52" s="36">
        <v>46253</v>
      </c>
      <c r="M52" s="36">
        <v>46252</v>
      </c>
      <c r="N52" s="36" t="s">
        <v>159</v>
      </c>
      <c r="O52" s="66" t="s">
        <v>39</v>
      </c>
      <c r="P52" s="4">
        <v>46241</v>
      </c>
      <c r="Q52" s="36"/>
      <c r="R52" s="36"/>
      <c r="S52" s="70"/>
      <c r="T52" s="55"/>
      <c r="U52" s="60">
        <v>46255</v>
      </c>
      <c r="V52" s="36"/>
      <c r="W52" s="36"/>
      <c r="X52" s="36"/>
      <c r="Y52" s="53">
        <v>46260</v>
      </c>
      <c r="Z52" s="36"/>
      <c r="AA52" s="33"/>
      <c r="AB52" s="38"/>
      <c r="AC52" s="36"/>
      <c r="AD52" s="39"/>
      <c r="AE52" s="33"/>
      <c r="AF52" s="40" t="s">
        <v>45</v>
      </c>
      <c r="AG52" s="74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fix",R52&lt;&gt;"",SUMPRODUCT(MAX((('Rework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Log'!$A$3:$A$500,$B52)&gt;0,"",IF(AND(U52&lt;&gt;"",K52&lt;&gt;"",U52&lt;K52),"QA target is before DB Dev target",IF(AND(U52&lt;&gt;"",P52&lt;&gt;"",U52&lt;P52),"QA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 ht="14.4" x14ac:dyDescent="0.3">
      <c r="A53" s="33" t="s">
        <v>112</v>
      </c>
      <c r="B53" s="33" t="s">
        <v>165</v>
      </c>
      <c r="C53" s="33" t="s">
        <v>125</v>
      </c>
      <c r="D5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Dev",IF(K53="","No target set",IF(AND(K53&lt;TODAY(),M53=""),"Overdue","On track")),IF(C53="PBI Dev",IF(P53="","No target set",IF(AND(P53&lt;TODAY(),R53=""),"Overdue","On track")),IF(C53="QA",IF(U53="","No target set",IF(AND(U53&lt;TODAY(),W53=""),"Overdue","On track")),IF(C53="DPO Approval",IF(Y53="","No target set",IF(Y53&lt;TODAY(),"Overdue","On track")),IF(C53="RELEASED IN PROD","Delivered",""))))))))</f>
        <v>Overdue</v>
      </c>
      <c r="E53" s="33">
        <v>29</v>
      </c>
      <c r="F53" s="34" t="s">
        <v>130</v>
      </c>
      <c r="G53" s="33"/>
      <c r="H53" s="50">
        <v>46265</v>
      </c>
      <c r="I53" s="62" t="s">
        <v>151</v>
      </c>
      <c r="J53" s="33" t="s">
        <v>68</v>
      </c>
      <c r="K53" s="4">
        <v>46234</v>
      </c>
      <c r="L53" s="36">
        <v>46251</v>
      </c>
      <c r="M53" s="36">
        <v>46251</v>
      </c>
      <c r="N53" s="36" t="s">
        <v>117</v>
      </c>
      <c r="O53" s="66" t="s">
        <v>69</v>
      </c>
      <c r="P53" s="4">
        <v>46241</v>
      </c>
      <c r="Q53" s="36"/>
      <c r="R53" s="36"/>
      <c r="S53" s="70"/>
      <c r="T53" s="55"/>
      <c r="U53" s="60">
        <v>46255</v>
      </c>
      <c r="V53" s="36"/>
      <c r="W53" s="36"/>
      <c r="X53" s="36"/>
      <c r="Y53" s="53">
        <v>46260</v>
      </c>
      <c r="Z53" s="36"/>
      <c r="AA53" s="33"/>
      <c r="AB53" s="38"/>
      <c r="AC53" s="36"/>
      <c r="AD53" s="39"/>
      <c r="AE53" s="33"/>
      <c r="AF53" s="40" t="s">
        <v>45</v>
      </c>
      <c r="AG53" s="74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fix",R53&lt;&gt;"",SUMPRODUCT(MAX((('Rework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Log'!$A$3:$A$500,$B53)&gt;0,"",IF(AND(U53&lt;&gt;"",K53&lt;&gt;"",U53&lt;K53),"QA target is before DB Dev target",IF(AND(U53&lt;&gt;"",P53&lt;&gt;"",U53&lt;P53),"QA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" x14ac:dyDescent="0.3">
      <c r="A54" s="33" t="s">
        <v>112</v>
      </c>
      <c r="B54" s="33" t="s">
        <v>166</v>
      </c>
      <c r="C54" s="33" t="s">
        <v>154</v>
      </c>
      <c r="D54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Dev",IF(K54="","No target set",IF(AND(K54&lt;TODAY(),M54=""),"Overdue","On track")),IF(C54="PBI Dev",IF(P54="","No target set",IF(AND(P54&lt;TODAY(),R54=""),"Overdue","On track")),IF(C54="QA",IF(U54="","No target set",IF(AND(U54&lt;TODAY(),W54=""),"Overdue","On track")),IF(C54="DPO Approval",IF(Y54="","No target set",IF(Y54&lt;TODAY(),"Overdue","On track")),IF(C54="RELEASED IN PROD","Delivered",""))))))))</f>
        <v>Overdue</v>
      </c>
      <c r="E54" s="33">
        <v>30</v>
      </c>
      <c r="F54" s="34" t="s">
        <v>115</v>
      </c>
      <c r="G54" s="33"/>
      <c r="H54" s="50">
        <v>46265</v>
      </c>
      <c r="I54" s="62" t="s">
        <v>151</v>
      </c>
      <c r="J54" s="33" t="s">
        <v>76</v>
      </c>
      <c r="K54" s="4">
        <v>46234</v>
      </c>
      <c r="L54" s="36">
        <v>46255</v>
      </c>
      <c r="M54" s="36"/>
      <c r="N54" s="36" t="s">
        <v>117</v>
      </c>
      <c r="O54" s="66" t="s">
        <v>52</v>
      </c>
      <c r="P54" s="4">
        <v>46241</v>
      </c>
      <c r="Q54" s="36"/>
      <c r="R54" s="36"/>
      <c r="S54" s="70"/>
      <c r="T54" s="55"/>
      <c r="U54" s="60">
        <v>46255</v>
      </c>
      <c r="V54" s="36"/>
      <c r="W54" s="36"/>
      <c r="X54" s="36"/>
      <c r="Y54" s="53">
        <v>46260</v>
      </c>
      <c r="Z54" s="36"/>
      <c r="AA54" s="33"/>
      <c r="AB54" s="38"/>
      <c r="AC54" s="36"/>
      <c r="AD54" s="39"/>
      <c r="AE54" s="33"/>
      <c r="AF54" s="40" t="s">
        <v>45</v>
      </c>
      <c r="AG54" s="74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fix",R54&lt;&gt;"",SUMPRODUCT(MAX((('Rework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Log'!$A$3:$A$500,$B54)&gt;0,"",IF(AND(U54&lt;&gt;"",K54&lt;&gt;"",U54&lt;K54),"QA target is before DB Dev target",IF(AND(U54&lt;&gt;"",P54&lt;&gt;"",U54&lt;P54),"QA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" hidden="1" x14ac:dyDescent="0.3">
      <c r="A55" s="33" t="s">
        <v>112</v>
      </c>
      <c r="B55" s="33" t="s">
        <v>167</v>
      </c>
      <c r="C55" s="33" t="s">
        <v>168</v>
      </c>
      <c r="D55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Dev",IF(K55="","No target set",IF(AND(K55&lt;TODAY(),M55=""),"Overdue","On track")),IF(C55="PBI Dev",IF(P55="","No target set",IF(AND(P55&lt;TODAY(),R55=""),"Overdue","On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50">
        <v>46295</v>
      </c>
      <c r="I55" s="56" t="s">
        <v>169</v>
      </c>
      <c r="J55" s="33" t="s">
        <v>68</v>
      </c>
      <c r="K55" s="4">
        <v>46262</v>
      </c>
      <c r="L55" s="36"/>
      <c r="M55" s="36"/>
      <c r="N55" s="36" t="s">
        <v>170</v>
      </c>
      <c r="O55" s="64"/>
      <c r="P55" s="4">
        <v>46269</v>
      </c>
      <c r="Q55" s="36"/>
      <c r="R55" s="36"/>
      <c r="S55" s="70"/>
      <c r="T55" s="33"/>
      <c r="U55" s="60">
        <v>46276</v>
      </c>
      <c r="V55" s="36"/>
      <c r="W55" s="36"/>
      <c r="X55" s="36"/>
      <c r="Y55" s="53">
        <v>46290</v>
      </c>
      <c r="Z55" s="36"/>
      <c r="AA55" s="33"/>
      <c r="AB55" s="38"/>
      <c r="AC55" s="36"/>
      <c r="AD55" s="39"/>
      <c r="AE55" s="33"/>
      <c r="AF55" s="40" t="s">
        <v>45</v>
      </c>
      <c r="AG55" s="74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fix",R55&lt;&gt;"",SUMPRODUCT(MAX((('Rework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Log'!$A$3:$A$500,$B55)&gt;0,"",IF(AND(U55&lt;&gt;"",K55&lt;&gt;"",U55&lt;K55),"QA target is before DB Dev target",IF(AND(U55&lt;&gt;"",P55&lt;&gt;"",U55&lt;P55),"QA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" hidden="1" x14ac:dyDescent="0.3">
      <c r="A56" s="33" t="s">
        <v>112</v>
      </c>
      <c r="B56" s="33" t="s">
        <v>171</v>
      </c>
      <c r="C56" s="33" t="s">
        <v>168</v>
      </c>
      <c r="D56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Dev",IF(K56="","No target set",IF(AND(K56&lt;TODAY(),M56=""),"Overdue","On track")),IF(C56="PBI Dev",IF(P56="","No target set",IF(AND(P56&lt;TODAY(),R56=""),"Overdue","On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50">
        <v>46295</v>
      </c>
      <c r="I56" s="56" t="s">
        <v>169</v>
      </c>
      <c r="J56" s="33" t="s">
        <v>68</v>
      </c>
      <c r="K56" s="4">
        <v>46262</v>
      </c>
      <c r="L56" s="36"/>
      <c r="M56" s="36"/>
      <c r="N56" s="36" t="s">
        <v>170</v>
      </c>
      <c r="O56" s="64"/>
      <c r="P56" s="4">
        <v>46269</v>
      </c>
      <c r="Q56" s="36"/>
      <c r="R56" s="36"/>
      <c r="S56" s="70"/>
      <c r="T56" s="33"/>
      <c r="U56" s="60">
        <v>46276</v>
      </c>
      <c r="V56" s="36"/>
      <c r="W56" s="36"/>
      <c r="X56" s="36"/>
      <c r="Y56" s="53">
        <v>46290</v>
      </c>
      <c r="Z56" s="36"/>
      <c r="AA56" s="33"/>
      <c r="AB56" s="38"/>
      <c r="AC56" s="36"/>
      <c r="AD56" s="39"/>
      <c r="AE56" s="33"/>
      <c r="AF56" s="40" t="s">
        <v>45</v>
      </c>
      <c r="AG56" s="74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fix",R56&lt;&gt;"",SUMPRODUCT(MAX((('Rework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Log'!$A$3:$A$500,$B56)&gt;0,"",IF(AND(U56&lt;&gt;"",K56&lt;&gt;"",U56&lt;K56),"QA target is before DB Dev target",IF(AND(U56&lt;&gt;"",P56&lt;&gt;"",U56&lt;P56),"QA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 ht="14.4" hidden="1" x14ac:dyDescent="0.3">
      <c r="A57" s="33" t="s">
        <v>112</v>
      </c>
      <c r="B57" s="33" t="s">
        <v>172</v>
      </c>
      <c r="C57" s="33" t="s">
        <v>168</v>
      </c>
      <c r="D57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Dev",IF(K57="","No target set",IF(AND(K57&lt;TODAY(),M57=""),"Overdue","On track")),IF(C57="PBI Dev",IF(P57="","No target set",IF(AND(P57&lt;TODAY(),R57=""),"Overdue","On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50">
        <v>46295</v>
      </c>
      <c r="I57" s="56" t="s">
        <v>169</v>
      </c>
      <c r="J57" s="33" t="s">
        <v>105</v>
      </c>
      <c r="K57" s="4">
        <v>46262</v>
      </c>
      <c r="L57" s="36"/>
      <c r="M57" s="36"/>
      <c r="N57" s="36" t="s">
        <v>170</v>
      </c>
      <c r="O57" s="64"/>
      <c r="P57" s="4">
        <v>46269</v>
      </c>
      <c r="Q57" s="36"/>
      <c r="R57" s="36"/>
      <c r="S57" s="70"/>
      <c r="T57" s="33"/>
      <c r="U57" s="60">
        <v>46276</v>
      </c>
      <c r="V57" s="36"/>
      <c r="W57" s="36"/>
      <c r="X57" s="36"/>
      <c r="Y57" s="53">
        <v>46290</v>
      </c>
      <c r="Z57" s="36"/>
      <c r="AA57" s="33"/>
      <c r="AB57" s="38"/>
      <c r="AC57" s="36"/>
      <c r="AD57" s="39"/>
      <c r="AE57" s="33"/>
      <c r="AF57" s="40" t="s">
        <v>45</v>
      </c>
      <c r="AG57" s="74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fix",R57&lt;&gt;"",SUMPRODUCT(MAX((('Rework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Log'!$A$3:$A$500,$B57)&gt;0,"",IF(AND(U57&lt;&gt;"",K57&lt;&gt;"",U57&lt;K57),"QA target is before DB Dev target",IF(AND(U57&lt;&gt;"",P57&lt;&gt;"",U57&lt;P57),"QA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 ht="14.4" hidden="1" x14ac:dyDescent="0.3">
      <c r="A58" s="33" t="s">
        <v>112</v>
      </c>
      <c r="B58" s="33" t="s">
        <v>173</v>
      </c>
      <c r="C58" s="33" t="s">
        <v>168</v>
      </c>
      <c r="D58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Dev",IF(K58="","No target set",IF(AND(K58&lt;TODAY(),M58=""),"Overdue","On track")),IF(C58="PBI Dev",IF(P58="","No target set",IF(AND(P58&lt;TODAY(),R58=""),"Overdue","On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50">
        <v>46295</v>
      </c>
      <c r="I58" s="56" t="s">
        <v>169</v>
      </c>
      <c r="J58" s="33" t="s">
        <v>105</v>
      </c>
      <c r="K58" s="4">
        <v>46262</v>
      </c>
      <c r="L58" s="36"/>
      <c r="M58" s="36"/>
      <c r="N58" s="36" t="s">
        <v>170</v>
      </c>
      <c r="O58" s="64"/>
      <c r="P58" s="4">
        <v>46269</v>
      </c>
      <c r="Q58" s="36"/>
      <c r="R58" s="36"/>
      <c r="S58" s="70"/>
      <c r="T58" s="33"/>
      <c r="U58" s="60">
        <v>46276</v>
      </c>
      <c r="V58" s="36"/>
      <c r="W58" s="36"/>
      <c r="X58" s="36"/>
      <c r="Y58" s="53">
        <v>46290</v>
      </c>
      <c r="Z58" s="36"/>
      <c r="AA58" s="33"/>
      <c r="AB58" s="38"/>
      <c r="AC58" s="36"/>
      <c r="AD58" s="39"/>
      <c r="AE58" s="33"/>
      <c r="AF58" s="40" t="s">
        <v>45</v>
      </c>
      <c r="AG58" s="74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fix",R58&lt;&gt;"",SUMPRODUCT(MAX((('Rework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Log'!$A$3:$A$500,$B58)&gt;0,"",IF(AND(U58&lt;&gt;"",K58&lt;&gt;"",U58&lt;K58),"QA target is before DB Dev target",IF(AND(U58&lt;&gt;"",P58&lt;&gt;"",U58&lt;P58),"QA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" hidden="1" x14ac:dyDescent="0.3">
      <c r="A59" s="33" t="s">
        <v>112</v>
      </c>
      <c r="B59" s="33" t="s">
        <v>174</v>
      </c>
      <c r="C59" s="33" t="s">
        <v>168</v>
      </c>
      <c r="D59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Dev",IF(K59="","No target set",IF(AND(K59&lt;TODAY(),M59=""),"Overdue","On track")),IF(C59="PBI Dev",IF(P59="","No target set",IF(AND(P59&lt;TODAY(),R59=""),"Overdue","On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50">
        <v>46295</v>
      </c>
      <c r="I59" s="56" t="s">
        <v>169</v>
      </c>
      <c r="J59" s="33" t="s">
        <v>38</v>
      </c>
      <c r="K59" s="4">
        <v>46262</v>
      </c>
      <c r="L59" s="36"/>
      <c r="M59" s="36"/>
      <c r="N59" s="36" t="s">
        <v>170</v>
      </c>
      <c r="O59" s="64"/>
      <c r="P59" s="4">
        <v>46269</v>
      </c>
      <c r="Q59" s="36"/>
      <c r="R59" s="36"/>
      <c r="S59" s="70"/>
      <c r="T59" s="33"/>
      <c r="U59" s="60">
        <v>46276</v>
      </c>
      <c r="V59" s="36"/>
      <c r="W59" s="36"/>
      <c r="X59" s="36"/>
      <c r="Y59" s="53">
        <v>46290</v>
      </c>
      <c r="Z59" s="36"/>
      <c r="AA59" s="33"/>
      <c r="AB59" s="38"/>
      <c r="AC59" s="36"/>
      <c r="AD59" s="39"/>
      <c r="AE59" s="33"/>
      <c r="AF59" s="40" t="s">
        <v>45</v>
      </c>
      <c r="AG59" s="74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fix",R59&lt;&gt;"",SUMPRODUCT(MAX((('Rework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Log'!$A$3:$A$500,$B59)&gt;0,"",IF(AND(U59&lt;&gt;"",K59&lt;&gt;"",U59&lt;K59),"QA target is before DB Dev target",IF(AND(U59&lt;&gt;"",P59&lt;&gt;"",U59&lt;P59),"QA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" hidden="1" x14ac:dyDescent="0.3">
      <c r="A60" s="33" t="s">
        <v>112</v>
      </c>
      <c r="B60" s="33" t="s">
        <v>175</v>
      </c>
      <c r="C60" s="33" t="s">
        <v>168</v>
      </c>
      <c r="D60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Dev",IF(K60="","No target set",IF(AND(K60&lt;TODAY(),M60=""),"Overdue","On track")),IF(C60="PBI Dev",IF(P60="","No target set",IF(AND(P60&lt;TODAY(),R60=""),"Overdue","On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50">
        <v>46295</v>
      </c>
      <c r="I60" s="56" t="s">
        <v>169</v>
      </c>
      <c r="J60" s="33" t="s">
        <v>139</v>
      </c>
      <c r="K60" s="4">
        <v>46262</v>
      </c>
      <c r="L60" s="36"/>
      <c r="M60" s="36"/>
      <c r="N60" s="36" t="s">
        <v>170</v>
      </c>
      <c r="O60" s="64"/>
      <c r="P60" s="4">
        <v>46269</v>
      </c>
      <c r="Q60" s="36"/>
      <c r="R60" s="36"/>
      <c r="S60" s="70"/>
      <c r="T60" s="33"/>
      <c r="U60" s="60">
        <v>46276</v>
      </c>
      <c r="V60" s="36"/>
      <c r="W60" s="36"/>
      <c r="X60" s="36"/>
      <c r="Y60" s="53">
        <v>46290</v>
      </c>
      <c r="Z60" s="36"/>
      <c r="AA60" s="33"/>
      <c r="AB60" s="38"/>
      <c r="AC60" s="36"/>
      <c r="AD60" s="39"/>
      <c r="AE60" s="33"/>
      <c r="AF60" s="40" t="s">
        <v>45</v>
      </c>
      <c r="AG60" s="74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fix",R60&lt;&gt;"",SUMPRODUCT(MAX((('Rework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Log'!$A$3:$A$500,$B60)&gt;0,"",IF(AND(U60&lt;&gt;"",K60&lt;&gt;"",U60&lt;K60),"QA target is before DB Dev target",IF(AND(U60&lt;&gt;"",P60&lt;&gt;"",U60&lt;P60),"QA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" hidden="1" x14ac:dyDescent="0.3">
      <c r="A61" s="33" t="s">
        <v>112</v>
      </c>
      <c r="B61" s="33" t="s">
        <v>176</v>
      </c>
      <c r="C61" s="33" t="s">
        <v>168</v>
      </c>
      <c r="D61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Dev",IF(K61="","No target set",IF(AND(K61&lt;TODAY(),M61=""),"Overdue","On track")),IF(C61="PBI Dev",IF(P61="","No target set",IF(AND(P61&lt;TODAY(),R61=""),"Overdue","On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50">
        <v>46295</v>
      </c>
      <c r="I61" s="56" t="s">
        <v>169</v>
      </c>
      <c r="J61" s="33" t="s">
        <v>38</v>
      </c>
      <c r="K61" s="4">
        <v>46262</v>
      </c>
      <c r="L61" s="36"/>
      <c r="M61" s="36"/>
      <c r="N61" s="36" t="s">
        <v>170</v>
      </c>
      <c r="O61" s="64"/>
      <c r="P61" s="4">
        <v>46269</v>
      </c>
      <c r="Q61" s="36"/>
      <c r="R61" s="36"/>
      <c r="S61" s="70"/>
      <c r="T61" s="33"/>
      <c r="U61" s="60">
        <v>46276</v>
      </c>
      <c r="V61" s="36"/>
      <c r="W61" s="36"/>
      <c r="X61" s="36"/>
      <c r="Y61" s="53">
        <v>46290</v>
      </c>
      <c r="Z61" s="36"/>
      <c r="AA61" s="33"/>
      <c r="AB61" s="38"/>
      <c r="AC61" s="36"/>
      <c r="AD61" s="39"/>
      <c r="AE61" s="33"/>
      <c r="AF61" s="40" t="s">
        <v>45</v>
      </c>
      <c r="AG61" s="74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fix",R61&lt;&gt;"",SUMPRODUCT(MAX((('Rework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Log'!$A$3:$A$500,$B61)&gt;0,"",IF(AND(U61&lt;&gt;"",K61&lt;&gt;"",U61&lt;K61),"QA target is before DB Dev target",IF(AND(U61&lt;&gt;"",P61&lt;&gt;"",U61&lt;P61),"QA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" hidden="1" x14ac:dyDescent="0.3">
      <c r="A62" s="33" t="s">
        <v>112</v>
      </c>
      <c r="B62" s="33" t="s">
        <v>177</v>
      </c>
      <c r="C62" s="33" t="s">
        <v>168</v>
      </c>
      <c r="D62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Dev",IF(K62="","No target set",IF(AND(K62&lt;TODAY(),M62=""),"Overdue","On track")),IF(C62="PBI Dev",IF(P62="","No target set",IF(AND(P62&lt;TODAY(),R62=""),"Overdue","On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50">
        <v>46295</v>
      </c>
      <c r="I62" s="56" t="s">
        <v>169</v>
      </c>
      <c r="J62" s="33" t="s">
        <v>76</v>
      </c>
      <c r="K62" s="4">
        <v>46262</v>
      </c>
      <c r="L62" s="36"/>
      <c r="M62" s="36"/>
      <c r="N62" s="36" t="s">
        <v>170</v>
      </c>
      <c r="O62" s="64"/>
      <c r="P62" s="4">
        <v>46269</v>
      </c>
      <c r="Q62" s="36"/>
      <c r="R62" s="36"/>
      <c r="S62" s="70"/>
      <c r="T62" s="33"/>
      <c r="U62" s="60">
        <v>46276</v>
      </c>
      <c r="V62" s="36"/>
      <c r="W62" s="36"/>
      <c r="X62" s="36"/>
      <c r="Y62" s="53">
        <v>46290</v>
      </c>
      <c r="Z62" s="36"/>
      <c r="AA62" s="33"/>
      <c r="AB62" s="38"/>
      <c r="AC62" s="36"/>
      <c r="AD62" s="39"/>
      <c r="AE62" s="33"/>
      <c r="AF62" s="40" t="s">
        <v>45</v>
      </c>
      <c r="AG62" s="74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fix",R62&lt;&gt;"",SUMPRODUCT(MAX((('Rework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Log'!$A$3:$A$500,$B62)&gt;0,"",IF(AND(U62&lt;&gt;"",K62&lt;&gt;"",U62&lt;K62),"QA target is before DB Dev target",IF(AND(U62&lt;&gt;"",P62&lt;&gt;"",U62&lt;P62),"QA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" hidden="1" x14ac:dyDescent="0.3">
      <c r="A63" s="33" t="s">
        <v>112</v>
      </c>
      <c r="B63" s="33" t="s">
        <v>178</v>
      </c>
      <c r="C63" s="33" t="s">
        <v>168</v>
      </c>
      <c r="D6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Dev",IF(K63="","No target set",IF(AND(K63&lt;TODAY(),M63=""),"Overdue","On track")),IF(C63="PBI Dev",IF(P63="","No target set",IF(AND(P63&lt;TODAY(),R63=""),"Overdue","On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50">
        <v>46295</v>
      </c>
      <c r="I63" s="56" t="s">
        <v>169</v>
      </c>
      <c r="J63" s="33"/>
      <c r="K63" s="4">
        <v>46276</v>
      </c>
      <c r="L63" s="36"/>
      <c r="M63" s="36"/>
      <c r="N63" s="36"/>
      <c r="O63" s="64"/>
      <c r="P63" s="4">
        <v>46286</v>
      </c>
      <c r="Q63" s="36"/>
      <c r="R63" s="36"/>
      <c r="S63" s="70"/>
      <c r="T63" s="33"/>
      <c r="U63" s="60">
        <v>46290</v>
      </c>
      <c r="V63" s="36"/>
      <c r="W63" s="36"/>
      <c r="X63" s="36"/>
      <c r="Y63" s="53">
        <v>46295</v>
      </c>
      <c r="Z63" s="36"/>
      <c r="AA63" s="33"/>
      <c r="AB63" s="38"/>
      <c r="AC63" s="36"/>
      <c r="AD63" s="39"/>
      <c r="AE63" s="33"/>
      <c r="AF63" s="40" t="s">
        <v>45</v>
      </c>
      <c r="AG63" s="74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fix",R63&lt;&gt;"",SUMPRODUCT(MAX((('Rework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Log'!$A$3:$A$500,$B63)&gt;0,"",IF(AND(U63&lt;&gt;"",K63&lt;&gt;"",U63&lt;K63),"QA target is before DB Dev target",IF(AND(U63&lt;&gt;"",P63&lt;&gt;"",U63&lt;P63),"QA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" hidden="1" x14ac:dyDescent="0.3">
      <c r="A64" s="33" t="s">
        <v>112</v>
      </c>
      <c r="B64" s="33" t="s">
        <v>179</v>
      </c>
      <c r="C64" s="33" t="s">
        <v>168</v>
      </c>
      <c r="D64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Dev",IF(K64="","No target set",IF(AND(K64&lt;TODAY(),M64=""),"Overdue","On track")),IF(C64="PBI Dev",IF(P64="","No target set",IF(AND(P64&lt;TODAY(),R64=""),"Overdue","On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50">
        <v>46295</v>
      </c>
      <c r="I64" s="56" t="s">
        <v>169</v>
      </c>
      <c r="J64" s="33"/>
      <c r="K64" s="4">
        <v>46276</v>
      </c>
      <c r="L64" s="36"/>
      <c r="M64" s="36"/>
      <c r="N64" s="36"/>
      <c r="O64" s="64"/>
      <c r="P64" s="4">
        <v>46286</v>
      </c>
      <c r="Q64" s="36"/>
      <c r="R64" s="36"/>
      <c r="S64" s="70"/>
      <c r="T64" s="33"/>
      <c r="U64" s="60">
        <v>46290</v>
      </c>
      <c r="V64" s="36"/>
      <c r="W64" s="36"/>
      <c r="X64" s="36"/>
      <c r="Y64" s="53">
        <v>46295</v>
      </c>
      <c r="Z64" s="36"/>
      <c r="AA64" s="33"/>
      <c r="AB64" s="38"/>
      <c r="AC64" s="36"/>
      <c r="AD64" s="39"/>
      <c r="AE64" s="33"/>
      <c r="AF64" s="40" t="s">
        <v>45</v>
      </c>
      <c r="AG64" s="74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fix",R64&lt;&gt;"",SUMPRODUCT(MAX((('Rework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Log'!$A$3:$A$500,$B64)&gt;0,"",IF(AND(U64&lt;&gt;"",K64&lt;&gt;"",U64&lt;K64),"QA target is before DB Dev target",IF(AND(U64&lt;&gt;"",P64&lt;&gt;"",U64&lt;P64),"QA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" hidden="1" x14ac:dyDescent="0.3">
      <c r="A65" s="33" t="s">
        <v>112</v>
      </c>
      <c r="B65" s="33" t="s">
        <v>180</v>
      </c>
      <c r="C65" s="33" t="s">
        <v>168</v>
      </c>
      <c r="D65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Dev",IF(K65="","No target set",IF(AND(K65&lt;TODAY(),M65=""),"Overdue","On track")),IF(C65="PBI Dev",IF(P65="","No target set",IF(AND(P65&lt;TODAY(),R65=""),"Overdue","On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50">
        <v>46295</v>
      </c>
      <c r="I65" s="56" t="s">
        <v>169</v>
      </c>
      <c r="J65" s="33"/>
      <c r="K65" s="4">
        <v>46276</v>
      </c>
      <c r="L65" s="36"/>
      <c r="M65" s="36"/>
      <c r="N65" s="36"/>
      <c r="O65" s="64"/>
      <c r="P65" s="4">
        <v>46286</v>
      </c>
      <c r="Q65" s="36"/>
      <c r="R65" s="36"/>
      <c r="S65" s="70"/>
      <c r="T65" s="33"/>
      <c r="U65" s="60">
        <v>46290</v>
      </c>
      <c r="V65" s="36"/>
      <c r="W65" s="36"/>
      <c r="X65" s="36"/>
      <c r="Y65" s="53">
        <v>46295</v>
      </c>
      <c r="Z65" s="36"/>
      <c r="AA65" s="33"/>
      <c r="AB65" s="38"/>
      <c r="AC65" s="36"/>
      <c r="AD65" s="39"/>
      <c r="AE65" s="33"/>
      <c r="AF65" s="40" t="s">
        <v>45</v>
      </c>
      <c r="AG65" s="74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fix",R65&lt;&gt;"",SUMPRODUCT(MAX((('Rework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Log'!$A$3:$A$500,$B65)&gt;0,"",IF(AND(U65&lt;&gt;"",K65&lt;&gt;"",U65&lt;K65),"QA target is before DB Dev target",IF(AND(U65&lt;&gt;"",P65&lt;&gt;"",U65&lt;P65),"QA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" hidden="1" x14ac:dyDescent="0.3">
      <c r="A66" s="33" t="s">
        <v>112</v>
      </c>
      <c r="B66" s="33" t="s">
        <v>181</v>
      </c>
      <c r="C66" s="33" t="s">
        <v>168</v>
      </c>
      <c r="D66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Dev",IF(K66="","No target set",IF(AND(K66&lt;TODAY(),M66=""),"Overdue","On track")),IF(C66="PBI Dev",IF(P66="","No target set",IF(AND(P66&lt;TODAY(),R66=""),"Overdue","On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50">
        <v>46295</v>
      </c>
      <c r="I66" s="56" t="s">
        <v>169</v>
      </c>
      <c r="J66" s="33"/>
      <c r="K66" s="4">
        <v>46276</v>
      </c>
      <c r="L66" s="36"/>
      <c r="M66" s="36"/>
      <c r="N66" s="36"/>
      <c r="O66" s="64"/>
      <c r="P66" s="4">
        <v>46286</v>
      </c>
      <c r="Q66" s="36"/>
      <c r="R66" s="36"/>
      <c r="S66" s="70"/>
      <c r="T66" s="33"/>
      <c r="U66" s="60">
        <v>46290</v>
      </c>
      <c r="V66" s="36"/>
      <c r="W66" s="36"/>
      <c r="X66" s="36"/>
      <c r="Y66" s="53">
        <v>46295</v>
      </c>
      <c r="Z66" s="36"/>
      <c r="AA66" s="33"/>
      <c r="AB66" s="38"/>
      <c r="AC66" s="36"/>
      <c r="AD66" s="39"/>
      <c r="AE66" s="33"/>
      <c r="AF66" s="40" t="s">
        <v>45</v>
      </c>
      <c r="AG66" s="74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fix",R66&lt;&gt;"",SUMPRODUCT(MAX((('Rework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Log'!$A$3:$A$500,$B66)&gt;0,"",IF(AND(U66&lt;&gt;"",K66&lt;&gt;"",U66&lt;K66),"QA target is before DB Dev target",IF(AND(U66&lt;&gt;"",P66&lt;&gt;"",U66&lt;P66),"QA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" hidden="1" x14ac:dyDescent="0.3">
      <c r="A67" s="33" t="s">
        <v>112</v>
      </c>
      <c r="B67" s="33" t="s">
        <v>182</v>
      </c>
      <c r="C67" s="33" t="s">
        <v>168</v>
      </c>
      <c r="D67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Dev",IF(K67="","No target set",IF(AND(K67&lt;TODAY(),M67=""),"Overdue","On track")),IF(C67="PBI Dev",IF(P67="","No target set",IF(AND(P67&lt;TODAY(),R67=""),"Overdue","On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50">
        <v>46295</v>
      </c>
      <c r="I67" s="56" t="s">
        <v>169</v>
      </c>
      <c r="J67" s="33" t="s">
        <v>38</v>
      </c>
      <c r="K67" s="4">
        <v>46276</v>
      </c>
      <c r="L67" s="36"/>
      <c r="M67" s="36"/>
      <c r="N67" s="36"/>
      <c r="O67" s="64"/>
      <c r="P67" s="4">
        <v>46286</v>
      </c>
      <c r="Q67" s="36"/>
      <c r="R67" s="36"/>
      <c r="S67" s="70"/>
      <c r="T67" s="33"/>
      <c r="U67" s="60">
        <v>46290</v>
      </c>
      <c r="V67" s="36"/>
      <c r="W67" s="36"/>
      <c r="X67" s="36"/>
      <c r="Y67" s="53">
        <v>46295</v>
      </c>
      <c r="Z67" s="36"/>
      <c r="AA67" s="33"/>
      <c r="AB67" s="38"/>
      <c r="AC67" s="36"/>
      <c r="AD67" s="39"/>
      <c r="AE67" s="33"/>
      <c r="AF67" s="40" t="s">
        <v>45</v>
      </c>
      <c r="AG67" s="74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fix",R67&lt;&gt;"",SUMPRODUCT(MAX((('Rework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Log'!$A$3:$A$500,$B67)&gt;0,"",IF(AND(U67&lt;&gt;"",K67&lt;&gt;"",U67&lt;K67),"QA target is before DB Dev target",IF(AND(U67&lt;&gt;"",P67&lt;&gt;"",U67&lt;P67),"QA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" hidden="1" x14ac:dyDescent="0.3">
      <c r="A68" s="33" t="s">
        <v>112</v>
      </c>
      <c r="B68" s="33" t="s">
        <v>183</v>
      </c>
      <c r="C68" s="33" t="s">
        <v>168</v>
      </c>
      <c r="D68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Dev",IF(K68="","No target set",IF(AND(K68&lt;TODAY(),M68=""),"Overdue","On track")),IF(C68="PBI Dev",IF(P68="","No target set",IF(AND(P68&lt;TODAY(),R68=""),"Overdue","On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50">
        <v>46295</v>
      </c>
      <c r="I68" s="56" t="s">
        <v>169</v>
      </c>
      <c r="J68" s="33"/>
      <c r="K68" s="4">
        <v>46276</v>
      </c>
      <c r="L68" s="36"/>
      <c r="M68" s="36"/>
      <c r="N68" s="36"/>
      <c r="O68" s="64"/>
      <c r="P68" s="4">
        <v>46286</v>
      </c>
      <c r="Q68" s="36"/>
      <c r="R68" s="36"/>
      <c r="S68" s="70"/>
      <c r="T68" s="33"/>
      <c r="U68" s="60">
        <v>46290</v>
      </c>
      <c r="V68" s="36"/>
      <c r="W68" s="36"/>
      <c r="X68" s="36"/>
      <c r="Y68" s="53">
        <v>46295</v>
      </c>
      <c r="Z68" s="36"/>
      <c r="AA68" s="33"/>
      <c r="AB68" s="38"/>
      <c r="AC68" s="36"/>
      <c r="AD68" s="39"/>
      <c r="AE68" s="33"/>
      <c r="AF68" s="40" t="s">
        <v>45</v>
      </c>
      <c r="AG68" s="74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fix",R68&lt;&gt;"",SUMPRODUCT(MAX((('Rework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Log'!$A$3:$A$500,$B68)&gt;0,"",IF(AND(U68&lt;&gt;"",K68&lt;&gt;"",U68&lt;K68),"QA target is before DB Dev target",IF(AND(U68&lt;&gt;"",P68&lt;&gt;"",U68&lt;P68),"QA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" hidden="1" x14ac:dyDescent="0.3">
      <c r="A69" s="33" t="s">
        <v>112</v>
      </c>
      <c r="B69" s="33" t="s">
        <v>184</v>
      </c>
      <c r="C69" s="33" t="s">
        <v>168</v>
      </c>
      <c r="D69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Dev",IF(K69="","No target set",IF(AND(K69&lt;TODAY(),M69=""),"Overdue","On track")),IF(C69="PBI Dev",IF(P69="","No target set",IF(AND(P69&lt;TODAY(),R69=""),"Overdue","On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50">
        <v>46295</v>
      </c>
      <c r="I69" s="56" t="s">
        <v>169</v>
      </c>
      <c r="J69" s="33"/>
      <c r="K69" s="4">
        <v>46276</v>
      </c>
      <c r="L69" s="36"/>
      <c r="M69" s="36"/>
      <c r="N69" s="36"/>
      <c r="O69" s="64"/>
      <c r="P69" s="4">
        <v>46286</v>
      </c>
      <c r="Q69" s="36"/>
      <c r="R69" s="36"/>
      <c r="S69" s="70"/>
      <c r="T69" s="33"/>
      <c r="U69" s="60">
        <v>46290</v>
      </c>
      <c r="V69" s="36"/>
      <c r="W69" s="36"/>
      <c r="X69" s="36"/>
      <c r="Y69" s="53">
        <v>46295</v>
      </c>
      <c r="Z69" s="36"/>
      <c r="AA69" s="33"/>
      <c r="AB69" s="38"/>
      <c r="AC69" s="36"/>
      <c r="AD69" s="39"/>
      <c r="AE69" s="33"/>
      <c r="AF69" s="40" t="s">
        <v>45</v>
      </c>
      <c r="AG69" s="74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fix",R69&lt;&gt;"",SUMPRODUCT(MAX((('Rework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Log'!$A$3:$A$500,$B69)&gt;0,"",IF(AND(U69&lt;&gt;"",K69&lt;&gt;"",U69&lt;K69),"QA target is before DB Dev target",IF(AND(U69&lt;&gt;"",P69&lt;&gt;"",U69&lt;P69),"QA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" hidden="1" x14ac:dyDescent="0.3">
      <c r="A70" s="33" t="s">
        <v>112</v>
      </c>
      <c r="B70" s="33" t="s">
        <v>185</v>
      </c>
      <c r="C70" s="33" t="s">
        <v>168</v>
      </c>
      <c r="D70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Dev",IF(K70="","No target set",IF(AND(K70&lt;TODAY(),M70=""),"Overdue","On track")),IF(C70="PBI Dev",IF(P70="","No target set",IF(AND(P70&lt;TODAY(),R70=""),"Overdue","On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50">
        <v>46295</v>
      </c>
      <c r="I70" s="56" t="s">
        <v>169</v>
      </c>
      <c r="J70" s="33"/>
      <c r="K70" s="4">
        <v>46276</v>
      </c>
      <c r="L70" s="36"/>
      <c r="M70" s="36"/>
      <c r="N70" s="36"/>
      <c r="O70" s="64"/>
      <c r="P70" s="4">
        <v>46286</v>
      </c>
      <c r="Q70" s="36"/>
      <c r="R70" s="36"/>
      <c r="S70" s="70"/>
      <c r="T70" s="33"/>
      <c r="U70" s="60">
        <v>46290</v>
      </c>
      <c r="V70" s="36"/>
      <c r="W70" s="36"/>
      <c r="X70" s="36"/>
      <c r="Y70" s="53">
        <v>46295</v>
      </c>
      <c r="Z70" s="36"/>
      <c r="AA70" s="33"/>
      <c r="AB70" s="38"/>
      <c r="AC70" s="36"/>
      <c r="AD70" s="39"/>
      <c r="AE70" s="33"/>
      <c r="AF70" s="40" t="s">
        <v>45</v>
      </c>
      <c r="AG70" s="74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fix",R70&lt;&gt;"",SUMPRODUCT(MAX((('Rework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Log'!$A$3:$A$500,$B70)&gt;0,"",IF(AND(U70&lt;&gt;"",K70&lt;&gt;"",U70&lt;K70),"QA target is before DB Dev target",IF(AND(U70&lt;&gt;"",P70&lt;&gt;"",U70&lt;P70),"QA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" hidden="1" x14ac:dyDescent="0.3">
      <c r="A71" s="33" t="s">
        <v>112</v>
      </c>
      <c r="B71" s="33" t="s">
        <v>186</v>
      </c>
      <c r="C71" s="33" t="s">
        <v>168</v>
      </c>
      <c r="D71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Dev",IF(K71="","No target set",IF(AND(K71&lt;TODAY(),M71=""),"Overdue","On track")),IF(C71="PBI Dev",IF(P71="","No target set",IF(AND(P71&lt;TODAY(),R71=""),"Overdue","On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50">
        <v>46295</v>
      </c>
      <c r="I71" s="56" t="s">
        <v>169</v>
      </c>
      <c r="J71" s="33" t="s">
        <v>38</v>
      </c>
      <c r="K71" s="4">
        <v>46276</v>
      </c>
      <c r="L71" s="36"/>
      <c r="M71" s="36"/>
      <c r="N71" s="36"/>
      <c r="O71" s="64"/>
      <c r="P71" s="4">
        <v>46286</v>
      </c>
      <c r="Q71" s="36"/>
      <c r="R71" s="36"/>
      <c r="S71" s="70"/>
      <c r="T71" s="33"/>
      <c r="U71" s="60">
        <v>46290</v>
      </c>
      <c r="V71" s="36"/>
      <c r="W71" s="36"/>
      <c r="X71" s="36"/>
      <c r="Y71" s="53">
        <v>46295</v>
      </c>
      <c r="Z71" s="36"/>
      <c r="AA71" s="33"/>
      <c r="AB71" s="38"/>
      <c r="AC71" s="36"/>
      <c r="AD71" s="39"/>
      <c r="AE71" s="33"/>
      <c r="AF71" s="40" t="s">
        <v>45</v>
      </c>
      <c r="AG71" s="74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fix",R71&lt;&gt;"",SUMPRODUCT(MAX((('Rework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Log'!$A$3:$A$500,$B71)&gt;0,"",IF(AND(U71&lt;&gt;"",K71&lt;&gt;"",U71&lt;K71),"QA target is before DB Dev target",IF(AND(U71&lt;&gt;"",P71&lt;&gt;"",U71&lt;P71),"QA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" hidden="1" x14ac:dyDescent="0.3">
      <c r="A72" s="33" t="s">
        <v>112</v>
      </c>
      <c r="B72" s="33" t="s">
        <v>187</v>
      </c>
      <c r="C72" s="33" t="s">
        <v>168</v>
      </c>
      <c r="D72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Dev",IF(K72="","No target set",IF(AND(K72&lt;TODAY(),M72=""),"Overdue","On track")),IF(C72="PBI Dev",IF(P72="","No target set",IF(AND(P72&lt;TODAY(),R72=""),"Overdue","On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50">
        <v>46295</v>
      </c>
      <c r="I72" s="56" t="s">
        <v>169</v>
      </c>
      <c r="J72" s="33"/>
      <c r="K72" s="4">
        <v>46276</v>
      </c>
      <c r="L72" s="36"/>
      <c r="M72" s="36"/>
      <c r="N72" s="36"/>
      <c r="O72" s="64"/>
      <c r="P72" s="4">
        <v>46286</v>
      </c>
      <c r="Q72" s="36"/>
      <c r="R72" s="36"/>
      <c r="S72" s="70"/>
      <c r="T72" s="33"/>
      <c r="U72" s="60">
        <v>46290</v>
      </c>
      <c r="V72" s="36"/>
      <c r="W72" s="36"/>
      <c r="X72" s="36"/>
      <c r="Y72" s="53">
        <v>46295</v>
      </c>
      <c r="Z72" s="36"/>
      <c r="AA72" s="33"/>
      <c r="AB72" s="38"/>
      <c r="AC72" s="36"/>
      <c r="AD72" s="39"/>
      <c r="AE72" s="33"/>
      <c r="AF72" s="40" t="s">
        <v>45</v>
      </c>
      <c r="AG72" s="74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fix",R72&lt;&gt;"",SUMPRODUCT(MAX((('Rework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Log'!$A$3:$A$500,$B72)&gt;0,"",IF(AND(U72&lt;&gt;"",K72&lt;&gt;"",U72&lt;K72),"QA target is before DB Dev target",IF(AND(U72&lt;&gt;"",P72&lt;&gt;"",U72&lt;P72),"QA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 ht="14.4" hidden="1" x14ac:dyDescent="0.3">
      <c r="A73" s="31" t="s">
        <v>112</v>
      </c>
      <c r="B73" s="31"/>
      <c r="C73" s="31"/>
      <c r="D73" s="3"/>
      <c r="E73" s="31"/>
      <c r="F73" s="31"/>
      <c r="G73" s="31"/>
      <c r="H73" s="51"/>
      <c r="J73" s="31"/>
      <c r="K73" s="51"/>
      <c r="L73" s="43"/>
      <c r="M73" s="44"/>
      <c r="N73" s="44"/>
      <c r="O73" s="67"/>
      <c r="P73" s="51"/>
      <c r="Q73" s="43"/>
      <c r="R73" s="44"/>
      <c r="S73" s="71"/>
      <c r="T73" s="31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 ht="14.4" x14ac:dyDescent="0.3">
      <c r="A74" s="31"/>
      <c r="B74" s="31"/>
      <c r="C74" s="31"/>
      <c r="E74" s="31"/>
      <c r="F74" s="31"/>
      <c r="G74" s="31"/>
      <c r="J74" s="31"/>
      <c r="L74" s="31"/>
      <c r="M74" s="31"/>
      <c r="N74" s="31"/>
      <c r="O74" s="67"/>
      <c r="Q74" s="31"/>
      <c r="R74" s="31"/>
      <c r="S74" s="72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 ht="14.4" x14ac:dyDescent="0.3">
      <c r="A75" s="31"/>
      <c r="B75" s="31"/>
      <c r="C75" s="31"/>
      <c r="E75" s="31"/>
      <c r="F75" s="31"/>
      <c r="G75" s="31"/>
      <c r="J75" s="31"/>
      <c r="L75" s="31"/>
      <c r="M75" s="31"/>
      <c r="N75" s="31"/>
      <c r="O75" s="67"/>
      <c r="Q75" s="31"/>
      <c r="R75" s="31"/>
      <c r="S75" s="72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 ht="14.4" x14ac:dyDescent="0.3">
      <c r="A76" s="31"/>
      <c r="B76" s="31"/>
      <c r="C76" s="31"/>
      <c r="E76" s="31"/>
      <c r="F76" s="31"/>
      <c r="G76" s="31"/>
      <c r="J76" s="31"/>
      <c r="L76" s="31"/>
      <c r="M76" s="31"/>
      <c r="N76" s="31"/>
      <c r="O76" s="67"/>
      <c r="Q76" s="31"/>
      <c r="R76" s="31"/>
      <c r="S76" s="72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 ht="14.4" x14ac:dyDescent="0.3">
      <c r="A77" s="31"/>
      <c r="B77" s="31"/>
      <c r="C77" s="31"/>
      <c r="E77" s="31"/>
      <c r="F77" s="31"/>
      <c r="G77" s="31"/>
      <c r="J77" s="31"/>
      <c r="L77" s="31"/>
      <c r="M77" s="31"/>
      <c r="N77" s="31"/>
      <c r="O77" s="67"/>
      <c r="Q77" s="31"/>
      <c r="R77" s="31"/>
      <c r="S77" s="72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 ht="14.4" x14ac:dyDescent="0.3">
      <c r="A78" s="31"/>
      <c r="B78" s="31"/>
      <c r="C78" s="31"/>
      <c r="E78" s="31"/>
      <c r="F78" s="31"/>
      <c r="G78" s="31"/>
      <c r="J78" s="31"/>
      <c r="L78" s="31"/>
      <c r="M78" s="31"/>
      <c r="N78" s="31"/>
      <c r="O78" s="67"/>
      <c r="Q78" s="31"/>
      <c r="R78" s="31"/>
      <c r="S78" s="72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 ht="14.4" x14ac:dyDescent="0.3">
      <c r="A79" s="31"/>
      <c r="B79" s="31"/>
      <c r="C79" s="31"/>
      <c r="E79" s="31"/>
      <c r="F79" s="31"/>
      <c r="G79" s="31"/>
      <c r="J79" s="31"/>
      <c r="L79" s="31"/>
      <c r="M79" s="31"/>
      <c r="N79" s="31"/>
      <c r="O79" s="67"/>
      <c r="Q79" s="31"/>
      <c r="R79" s="31"/>
      <c r="S79" s="72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 ht="14.4" x14ac:dyDescent="0.3">
      <c r="A80" s="31"/>
      <c r="B80" s="31"/>
      <c r="C80" s="31"/>
      <c r="E80" s="31"/>
      <c r="F80" s="31"/>
      <c r="G80" s="31"/>
      <c r="J80" s="31"/>
      <c r="L80" s="31"/>
      <c r="M80" s="31"/>
      <c r="N80" s="31"/>
      <c r="O80" s="67"/>
      <c r="Q80" s="31"/>
      <c r="R80" s="31"/>
      <c r="S80" s="72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 ht="14.4" x14ac:dyDescent="0.3">
      <c r="A81" s="31"/>
      <c r="B81" s="31"/>
      <c r="C81" s="31"/>
      <c r="E81" s="31"/>
      <c r="F81" s="31"/>
      <c r="G81" s="31"/>
      <c r="J81" s="31"/>
      <c r="L81" s="31"/>
      <c r="M81" s="31"/>
      <c r="N81" s="31"/>
      <c r="O81" s="67"/>
      <c r="Q81" s="31"/>
      <c r="R81" s="31"/>
      <c r="S81" s="72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 ht="14.4" x14ac:dyDescent="0.3">
      <c r="A82" s="31"/>
      <c r="B82" s="31"/>
      <c r="C82" s="31"/>
      <c r="E82" s="31"/>
      <c r="F82" s="31"/>
      <c r="G82" s="31"/>
      <c r="J82" s="31"/>
      <c r="L82" s="31"/>
      <c r="M82" s="31"/>
      <c r="N82" s="31"/>
      <c r="O82" s="67"/>
      <c r="Q82" s="31"/>
      <c r="R82" s="31"/>
      <c r="S82" s="72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 ht="14.4" x14ac:dyDescent="0.3">
      <c r="A83" s="31"/>
      <c r="B83" s="31"/>
      <c r="C83" s="31"/>
      <c r="E83" s="31"/>
      <c r="F83" s="31"/>
      <c r="G83" s="31"/>
      <c r="J83" s="31"/>
      <c r="L83" s="31"/>
      <c r="M83" s="31"/>
      <c r="N83" s="31"/>
      <c r="O83" s="67"/>
      <c r="Q83" s="31"/>
      <c r="R83" s="31"/>
      <c r="S83" s="72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 ht="14.4" x14ac:dyDescent="0.3">
      <c r="A84" s="31"/>
      <c r="B84" s="31"/>
      <c r="C84" s="31"/>
      <c r="E84" s="31"/>
      <c r="F84" s="31"/>
      <c r="G84" s="31"/>
      <c r="J84" s="31"/>
      <c r="L84" s="31"/>
      <c r="M84" s="31"/>
      <c r="N84" s="31"/>
      <c r="O84" s="67"/>
      <c r="Q84" s="31"/>
      <c r="R84" s="31"/>
      <c r="S84" s="72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 ht="14.4" x14ac:dyDescent="0.3">
      <c r="A85" s="31"/>
      <c r="B85" s="31"/>
      <c r="C85" s="31"/>
      <c r="E85" s="31"/>
      <c r="F85" s="31"/>
      <c r="G85" s="31"/>
      <c r="J85" s="31"/>
      <c r="L85" s="31"/>
      <c r="M85" s="31"/>
      <c r="N85" s="31"/>
      <c r="O85" s="67"/>
      <c r="Q85" s="31"/>
      <c r="R85" s="31"/>
      <c r="S85" s="72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 ht="14.4" x14ac:dyDescent="0.3">
      <c r="A86" s="31"/>
      <c r="B86" s="31"/>
      <c r="C86" s="31"/>
      <c r="E86" s="31"/>
      <c r="F86" s="31"/>
      <c r="G86" s="31"/>
      <c r="J86" s="31"/>
      <c r="L86" s="31"/>
      <c r="M86" s="31"/>
      <c r="N86" s="31"/>
      <c r="O86" s="67"/>
      <c r="Q86" s="31"/>
      <c r="R86" s="31"/>
      <c r="S86" s="72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 ht="14.4" x14ac:dyDescent="0.3">
      <c r="A87" s="31"/>
      <c r="B87" s="31"/>
      <c r="C87" s="31"/>
      <c r="E87" s="31"/>
      <c r="F87" s="31"/>
      <c r="G87" s="31"/>
      <c r="J87" s="31"/>
      <c r="L87" s="31"/>
      <c r="M87" s="31"/>
      <c r="N87" s="31"/>
      <c r="O87" s="67"/>
      <c r="Q87" s="31"/>
      <c r="R87" s="31"/>
      <c r="S87" s="72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 ht="14.4" x14ac:dyDescent="0.3">
      <c r="A88" s="31"/>
      <c r="B88" s="31"/>
      <c r="C88" s="31"/>
      <c r="E88" s="31"/>
      <c r="F88" s="31"/>
      <c r="G88" s="31"/>
      <c r="J88" s="31"/>
      <c r="L88" s="31"/>
      <c r="M88" s="31"/>
      <c r="N88" s="31"/>
      <c r="O88" s="67"/>
      <c r="Q88" s="31"/>
      <c r="R88" s="31"/>
      <c r="S88" s="72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 ht="14.4" x14ac:dyDescent="0.3">
      <c r="A89" s="31"/>
      <c r="B89" s="31"/>
      <c r="C89" s="31"/>
      <c r="E89" s="31"/>
      <c r="F89" s="31"/>
      <c r="G89" s="31"/>
      <c r="J89" s="31"/>
      <c r="L89" s="31"/>
      <c r="M89" s="31"/>
      <c r="N89" s="31"/>
      <c r="O89" s="67"/>
      <c r="Q89" s="31"/>
      <c r="R89" s="31"/>
      <c r="S89" s="72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 ht="14.4" x14ac:dyDescent="0.3">
      <c r="A90" s="31"/>
      <c r="B90" s="31"/>
      <c r="C90" s="31"/>
      <c r="E90" s="31"/>
      <c r="F90" s="31"/>
      <c r="G90" s="31"/>
      <c r="J90" s="31"/>
      <c r="L90" s="31"/>
      <c r="M90" s="31"/>
      <c r="N90" s="31"/>
      <c r="O90" s="67"/>
      <c r="Q90" s="31"/>
      <c r="R90" s="31"/>
      <c r="S90" s="72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 ht="14.4" x14ac:dyDescent="0.3">
      <c r="A91" s="31"/>
      <c r="B91" s="31"/>
      <c r="C91" s="31"/>
      <c r="E91" s="31"/>
      <c r="F91" s="31"/>
      <c r="G91" s="31"/>
      <c r="J91" s="31"/>
      <c r="L91" s="31"/>
      <c r="M91" s="31"/>
      <c r="N91" s="31"/>
      <c r="O91" s="67"/>
      <c r="Q91" s="31"/>
      <c r="R91" s="31"/>
      <c r="S91" s="72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 ht="14.4" x14ac:dyDescent="0.3">
      <c r="A92" s="31"/>
      <c r="B92" s="31"/>
      <c r="C92" s="31"/>
      <c r="E92" s="31"/>
      <c r="F92" s="31"/>
      <c r="G92" s="31"/>
      <c r="J92" s="31"/>
      <c r="L92" s="31"/>
      <c r="M92" s="31"/>
      <c r="N92" s="31"/>
      <c r="O92" s="67"/>
      <c r="Q92" s="31"/>
      <c r="R92" s="31"/>
      <c r="S92" s="72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 ht="14.4" x14ac:dyDescent="0.3">
      <c r="A93" s="31"/>
      <c r="B93" s="31"/>
      <c r="C93" s="31"/>
      <c r="E93" s="31"/>
      <c r="F93" s="31"/>
      <c r="G93" s="31"/>
      <c r="J93" s="31"/>
      <c r="L93" s="31"/>
      <c r="M93" s="31"/>
      <c r="N93" s="31"/>
      <c r="O93" s="67"/>
      <c r="Q93" s="31"/>
      <c r="R93" s="31"/>
      <c r="S93" s="72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 ht="14.4" x14ac:dyDescent="0.3">
      <c r="A94" s="31"/>
      <c r="B94" s="31"/>
      <c r="C94" s="31"/>
      <c r="E94" s="31"/>
      <c r="F94" s="31"/>
      <c r="G94" s="31"/>
      <c r="J94" s="31"/>
      <c r="L94" s="31"/>
      <c r="M94" s="31"/>
      <c r="N94" s="31"/>
      <c r="O94" s="67"/>
      <c r="Q94" s="31"/>
      <c r="R94" s="31"/>
      <c r="S94" s="72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 ht="14.4" x14ac:dyDescent="0.3">
      <c r="A95" s="31"/>
      <c r="B95" s="31"/>
      <c r="C95" s="31"/>
      <c r="E95" s="31"/>
      <c r="F95" s="31"/>
      <c r="G95" s="31"/>
      <c r="J95" s="31"/>
      <c r="L95" s="31"/>
      <c r="M95" s="31"/>
      <c r="N95" s="31"/>
      <c r="O95" s="67"/>
      <c r="Q95" s="31"/>
      <c r="R95" s="31"/>
      <c r="S95" s="72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 ht="14.4" x14ac:dyDescent="0.3">
      <c r="A96" s="31"/>
      <c r="B96" s="31"/>
      <c r="C96" s="31"/>
      <c r="E96" s="31"/>
      <c r="F96" s="31"/>
      <c r="G96" s="31"/>
      <c r="J96" s="31"/>
      <c r="L96" s="31"/>
      <c r="M96" s="31"/>
      <c r="N96" s="31"/>
      <c r="O96" s="67"/>
      <c r="Q96" s="31"/>
      <c r="R96" s="31"/>
      <c r="S96" s="72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 ht="14.4" x14ac:dyDescent="0.3">
      <c r="A97" s="31"/>
      <c r="B97" s="31"/>
      <c r="C97" s="31"/>
      <c r="E97" s="31"/>
      <c r="F97" s="31"/>
      <c r="G97" s="31"/>
      <c r="J97" s="31"/>
      <c r="L97" s="31"/>
      <c r="M97" s="31"/>
      <c r="N97" s="31"/>
      <c r="O97" s="67"/>
      <c r="Q97" s="31"/>
      <c r="R97" s="31"/>
      <c r="S97" s="72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 ht="14.4" x14ac:dyDescent="0.3">
      <c r="A98" s="31"/>
      <c r="B98" s="31"/>
      <c r="C98" s="31"/>
      <c r="E98" s="31"/>
      <c r="F98" s="31"/>
      <c r="G98" s="31"/>
      <c r="J98" s="31"/>
      <c r="L98" s="31"/>
      <c r="M98" s="31"/>
      <c r="N98" s="31"/>
      <c r="O98" s="67"/>
      <c r="Q98" s="31"/>
      <c r="R98" s="31"/>
      <c r="S98" s="72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 ht="14.4" x14ac:dyDescent="0.3">
      <c r="A99" s="31"/>
      <c r="B99" s="31"/>
      <c r="C99" s="31"/>
      <c r="E99" s="31"/>
      <c r="F99" s="31"/>
      <c r="G99" s="31"/>
      <c r="J99" s="31"/>
      <c r="L99" s="31"/>
      <c r="M99" s="31"/>
      <c r="N99" s="31"/>
      <c r="O99" s="67"/>
      <c r="Q99" s="31"/>
      <c r="R99" s="31"/>
      <c r="S99" s="72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 ht="14.4" x14ac:dyDescent="0.3">
      <c r="A100" s="31"/>
      <c r="B100" s="31"/>
      <c r="C100" s="31"/>
      <c r="E100" s="31"/>
      <c r="F100" s="31"/>
      <c r="G100" s="31"/>
      <c r="J100" s="31"/>
      <c r="L100" s="31"/>
      <c r="M100" s="31"/>
      <c r="N100" s="31"/>
      <c r="O100" s="67"/>
      <c r="Q100" s="31"/>
      <c r="R100" s="31"/>
      <c r="S100" s="72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 ht="14.4" x14ac:dyDescent="0.3">
      <c r="A101" s="31"/>
      <c r="B101" s="31"/>
      <c r="C101" s="31"/>
      <c r="E101" s="31"/>
      <c r="F101" s="31"/>
      <c r="G101" s="31"/>
      <c r="J101" s="31"/>
      <c r="L101" s="31"/>
      <c r="M101" s="31"/>
      <c r="N101" s="31"/>
      <c r="O101" s="67"/>
      <c r="Q101" s="31"/>
      <c r="R101" s="31"/>
      <c r="S101" s="72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 ht="14.4" x14ac:dyDescent="0.3">
      <c r="A102" s="31"/>
      <c r="B102" s="31"/>
      <c r="C102" s="31"/>
      <c r="E102" s="31"/>
      <c r="F102" s="31"/>
      <c r="G102" s="31"/>
      <c r="J102" s="31"/>
      <c r="L102" s="31"/>
      <c r="M102" s="31"/>
      <c r="N102" s="31"/>
      <c r="O102" s="67"/>
      <c r="Q102" s="31"/>
      <c r="R102" s="31"/>
      <c r="S102" s="72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 ht="14.4" x14ac:dyDescent="0.3">
      <c r="A103" s="31"/>
      <c r="B103" s="31"/>
      <c r="C103" s="31"/>
      <c r="E103" s="31"/>
      <c r="F103" s="31"/>
      <c r="G103" s="31"/>
      <c r="J103" s="31"/>
      <c r="L103" s="31"/>
      <c r="M103" s="31"/>
      <c r="N103" s="31"/>
      <c r="O103" s="67"/>
      <c r="Q103" s="31"/>
      <c r="R103" s="31"/>
      <c r="S103" s="72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 ht="14.4" x14ac:dyDescent="0.3">
      <c r="A104" s="31"/>
      <c r="B104" s="31"/>
      <c r="C104" s="31"/>
      <c r="E104" s="31"/>
      <c r="F104" s="31"/>
      <c r="G104" s="31"/>
      <c r="J104" s="31"/>
      <c r="L104" s="31"/>
      <c r="M104" s="31"/>
      <c r="N104" s="31"/>
      <c r="O104" s="67"/>
      <c r="Q104" s="31"/>
      <c r="R104" s="31"/>
      <c r="S104" s="72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 ht="14.4" x14ac:dyDescent="0.3">
      <c r="A105" s="31"/>
      <c r="B105" s="31"/>
      <c r="C105" s="31"/>
      <c r="E105" s="31"/>
      <c r="F105" s="31"/>
      <c r="G105" s="31"/>
      <c r="J105" s="31"/>
      <c r="L105" s="31"/>
      <c r="M105" s="31"/>
      <c r="N105" s="31"/>
      <c r="O105" s="67"/>
      <c r="Q105" s="31"/>
      <c r="R105" s="31"/>
      <c r="S105" s="72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 ht="14.4" x14ac:dyDescent="0.3">
      <c r="A106" s="31"/>
      <c r="B106" s="31"/>
      <c r="C106" s="31"/>
      <c r="E106" s="31"/>
      <c r="F106" s="31"/>
      <c r="G106" s="31"/>
      <c r="J106" s="31"/>
      <c r="L106" s="31"/>
      <c r="M106" s="31"/>
      <c r="N106" s="31"/>
      <c r="O106" s="67"/>
      <c r="Q106" s="31"/>
      <c r="R106" s="31"/>
      <c r="S106" s="72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 ht="14.4" x14ac:dyDescent="0.3">
      <c r="A107" s="31"/>
      <c r="B107" s="31"/>
      <c r="C107" s="31"/>
      <c r="E107" s="31"/>
      <c r="F107" s="31"/>
      <c r="G107" s="31"/>
      <c r="J107" s="31"/>
      <c r="L107" s="31"/>
      <c r="M107" s="31"/>
      <c r="N107" s="31"/>
      <c r="O107" s="67"/>
      <c r="Q107" s="31"/>
      <c r="R107" s="31"/>
      <c r="S107" s="72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 ht="14.4" x14ac:dyDescent="0.3">
      <c r="A108" s="31"/>
      <c r="B108" s="31"/>
      <c r="C108" s="31"/>
      <c r="E108" s="31"/>
      <c r="F108" s="31"/>
      <c r="G108" s="31"/>
      <c r="J108" s="31"/>
      <c r="L108" s="31"/>
      <c r="M108" s="31"/>
      <c r="N108" s="31"/>
      <c r="O108" s="67"/>
      <c r="Q108" s="31"/>
      <c r="R108" s="31"/>
      <c r="S108" s="72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 ht="14.4" x14ac:dyDescent="0.3">
      <c r="A109" s="31"/>
      <c r="B109" s="31"/>
      <c r="C109" s="31"/>
      <c r="E109" s="31"/>
      <c r="F109" s="31"/>
      <c r="G109" s="31"/>
      <c r="J109" s="31"/>
      <c r="L109" s="31"/>
      <c r="M109" s="31"/>
      <c r="N109" s="31"/>
      <c r="O109" s="67"/>
      <c r="Q109" s="31"/>
      <c r="R109" s="31"/>
      <c r="S109" s="72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 ht="14.4" x14ac:dyDescent="0.3">
      <c r="A110" s="31"/>
      <c r="B110" s="31"/>
      <c r="C110" s="31"/>
      <c r="E110" s="31"/>
      <c r="F110" s="31"/>
      <c r="G110" s="31"/>
      <c r="J110" s="31"/>
      <c r="L110" s="31"/>
      <c r="M110" s="31"/>
      <c r="N110" s="31"/>
      <c r="O110" s="67"/>
      <c r="Q110" s="31"/>
      <c r="R110" s="31"/>
      <c r="S110" s="72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 ht="14.4" x14ac:dyDescent="0.3">
      <c r="A111" s="31"/>
      <c r="B111" s="31"/>
      <c r="C111" s="31"/>
      <c r="E111" s="31"/>
      <c r="F111" s="31"/>
      <c r="G111" s="31"/>
      <c r="J111" s="31"/>
      <c r="L111" s="31"/>
      <c r="M111" s="31"/>
      <c r="N111" s="31"/>
      <c r="O111" s="67"/>
      <c r="Q111" s="31"/>
      <c r="R111" s="31"/>
      <c r="S111" s="72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 ht="14.4" x14ac:dyDescent="0.3">
      <c r="A112" s="31"/>
      <c r="B112" s="31"/>
      <c r="C112" s="31"/>
      <c r="E112" s="31"/>
      <c r="F112" s="31"/>
      <c r="G112" s="31"/>
      <c r="J112" s="31"/>
      <c r="L112" s="31"/>
      <c r="M112" s="31"/>
      <c r="N112" s="31"/>
      <c r="O112" s="67"/>
      <c r="Q112" s="31"/>
      <c r="R112" s="31"/>
      <c r="S112" s="72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 ht="14.4" x14ac:dyDescent="0.3">
      <c r="A113" s="31"/>
      <c r="B113" s="31"/>
      <c r="C113" s="31"/>
      <c r="E113" s="31"/>
      <c r="F113" s="31"/>
      <c r="G113" s="31"/>
      <c r="J113" s="31"/>
      <c r="L113" s="31"/>
      <c r="M113" s="31"/>
      <c r="N113" s="31"/>
      <c r="O113" s="67"/>
      <c r="Q113" s="31"/>
      <c r="R113" s="31"/>
      <c r="S113" s="72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 ht="14.4" x14ac:dyDescent="0.3">
      <c r="A114" s="31"/>
      <c r="B114" s="31"/>
      <c r="C114" s="31"/>
      <c r="E114" s="31"/>
      <c r="F114" s="31"/>
      <c r="G114" s="31"/>
      <c r="J114" s="31"/>
      <c r="L114" s="31"/>
      <c r="M114" s="31"/>
      <c r="N114" s="31"/>
      <c r="O114" s="67"/>
      <c r="Q114" s="31"/>
      <c r="R114" s="31"/>
      <c r="S114" s="72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 ht="14.4" x14ac:dyDescent="0.3">
      <c r="A115" s="31"/>
      <c r="B115" s="31"/>
      <c r="C115" s="31"/>
      <c r="E115" s="31"/>
      <c r="F115" s="31"/>
      <c r="G115" s="31"/>
      <c r="J115" s="31"/>
      <c r="L115" s="31"/>
      <c r="M115" s="31"/>
      <c r="N115" s="31"/>
      <c r="O115" s="67"/>
      <c r="Q115" s="31"/>
      <c r="R115" s="31"/>
      <c r="S115" s="72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 ht="14.4" x14ac:dyDescent="0.3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67"/>
      <c r="Q116" s="31"/>
      <c r="R116" s="31"/>
      <c r="S116" s="72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 ht="14.4" x14ac:dyDescent="0.3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67"/>
      <c r="Q117" s="31"/>
      <c r="R117" s="31"/>
      <c r="S117" s="72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 ht="14.4" x14ac:dyDescent="0.3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67"/>
      <c r="Q118" s="31"/>
      <c r="R118" s="31"/>
      <c r="S118" s="72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 ht="14.4" x14ac:dyDescent="0.3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67"/>
      <c r="Q119" s="31"/>
      <c r="R119" s="31"/>
      <c r="S119" s="72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 ht="14.4" x14ac:dyDescent="0.3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67"/>
      <c r="Q120" s="31"/>
      <c r="R120" s="31"/>
      <c r="S120" s="72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 ht="14.4" x14ac:dyDescent="0.3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67"/>
      <c r="Q121" s="31"/>
      <c r="R121" s="31"/>
      <c r="S121" s="72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 ht="14.4" x14ac:dyDescent="0.3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67"/>
      <c r="Q122" s="31"/>
      <c r="R122" s="31"/>
      <c r="S122" s="72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 ht="14.4" x14ac:dyDescent="0.3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67"/>
      <c r="Q123" s="31"/>
      <c r="R123" s="31"/>
      <c r="S123" s="72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 ht="14.4" x14ac:dyDescent="0.3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67"/>
      <c r="Q124" s="31"/>
      <c r="R124" s="31"/>
      <c r="S124" s="72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 ht="14.4" x14ac:dyDescent="0.3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67"/>
      <c r="Q125" s="31"/>
      <c r="R125" s="31"/>
      <c r="S125" s="72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 ht="14.4" x14ac:dyDescent="0.3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67"/>
      <c r="Q126" s="31"/>
      <c r="R126" s="31"/>
      <c r="S126" s="72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 ht="14.4" x14ac:dyDescent="0.3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67"/>
      <c r="Q127" s="31"/>
      <c r="R127" s="31"/>
      <c r="S127" s="72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 ht="14.4" x14ac:dyDescent="0.3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67"/>
      <c r="Q128" s="31"/>
      <c r="R128" s="31"/>
      <c r="S128" s="72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 ht="14.4" x14ac:dyDescent="0.3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67"/>
      <c r="Q129" s="31"/>
      <c r="R129" s="31"/>
      <c r="S129" s="72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 ht="14.4" x14ac:dyDescent="0.3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67"/>
      <c r="Q130" s="31"/>
      <c r="R130" s="31"/>
      <c r="S130" s="72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 ht="14.4" x14ac:dyDescent="0.3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67"/>
      <c r="Q131" s="31"/>
      <c r="R131" s="31"/>
      <c r="S131" s="72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 ht="14.4" x14ac:dyDescent="0.3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67"/>
      <c r="Q132" s="31"/>
      <c r="R132" s="31"/>
      <c r="S132" s="72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 ht="14.4" x14ac:dyDescent="0.3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67"/>
      <c r="Q133" s="31"/>
      <c r="R133" s="31"/>
      <c r="S133" s="72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 ht="14.4" x14ac:dyDescent="0.3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67"/>
      <c r="Q134" s="31"/>
      <c r="R134" s="31"/>
      <c r="S134" s="72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 ht="14.4" x14ac:dyDescent="0.3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67"/>
      <c r="Q135" s="31"/>
      <c r="R135" s="31"/>
      <c r="S135" s="72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 ht="14.4" x14ac:dyDescent="0.3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67"/>
      <c r="Q136" s="31"/>
      <c r="R136" s="31"/>
      <c r="S136" s="72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 ht="14.4" x14ac:dyDescent="0.3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67"/>
      <c r="Q137" s="31"/>
      <c r="R137" s="31"/>
      <c r="S137" s="72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 ht="14.4" x14ac:dyDescent="0.3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67"/>
      <c r="Q138" s="31"/>
      <c r="R138" s="31"/>
      <c r="S138" s="72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 ht="14.4" x14ac:dyDescent="0.3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67"/>
      <c r="Q139" s="31"/>
      <c r="R139" s="31"/>
      <c r="S139" s="72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 ht="14.4" x14ac:dyDescent="0.3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67"/>
      <c r="Q140" s="31"/>
      <c r="R140" s="31"/>
      <c r="S140" s="72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 ht="14.4" x14ac:dyDescent="0.3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67"/>
      <c r="Q141" s="31"/>
      <c r="R141" s="31"/>
      <c r="S141" s="72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 ht="14.4" x14ac:dyDescent="0.3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67"/>
      <c r="Q142" s="31"/>
      <c r="R142" s="31"/>
      <c r="S142" s="72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 ht="14.4" x14ac:dyDescent="0.3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67"/>
      <c r="Q143" s="31"/>
      <c r="R143" s="31"/>
      <c r="S143" s="72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 ht="14.4" x14ac:dyDescent="0.3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67"/>
      <c r="Q144" s="31"/>
      <c r="R144" s="31"/>
      <c r="S144" s="72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 ht="14.4" x14ac:dyDescent="0.3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67"/>
      <c r="Q145" s="31"/>
      <c r="R145" s="31"/>
      <c r="S145" s="72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 ht="14.4" x14ac:dyDescent="0.3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67"/>
      <c r="Q146" s="31"/>
      <c r="R146" s="31"/>
      <c r="S146" s="72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 ht="14.4" x14ac:dyDescent="0.3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67"/>
      <c r="Q147" s="31"/>
      <c r="R147" s="31"/>
      <c r="S147" s="72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 ht="14.4" x14ac:dyDescent="0.3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67"/>
      <c r="Q148" s="31"/>
      <c r="R148" s="31"/>
      <c r="S148" s="72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 ht="14.4" x14ac:dyDescent="0.3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67"/>
      <c r="Q149" s="31"/>
      <c r="R149" s="31"/>
      <c r="S149" s="72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 ht="14.4" x14ac:dyDescent="0.3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67"/>
      <c r="Q150" s="31"/>
      <c r="R150" s="31"/>
      <c r="S150" s="72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 ht="14.4" x14ac:dyDescent="0.3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67"/>
      <c r="Q151" s="31"/>
      <c r="R151" s="31"/>
      <c r="S151" s="72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 ht="14.4" x14ac:dyDescent="0.3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67"/>
      <c r="Q152" s="31"/>
      <c r="R152" s="31"/>
      <c r="S152" s="72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 ht="14.4" x14ac:dyDescent="0.3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67"/>
      <c r="Q153" s="31"/>
      <c r="R153" s="31"/>
      <c r="S153" s="72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 ht="14.4" x14ac:dyDescent="0.3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67"/>
      <c r="Q154" s="31"/>
      <c r="R154" s="31"/>
      <c r="S154" s="72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 ht="14.4" x14ac:dyDescent="0.3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67"/>
      <c r="Q155" s="31"/>
      <c r="R155" s="31"/>
      <c r="S155" s="72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 ht="14.4" x14ac:dyDescent="0.3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67"/>
      <c r="Q156" s="31"/>
      <c r="R156" s="31"/>
      <c r="S156" s="72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 ht="14.4" x14ac:dyDescent="0.3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67"/>
      <c r="Q157" s="31"/>
      <c r="R157" s="31"/>
      <c r="S157" s="72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 ht="14.4" x14ac:dyDescent="0.3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67"/>
      <c r="Q158" s="31"/>
      <c r="R158" s="31"/>
      <c r="S158" s="72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 ht="14.4" x14ac:dyDescent="0.3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67"/>
      <c r="Q159" s="31"/>
      <c r="R159" s="31"/>
      <c r="S159" s="72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 ht="14.4" x14ac:dyDescent="0.3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67"/>
      <c r="Q160" s="31"/>
      <c r="R160" s="31"/>
      <c r="S160" s="72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 ht="14.4" x14ac:dyDescent="0.3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67"/>
      <c r="Q161" s="31"/>
      <c r="R161" s="31"/>
      <c r="S161" s="72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 ht="14.4" x14ac:dyDescent="0.3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67"/>
      <c r="Q162" s="31"/>
      <c r="R162" s="31"/>
      <c r="S162" s="72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 ht="14.4" x14ac:dyDescent="0.3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67"/>
      <c r="Q163" s="31"/>
      <c r="R163" s="31"/>
      <c r="S163" s="72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 ht="14.4" x14ac:dyDescent="0.3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67"/>
      <c r="Q164" s="31"/>
      <c r="R164" s="31"/>
      <c r="S164" s="72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 ht="14.4" x14ac:dyDescent="0.3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67"/>
      <c r="Q165" s="31"/>
      <c r="R165" s="31"/>
      <c r="S165" s="72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 ht="14.4" x14ac:dyDescent="0.3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67"/>
      <c r="Q166" s="31"/>
      <c r="R166" s="31"/>
      <c r="S166" s="72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 ht="14.4" x14ac:dyDescent="0.3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67"/>
      <c r="Q167" s="31"/>
      <c r="R167" s="31"/>
      <c r="S167" s="72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 ht="14.4" x14ac:dyDescent="0.3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67"/>
      <c r="Q168" s="31"/>
      <c r="R168" s="31"/>
      <c r="S168" s="72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 ht="14.4" x14ac:dyDescent="0.3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67"/>
      <c r="Q169" s="31"/>
      <c r="R169" s="31"/>
      <c r="S169" s="72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 ht="14.4" x14ac:dyDescent="0.3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67"/>
      <c r="Q170" s="31"/>
      <c r="R170" s="31"/>
      <c r="S170" s="72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 ht="14.4" x14ac:dyDescent="0.3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67"/>
      <c r="Q171" s="31"/>
      <c r="R171" s="31"/>
      <c r="S171" s="72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 ht="14.4" x14ac:dyDescent="0.3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67"/>
      <c r="Q172" s="31"/>
      <c r="R172" s="31"/>
      <c r="S172" s="72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 ht="14.4" x14ac:dyDescent="0.3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67"/>
      <c r="Q173" s="31"/>
      <c r="R173" s="31"/>
      <c r="S173" s="72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 ht="14.4" x14ac:dyDescent="0.3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67"/>
      <c r="Q174" s="31"/>
      <c r="R174" s="31"/>
      <c r="S174" s="72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 ht="14.4" x14ac:dyDescent="0.3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67"/>
      <c r="Q175" s="31"/>
      <c r="R175" s="31"/>
      <c r="S175" s="72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 ht="14.4" x14ac:dyDescent="0.3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67"/>
      <c r="Q176" s="31"/>
      <c r="R176" s="31"/>
      <c r="S176" s="72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 ht="14.4" x14ac:dyDescent="0.3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67"/>
      <c r="Q177" s="31"/>
      <c r="R177" s="31"/>
      <c r="S177" s="72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 ht="14.4" x14ac:dyDescent="0.3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67"/>
      <c r="Q178" s="31"/>
      <c r="R178" s="31"/>
      <c r="S178" s="72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 ht="14.4" x14ac:dyDescent="0.3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67"/>
      <c r="Q179" s="31"/>
      <c r="R179" s="31"/>
      <c r="S179" s="72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 ht="14.4" x14ac:dyDescent="0.3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67"/>
      <c r="Q180" s="31"/>
      <c r="R180" s="31"/>
      <c r="S180" s="72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 ht="14.4" x14ac:dyDescent="0.3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67"/>
      <c r="Q181" s="31"/>
      <c r="R181" s="31"/>
      <c r="S181" s="72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 ht="14.4" x14ac:dyDescent="0.3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67"/>
      <c r="Q182" s="31"/>
      <c r="R182" s="31"/>
      <c r="S182" s="72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 ht="14.4" x14ac:dyDescent="0.3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67"/>
      <c r="Q183" s="31"/>
      <c r="R183" s="31"/>
      <c r="S183" s="72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 ht="14.4" x14ac:dyDescent="0.3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67"/>
      <c r="Q184" s="31"/>
      <c r="R184" s="31"/>
      <c r="S184" s="72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 ht="14.4" x14ac:dyDescent="0.3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67"/>
      <c r="Q185" s="31"/>
      <c r="R185" s="31"/>
      <c r="S185" s="72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 ht="14.4" x14ac:dyDescent="0.3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67"/>
      <c r="Q186" s="31"/>
      <c r="R186" s="31"/>
      <c r="S186" s="72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 ht="14.4" x14ac:dyDescent="0.3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67"/>
      <c r="Q187" s="31"/>
      <c r="R187" s="31"/>
      <c r="S187" s="72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 ht="14.4" x14ac:dyDescent="0.3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67"/>
      <c r="Q188" s="31"/>
      <c r="R188" s="31"/>
      <c r="S188" s="72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 ht="14.4" x14ac:dyDescent="0.3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67"/>
      <c r="Q189" s="31"/>
      <c r="R189" s="31"/>
      <c r="S189" s="72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 ht="14.4" x14ac:dyDescent="0.3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67"/>
      <c r="Q190" s="31"/>
      <c r="R190" s="31"/>
      <c r="S190" s="72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 ht="14.4" x14ac:dyDescent="0.3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67"/>
      <c r="Q191" s="31"/>
      <c r="R191" s="31"/>
      <c r="S191" s="72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 ht="14.4" x14ac:dyDescent="0.3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67"/>
      <c r="Q192" s="31"/>
      <c r="R192" s="31"/>
      <c r="S192" s="72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 ht="14.4" x14ac:dyDescent="0.3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67"/>
      <c r="Q193" s="31"/>
      <c r="R193" s="31"/>
      <c r="S193" s="72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 ht="14.4" x14ac:dyDescent="0.3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67"/>
      <c r="Q194" s="31"/>
      <c r="R194" s="31"/>
      <c r="S194" s="72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 ht="14.4" x14ac:dyDescent="0.3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67"/>
      <c r="Q195" s="31"/>
      <c r="R195" s="31"/>
      <c r="S195" s="72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 ht="14.4" x14ac:dyDescent="0.3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67"/>
      <c r="Q196" s="31"/>
      <c r="R196" s="31"/>
      <c r="S196" s="72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 ht="14.4" x14ac:dyDescent="0.3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67"/>
      <c r="Q197" s="31"/>
      <c r="R197" s="31"/>
      <c r="S197" s="72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 ht="14.4" x14ac:dyDescent="0.3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67"/>
      <c r="Q198" s="31"/>
      <c r="R198" s="31"/>
      <c r="S198" s="72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 ht="14.4" x14ac:dyDescent="0.3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67"/>
      <c r="Q199" s="31"/>
      <c r="R199" s="31"/>
      <c r="S199" s="72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 ht="14.4" x14ac:dyDescent="0.3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67"/>
      <c r="Q200" s="31"/>
      <c r="R200" s="31"/>
      <c r="S200" s="72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 ht="14.4" x14ac:dyDescent="0.3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67"/>
      <c r="Q201" s="31"/>
      <c r="R201" s="31"/>
      <c r="S201" s="72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 ht="14.4" x14ac:dyDescent="0.3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67"/>
      <c r="Q202" s="31"/>
      <c r="R202" s="31"/>
      <c r="S202" s="72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 ht="14.4" x14ac:dyDescent="0.3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67"/>
      <c r="Q203" s="31"/>
      <c r="R203" s="31"/>
      <c r="S203" s="72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 ht="14.4" x14ac:dyDescent="0.3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67"/>
      <c r="Q204" s="31"/>
      <c r="R204" s="31"/>
      <c r="S204" s="72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 ht="14.4" x14ac:dyDescent="0.3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67"/>
      <c r="Q205" s="31"/>
      <c r="R205" s="31"/>
      <c r="S205" s="72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 ht="14.4" x14ac:dyDescent="0.3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67"/>
      <c r="Q206" s="31"/>
      <c r="R206" s="31"/>
      <c r="S206" s="72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 ht="14.4" x14ac:dyDescent="0.3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67"/>
      <c r="Q207" s="31"/>
      <c r="R207" s="31"/>
      <c r="S207" s="72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 ht="14.4" x14ac:dyDescent="0.3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67"/>
      <c r="Q208" s="31"/>
      <c r="R208" s="31"/>
      <c r="S208" s="72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 ht="14.4" x14ac:dyDescent="0.3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67"/>
      <c r="Q209" s="31"/>
      <c r="R209" s="31"/>
      <c r="S209" s="72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 ht="14.4" x14ac:dyDescent="0.3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67"/>
      <c r="Q210" s="31"/>
      <c r="R210" s="31"/>
      <c r="S210" s="72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 ht="14.4" x14ac:dyDescent="0.3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67"/>
      <c r="Q211" s="31"/>
      <c r="R211" s="31"/>
      <c r="S211" s="72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 ht="14.4" x14ac:dyDescent="0.3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67"/>
      <c r="Q212" s="31"/>
      <c r="R212" s="31"/>
      <c r="S212" s="72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 ht="14.4" x14ac:dyDescent="0.3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67"/>
      <c r="Q213" s="31"/>
      <c r="R213" s="31"/>
      <c r="S213" s="72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 ht="14.4" x14ac:dyDescent="0.3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67"/>
      <c r="Q214" s="31"/>
      <c r="R214" s="31"/>
      <c r="S214" s="72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 ht="14.4" x14ac:dyDescent="0.3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67"/>
      <c r="Q215" s="31"/>
      <c r="R215" s="31"/>
      <c r="S215" s="72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 ht="14.4" x14ac:dyDescent="0.3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67"/>
      <c r="Q216" s="31"/>
      <c r="R216" s="31"/>
      <c r="S216" s="72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 ht="14.4" x14ac:dyDescent="0.3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67"/>
      <c r="Q217" s="31"/>
      <c r="R217" s="31"/>
      <c r="S217" s="72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 ht="14.4" x14ac:dyDescent="0.3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67"/>
      <c r="Q218" s="31"/>
      <c r="R218" s="31"/>
      <c r="S218" s="72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 ht="14.4" x14ac:dyDescent="0.3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67"/>
      <c r="Q219" s="31"/>
      <c r="R219" s="31"/>
      <c r="S219" s="72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 ht="14.4" x14ac:dyDescent="0.3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67"/>
      <c r="Q220" s="31"/>
      <c r="R220" s="31"/>
      <c r="S220" s="72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 ht="14.4" x14ac:dyDescent="0.3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67"/>
      <c r="Q221" s="31"/>
      <c r="R221" s="31"/>
      <c r="S221" s="72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 ht="14.4" x14ac:dyDescent="0.3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67"/>
      <c r="Q222" s="31"/>
      <c r="R222" s="31"/>
      <c r="S222" s="72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 ht="14.4" x14ac:dyDescent="0.3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67"/>
      <c r="Q223" s="31"/>
      <c r="R223" s="31"/>
      <c r="S223" s="72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 ht="14.4" x14ac:dyDescent="0.3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67"/>
      <c r="Q224" s="31"/>
      <c r="R224" s="31"/>
      <c r="S224" s="72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 ht="14.4" x14ac:dyDescent="0.3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67"/>
      <c r="Q225" s="31"/>
      <c r="R225" s="31"/>
      <c r="S225" s="72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 ht="14.4" x14ac:dyDescent="0.3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67"/>
      <c r="Q226" s="31"/>
      <c r="R226" s="31"/>
      <c r="S226" s="72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 ht="14.4" x14ac:dyDescent="0.3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67"/>
      <c r="Q227" s="31"/>
      <c r="R227" s="31"/>
      <c r="S227" s="72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 ht="14.4" x14ac:dyDescent="0.3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67"/>
      <c r="Q228" s="31"/>
      <c r="R228" s="31"/>
      <c r="S228" s="72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 ht="14.4" x14ac:dyDescent="0.3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67"/>
      <c r="Q229" s="31"/>
      <c r="R229" s="31"/>
      <c r="S229" s="72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 ht="14.4" x14ac:dyDescent="0.3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67"/>
      <c r="Q230" s="31"/>
      <c r="R230" s="31"/>
      <c r="S230" s="72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 ht="14.4" x14ac:dyDescent="0.3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67"/>
      <c r="Q231" s="31"/>
      <c r="R231" s="31"/>
      <c r="S231" s="72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 ht="14.4" x14ac:dyDescent="0.3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67"/>
      <c r="Q232" s="31"/>
      <c r="R232" s="31"/>
      <c r="S232" s="72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 ht="14.4" x14ac:dyDescent="0.3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67"/>
      <c r="Q233" s="31"/>
      <c r="R233" s="31"/>
      <c r="S233" s="72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 ht="14.4" x14ac:dyDescent="0.3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67"/>
      <c r="Q234" s="31"/>
      <c r="R234" s="31"/>
      <c r="S234" s="72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 ht="14.4" x14ac:dyDescent="0.3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67"/>
      <c r="Q235" s="31"/>
      <c r="R235" s="31"/>
      <c r="S235" s="72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 ht="14.4" x14ac:dyDescent="0.3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67"/>
      <c r="Q236" s="31"/>
      <c r="R236" s="31"/>
      <c r="S236" s="72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 ht="14.4" x14ac:dyDescent="0.3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67"/>
      <c r="Q237" s="31"/>
      <c r="R237" s="31"/>
      <c r="S237" s="72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 ht="14.4" x14ac:dyDescent="0.3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67"/>
      <c r="Q238" s="31"/>
      <c r="R238" s="31"/>
      <c r="S238" s="72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 ht="14.4" x14ac:dyDescent="0.3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67"/>
      <c r="Q239" s="31"/>
      <c r="R239" s="31"/>
      <c r="S239" s="72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 ht="14.4" x14ac:dyDescent="0.3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67"/>
      <c r="Q240" s="31"/>
      <c r="R240" s="31"/>
      <c r="S240" s="72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 ht="14.4" x14ac:dyDescent="0.3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67"/>
      <c r="Q241" s="31"/>
      <c r="R241" s="31"/>
      <c r="S241" s="72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 ht="14.4" x14ac:dyDescent="0.3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67"/>
      <c r="Q242" s="31"/>
      <c r="R242" s="31"/>
      <c r="S242" s="72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 ht="14.4" x14ac:dyDescent="0.3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67"/>
      <c r="Q243" s="31"/>
      <c r="R243" s="31"/>
      <c r="S243" s="72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 ht="14.4" x14ac:dyDescent="0.3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67"/>
      <c r="Q244" s="31"/>
      <c r="R244" s="31"/>
      <c r="S244" s="72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 ht="14.4" x14ac:dyDescent="0.3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67"/>
      <c r="Q245" s="31"/>
      <c r="R245" s="31"/>
      <c r="S245" s="72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 ht="14.4" x14ac:dyDescent="0.3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67"/>
      <c r="Q246" s="31"/>
      <c r="R246" s="31"/>
      <c r="S246" s="72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 ht="14.4" x14ac:dyDescent="0.3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67"/>
      <c r="Q247" s="31"/>
      <c r="R247" s="31"/>
      <c r="S247" s="72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 ht="14.4" x14ac:dyDescent="0.3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67"/>
      <c r="Q248" s="31"/>
      <c r="R248" s="31"/>
      <c r="S248" s="72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 ht="14.4" x14ac:dyDescent="0.3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67"/>
      <c r="Q249" s="31"/>
      <c r="R249" s="31"/>
      <c r="S249" s="72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 ht="14.4" x14ac:dyDescent="0.3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67"/>
      <c r="Q250" s="31"/>
      <c r="R250" s="31"/>
      <c r="S250" s="72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 ht="14.4" x14ac:dyDescent="0.3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67"/>
      <c r="Q251" s="31"/>
      <c r="R251" s="31"/>
      <c r="S251" s="72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 ht="14.4" x14ac:dyDescent="0.3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67"/>
      <c r="Q252" s="31"/>
      <c r="R252" s="31"/>
      <c r="S252" s="72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 ht="14.4" x14ac:dyDescent="0.3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67"/>
      <c r="Q253" s="31"/>
      <c r="R253" s="31"/>
      <c r="S253" s="72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 ht="14.4" x14ac:dyDescent="0.3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67"/>
      <c r="Q254" s="31"/>
      <c r="R254" s="31"/>
      <c r="S254" s="72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 ht="14.4" x14ac:dyDescent="0.3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67"/>
      <c r="Q255" s="31"/>
      <c r="R255" s="31"/>
      <c r="S255" s="72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 ht="14.4" x14ac:dyDescent="0.3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67"/>
      <c r="Q256" s="31"/>
      <c r="R256" s="31"/>
      <c r="S256" s="72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 ht="14.4" x14ac:dyDescent="0.3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67"/>
      <c r="Q257" s="31"/>
      <c r="R257" s="31"/>
      <c r="S257" s="72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 ht="14.4" x14ac:dyDescent="0.3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67"/>
      <c r="Q258" s="31"/>
      <c r="R258" s="31"/>
      <c r="S258" s="72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 ht="14.4" x14ac:dyDescent="0.3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67"/>
      <c r="Q259" s="31"/>
      <c r="R259" s="31"/>
      <c r="S259" s="72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 ht="14.4" x14ac:dyDescent="0.3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67"/>
      <c r="Q260" s="31"/>
      <c r="R260" s="31"/>
      <c r="S260" s="72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 ht="14.4" x14ac:dyDescent="0.3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67"/>
      <c r="Q261" s="31"/>
      <c r="R261" s="31"/>
      <c r="S261" s="72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 ht="14.4" x14ac:dyDescent="0.3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67"/>
      <c r="Q262" s="31"/>
      <c r="R262" s="31"/>
      <c r="S262" s="72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 ht="14.4" x14ac:dyDescent="0.3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67"/>
      <c r="Q263" s="31"/>
      <c r="R263" s="31"/>
      <c r="S263" s="72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 ht="14.4" x14ac:dyDescent="0.3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67"/>
      <c r="Q264" s="31"/>
      <c r="R264" s="31"/>
      <c r="S264" s="72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 ht="14.4" x14ac:dyDescent="0.3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67"/>
      <c r="Q265" s="31"/>
      <c r="R265" s="31"/>
      <c r="S265" s="72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 ht="14.4" x14ac:dyDescent="0.3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67"/>
      <c r="Q266" s="31"/>
      <c r="R266" s="31"/>
      <c r="S266" s="72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 ht="14.4" x14ac:dyDescent="0.3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67"/>
      <c r="Q267" s="31"/>
      <c r="R267" s="31"/>
      <c r="S267" s="72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 ht="14.4" x14ac:dyDescent="0.3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67"/>
      <c r="Q268" s="31"/>
      <c r="R268" s="31"/>
      <c r="S268" s="72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 ht="14.4" x14ac:dyDescent="0.3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67"/>
      <c r="Q269" s="31"/>
      <c r="R269" s="31"/>
      <c r="S269" s="72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 ht="14.4" x14ac:dyDescent="0.3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67"/>
      <c r="Q270" s="31"/>
      <c r="R270" s="31"/>
      <c r="S270" s="72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 ht="14.4" x14ac:dyDescent="0.3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67"/>
      <c r="Q271" s="31"/>
      <c r="R271" s="31"/>
      <c r="S271" s="72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 ht="14.4" x14ac:dyDescent="0.3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67"/>
      <c r="Q272" s="31"/>
      <c r="R272" s="31"/>
      <c r="S272" s="72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 ht="14.4" x14ac:dyDescent="0.3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67"/>
      <c r="Q273" s="31"/>
      <c r="R273" s="31"/>
      <c r="S273" s="72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 ht="14.4" x14ac:dyDescent="0.3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67"/>
      <c r="Q274" s="31"/>
      <c r="R274" s="31"/>
      <c r="S274" s="72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 ht="14.4" x14ac:dyDescent="0.3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67"/>
      <c r="Q275" s="31"/>
      <c r="R275" s="31"/>
      <c r="S275" s="72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 ht="14.4" x14ac:dyDescent="0.3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67"/>
      <c r="Q276" s="31"/>
      <c r="R276" s="31"/>
      <c r="S276" s="72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 ht="14.4" x14ac:dyDescent="0.3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67"/>
      <c r="Q277" s="31"/>
      <c r="R277" s="31"/>
      <c r="S277" s="72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 ht="14.4" x14ac:dyDescent="0.3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67"/>
      <c r="Q278" s="31"/>
      <c r="R278" s="31"/>
      <c r="S278" s="72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 ht="14.4" x14ac:dyDescent="0.3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67"/>
      <c r="Q279" s="31"/>
      <c r="R279" s="31"/>
      <c r="S279" s="72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 ht="14.4" x14ac:dyDescent="0.3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67"/>
      <c r="Q280" s="31"/>
      <c r="R280" s="31"/>
      <c r="S280" s="72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 ht="14.4" x14ac:dyDescent="0.3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67"/>
      <c r="Q281" s="31"/>
      <c r="R281" s="31"/>
      <c r="S281" s="72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 ht="14.4" x14ac:dyDescent="0.3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67"/>
      <c r="Q282" s="31"/>
      <c r="R282" s="31"/>
      <c r="S282" s="72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 ht="14.4" x14ac:dyDescent="0.3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67"/>
      <c r="Q283" s="31"/>
      <c r="R283" s="31"/>
      <c r="S283" s="72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 ht="14.4" x14ac:dyDescent="0.3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67"/>
      <c r="Q284" s="31"/>
      <c r="R284" s="31"/>
      <c r="S284" s="72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 ht="14.4" x14ac:dyDescent="0.3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67"/>
      <c r="Q285" s="31"/>
      <c r="R285" s="31"/>
      <c r="S285" s="72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 ht="14.4" x14ac:dyDescent="0.3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67"/>
      <c r="Q286" s="31"/>
      <c r="R286" s="31"/>
      <c r="S286" s="72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 ht="14.4" x14ac:dyDescent="0.3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67"/>
      <c r="Q287" s="31"/>
      <c r="R287" s="31"/>
      <c r="S287" s="72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 ht="14.4" x14ac:dyDescent="0.3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67"/>
      <c r="Q288" s="31"/>
      <c r="R288" s="31"/>
      <c r="S288" s="72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 ht="14.4" x14ac:dyDescent="0.3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67"/>
      <c r="Q289" s="31"/>
      <c r="R289" s="31"/>
      <c r="S289" s="72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 ht="14.4" x14ac:dyDescent="0.3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67"/>
      <c r="Q290" s="31"/>
      <c r="R290" s="31"/>
      <c r="S290" s="72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 ht="14.4" x14ac:dyDescent="0.3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67"/>
      <c r="Q291" s="31"/>
      <c r="R291" s="31"/>
      <c r="S291" s="72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 ht="14.4" x14ac:dyDescent="0.3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67"/>
      <c r="Q292" s="31"/>
      <c r="R292" s="31"/>
      <c r="S292" s="72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 ht="14.4" x14ac:dyDescent="0.3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67"/>
      <c r="Q293" s="31"/>
      <c r="R293" s="31"/>
      <c r="S293" s="72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 ht="14.4" x14ac:dyDescent="0.3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67"/>
      <c r="Q294" s="31"/>
      <c r="R294" s="31"/>
      <c r="S294" s="72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 ht="14.4" x14ac:dyDescent="0.3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67"/>
      <c r="Q295" s="31"/>
      <c r="R295" s="31"/>
      <c r="S295" s="72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 ht="14.4" x14ac:dyDescent="0.3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67"/>
      <c r="Q296" s="31"/>
      <c r="R296" s="31"/>
      <c r="S296" s="72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 ht="14.4" x14ac:dyDescent="0.3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67"/>
      <c r="Q297" s="31"/>
      <c r="R297" s="31"/>
      <c r="S297" s="72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 ht="14.4" x14ac:dyDescent="0.3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67"/>
      <c r="Q298" s="31"/>
      <c r="R298" s="31"/>
      <c r="S298" s="72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 ht="14.4" x14ac:dyDescent="0.3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67"/>
      <c r="Q299" s="31"/>
      <c r="R299" s="31"/>
      <c r="S299" s="72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 ht="14.4" x14ac:dyDescent="0.3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67"/>
      <c r="Q300" s="31"/>
      <c r="R300" s="31"/>
      <c r="S300" s="72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 ht="14.4" x14ac:dyDescent="0.3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67"/>
      <c r="Q301" s="31"/>
      <c r="R301" s="31"/>
      <c r="S301" s="72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 ht="14.4" x14ac:dyDescent="0.3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67"/>
      <c r="Q302" s="31"/>
      <c r="R302" s="31"/>
      <c r="S302" s="72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 ht="14.4" x14ac:dyDescent="0.3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67"/>
      <c r="Q303" s="31"/>
      <c r="R303" s="31"/>
      <c r="S303" s="72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 ht="14.4" x14ac:dyDescent="0.3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67"/>
      <c r="Q304" s="31"/>
      <c r="R304" s="31"/>
      <c r="S304" s="72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 ht="14.4" x14ac:dyDescent="0.3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67"/>
      <c r="Q305" s="31"/>
      <c r="R305" s="31"/>
      <c r="S305" s="72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 ht="14.4" x14ac:dyDescent="0.3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67"/>
      <c r="Q306" s="31"/>
      <c r="R306" s="31"/>
      <c r="S306" s="72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 ht="14.4" x14ac:dyDescent="0.3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67"/>
      <c r="Q307" s="31"/>
      <c r="R307" s="31"/>
      <c r="S307" s="72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 ht="14.4" x14ac:dyDescent="0.3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67"/>
      <c r="Q308" s="31"/>
      <c r="R308" s="31"/>
      <c r="S308" s="72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 ht="14.4" x14ac:dyDescent="0.3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67"/>
      <c r="Q309" s="31"/>
      <c r="R309" s="31"/>
      <c r="S309" s="72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 ht="14.4" x14ac:dyDescent="0.3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67"/>
      <c r="Q310" s="31"/>
      <c r="R310" s="31"/>
      <c r="S310" s="72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 ht="14.4" x14ac:dyDescent="0.3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67"/>
      <c r="Q311" s="31"/>
      <c r="R311" s="31"/>
      <c r="S311" s="72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 ht="14.4" x14ac:dyDescent="0.3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67"/>
      <c r="Q312" s="31"/>
      <c r="R312" s="31"/>
      <c r="S312" s="72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 ht="14.4" x14ac:dyDescent="0.3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67"/>
      <c r="Q313" s="31"/>
      <c r="R313" s="31"/>
      <c r="S313" s="72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 ht="14.4" x14ac:dyDescent="0.3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67"/>
      <c r="Q314" s="31"/>
      <c r="R314" s="31"/>
      <c r="S314" s="72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 ht="14.4" x14ac:dyDescent="0.3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67"/>
      <c r="Q315" s="31"/>
      <c r="R315" s="31"/>
      <c r="S315" s="72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 ht="14.4" x14ac:dyDescent="0.3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67"/>
      <c r="Q316" s="31"/>
      <c r="R316" s="31"/>
      <c r="S316" s="72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 ht="14.4" x14ac:dyDescent="0.3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67"/>
      <c r="Q317" s="31"/>
      <c r="R317" s="31"/>
      <c r="S317" s="72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 ht="14.4" x14ac:dyDescent="0.3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67"/>
      <c r="Q318" s="31"/>
      <c r="R318" s="31"/>
      <c r="S318" s="72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 ht="14.4" x14ac:dyDescent="0.3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67"/>
      <c r="Q319" s="31"/>
      <c r="R319" s="31"/>
      <c r="S319" s="72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 ht="14.4" x14ac:dyDescent="0.3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67"/>
      <c r="Q320" s="31"/>
      <c r="R320" s="31"/>
      <c r="S320" s="72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 ht="14.4" x14ac:dyDescent="0.3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67"/>
      <c r="Q321" s="31"/>
      <c r="R321" s="31"/>
      <c r="S321" s="72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 ht="14.4" x14ac:dyDescent="0.3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67"/>
      <c r="Q322" s="31"/>
      <c r="R322" s="31"/>
      <c r="S322" s="72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 ht="14.4" x14ac:dyDescent="0.3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67"/>
      <c r="Q323" s="31"/>
      <c r="R323" s="31"/>
      <c r="S323" s="72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 ht="14.4" x14ac:dyDescent="0.3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67"/>
      <c r="Q324" s="31"/>
      <c r="R324" s="31"/>
      <c r="S324" s="72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 ht="14.4" x14ac:dyDescent="0.3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67"/>
      <c r="Q325" s="31"/>
      <c r="R325" s="31"/>
      <c r="S325" s="72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 ht="14.4" x14ac:dyDescent="0.3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67"/>
      <c r="Q326" s="31"/>
      <c r="R326" s="31"/>
      <c r="S326" s="72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 ht="14.4" x14ac:dyDescent="0.3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67"/>
      <c r="Q327" s="31"/>
      <c r="R327" s="31"/>
      <c r="S327" s="72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 ht="14.4" x14ac:dyDescent="0.3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67"/>
      <c r="Q328" s="31"/>
      <c r="R328" s="31"/>
      <c r="S328" s="72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 ht="14.4" x14ac:dyDescent="0.3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67"/>
      <c r="Q329" s="31"/>
      <c r="R329" s="31"/>
      <c r="S329" s="72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 ht="14.4" x14ac:dyDescent="0.3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67"/>
      <c r="Q330" s="31"/>
      <c r="R330" s="31"/>
      <c r="S330" s="72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 ht="14.4" x14ac:dyDescent="0.3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67"/>
      <c r="Q331" s="31"/>
      <c r="R331" s="31"/>
      <c r="S331" s="72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 ht="14.4" x14ac:dyDescent="0.3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67"/>
      <c r="Q332" s="31"/>
      <c r="R332" s="31"/>
      <c r="S332" s="72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 ht="14.4" x14ac:dyDescent="0.3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67"/>
      <c r="Q333" s="31"/>
      <c r="R333" s="31"/>
      <c r="S333" s="72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 ht="14.4" x14ac:dyDescent="0.3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67"/>
      <c r="Q334" s="31"/>
      <c r="R334" s="31"/>
      <c r="S334" s="72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 ht="14.4" x14ac:dyDescent="0.3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67"/>
      <c r="Q335" s="31"/>
      <c r="R335" s="31"/>
      <c r="S335" s="72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 ht="14.4" x14ac:dyDescent="0.3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67"/>
      <c r="Q336" s="31"/>
      <c r="R336" s="31"/>
      <c r="S336" s="72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 ht="14.4" x14ac:dyDescent="0.3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67"/>
      <c r="Q337" s="31"/>
      <c r="R337" s="31"/>
      <c r="S337" s="72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 ht="14.4" x14ac:dyDescent="0.3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67"/>
      <c r="Q338" s="31"/>
      <c r="R338" s="31"/>
      <c r="S338" s="72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 ht="14.4" x14ac:dyDescent="0.3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67"/>
      <c r="Q339" s="31"/>
      <c r="R339" s="31"/>
      <c r="S339" s="72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 ht="14.4" x14ac:dyDescent="0.3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67"/>
      <c r="Q340" s="31"/>
      <c r="R340" s="31"/>
      <c r="S340" s="72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 ht="14.4" x14ac:dyDescent="0.3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67"/>
      <c r="Q341" s="31"/>
      <c r="R341" s="31"/>
      <c r="S341" s="72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 ht="14.4" x14ac:dyDescent="0.3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67"/>
      <c r="Q342" s="31"/>
      <c r="R342" s="31"/>
      <c r="S342" s="72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 ht="14.4" x14ac:dyDescent="0.3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67"/>
      <c r="Q343" s="31"/>
      <c r="R343" s="31"/>
      <c r="S343" s="72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 ht="14.4" x14ac:dyDescent="0.3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67"/>
      <c r="Q344" s="31"/>
      <c r="R344" s="31"/>
      <c r="S344" s="72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 ht="14.4" x14ac:dyDescent="0.3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67"/>
      <c r="Q345" s="31"/>
      <c r="R345" s="31"/>
      <c r="S345" s="72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 ht="14.4" x14ac:dyDescent="0.3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67"/>
      <c r="Q346" s="31"/>
      <c r="R346" s="31"/>
      <c r="S346" s="72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 ht="14.4" x14ac:dyDescent="0.3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67"/>
      <c r="Q347" s="31"/>
      <c r="R347" s="31"/>
      <c r="S347" s="72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 ht="14.4" x14ac:dyDescent="0.3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67"/>
      <c r="Q348" s="31"/>
      <c r="R348" s="31"/>
      <c r="S348" s="72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 ht="14.4" x14ac:dyDescent="0.3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67"/>
      <c r="Q349" s="31"/>
      <c r="R349" s="31"/>
      <c r="S349" s="72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 ht="14.4" x14ac:dyDescent="0.3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67"/>
      <c r="Q350" s="31"/>
      <c r="R350" s="31"/>
      <c r="S350" s="72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 ht="14.4" x14ac:dyDescent="0.3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67"/>
      <c r="Q351" s="31"/>
      <c r="R351" s="31"/>
      <c r="S351" s="72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 ht="14.4" x14ac:dyDescent="0.3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67"/>
      <c r="Q352" s="31"/>
      <c r="R352" s="31"/>
      <c r="S352" s="72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 ht="14.4" x14ac:dyDescent="0.3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67"/>
      <c r="Q353" s="31"/>
      <c r="R353" s="31"/>
      <c r="S353" s="72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 ht="14.4" x14ac:dyDescent="0.3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67"/>
      <c r="Q354" s="31"/>
      <c r="R354" s="31"/>
      <c r="S354" s="72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 ht="14.4" x14ac:dyDescent="0.3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67"/>
      <c r="Q355" s="31"/>
      <c r="R355" s="31"/>
      <c r="S355" s="72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 ht="14.4" x14ac:dyDescent="0.3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67"/>
      <c r="Q356" s="31"/>
      <c r="R356" s="31"/>
      <c r="S356" s="72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 ht="14.4" x14ac:dyDescent="0.3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67"/>
      <c r="Q357" s="31"/>
      <c r="R357" s="31"/>
      <c r="S357" s="72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 ht="14.4" x14ac:dyDescent="0.3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67"/>
      <c r="Q358" s="31"/>
      <c r="R358" s="31"/>
      <c r="S358" s="72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 ht="14.4" x14ac:dyDescent="0.3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67"/>
      <c r="Q359" s="31"/>
      <c r="R359" s="31"/>
      <c r="S359" s="72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 ht="14.4" x14ac:dyDescent="0.3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67"/>
      <c r="Q360" s="31"/>
      <c r="R360" s="31"/>
      <c r="S360" s="72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 ht="14.4" x14ac:dyDescent="0.3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67"/>
      <c r="Q361" s="31"/>
      <c r="R361" s="31"/>
      <c r="S361" s="72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 ht="14.4" x14ac:dyDescent="0.3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67"/>
      <c r="Q362" s="31"/>
      <c r="R362" s="31"/>
      <c r="S362" s="72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 ht="14.4" x14ac:dyDescent="0.3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67"/>
      <c r="Q363" s="31"/>
      <c r="R363" s="31"/>
      <c r="S363" s="72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 ht="14.4" x14ac:dyDescent="0.3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67"/>
      <c r="Q364" s="31"/>
      <c r="R364" s="31"/>
      <c r="S364" s="72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 ht="14.4" x14ac:dyDescent="0.3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67"/>
      <c r="Q365" s="31"/>
      <c r="R365" s="31"/>
      <c r="S365" s="72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 ht="14.4" x14ac:dyDescent="0.3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67"/>
      <c r="Q366" s="31"/>
      <c r="R366" s="31"/>
      <c r="S366" s="72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 ht="14.4" x14ac:dyDescent="0.3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67"/>
      <c r="Q367" s="31"/>
      <c r="R367" s="31"/>
      <c r="S367" s="72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 ht="14.4" x14ac:dyDescent="0.3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67"/>
      <c r="Q368" s="31"/>
      <c r="R368" s="31"/>
      <c r="S368" s="72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 ht="14.4" x14ac:dyDescent="0.3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67"/>
      <c r="Q369" s="31"/>
      <c r="R369" s="31"/>
      <c r="S369" s="72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 ht="14.4" x14ac:dyDescent="0.3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67"/>
      <c r="Q370" s="31"/>
      <c r="R370" s="31"/>
      <c r="S370" s="72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 ht="14.4" x14ac:dyDescent="0.3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67"/>
      <c r="Q371" s="31"/>
      <c r="R371" s="31"/>
      <c r="S371" s="72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 ht="14.4" x14ac:dyDescent="0.3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67"/>
      <c r="Q372" s="31"/>
      <c r="R372" s="31"/>
      <c r="S372" s="72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 ht="14.4" x14ac:dyDescent="0.3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67"/>
      <c r="Q373" s="31"/>
      <c r="R373" s="31"/>
      <c r="S373" s="72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 ht="14.4" x14ac:dyDescent="0.3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67"/>
      <c r="Q374" s="31"/>
      <c r="R374" s="31"/>
      <c r="S374" s="72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 ht="14.4" x14ac:dyDescent="0.3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67"/>
      <c r="Q375" s="31"/>
      <c r="R375" s="31"/>
      <c r="S375" s="72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 ht="14.4" x14ac:dyDescent="0.3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67"/>
      <c r="Q376" s="31"/>
      <c r="R376" s="31"/>
      <c r="S376" s="72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 ht="14.4" x14ac:dyDescent="0.3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67"/>
      <c r="Q377" s="31"/>
      <c r="R377" s="31"/>
      <c r="S377" s="72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 ht="14.4" x14ac:dyDescent="0.3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67"/>
      <c r="Q378" s="31"/>
      <c r="R378" s="31"/>
      <c r="S378" s="72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 ht="14.4" x14ac:dyDescent="0.3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67"/>
      <c r="Q379" s="31"/>
      <c r="R379" s="31"/>
      <c r="S379" s="72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 ht="14.4" x14ac:dyDescent="0.3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67"/>
      <c r="Q380" s="31"/>
      <c r="R380" s="31"/>
      <c r="S380" s="72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 ht="14.4" x14ac:dyDescent="0.3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67"/>
      <c r="Q381" s="31"/>
      <c r="R381" s="31"/>
      <c r="S381" s="72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 ht="14.4" x14ac:dyDescent="0.3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67"/>
      <c r="Q382" s="31"/>
      <c r="R382" s="31"/>
      <c r="S382" s="72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 ht="14.4" x14ac:dyDescent="0.3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67"/>
      <c r="Q383" s="31"/>
      <c r="R383" s="31"/>
      <c r="S383" s="72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 ht="14.4" x14ac:dyDescent="0.3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67"/>
      <c r="Q384" s="31"/>
      <c r="R384" s="31"/>
      <c r="S384" s="72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 ht="14.4" x14ac:dyDescent="0.3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67"/>
      <c r="Q385" s="31"/>
      <c r="R385" s="31"/>
      <c r="S385" s="72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 ht="14.4" x14ac:dyDescent="0.3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67"/>
      <c r="Q386" s="31"/>
      <c r="R386" s="31"/>
      <c r="S386" s="72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 ht="14.4" x14ac:dyDescent="0.3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67"/>
      <c r="Q387" s="31"/>
      <c r="R387" s="31"/>
      <c r="S387" s="72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 ht="14.4" x14ac:dyDescent="0.3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67"/>
      <c r="Q388" s="31"/>
      <c r="R388" s="31"/>
      <c r="S388" s="72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 ht="14.4" x14ac:dyDescent="0.3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67"/>
      <c r="Q389" s="31"/>
      <c r="R389" s="31"/>
      <c r="S389" s="72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 ht="14.4" x14ac:dyDescent="0.3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67"/>
      <c r="Q390" s="31"/>
      <c r="R390" s="31"/>
      <c r="S390" s="72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 ht="14.4" x14ac:dyDescent="0.3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67"/>
      <c r="Q391" s="31"/>
      <c r="R391" s="31"/>
      <c r="S391" s="72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 ht="14.4" x14ac:dyDescent="0.3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67"/>
      <c r="Q392" s="31"/>
      <c r="R392" s="31"/>
      <c r="S392" s="72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 ht="14.4" x14ac:dyDescent="0.3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67"/>
      <c r="Q393" s="31"/>
      <c r="R393" s="31"/>
      <c r="S393" s="72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 ht="14.4" x14ac:dyDescent="0.3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67"/>
      <c r="Q394" s="31"/>
      <c r="R394" s="31"/>
      <c r="S394" s="72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 ht="14.4" x14ac:dyDescent="0.3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67"/>
      <c r="Q395" s="31"/>
      <c r="R395" s="31"/>
      <c r="S395" s="72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 ht="14.4" x14ac:dyDescent="0.3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67"/>
      <c r="Q396" s="31"/>
      <c r="R396" s="31"/>
      <c r="S396" s="72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 ht="14.4" x14ac:dyDescent="0.3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67"/>
      <c r="Q397" s="31"/>
      <c r="R397" s="31"/>
      <c r="S397" s="72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 ht="14.4" x14ac:dyDescent="0.3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67"/>
      <c r="Q398" s="31"/>
      <c r="R398" s="31"/>
      <c r="S398" s="72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 ht="14.4" x14ac:dyDescent="0.3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67"/>
      <c r="Q399" s="31"/>
      <c r="R399" s="31"/>
      <c r="S399" s="72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 ht="14.4" x14ac:dyDescent="0.3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67"/>
      <c r="Q400" s="31"/>
      <c r="R400" s="31"/>
      <c r="S400" s="72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 ht="14.4" x14ac:dyDescent="0.3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67"/>
      <c r="Q401" s="31"/>
      <c r="R401" s="31"/>
      <c r="S401" s="72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 ht="14.4" x14ac:dyDescent="0.3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67"/>
      <c r="Q402" s="31"/>
      <c r="R402" s="31"/>
      <c r="S402" s="72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 ht="14.4" x14ac:dyDescent="0.3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67"/>
      <c r="Q403" s="31"/>
      <c r="R403" s="31"/>
      <c r="S403" s="72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 ht="14.4" x14ac:dyDescent="0.3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67"/>
      <c r="Q404" s="31"/>
      <c r="R404" s="31"/>
      <c r="S404" s="72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 ht="14.4" x14ac:dyDescent="0.3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67"/>
      <c r="Q405" s="31"/>
      <c r="R405" s="31"/>
      <c r="S405" s="72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 ht="14.4" x14ac:dyDescent="0.3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67"/>
      <c r="Q406" s="31"/>
      <c r="R406" s="31"/>
      <c r="S406" s="72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 ht="14.4" x14ac:dyDescent="0.3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67"/>
      <c r="Q407" s="31"/>
      <c r="R407" s="31"/>
      <c r="S407" s="72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 ht="14.4" x14ac:dyDescent="0.3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67"/>
      <c r="Q408" s="31"/>
      <c r="R408" s="31"/>
      <c r="S408" s="72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 ht="14.4" x14ac:dyDescent="0.3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67"/>
      <c r="Q409" s="31"/>
      <c r="R409" s="31"/>
      <c r="S409" s="72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 ht="14.4" x14ac:dyDescent="0.3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67"/>
      <c r="Q410" s="31"/>
      <c r="R410" s="31"/>
      <c r="S410" s="72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 ht="14.4" x14ac:dyDescent="0.3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67"/>
      <c r="Q411" s="31"/>
      <c r="R411" s="31"/>
      <c r="S411" s="72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 ht="14.4" x14ac:dyDescent="0.3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67"/>
      <c r="Q412" s="31"/>
      <c r="R412" s="31"/>
      <c r="S412" s="72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 ht="14.4" x14ac:dyDescent="0.3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67"/>
      <c r="Q413" s="31"/>
      <c r="R413" s="31"/>
      <c r="S413" s="72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 ht="14.4" x14ac:dyDescent="0.3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67"/>
      <c r="Q414" s="31"/>
      <c r="R414" s="31"/>
      <c r="S414" s="72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 ht="14.4" x14ac:dyDescent="0.3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67"/>
      <c r="Q415" s="31"/>
      <c r="R415" s="31"/>
      <c r="S415" s="72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 ht="14.4" x14ac:dyDescent="0.3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67"/>
      <c r="Q416" s="31"/>
      <c r="R416" s="31"/>
      <c r="S416" s="72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 ht="14.4" x14ac:dyDescent="0.3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67"/>
      <c r="Q417" s="31"/>
      <c r="R417" s="31"/>
      <c r="S417" s="72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 ht="14.4" x14ac:dyDescent="0.3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67"/>
      <c r="Q418" s="31"/>
      <c r="R418" s="31"/>
      <c r="S418" s="72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 ht="14.4" x14ac:dyDescent="0.3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67"/>
      <c r="Q419" s="31"/>
      <c r="R419" s="31"/>
      <c r="S419" s="72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 ht="14.4" x14ac:dyDescent="0.3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67"/>
      <c r="Q420" s="31"/>
      <c r="R420" s="31"/>
      <c r="S420" s="72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 ht="14.4" x14ac:dyDescent="0.3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67"/>
      <c r="Q421" s="31"/>
      <c r="R421" s="31"/>
      <c r="S421" s="72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 ht="14.4" x14ac:dyDescent="0.3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67"/>
      <c r="Q422" s="31"/>
      <c r="R422" s="31"/>
      <c r="S422" s="72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 ht="14.4" x14ac:dyDescent="0.3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67"/>
      <c r="Q423" s="31"/>
      <c r="R423" s="31"/>
      <c r="S423" s="72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 ht="14.4" x14ac:dyDescent="0.3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67"/>
      <c r="Q424" s="31"/>
      <c r="R424" s="31"/>
      <c r="S424" s="72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 ht="14.4" x14ac:dyDescent="0.3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67"/>
      <c r="Q425" s="31"/>
      <c r="R425" s="31"/>
      <c r="S425" s="72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 ht="14.4" x14ac:dyDescent="0.3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67"/>
      <c r="Q426" s="31"/>
      <c r="R426" s="31"/>
      <c r="S426" s="72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 ht="14.4" x14ac:dyDescent="0.3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67"/>
      <c r="Q427" s="31"/>
      <c r="R427" s="31"/>
      <c r="S427" s="72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 ht="14.4" x14ac:dyDescent="0.3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67"/>
      <c r="Q428" s="31"/>
      <c r="R428" s="31"/>
      <c r="S428" s="72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 ht="14.4" x14ac:dyDescent="0.3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67"/>
      <c r="Q429" s="31"/>
      <c r="R429" s="31"/>
      <c r="S429" s="72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 ht="14.4" x14ac:dyDescent="0.3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67"/>
      <c r="Q430" s="31"/>
      <c r="R430" s="31"/>
      <c r="S430" s="72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 ht="14.4" x14ac:dyDescent="0.3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67"/>
      <c r="Q431" s="31"/>
      <c r="R431" s="31"/>
      <c r="S431" s="72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 ht="14.4" x14ac:dyDescent="0.3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67"/>
      <c r="Q432" s="31"/>
      <c r="R432" s="31"/>
      <c r="S432" s="72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 ht="14.4" x14ac:dyDescent="0.3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67"/>
      <c r="Q433" s="31"/>
      <c r="R433" s="31"/>
      <c r="S433" s="72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 ht="14.4" x14ac:dyDescent="0.3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67"/>
      <c r="Q434" s="31"/>
      <c r="R434" s="31"/>
      <c r="S434" s="72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 ht="14.4" x14ac:dyDescent="0.3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67"/>
      <c r="Q435" s="31"/>
      <c r="R435" s="31"/>
      <c r="S435" s="72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 ht="14.4" x14ac:dyDescent="0.3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67"/>
      <c r="Q436" s="31"/>
      <c r="R436" s="31"/>
      <c r="S436" s="72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 ht="14.4" x14ac:dyDescent="0.3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67"/>
      <c r="Q437" s="31"/>
      <c r="R437" s="31"/>
      <c r="S437" s="72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 ht="14.4" x14ac:dyDescent="0.3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67"/>
      <c r="Q438" s="31"/>
      <c r="R438" s="31"/>
      <c r="S438" s="72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 ht="14.4" x14ac:dyDescent="0.3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67"/>
      <c r="Q439" s="31"/>
      <c r="R439" s="31"/>
      <c r="S439" s="72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 ht="14.4" x14ac:dyDescent="0.3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67"/>
      <c r="Q440" s="31"/>
      <c r="R440" s="31"/>
      <c r="S440" s="72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 ht="14.4" x14ac:dyDescent="0.3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67"/>
      <c r="Q441" s="31"/>
      <c r="R441" s="31"/>
      <c r="S441" s="72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 ht="14.4" x14ac:dyDescent="0.3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67"/>
      <c r="Q442" s="31"/>
      <c r="R442" s="31"/>
      <c r="S442" s="72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 ht="14.4" x14ac:dyDescent="0.3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67"/>
      <c r="Q443" s="31"/>
      <c r="R443" s="31"/>
      <c r="S443" s="72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 ht="14.4" x14ac:dyDescent="0.3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67"/>
      <c r="Q444" s="31"/>
      <c r="R444" s="31"/>
      <c r="S444" s="72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 ht="14.4" x14ac:dyDescent="0.3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67"/>
      <c r="Q445" s="31"/>
      <c r="R445" s="31"/>
      <c r="S445" s="72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 ht="14.4" x14ac:dyDescent="0.3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67"/>
      <c r="Q446" s="31"/>
      <c r="R446" s="31"/>
      <c r="S446" s="72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 ht="14.4" x14ac:dyDescent="0.3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67"/>
      <c r="Q447" s="31"/>
      <c r="R447" s="31"/>
      <c r="S447" s="72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 ht="14.4" x14ac:dyDescent="0.3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67"/>
      <c r="Q448" s="31"/>
      <c r="R448" s="31"/>
      <c r="S448" s="72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 ht="14.4" x14ac:dyDescent="0.3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67"/>
      <c r="Q449" s="31"/>
      <c r="R449" s="31"/>
      <c r="S449" s="72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 ht="14.4" x14ac:dyDescent="0.3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67"/>
      <c r="Q450" s="31"/>
      <c r="R450" s="31"/>
      <c r="S450" s="72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 ht="14.4" x14ac:dyDescent="0.3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67"/>
      <c r="Q451" s="31"/>
      <c r="R451" s="31"/>
      <c r="S451" s="72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 ht="14.4" x14ac:dyDescent="0.3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67"/>
      <c r="Q452" s="31"/>
      <c r="R452" s="31"/>
      <c r="S452" s="72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 ht="14.4" x14ac:dyDescent="0.3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67"/>
      <c r="Q453" s="31"/>
      <c r="R453" s="31"/>
      <c r="S453" s="72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 ht="14.4" x14ac:dyDescent="0.3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67"/>
      <c r="Q454" s="31"/>
      <c r="R454" s="31"/>
      <c r="S454" s="72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 ht="14.4" x14ac:dyDescent="0.3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67"/>
      <c r="Q455" s="31"/>
      <c r="R455" s="31"/>
      <c r="S455" s="72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 ht="14.4" x14ac:dyDescent="0.3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67"/>
      <c r="Q456" s="31"/>
      <c r="R456" s="31"/>
      <c r="S456" s="72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 ht="14.4" x14ac:dyDescent="0.3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67"/>
      <c r="Q457" s="31"/>
      <c r="R457" s="31"/>
      <c r="S457" s="72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 ht="14.4" x14ac:dyDescent="0.3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67"/>
      <c r="Q458" s="31"/>
      <c r="R458" s="31"/>
      <c r="S458" s="72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 ht="14.4" x14ac:dyDescent="0.3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67"/>
      <c r="Q459" s="31"/>
      <c r="R459" s="31"/>
      <c r="S459" s="72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 ht="14.4" x14ac:dyDescent="0.3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67"/>
      <c r="Q460" s="31"/>
      <c r="R460" s="31"/>
      <c r="S460" s="72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 ht="14.4" x14ac:dyDescent="0.3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67"/>
      <c r="Q461" s="31"/>
      <c r="R461" s="31"/>
      <c r="S461" s="72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 ht="14.4" x14ac:dyDescent="0.3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67"/>
      <c r="Q462" s="31"/>
      <c r="R462" s="31"/>
      <c r="S462" s="72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 ht="14.4" x14ac:dyDescent="0.3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67"/>
      <c r="Q463" s="31"/>
      <c r="R463" s="31"/>
      <c r="S463" s="72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 ht="14.4" x14ac:dyDescent="0.3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67"/>
      <c r="Q464" s="31"/>
      <c r="R464" s="31"/>
      <c r="S464" s="72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 ht="14.4" x14ac:dyDescent="0.3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67"/>
      <c r="Q465" s="31"/>
      <c r="R465" s="31"/>
      <c r="S465" s="72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 ht="14.4" x14ac:dyDescent="0.3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67"/>
      <c r="Q466" s="31"/>
      <c r="R466" s="31"/>
      <c r="S466" s="72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 ht="14.4" x14ac:dyDescent="0.3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67"/>
      <c r="Q467" s="31"/>
      <c r="R467" s="31"/>
      <c r="S467" s="72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 ht="14.4" x14ac:dyDescent="0.3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67"/>
      <c r="Q468" s="31"/>
      <c r="R468" s="31"/>
      <c r="S468" s="72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 ht="14.4" x14ac:dyDescent="0.3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67"/>
      <c r="Q469" s="31"/>
      <c r="R469" s="31"/>
      <c r="S469" s="72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 ht="14.4" x14ac:dyDescent="0.3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67"/>
      <c r="Q470" s="31"/>
      <c r="R470" s="31"/>
      <c r="S470" s="72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 ht="14.4" x14ac:dyDescent="0.3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67"/>
      <c r="Q471" s="31"/>
      <c r="R471" s="31"/>
      <c r="S471" s="72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 ht="14.4" x14ac:dyDescent="0.3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67"/>
      <c r="Q472" s="31"/>
      <c r="R472" s="31"/>
      <c r="S472" s="72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 ht="14.4" x14ac:dyDescent="0.3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67"/>
      <c r="Q473" s="31"/>
      <c r="R473" s="31"/>
      <c r="S473" s="72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 ht="14.4" x14ac:dyDescent="0.3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67"/>
      <c r="Q474" s="31"/>
      <c r="R474" s="31"/>
      <c r="S474" s="72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 ht="14.4" x14ac:dyDescent="0.3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67"/>
      <c r="Q475" s="31"/>
      <c r="R475" s="31"/>
      <c r="S475" s="72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 ht="14.4" x14ac:dyDescent="0.3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67"/>
      <c r="Q476" s="31"/>
      <c r="R476" s="31"/>
      <c r="S476" s="72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 ht="14.4" x14ac:dyDescent="0.3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67"/>
      <c r="Q477" s="31"/>
      <c r="R477" s="31"/>
      <c r="S477" s="72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 ht="14.4" x14ac:dyDescent="0.3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67"/>
      <c r="Q478" s="31"/>
      <c r="R478" s="31"/>
      <c r="S478" s="72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 ht="14.4" x14ac:dyDescent="0.3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67"/>
      <c r="Q479" s="31"/>
      <c r="R479" s="31"/>
      <c r="S479" s="72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 ht="14.4" x14ac:dyDescent="0.3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67"/>
      <c r="Q480" s="31"/>
      <c r="R480" s="31"/>
      <c r="S480" s="72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 ht="14.4" x14ac:dyDescent="0.3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67"/>
      <c r="Q481" s="31"/>
      <c r="R481" s="31"/>
      <c r="S481" s="72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 ht="14.4" x14ac:dyDescent="0.3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67"/>
      <c r="Q482" s="31"/>
      <c r="R482" s="31"/>
      <c r="S482" s="72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 ht="14.4" x14ac:dyDescent="0.3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67"/>
      <c r="Q483" s="31"/>
      <c r="R483" s="31"/>
      <c r="S483" s="72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 ht="14.4" x14ac:dyDescent="0.3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67"/>
      <c r="Q484" s="31"/>
      <c r="R484" s="31"/>
      <c r="S484" s="72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 ht="14.4" x14ac:dyDescent="0.3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67"/>
      <c r="Q485" s="31"/>
      <c r="R485" s="31"/>
      <c r="S485" s="72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 ht="14.4" x14ac:dyDescent="0.3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67"/>
      <c r="Q486" s="31"/>
      <c r="R486" s="31"/>
      <c r="S486" s="72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 ht="14.4" x14ac:dyDescent="0.3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67"/>
      <c r="Q487" s="31"/>
      <c r="R487" s="31"/>
      <c r="S487" s="72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 ht="14.4" x14ac:dyDescent="0.3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67"/>
      <c r="Q488" s="31"/>
      <c r="R488" s="31"/>
      <c r="S488" s="72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 ht="14.4" x14ac:dyDescent="0.3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67"/>
      <c r="Q489" s="31"/>
      <c r="R489" s="31"/>
      <c r="S489" s="72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 ht="14.4" x14ac:dyDescent="0.3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67"/>
      <c r="Q490" s="31"/>
      <c r="R490" s="31"/>
      <c r="S490" s="72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 ht="14.4" x14ac:dyDescent="0.3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67"/>
      <c r="Q491" s="31"/>
      <c r="R491" s="31"/>
      <c r="S491" s="72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 ht="14.4" x14ac:dyDescent="0.3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67"/>
      <c r="Q492" s="31"/>
      <c r="R492" s="31"/>
      <c r="S492" s="72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 ht="14.4" x14ac:dyDescent="0.3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67"/>
      <c r="Q493" s="31"/>
      <c r="R493" s="31"/>
      <c r="S493" s="72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 ht="14.4" x14ac:dyDescent="0.3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67"/>
      <c r="Q494" s="31"/>
      <c r="R494" s="31"/>
      <c r="S494" s="72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 ht="14.4" x14ac:dyDescent="0.3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67"/>
      <c r="Q495" s="31"/>
      <c r="R495" s="31"/>
      <c r="S495" s="72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 ht="14.4" x14ac:dyDescent="0.3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67"/>
      <c r="Q496" s="31"/>
      <c r="R496" s="31"/>
      <c r="S496" s="72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 ht="14.4" x14ac:dyDescent="0.3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67"/>
      <c r="Q497" s="31"/>
      <c r="R497" s="31"/>
      <c r="S497" s="72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 ht="14.4" x14ac:dyDescent="0.3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67"/>
      <c r="Q498" s="31"/>
      <c r="R498" s="31"/>
      <c r="S498" s="72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 ht="14.4" x14ac:dyDescent="0.3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67"/>
      <c r="Q499" s="31"/>
      <c r="R499" s="31"/>
      <c r="S499" s="72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sheet="1" objects="1" scenarios="1" formatColumns="0" formatRows="0" sort="0" autoFilter="0"/>
  <phoneticPr fontId="19" type="noConversion"/>
  <conditionalFormatting sqref="D2:D499">
    <cfRule type="expression" dxfId="60" priority="20">
      <formula>ISNUMBER(SEARCH("no target",$D2))</formula>
    </cfRule>
    <cfRule type="expression" dxfId="59" priority="18">
      <formula>ISNUMBER(SEARCH("Blocked",$D2))</formula>
    </cfRule>
    <cfRule type="expression" dxfId="58" priority="19">
      <formula>ISNUMBER(SEARCH("overdue",$D2))</formula>
    </cfRule>
    <cfRule type="expression" dxfId="57" priority="21">
      <formula>ISNUMBER(SEARCH("Review",$D2))</formula>
    </cfRule>
    <cfRule type="expression" dxfId="56" priority="22">
      <formula>OR($D2="On track",$D2="Delivered")</formula>
    </cfRule>
  </conditionalFormatting>
  <conditionalFormatting sqref="J2:N164">
    <cfRule type="expression" dxfId="55" priority="1">
      <formula>$AF2="Yes – needs DB Dev to fix"</formula>
    </cfRule>
  </conditionalFormatting>
  <conditionalFormatting sqref="K40:K41">
    <cfRule type="expression" dxfId="54" priority="8">
      <formula>$AF40="Yes – needs PBI Dev to fix"</formula>
    </cfRule>
  </conditionalFormatting>
  <conditionalFormatting sqref="K41">
    <cfRule type="expression" dxfId="53" priority="285">
      <formula>$AF41="Yes – needs DB Dev to fix"</formula>
    </cfRule>
    <cfRule type="expression" dxfId="52" priority="284">
      <formula>AND($B41&lt;&gt;"",MOD(ROW(),2)=0)</formula>
    </cfRule>
  </conditionalFormatting>
  <conditionalFormatting sqref="K42">
    <cfRule type="expression" dxfId="51" priority="286">
      <formula>AND($B41&lt;&gt;"",MOD(ROW(),2)=0)</formula>
    </cfRule>
    <cfRule type="expression" dxfId="50" priority="287">
      <formula>$AF41="Yes – needs DB Dev to fix"</formula>
    </cfRule>
  </conditionalFormatting>
  <conditionalFormatting sqref="K73:L73">
    <cfRule type="expression" dxfId="49" priority="93">
      <formula>$AB73="Yes – needs DB Dev to fix"</formula>
    </cfRule>
  </conditionalFormatting>
  <conditionalFormatting sqref="K74:L499">
    <cfRule type="expression" dxfId="48" priority="27">
      <formula>$Y74="Yes – needs DB Dev to fix"</formula>
    </cfRule>
  </conditionalFormatting>
  <conditionalFormatting sqref="M73:O73">
    <cfRule type="expression" dxfId="47" priority="278">
      <formula>$AA73="Yes – needs PBI Dev to fix"</formula>
    </cfRule>
  </conditionalFormatting>
  <conditionalFormatting sqref="M74:O499">
    <cfRule type="expression" dxfId="46" priority="280">
      <formula>$Y74="Yes – needs PBI Dev to fix"</formula>
    </cfRule>
  </conditionalFormatting>
  <conditionalFormatting sqref="P73">
    <cfRule type="expression" dxfId="45" priority="97">
      <formula>$AB73="Yes – needs PBI Dev to fix"</formula>
    </cfRule>
  </conditionalFormatting>
  <conditionalFormatting sqref="P74:Q499">
    <cfRule type="expression" dxfId="44" priority="29">
      <formula>$Y74="Yes – needs QA to fix"</formula>
    </cfRule>
  </conditionalFormatting>
  <conditionalFormatting sqref="P2:T73">
    <cfRule type="expression" dxfId="43" priority="15">
      <formula>$AF2="Yes – needs PBI Dev to fix"</formula>
    </cfRule>
  </conditionalFormatting>
  <conditionalFormatting sqref="Q73:T73">
    <cfRule type="expression" dxfId="42" priority="99">
      <formula>$AB73="Yes – needs QA to fix"</formula>
    </cfRule>
  </conditionalFormatting>
  <conditionalFormatting sqref="R74:T499">
    <cfRule type="expression" dxfId="41" priority="30">
      <formula>$Y74="Yes – needs DPO Approval to fix"</formula>
    </cfRule>
  </conditionalFormatting>
  <conditionalFormatting sqref="T10:U19 J29 M29:O29 J32:J33 M32:O33 M40:O41">
    <cfRule type="expression" dxfId="40" priority="17">
      <formula>$AF10="Yes – needs PBI Dev to fix"</formula>
    </cfRule>
  </conditionalFormatting>
  <conditionalFormatting sqref="T74:U499">
    <cfRule type="expression" dxfId="39" priority="26">
      <formula>$U74="Yes"</formula>
    </cfRule>
  </conditionalFormatting>
  <conditionalFormatting sqref="T73:V73">
    <cfRule type="expression" dxfId="38" priority="101">
      <formula>$AB73="Yes – needs DPO Approval to fix"</formula>
    </cfRule>
  </conditionalFormatting>
  <conditionalFormatting sqref="T2:X73">
    <cfRule type="expression" dxfId="37" priority="72">
      <formula>$AF2="Yes – needs QA to fix"</formula>
    </cfRule>
  </conditionalFormatting>
  <conditionalFormatting sqref="V74:AA499 G43:U499 A2:F499 G2:U40 L41:U42 G41:J42 V2:AH2 V3:X3 Z3:AH3 V4:AH72 V73:AD73">
    <cfRule type="expression" dxfId="36" priority="34">
      <formula>AND($B2&lt;&gt;"",MOD(ROW(),2)=0)</formula>
    </cfRule>
  </conditionalFormatting>
  <conditionalFormatting sqref="W73:X73">
    <cfRule type="expression" dxfId="35" priority="103">
      <formula>$W73="Yes"</formula>
    </cfRule>
  </conditionalFormatting>
  <conditionalFormatting sqref="Y3">
    <cfRule type="expression" dxfId="34" priority="289">
      <formula>$AF3="Yes – needs DPO Approval to fix"</formula>
    </cfRule>
    <cfRule type="expression" dxfId="33" priority="288">
      <formula>AND($B3&lt;&gt;"",MOD(ROW(),2)=0)</formula>
    </cfRule>
  </conditionalFormatting>
  <conditionalFormatting sqref="Y74:Y499">
    <cfRule type="expression" dxfId="32" priority="23">
      <formula>LEFT($Y74,3)="Yes"</formula>
    </cfRule>
  </conditionalFormatting>
  <conditionalFormatting sqref="Y2:AA2 Z3:AA3 Y4:AA73">
    <cfRule type="expression" dxfId="31" priority="75">
      <formula>$AF2="Yes – needs DPO Approval to fix"</formula>
    </cfRule>
  </conditionalFormatting>
  <conditionalFormatting sqref="Z74:Z499">
    <cfRule type="expression" dxfId="30" priority="32">
      <formula>ISNUMBER(SEARCH("Duplicate",$Z74))</formula>
    </cfRule>
    <cfRule type="expression" dxfId="29" priority="31">
      <formula>ISNUMBER(SEARCH("Move old",$Z74))</formula>
    </cfRule>
    <cfRule type="expression" dxfId="28" priority="31">
      <formula>ISNUMBER(SEARCH("log it",$Z74))</formula>
    </cfRule>
    <cfRule type="expression" dxfId="27" priority="33">
      <formula>$Z74&lt;&gt;""</formula>
    </cfRule>
    <cfRule type="expression" dxfId="26" priority="31">
      <formula>ISNUMBER(SEARCH("Open rework",$Z74))</formula>
    </cfRule>
  </conditionalFormatting>
  <conditionalFormatting sqref="AB2:AB73">
    <cfRule type="expression" dxfId="25" priority="47">
      <formula>$AB2="Yes"</formula>
    </cfRule>
  </conditionalFormatting>
  <conditionalFormatting sqref="AB73">
    <cfRule type="expression" dxfId="24" priority="105">
      <formula>LEFT($AB73,3)="Yes"</formula>
    </cfRule>
  </conditionalFormatting>
  <conditionalFormatting sqref="AC73">
    <cfRule type="expression" dxfId="23" priority="112">
      <formula>ISNUMBER(SEARCH("Move old",$AC73))</formula>
    </cfRule>
    <cfRule type="expression" dxfId="22" priority="113">
      <formula>ISNUMBER(SEARCH("log it",$AC73))</formula>
    </cfRule>
    <cfRule type="expression" dxfId="21" priority="114">
      <formula>ISNUMBER(SEARCH("Duplicate",$AC73))</formula>
    </cfRule>
    <cfRule type="expression" dxfId="20" priority="115">
      <formula>$AC73&lt;&gt;""</formula>
    </cfRule>
    <cfRule type="expression" dxfId="19" priority="111">
      <formula>ISNUMBER(SEARCH("Open rework",$AC73))</formula>
    </cfRule>
  </conditionalFormatting>
  <conditionalFormatting sqref="AF2:AF73">
    <cfRule type="expression" dxfId="18" priority="49">
      <formula>LEFT($AF2,3)="Yes"</formula>
    </cfRule>
  </conditionalFormatting>
  <conditionalFormatting sqref="AG2:AG73">
    <cfRule type="expression" dxfId="17" priority="55">
      <formula>ISNUMBER(SEARCH("log it",$AG2))</formula>
    </cfRule>
    <cfRule type="expression" dxfId="16" priority="57">
      <formula>ISNUMBER(SEARCH("Move old",$AG2))</formula>
    </cfRule>
    <cfRule type="expression" dxfId="15" priority="58">
      <formula>ISNUMBER(SEARCH("Duplicate",$AG2))</formula>
    </cfRule>
    <cfRule type="expression" dxfId="14" priority="59">
      <formula>$AG2&lt;&gt;""</formula>
    </cfRule>
    <cfRule type="expression" dxfId="13" priority="56">
      <formula>ISNUMBER(SEARCH("Open rework",$AG2))</formula>
    </cfRule>
  </conditionalFormatting>
  <dataValidations count="2">
    <dataValidation type="date" operator="greaterThanOrEqual" allowBlank="1" showErrorMessage="1" errorTitle="Real date only" error="This column only accepts real dates. Put notes in Comments instead." sqref="V74:V499 AC2:AC72 H2:H499 Y2:Y73 Z2:Z72 K2:M499 P74:R499 V2:X72 P2:Q73 S2:U73 R2:R28 R30:R73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N1:O1048576" xr:uid="{DAD9BD11-4282-4C05-A84B-0F51450196AD}"/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AB2:AB72 T74:U499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J2:J499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O2:O499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T2:T499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" x14ac:dyDescent="0.3"/>
  <cols>
    <col min="1" max="1" width="24" customWidth="1"/>
    <col min="2" max="5" width="16" customWidth="1"/>
  </cols>
  <sheetData>
    <row r="1" spans="1:5" ht="21" customHeight="1" x14ac:dyDescent="0.4">
      <c r="A1" s="7" t="s">
        <v>188</v>
      </c>
    </row>
    <row r="2" spans="1:5" x14ac:dyDescent="0.3">
      <c r="A2" s="6" t="s">
        <v>189</v>
      </c>
    </row>
    <row r="4" spans="1:5" ht="21.9" customHeight="1" x14ac:dyDescent="0.3">
      <c r="A4" s="5" t="s">
        <v>190</v>
      </c>
      <c r="B4" s="82"/>
      <c r="C4" s="77"/>
      <c r="D4" s="77"/>
      <c r="E4" s="77"/>
    </row>
    <row r="6" spans="1:5" x14ac:dyDescent="0.3">
      <c r="A6" s="42" t="s">
        <v>0</v>
      </c>
      <c r="B6" s="81" t="str">
        <f>IF($B$4="","",IFERROR(INDEX('Combined Delivery Data'!$A:$A,MATCH($B$4,'Combined Delivery Data'!$B:$B,0)),""))</f>
        <v/>
      </c>
      <c r="C6" s="79"/>
      <c r="D6" s="79"/>
      <c r="E6" s="80"/>
    </row>
    <row r="7" spans="1:5" x14ac:dyDescent="0.3">
      <c r="A7" s="42" t="s">
        <v>2</v>
      </c>
      <c r="B7" s="81" t="str">
        <f>IF($B$4="","",IFERROR(INDEX('Combined Delivery Data'!$C:$C,MATCH($B$4,'Combined Delivery Data'!$B:$B,0)),""))</f>
        <v/>
      </c>
      <c r="C7" s="79"/>
      <c r="D7" s="79"/>
      <c r="E7" s="80"/>
    </row>
    <row r="8" spans="1:5" x14ac:dyDescent="0.3">
      <c r="A8" s="42" t="s">
        <v>3</v>
      </c>
      <c r="B8" s="81" t="str">
        <f>IF($B$4="","",IFERROR(INDEX('Combined Delivery Data'!$D:$D,MATCH($B$4,'Combined Delivery Data'!$B:$B,0)),""))</f>
        <v/>
      </c>
      <c r="C8" s="79"/>
      <c r="D8" s="79"/>
      <c r="E8" s="80"/>
    </row>
    <row r="9" spans="1:5" x14ac:dyDescent="0.3">
      <c r="A9" s="42" t="s">
        <v>4</v>
      </c>
      <c r="B9" s="81" t="str">
        <f>IF($B$4="","",IFERROR(INDEX('Combined Delivery Data'!$E:$E,MATCH($B$4,'Combined Delivery Data'!$B:$B,0)),""))</f>
        <v/>
      </c>
      <c r="C9" s="79"/>
      <c r="D9" s="79"/>
      <c r="E9" s="80"/>
    </row>
    <row r="10" spans="1:5" x14ac:dyDescent="0.3">
      <c r="A10" s="42" t="s">
        <v>5</v>
      </c>
      <c r="B10" s="81" t="str">
        <f>IF($B$4="","",IFERROR(INDEX('Combined Delivery Data'!$F:$F,MATCH($B$4,'Combined Delivery Data'!$B:$B,0)),""))</f>
        <v/>
      </c>
      <c r="C10" s="79"/>
      <c r="D10" s="79"/>
      <c r="E10" s="80"/>
    </row>
    <row r="11" spans="1:5" x14ac:dyDescent="0.3">
      <c r="A11" s="42" t="s">
        <v>9</v>
      </c>
      <c r="B11" s="81" t="str">
        <f>IF($B$4="","",IFERROR(INDEX('Combined Delivery Data'!$J:$J,MATCH($B$4,'Combined Delivery Data'!$B:$B,0)),""))</f>
        <v/>
      </c>
      <c r="C11" s="79"/>
      <c r="D11" s="79"/>
      <c r="E11" s="80"/>
    </row>
    <row r="12" spans="1:5" x14ac:dyDescent="0.3">
      <c r="A12" s="42" t="s">
        <v>14</v>
      </c>
      <c r="B12" s="81" t="str">
        <f>IF($B$4="","",IFERROR(INDEX('Combined Delivery Data'!$O:$O,MATCH($B$4,'Combined Delivery Data'!$B:$B,0)),""))</f>
        <v/>
      </c>
      <c r="C12" s="79"/>
      <c r="D12" s="79"/>
      <c r="E12" s="80"/>
    </row>
    <row r="13" spans="1:5" x14ac:dyDescent="0.3">
      <c r="A13" s="42" t="s">
        <v>19</v>
      </c>
      <c r="B13" s="81" t="str">
        <f>IF($B$4="","",IFERROR(INDEX('Combined Delivery Data'!$T:$T,MATCH($B$4,'Combined Delivery Data'!$B:$B,0)),""))</f>
        <v/>
      </c>
      <c r="C13" s="79"/>
      <c r="D13" s="79"/>
      <c r="E13" s="80"/>
    </row>
    <row r="14" spans="1:5" x14ac:dyDescent="0.3">
      <c r="A14" s="42" t="s">
        <v>191</v>
      </c>
      <c r="B14" s="78" t="str">
        <f>IF($B$4="","",IFERROR(INDEX('Combined Delivery Data'!$K:$K,MATCH($B$4,'Combined Delivery Data'!$B:$B,0)),""))</f>
        <v/>
      </c>
      <c r="C14" s="79"/>
      <c r="D14" s="79"/>
      <c r="E14" s="80"/>
    </row>
    <row r="15" spans="1:5" x14ac:dyDescent="0.3">
      <c r="A15" s="42" t="s">
        <v>192</v>
      </c>
      <c r="B15" s="78" t="str">
        <f>IF($B$4="","",IFERROR(INDEX('Combined Delivery Data'!$L:$L,MATCH($B$4,'Combined Delivery Data'!$B:$B,0)),""))</f>
        <v/>
      </c>
      <c r="C15" s="79"/>
      <c r="D15" s="79"/>
      <c r="E15" s="80"/>
    </row>
    <row r="16" spans="1:5" x14ac:dyDescent="0.3">
      <c r="A16" s="42" t="s">
        <v>193</v>
      </c>
      <c r="B16" s="78" t="str">
        <f>IF($B$4="","",IFERROR(INDEX('Combined Delivery Data'!$M:$M,MATCH($B$4,'Combined Delivery Data'!$B:$B,0)),""))</f>
        <v/>
      </c>
      <c r="C16" s="79"/>
      <c r="D16" s="79"/>
      <c r="E16" s="80"/>
    </row>
    <row r="17" spans="1:5" x14ac:dyDescent="0.3">
      <c r="A17" s="42" t="s">
        <v>194</v>
      </c>
      <c r="B17" s="78" t="str">
        <f>IF($B$4="","",IFERROR(INDEX('Combined Delivery Data'!$N:$N,MATCH($B$4,'Combined Delivery Data'!$B:$B,0)),""))</f>
        <v/>
      </c>
      <c r="C17" s="79"/>
      <c r="D17" s="79"/>
      <c r="E17" s="80"/>
    </row>
    <row r="18" spans="1:5" x14ac:dyDescent="0.3">
      <c r="A18" s="42" t="s">
        <v>195</v>
      </c>
      <c r="B18" s="78" t="str">
        <f>IF($B$4="","",IFERROR(INDEX('Combined Delivery Data'!$P:$P,MATCH($B$4,'Combined Delivery Data'!$B:$B,0)),""))</f>
        <v/>
      </c>
      <c r="C18" s="79"/>
      <c r="D18" s="79"/>
      <c r="E18" s="80"/>
    </row>
    <row r="19" spans="1:5" x14ac:dyDescent="0.3">
      <c r="A19" s="42" t="s">
        <v>196</v>
      </c>
      <c r="B19" s="78" t="str">
        <f>IF($B$4="","",IFERROR(INDEX('Combined Delivery Data'!$Q:$Q,MATCH($B$4,'Combined Delivery Data'!$B:$B,0)),""))</f>
        <v/>
      </c>
      <c r="C19" s="79"/>
      <c r="D19" s="79"/>
      <c r="E19" s="80"/>
    </row>
    <row r="20" spans="1:5" x14ac:dyDescent="0.3">
      <c r="A20" s="42" t="s">
        <v>197</v>
      </c>
      <c r="B20" s="78" t="str">
        <f>IF($B$4="","",IFERROR(INDEX('Combined Delivery Data'!$R:$R,MATCH($B$4,'Combined Delivery Data'!$B:$B,0)),""))</f>
        <v/>
      </c>
      <c r="C20" s="79"/>
      <c r="D20" s="79"/>
      <c r="E20" s="80"/>
    </row>
    <row r="21" spans="1:5" x14ac:dyDescent="0.3">
      <c r="A21" s="42" t="s">
        <v>26</v>
      </c>
      <c r="B21" s="81" t="str">
        <f>IF($B$4="","",IFERROR(INDEX('Combined Delivery Data'!$S:$S,MATCH($B$4,'Combined Delivery Data'!$B:$B,0)),""))</f>
        <v/>
      </c>
      <c r="C21" s="79"/>
      <c r="D21" s="79"/>
      <c r="E21" s="80"/>
    </row>
    <row r="22" spans="1:5" x14ac:dyDescent="0.3">
      <c r="A22" s="42" t="s">
        <v>27</v>
      </c>
      <c r="B22" s="81" t="str">
        <f>IF($B$4="","",IFERROR(INDEX('Combined Delivery Data'!$U:$U,MATCH($B$4,'Combined Delivery Data'!$B:$B,0)),""))</f>
        <v/>
      </c>
      <c r="C22" s="79"/>
      <c r="D22" s="79"/>
      <c r="E22" s="80"/>
    </row>
    <row r="23" spans="1:5" x14ac:dyDescent="0.3">
      <c r="A23" s="42" t="s">
        <v>28</v>
      </c>
      <c r="B23" s="78" t="str">
        <f>IF($B$4="","",IFERROR(INDEX('Combined Delivery Data'!$V:$V,MATCH($B$4,'Combined Delivery Data'!$B:$B,0)),""))</f>
        <v/>
      </c>
      <c r="C23" s="79"/>
      <c r="D23" s="79"/>
      <c r="E23" s="80"/>
    </row>
    <row r="24" spans="1:5" x14ac:dyDescent="0.3">
      <c r="A24" s="42" t="s">
        <v>31</v>
      </c>
      <c r="B24" s="81" t="str">
        <f>IF($B$4="","",IFERROR(INDEX('Combined Delivery Data'!$Y:$Y,MATCH($B$4,'Combined Delivery Data'!$B:$B,0)),""))</f>
        <v/>
      </c>
      <c r="C24" s="79"/>
      <c r="D24" s="79"/>
      <c r="E24" s="80"/>
    </row>
    <row r="25" spans="1:5" x14ac:dyDescent="0.3">
      <c r="A25" s="42" t="s">
        <v>32</v>
      </c>
      <c r="B25" s="81" t="str">
        <f>IF($B$4="","",IFERROR(INDEX('Combined Delivery Data'!$Z:$Z,MATCH($B$4,'Combined Delivery Data'!$B:$B,0)),""))</f>
        <v/>
      </c>
      <c r="C25" s="79"/>
      <c r="D25" s="79"/>
      <c r="E25" s="80"/>
    </row>
    <row r="26" spans="1:5" x14ac:dyDescent="0.3">
      <c r="A26" s="42" t="s">
        <v>198</v>
      </c>
      <c r="B26" s="81" t="str">
        <f>IF($B$4="","",IFERROR(INDEX('Rework Log'!$Q:$Q,MATCH($B$4,'Rework Log'!$P:$P,0)),""))</f>
        <v/>
      </c>
      <c r="C26" s="79"/>
      <c r="D26" s="79"/>
      <c r="E26" s="80"/>
    </row>
    <row r="27" spans="1:5" x14ac:dyDescent="0.3">
      <c r="A27" s="42" t="s">
        <v>199</v>
      </c>
      <c r="B27" s="81" t="str">
        <f>IF($B$4="","",IFERROR(INDEX('Rework Log'!$R:$R,MATCH($B$4,'Rework Log'!$P:$P,0)),""))</f>
        <v/>
      </c>
      <c r="C27" s="79"/>
      <c r="D27" s="79"/>
      <c r="E27" s="80"/>
    </row>
    <row r="28" spans="1:5" x14ac:dyDescent="0.3">
      <c r="A28" s="42" t="s">
        <v>200</v>
      </c>
      <c r="B28" s="81" t="str">
        <f>IF($B$4="","",IFERROR(INDEX('Rework Log'!$S:$S,MATCH($B$4,'Rework Log'!$P:$P,0)),""))</f>
        <v/>
      </c>
      <c r="C28" s="79"/>
      <c r="D28" s="79"/>
      <c r="E28" s="80"/>
    </row>
    <row r="29" spans="1:5" x14ac:dyDescent="0.3">
      <c r="A29" s="42" t="s">
        <v>201</v>
      </c>
      <c r="B29" s="81" t="str">
        <f>IF($B$4="","",IFERROR(INDEX('Rework Log'!$T:$T,MATCH($B$4,'Rework Log'!$P:$P,0)),""))</f>
        <v/>
      </c>
      <c r="C29" s="79"/>
      <c r="D29" s="79"/>
      <c r="E29" s="80"/>
    </row>
    <row r="30" spans="1:5" ht="15.6" customHeight="1" x14ac:dyDescent="0.3">
      <c r="A30" s="42"/>
      <c r="B30" s="81"/>
      <c r="C30" s="79"/>
      <c r="D30" s="79"/>
      <c r="E30" s="80"/>
    </row>
    <row r="31" spans="1:5" ht="15.6" customHeight="1" x14ac:dyDescent="0.3">
      <c r="A31" s="5" t="s">
        <v>33</v>
      </c>
      <c r="B31" s="76" t="str">
        <f>IF($B$4="","",IFERROR(INDEX('Combined Delivery Data'!$AA:$AA,MATCH($B$4,'Combined Delivery Data'!$B:$B,0)),""))</f>
        <v/>
      </c>
      <c r="C31" s="77"/>
      <c r="D31" s="77"/>
      <c r="E31" s="77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F12" sqref="F12"/>
    </sheetView>
  </sheetViews>
  <sheetFormatPr defaultRowHeight="14.4" x14ac:dyDescent="0.3"/>
  <cols>
    <col min="1" max="1" width="34" customWidth="1"/>
    <col min="2" max="2" width="14" customWidth="1"/>
    <col min="3" max="4" width="11" customWidth="1"/>
    <col min="5" max="5" width="13" customWidth="1"/>
    <col min="6" max="6" width="56" customWidth="1"/>
    <col min="7" max="7" width="9.6640625" customWidth="1"/>
    <col min="8" max="8" width="1.44140625" customWidth="1"/>
    <col min="9" max="9" width="17.6640625" customWidth="1"/>
    <col min="10" max="11" width="12" customWidth="1"/>
    <col min="12" max="12" width="36" customWidth="1"/>
    <col min="13" max="13" width="18" customWidth="1"/>
    <col min="15" max="15" width="84.441406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00000000000006" hidden="1" customHeight="1" x14ac:dyDescent="0.3">
      <c r="A1" s="83" t="s">
        <v>202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P1" s="84" t="s">
        <v>203</v>
      </c>
      <c r="Q1" s="77"/>
      <c r="R1" s="77"/>
      <c r="S1" s="77"/>
      <c r="T1" s="77"/>
    </row>
    <row r="2" spans="1:20" ht="30" customHeight="1" x14ac:dyDescent="0.3">
      <c r="A2" s="17" t="s">
        <v>1</v>
      </c>
      <c r="B2" s="17" t="s">
        <v>204</v>
      </c>
      <c r="C2" s="17" t="s">
        <v>205</v>
      </c>
      <c r="D2" s="17" t="s">
        <v>206</v>
      </c>
      <c r="E2" s="17" t="s">
        <v>207</v>
      </c>
      <c r="F2" s="17" t="s">
        <v>208</v>
      </c>
      <c r="G2" s="17" t="s">
        <v>209</v>
      </c>
      <c r="H2" s="30" t="s">
        <v>210</v>
      </c>
      <c r="I2" s="30" t="s">
        <v>211</v>
      </c>
      <c r="J2" s="30" t="s">
        <v>212</v>
      </c>
      <c r="K2" s="30" t="s">
        <v>213</v>
      </c>
      <c r="L2" s="30" t="s">
        <v>214</v>
      </c>
      <c r="M2" s="21" t="s">
        <v>215</v>
      </c>
      <c r="N2" s="21" t="s">
        <v>216</v>
      </c>
      <c r="P2" s="13" t="s">
        <v>1</v>
      </c>
      <c r="Q2" s="13" t="s">
        <v>198</v>
      </c>
      <c r="R2" s="13" t="s">
        <v>199</v>
      </c>
      <c r="S2" s="13" t="s">
        <v>200</v>
      </c>
      <c r="T2" s="13" t="s">
        <v>201</v>
      </c>
    </row>
    <row r="3" spans="1:20" x14ac:dyDescent="0.3">
      <c r="A3" s="33" t="s">
        <v>129</v>
      </c>
      <c r="B3" s="36">
        <v>46230</v>
      </c>
      <c r="C3" s="33" t="s">
        <v>120</v>
      </c>
      <c r="D3" s="33" t="s">
        <v>154</v>
      </c>
      <c r="E3" s="33" t="s">
        <v>130</v>
      </c>
      <c r="F3" s="33" t="s">
        <v>217</v>
      </c>
      <c r="G3" s="33" t="s">
        <v>45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22 d</v>
      </c>
      <c r="N3" t="s">
        <v>42</v>
      </c>
      <c r="P3" t="str">
        <f>'Combined Delivery Data'!B2</f>
        <v>RPT_04_Active Leaks</v>
      </c>
      <c r="Q3">
        <f t="shared" ref="Q3:Q66" si="0">IF($P3="","",COUNTIF($A$3:$A$500,$P3))</f>
        <v>0</v>
      </c>
      <c r="R3">
        <f t="shared" ref="R3:R66" si="1">IF($P3="","",SUMPRODUCT(($A$3:$A$500=$P3)*($G$3:$G$500&lt;&gt;"Yes")*($G$3:$G$500&lt;&gt;"Did not pass re-test")))</f>
        <v>0</v>
      </c>
      <c r="S3" s="28" t="str">
        <f t="shared" ref="S3:S66" si="2">IF($P3="","",IF(SUMPRODUCT(MAX(($A$3:$A$500=$P3)*ROW($A$3:$A$500)))=0,"",INDEX($B:$B,SUMPRODUCT(MAX(($A$3:$A$500=$P3)*ROW($A$3:$A$500))))))</f>
        <v/>
      </c>
      <c r="T3" t="str">
        <f t="shared" ref="T3:T66" si="3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 x14ac:dyDescent="0.3">
      <c r="A4" s="31" t="s">
        <v>137</v>
      </c>
      <c r="B4" s="32">
        <v>46237</v>
      </c>
      <c r="C4" s="31" t="s">
        <v>120</v>
      </c>
      <c r="D4" s="31" t="s">
        <v>154</v>
      </c>
      <c r="E4" s="31" t="s">
        <v>130</v>
      </c>
      <c r="F4" s="31" t="s">
        <v>218</v>
      </c>
      <c r="G4" s="31" t="s">
        <v>42</v>
      </c>
      <c r="H4" s="32"/>
      <c r="I4" s="32"/>
      <c r="J4" s="32">
        <v>46247</v>
      </c>
      <c r="K4" s="31" t="s">
        <v>52</v>
      </c>
      <c r="L4" s="31" t="s">
        <v>219</v>
      </c>
      <c r="M4" s="3" t="str">
        <f t="shared" ref="M4:M67" ca="1" si="4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220</v>
      </c>
      <c r="P4" t="str">
        <f>'Combined Delivery Data'!B3</f>
        <v>RPT_04_Count of Active Leaks On Hand</v>
      </c>
      <c r="Q4">
        <f t="shared" si="0"/>
        <v>0</v>
      </c>
      <c r="R4">
        <f t="shared" si="1"/>
        <v>0</v>
      </c>
      <c r="S4" s="28" t="str">
        <f t="shared" si="2"/>
        <v/>
      </c>
      <c r="T4" t="str">
        <f t="shared" si="3"/>
        <v/>
      </c>
    </row>
    <row r="5" spans="1:20" x14ac:dyDescent="0.3">
      <c r="A5" s="55" t="s">
        <v>113</v>
      </c>
      <c r="B5" s="32">
        <v>46238</v>
      </c>
      <c r="C5" s="31" t="s">
        <v>120</v>
      </c>
      <c r="D5" s="31" t="s">
        <v>154</v>
      </c>
      <c r="E5" s="31" t="s">
        <v>115</v>
      </c>
      <c r="F5" s="31" t="s">
        <v>221</v>
      </c>
      <c r="G5" s="31" t="s">
        <v>45</v>
      </c>
      <c r="H5" s="32"/>
      <c r="I5" s="32"/>
      <c r="J5" s="32"/>
      <c r="K5" s="31"/>
      <c r="L5" s="31"/>
      <c r="M5" s="3" t="str">
        <f t="shared" ca="1" si="4"/>
        <v>UNCLAIMED 14 d</v>
      </c>
      <c r="N5" t="s">
        <v>42</v>
      </c>
      <c r="P5" t="e">
        <f>'Combined Delivery Data'!#REF!</f>
        <v>#REF!</v>
      </c>
      <c r="Q5" t="e">
        <f t="shared" si="0"/>
        <v>#REF!</v>
      </c>
      <c r="R5" t="e">
        <f t="shared" si="1"/>
        <v>#REF!</v>
      </c>
      <c r="S5" s="28" t="e">
        <f t="shared" si="2"/>
        <v>#REF!</v>
      </c>
      <c r="T5" t="e">
        <f t="shared" si="3"/>
        <v>#REF!</v>
      </c>
    </row>
    <row r="6" spans="1:20" x14ac:dyDescent="0.3">
      <c r="A6" s="55" t="s">
        <v>127</v>
      </c>
      <c r="B6" s="32">
        <v>46234</v>
      </c>
      <c r="C6" s="31" t="s">
        <v>120</v>
      </c>
      <c r="D6" s="31" t="s">
        <v>154</v>
      </c>
      <c r="E6" s="31" t="s">
        <v>115</v>
      </c>
      <c r="F6" s="31" t="s">
        <v>222</v>
      </c>
      <c r="G6" s="31" t="s">
        <v>45</v>
      </c>
      <c r="H6" s="32"/>
      <c r="I6" s="32"/>
      <c r="J6" s="32"/>
      <c r="K6" s="31"/>
      <c r="L6" s="31"/>
      <c r="M6" s="3" t="str">
        <f t="shared" ca="1" si="4"/>
        <v>UNCLAIMED 18 d</v>
      </c>
      <c r="N6" t="s">
        <v>42</v>
      </c>
      <c r="P6" t="str">
        <f>'Combined Delivery Data'!B4</f>
        <v>RPT_04_Leak Days Remaining</v>
      </c>
      <c r="Q6">
        <f t="shared" si="0"/>
        <v>0</v>
      </c>
      <c r="R6">
        <f t="shared" si="1"/>
        <v>0</v>
      </c>
      <c r="S6" s="28" t="str">
        <f t="shared" si="2"/>
        <v/>
      </c>
      <c r="T6" t="str">
        <f t="shared" si="3"/>
        <v/>
      </c>
    </row>
    <row r="7" spans="1:20" x14ac:dyDescent="0.3">
      <c r="A7" s="55" t="s">
        <v>119</v>
      </c>
      <c r="B7" s="32">
        <v>46239</v>
      </c>
      <c r="C7" s="31" t="s">
        <v>120</v>
      </c>
      <c r="D7" s="31" t="s">
        <v>154</v>
      </c>
      <c r="E7" s="31" t="s">
        <v>115</v>
      </c>
      <c r="F7" s="31" t="s">
        <v>223</v>
      </c>
      <c r="G7" s="31" t="s">
        <v>45</v>
      </c>
      <c r="H7" s="32"/>
      <c r="I7" s="32"/>
      <c r="J7" s="32"/>
      <c r="K7" s="31"/>
      <c r="L7" s="31"/>
      <c r="M7" s="3" t="str">
        <f t="shared" ca="1" si="4"/>
        <v>UNCLAIMED 13 d</v>
      </c>
      <c r="N7" t="s">
        <v>42</v>
      </c>
      <c r="P7" t="str">
        <f>'Combined Delivery Data'!B5</f>
        <v>RPT_04_Cleared Leaks</v>
      </c>
      <c r="Q7">
        <f t="shared" si="0"/>
        <v>0</v>
      </c>
      <c r="R7">
        <f t="shared" si="1"/>
        <v>0</v>
      </c>
      <c r="S7" s="28" t="str">
        <f t="shared" si="2"/>
        <v/>
      </c>
      <c r="T7" t="str">
        <f t="shared" si="3"/>
        <v/>
      </c>
    </row>
    <row r="8" spans="1:20" x14ac:dyDescent="0.3">
      <c r="A8" s="55" t="s">
        <v>119</v>
      </c>
      <c r="B8" s="32">
        <v>46246</v>
      </c>
      <c r="C8" s="31" t="s">
        <v>120</v>
      </c>
      <c r="D8" s="31" t="s">
        <v>154</v>
      </c>
      <c r="E8" s="31" t="s">
        <v>115</v>
      </c>
      <c r="F8" s="31" t="s">
        <v>224</v>
      </c>
      <c r="G8" s="31" t="s">
        <v>45</v>
      </c>
      <c r="H8" s="32"/>
      <c r="I8" s="32"/>
      <c r="J8" s="32"/>
      <c r="K8" s="31"/>
      <c r="L8" s="31"/>
      <c r="M8" s="3" t="str">
        <f t="shared" ca="1" si="4"/>
        <v>UNCLAIMED 6 d</v>
      </c>
      <c r="N8" t="s">
        <v>220</v>
      </c>
      <c r="P8" t="str">
        <f>'Combined Delivery Data'!B10</f>
        <v>RPT_04_Rechecks Completed less than 14 days</v>
      </c>
      <c r="Q8">
        <f t="shared" si="0"/>
        <v>0</v>
      </c>
      <c r="R8">
        <f t="shared" si="1"/>
        <v>0</v>
      </c>
      <c r="S8" s="28" t="str">
        <f t="shared" si="2"/>
        <v/>
      </c>
      <c r="T8" t="str">
        <f t="shared" si="3"/>
        <v/>
      </c>
    </row>
    <row r="9" spans="1:20" x14ac:dyDescent="0.3">
      <c r="A9" s="33" t="s">
        <v>129</v>
      </c>
      <c r="B9" s="32">
        <v>46251</v>
      </c>
      <c r="C9" s="31" t="s">
        <v>120</v>
      </c>
      <c r="D9" s="31" t="s">
        <v>154</v>
      </c>
      <c r="E9" s="31" t="s">
        <v>130</v>
      </c>
      <c r="F9" s="31" t="s">
        <v>225</v>
      </c>
      <c r="G9" s="31" t="s">
        <v>45</v>
      </c>
      <c r="H9" s="32"/>
      <c r="I9" s="32"/>
      <c r="J9" s="32"/>
      <c r="K9" s="31"/>
      <c r="L9" s="31"/>
      <c r="M9" s="3" t="str">
        <f t="shared" ca="1" si="4"/>
        <v>UNCLAIMED 1 d</v>
      </c>
      <c r="P9" t="str">
        <f>'Combined Delivery Data'!B11</f>
        <v>RPT_04_SEI Leak Activity</v>
      </c>
      <c r="Q9">
        <f t="shared" si="0"/>
        <v>0</v>
      </c>
      <c r="R9">
        <f t="shared" si="1"/>
        <v>0</v>
      </c>
      <c r="S9" s="28" t="str">
        <f t="shared" si="2"/>
        <v/>
      </c>
      <c r="T9" t="str">
        <f t="shared" si="3"/>
        <v/>
      </c>
    </row>
    <row r="10" spans="1:20" x14ac:dyDescent="0.3">
      <c r="A10" s="31"/>
      <c r="B10" s="32"/>
      <c r="C10" s="31" t="s">
        <v>120</v>
      </c>
      <c r="D10" s="31"/>
      <c r="E10" s="31"/>
      <c r="F10" s="31"/>
      <c r="G10" s="31" t="s">
        <v>45</v>
      </c>
      <c r="H10" s="32"/>
      <c r="I10" s="32"/>
      <c r="J10" s="32"/>
      <c r="K10" s="31"/>
      <c r="L10" s="31"/>
      <c r="M10" s="3" t="str">
        <f t="shared" ca="1" si="4"/>
        <v/>
      </c>
      <c r="P10" t="str">
        <f>'Combined Delivery Data'!B12</f>
        <v>RPT_04_CMS Leak Productivity</v>
      </c>
      <c r="Q10">
        <f t="shared" si="0"/>
        <v>0</v>
      </c>
      <c r="R10">
        <f t="shared" si="1"/>
        <v>0</v>
      </c>
      <c r="S10" s="28" t="str">
        <f t="shared" si="2"/>
        <v/>
      </c>
      <c r="T10" t="str">
        <f t="shared" si="3"/>
        <v/>
      </c>
    </row>
    <row r="11" spans="1:20" x14ac:dyDescent="0.3">
      <c r="A11" s="31"/>
      <c r="B11" s="32"/>
      <c r="C11" s="31" t="s">
        <v>120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4"/>
        <v/>
      </c>
      <c r="P11" t="str">
        <f>'Combined Delivery Data'!B13</f>
        <v>RPT_04_Main Break Corrosion and Leak Cluster</v>
      </c>
      <c r="Q11">
        <f t="shared" si="0"/>
        <v>0</v>
      </c>
      <c r="R11">
        <f t="shared" si="1"/>
        <v>0</v>
      </c>
      <c r="S11" s="28" t="str">
        <f t="shared" si="2"/>
        <v/>
      </c>
      <c r="T11" t="str">
        <f t="shared" si="3"/>
        <v/>
      </c>
    </row>
    <row r="12" spans="1:20" x14ac:dyDescent="0.3">
      <c r="A12" s="31"/>
      <c r="B12" s="32"/>
      <c r="C12" s="31" t="s">
        <v>120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4"/>
        <v/>
      </c>
      <c r="P12" t="str">
        <f>'Combined Delivery Data'!B14</f>
        <v>RPT_04_Leak Summary Status</v>
      </c>
      <c r="Q12">
        <f t="shared" si="0"/>
        <v>0</v>
      </c>
      <c r="R12">
        <f t="shared" si="1"/>
        <v>0</v>
      </c>
      <c r="S12" s="28" t="str">
        <f t="shared" si="2"/>
        <v/>
      </c>
      <c r="T12" t="str">
        <f t="shared" si="3"/>
        <v/>
      </c>
    </row>
    <row r="13" spans="1:20" x14ac:dyDescent="0.3">
      <c r="A13" s="31"/>
      <c r="B13" s="32"/>
      <c r="C13" s="31" t="s">
        <v>120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4"/>
        <v/>
      </c>
      <c r="P13" t="str">
        <f>'Combined Delivery Data'!B15</f>
        <v>RPT_04_PSC Leak Printout</v>
      </c>
      <c r="Q13">
        <f t="shared" si="0"/>
        <v>0</v>
      </c>
      <c r="R13">
        <f t="shared" si="1"/>
        <v>0</v>
      </c>
      <c r="S13" s="28" t="str">
        <f t="shared" si="2"/>
        <v/>
      </c>
      <c r="T13" t="str">
        <f t="shared" si="3"/>
        <v/>
      </c>
    </row>
    <row r="14" spans="1:20" x14ac:dyDescent="0.3">
      <c r="A14" s="31"/>
      <c r="B14" s="32"/>
      <c r="C14" s="31" t="s">
        <v>120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4"/>
        <v/>
      </c>
      <c r="P14" t="str">
        <f>'Combined Delivery Data'!B20</f>
        <v>RPT_04_Leak Control Report</v>
      </c>
      <c r="Q14">
        <f t="shared" si="0"/>
        <v>0</v>
      </c>
      <c r="R14">
        <f t="shared" si="1"/>
        <v>0</v>
      </c>
      <c r="S14" s="28" t="str">
        <f t="shared" si="2"/>
        <v/>
      </c>
      <c r="T14" t="str">
        <f t="shared" si="3"/>
        <v/>
      </c>
    </row>
    <row r="15" spans="1:20" x14ac:dyDescent="0.3">
      <c r="A15" s="31"/>
      <c r="B15" s="32"/>
      <c r="C15" s="31" t="s">
        <v>120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4"/>
        <v/>
      </c>
      <c r="P15" t="str">
        <f>'Combined Delivery Data'!B21</f>
        <v>RPT_04_Leak Life Cycle</v>
      </c>
      <c r="Q15">
        <f t="shared" si="0"/>
        <v>0</v>
      </c>
      <c r="R15">
        <f t="shared" si="1"/>
        <v>0</v>
      </c>
      <c r="S15" s="28" t="str">
        <f t="shared" si="2"/>
        <v/>
      </c>
      <c r="T15" t="str">
        <f t="shared" si="3"/>
        <v/>
      </c>
    </row>
    <row r="16" spans="1:20" x14ac:dyDescent="0.3">
      <c r="A16" s="31"/>
      <c r="B16" s="32"/>
      <c r="C16" s="31" t="s">
        <v>120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4"/>
        <v/>
      </c>
      <c r="P16" t="str">
        <f>'Combined Delivery Data'!B10</f>
        <v>RPT_04_Rechecks Completed less than 14 days</v>
      </c>
      <c r="Q16">
        <f t="shared" si="0"/>
        <v>0</v>
      </c>
      <c r="R16">
        <f t="shared" si="1"/>
        <v>0</v>
      </c>
      <c r="S16" s="28" t="str">
        <f t="shared" si="2"/>
        <v/>
      </c>
      <c r="T16" t="str">
        <f t="shared" si="3"/>
        <v/>
      </c>
    </row>
    <row r="17" spans="1:20" x14ac:dyDescent="0.3">
      <c r="A17" s="31"/>
      <c r="B17" s="32"/>
      <c r="C17" s="31" t="s">
        <v>120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4"/>
        <v/>
      </c>
      <c r="P17" t="str">
        <f>'Combined Delivery Data'!B11</f>
        <v>RPT_04_SEI Leak Activity</v>
      </c>
      <c r="Q17">
        <f t="shared" si="0"/>
        <v>0</v>
      </c>
      <c r="R17">
        <f t="shared" si="1"/>
        <v>0</v>
      </c>
      <c r="S17" s="28" t="str">
        <f t="shared" si="2"/>
        <v/>
      </c>
      <c r="T17" t="str">
        <f t="shared" si="3"/>
        <v/>
      </c>
    </row>
    <row r="18" spans="1:20" x14ac:dyDescent="0.3">
      <c r="A18" s="31"/>
      <c r="B18" s="32"/>
      <c r="C18" s="31" t="s">
        <v>120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4"/>
        <v/>
      </c>
      <c r="P18" t="str">
        <f>'Combined Delivery Data'!B12</f>
        <v>RPT_04_CMS Leak Productivity</v>
      </c>
      <c r="Q18">
        <f t="shared" si="0"/>
        <v>0</v>
      </c>
      <c r="R18">
        <f t="shared" si="1"/>
        <v>0</v>
      </c>
      <c r="S18" s="28" t="str">
        <f t="shared" si="2"/>
        <v/>
      </c>
      <c r="T18" t="str">
        <f t="shared" si="3"/>
        <v/>
      </c>
    </row>
    <row r="19" spans="1:20" x14ac:dyDescent="0.3">
      <c r="A19" s="31"/>
      <c r="B19" s="32"/>
      <c r="C19" s="31" t="s">
        <v>120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4"/>
        <v/>
      </c>
      <c r="P19" t="str">
        <f>'Combined Delivery Data'!B13</f>
        <v>RPT_04_Main Break Corrosion and Leak Cluster</v>
      </c>
      <c r="Q19">
        <f t="shared" si="0"/>
        <v>0</v>
      </c>
      <c r="R19">
        <f t="shared" si="1"/>
        <v>0</v>
      </c>
      <c r="S19" s="28" t="str">
        <f t="shared" si="2"/>
        <v/>
      </c>
      <c r="T19" t="str">
        <f t="shared" si="3"/>
        <v/>
      </c>
    </row>
    <row r="20" spans="1:20" x14ac:dyDescent="0.3">
      <c r="A20" s="31"/>
      <c r="B20" s="32"/>
      <c r="C20" s="31" t="s">
        <v>120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4"/>
        <v/>
      </c>
      <c r="P20" t="str">
        <f>'Combined Delivery Data'!B14</f>
        <v>RPT_04_Leak Summary Status</v>
      </c>
      <c r="Q20">
        <f t="shared" si="0"/>
        <v>0</v>
      </c>
      <c r="R20">
        <f t="shared" si="1"/>
        <v>0</v>
      </c>
      <c r="S20" s="28" t="str">
        <f t="shared" si="2"/>
        <v/>
      </c>
      <c r="T20" t="str">
        <f t="shared" si="3"/>
        <v/>
      </c>
    </row>
    <row r="21" spans="1:20" x14ac:dyDescent="0.3">
      <c r="A21" s="31"/>
      <c r="B21" s="32"/>
      <c r="C21" s="31" t="s">
        <v>120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4"/>
        <v/>
      </c>
      <c r="P21" t="str">
        <f>'Combined Delivery Data'!B15</f>
        <v>RPT_04_PSC Leak Printout</v>
      </c>
      <c r="Q21">
        <f t="shared" si="0"/>
        <v>0</v>
      </c>
      <c r="R21">
        <f t="shared" si="1"/>
        <v>0</v>
      </c>
      <c r="S21" s="28" t="str">
        <f t="shared" si="2"/>
        <v/>
      </c>
      <c r="T21" t="str">
        <f t="shared" si="3"/>
        <v/>
      </c>
    </row>
    <row r="22" spans="1:20" x14ac:dyDescent="0.3">
      <c r="A22" s="31"/>
      <c r="B22" s="32"/>
      <c r="C22" s="31" t="s">
        <v>120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4"/>
        <v/>
      </c>
      <c r="P22" t="str">
        <f>'Combined Delivery Data'!B20</f>
        <v>RPT_04_Leak Control Report</v>
      </c>
      <c r="Q22">
        <f t="shared" si="0"/>
        <v>0</v>
      </c>
      <c r="R22">
        <f t="shared" si="1"/>
        <v>0</v>
      </c>
      <c r="S22" s="28" t="str">
        <f t="shared" si="2"/>
        <v/>
      </c>
      <c r="T22" t="str">
        <f t="shared" si="3"/>
        <v/>
      </c>
    </row>
    <row r="23" spans="1:20" x14ac:dyDescent="0.3">
      <c r="A23" s="31"/>
      <c r="B23" s="32"/>
      <c r="C23" s="31" t="s">
        <v>120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4"/>
        <v/>
      </c>
      <c r="P23" t="str">
        <f>'Combined Delivery Data'!B21</f>
        <v>RPT_04_Leak Life Cycle</v>
      </c>
      <c r="Q23">
        <f t="shared" si="0"/>
        <v>0</v>
      </c>
      <c r="R23">
        <f t="shared" si="1"/>
        <v>0</v>
      </c>
      <c r="S23" s="28" t="str">
        <f t="shared" si="2"/>
        <v/>
      </c>
      <c r="T23" t="str">
        <f t="shared" si="3"/>
        <v/>
      </c>
    </row>
    <row r="24" spans="1:20" x14ac:dyDescent="0.3">
      <c r="A24" s="31"/>
      <c r="B24" s="32"/>
      <c r="C24" s="31" t="s">
        <v>120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4"/>
        <v/>
      </c>
      <c r="P24" t="str">
        <f>'Combined Delivery Data'!B22</f>
        <v>RPT_04_Leak Life Cycle Legacy LMS LI</v>
      </c>
      <c r="Q24">
        <f t="shared" si="0"/>
        <v>0</v>
      </c>
      <c r="R24">
        <f t="shared" si="1"/>
        <v>0</v>
      </c>
      <c r="S24" s="28" t="str">
        <f t="shared" si="2"/>
        <v/>
      </c>
      <c r="T24" t="str">
        <f t="shared" si="3"/>
        <v/>
      </c>
    </row>
    <row r="25" spans="1:20" x14ac:dyDescent="0.3">
      <c r="A25" s="31"/>
      <c r="B25" s="32"/>
      <c r="C25" s="31" t="s">
        <v>120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4"/>
        <v/>
      </c>
      <c r="P25" t="str">
        <f>'Combined Delivery Data'!B23</f>
        <v>RPT_04_Leak Increase Reads</v>
      </c>
      <c r="Q25">
        <f t="shared" si="0"/>
        <v>0</v>
      </c>
      <c r="R25">
        <f t="shared" si="1"/>
        <v>0</v>
      </c>
      <c r="S25" s="28" t="str">
        <f t="shared" si="2"/>
        <v/>
      </c>
      <c r="T25" t="str">
        <f t="shared" si="3"/>
        <v/>
      </c>
    </row>
    <row r="26" spans="1:20" x14ac:dyDescent="0.3">
      <c r="A26" s="31"/>
      <c r="B26" s="32"/>
      <c r="C26" s="31" t="s">
        <v>120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4"/>
        <v/>
      </c>
      <c r="P26" t="str">
        <f>'Combined Delivery Data'!B24</f>
        <v>Leak 360 Dashboard</v>
      </c>
      <c r="Q26">
        <f t="shared" si="0"/>
        <v>0</v>
      </c>
      <c r="R26">
        <f t="shared" si="1"/>
        <v>0</v>
      </c>
      <c r="S26" s="28" t="str">
        <f t="shared" si="2"/>
        <v/>
      </c>
      <c r="T26" t="str">
        <f t="shared" si="3"/>
        <v/>
      </c>
    </row>
    <row r="27" spans="1:20" x14ac:dyDescent="0.3">
      <c r="A27" s="31"/>
      <c r="B27" s="32"/>
      <c r="C27" s="31" t="s">
        <v>120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4"/>
        <v/>
      </c>
      <c r="P27" t="str">
        <f>'Combined Delivery Data'!B25</f>
        <v>RPT_04_Leak Recheck Control</v>
      </c>
      <c r="Q27">
        <f t="shared" si="0"/>
        <v>0</v>
      </c>
      <c r="R27">
        <f t="shared" si="1"/>
        <v>0</v>
      </c>
      <c r="S27" s="28" t="str">
        <f t="shared" si="2"/>
        <v/>
      </c>
      <c r="T27" t="str">
        <f t="shared" si="3"/>
        <v/>
      </c>
    </row>
    <row r="28" spans="1:20" x14ac:dyDescent="0.3">
      <c r="A28" s="31"/>
      <c r="B28" s="32"/>
      <c r="C28" s="31" t="s">
        <v>120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4"/>
        <v/>
      </c>
      <c r="P28" t="str">
        <f>'Combined Delivery Data'!B26</f>
        <v>RPT_04_Main_Replacement Report</v>
      </c>
      <c r="Q28">
        <f t="shared" si="0"/>
        <v>0</v>
      </c>
      <c r="R28">
        <f t="shared" si="1"/>
        <v>0</v>
      </c>
      <c r="S28" s="28" t="str">
        <f t="shared" si="2"/>
        <v/>
      </c>
      <c r="T28" t="str">
        <f t="shared" si="3"/>
        <v/>
      </c>
    </row>
    <row r="29" spans="1:20" x14ac:dyDescent="0.3">
      <c r="A29" s="31"/>
      <c r="B29" s="32"/>
      <c r="C29" s="31" t="s">
        <v>120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4"/>
        <v/>
      </c>
      <c r="P29" t="str">
        <f>'Combined Delivery Data'!B27</f>
        <v>New Report: Leak Repair Exception</v>
      </c>
      <c r="Q29">
        <f t="shared" si="0"/>
        <v>0</v>
      </c>
      <c r="R29">
        <f t="shared" si="1"/>
        <v>0</v>
      </c>
      <c r="S29" s="28" t="str">
        <f t="shared" si="2"/>
        <v/>
      </c>
      <c r="T29" t="str">
        <f t="shared" si="3"/>
        <v/>
      </c>
    </row>
    <row r="30" spans="1:20" x14ac:dyDescent="0.3">
      <c r="A30" s="31"/>
      <c r="B30" s="32"/>
      <c r="C30" s="31" t="s">
        <v>120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4"/>
        <v/>
      </c>
      <c r="P30" t="str">
        <f>'Combined Delivery Data'!B28</f>
        <v>New Report: (Leak reading sample point mismatch ) Creating a new report that...</v>
      </c>
      <c r="Q30">
        <f t="shared" si="0"/>
        <v>0</v>
      </c>
      <c r="R30">
        <f t="shared" si="1"/>
        <v>0</v>
      </c>
      <c r="S30" s="28" t="str">
        <f t="shared" si="2"/>
        <v/>
      </c>
      <c r="T30" t="str">
        <f t="shared" si="3"/>
        <v/>
      </c>
    </row>
    <row r="31" spans="1:20" x14ac:dyDescent="0.3">
      <c r="A31" s="31"/>
      <c r="B31" s="32"/>
      <c r="C31" s="31" t="s">
        <v>120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4"/>
        <v/>
      </c>
      <c r="P31" t="str">
        <f>'Combined Delivery Data'!B29</f>
        <v>RPT_02_CO Flue Warning Tag Control</v>
      </c>
      <c r="Q31">
        <f t="shared" si="0"/>
        <v>1</v>
      </c>
      <c r="R31">
        <f t="shared" si="1"/>
        <v>1</v>
      </c>
      <c r="S31" s="28">
        <f t="shared" si="2"/>
        <v>46238</v>
      </c>
      <c r="T31" t="str">
        <f t="shared" si="3"/>
        <v>QA -&gt; DB Dev</v>
      </c>
    </row>
    <row r="32" spans="1:20" x14ac:dyDescent="0.3">
      <c r="A32" s="31"/>
      <c r="B32" s="32"/>
      <c r="C32" s="31" t="s">
        <v>120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4"/>
        <v/>
      </c>
      <c r="P32" t="str">
        <f>'Combined Delivery Data'!B30</f>
        <v>RPT_02_Warning Tag HEFPA</v>
      </c>
      <c r="Q32">
        <f t="shared" si="0"/>
        <v>2</v>
      </c>
      <c r="R32">
        <f t="shared" si="1"/>
        <v>2</v>
      </c>
      <c r="S32" s="28">
        <f t="shared" si="2"/>
        <v>46246</v>
      </c>
      <c r="T32" t="str">
        <f t="shared" si="3"/>
        <v>QA -&gt; DB Dev</v>
      </c>
    </row>
    <row r="33" spans="1:20" x14ac:dyDescent="0.3">
      <c r="A33" s="31"/>
      <c r="B33" s="32"/>
      <c r="C33" s="31" t="s">
        <v>120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4"/>
        <v/>
      </c>
      <c r="P33" t="str">
        <f>'Combined Delivery Data'!B31</f>
        <v>RPT_02_Warning tag Printout</v>
      </c>
      <c r="Q33">
        <f t="shared" si="0"/>
        <v>0</v>
      </c>
      <c r="R33">
        <f t="shared" si="1"/>
        <v>0</v>
      </c>
      <c r="S33" s="28" t="str">
        <f t="shared" si="2"/>
        <v/>
      </c>
      <c r="T33" t="str">
        <f t="shared" si="3"/>
        <v/>
      </c>
    </row>
    <row r="34" spans="1:20" x14ac:dyDescent="0.3">
      <c r="A34" s="31"/>
      <c r="B34" s="32"/>
      <c r="C34" s="31" t="s">
        <v>120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4"/>
        <v/>
      </c>
      <c r="P34" t="str">
        <f>'Combined Delivery Data'!B32</f>
        <v>RPT_02_Corrosion</v>
      </c>
      <c r="Q34">
        <f t="shared" si="0"/>
        <v>0</v>
      </c>
      <c r="R34">
        <f t="shared" si="1"/>
        <v>0</v>
      </c>
      <c r="S34" s="28" t="str">
        <f t="shared" si="2"/>
        <v/>
      </c>
      <c r="T34" t="str">
        <f t="shared" si="3"/>
        <v/>
      </c>
    </row>
    <row r="35" spans="1:20" x14ac:dyDescent="0.3">
      <c r="A35" s="31"/>
      <c r="B35" s="32"/>
      <c r="C35" s="31" t="s">
        <v>120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4"/>
        <v/>
      </c>
      <c r="P35" t="str">
        <f>'Combined Delivery Data'!B33</f>
        <v>RPT_02_House Pipe Test Comment Control</v>
      </c>
      <c r="Q35">
        <f t="shared" si="0"/>
        <v>1</v>
      </c>
      <c r="R35">
        <f t="shared" si="1"/>
        <v>1</v>
      </c>
      <c r="S35" s="28">
        <f t="shared" si="2"/>
        <v>46234</v>
      </c>
      <c r="T35" t="str">
        <f t="shared" si="3"/>
        <v>QA -&gt; DB Dev</v>
      </c>
    </row>
    <row r="36" spans="1:20" x14ac:dyDescent="0.3">
      <c r="A36" s="31"/>
      <c r="B36" s="32"/>
      <c r="C36" s="31" t="s">
        <v>120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4"/>
        <v/>
      </c>
      <c r="P36" t="str">
        <f>'Combined Delivery Data'!B34</f>
        <v>RPT_02_Required Regulator Inspection Performed Control</v>
      </c>
      <c r="Q36">
        <f t="shared" si="0"/>
        <v>2</v>
      </c>
      <c r="R36">
        <f t="shared" si="1"/>
        <v>2</v>
      </c>
      <c r="S36" s="28">
        <f t="shared" si="2"/>
        <v>46251</v>
      </c>
      <c r="T36" t="str">
        <f t="shared" si="3"/>
        <v>QA -&gt; DB Dev</v>
      </c>
    </row>
    <row r="37" spans="1:20" x14ac:dyDescent="0.3">
      <c r="A37" s="31"/>
      <c r="B37" s="32"/>
      <c r="C37" s="31" t="s">
        <v>120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4"/>
        <v/>
      </c>
      <c r="P37" t="str">
        <f>'Combined Delivery Data'!B35</f>
        <v>RPT_02_Service Regulator Inspections</v>
      </c>
      <c r="Q37">
        <f t="shared" si="0"/>
        <v>0</v>
      </c>
      <c r="R37">
        <f t="shared" si="1"/>
        <v>0</v>
      </c>
      <c r="S37" s="28" t="str">
        <f t="shared" si="2"/>
        <v/>
      </c>
      <c r="T37" t="str">
        <f t="shared" si="3"/>
        <v/>
      </c>
    </row>
    <row r="38" spans="1:20" x14ac:dyDescent="0.3">
      <c r="A38" s="31"/>
      <c r="B38" s="32"/>
      <c r="C38" s="31" t="s">
        <v>120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4"/>
        <v/>
      </c>
      <c r="P38" t="str">
        <f>'Combined Delivery Data'!B36</f>
        <v>RPT_02_Service Regulator Inspection Printout</v>
      </c>
      <c r="Q38">
        <f t="shared" si="0"/>
        <v>0</v>
      </c>
      <c r="R38">
        <f t="shared" si="1"/>
        <v>0</v>
      </c>
      <c r="S38" s="28" t="str">
        <f t="shared" si="2"/>
        <v/>
      </c>
      <c r="T38" t="str">
        <f t="shared" si="3"/>
        <v/>
      </c>
    </row>
    <row r="39" spans="1:20" x14ac:dyDescent="0.3">
      <c r="A39" s="31"/>
      <c r="B39" s="32"/>
      <c r="C39" s="31" t="s">
        <v>120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4"/>
        <v/>
      </c>
      <c r="P39" t="str">
        <f>'Combined Delivery Data'!B37</f>
        <v>RPT_02_20 Year Regulator Inspection</v>
      </c>
      <c r="Q39">
        <f t="shared" si="0"/>
        <v>0</v>
      </c>
      <c r="R39">
        <f t="shared" si="1"/>
        <v>0</v>
      </c>
      <c r="S39" s="28" t="str">
        <f t="shared" si="2"/>
        <v/>
      </c>
      <c r="T39" t="str">
        <f t="shared" si="3"/>
        <v/>
      </c>
    </row>
    <row r="40" spans="1:20" x14ac:dyDescent="0.3">
      <c r="A40" s="31"/>
      <c r="B40" s="32"/>
      <c r="C40" s="31" t="s">
        <v>120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4"/>
        <v/>
      </c>
      <c r="P40" t="str">
        <f>'Combined Delivery Data'!B38</f>
        <v>RPT_02_Fixed Factor</v>
      </c>
      <c r="Q40">
        <f t="shared" si="0"/>
        <v>1</v>
      </c>
      <c r="R40">
        <f t="shared" si="1"/>
        <v>0</v>
      </c>
      <c r="S40" s="28">
        <f t="shared" si="2"/>
        <v>46237</v>
      </c>
      <c r="T40" t="str">
        <f t="shared" si="3"/>
        <v>QA -&gt; DB Dev</v>
      </c>
    </row>
    <row r="41" spans="1:20" x14ac:dyDescent="0.3">
      <c r="A41" s="31"/>
      <c r="B41" s="32"/>
      <c r="C41" s="31" t="s">
        <v>120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4"/>
        <v/>
      </c>
      <c r="P41" t="str">
        <f>'Combined Delivery Data'!B39</f>
        <v>RPT_02_Fixed Factor Printout</v>
      </c>
      <c r="Q41">
        <f t="shared" si="0"/>
        <v>0</v>
      </c>
      <c r="R41">
        <f t="shared" si="1"/>
        <v>0</v>
      </c>
      <c r="S41" s="28" t="str">
        <f t="shared" si="2"/>
        <v/>
      </c>
      <c r="T41" t="str">
        <f t="shared" si="3"/>
        <v/>
      </c>
    </row>
    <row r="42" spans="1:20" x14ac:dyDescent="0.3">
      <c r="A42" s="31"/>
      <c r="B42" s="32"/>
      <c r="C42" s="31" t="s">
        <v>120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4"/>
        <v/>
      </c>
      <c r="P42" t="str">
        <f>'Combined Delivery Data'!B40</f>
        <v>RPT_02_Work Order Completion Printout</v>
      </c>
      <c r="Q42">
        <f t="shared" si="0"/>
        <v>0</v>
      </c>
      <c r="R42">
        <f t="shared" si="1"/>
        <v>0</v>
      </c>
      <c r="S42" s="28" t="str">
        <f t="shared" si="2"/>
        <v/>
      </c>
      <c r="T42" t="str">
        <f t="shared" si="3"/>
        <v/>
      </c>
    </row>
    <row r="43" spans="1:20" x14ac:dyDescent="0.3">
      <c r="A43" s="31"/>
      <c r="B43" s="32"/>
      <c r="C43" s="31" t="s">
        <v>120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4"/>
        <v/>
      </c>
      <c r="P43" t="str">
        <f>'Combined Delivery Data'!B41</f>
        <v>RPT_02_GRO Control</v>
      </c>
      <c r="Q43">
        <f t="shared" si="0"/>
        <v>0</v>
      </c>
      <c r="R43">
        <f t="shared" si="1"/>
        <v>0</v>
      </c>
      <c r="S43" s="28" t="str">
        <f t="shared" si="2"/>
        <v/>
      </c>
      <c r="T43" t="str">
        <f t="shared" si="3"/>
        <v/>
      </c>
    </row>
    <row r="44" spans="1:20" x14ac:dyDescent="0.3">
      <c r="A44" s="31"/>
      <c r="B44" s="32"/>
      <c r="C44" s="31" t="s">
        <v>120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4"/>
        <v/>
      </c>
      <c r="P44" t="str">
        <f>'Combined Delivery Data'!B42</f>
        <v>RPT_02_GRO Monitor</v>
      </c>
      <c r="Q44">
        <f t="shared" si="0"/>
        <v>0</v>
      </c>
      <c r="R44">
        <f t="shared" si="1"/>
        <v>0</v>
      </c>
      <c r="S44" s="28" t="str">
        <f t="shared" si="2"/>
        <v/>
      </c>
      <c r="T44" t="str">
        <f t="shared" si="3"/>
        <v/>
      </c>
    </row>
    <row r="45" spans="1:20" x14ac:dyDescent="0.3">
      <c r="A45" s="31"/>
      <c r="B45" s="32"/>
      <c r="C45" s="31" t="s">
        <v>120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4"/>
        <v/>
      </c>
      <c r="P45" t="str">
        <f>'Combined Delivery Data'!B43</f>
        <v>RPT_02_Public Buildings Inspection</v>
      </c>
      <c r="Q45">
        <f t="shared" si="0"/>
        <v>0</v>
      </c>
      <c r="R45">
        <f t="shared" si="1"/>
        <v>0</v>
      </c>
      <c r="S45" s="28" t="str">
        <f t="shared" si="2"/>
        <v/>
      </c>
      <c r="T45" t="str">
        <f t="shared" si="3"/>
        <v/>
      </c>
    </row>
    <row r="46" spans="1:20" x14ac:dyDescent="0.3">
      <c r="A46" s="31"/>
      <c r="B46" s="32"/>
      <c r="C46" s="31" t="s">
        <v>120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4"/>
        <v/>
      </c>
      <c r="P46" t="str">
        <f>'Combined Delivery Data'!B44</f>
        <v>RPT_02_Investigate Wall Check and Service Check</v>
      </c>
      <c r="Q46">
        <f t="shared" si="0"/>
        <v>0</v>
      </c>
      <c r="R46">
        <f t="shared" si="1"/>
        <v>0</v>
      </c>
      <c r="S46" s="28" t="str">
        <f t="shared" si="2"/>
        <v/>
      </c>
      <c r="T46" t="str">
        <f t="shared" si="3"/>
        <v/>
      </c>
    </row>
    <row r="47" spans="1:20" x14ac:dyDescent="0.3">
      <c r="A47" s="31"/>
      <c r="B47" s="32"/>
      <c r="C47" s="31" t="s">
        <v>120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4"/>
        <v/>
      </c>
      <c r="P47" t="str">
        <f>'Combined Delivery Data'!B45</f>
        <v>RPT_02_Cut Out Orders</v>
      </c>
      <c r="Q47">
        <f t="shared" si="0"/>
        <v>0</v>
      </c>
      <c r="R47">
        <f t="shared" si="1"/>
        <v>0</v>
      </c>
      <c r="S47" s="28" t="str">
        <f t="shared" si="2"/>
        <v/>
      </c>
      <c r="T47" t="str">
        <f t="shared" si="3"/>
        <v/>
      </c>
    </row>
    <row r="48" spans="1:20" x14ac:dyDescent="0.3">
      <c r="A48" s="31"/>
      <c r="B48" s="32"/>
      <c r="C48" s="31" t="s">
        <v>120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4"/>
        <v/>
      </c>
      <c r="P48" t="str">
        <f>'Combined Delivery Data'!B46</f>
        <v>RPT_02_Gas Trouble</v>
      </c>
      <c r="Q48">
        <f t="shared" si="0"/>
        <v>0</v>
      </c>
      <c r="R48">
        <f t="shared" si="1"/>
        <v>0</v>
      </c>
      <c r="S48" s="28" t="str">
        <f t="shared" si="2"/>
        <v/>
      </c>
      <c r="T48" t="str">
        <f t="shared" si="3"/>
        <v/>
      </c>
    </row>
    <row r="49" spans="1:20" x14ac:dyDescent="0.3">
      <c r="A49" s="31"/>
      <c r="B49" s="32"/>
      <c r="C49" s="31" t="s">
        <v>120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4"/>
        <v/>
      </c>
      <c r="P49" t="str">
        <f>'Combined Delivery Data'!B47</f>
        <v>RPT_02_Wall Check Control</v>
      </c>
      <c r="Q49">
        <f t="shared" si="0"/>
        <v>0</v>
      </c>
      <c r="R49">
        <f t="shared" si="1"/>
        <v>0</v>
      </c>
      <c r="S49" s="28" t="str">
        <f t="shared" si="2"/>
        <v/>
      </c>
      <c r="T49" t="str">
        <f t="shared" si="3"/>
        <v/>
      </c>
    </row>
    <row r="50" spans="1:20" x14ac:dyDescent="0.3">
      <c r="A50" s="31"/>
      <c r="B50" s="32"/>
      <c r="C50" s="31" t="s">
        <v>120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4"/>
        <v/>
      </c>
      <c r="P50" t="str">
        <f>'Combined Delivery Data'!B48</f>
        <v>RPT_02_High Pressure Steel Inside Inspection</v>
      </c>
      <c r="Q50">
        <f t="shared" si="0"/>
        <v>0</v>
      </c>
      <c r="R50">
        <f t="shared" si="1"/>
        <v>0</v>
      </c>
      <c r="S50" s="28" t="str">
        <f t="shared" si="2"/>
        <v/>
      </c>
      <c r="T50" t="str">
        <f t="shared" si="3"/>
        <v/>
      </c>
    </row>
    <row r="51" spans="1:20" x14ac:dyDescent="0.3">
      <c r="A51" s="31"/>
      <c r="B51" s="32"/>
      <c r="C51" s="31" t="s">
        <v>120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4"/>
        <v/>
      </c>
      <c r="P51" t="str">
        <f>'Combined Delivery Data'!B49</f>
        <v>RPT_02_Large Gas Outage</v>
      </c>
      <c r="Q51">
        <f t="shared" si="0"/>
        <v>0</v>
      </c>
      <c r="R51">
        <f t="shared" si="1"/>
        <v>0</v>
      </c>
      <c r="S51" s="28" t="str">
        <f t="shared" si="2"/>
        <v/>
      </c>
      <c r="T51" t="str">
        <f t="shared" si="3"/>
        <v/>
      </c>
    </row>
    <row r="52" spans="1:20" x14ac:dyDescent="0.3">
      <c r="A52" s="31"/>
      <c r="B52" s="32"/>
      <c r="C52" s="31" t="s">
        <v>120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4"/>
        <v/>
      </c>
      <c r="P52" t="str">
        <f>'Combined Delivery Data'!B50</f>
        <v>RPT_02_Fitting Work</v>
      </c>
      <c r="Q52">
        <f t="shared" si="0"/>
        <v>0</v>
      </c>
      <c r="R52">
        <f t="shared" si="1"/>
        <v>0</v>
      </c>
      <c r="S52" s="28" t="str">
        <f t="shared" si="2"/>
        <v/>
      </c>
      <c r="T52" t="str">
        <f t="shared" si="3"/>
        <v/>
      </c>
    </row>
    <row r="53" spans="1:20" x14ac:dyDescent="0.3">
      <c r="A53" s="31"/>
      <c r="B53" s="32"/>
      <c r="C53" s="31" t="s">
        <v>120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4"/>
        <v/>
      </c>
      <c r="P53" t="str">
        <f>'Combined Delivery Data'!B51</f>
        <v>RPT_02_Field Collector Report</v>
      </c>
      <c r="Q53">
        <f t="shared" si="0"/>
        <v>0</v>
      </c>
      <c r="R53">
        <f t="shared" si="1"/>
        <v>0</v>
      </c>
      <c r="S53" s="28" t="str">
        <f t="shared" si="2"/>
        <v/>
      </c>
      <c r="T53" t="str">
        <f t="shared" si="3"/>
        <v/>
      </c>
    </row>
    <row r="54" spans="1:20" x14ac:dyDescent="0.3">
      <c r="A54" s="31"/>
      <c r="B54" s="32"/>
      <c r="C54" s="31" t="s">
        <v>120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4"/>
        <v/>
      </c>
      <c r="P54" t="str">
        <f>'Combined Delivery Data'!B52</f>
        <v>RPT_02_Turn On for Non-Payment</v>
      </c>
      <c r="Q54">
        <f t="shared" si="0"/>
        <v>0</v>
      </c>
      <c r="R54">
        <f t="shared" si="1"/>
        <v>0</v>
      </c>
      <c r="S54" s="28" t="str">
        <f t="shared" si="2"/>
        <v/>
      </c>
      <c r="T54" t="str">
        <f t="shared" si="3"/>
        <v/>
      </c>
    </row>
    <row r="55" spans="1:20" x14ac:dyDescent="0.3">
      <c r="A55" s="31"/>
      <c r="B55" s="32"/>
      <c r="C55" s="31" t="s">
        <v>120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4"/>
        <v/>
      </c>
      <c r="P55" t="str">
        <f>'Combined Delivery Data'!B53</f>
        <v>RPT_02_Collector Payment Recap</v>
      </c>
      <c r="Q55">
        <f t="shared" si="0"/>
        <v>0</v>
      </c>
      <c r="R55">
        <f t="shared" si="1"/>
        <v>0</v>
      </c>
      <c r="S55" s="28" t="str">
        <f t="shared" si="2"/>
        <v/>
      </c>
      <c r="T55" t="str">
        <f t="shared" si="3"/>
        <v/>
      </c>
    </row>
    <row r="56" spans="1:20" x14ac:dyDescent="0.3">
      <c r="A56" s="31"/>
      <c r="B56" s="32"/>
      <c r="C56" s="31" t="s">
        <v>120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4"/>
        <v/>
      </c>
      <c r="P56" t="str">
        <f>'Combined Delivery Data'!B54</f>
        <v>RPT_02_Incentive Management</v>
      </c>
      <c r="Q56">
        <f t="shared" si="0"/>
        <v>0</v>
      </c>
      <c r="R56">
        <f t="shared" si="1"/>
        <v>0</v>
      </c>
      <c r="S56" s="28" t="str">
        <f t="shared" si="2"/>
        <v/>
      </c>
      <c r="T56" t="str">
        <f t="shared" si="3"/>
        <v/>
      </c>
    </row>
    <row r="57" spans="1:20" x14ac:dyDescent="0.3">
      <c r="A57" s="31"/>
      <c r="B57" s="32"/>
      <c r="C57" s="31" t="s">
        <v>120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4"/>
        <v/>
      </c>
      <c r="P57" t="str">
        <f>'Combined Delivery Data'!B55</f>
        <v>RPT_02_UTC Report</v>
      </c>
      <c r="Q57">
        <f t="shared" si="0"/>
        <v>0</v>
      </c>
      <c r="R57">
        <f t="shared" si="1"/>
        <v>0</v>
      </c>
      <c r="S57" s="28" t="str">
        <f t="shared" si="2"/>
        <v/>
      </c>
      <c r="T57" t="str">
        <f t="shared" si="3"/>
        <v/>
      </c>
    </row>
    <row r="58" spans="1:20" x14ac:dyDescent="0.3">
      <c r="A58" s="31"/>
      <c r="B58" s="32"/>
      <c r="C58" s="31" t="s">
        <v>120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4"/>
        <v/>
      </c>
      <c r="P58" t="str">
        <f>'Combined Delivery Data'!B56</f>
        <v>RPT_02_Adjacent Property Checks</v>
      </c>
      <c r="Q58">
        <f t="shared" si="0"/>
        <v>0</v>
      </c>
      <c r="R58">
        <f t="shared" si="1"/>
        <v>0</v>
      </c>
      <c r="S58" s="28" t="str">
        <f t="shared" si="2"/>
        <v/>
      </c>
      <c r="T58" t="str">
        <f t="shared" si="3"/>
        <v/>
      </c>
    </row>
    <row r="59" spans="1:20" x14ac:dyDescent="0.3">
      <c r="A59" s="31"/>
      <c r="B59" s="32"/>
      <c r="C59" s="31" t="s">
        <v>120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4"/>
        <v/>
      </c>
      <c r="P59" t="str">
        <f>'Combined Delivery Data'!B57</f>
        <v>RPT_02_High Bill Investigations</v>
      </c>
      <c r="Q59">
        <f t="shared" si="0"/>
        <v>0</v>
      </c>
      <c r="R59">
        <f t="shared" si="1"/>
        <v>0</v>
      </c>
      <c r="S59" s="28" t="str">
        <f t="shared" si="2"/>
        <v/>
      </c>
      <c r="T59" t="str">
        <f t="shared" si="3"/>
        <v/>
      </c>
    </row>
    <row r="60" spans="1:20" x14ac:dyDescent="0.3">
      <c r="A60" s="31"/>
      <c r="B60" s="32"/>
      <c r="C60" s="31" t="s">
        <v>120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4"/>
        <v/>
      </c>
      <c r="P60" t="str">
        <f>'Combined Delivery Data'!B58</f>
        <v>RPT_02_Emergency Order Type</v>
      </c>
      <c r="Q60">
        <f t="shared" si="0"/>
        <v>0</v>
      </c>
      <c r="R60">
        <f t="shared" si="1"/>
        <v>0</v>
      </c>
      <c r="S60" s="28" t="str">
        <f t="shared" si="2"/>
        <v/>
      </c>
      <c r="T60" t="str">
        <f t="shared" si="3"/>
        <v/>
      </c>
    </row>
    <row r="61" spans="1:20" x14ac:dyDescent="0.3">
      <c r="A61" s="31"/>
      <c r="B61" s="32"/>
      <c r="C61" s="31" t="s">
        <v>120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4"/>
        <v/>
      </c>
      <c r="P61" t="str">
        <f>'Combined Delivery Data'!B59</f>
        <v>RPT_02_Cut Out Curb Box</v>
      </c>
      <c r="Q61">
        <f t="shared" si="0"/>
        <v>0</v>
      </c>
      <c r="R61">
        <f t="shared" si="1"/>
        <v>0</v>
      </c>
      <c r="S61" s="28" t="str">
        <f t="shared" si="2"/>
        <v/>
      </c>
      <c r="T61" t="str">
        <f t="shared" si="3"/>
        <v/>
      </c>
    </row>
    <row r="62" spans="1:20" x14ac:dyDescent="0.3">
      <c r="A62" s="31"/>
      <c r="B62" s="32"/>
      <c r="C62" s="31" t="s">
        <v>120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4"/>
        <v/>
      </c>
      <c r="P62" t="str">
        <f>'Combined Delivery Data'!B60</f>
        <v>RPT_02_New York Incident</v>
      </c>
      <c r="Q62">
        <f t="shared" si="0"/>
        <v>0</v>
      </c>
      <c r="R62">
        <f t="shared" si="1"/>
        <v>0</v>
      </c>
      <c r="S62" s="28" t="str">
        <f t="shared" si="2"/>
        <v/>
      </c>
      <c r="T62" t="str">
        <f t="shared" si="3"/>
        <v/>
      </c>
    </row>
    <row r="63" spans="1:20" x14ac:dyDescent="0.3">
      <c r="A63" s="31"/>
      <c r="B63" s="32"/>
      <c r="C63" s="31" t="s">
        <v>120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4"/>
        <v/>
      </c>
      <c r="P63" t="str">
        <f>'Combined Delivery Data'!B61</f>
        <v>RPT_02_Outside Repeat Leaks</v>
      </c>
      <c r="Q63">
        <f t="shared" si="0"/>
        <v>0</v>
      </c>
      <c r="R63">
        <f t="shared" si="1"/>
        <v>0</v>
      </c>
      <c r="S63" s="28" t="str">
        <f t="shared" si="2"/>
        <v/>
      </c>
      <c r="T63" t="str">
        <f t="shared" si="3"/>
        <v/>
      </c>
    </row>
    <row r="64" spans="1:20" x14ac:dyDescent="0.3">
      <c r="A64" s="31"/>
      <c r="B64" s="32"/>
      <c r="C64" s="31" t="s">
        <v>120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4"/>
        <v/>
      </c>
      <c r="P64" t="str">
        <f>'Combined Delivery Data'!B62</f>
        <v>RPT_02_Meter Change</v>
      </c>
      <c r="Q64">
        <f t="shared" si="0"/>
        <v>0</v>
      </c>
      <c r="R64">
        <f t="shared" si="1"/>
        <v>0</v>
      </c>
      <c r="S64" s="28" t="str">
        <f t="shared" si="2"/>
        <v/>
      </c>
      <c r="T64" t="str">
        <f t="shared" si="3"/>
        <v/>
      </c>
    </row>
    <row r="65" spans="1:20" x14ac:dyDescent="0.3">
      <c r="A65" s="31"/>
      <c r="B65" s="32"/>
      <c r="C65" s="31" t="s">
        <v>120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4"/>
        <v/>
      </c>
      <c r="P65" t="str">
        <f>'Combined Delivery Data'!B63</f>
        <v>RPT_02_Field Order Value</v>
      </c>
      <c r="Q65">
        <f t="shared" si="0"/>
        <v>0</v>
      </c>
      <c r="R65">
        <f t="shared" si="1"/>
        <v>0</v>
      </c>
      <c r="S65" s="28" t="str">
        <f t="shared" si="2"/>
        <v/>
      </c>
      <c r="T65" t="str">
        <f t="shared" si="3"/>
        <v/>
      </c>
    </row>
    <row r="66" spans="1:20" x14ac:dyDescent="0.3">
      <c r="A66" s="31"/>
      <c r="B66" s="32"/>
      <c r="C66" s="31" t="s">
        <v>120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4"/>
        <v/>
      </c>
      <c r="P66" t="str">
        <f>'Combined Delivery Data'!B64</f>
        <v>RPT_02_Same Day Reconnect</v>
      </c>
      <c r="Q66">
        <f t="shared" si="0"/>
        <v>0</v>
      </c>
      <c r="R66">
        <f t="shared" si="1"/>
        <v>0</v>
      </c>
      <c r="S66" s="28" t="str">
        <f t="shared" si="2"/>
        <v/>
      </c>
      <c r="T66" t="str">
        <f t="shared" si="3"/>
        <v/>
      </c>
    </row>
    <row r="67" spans="1:20" x14ac:dyDescent="0.3">
      <c r="A67" s="31"/>
      <c r="B67" s="32"/>
      <c r="C67" s="31" t="s">
        <v>120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ca="1" si="4"/>
        <v/>
      </c>
      <c r="P67" t="str">
        <f>'Combined Delivery Data'!B65</f>
        <v>RPT_02_Site Specific Analysis</v>
      </c>
      <c r="Q67">
        <f t="shared" ref="Q67:Q130" si="5">IF($P67="","",COUNTIF($A$3:$A$500,$P67))</f>
        <v>0</v>
      </c>
      <c r="R67">
        <f t="shared" ref="R67:R130" si="6">IF($P67="","",SUMPRODUCT(($A$3:$A$500=$P67)*($G$3:$G$500&lt;&gt;"Yes")*($G$3:$G$500&lt;&gt;"Did not pass re-test")))</f>
        <v>0</v>
      </c>
      <c r="S67" s="28" t="str">
        <f t="shared" ref="S67:S130" si="7">IF($P67="","",IF(SUMPRODUCT(MAX(($A$3:$A$500=$P67)*ROW($A$3:$A$500)))=0,"",INDEX($B:$B,SUMPRODUCT(MAX(($A$3:$A$500=$P67)*ROW($A$3:$A$500))))))</f>
        <v/>
      </c>
      <c r="T67" t="str">
        <f t="shared" ref="T67:T130" si="8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 x14ac:dyDescent="0.3">
      <c r="A68" s="31"/>
      <c r="B68" s="32"/>
      <c r="C68" s="31" t="s">
        <v>120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ref="M68:M71" ca="1" si="9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 t="shared" si="5"/>
        <v>0</v>
      </c>
      <c r="R68">
        <f t="shared" si="6"/>
        <v>0</v>
      </c>
      <c r="S68" s="28" t="str">
        <f t="shared" si="7"/>
        <v/>
      </c>
      <c r="T68" t="str">
        <f t="shared" si="8"/>
        <v/>
      </c>
    </row>
    <row r="69" spans="1:20" x14ac:dyDescent="0.3">
      <c r="A69" s="31"/>
      <c r="B69" s="32"/>
      <c r="C69" s="31" t="s">
        <v>120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9"/>
        <v/>
      </c>
      <c r="P69" t="str">
        <f>'Combined Delivery Data'!B67</f>
        <v>RPT_02_Hazardous Above Ground Leak</v>
      </c>
      <c r="Q69">
        <f t="shared" si="5"/>
        <v>0</v>
      </c>
      <c r="R69">
        <f t="shared" si="6"/>
        <v>0</v>
      </c>
      <c r="S69" s="28" t="str">
        <f t="shared" si="7"/>
        <v/>
      </c>
      <c r="T69" t="str">
        <f t="shared" si="8"/>
        <v/>
      </c>
    </row>
    <row r="70" spans="1:20" x14ac:dyDescent="0.3">
      <c r="A70" s="31"/>
      <c r="B70" s="32"/>
      <c r="C70" s="31" t="s">
        <v>120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9"/>
        <v/>
      </c>
      <c r="P70" t="str">
        <f>'Combined Delivery Data'!B68</f>
        <v>RPT_02_AMI Contractor Completion Report</v>
      </c>
      <c r="Q70">
        <f t="shared" si="5"/>
        <v>0</v>
      </c>
      <c r="R70">
        <f t="shared" si="6"/>
        <v>0</v>
      </c>
      <c r="S70" s="28" t="str">
        <f t="shared" si="7"/>
        <v/>
      </c>
      <c r="T70" t="str">
        <f t="shared" si="8"/>
        <v/>
      </c>
    </row>
    <row r="71" spans="1:20" x14ac:dyDescent="0.3">
      <c r="A71" s="31"/>
      <c r="B71" s="32"/>
      <c r="C71" s="31" t="s">
        <v>120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9"/>
        <v/>
      </c>
      <c r="P71" t="str">
        <f>'Combined Delivery Data'!B69</f>
        <v>RPT_02_Collection Statistic</v>
      </c>
      <c r="Q71">
        <f t="shared" si="5"/>
        <v>0</v>
      </c>
      <c r="R71">
        <f t="shared" si="6"/>
        <v>0</v>
      </c>
      <c r="S71" s="28" t="str">
        <f t="shared" si="7"/>
        <v/>
      </c>
      <c r="T71" t="str">
        <f t="shared" si="8"/>
        <v/>
      </c>
    </row>
    <row r="72" spans="1:20" x14ac:dyDescent="0.3">
      <c r="A72" s="31"/>
      <c r="B72" s="32"/>
      <c r="C72" s="31" t="s">
        <v>120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ref="M72:M130" ca="1" si="10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 t="shared" si="5"/>
        <v>0</v>
      </c>
      <c r="R72">
        <f t="shared" si="6"/>
        <v>0</v>
      </c>
      <c r="S72" s="28" t="str">
        <f t="shared" si="7"/>
        <v/>
      </c>
      <c r="T72" t="str">
        <f t="shared" si="8"/>
        <v/>
      </c>
    </row>
    <row r="73" spans="1:20" x14ac:dyDescent="0.3">
      <c r="A73" s="31"/>
      <c r="B73" s="32"/>
      <c r="C73" s="31" t="s">
        <v>120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10"/>
        <v/>
      </c>
      <c r="P73" t="str">
        <f>'Combined Delivery Data'!B71</f>
        <v>RPT_02_Rate Class</v>
      </c>
      <c r="Q73">
        <f t="shared" si="5"/>
        <v>0</v>
      </c>
      <c r="R73">
        <f t="shared" si="6"/>
        <v>0</v>
      </c>
      <c r="S73" s="28" t="str">
        <f t="shared" si="7"/>
        <v/>
      </c>
      <c r="T73" t="str">
        <f t="shared" si="8"/>
        <v/>
      </c>
    </row>
    <row r="74" spans="1:20" x14ac:dyDescent="0.3">
      <c r="A74" s="31"/>
      <c r="B74" s="32"/>
      <c r="C74" s="31" t="s">
        <v>120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10"/>
        <v/>
      </c>
      <c r="P74" t="str">
        <f>'Combined Delivery Data'!B72</f>
        <v>RPT_04_Leak Recheck Times</v>
      </c>
      <c r="Q74">
        <f t="shared" si="5"/>
        <v>0</v>
      </c>
      <c r="R74">
        <f t="shared" si="6"/>
        <v>0</v>
      </c>
      <c r="S74" s="28" t="str">
        <f t="shared" si="7"/>
        <v/>
      </c>
      <c r="T74" t="str">
        <f t="shared" si="8"/>
        <v/>
      </c>
    </row>
    <row r="75" spans="1:20" x14ac:dyDescent="0.3">
      <c r="A75" s="31"/>
      <c r="B75" s="32"/>
      <c r="C75" s="31" t="s">
        <v>120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10"/>
        <v/>
      </c>
      <c r="P75">
        <f>'Combined Delivery Data'!B73</f>
        <v>0</v>
      </c>
      <c r="Q75">
        <f t="shared" si="5"/>
        <v>0</v>
      </c>
      <c r="R75">
        <f t="shared" si="6"/>
        <v>491</v>
      </c>
      <c r="S75" s="28">
        <f t="shared" si="7"/>
        <v>0</v>
      </c>
      <c r="T75" t="str">
        <f t="shared" si="8"/>
        <v xml:space="preserve"> -&gt; </v>
      </c>
    </row>
    <row r="76" spans="1:20" x14ac:dyDescent="0.3">
      <c r="A76" s="31"/>
      <c r="B76" s="32"/>
      <c r="C76" s="31" t="s">
        <v>120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10"/>
        <v/>
      </c>
      <c r="P76">
        <f>'Combined Delivery Data'!B74</f>
        <v>0</v>
      </c>
      <c r="Q76">
        <f t="shared" si="5"/>
        <v>0</v>
      </c>
      <c r="R76">
        <f t="shared" si="6"/>
        <v>491</v>
      </c>
      <c r="S76" s="28">
        <f t="shared" si="7"/>
        <v>0</v>
      </c>
      <c r="T76" t="str">
        <f t="shared" si="8"/>
        <v xml:space="preserve"> -&gt; </v>
      </c>
    </row>
    <row r="77" spans="1:20" x14ac:dyDescent="0.3">
      <c r="A77" s="31"/>
      <c r="B77" s="32"/>
      <c r="C77" s="31" t="s">
        <v>120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10"/>
        <v/>
      </c>
      <c r="P77">
        <f>'Combined Delivery Data'!B75</f>
        <v>0</v>
      </c>
      <c r="Q77">
        <f t="shared" si="5"/>
        <v>0</v>
      </c>
      <c r="R77">
        <f t="shared" si="6"/>
        <v>491</v>
      </c>
      <c r="S77" s="28">
        <f t="shared" si="7"/>
        <v>0</v>
      </c>
      <c r="T77" t="str">
        <f t="shared" si="8"/>
        <v xml:space="preserve"> -&gt; </v>
      </c>
    </row>
    <row r="78" spans="1:20" x14ac:dyDescent="0.3">
      <c r="A78" s="31"/>
      <c r="B78" s="32"/>
      <c r="C78" s="31" t="s">
        <v>120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10"/>
        <v/>
      </c>
      <c r="P78">
        <f>'Combined Delivery Data'!B76</f>
        <v>0</v>
      </c>
      <c r="Q78">
        <f t="shared" si="5"/>
        <v>0</v>
      </c>
      <c r="R78">
        <f t="shared" si="6"/>
        <v>491</v>
      </c>
      <c r="S78" s="28">
        <f t="shared" si="7"/>
        <v>0</v>
      </c>
      <c r="T78" t="str">
        <f t="shared" si="8"/>
        <v xml:space="preserve"> -&gt; </v>
      </c>
    </row>
    <row r="79" spans="1:20" x14ac:dyDescent="0.3">
      <c r="A79" s="31"/>
      <c r="B79" s="32"/>
      <c r="C79" s="31" t="s">
        <v>120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10"/>
        <v/>
      </c>
      <c r="P79">
        <f>'Combined Delivery Data'!B77</f>
        <v>0</v>
      </c>
      <c r="Q79">
        <f t="shared" si="5"/>
        <v>0</v>
      </c>
      <c r="R79">
        <f t="shared" si="6"/>
        <v>491</v>
      </c>
      <c r="S79" s="28">
        <f t="shared" si="7"/>
        <v>0</v>
      </c>
      <c r="T79" t="str">
        <f t="shared" si="8"/>
        <v xml:space="preserve"> -&gt; </v>
      </c>
    </row>
    <row r="80" spans="1:20" x14ac:dyDescent="0.3">
      <c r="A80" s="31"/>
      <c r="B80" s="32"/>
      <c r="C80" s="31" t="s">
        <v>120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10"/>
        <v/>
      </c>
      <c r="P80">
        <f>'Combined Delivery Data'!B78</f>
        <v>0</v>
      </c>
      <c r="Q80">
        <f t="shared" si="5"/>
        <v>0</v>
      </c>
      <c r="R80">
        <f t="shared" si="6"/>
        <v>491</v>
      </c>
      <c r="S80" s="28">
        <f t="shared" si="7"/>
        <v>0</v>
      </c>
      <c r="T80" t="str">
        <f t="shared" si="8"/>
        <v xml:space="preserve"> -&gt; </v>
      </c>
    </row>
    <row r="81" spans="1:20" x14ac:dyDescent="0.3">
      <c r="A81" s="31"/>
      <c r="B81" s="32"/>
      <c r="C81" s="31" t="s">
        <v>120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10"/>
        <v/>
      </c>
      <c r="P81">
        <f>'Combined Delivery Data'!B79</f>
        <v>0</v>
      </c>
      <c r="Q81">
        <f t="shared" si="5"/>
        <v>0</v>
      </c>
      <c r="R81">
        <f t="shared" si="6"/>
        <v>491</v>
      </c>
      <c r="S81" s="28">
        <f t="shared" si="7"/>
        <v>0</v>
      </c>
      <c r="T81" t="str">
        <f t="shared" si="8"/>
        <v xml:space="preserve"> -&gt; </v>
      </c>
    </row>
    <row r="82" spans="1:20" x14ac:dyDescent="0.3">
      <c r="A82" s="31"/>
      <c r="B82" s="32"/>
      <c r="C82" s="31" t="s">
        <v>120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10"/>
        <v/>
      </c>
      <c r="P82">
        <f>'Combined Delivery Data'!B80</f>
        <v>0</v>
      </c>
      <c r="Q82">
        <f t="shared" si="5"/>
        <v>0</v>
      </c>
      <c r="R82">
        <f t="shared" si="6"/>
        <v>491</v>
      </c>
      <c r="S82" s="28">
        <f t="shared" si="7"/>
        <v>0</v>
      </c>
      <c r="T82" t="str">
        <f t="shared" si="8"/>
        <v xml:space="preserve"> -&gt; </v>
      </c>
    </row>
    <row r="83" spans="1:20" x14ac:dyDescent="0.3">
      <c r="A83" s="31"/>
      <c r="B83" s="32"/>
      <c r="C83" s="31" t="s">
        <v>120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10"/>
        <v/>
      </c>
      <c r="P83">
        <f>'Combined Delivery Data'!B81</f>
        <v>0</v>
      </c>
      <c r="Q83">
        <f t="shared" si="5"/>
        <v>0</v>
      </c>
      <c r="R83">
        <f t="shared" si="6"/>
        <v>491</v>
      </c>
      <c r="S83" s="28">
        <f t="shared" si="7"/>
        <v>0</v>
      </c>
      <c r="T83" t="str">
        <f t="shared" si="8"/>
        <v xml:space="preserve"> -&gt; </v>
      </c>
    </row>
    <row r="84" spans="1:20" x14ac:dyDescent="0.3">
      <c r="A84" s="31"/>
      <c r="B84" s="32"/>
      <c r="C84" s="31" t="s">
        <v>120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10"/>
        <v/>
      </c>
      <c r="P84">
        <f>'Combined Delivery Data'!B82</f>
        <v>0</v>
      </c>
      <c r="Q84">
        <f t="shared" si="5"/>
        <v>0</v>
      </c>
      <c r="R84">
        <f t="shared" si="6"/>
        <v>491</v>
      </c>
      <c r="S84" s="28">
        <f t="shared" si="7"/>
        <v>0</v>
      </c>
      <c r="T84" t="str">
        <f t="shared" si="8"/>
        <v xml:space="preserve"> -&gt; </v>
      </c>
    </row>
    <row r="85" spans="1:20" x14ac:dyDescent="0.3">
      <c r="A85" s="31"/>
      <c r="B85" s="32"/>
      <c r="C85" s="31" t="s">
        <v>120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10"/>
        <v/>
      </c>
      <c r="P85">
        <f>'Combined Delivery Data'!B83</f>
        <v>0</v>
      </c>
      <c r="Q85">
        <f t="shared" si="5"/>
        <v>0</v>
      </c>
      <c r="R85">
        <f t="shared" si="6"/>
        <v>491</v>
      </c>
      <c r="S85" s="28">
        <f t="shared" si="7"/>
        <v>0</v>
      </c>
      <c r="T85" t="str">
        <f t="shared" si="8"/>
        <v xml:space="preserve"> -&gt; </v>
      </c>
    </row>
    <row r="86" spans="1:20" x14ac:dyDescent="0.3">
      <c r="A86" s="31"/>
      <c r="B86" s="32"/>
      <c r="C86" s="31" t="s">
        <v>120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10"/>
        <v/>
      </c>
      <c r="P86">
        <f>'Combined Delivery Data'!B84</f>
        <v>0</v>
      </c>
      <c r="Q86">
        <f t="shared" si="5"/>
        <v>0</v>
      </c>
      <c r="R86">
        <f t="shared" si="6"/>
        <v>491</v>
      </c>
      <c r="S86" s="28">
        <f t="shared" si="7"/>
        <v>0</v>
      </c>
      <c r="T86" t="str">
        <f t="shared" si="8"/>
        <v xml:space="preserve"> -&gt; </v>
      </c>
    </row>
    <row r="87" spans="1:20" x14ac:dyDescent="0.3">
      <c r="A87" s="31"/>
      <c r="B87" s="32"/>
      <c r="C87" s="31" t="s">
        <v>120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10"/>
        <v/>
      </c>
      <c r="P87">
        <f>'Combined Delivery Data'!B85</f>
        <v>0</v>
      </c>
      <c r="Q87">
        <f t="shared" si="5"/>
        <v>0</v>
      </c>
      <c r="R87">
        <f t="shared" si="6"/>
        <v>491</v>
      </c>
      <c r="S87" s="28">
        <f t="shared" si="7"/>
        <v>0</v>
      </c>
      <c r="T87" t="str">
        <f t="shared" si="8"/>
        <v xml:space="preserve"> -&gt; </v>
      </c>
    </row>
    <row r="88" spans="1:20" x14ac:dyDescent="0.3">
      <c r="A88" s="31"/>
      <c r="B88" s="32"/>
      <c r="C88" s="31" t="s">
        <v>120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10"/>
        <v/>
      </c>
      <c r="P88">
        <f>'Combined Delivery Data'!B86</f>
        <v>0</v>
      </c>
      <c r="Q88">
        <f t="shared" si="5"/>
        <v>0</v>
      </c>
      <c r="R88">
        <f t="shared" si="6"/>
        <v>491</v>
      </c>
      <c r="S88" s="28">
        <f t="shared" si="7"/>
        <v>0</v>
      </c>
      <c r="T88" t="str">
        <f t="shared" si="8"/>
        <v xml:space="preserve"> -&gt; </v>
      </c>
    </row>
    <row r="89" spans="1:20" x14ac:dyDescent="0.3">
      <c r="A89" s="31"/>
      <c r="B89" s="32"/>
      <c r="C89" s="31" t="s">
        <v>120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10"/>
        <v/>
      </c>
      <c r="P89">
        <f>'Combined Delivery Data'!B87</f>
        <v>0</v>
      </c>
      <c r="Q89">
        <f t="shared" si="5"/>
        <v>0</v>
      </c>
      <c r="R89">
        <f t="shared" si="6"/>
        <v>491</v>
      </c>
      <c r="S89" s="28">
        <f t="shared" si="7"/>
        <v>0</v>
      </c>
      <c r="T89" t="str">
        <f t="shared" si="8"/>
        <v xml:space="preserve"> -&gt; </v>
      </c>
    </row>
    <row r="90" spans="1:20" x14ac:dyDescent="0.3">
      <c r="A90" s="31"/>
      <c r="B90" s="32"/>
      <c r="C90" s="31" t="s">
        <v>120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10"/>
        <v/>
      </c>
      <c r="P90">
        <f>'Combined Delivery Data'!B88</f>
        <v>0</v>
      </c>
      <c r="Q90">
        <f t="shared" si="5"/>
        <v>0</v>
      </c>
      <c r="R90">
        <f t="shared" si="6"/>
        <v>491</v>
      </c>
      <c r="S90" s="28">
        <f t="shared" si="7"/>
        <v>0</v>
      </c>
      <c r="T90" t="str">
        <f t="shared" si="8"/>
        <v xml:space="preserve"> -&gt; </v>
      </c>
    </row>
    <row r="91" spans="1:20" x14ac:dyDescent="0.3">
      <c r="A91" s="31"/>
      <c r="B91" s="32"/>
      <c r="C91" s="31" t="s">
        <v>120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10"/>
        <v/>
      </c>
      <c r="P91">
        <f>'Combined Delivery Data'!B89</f>
        <v>0</v>
      </c>
      <c r="Q91">
        <f t="shared" si="5"/>
        <v>0</v>
      </c>
      <c r="R91">
        <f t="shared" si="6"/>
        <v>491</v>
      </c>
      <c r="S91" s="28">
        <f t="shared" si="7"/>
        <v>0</v>
      </c>
      <c r="T91" t="str">
        <f t="shared" si="8"/>
        <v xml:space="preserve"> -&gt; </v>
      </c>
    </row>
    <row r="92" spans="1:20" x14ac:dyDescent="0.3">
      <c r="A92" s="31"/>
      <c r="B92" s="32"/>
      <c r="C92" s="31" t="s">
        <v>120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10"/>
        <v/>
      </c>
      <c r="P92">
        <f>'Combined Delivery Data'!B90</f>
        <v>0</v>
      </c>
      <c r="Q92">
        <f t="shared" si="5"/>
        <v>0</v>
      </c>
      <c r="R92">
        <f t="shared" si="6"/>
        <v>491</v>
      </c>
      <c r="S92" s="28">
        <f t="shared" si="7"/>
        <v>0</v>
      </c>
      <c r="T92" t="str">
        <f t="shared" si="8"/>
        <v xml:space="preserve"> -&gt; </v>
      </c>
    </row>
    <row r="93" spans="1:20" x14ac:dyDescent="0.3">
      <c r="A93" s="31"/>
      <c r="B93" s="32"/>
      <c r="C93" s="31" t="s">
        <v>120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10"/>
        <v/>
      </c>
      <c r="P93">
        <f>'Combined Delivery Data'!B91</f>
        <v>0</v>
      </c>
      <c r="Q93">
        <f t="shared" si="5"/>
        <v>0</v>
      </c>
      <c r="R93">
        <f t="shared" si="6"/>
        <v>491</v>
      </c>
      <c r="S93" s="28">
        <f t="shared" si="7"/>
        <v>0</v>
      </c>
      <c r="T93" t="str">
        <f t="shared" si="8"/>
        <v xml:space="preserve"> -&gt; </v>
      </c>
    </row>
    <row r="94" spans="1:20" x14ac:dyDescent="0.3">
      <c r="A94" s="31"/>
      <c r="B94" s="32"/>
      <c r="C94" s="31" t="s">
        <v>120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10"/>
        <v/>
      </c>
      <c r="P94">
        <f>'Combined Delivery Data'!B92</f>
        <v>0</v>
      </c>
      <c r="Q94">
        <f t="shared" si="5"/>
        <v>0</v>
      </c>
      <c r="R94">
        <f t="shared" si="6"/>
        <v>491</v>
      </c>
      <c r="S94" s="28">
        <f t="shared" si="7"/>
        <v>0</v>
      </c>
      <c r="T94" t="str">
        <f t="shared" si="8"/>
        <v xml:space="preserve"> -&gt; </v>
      </c>
    </row>
    <row r="95" spans="1:20" x14ac:dyDescent="0.3">
      <c r="A95" s="31"/>
      <c r="B95" s="32"/>
      <c r="C95" s="31" t="s">
        <v>120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10"/>
        <v/>
      </c>
      <c r="P95">
        <f>'Combined Delivery Data'!B93</f>
        <v>0</v>
      </c>
      <c r="Q95">
        <f t="shared" si="5"/>
        <v>0</v>
      </c>
      <c r="R95">
        <f t="shared" si="6"/>
        <v>491</v>
      </c>
      <c r="S95" s="28">
        <f t="shared" si="7"/>
        <v>0</v>
      </c>
      <c r="T95" t="str">
        <f t="shared" si="8"/>
        <v xml:space="preserve"> -&gt; </v>
      </c>
    </row>
    <row r="96" spans="1:20" x14ac:dyDescent="0.3">
      <c r="A96" s="31"/>
      <c r="B96" s="32"/>
      <c r="C96" s="31" t="s">
        <v>120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10"/>
        <v/>
      </c>
      <c r="P96">
        <f>'Combined Delivery Data'!B94</f>
        <v>0</v>
      </c>
      <c r="Q96">
        <f t="shared" si="5"/>
        <v>0</v>
      </c>
      <c r="R96">
        <f t="shared" si="6"/>
        <v>491</v>
      </c>
      <c r="S96" s="28">
        <f t="shared" si="7"/>
        <v>0</v>
      </c>
      <c r="T96" t="str">
        <f t="shared" si="8"/>
        <v xml:space="preserve"> -&gt; </v>
      </c>
    </row>
    <row r="97" spans="1:20" x14ac:dyDescent="0.3">
      <c r="A97" s="31"/>
      <c r="B97" s="32"/>
      <c r="C97" s="31" t="s">
        <v>120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10"/>
        <v/>
      </c>
      <c r="P97">
        <f>'Combined Delivery Data'!B95</f>
        <v>0</v>
      </c>
      <c r="Q97">
        <f t="shared" si="5"/>
        <v>0</v>
      </c>
      <c r="R97">
        <f t="shared" si="6"/>
        <v>491</v>
      </c>
      <c r="S97" s="28">
        <f t="shared" si="7"/>
        <v>0</v>
      </c>
      <c r="T97" t="str">
        <f t="shared" si="8"/>
        <v xml:space="preserve"> -&gt; </v>
      </c>
    </row>
    <row r="98" spans="1:20" x14ac:dyDescent="0.3">
      <c r="A98" s="31"/>
      <c r="B98" s="32"/>
      <c r="C98" s="31" t="s">
        <v>120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10"/>
        <v/>
      </c>
      <c r="P98">
        <f>'Combined Delivery Data'!B96</f>
        <v>0</v>
      </c>
      <c r="Q98">
        <f t="shared" si="5"/>
        <v>0</v>
      </c>
      <c r="R98">
        <f t="shared" si="6"/>
        <v>491</v>
      </c>
      <c r="S98" s="28">
        <f t="shared" si="7"/>
        <v>0</v>
      </c>
      <c r="T98" t="str">
        <f t="shared" si="8"/>
        <v xml:space="preserve"> -&gt; </v>
      </c>
    </row>
    <row r="99" spans="1:20" x14ac:dyDescent="0.3">
      <c r="A99" s="31"/>
      <c r="B99" s="32"/>
      <c r="C99" s="31" t="s">
        <v>120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10"/>
        <v/>
      </c>
      <c r="P99">
        <f>'Combined Delivery Data'!B97</f>
        <v>0</v>
      </c>
      <c r="Q99">
        <f t="shared" si="5"/>
        <v>0</v>
      </c>
      <c r="R99">
        <f t="shared" si="6"/>
        <v>491</v>
      </c>
      <c r="S99" s="28">
        <f t="shared" si="7"/>
        <v>0</v>
      </c>
      <c r="T99" t="str">
        <f t="shared" si="8"/>
        <v xml:space="preserve"> -&gt; </v>
      </c>
    </row>
    <row r="100" spans="1:20" x14ac:dyDescent="0.3">
      <c r="A100" s="31"/>
      <c r="B100" s="32"/>
      <c r="C100" s="31" t="s">
        <v>120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10"/>
        <v/>
      </c>
      <c r="P100">
        <f>'Combined Delivery Data'!B98</f>
        <v>0</v>
      </c>
      <c r="Q100">
        <f t="shared" si="5"/>
        <v>0</v>
      </c>
      <c r="R100">
        <f t="shared" si="6"/>
        <v>491</v>
      </c>
      <c r="S100" s="28">
        <f t="shared" si="7"/>
        <v>0</v>
      </c>
      <c r="T100" t="str">
        <f t="shared" si="8"/>
        <v xml:space="preserve"> -&gt; </v>
      </c>
    </row>
    <row r="101" spans="1:20" x14ac:dyDescent="0.3">
      <c r="A101" s="31"/>
      <c r="B101" s="32"/>
      <c r="C101" s="31" t="s">
        <v>120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10"/>
        <v/>
      </c>
      <c r="P101">
        <f>'Combined Delivery Data'!B99</f>
        <v>0</v>
      </c>
      <c r="Q101">
        <f t="shared" si="5"/>
        <v>0</v>
      </c>
      <c r="R101">
        <f t="shared" si="6"/>
        <v>491</v>
      </c>
      <c r="S101" s="28">
        <f t="shared" si="7"/>
        <v>0</v>
      </c>
      <c r="T101" t="str">
        <f t="shared" si="8"/>
        <v xml:space="preserve"> -&gt; </v>
      </c>
    </row>
    <row r="102" spans="1:20" x14ac:dyDescent="0.3">
      <c r="A102" s="31"/>
      <c r="B102" s="32"/>
      <c r="C102" s="31" t="s">
        <v>120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10"/>
        <v/>
      </c>
      <c r="P102">
        <f>'Combined Delivery Data'!B100</f>
        <v>0</v>
      </c>
      <c r="Q102">
        <f t="shared" si="5"/>
        <v>0</v>
      </c>
      <c r="R102">
        <f t="shared" si="6"/>
        <v>491</v>
      </c>
      <c r="S102" s="28">
        <f t="shared" si="7"/>
        <v>0</v>
      </c>
      <c r="T102" t="str">
        <f t="shared" si="8"/>
        <v xml:space="preserve"> -&gt; </v>
      </c>
    </row>
    <row r="103" spans="1:20" x14ac:dyDescent="0.3">
      <c r="A103" s="31"/>
      <c r="B103" s="32"/>
      <c r="C103" s="31" t="s">
        <v>120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10"/>
        <v/>
      </c>
      <c r="P103">
        <f>'Combined Delivery Data'!B101</f>
        <v>0</v>
      </c>
      <c r="Q103">
        <f t="shared" si="5"/>
        <v>0</v>
      </c>
      <c r="R103">
        <f t="shared" si="6"/>
        <v>491</v>
      </c>
      <c r="S103" s="28">
        <f t="shared" si="7"/>
        <v>0</v>
      </c>
      <c r="T103" t="str">
        <f t="shared" si="8"/>
        <v xml:space="preserve"> -&gt; </v>
      </c>
    </row>
    <row r="104" spans="1:20" x14ac:dyDescent="0.3">
      <c r="A104" s="31"/>
      <c r="B104" s="32"/>
      <c r="C104" s="31" t="s">
        <v>120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10"/>
        <v/>
      </c>
      <c r="P104">
        <f>'Combined Delivery Data'!B102</f>
        <v>0</v>
      </c>
      <c r="Q104">
        <f t="shared" si="5"/>
        <v>0</v>
      </c>
      <c r="R104">
        <f t="shared" si="6"/>
        <v>491</v>
      </c>
      <c r="S104" s="28">
        <f t="shared" si="7"/>
        <v>0</v>
      </c>
      <c r="T104" t="str">
        <f t="shared" si="8"/>
        <v xml:space="preserve"> -&gt; </v>
      </c>
    </row>
    <row r="105" spans="1:20" x14ac:dyDescent="0.3">
      <c r="A105" s="31"/>
      <c r="B105" s="32"/>
      <c r="C105" s="31" t="s">
        <v>120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10"/>
        <v/>
      </c>
      <c r="P105">
        <f>'Combined Delivery Data'!B103</f>
        <v>0</v>
      </c>
      <c r="Q105">
        <f t="shared" si="5"/>
        <v>0</v>
      </c>
      <c r="R105">
        <f t="shared" si="6"/>
        <v>491</v>
      </c>
      <c r="S105" s="28">
        <f t="shared" si="7"/>
        <v>0</v>
      </c>
      <c r="T105" t="str">
        <f t="shared" si="8"/>
        <v xml:space="preserve"> -&gt; </v>
      </c>
    </row>
    <row r="106" spans="1:20" x14ac:dyDescent="0.3">
      <c r="A106" s="31"/>
      <c r="B106" s="32"/>
      <c r="C106" s="31" t="s">
        <v>120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10"/>
        <v/>
      </c>
      <c r="P106">
        <f>'Combined Delivery Data'!B104</f>
        <v>0</v>
      </c>
      <c r="Q106">
        <f t="shared" si="5"/>
        <v>0</v>
      </c>
      <c r="R106">
        <f t="shared" si="6"/>
        <v>491</v>
      </c>
      <c r="S106" s="28">
        <f t="shared" si="7"/>
        <v>0</v>
      </c>
      <c r="T106" t="str">
        <f t="shared" si="8"/>
        <v xml:space="preserve"> -&gt; </v>
      </c>
    </row>
    <row r="107" spans="1:20" x14ac:dyDescent="0.3">
      <c r="A107" s="31"/>
      <c r="B107" s="32"/>
      <c r="C107" s="31" t="s">
        <v>120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10"/>
        <v/>
      </c>
      <c r="P107">
        <f>'Combined Delivery Data'!B105</f>
        <v>0</v>
      </c>
      <c r="Q107">
        <f t="shared" si="5"/>
        <v>0</v>
      </c>
      <c r="R107">
        <f t="shared" si="6"/>
        <v>491</v>
      </c>
      <c r="S107" s="28">
        <f t="shared" si="7"/>
        <v>0</v>
      </c>
      <c r="T107" t="str">
        <f t="shared" si="8"/>
        <v xml:space="preserve"> -&gt; </v>
      </c>
    </row>
    <row r="108" spans="1:20" x14ac:dyDescent="0.3">
      <c r="A108" s="31"/>
      <c r="B108" s="32"/>
      <c r="C108" s="31" t="s">
        <v>120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10"/>
        <v/>
      </c>
      <c r="P108">
        <f>'Combined Delivery Data'!B106</f>
        <v>0</v>
      </c>
      <c r="Q108">
        <f t="shared" si="5"/>
        <v>0</v>
      </c>
      <c r="R108">
        <f t="shared" si="6"/>
        <v>491</v>
      </c>
      <c r="S108" s="28">
        <f t="shared" si="7"/>
        <v>0</v>
      </c>
      <c r="T108" t="str">
        <f t="shared" si="8"/>
        <v xml:space="preserve"> -&gt; </v>
      </c>
    </row>
    <row r="109" spans="1:20" x14ac:dyDescent="0.3">
      <c r="A109" s="31"/>
      <c r="B109" s="32"/>
      <c r="C109" s="31" t="s">
        <v>120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10"/>
        <v/>
      </c>
      <c r="P109">
        <f>'Combined Delivery Data'!B107</f>
        <v>0</v>
      </c>
      <c r="Q109">
        <f t="shared" si="5"/>
        <v>0</v>
      </c>
      <c r="R109">
        <f t="shared" si="6"/>
        <v>491</v>
      </c>
      <c r="S109" s="28">
        <f t="shared" si="7"/>
        <v>0</v>
      </c>
      <c r="T109" t="str">
        <f t="shared" si="8"/>
        <v xml:space="preserve"> -&gt; </v>
      </c>
    </row>
    <row r="110" spans="1:20" x14ac:dyDescent="0.3">
      <c r="A110" s="31"/>
      <c r="B110" s="32"/>
      <c r="C110" s="31" t="s">
        <v>120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10"/>
        <v/>
      </c>
      <c r="P110">
        <f>'Combined Delivery Data'!B108</f>
        <v>0</v>
      </c>
      <c r="Q110">
        <f t="shared" si="5"/>
        <v>0</v>
      </c>
      <c r="R110">
        <f t="shared" si="6"/>
        <v>491</v>
      </c>
      <c r="S110" s="28">
        <f t="shared" si="7"/>
        <v>0</v>
      </c>
      <c r="T110" t="str">
        <f t="shared" si="8"/>
        <v xml:space="preserve"> -&gt; </v>
      </c>
    </row>
    <row r="111" spans="1:20" x14ac:dyDescent="0.3">
      <c r="A111" s="31"/>
      <c r="B111" s="32"/>
      <c r="C111" s="31" t="s">
        <v>120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10"/>
        <v/>
      </c>
      <c r="P111">
        <f>'Combined Delivery Data'!B109</f>
        <v>0</v>
      </c>
      <c r="Q111">
        <f t="shared" si="5"/>
        <v>0</v>
      </c>
      <c r="R111">
        <f t="shared" si="6"/>
        <v>491</v>
      </c>
      <c r="S111" s="28">
        <f t="shared" si="7"/>
        <v>0</v>
      </c>
      <c r="T111" t="str">
        <f t="shared" si="8"/>
        <v xml:space="preserve"> -&gt; </v>
      </c>
    </row>
    <row r="112" spans="1:20" x14ac:dyDescent="0.3">
      <c r="A112" s="31"/>
      <c r="B112" s="32"/>
      <c r="C112" s="31" t="s">
        <v>120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10"/>
        <v/>
      </c>
      <c r="P112">
        <f>'Combined Delivery Data'!B110</f>
        <v>0</v>
      </c>
      <c r="Q112">
        <f t="shared" si="5"/>
        <v>0</v>
      </c>
      <c r="R112">
        <f t="shared" si="6"/>
        <v>491</v>
      </c>
      <c r="S112" s="28">
        <f t="shared" si="7"/>
        <v>0</v>
      </c>
      <c r="T112" t="str">
        <f t="shared" si="8"/>
        <v xml:space="preserve"> -&gt; </v>
      </c>
    </row>
    <row r="113" spans="1:20" x14ac:dyDescent="0.3">
      <c r="A113" s="31"/>
      <c r="B113" s="32"/>
      <c r="C113" s="31" t="s">
        <v>120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10"/>
        <v/>
      </c>
      <c r="P113">
        <f>'Combined Delivery Data'!B111</f>
        <v>0</v>
      </c>
      <c r="Q113">
        <f t="shared" si="5"/>
        <v>0</v>
      </c>
      <c r="R113">
        <f t="shared" si="6"/>
        <v>491</v>
      </c>
      <c r="S113" s="28">
        <f t="shared" si="7"/>
        <v>0</v>
      </c>
      <c r="T113" t="str">
        <f t="shared" si="8"/>
        <v xml:space="preserve"> -&gt; </v>
      </c>
    </row>
    <row r="114" spans="1:20" x14ac:dyDescent="0.3">
      <c r="A114" s="31"/>
      <c r="B114" s="32"/>
      <c r="C114" s="31" t="s">
        <v>120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10"/>
        <v/>
      </c>
      <c r="P114">
        <f>'Combined Delivery Data'!B112</f>
        <v>0</v>
      </c>
      <c r="Q114">
        <f t="shared" si="5"/>
        <v>0</v>
      </c>
      <c r="R114">
        <f t="shared" si="6"/>
        <v>491</v>
      </c>
      <c r="S114" s="28">
        <f t="shared" si="7"/>
        <v>0</v>
      </c>
      <c r="T114" t="str">
        <f t="shared" si="8"/>
        <v xml:space="preserve"> -&gt; </v>
      </c>
    </row>
    <row r="115" spans="1:20" x14ac:dyDescent="0.3">
      <c r="A115" s="31"/>
      <c r="B115" s="32"/>
      <c r="C115" s="31" t="s">
        <v>120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10"/>
        <v/>
      </c>
      <c r="P115">
        <f>'Combined Delivery Data'!B113</f>
        <v>0</v>
      </c>
      <c r="Q115">
        <f t="shared" si="5"/>
        <v>0</v>
      </c>
      <c r="R115">
        <f t="shared" si="6"/>
        <v>491</v>
      </c>
      <c r="S115" s="28">
        <f t="shared" si="7"/>
        <v>0</v>
      </c>
      <c r="T115" t="str">
        <f t="shared" si="8"/>
        <v xml:space="preserve"> -&gt; </v>
      </c>
    </row>
    <row r="116" spans="1:20" x14ac:dyDescent="0.3">
      <c r="A116" s="31"/>
      <c r="B116" s="32"/>
      <c r="C116" s="31" t="s">
        <v>120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10"/>
        <v/>
      </c>
      <c r="P116">
        <f>'Combined Delivery Data'!B114</f>
        <v>0</v>
      </c>
      <c r="Q116">
        <f t="shared" si="5"/>
        <v>0</v>
      </c>
      <c r="R116">
        <f t="shared" si="6"/>
        <v>491</v>
      </c>
      <c r="S116" s="28">
        <f t="shared" si="7"/>
        <v>0</v>
      </c>
      <c r="T116" t="str">
        <f t="shared" si="8"/>
        <v xml:space="preserve"> -&gt; </v>
      </c>
    </row>
    <row r="117" spans="1:20" x14ac:dyDescent="0.3">
      <c r="A117" s="31"/>
      <c r="B117" s="32"/>
      <c r="C117" s="31" t="s">
        <v>120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10"/>
        <v/>
      </c>
      <c r="P117">
        <f>'Combined Delivery Data'!B115</f>
        <v>0</v>
      </c>
      <c r="Q117">
        <f t="shared" si="5"/>
        <v>0</v>
      </c>
      <c r="R117">
        <f t="shared" si="6"/>
        <v>491</v>
      </c>
      <c r="S117" s="28">
        <f t="shared" si="7"/>
        <v>0</v>
      </c>
      <c r="T117" t="str">
        <f t="shared" si="8"/>
        <v xml:space="preserve"> -&gt; </v>
      </c>
    </row>
    <row r="118" spans="1:20" x14ac:dyDescent="0.3">
      <c r="A118" s="31"/>
      <c r="B118" s="32"/>
      <c r="C118" s="31" t="s">
        <v>120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10"/>
        <v/>
      </c>
      <c r="P118">
        <f>'Combined Delivery Data'!B116</f>
        <v>0</v>
      </c>
      <c r="Q118">
        <f t="shared" si="5"/>
        <v>0</v>
      </c>
      <c r="R118">
        <f t="shared" si="6"/>
        <v>491</v>
      </c>
      <c r="S118" s="28">
        <f t="shared" si="7"/>
        <v>0</v>
      </c>
      <c r="T118" t="str">
        <f t="shared" si="8"/>
        <v xml:space="preserve"> -&gt; </v>
      </c>
    </row>
    <row r="119" spans="1:20" x14ac:dyDescent="0.3">
      <c r="A119" s="31"/>
      <c r="B119" s="32"/>
      <c r="C119" s="31" t="s">
        <v>120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10"/>
        <v/>
      </c>
      <c r="P119">
        <f>'Combined Delivery Data'!B117</f>
        <v>0</v>
      </c>
      <c r="Q119">
        <f t="shared" si="5"/>
        <v>0</v>
      </c>
      <c r="R119">
        <f t="shared" si="6"/>
        <v>491</v>
      </c>
      <c r="S119" s="28">
        <f t="shared" si="7"/>
        <v>0</v>
      </c>
      <c r="T119" t="str">
        <f t="shared" si="8"/>
        <v xml:space="preserve"> -&gt; </v>
      </c>
    </row>
    <row r="120" spans="1:20" x14ac:dyDescent="0.3">
      <c r="A120" s="31"/>
      <c r="B120" s="32"/>
      <c r="C120" s="31" t="s">
        <v>120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10"/>
        <v/>
      </c>
      <c r="P120">
        <f>'Combined Delivery Data'!B118</f>
        <v>0</v>
      </c>
      <c r="Q120">
        <f t="shared" si="5"/>
        <v>0</v>
      </c>
      <c r="R120">
        <f t="shared" si="6"/>
        <v>491</v>
      </c>
      <c r="S120" s="28">
        <f t="shared" si="7"/>
        <v>0</v>
      </c>
      <c r="T120" t="str">
        <f t="shared" si="8"/>
        <v xml:space="preserve"> -&gt; </v>
      </c>
    </row>
    <row r="121" spans="1:20" x14ac:dyDescent="0.3">
      <c r="A121" s="31"/>
      <c r="B121" s="32"/>
      <c r="C121" s="31" t="s">
        <v>120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10"/>
        <v/>
      </c>
      <c r="P121">
        <f>'Combined Delivery Data'!B119</f>
        <v>0</v>
      </c>
      <c r="Q121">
        <f t="shared" si="5"/>
        <v>0</v>
      </c>
      <c r="R121">
        <f t="shared" si="6"/>
        <v>491</v>
      </c>
      <c r="S121" s="28">
        <f t="shared" si="7"/>
        <v>0</v>
      </c>
      <c r="T121" t="str">
        <f t="shared" si="8"/>
        <v xml:space="preserve"> -&gt; </v>
      </c>
    </row>
    <row r="122" spans="1:20" x14ac:dyDescent="0.3">
      <c r="A122" s="31"/>
      <c r="B122" s="32"/>
      <c r="C122" s="31" t="s">
        <v>120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10"/>
        <v/>
      </c>
      <c r="P122">
        <f>'Combined Delivery Data'!B120</f>
        <v>0</v>
      </c>
      <c r="Q122">
        <f t="shared" si="5"/>
        <v>0</v>
      </c>
      <c r="R122">
        <f t="shared" si="6"/>
        <v>491</v>
      </c>
      <c r="S122" s="28">
        <f t="shared" si="7"/>
        <v>0</v>
      </c>
      <c r="T122" t="str">
        <f t="shared" si="8"/>
        <v xml:space="preserve"> -&gt; </v>
      </c>
    </row>
    <row r="123" spans="1:20" x14ac:dyDescent="0.3">
      <c r="A123" s="31"/>
      <c r="B123" s="32"/>
      <c r="C123" s="31" t="s">
        <v>120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10"/>
        <v/>
      </c>
      <c r="P123">
        <f>'Combined Delivery Data'!B121</f>
        <v>0</v>
      </c>
      <c r="Q123">
        <f t="shared" si="5"/>
        <v>0</v>
      </c>
      <c r="R123">
        <f t="shared" si="6"/>
        <v>491</v>
      </c>
      <c r="S123" s="28">
        <f t="shared" si="7"/>
        <v>0</v>
      </c>
      <c r="T123" t="str">
        <f t="shared" si="8"/>
        <v xml:space="preserve"> -&gt; </v>
      </c>
    </row>
    <row r="124" spans="1:20" x14ac:dyDescent="0.3">
      <c r="A124" s="31"/>
      <c r="B124" s="32"/>
      <c r="C124" s="31" t="s">
        <v>120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10"/>
        <v/>
      </c>
      <c r="P124">
        <f>'Combined Delivery Data'!B122</f>
        <v>0</v>
      </c>
      <c r="Q124">
        <f t="shared" si="5"/>
        <v>0</v>
      </c>
      <c r="R124">
        <f t="shared" si="6"/>
        <v>491</v>
      </c>
      <c r="S124" s="28">
        <f t="shared" si="7"/>
        <v>0</v>
      </c>
      <c r="T124" t="str">
        <f t="shared" si="8"/>
        <v xml:space="preserve"> -&gt; </v>
      </c>
    </row>
    <row r="125" spans="1:20" x14ac:dyDescent="0.3">
      <c r="A125" s="31"/>
      <c r="B125" s="32"/>
      <c r="C125" s="31" t="s">
        <v>120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10"/>
        <v/>
      </c>
      <c r="P125">
        <f>'Combined Delivery Data'!B123</f>
        <v>0</v>
      </c>
      <c r="Q125">
        <f t="shared" si="5"/>
        <v>0</v>
      </c>
      <c r="R125">
        <f t="shared" si="6"/>
        <v>491</v>
      </c>
      <c r="S125" s="28">
        <f t="shared" si="7"/>
        <v>0</v>
      </c>
      <c r="T125" t="str">
        <f t="shared" si="8"/>
        <v xml:space="preserve"> -&gt; </v>
      </c>
    </row>
    <row r="126" spans="1:20" x14ac:dyDescent="0.3">
      <c r="A126" s="31"/>
      <c r="B126" s="32"/>
      <c r="C126" s="31" t="s">
        <v>120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10"/>
        <v/>
      </c>
      <c r="P126">
        <f>'Combined Delivery Data'!B124</f>
        <v>0</v>
      </c>
      <c r="Q126">
        <f t="shared" si="5"/>
        <v>0</v>
      </c>
      <c r="R126">
        <f t="shared" si="6"/>
        <v>491</v>
      </c>
      <c r="S126" s="28">
        <f t="shared" si="7"/>
        <v>0</v>
      </c>
      <c r="T126" t="str">
        <f t="shared" si="8"/>
        <v xml:space="preserve"> -&gt; </v>
      </c>
    </row>
    <row r="127" spans="1:20" x14ac:dyDescent="0.3">
      <c r="A127" s="31"/>
      <c r="B127" s="32"/>
      <c r="C127" s="31" t="s">
        <v>120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10"/>
        <v/>
      </c>
      <c r="P127">
        <f>'Combined Delivery Data'!B125</f>
        <v>0</v>
      </c>
      <c r="Q127">
        <f t="shared" si="5"/>
        <v>0</v>
      </c>
      <c r="R127">
        <f t="shared" si="6"/>
        <v>491</v>
      </c>
      <c r="S127" s="28">
        <f t="shared" si="7"/>
        <v>0</v>
      </c>
      <c r="T127" t="str">
        <f t="shared" si="8"/>
        <v xml:space="preserve"> -&gt; </v>
      </c>
    </row>
    <row r="128" spans="1:20" x14ac:dyDescent="0.3">
      <c r="A128" s="31"/>
      <c r="B128" s="32"/>
      <c r="C128" s="31" t="s">
        <v>120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10"/>
        <v/>
      </c>
      <c r="P128">
        <f>'Combined Delivery Data'!B126</f>
        <v>0</v>
      </c>
      <c r="Q128">
        <f t="shared" si="5"/>
        <v>0</v>
      </c>
      <c r="R128">
        <f t="shared" si="6"/>
        <v>491</v>
      </c>
      <c r="S128" s="28">
        <f t="shared" si="7"/>
        <v>0</v>
      </c>
      <c r="T128" t="str">
        <f t="shared" si="8"/>
        <v xml:space="preserve"> -&gt; </v>
      </c>
    </row>
    <row r="129" spans="1:20" x14ac:dyDescent="0.3">
      <c r="A129" s="31"/>
      <c r="B129" s="32"/>
      <c r="C129" s="31" t="s">
        <v>120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10"/>
        <v/>
      </c>
      <c r="P129">
        <f>'Combined Delivery Data'!B127</f>
        <v>0</v>
      </c>
      <c r="Q129">
        <f t="shared" si="5"/>
        <v>0</v>
      </c>
      <c r="R129">
        <f t="shared" si="6"/>
        <v>491</v>
      </c>
      <c r="S129" s="28">
        <f t="shared" si="7"/>
        <v>0</v>
      </c>
      <c r="T129" t="str">
        <f t="shared" si="8"/>
        <v xml:space="preserve"> -&gt; </v>
      </c>
    </row>
    <row r="130" spans="1:20" x14ac:dyDescent="0.3">
      <c r="A130" s="31"/>
      <c r="B130" s="32"/>
      <c r="C130" s="31" t="s">
        <v>120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10"/>
        <v/>
      </c>
      <c r="P130">
        <f>'Combined Delivery Data'!B128</f>
        <v>0</v>
      </c>
      <c r="Q130">
        <f t="shared" si="5"/>
        <v>0</v>
      </c>
      <c r="R130">
        <f t="shared" si="6"/>
        <v>491</v>
      </c>
      <c r="S130" s="28">
        <f t="shared" si="7"/>
        <v>0</v>
      </c>
      <c r="T130" t="str">
        <f t="shared" si="8"/>
        <v xml:space="preserve"> -&gt; </v>
      </c>
    </row>
    <row r="131" spans="1:20" x14ac:dyDescent="0.3">
      <c r="A131" s="31"/>
      <c r="B131" s="32"/>
      <c r="C131" s="31" t="s">
        <v>120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11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 t="shared" ref="Q131:Q194" si="12">IF($P131="","",COUNTIF($A$3:$A$500,$P131))</f>
        <v>0</v>
      </c>
      <c r="R131">
        <f t="shared" ref="R131:R194" si="13">IF($P131="","",SUMPRODUCT(($A$3:$A$500=$P131)*($G$3:$G$500&lt;&gt;"Yes")*($G$3:$G$500&lt;&gt;"Did not pass re-test")))</f>
        <v>491</v>
      </c>
      <c r="S131" s="28">
        <f t="shared" ref="S131:S194" si="14">IF($P131="","",IF(SUMPRODUCT(MAX(($A$3:$A$500=$P131)*ROW($A$3:$A$500)))=0,"",INDEX($B:$B,SUMPRODUCT(MAX(($A$3:$A$500=$P131)*ROW($A$3:$A$500))))))</f>
        <v>0</v>
      </c>
      <c r="T131" t="str">
        <f t="shared" ref="T131:T194" si="15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 x14ac:dyDescent="0.3">
      <c r="A132" s="31"/>
      <c r="B132" s="32"/>
      <c r="C132" s="31" t="s">
        <v>120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11"/>
        <v/>
      </c>
      <c r="P132">
        <f>'Combined Delivery Data'!B130</f>
        <v>0</v>
      </c>
      <c r="Q132">
        <f t="shared" si="12"/>
        <v>0</v>
      </c>
      <c r="R132">
        <f t="shared" si="13"/>
        <v>491</v>
      </c>
      <c r="S132" s="28">
        <f t="shared" si="14"/>
        <v>0</v>
      </c>
      <c r="T132" t="str">
        <f t="shared" si="15"/>
        <v xml:space="preserve"> -&gt; </v>
      </c>
    </row>
    <row r="133" spans="1:20" x14ac:dyDescent="0.3">
      <c r="A133" s="31"/>
      <c r="B133" s="32"/>
      <c r="C133" s="31" t="s">
        <v>120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11"/>
        <v/>
      </c>
      <c r="P133">
        <f>'Combined Delivery Data'!B131</f>
        <v>0</v>
      </c>
      <c r="Q133">
        <f t="shared" si="12"/>
        <v>0</v>
      </c>
      <c r="R133">
        <f t="shared" si="13"/>
        <v>491</v>
      </c>
      <c r="S133" s="28">
        <f t="shared" si="14"/>
        <v>0</v>
      </c>
      <c r="T133" t="str">
        <f t="shared" si="15"/>
        <v xml:space="preserve"> -&gt; </v>
      </c>
    </row>
    <row r="134" spans="1:20" x14ac:dyDescent="0.3">
      <c r="A134" s="31"/>
      <c r="B134" s="32"/>
      <c r="C134" s="31" t="s">
        <v>120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11"/>
        <v/>
      </c>
      <c r="P134">
        <f>'Combined Delivery Data'!B132</f>
        <v>0</v>
      </c>
      <c r="Q134">
        <f t="shared" si="12"/>
        <v>0</v>
      </c>
      <c r="R134">
        <f t="shared" si="13"/>
        <v>491</v>
      </c>
      <c r="S134" s="28">
        <f t="shared" si="14"/>
        <v>0</v>
      </c>
      <c r="T134" t="str">
        <f t="shared" si="15"/>
        <v xml:space="preserve"> -&gt; </v>
      </c>
    </row>
    <row r="135" spans="1:20" x14ac:dyDescent="0.3">
      <c r="A135" s="31"/>
      <c r="B135" s="32"/>
      <c r="C135" s="31" t="s">
        <v>120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11"/>
        <v/>
      </c>
      <c r="P135">
        <f>'Combined Delivery Data'!B133</f>
        <v>0</v>
      </c>
      <c r="Q135">
        <f t="shared" si="12"/>
        <v>0</v>
      </c>
      <c r="R135">
        <f t="shared" si="13"/>
        <v>491</v>
      </c>
      <c r="S135" s="28">
        <f t="shared" si="14"/>
        <v>0</v>
      </c>
      <c r="T135" t="str">
        <f t="shared" si="15"/>
        <v xml:space="preserve"> -&gt; </v>
      </c>
    </row>
    <row r="136" spans="1:20" x14ac:dyDescent="0.3">
      <c r="A136" s="31"/>
      <c r="B136" s="32"/>
      <c r="C136" s="31" t="s">
        <v>120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11"/>
        <v/>
      </c>
      <c r="P136">
        <f>'Combined Delivery Data'!B134</f>
        <v>0</v>
      </c>
      <c r="Q136">
        <f t="shared" si="12"/>
        <v>0</v>
      </c>
      <c r="R136">
        <f t="shared" si="13"/>
        <v>491</v>
      </c>
      <c r="S136" s="28">
        <f t="shared" si="14"/>
        <v>0</v>
      </c>
      <c r="T136" t="str">
        <f t="shared" si="15"/>
        <v xml:space="preserve"> -&gt; </v>
      </c>
    </row>
    <row r="137" spans="1:20" x14ac:dyDescent="0.3">
      <c r="A137" s="31"/>
      <c r="B137" s="32"/>
      <c r="C137" s="31" t="s">
        <v>120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11"/>
        <v/>
      </c>
      <c r="P137">
        <f>'Combined Delivery Data'!B135</f>
        <v>0</v>
      </c>
      <c r="Q137">
        <f t="shared" si="12"/>
        <v>0</v>
      </c>
      <c r="R137">
        <f t="shared" si="13"/>
        <v>491</v>
      </c>
      <c r="S137" s="28">
        <f t="shared" si="14"/>
        <v>0</v>
      </c>
      <c r="T137" t="str">
        <f t="shared" si="15"/>
        <v xml:space="preserve"> -&gt; </v>
      </c>
    </row>
    <row r="138" spans="1:20" x14ac:dyDescent="0.3">
      <c r="A138" s="31"/>
      <c r="B138" s="32"/>
      <c r="C138" s="31" t="s">
        <v>120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11"/>
        <v/>
      </c>
      <c r="P138">
        <f>'Combined Delivery Data'!B136</f>
        <v>0</v>
      </c>
      <c r="Q138">
        <f t="shared" si="12"/>
        <v>0</v>
      </c>
      <c r="R138">
        <f t="shared" si="13"/>
        <v>491</v>
      </c>
      <c r="S138" s="28">
        <f t="shared" si="14"/>
        <v>0</v>
      </c>
      <c r="T138" t="str">
        <f t="shared" si="15"/>
        <v xml:space="preserve"> -&gt; </v>
      </c>
    </row>
    <row r="139" spans="1:20" x14ac:dyDescent="0.3">
      <c r="A139" s="31"/>
      <c r="B139" s="32"/>
      <c r="C139" s="31" t="s">
        <v>120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11"/>
        <v/>
      </c>
      <c r="P139">
        <f>'Combined Delivery Data'!B137</f>
        <v>0</v>
      </c>
      <c r="Q139">
        <f t="shared" si="12"/>
        <v>0</v>
      </c>
      <c r="R139">
        <f t="shared" si="13"/>
        <v>491</v>
      </c>
      <c r="S139" s="28">
        <f t="shared" si="14"/>
        <v>0</v>
      </c>
      <c r="T139" t="str">
        <f t="shared" si="15"/>
        <v xml:space="preserve"> -&gt; </v>
      </c>
    </row>
    <row r="140" spans="1:20" x14ac:dyDescent="0.3">
      <c r="A140" s="31"/>
      <c r="B140" s="32"/>
      <c r="C140" s="31" t="s">
        <v>120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11"/>
        <v/>
      </c>
      <c r="P140">
        <f>'Combined Delivery Data'!B138</f>
        <v>0</v>
      </c>
      <c r="Q140">
        <f t="shared" si="12"/>
        <v>0</v>
      </c>
      <c r="R140">
        <f t="shared" si="13"/>
        <v>491</v>
      </c>
      <c r="S140" s="28">
        <f t="shared" si="14"/>
        <v>0</v>
      </c>
      <c r="T140" t="str">
        <f t="shared" si="15"/>
        <v xml:space="preserve"> -&gt; </v>
      </c>
    </row>
    <row r="141" spans="1:20" x14ac:dyDescent="0.3">
      <c r="A141" s="31"/>
      <c r="B141" s="32"/>
      <c r="C141" s="31" t="s">
        <v>120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11"/>
        <v/>
      </c>
      <c r="P141">
        <f>'Combined Delivery Data'!B139</f>
        <v>0</v>
      </c>
      <c r="Q141">
        <f t="shared" si="12"/>
        <v>0</v>
      </c>
      <c r="R141">
        <f t="shared" si="13"/>
        <v>491</v>
      </c>
      <c r="S141" s="28">
        <f t="shared" si="14"/>
        <v>0</v>
      </c>
      <c r="T141" t="str">
        <f t="shared" si="15"/>
        <v xml:space="preserve"> -&gt; </v>
      </c>
    </row>
    <row r="142" spans="1:20" x14ac:dyDescent="0.3">
      <c r="A142" s="31"/>
      <c r="B142" s="32"/>
      <c r="C142" s="31" t="s">
        <v>120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11"/>
        <v/>
      </c>
      <c r="P142">
        <f>'Combined Delivery Data'!B140</f>
        <v>0</v>
      </c>
      <c r="Q142">
        <f t="shared" si="12"/>
        <v>0</v>
      </c>
      <c r="R142">
        <f t="shared" si="13"/>
        <v>491</v>
      </c>
      <c r="S142" s="28">
        <f t="shared" si="14"/>
        <v>0</v>
      </c>
      <c r="T142" t="str">
        <f t="shared" si="15"/>
        <v xml:space="preserve"> -&gt; </v>
      </c>
    </row>
    <row r="143" spans="1:20" x14ac:dyDescent="0.3">
      <c r="A143" s="31"/>
      <c r="B143" s="32"/>
      <c r="C143" s="31" t="s">
        <v>120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11"/>
        <v/>
      </c>
      <c r="P143">
        <f>'Combined Delivery Data'!B141</f>
        <v>0</v>
      </c>
      <c r="Q143">
        <f t="shared" si="12"/>
        <v>0</v>
      </c>
      <c r="R143">
        <f t="shared" si="13"/>
        <v>491</v>
      </c>
      <c r="S143" s="28">
        <f t="shared" si="14"/>
        <v>0</v>
      </c>
      <c r="T143" t="str">
        <f t="shared" si="15"/>
        <v xml:space="preserve"> -&gt; </v>
      </c>
    </row>
    <row r="144" spans="1:20" x14ac:dyDescent="0.3">
      <c r="A144" s="31"/>
      <c r="B144" s="32"/>
      <c r="C144" s="31" t="s">
        <v>120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11"/>
        <v/>
      </c>
      <c r="P144">
        <f>'Combined Delivery Data'!B142</f>
        <v>0</v>
      </c>
      <c r="Q144">
        <f t="shared" si="12"/>
        <v>0</v>
      </c>
      <c r="R144">
        <f t="shared" si="13"/>
        <v>491</v>
      </c>
      <c r="S144" s="28">
        <f t="shared" si="14"/>
        <v>0</v>
      </c>
      <c r="T144" t="str">
        <f t="shared" si="15"/>
        <v xml:space="preserve"> -&gt; </v>
      </c>
    </row>
    <row r="145" spans="1:20" x14ac:dyDescent="0.3">
      <c r="A145" s="31"/>
      <c r="B145" s="32"/>
      <c r="C145" s="31" t="s">
        <v>120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11"/>
        <v/>
      </c>
      <c r="P145">
        <f>'Combined Delivery Data'!B143</f>
        <v>0</v>
      </c>
      <c r="Q145">
        <f t="shared" si="12"/>
        <v>0</v>
      </c>
      <c r="R145">
        <f t="shared" si="13"/>
        <v>491</v>
      </c>
      <c r="S145" s="28">
        <f t="shared" si="14"/>
        <v>0</v>
      </c>
      <c r="T145" t="str">
        <f t="shared" si="15"/>
        <v xml:space="preserve"> -&gt; </v>
      </c>
    </row>
    <row r="146" spans="1:20" x14ac:dyDescent="0.3">
      <c r="A146" s="31"/>
      <c r="B146" s="32"/>
      <c r="C146" s="31" t="s">
        <v>120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11"/>
        <v/>
      </c>
      <c r="P146">
        <f>'Combined Delivery Data'!B144</f>
        <v>0</v>
      </c>
      <c r="Q146">
        <f t="shared" si="12"/>
        <v>0</v>
      </c>
      <c r="R146">
        <f t="shared" si="13"/>
        <v>491</v>
      </c>
      <c r="S146" s="28">
        <f t="shared" si="14"/>
        <v>0</v>
      </c>
      <c r="T146" t="str">
        <f t="shared" si="15"/>
        <v xml:space="preserve"> -&gt; </v>
      </c>
    </row>
    <row r="147" spans="1:20" x14ac:dyDescent="0.3">
      <c r="A147" s="31"/>
      <c r="B147" s="32"/>
      <c r="C147" s="31" t="s">
        <v>120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11"/>
        <v/>
      </c>
      <c r="P147">
        <f>'Combined Delivery Data'!B145</f>
        <v>0</v>
      </c>
      <c r="Q147">
        <f t="shared" si="12"/>
        <v>0</v>
      </c>
      <c r="R147">
        <f t="shared" si="13"/>
        <v>491</v>
      </c>
      <c r="S147" s="28">
        <f t="shared" si="14"/>
        <v>0</v>
      </c>
      <c r="T147" t="str">
        <f t="shared" si="15"/>
        <v xml:space="preserve"> -&gt; </v>
      </c>
    </row>
    <row r="148" spans="1:20" x14ac:dyDescent="0.3">
      <c r="A148" s="31"/>
      <c r="B148" s="32"/>
      <c r="C148" s="31" t="s">
        <v>120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11"/>
        <v/>
      </c>
      <c r="P148">
        <f>'Combined Delivery Data'!B146</f>
        <v>0</v>
      </c>
      <c r="Q148">
        <f t="shared" si="12"/>
        <v>0</v>
      </c>
      <c r="R148">
        <f t="shared" si="13"/>
        <v>491</v>
      </c>
      <c r="S148" s="28">
        <f t="shared" si="14"/>
        <v>0</v>
      </c>
      <c r="T148" t="str">
        <f t="shared" si="15"/>
        <v xml:space="preserve"> -&gt; </v>
      </c>
    </row>
    <row r="149" spans="1:20" x14ac:dyDescent="0.3">
      <c r="A149" s="31"/>
      <c r="B149" s="32"/>
      <c r="C149" s="31" t="s">
        <v>120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11"/>
        <v/>
      </c>
      <c r="P149">
        <f>'Combined Delivery Data'!B147</f>
        <v>0</v>
      </c>
      <c r="Q149">
        <f t="shared" si="12"/>
        <v>0</v>
      </c>
      <c r="R149">
        <f t="shared" si="13"/>
        <v>491</v>
      </c>
      <c r="S149" s="28">
        <f t="shared" si="14"/>
        <v>0</v>
      </c>
      <c r="T149" t="str">
        <f t="shared" si="15"/>
        <v xml:space="preserve"> -&gt; </v>
      </c>
    </row>
    <row r="150" spans="1:20" x14ac:dyDescent="0.3">
      <c r="A150" s="31"/>
      <c r="B150" s="32"/>
      <c r="C150" s="31" t="s">
        <v>120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11"/>
        <v/>
      </c>
      <c r="P150">
        <f>'Combined Delivery Data'!B148</f>
        <v>0</v>
      </c>
      <c r="Q150">
        <f t="shared" si="12"/>
        <v>0</v>
      </c>
      <c r="R150">
        <f t="shared" si="13"/>
        <v>491</v>
      </c>
      <c r="S150" s="28">
        <f t="shared" si="14"/>
        <v>0</v>
      </c>
      <c r="T150" t="str">
        <f t="shared" si="15"/>
        <v xml:space="preserve"> -&gt; </v>
      </c>
    </row>
    <row r="151" spans="1:20" x14ac:dyDescent="0.3">
      <c r="A151" s="31"/>
      <c r="B151" s="32"/>
      <c r="C151" s="31" t="s">
        <v>120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11"/>
        <v/>
      </c>
      <c r="P151">
        <f>'Combined Delivery Data'!B149</f>
        <v>0</v>
      </c>
      <c r="Q151">
        <f t="shared" si="12"/>
        <v>0</v>
      </c>
      <c r="R151">
        <f t="shared" si="13"/>
        <v>491</v>
      </c>
      <c r="S151" s="28">
        <f t="shared" si="14"/>
        <v>0</v>
      </c>
      <c r="T151" t="str">
        <f t="shared" si="15"/>
        <v xml:space="preserve"> -&gt; </v>
      </c>
    </row>
    <row r="152" spans="1:20" x14ac:dyDescent="0.3">
      <c r="A152" s="31"/>
      <c r="B152" s="32"/>
      <c r="C152" s="31" t="s">
        <v>120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11"/>
        <v/>
      </c>
      <c r="P152">
        <f>'Combined Delivery Data'!B150</f>
        <v>0</v>
      </c>
      <c r="Q152">
        <f t="shared" si="12"/>
        <v>0</v>
      </c>
      <c r="R152">
        <f t="shared" si="13"/>
        <v>491</v>
      </c>
      <c r="S152" s="28">
        <f t="shared" si="14"/>
        <v>0</v>
      </c>
      <c r="T152" t="str">
        <f t="shared" si="15"/>
        <v xml:space="preserve"> -&gt; </v>
      </c>
    </row>
    <row r="153" spans="1:20" x14ac:dyDescent="0.3">
      <c r="A153" s="31"/>
      <c r="B153" s="32"/>
      <c r="C153" s="31" t="s">
        <v>120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11"/>
        <v/>
      </c>
      <c r="P153">
        <f>'Combined Delivery Data'!B151</f>
        <v>0</v>
      </c>
      <c r="Q153">
        <f t="shared" si="12"/>
        <v>0</v>
      </c>
      <c r="R153">
        <f t="shared" si="13"/>
        <v>491</v>
      </c>
      <c r="S153" s="28">
        <f t="shared" si="14"/>
        <v>0</v>
      </c>
      <c r="T153" t="str">
        <f t="shared" si="15"/>
        <v xml:space="preserve"> -&gt; </v>
      </c>
    </row>
    <row r="154" spans="1:20" x14ac:dyDescent="0.3">
      <c r="A154" s="31"/>
      <c r="B154" s="32"/>
      <c r="C154" s="31" t="s">
        <v>120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11"/>
        <v/>
      </c>
      <c r="P154">
        <f>'Combined Delivery Data'!B152</f>
        <v>0</v>
      </c>
      <c r="Q154">
        <f t="shared" si="12"/>
        <v>0</v>
      </c>
      <c r="R154">
        <f t="shared" si="13"/>
        <v>491</v>
      </c>
      <c r="S154" s="28">
        <f t="shared" si="14"/>
        <v>0</v>
      </c>
      <c r="T154" t="str">
        <f t="shared" si="15"/>
        <v xml:space="preserve"> -&gt; </v>
      </c>
    </row>
    <row r="155" spans="1:20" x14ac:dyDescent="0.3">
      <c r="A155" s="31"/>
      <c r="B155" s="32"/>
      <c r="C155" s="31" t="s">
        <v>120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11"/>
        <v/>
      </c>
      <c r="P155">
        <f>'Combined Delivery Data'!B153</f>
        <v>0</v>
      </c>
      <c r="Q155">
        <f t="shared" si="12"/>
        <v>0</v>
      </c>
      <c r="R155">
        <f t="shared" si="13"/>
        <v>491</v>
      </c>
      <c r="S155" s="28">
        <f t="shared" si="14"/>
        <v>0</v>
      </c>
      <c r="T155" t="str">
        <f t="shared" si="15"/>
        <v xml:space="preserve"> -&gt; </v>
      </c>
    </row>
    <row r="156" spans="1:20" x14ac:dyDescent="0.3">
      <c r="A156" s="31"/>
      <c r="B156" s="32"/>
      <c r="C156" s="31" t="s">
        <v>120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11"/>
        <v/>
      </c>
      <c r="P156">
        <f>'Combined Delivery Data'!B154</f>
        <v>0</v>
      </c>
      <c r="Q156">
        <f t="shared" si="12"/>
        <v>0</v>
      </c>
      <c r="R156">
        <f t="shared" si="13"/>
        <v>491</v>
      </c>
      <c r="S156" s="28">
        <f t="shared" si="14"/>
        <v>0</v>
      </c>
      <c r="T156" t="str">
        <f t="shared" si="15"/>
        <v xml:space="preserve"> -&gt; </v>
      </c>
    </row>
    <row r="157" spans="1:20" x14ac:dyDescent="0.3">
      <c r="A157" s="31"/>
      <c r="B157" s="32"/>
      <c r="C157" s="31" t="s">
        <v>120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11"/>
        <v/>
      </c>
      <c r="P157">
        <f>'Combined Delivery Data'!B155</f>
        <v>0</v>
      </c>
      <c r="Q157">
        <f t="shared" si="12"/>
        <v>0</v>
      </c>
      <c r="R157">
        <f t="shared" si="13"/>
        <v>491</v>
      </c>
      <c r="S157" s="28">
        <f t="shared" si="14"/>
        <v>0</v>
      </c>
      <c r="T157" t="str">
        <f t="shared" si="15"/>
        <v xml:space="preserve"> -&gt; </v>
      </c>
    </row>
    <row r="158" spans="1:20" x14ac:dyDescent="0.3">
      <c r="A158" s="31"/>
      <c r="B158" s="32"/>
      <c r="C158" s="31" t="s">
        <v>120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11"/>
        <v/>
      </c>
      <c r="P158">
        <f>'Combined Delivery Data'!B156</f>
        <v>0</v>
      </c>
      <c r="Q158">
        <f t="shared" si="12"/>
        <v>0</v>
      </c>
      <c r="R158">
        <f t="shared" si="13"/>
        <v>491</v>
      </c>
      <c r="S158" s="28">
        <f t="shared" si="14"/>
        <v>0</v>
      </c>
      <c r="T158" t="str">
        <f t="shared" si="15"/>
        <v xml:space="preserve"> -&gt; </v>
      </c>
    </row>
    <row r="159" spans="1:20" x14ac:dyDescent="0.3">
      <c r="A159" s="31"/>
      <c r="B159" s="32"/>
      <c r="C159" s="31" t="s">
        <v>120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11"/>
        <v/>
      </c>
      <c r="P159">
        <f>'Combined Delivery Data'!B157</f>
        <v>0</v>
      </c>
      <c r="Q159">
        <f t="shared" si="12"/>
        <v>0</v>
      </c>
      <c r="R159">
        <f t="shared" si="13"/>
        <v>491</v>
      </c>
      <c r="S159" s="28">
        <f t="shared" si="14"/>
        <v>0</v>
      </c>
      <c r="T159" t="str">
        <f t="shared" si="15"/>
        <v xml:space="preserve"> -&gt; </v>
      </c>
    </row>
    <row r="160" spans="1:20" x14ac:dyDescent="0.3">
      <c r="A160" s="31"/>
      <c r="B160" s="32"/>
      <c r="C160" s="31" t="s">
        <v>120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11"/>
        <v/>
      </c>
      <c r="P160">
        <f>'Combined Delivery Data'!B158</f>
        <v>0</v>
      </c>
      <c r="Q160">
        <f t="shared" si="12"/>
        <v>0</v>
      </c>
      <c r="R160">
        <f t="shared" si="13"/>
        <v>491</v>
      </c>
      <c r="S160" s="28">
        <f t="shared" si="14"/>
        <v>0</v>
      </c>
      <c r="T160" t="str">
        <f t="shared" si="15"/>
        <v xml:space="preserve"> -&gt; </v>
      </c>
    </row>
    <row r="161" spans="1:20" x14ac:dyDescent="0.3">
      <c r="A161" s="31"/>
      <c r="B161" s="32"/>
      <c r="C161" s="31" t="s">
        <v>120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11"/>
        <v/>
      </c>
      <c r="P161">
        <f>'Combined Delivery Data'!B159</f>
        <v>0</v>
      </c>
      <c r="Q161">
        <f t="shared" si="12"/>
        <v>0</v>
      </c>
      <c r="R161">
        <f t="shared" si="13"/>
        <v>491</v>
      </c>
      <c r="S161" s="28">
        <f t="shared" si="14"/>
        <v>0</v>
      </c>
      <c r="T161" t="str">
        <f t="shared" si="15"/>
        <v xml:space="preserve"> -&gt; </v>
      </c>
    </row>
    <row r="162" spans="1:20" x14ac:dyDescent="0.3">
      <c r="A162" s="31"/>
      <c r="B162" s="32"/>
      <c r="C162" s="31" t="s">
        <v>120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11"/>
        <v/>
      </c>
      <c r="P162">
        <f>'Combined Delivery Data'!B160</f>
        <v>0</v>
      </c>
      <c r="Q162">
        <f t="shared" si="12"/>
        <v>0</v>
      </c>
      <c r="R162">
        <f t="shared" si="13"/>
        <v>491</v>
      </c>
      <c r="S162" s="28">
        <f t="shared" si="14"/>
        <v>0</v>
      </c>
      <c r="T162" t="str">
        <f t="shared" si="15"/>
        <v xml:space="preserve"> -&gt; </v>
      </c>
    </row>
    <row r="163" spans="1:20" x14ac:dyDescent="0.3">
      <c r="A163" s="31"/>
      <c r="B163" s="32"/>
      <c r="C163" s="31" t="s">
        <v>120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11"/>
        <v/>
      </c>
      <c r="P163">
        <f>'Combined Delivery Data'!B161</f>
        <v>0</v>
      </c>
      <c r="Q163">
        <f t="shared" si="12"/>
        <v>0</v>
      </c>
      <c r="R163">
        <f t="shared" si="13"/>
        <v>491</v>
      </c>
      <c r="S163" s="28">
        <f t="shared" si="14"/>
        <v>0</v>
      </c>
      <c r="T163" t="str">
        <f t="shared" si="15"/>
        <v xml:space="preserve"> -&gt; </v>
      </c>
    </row>
    <row r="164" spans="1:20" x14ac:dyDescent="0.3">
      <c r="A164" s="31"/>
      <c r="B164" s="32"/>
      <c r="C164" s="31" t="s">
        <v>120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11"/>
        <v/>
      </c>
      <c r="P164">
        <f>'Combined Delivery Data'!B162</f>
        <v>0</v>
      </c>
      <c r="Q164">
        <f t="shared" si="12"/>
        <v>0</v>
      </c>
      <c r="R164">
        <f t="shared" si="13"/>
        <v>491</v>
      </c>
      <c r="S164" s="28">
        <f t="shared" si="14"/>
        <v>0</v>
      </c>
      <c r="T164" t="str">
        <f t="shared" si="15"/>
        <v xml:space="preserve"> -&gt; </v>
      </c>
    </row>
    <row r="165" spans="1:20" x14ac:dyDescent="0.3">
      <c r="A165" s="31"/>
      <c r="B165" s="32"/>
      <c r="C165" s="31" t="s">
        <v>120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11"/>
        <v/>
      </c>
      <c r="P165">
        <f>'Combined Delivery Data'!B163</f>
        <v>0</v>
      </c>
      <c r="Q165">
        <f t="shared" si="12"/>
        <v>0</v>
      </c>
      <c r="R165">
        <f t="shared" si="13"/>
        <v>491</v>
      </c>
      <c r="S165" s="28">
        <f t="shared" si="14"/>
        <v>0</v>
      </c>
      <c r="T165" t="str">
        <f t="shared" si="15"/>
        <v xml:space="preserve"> -&gt; </v>
      </c>
    </row>
    <row r="166" spans="1:20" x14ac:dyDescent="0.3">
      <c r="A166" s="31"/>
      <c r="B166" s="32"/>
      <c r="C166" s="31" t="s">
        <v>120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11"/>
        <v/>
      </c>
      <c r="P166">
        <f>'Combined Delivery Data'!B164</f>
        <v>0</v>
      </c>
      <c r="Q166">
        <f t="shared" si="12"/>
        <v>0</v>
      </c>
      <c r="R166">
        <f t="shared" si="13"/>
        <v>491</v>
      </c>
      <c r="S166" s="28">
        <f t="shared" si="14"/>
        <v>0</v>
      </c>
      <c r="T166" t="str">
        <f t="shared" si="15"/>
        <v xml:space="preserve"> -&gt; </v>
      </c>
    </row>
    <row r="167" spans="1:20" x14ac:dyDescent="0.3">
      <c r="A167" s="31"/>
      <c r="B167" s="32"/>
      <c r="C167" s="31" t="s">
        <v>120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11"/>
        <v/>
      </c>
      <c r="P167">
        <f>'Combined Delivery Data'!B165</f>
        <v>0</v>
      </c>
      <c r="Q167">
        <f t="shared" si="12"/>
        <v>0</v>
      </c>
      <c r="R167">
        <f t="shared" si="13"/>
        <v>491</v>
      </c>
      <c r="S167" s="28">
        <f t="shared" si="14"/>
        <v>0</v>
      </c>
      <c r="T167" t="str">
        <f t="shared" si="15"/>
        <v xml:space="preserve"> -&gt; </v>
      </c>
    </row>
    <row r="168" spans="1:20" x14ac:dyDescent="0.3">
      <c r="A168" s="31"/>
      <c r="B168" s="32"/>
      <c r="C168" s="31" t="s">
        <v>120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11"/>
        <v/>
      </c>
      <c r="P168">
        <f>'Combined Delivery Data'!B166</f>
        <v>0</v>
      </c>
      <c r="Q168">
        <f t="shared" si="12"/>
        <v>0</v>
      </c>
      <c r="R168">
        <f t="shared" si="13"/>
        <v>491</v>
      </c>
      <c r="S168" s="28">
        <f t="shared" si="14"/>
        <v>0</v>
      </c>
      <c r="T168" t="str">
        <f t="shared" si="15"/>
        <v xml:space="preserve"> -&gt; </v>
      </c>
    </row>
    <row r="169" spans="1:20" x14ac:dyDescent="0.3">
      <c r="A169" s="31"/>
      <c r="B169" s="32"/>
      <c r="C169" s="31" t="s">
        <v>120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11"/>
        <v/>
      </c>
      <c r="P169">
        <f>'Combined Delivery Data'!B167</f>
        <v>0</v>
      </c>
      <c r="Q169">
        <f t="shared" si="12"/>
        <v>0</v>
      </c>
      <c r="R169">
        <f t="shared" si="13"/>
        <v>491</v>
      </c>
      <c r="S169" s="28">
        <f t="shared" si="14"/>
        <v>0</v>
      </c>
      <c r="T169" t="str">
        <f t="shared" si="15"/>
        <v xml:space="preserve"> -&gt; </v>
      </c>
    </row>
    <row r="170" spans="1:20" x14ac:dyDescent="0.3">
      <c r="A170" s="31"/>
      <c r="B170" s="32"/>
      <c r="C170" s="31" t="s">
        <v>120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11"/>
        <v/>
      </c>
      <c r="P170">
        <f>'Combined Delivery Data'!B168</f>
        <v>0</v>
      </c>
      <c r="Q170">
        <f t="shared" si="12"/>
        <v>0</v>
      </c>
      <c r="R170">
        <f t="shared" si="13"/>
        <v>491</v>
      </c>
      <c r="S170" s="28">
        <f t="shared" si="14"/>
        <v>0</v>
      </c>
      <c r="T170" t="str">
        <f t="shared" si="15"/>
        <v xml:space="preserve"> -&gt; </v>
      </c>
    </row>
    <row r="171" spans="1:20" x14ac:dyDescent="0.3">
      <c r="A171" s="31"/>
      <c r="B171" s="32"/>
      <c r="C171" s="31" t="s">
        <v>120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11"/>
        <v/>
      </c>
      <c r="P171">
        <f>'Combined Delivery Data'!B169</f>
        <v>0</v>
      </c>
      <c r="Q171">
        <f t="shared" si="12"/>
        <v>0</v>
      </c>
      <c r="R171">
        <f t="shared" si="13"/>
        <v>491</v>
      </c>
      <c r="S171" s="28">
        <f t="shared" si="14"/>
        <v>0</v>
      </c>
      <c r="T171" t="str">
        <f t="shared" si="15"/>
        <v xml:space="preserve"> -&gt; </v>
      </c>
    </row>
    <row r="172" spans="1:20" x14ac:dyDescent="0.3">
      <c r="A172" s="31"/>
      <c r="B172" s="32"/>
      <c r="C172" s="31" t="s">
        <v>120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11"/>
        <v/>
      </c>
      <c r="P172">
        <f>'Combined Delivery Data'!B170</f>
        <v>0</v>
      </c>
      <c r="Q172">
        <f t="shared" si="12"/>
        <v>0</v>
      </c>
      <c r="R172">
        <f t="shared" si="13"/>
        <v>491</v>
      </c>
      <c r="S172" s="28">
        <f t="shared" si="14"/>
        <v>0</v>
      </c>
      <c r="T172" t="str">
        <f t="shared" si="15"/>
        <v xml:space="preserve"> -&gt; </v>
      </c>
    </row>
    <row r="173" spans="1:20" x14ac:dyDescent="0.3">
      <c r="A173" s="31"/>
      <c r="B173" s="32"/>
      <c r="C173" s="31" t="s">
        <v>120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11"/>
        <v/>
      </c>
      <c r="P173">
        <f>'Combined Delivery Data'!B171</f>
        <v>0</v>
      </c>
      <c r="Q173">
        <f t="shared" si="12"/>
        <v>0</v>
      </c>
      <c r="R173">
        <f t="shared" si="13"/>
        <v>491</v>
      </c>
      <c r="S173" s="28">
        <f t="shared" si="14"/>
        <v>0</v>
      </c>
      <c r="T173" t="str">
        <f t="shared" si="15"/>
        <v xml:space="preserve"> -&gt; </v>
      </c>
    </row>
    <row r="174" spans="1:20" x14ac:dyDescent="0.3">
      <c r="A174" s="31"/>
      <c r="B174" s="32"/>
      <c r="C174" s="31" t="s">
        <v>120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11"/>
        <v/>
      </c>
      <c r="P174">
        <f>'Combined Delivery Data'!B172</f>
        <v>0</v>
      </c>
      <c r="Q174">
        <f t="shared" si="12"/>
        <v>0</v>
      </c>
      <c r="R174">
        <f t="shared" si="13"/>
        <v>491</v>
      </c>
      <c r="S174" s="28">
        <f t="shared" si="14"/>
        <v>0</v>
      </c>
      <c r="T174" t="str">
        <f t="shared" si="15"/>
        <v xml:space="preserve"> -&gt; </v>
      </c>
    </row>
    <row r="175" spans="1:20" x14ac:dyDescent="0.3">
      <c r="A175" s="31"/>
      <c r="B175" s="32"/>
      <c r="C175" s="31" t="s">
        <v>120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11"/>
        <v/>
      </c>
      <c r="P175">
        <f>'Combined Delivery Data'!B173</f>
        <v>0</v>
      </c>
      <c r="Q175">
        <f t="shared" si="12"/>
        <v>0</v>
      </c>
      <c r="R175">
        <f t="shared" si="13"/>
        <v>491</v>
      </c>
      <c r="S175" s="28">
        <f t="shared" si="14"/>
        <v>0</v>
      </c>
      <c r="T175" t="str">
        <f t="shared" si="15"/>
        <v xml:space="preserve"> -&gt; </v>
      </c>
    </row>
    <row r="176" spans="1:20" x14ac:dyDescent="0.3">
      <c r="A176" s="31"/>
      <c r="B176" s="32"/>
      <c r="C176" s="31" t="s">
        <v>120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11"/>
        <v/>
      </c>
      <c r="P176">
        <f>'Combined Delivery Data'!B174</f>
        <v>0</v>
      </c>
      <c r="Q176">
        <f t="shared" si="12"/>
        <v>0</v>
      </c>
      <c r="R176">
        <f t="shared" si="13"/>
        <v>491</v>
      </c>
      <c r="S176" s="28">
        <f t="shared" si="14"/>
        <v>0</v>
      </c>
      <c r="T176" t="str">
        <f t="shared" si="15"/>
        <v xml:space="preserve"> -&gt; </v>
      </c>
    </row>
    <row r="177" spans="1:20" x14ac:dyDescent="0.3">
      <c r="A177" s="31"/>
      <c r="B177" s="32"/>
      <c r="C177" s="31" t="s">
        <v>120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11"/>
        <v/>
      </c>
      <c r="P177">
        <f>'Combined Delivery Data'!B175</f>
        <v>0</v>
      </c>
      <c r="Q177">
        <f t="shared" si="12"/>
        <v>0</v>
      </c>
      <c r="R177">
        <f t="shared" si="13"/>
        <v>491</v>
      </c>
      <c r="S177" s="28">
        <f t="shared" si="14"/>
        <v>0</v>
      </c>
      <c r="T177" t="str">
        <f t="shared" si="15"/>
        <v xml:space="preserve"> -&gt; </v>
      </c>
    </row>
    <row r="178" spans="1:20" x14ac:dyDescent="0.3">
      <c r="A178" s="31"/>
      <c r="B178" s="32"/>
      <c r="C178" s="31" t="s">
        <v>120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11"/>
        <v/>
      </c>
      <c r="P178">
        <f>'Combined Delivery Data'!B176</f>
        <v>0</v>
      </c>
      <c r="Q178">
        <f t="shared" si="12"/>
        <v>0</v>
      </c>
      <c r="R178">
        <f t="shared" si="13"/>
        <v>491</v>
      </c>
      <c r="S178" s="28">
        <f t="shared" si="14"/>
        <v>0</v>
      </c>
      <c r="T178" t="str">
        <f t="shared" si="15"/>
        <v xml:space="preserve"> -&gt; </v>
      </c>
    </row>
    <row r="179" spans="1:20" x14ac:dyDescent="0.3">
      <c r="A179" s="31"/>
      <c r="B179" s="32"/>
      <c r="C179" s="31" t="s">
        <v>120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11"/>
        <v/>
      </c>
      <c r="P179">
        <f>'Combined Delivery Data'!B177</f>
        <v>0</v>
      </c>
      <c r="Q179">
        <f t="shared" si="12"/>
        <v>0</v>
      </c>
      <c r="R179">
        <f t="shared" si="13"/>
        <v>491</v>
      </c>
      <c r="S179" s="28">
        <f t="shared" si="14"/>
        <v>0</v>
      </c>
      <c r="T179" t="str">
        <f t="shared" si="15"/>
        <v xml:space="preserve"> -&gt; </v>
      </c>
    </row>
    <row r="180" spans="1:20" x14ac:dyDescent="0.3">
      <c r="A180" s="31"/>
      <c r="B180" s="32"/>
      <c r="C180" s="31" t="s">
        <v>120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11"/>
        <v/>
      </c>
      <c r="P180">
        <f>'Combined Delivery Data'!B178</f>
        <v>0</v>
      </c>
      <c r="Q180">
        <f t="shared" si="12"/>
        <v>0</v>
      </c>
      <c r="R180">
        <f t="shared" si="13"/>
        <v>491</v>
      </c>
      <c r="S180" s="28">
        <f t="shared" si="14"/>
        <v>0</v>
      </c>
      <c r="T180" t="str">
        <f t="shared" si="15"/>
        <v xml:space="preserve"> -&gt; </v>
      </c>
    </row>
    <row r="181" spans="1:20" x14ac:dyDescent="0.3">
      <c r="A181" s="31"/>
      <c r="B181" s="32"/>
      <c r="C181" s="31" t="s">
        <v>120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11"/>
        <v/>
      </c>
      <c r="P181">
        <f>'Combined Delivery Data'!B179</f>
        <v>0</v>
      </c>
      <c r="Q181">
        <f t="shared" si="12"/>
        <v>0</v>
      </c>
      <c r="R181">
        <f t="shared" si="13"/>
        <v>491</v>
      </c>
      <c r="S181" s="28">
        <f t="shared" si="14"/>
        <v>0</v>
      </c>
      <c r="T181" t="str">
        <f t="shared" si="15"/>
        <v xml:space="preserve"> -&gt; </v>
      </c>
    </row>
    <row r="182" spans="1:20" x14ac:dyDescent="0.3">
      <c r="A182" s="31"/>
      <c r="B182" s="32"/>
      <c r="C182" s="31" t="s">
        <v>120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11"/>
        <v/>
      </c>
      <c r="P182">
        <f>'Combined Delivery Data'!B180</f>
        <v>0</v>
      </c>
      <c r="Q182">
        <f t="shared" si="12"/>
        <v>0</v>
      </c>
      <c r="R182">
        <f t="shared" si="13"/>
        <v>491</v>
      </c>
      <c r="S182" s="28">
        <f t="shared" si="14"/>
        <v>0</v>
      </c>
      <c r="T182" t="str">
        <f t="shared" si="15"/>
        <v xml:space="preserve"> -&gt; </v>
      </c>
    </row>
    <row r="183" spans="1:20" x14ac:dyDescent="0.3">
      <c r="A183" s="31"/>
      <c r="B183" s="32"/>
      <c r="C183" s="31" t="s">
        <v>120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11"/>
        <v/>
      </c>
      <c r="P183">
        <f>'Combined Delivery Data'!B181</f>
        <v>0</v>
      </c>
      <c r="Q183">
        <f t="shared" si="12"/>
        <v>0</v>
      </c>
      <c r="R183">
        <f t="shared" si="13"/>
        <v>491</v>
      </c>
      <c r="S183" s="28">
        <f t="shared" si="14"/>
        <v>0</v>
      </c>
      <c r="T183" t="str">
        <f t="shared" si="15"/>
        <v xml:space="preserve"> -&gt; </v>
      </c>
    </row>
    <row r="184" spans="1:20" x14ac:dyDescent="0.3">
      <c r="A184" s="31"/>
      <c r="B184" s="32"/>
      <c r="C184" s="31" t="s">
        <v>120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11"/>
        <v/>
      </c>
      <c r="P184">
        <f>'Combined Delivery Data'!B182</f>
        <v>0</v>
      </c>
      <c r="Q184">
        <f t="shared" si="12"/>
        <v>0</v>
      </c>
      <c r="R184">
        <f t="shared" si="13"/>
        <v>491</v>
      </c>
      <c r="S184" s="28">
        <f t="shared" si="14"/>
        <v>0</v>
      </c>
      <c r="T184" t="str">
        <f t="shared" si="15"/>
        <v xml:space="preserve"> -&gt; </v>
      </c>
    </row>
    <row r="185" spans="1:20" x14ac:dyDescent="0.3">
      <c r="A185" s="31"/>
      <c r="B185" s="32"/>
      <c r="C185" s="31" t="s">
        <v>120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11"/>
        <v/>
      </c>
      <c r="P185">
        <f>'Combined Delivery Data'!B183</f>
        <v>0</v>
      </c>
      <c r="Q185">
        <f t="shared" si="12"/>
        <v>0</v>
      </c>
      <c r="R185">
        <f t="shared" si="13"/>
        <v>491</v>
      </c>
      <c r="S185" s="28">
        <f t="shared" si="14"/>
        <v>0</v>
      </c>
      <c r="T185" t="str">
        <f t="shared" si="15"/>
        <v xml:space="preserve"> -&gt; </v>
      </c>
    </row>
    <row r="186" spans="1:20" x14ac:dyDescent="0.3">
      <c r="A186" s="31"/>
      <c r="B186" s="32"/>
      <c r="C186" s="31" t="s">
        <v>120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11"/>
        <v/>
      </c>
      <c r="P186">
        <f>'Combined Delivery Data'!B184</f>
        <v>0</v>
      </c>
      <c r="Q186">
        <f t="shared" si="12"/>
        <v>0</v>
      </c>
      <c r="R186">
        <f t="shared" si="13"/>
        <v>491</v>
      </c>
      <c r="S186" s="28">
        <f t="shared" si="14"/>
        <v>0</v>
      </c>
      <c r="T186" t="str">
        <f t="shared" si="15"/>
        <v xml:space="preserve"> -&gt; </v>
      </c>
    </row>
    <row r="187" spans="1:20" x14ac:dyDescent="0.3">
      <c r="A187" s="31"/>
      <c r="B187" s="32"/>
      <c r="C187" s="31" t="s">
        <v>120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11"/>
        <v/>
      </c>
      <c r="P187">
        <f>'Combined Delivery Data'!B185</f>
        <v>0</v>
      </c>
      <c r="Q187">
        <f t="shared" si="12"/>
        <v>0</v>
      </c>
      <c r="R187">
        <f t="shared" si="13"/>
        <v>491</v>
      </c>
      <c r="S187" s="28">
        <f t="shared" si="14"/>
        <v>0</v>
      </c>
      <c r="T187" t="str">
        <f t="shared" si="15"/>
        <v xml:space="preserve"> -&gt; </v>
      </c>
    </row>
    <row r="188" spans="1:20" x14ac:dyDescent="0.3">
      <c r="A188" s="31"/>
      <c r="B188" s="32"/>
      <c r="C188" s="31" t="s">
        <v>120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11"/>
        <v/>
      </c>
      <c r="P188">
        <f>'Combined Delivery Data'!B186</f>
        <v>0</v>
      </c>
      <c r="Q188">
        <f t="shared" si="12"/>
        <v>0</v>
      </c>
      <c r="R188">
        <f t="shared" si="13"/>
        <v>491</v>
      </c>
      <c r="S188" s="28">
        <f t="shared" si="14"/>
        <v>0</v>
      </c>
      <c r="T188" t="str">
        <f t="shared" si="15"/>
        <v xml:space="preserve"> -&gt; </v>
      </c>
    </row>
    <row r="189" spans="1:20" x14ac:dyDescent="0.3">
      <c r="A189" s="31"/>
      <c r="B189" s="32"/>
      <c r="C189" s="31" t="s">
        <v>120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11"/>
        <v/>
      </c>
      <c r="P189">
        <f>'Combined Delivery Data'!B187</f>
        <v>0</v>
      </c>
      <c r="Q189">
        <f t="shared" si="12"/>
        <v>0</v>
      </c>
      <c r="R189">
        <f t="shared" si="13"/>
        <v>491</v>
      </c>
      <c r="S189" s="28">
        <f t="shared" si="14"/>
        <v>0</v>
      </c>
      <c r="T189" t="str">
        <f t="shared" si="15"/>
        <v xml:space="preserve"> -&gt; </v>
      </c>
    </row>
    <row r="190" spans="1:20" x14ac:dyDescent="0.3">
      <c r="A190" s="31"/>
      <c r="B190" s="32"/>
      <c r="C190" s="31" t="s">
        <v>120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11"/>
        <v/>
      </c>
      <c r="P190">
        <f>'Combined Delivery Data'!B188</f>
        <v>0</v>
      </c>
      <c r="Q190">
        <f t="shared" si="12"/>
        <v>0</v>
      </c>
      <c r="R190">
        <f t="shared" si="13"/>
        <v>491</v>
      </c>
      <c r="S190" s="28">
        <f t="shared" si="14"/>
        <v>0</v>
      </c>
      <c r="T190" t="str">
        <f t="shared" si="15"/>
        <v xml:space="preserve"> -&gt; </v>
      </c>
    </row>
    <row r="191" spans="1:20" x14ac:dyDescent="0.3">
      <c r="A191" s="31"/>
      <c r="B191" s="32"/>
      <c r="C191" s="31" t="s">
        <v>120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11"/>
        <v/>
      </c>
      <c r="P191">
        <f>'Combined Delivery Data'!B189</f>
        <v>0</v>
      </c>
      <c r="Q191">
        <f t="shared" si="12"/>
        <v>0</v>
      </c>
      <c r="R191">
        <f t="shared" si="13"/>
        <v>491</v>
      </c>
      <c r="S191" s="28">
        <f t="shared" si="14"/>
        <v>0</v>
      </c>
      <c r="T191" t="str">
        <f t="shared" si="15"/>
        <v xml:space="preserve"> -&gt; </v>
      </c>
    </row>
    <row r="192" spans="1:20" x14ac:dyDescent="0.3">
      <c r="A192" s="31"/>
      <c r="B192" s="32"/>
      <c r="C192" s="31" t="s">
        <v>120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11"/>
        <v/>
      </c>
      <c r="P192">
        <f>'Combined Delivery Data'!B190</f>
        <v>0</v>
      </c>
      <c r="Q192">
        <f t="shared" si="12"/>
        <v>0</v>
      </c>
      <c r="R192">
        <f t="shared" si="13"/>
        <v>491</v>
      </c>
      <c r="S192" s="28">
        <f t="shared" si="14"/>
        <v>0</v>
      </c>
      <c r="T192" t="str">
        <f t="shared" si="15"/>
        <v xml:space="preserve"> -&gt; </v>
      </c>
    </row>
    <row r="193" spans="1:20" x14ac:dyDescent="0.3">
      <c r="A193" s="31"/>
      <c r="B193" s="32"/>
      <c r="C193" s="31" t="s">
        <v>120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11"/>
        <v/>
      </c>
      <c r="P193">
        <f>'Combined Delivery Data'!B191</f>
        <v>0</v>
      </c>
      <c r="Q193">
        <f t="shared" si="12"/>
        <v>0</v>
      </c>
      <c r="R193">
        <f t="shared" si="13"/>
        <v>491</v>
      </c>
      <c r="S193" s="28">
        <f t="shared" si="14"/>
        <v>0</v>
      </c>
      <c r="T193" t="str">
        <f t="shared" si="15"/>
        <v xml:space="preserve"> -&gt; </v>
      </c>
    </row>
    <row r="194" spans="1:20" x14ac:dyDescent="0.3">
      <c r="A194" s="31"/>
      <c r="B194" s="32"/>
      <c r="C194" s="31" t="s">
        <v>120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11"/>
        <v/>
      </c>
      <c r="P194">
        <f>'Combined Delivery Data'!B192</f>
        <v>0</v>
      </c>
      <c r="Q194">
        <f t="shared" si="12"/>
        <v>0</v>
      </c>
      <c r="R194">
        <f t="shared" si="13"/>
        <v>491</v>
      </c>
      <c r="S194" s="28">
        <f t="shared" si="14"/>
        <v>0</v>
      </c>
      <c r="T194" t="str">
        <f t="shared" si="15"/>
        <v xml:space="preserve"> -&gt; </v>
      </c>
    </row>
    <row r="195" spans="1:20" x14ac:dyDescent="0.3">
      <c r="A195" s="31"/>
      <c r="B195" s="32"/>
      <c r="C195" s="31" t="s">
        <v>120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16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 t="shared" ref="Q195:Q258" si="17">IF($P195="","",COUNTIF($A$3:$A$500,$P195))</f>
        <v>0</v>
      </c>
      <c r="R195">
        <f t="shared" ref="R195:R258" si="18">IF($P195="","",SUMPRODUCT(($A$3:$A$500=$P195)*($G$3:$G$500&lt;&gt;"Yes")*($G$3:$G$500&lt;&gt;"Did not pass re-test")))</f>
        <v>491</v>
      </c>
      <c r="S195" s="28">
        <f t="shared" ref="S195:S258" si="19">IF($P195="","",IF(SUMPRODUCT(MAX(($A$3:$A$500=$P195)*ROW($A$3:$A$500)))=0,"",INDEX($B:$B,SUMPRODUCT(MAX(($A$3:$A$500=$P195)*ROW($A$3:$A$500))))))</f>
        <v>0</v>
      </c>
      <c r="T195" t="str">
        <f t="shared" ref="T195:T258" si="20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 x14ac:dyDescent="0.3">
      <c r="A196" s="31"/>
      <c r="B196" s="32"/>
      <c r="C196" s="31" t="s">
        <v>120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16"/>
        <v/>
      </c>
      <c r="P196">
        <f>'Combined Delivery Data'!B194</f>
        <v>0</v>
      </c>
      <c r="Q196">
        <f t="shared" si="17"/>
        <v>0</v>
      </c>
      <c r="R196">
        <f t="shared" si="18"/>
        <v>491</v>
      </c>
      <c r="S196" s="28">
        <f t="shared" si="19"/>
        <v>0</v>
      </c>
      <c r="T196" t="str">
        <f t="shared" si="20"/>
        <v xml:space="preserve"> -&gt; </v>
      </c>
    </row>
    <row r="197" spans="1:20" x14ac:dyDescent="0.3">
      <c r="A197" s="31"/>
      <c r="B197" s="32"/>
      <c r="C197" s="31" t="s">
        <v>120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16"/>
        <v/>
      </c>
      <c r="P197">
        <f>'Combined Delivery Data'!B195</f>
        <v>0</v>
      </c>
      <c r="Q197">
        <f t="shared" si="17"/>
        <v>0</v>
      </c>
      <c r="R197">
        <f t="shared" si="18"/>
        <v>491</v>
      </c>
      <c r="S197" s="28">
        <f t="shared" si="19"/>
        <v>0</v>
      </c>
      <c r="T197" t="str">
        <f t="shared" si="20"/>
        <v xml:space="preserve"> -&gt; </v>
      </c>
    </row>
    <row r="198" spans="1:20" x14ac:dyDescent="0.3">
      <c r="A198" s="31"/>
      <c r="B198" s="32"/>
      <c r="C198" s="31" t="s">
        <v>120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16"/>
        <v/>
      </c>
      <c r="P198">
        <f>'Combined Delivery Data'!B196</f>
        <v>0</v>
      </c>
      <c r="Q198">
        <f t="shared" si="17"/>
        <v>0</v>
      </c>
      <c r="R198">
        <f t="shared" si="18"/>
        <v>491</v>
      </c>
      <c r="S198" s="28">
        <f t="shared" si="19"/>
        <v>0</v>
      </c>
      <c r="T198" t="str">
        <f t="shared" si="20"/>
        <v xml:space="preserve"> -&gt; </v>
      </c>
    </row>
    <row r="199" spans="1:20" x14ac:dyDescent="0.3">
      <c r="A199" s="31"/>
      <c r="B199" s="32"/>
      <c r="C199" s="31" t="s">
        <v>120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16"/>
        <v/>
      </c>
      <c r="P199">
        <f>'Combined Delivery Data'!B197</f>
        <v>0</v>
      </c>
      <c r="Q199">
        <f t="shared" si="17"/>
        <v>0</v>
      </c>
      <c r="R199">
        <f t="shared" si="18"/>
        <v>491</v>
      </c>
      <c r="S199" s="28">
        <f t="shared" si="19"/>
        <v>0</v>
      </c>
      <c r="T199" t="str">
        <f t="shared" si="20"/>
        <v xml:space="preserve"> -&gt; </v>
      </c>
    </row>
    <row r="200" spans="1:20" x14ac:dyDescent="0.3">
      <c r="A200" s="31"/>
      <c r="B200" s="32"/>
      <c r="C200" s="31" t="s">
        <v>120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16"/>
        <v/>
      </c>
      <c r="P200">
        <f>'Combined Delivery Data'!B198</f>
        <v>0</v>
      </c>
      <c r="Q200">
        <f t="shared" si="17"/>
        <v>0</v>
      </c>
      <c r="R200">
        <f t="shared" si="18"/>
        <v>491</v>
      </c>
      <c r="S200" s="28">
        <f t="shared" si="19"/>
        <v>0</v>
      </c>
      <c r="T200" t="str">
        <f t="shared" si="20"/>
        <v xml:space="preserve"> -&gt; </v>
      </c>
    </row>
    <row r="201" spans="1:20" x14ac:dyDescent="0.3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6"/>
        <v/>
      </c>
      <c r="P201">
        <f>'Combined Delivery Data'!B199</f>
        <v>0</v>
      </c>
      <c r="Q201">
        <f t="shared" si="17"/>
        <v>0</v>
      </c>
      <c r="R201">
        <f t="shared" si="18"/>
        <v>491</v>
      </c>
      <c r="S201" s="28">
        <f t="shared" si="19"/>
        <v>0</v>
      </c>
      <c r="T201" t="str">
        <f t="shared" si="20"/>
        <v xml:space="preserve"> -&gt; </v>
      </c>
    </row>
    <row r="202" spans="1:20" x14ac:dyDescent="0.3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6"/>
        <v/>
      </c>
      <c r="P202">
        <f>'Combined Delivery Data'!B200</f>
        <v>0</v>
      </c>
      <c r="Q202">
        <f t="shared" si="17"/>
        <v>0</v>
      </c>
      <c r="R202">
        <f t="shared" si="18"/>
        <v>491</v>
      </c>
      <c r="S202" s="28">
        <f t="shared" si="19"/>
        <v>0</v>
      </c>
      <c r="T202" t="str">
        <f t="shared" si="20"/>
        <v xml:space="preserve"> -&gt; </v>
      </c>
    </row>
    <row r="203" spans="1:20" x14ac:dyDescent="0.3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6"/>
        <v/>
      </c>
      <c r="P203">
        <f>'Combined Delivery Data'!B201</f>
        <v>0</v>
      </c>
      <c r="Q203">
        <f t="shared" si="17"/>
        <v>0</v>
      </c>
      <c r="R203">
        <f t="shared" si="18"/>
        <v>491</v>
      </c>
      <c r="S203" s="28">
        <f t="shared" si="19"/>
        <v>0</v>
      </c>
      <c r="T203" t="str">
        <f t="shared" si="20"/>
        <v xml:space="preserve"> -&gt; </v>
      </c>
    </row>
    <row r="204" spans="1:20" x14ac:dyDescent="0.3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6"/>
        <v/>
      </c>
      <c r="P204">
        <f>'Combined Delivery Data'!B202</f>
        <v>0</v>
      </c>
      <c r="Q204">
        <f t="shared" si="17"/>
        <v>0</v>
      </c>
      <c r="R204">
        <f t="shared" si="18"/>
        <v>491</v>
      </c>
      <c r="S204" s="28">
        <f t="shared" si="19"/>
        <v>0</v>
      </c>
      <c r="T204" t="str">
        <f t="shared" si="20"/>
        <v xml:space="preserve"> -&gt; </v>
      </c>
    </row>
    <row r="205" spans="1:20" x14ac:dyDescent="0.3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6"/>
        <v/>
      </c>
      <c r="P205">
        <f>'Combined Delivery Data'!B203</f>
        <v>0</v>
      </c>
      <c r="Q205">
        <f t="shared" si="17"/>
        <v>0</v>
      </c>
      <c r="R205">
        <f t="shared" si="18"/>
        <v>491</v>
      </c>
      <c r="S205" s="28">
        <f t="shared" si="19"/>
        <v>0</v>
      </c>
      <c r="T205" t="str">
        <f t="shared" si="20"/>
        <v xml:space="preserve"> -&gt; </v>
      </c>
    </row>
    <row r="206" spans="1:20" x14ac:dyDescent="0.3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6"/>
        <v/>
      </c>
      <c r="P206">
        <f>'Combined Delivery Data'!B204</f>
        <v>0</v>
      </c>
      <c r="Q206">
        <f t="shared" si="17"/>
        <v>0</v>
      </c>
      <c r="R206">
        <f t="shared" si="18"/>
        <v>491</v>
      </c>
      <c r="S206" s="28">
        <f t="shared" si="19"/>
        <v>0</v>
      </c>
      <c r="T206" t="str">
        <f t="shared" si="20"/>
        <v xml:space="preserve"> -&gt; </v>
      </c>
    </row>
    <row r="207" spans="1:20" x14ac:dyDescent="0.3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6"/>
        <v/>
      </c>
      <c r="P207">
        <f>'Combined Delivery Data'!B205</f>
        <v>0</v>
      </c>
      <c r="Q207">
        <f t="shared" si="17"/>
        <v>0</v>
      </c>
      <c r="R207">
        <f t="shared" si="18"/>
        <v>491</v>
      </c>
      <c r="S207" s="28">
        <f t="shared" si="19"/>
        <v>0</v>
      </c>
      <c r="T207" t="str">
        <f t="shared" si="20"/>
        <v xml:space="preserve"> -&gt; </v>
      </c>
    </row>
    <row r="208" spans="1:20" x14ac:dyDescent="0.3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6"/>
        <v/>
      </c>
      <c r="P208">
        <f>'Combined Delivery Data'!B206</f>
        <v>0</v>
      </c>
      <c r="Q208">
        <f t="shared" si="17"/>
        <v>0</v>
      </c>
      <c r="R208">
        <f t="shared" si="18"/>
        <v>491</v>
      </c>
      <c r="S208" s="28">
        <f t="shared" si="19"/>
        <v>0</v>
      </c>
      <c r="T208" t="str">
        <f t="shared" si="20"/>
        <v xml:space="preserve"> -&gt; </v>
      </c>
    </row>
    <row r="209" spans="1:20" x14ac:dyDescent="0.3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6"/>
        <v/>
      </c>
      <c r="P209">
        <f>'Combined Delivery Data'!B207</f>
        <v>0</v>
      </c>
      <c r="Q209">
        <f t="shared" si="17"/>
        <v>0</v>
      </c>
      <c r="R209">
        <f t="shared" si="18"/>
        <v>491</v>
      </c>
      <c r="S209" s="28">
        <f t="shared" si="19"/>
        <v>0</v>
      </c>
      <c r="T209" t="str">
        <f t="shared" si="20"/>
        <v xml:space="preserve"> -&gt; </v>
      </c>
    </row>
    <row r="210" spans="1:20" x14ac:dyDescent="0.3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6"/>
        <v/>
      </c>
      <c r="P210">
        <f>'Combined Delivery Data'!B208</f>
        <v>0</v>
      </c>
      <c r="Q210">
        <f t="shared" si="17"/>
        <v>0</v>
      </c>
      <c r="R210">
        <f t="shared" si="18"/>
        <v>491</v>
      </c>
      <c r="S210" s="28">
        <f t="shared" si="19"/>
        <v>0</v>
      </c>
      <c r="T210" t="str">
        <f t="shared" si="20"/>
        <v xml:space="preserve"> -&gt; </v>
      </c>
    </row>
    <row r="211" spans="1:20" x14ac:dyDescent="0.3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6"/>
        <v/>
      </c>
      <c r="P211">
        <f>'Combined Delivery Data'!B209</f>
        <v>0</v>
      </c>
      <c r="Q211">
        <f t="shared" si="17"/>
        <v>0</v>
      </c>
      <c r="R211">
        <f t="shared" si="18"/>
        <v>491</v>
      </c>
      <c r="S211" s="28">
        <f t="shared" si="19"/>
        <v>0</v>
      </c>
      <c r="T211" t="str">
        <f t="shared" si="20"/>
        <v xml:space="preserve"> -&gt; </v>
      </c>
    </row>
    <row r="212" spans="1:20" x14ac:dyDescent="0.3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6"/>
        <v/>
      </c>
      <c r="P212">
        <f>'Combined Delivery Data'!B210</f>
        <v>0</v>
      </c>
      <c r="Q212">
        <f t="shared" si="17"/>
        <v>0</v>
      </c>
      <c r="R212">
        <f t="shared" si="18"/>
        <v>491</v>
      </c>
      <c r="S212" s="28">
        <f t="shared" si="19"/>
        <v>0</v>
      </c>
      <c r="T212" t="str">
        <f t="shared" si="20"/>
        <v xml:space="preserve"> -&gt; </v>
      </c>
    </row>
    <row r="213" spans="1:20" x14ac:dyDescent="0.3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6"/>
        <v/>
      </c>
      <c r="P213">
        <f>'Combined Delivery Data'!B211</f>
        <v>0</v>
      </c>
      <c r="Q213">
        <f t="shared" si="17"/>
        <v>0</v>
      </c>
      <c r="R213">
        <f t="shared" si="18"/>
        <v>491</v>
      </c>
      <c r="S213" s="28">
        <f t="shared" si="19"/>
        <v>0</v>
      </c>
      <c r="T213" t="str">
        <f t="shared" si="20"/>
        <v xml:space="preserve"> -&gt; </v>
      </c>
    </row>
    <row r="214" spans="1:20" x14ac:dyDescent="0.3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6"/>
        <v/>
      </c>
      <c r="P214">
        <f>'Combined Delivery Data'!B212</f>
        <v>0</v>
      </c>
      <c r="Q214">
        <f t="shared" si="17"/>
        <v>0</v>
      </c>
      <c r="R214">
        <f t="shared" si="18"/>
        <v>491</v>
      </c>
      <c r="S214" s="28">
        <f t="shared" si="19"/>
        <v>0</v>
      </c>
      <c r="T214" t="str">
        <f t="shared" si="20"/>
        <v xml:space="preserve"> -&gt; </v>
      </c>
    </row>
    <row r="215" spans="1:20" x14ac:dyDescent="0.3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6"/>
        <v/>
      </c>
      <c r="P215">
        <f>'Combined Delivery Data'!B213</f>
        <v>0</v>
      </c>
      <c r="Q215">
        <f t="shared" si="17"/>
        <v>0</v>
      </c>
      <c r="R215">
        <f t="shared" si="18"/>
        <v>491</v>
      </c>
      <c r="S215" s="28">
        <f t="shared" si="19"/>
        <v>0</v>
      </c>
      <c r="T215" t="str">
        <f t="shared" si="20"/>
        <v xml:space="preserve"> -&gt; </v>
      </c>
    </row>
    <row r="216" spans="1:20" x14ac:dyDescent="0.3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6"/>
        <v/>
      </c>
      <c r="P216">
        <f>'Combined Delivery Data'!B214</f>
        <v>0</v>
      </c>
      <c r="Q216">
        <f t="shared" si="17"/>
        <v>0</v>
      </c>
      <c r="R216">
        <f t="shared" si="18"/>
        <v>491</v>
      </c>
      <c r="S216" s="28">
        <f t="shared" si="19"/>
        <v>0</v>
      </c>
      <c r="T216" t="str">
        <f t="shared" si="20"/>
        <v xml:space="preserve"> -&gt; </v>
      </c>
    </row>
    <row r="217" spans="1:20" x14ac:dyDescent="0.3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6"/>
        <v/>
      </c>
      <c r="P217">
        <f>'Combined Delivery Data'!B215</f>
        <v>0</v>
      </c>
      <c r="Q217">
        <f t="shared" si="17"/>
        <v>0</v>
      </c>
      <c r="R217">
        <f t="shared" si="18"/>
        <v>491</v>
      </c>
      <c r="S217" s="28">
        <f t="shared" si="19"/>
        <v>0</v>
      </c>
      <c r="T217" t="str">
        <f t="shared" si="20"/>
        <v xml:space="preserve"> -&gt; </v>
      </c>
    </row>
    <row r="218" spans="1:20" x14ac:dyDescent="0.3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6"/>
        <v/>
      </c>
      <c r="P218">
        <f>'Combined Delivery Data'!B216</f>
        <v>0</v>
      </c>
      <c r="Q218">
        <f t="shared" si="17"/>
        <v>0</v>
      </c>
      <c r="R218">
        <f t="shared" si="18"/>
        <v>491</v>
      </c>
      <c r="S218" s="28">
        <f t="shared" si="19"/>
        <v>0</v>
      </c>
      <c r="T218" t="str">
        <f t="shared" si="20"/>
        <v xml:space="preserve"> -&gt; </v>
      </c>
    </row>
    <row r="219" spans="1:20" x14ac:dyDescent="0.3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6"/>
        <v/>
      </c>
      <c r="P219">
        <f>'Combined Delivery Data'!B217</f>
        <v>0</v>
      </c>
      <c r="Q219">
        <f t="shared" si="17"/>
        <v>0</v>
      </c>
      <c r="R219">
        <f t="shared" si="18"/>
        <v>491</v>
      </c>
      <c r="S219" s="28">
        <f t="shared" si="19"/>
        <v>0</v>
      </c>
      <c r="T219" t="str">
        <f t="shared" si="20"/>
        <v xml:space="preserve"> -&gt; </v>
      </c>
    </row>
    <row r="220" spans="1:20" x14ac:dyDescent="0.3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6"/>
        <v/>
      </c>
      <c r="P220">
        <f>'Combined Delivery Data'!B218</f>
        <v>0</v>
      </c>
      <c r="Q220">
        <f t="shared" si="17"/>
        <v>0</v>
      </c>
      <c r="R220">
        <f t="shared" si="18"/>
        <v>491</v>
      </c>
      <c r="S220" s="28">
        <f t="shared" si="19"/>
        <v>0</v>
      </c>
      <c r="T220" t="str">
        <f t="shared" si="20"/>
        <v xml:space="preserve"> -&gt; </v>
      </c>
    </row>
    <row r="221" spans="1:20" x14ac:dyDescent="0.3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6"/>
        <v/>
      </c>
      <c r="P221">
        <f>'Combined Delivery Data'!B219</f>
        <v>0</v>
      </c>
      <c r="Q221">
        <f t="shared" si="17"/>
        <v>0</v>
      </c>
      <c r="R221">
        <f t="shared" si="18"/>
        <v>491</v>
      </c>
      <c r="S221" s="28">
        <f t="shared" si="19"/>
        <v>0</v>
      </c>
      <c r="T221" t="str">
        <f t="shared" si="20"/>
        <v xml:space="preserve"> -&gt; </v>
      </c>
    </row>
    <row r="222" spans="1:20" x14ac:dyDescent="0.3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6"/>
        <v/>
      </c>
      <c r="P222">
        <f>'Combined Delivery Data'!B220</f>
        <v>0</v>
      </c>
      <c r="Q222">
        <f t="shared" si="17"/>
        <v>0</v>
      </c>
      <c r="R222">
        <f t="shared" si="18"/>
        <v>491</v>
      </c>
      <c r="S222" s="28">
        <f t="shared" si="19"/>
        <v>0</v>
      </c>
      <c r="T222" t="str">
        <f t="shared" si="20"/>
        <v xml:space="preserve"> -&gt; </v>
      </c>
    </row>
    <row r="223" spans="1:20" x14ac:dyDescent="0.3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6"/>
        <v/>
      </c>
      <c r="P223">
        <f>'Combined Delivery Data'!B221</f>
        <v>0</v>
      </c>
      <c r="Q223">
        <f t="shared" si="17"/>
        <v>0</v>
      </c>
      <c r="R223">
        <f t="shared" si="18"/>
        <v>491</v>
      </c>
      <c r="S223" s="28">
        <f t="shared" si="19"/>
        <v>0</v>
      </c>
      <c r="T223" t="str">
        <f t="shared" si="20"/>
        <v xml:space="preserve"> -&gt; </v>
      </c>
    </row>
    <row r="224" spans="1:20" x14ac:dyDescent="0.3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6"/>
        <v/>
      </c>
      <c r="P224">
        <f>'Combined Delivery Data'!B222</f>
        <v>0</v>
      </c>
      <c r="Q224">
        <f t="shared" si="17"/>
        <v>0</v>
      </c>
      <c r="R224">
        <f t="shared" si="18"/>
        <v>491</v>
      </c>
      <c r="S224" s="28">
        <f t="shared" si="19"/>
        <v>0</v>
      </c>
      <c r="T224" t="str">
        <f t="shared" si="20"/>
        <v xml:space="preserve"> -&gt; </v>
      </c>
    </row>
    <row r="225" spans="1:20" x14ac:dyDescent="0.3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6"/>
        <v/>
      </c>
      <c r="P225">
        <f>'Combined Delivery Data'!B223</f>
        <v>0</v>
      </c>
      <c r="Q225">
        <f t="shared" si="17"/>
        <v>0</v>
      </c>
      <c r="R225">
        <f t="shared" si="18"/>
        <v>491</v>
      </c>
      <c r="S225" s="28">
        <f t="shared" si="19"/>
        <v>0</v>
      </c>
      <c r="T225" t="str">
        <f t="shared" si="20"/>
        <v xml:space="preserve"> -&gt; </v>
      </c>
    </row>
    <row r="226" spans="1:20" x14ac:dyDescent="0.3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6"/>
        <v/>
      </c>
      <c r="P226">
        <f>'Combined Delivery Data'!B224</f>
        <v>0</v>
      </c>
      <c r="Q226">
        <f t="shared" si="17"/>
        <v>0</v>
      </c>
      <c r="R226">
        <f t="shared" si="18"/>
        <v>491</v>
      </c>
      <c r="S226" s="28">
        <f t="shared" si="19"/>
        <v>0</v>
      </c>
      <c r="T226" t="str">
        <f t="shared" si="20"/>
        <v xml:space="preserve"> -&gt; </v>
      </c>
    </row>
    <row r="227" spans="1:20" x14ac:dyDescent="0.3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6"/>
        <v/>
      </c>
      <c r="P227">
        <f>'Combined Delivery Data'!B225</f>
        <v>0</v>
      </c>
      <c r="Q227">
        <f t="shared" si="17"/>
        <v>0</v>
      </c>
      <c r="R227">
        <f t="shared" si="18"/>
        <v>491</v>
      </c>
      <c r="S227" s="28">
        <f t="shared" si="19"/>
        <v>0</v>
      </c>
      <c r="T227" t="str">
        <f t="shared" si="20"/>
        <v xml:space="preserve"> -&gt; </v>
      </c>
    </row>
    <row r="228" spans="1:20" x14ac:dyDescent="0.3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6"/>
        <v/>
      </c>
      <c r="P228">
        <f>'Combined Delivery Data'!B226</f>
        <v>0</v>
      </c>
      <c r="Q228">
        <f t="shared" si="17"/>
        <v>0</v>
      </c>
      <c r="R228">
        <f t="shared" si="18"/>
        <v>491</v>
      </c>
      <c r="S228" s="28">
        <f t="shared" si="19"/>
        <v>0</v>
      </c>
      <c r="T228" t="str">
        <f t="shared" si="20"/>
        <v xml:space="preserve"> -&gt; </v>
      </c>
    </row>
    <row r="229" spans="1:20" x14ac:dyDescent="0.3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6"/>
        <v/>
      </c>
      <c r="P229">
        <f>'Combined Delivery Data'!B227</f>
        <v>0</v>
      </c>
      <c r="Q229">
        <f t="shared" si="17"/>
        <v>0</v>
      </c>
      <c r="R229">
        <f t="shared" si="18"/>
        <v>491</v>
      </c>
      <c r="S229" s="28">
        <f t="shared" si="19"/>
        <v>0</v>
      </c>
      <c r="T229" t="str">
        <f t="shared" si="20"/>
        <v xml:space="preserve"> -&gt; </v>
      </c>
    </row>
    <row r="230" spans="1:20" x14ac:dyDescent="0.3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6"/>
        <v/>
      </c>
      <c r="P230">
        <f>'Combined Delivery Data'!B228</f>
        <v>0</v>
      </c>
      <c r="Q230">
        <f t="shared" si="17"/>
        <v>0</v>
      </c>
      <c r="R230">
        <f t="shared" si="18"/>
        <v>491</v>
      </c>
      <c r="S230" s="28">
        <f t="shared" si="19"/>
        <v>0</v>
      </c>
      <c r="T230" t="str">
        <f t="shared" si="20"/>
        <v xml:space="preserve"> -&gt; </v>
      </c>
    </row>
    <row r="231" spans="1:20" x14ac:dyDescent="0.3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6"/>
        <v/>
      </c>
      <c r="P231">
        <f>'Combined Delivery Data'!B229</f>
        <v>0</v>
      </c>
      <c r="Q231">
        <f t="shared" si="17"/>
        <v>0</v>
      </c>
      <c r="R231">
        <f t="shared" si="18"/>
        <v>491</v>
      </c>
      <c r="S231" s="28">
        <f t="shared" si="19"/>
        <v>0</v>
      </c>
      <c r="T231" t="str">
        <f t="shared" si="20"/>
        <v xml:space="preserve"> -&gt; </v>
      </c>
    </row>
    <row r="232" spans="1:20" x14ac:dyDescent="0.3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6"/>
        <v/>
      </c>
      <c r="P232">
        <f>'Combined Delivery Data'!B230</f>
        <v>0</v>
      </c>
      <c r="Q232">
        <f t="shared" si="17"/>
        <v>0</v>
      </c>
      <c r="R232">
        <f t="shared" si="18"/>
        <v>491</v>
      </c>
      <c r="S232" s="28">
        <f t="shared" si="19"/>
        <v>0</v>
      </c>
      <c r="T232" t="str">
        <f t="shared" si="20"/>
        <v xml:space="preserve"> -&gt; </v>
      </c>
    </row>
    <row r="233" spans="1:20" x14ac:dyDescent="0.3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6"/>
        <v/>
      </c>
      <c r="P233">
        <f>'Combined Delivery Data'!B231</f>
        <v>0</v>
      </c>
      <c r="Q233">
        <f t="shared" si="17"/>
        <v>0</v>
      </c>
      <c r="R233">
        <f t="shared" si="18"/>
        <v>491</v>
      </c>
      <c r="S233" s="28">
        <f t="shared" si="19"/>
        <v>0</v>
      </c>
      <c r="T233" t="str">
        <f t="shared" si="20"/>
        <v xml:space="preserve"> -&gt; </v>
      </c>
    </row>
    <row r="234" spans="1:20" x14ac:dyDescent="0.3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6"/>
        <v/>
      </c>
      <c r="P234">
        <f>'Combined Delivery Data'!B232</f>
        <v>0</v>
      </c>
      <c r="Q234">
        <f t="shared" si="17"/>
        <v>0</v>
      </c>
      <c r="R234">
        <f t="shared" si="18"/>
        <v>491</v>
      </c>
      <c r="S234" s="28">
        <f t="shared" si="19"/>
        <v>0</v>
      </c>
      <c r="T234" t="str">
        <f t="shared" si="20"/>
        <v xml:space="preserve"> -&gt; </v>
      </c>
    </row>
    <row r="235" spans="1:20" x14ac:dyDescent="0.3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6"/>
        <v/>
      </c>
      <c r="P235">
        <f>'Combined Delivery Data'!B233</f>
        <v>0</v>
      </c>
      <c r="Q235">
        <f t="shared" si="17"/>
        <v>0</v>
      </c>
      <c r="R235">
        <f t="shared" si="18"/>
        <v>491</v>
      </c>
      <c r="S235" s="28">
        <f t="shared" si="19"/>
        <v>0</v>
      </c>
      <c r="T235" t="str">
        <f t="shared" si="20"/>
        <v xml:space="preserve"> -&gt; </v>
      </c>
    </row>
    <row r="236" spans="1:20" x14ac:dyDescent="0.3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6"/>
        <v/>
      </c>
      <c r="P236">
        <f>'Combined Delivery Data'!B234</f>
        <v>0</v>
      </c>
      <c r="Q236">
        <f t="shared" si="17"/>
        <v>0</v>
      </c>
      <c r="R236">
        <f t="shared" si="18"/>
        <v>491</v>
      </c>
      <c r="S236" s="28">
        <f t="shared" si="19"/>
        <v>0</v>
      </c>
      <c r="T236" t="str">
        <f t="shared" si="20"/>
        <v xml:space="preserve"> -&gt; </v>
      </c>
    </row>
    <row r="237" spans="1:20" x14ac:dyDescent="0.3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6"/>
        <v/>
      </c>
      <c r="P237">
        <f>'Combined Delivery Data'!B235</f>
        <v>0</v>
      </c>
      <c r="Q237">
        <f t="shared" si="17"/>
        <v>0</v>
      </c>
      <c r="R237">
        <f t="shared" si="18"/>
        <v>491</v>
      </c>
      <c r="S237" s="28">
        <f t="shared" si="19"/>
        <v>0</v>
      </c>
      <c r="T237" t="str">
        <f t="shared" si="20"/>
        <v xml:space="preserve"> -&gt; </v>
      </c>
    </row>
    <row r="238" spans="1:20" x14ac:dyDescent="0.3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6"/>
        <v/>
      </c>
      <c r="P238">
        <f>'Combined Delivery Data'!B236</f>
        <v>0</v>
      </c>
      <c r="Q238">
        <f t="shared" si="17"/>
        <v>0</v>
      </c>
      <c r="R238">
        <f t="shared" si="18"/>
        <v>491</v>
      </c>
      <c r="S238" s="28">
        <f t="shared" si="19"/>
        <v>0</v>
      </c>
      <c r="T238" t="str">
        <f t="shared" si="20"/>
        <v xml:space="preserve"> -&gt; </v>
      </c>
    </row>
    <row r="239" spans="1:20" x14ac:dyDescent="0.3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6"/>
        <v/>
      </c>
      <c r="P239">
        <f>'Combined Delivery Data'!B237</f>
        <v>0</v>
      </c>
      <c r="Q239">
        <f t="shared" si="17"/>
        <v>0</v>
      </c>
      <c r="R239">
        <f t="shared" si="18"/>
        <v>491</v>
      </c>
      <c r="S239" s="28">
        <f t="shared" si="19"/>
        <v>0</v>
      </c>
      <c r="T239" t="str">
        <f t="shared" si="20"/>
        <v xml:space="preserve"> -&gt; </v>
      </c>
    </row>
    <row r="240" spans="1:20" x14ac:dyDescent="0.3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6"/>
        <v/>
      </c>
      <c r="P240">
        <f>'Combined Delivery Data'!B238</f>
        <v>0</v>
      </c>
      <c r="Q240">
        <f t="shared" si="17"/>
        <v>0</v>
      </c>
      <c r="R240">
        <f t="shared" si="18"/>
        <v>491</v>
      </c>
      <c r="S240" s="28">
        <f t="shared" si="19"/>
        <v>0</v>
      </c>
      <c r="T240" t="str">
        <f t="shared" si="20"/>
        <v xml:space="preserve"> -&gt; </v>
      </c>
    </row>
    <row r="241" spans="1:20" x14ac:dyDescent="0.3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6"/>
        <v/>
      </c>
      <c r="P241">
        <f>'Combined Delivery Data'!B239</f>
        <v>0</v>
      </c>
      <c r="Q241">
        <f t="shared" si="17"/>
        <v>0</v>
      </c>
      <c r="R241">
        <f t="shared" si="18"/>
        <v>491</v>
      </c>
      <c r="S241" s="28">
        <f t="shared" si="19"/>
        <v>0</v>
      </c>
      <c r="T241" t="str">
        <f t="shared" si="20"/>
        <v xml:space="preserve"> -&gt; </v>
      </c>
    </row>
    <row r="242" spans="1:20" x14ac:dyDescent="0.3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6"/>
        <v/>
      </c>
      <c r="P242">
        <f>'Combined Delivery Data'!B240</f>
        <v>0</v>
      </c>
      <c r="Q242">
        <f t="shared" si="17"/>
        <v>0</v>
      </c>
      <c r="R242">
        <f t="shared" si="18"/>
        <v>491</v>
      </c>
      <c r="S242" s="28">
        <f t="shared" si="19"/>
        <v>0</v>
      </c>
      <c r="T242" t="str">
        <f t="shared" si="20"/>
        <v xml:space="preserve"> -&gt; </v>
      </c>
    </row>
    <row r="243" spans="1:20" x14ac:dyDescent="0.3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6"/>
        <v/>
      </c>
      <c r="P243">
        <f>'Combined Delivery Data'!B241</f>
        <v>0</v>
      </c>
      <c r="Q243">
        <f t="shared" si="17"/>
        <v>0</v>
      </c>
      <c r="R243">
        <f t="shared" si="18"/>
        <v>491</v>
      </c>
      <c r="S243" s="28">
        <f t="shared" si="19"/>
        <v>0</v>
      </c>
      <c r="T243" t="str">
        <f t="shared" si="20"/>
        <v xml:space="preserve"> -&gt; </v>
      </c>
    </row>
    <row r="244" spans="1:20" x14ac:dyDescent="0.3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6"/>
        <v/>
      </c>
      <c r="P244">
        <f>'Combined Delivery Data'!B242</f>
        <v>0</v>
      </c>
      <c r="Q244">
        <f t="shared" si="17"/>
        <v>0</v>
      </c>
      <c r="R244">
        <f t="shared" si="18"/>
        <v>491</v>
      </c>
      <c r="S244" s="28">
        <f t="shared" si="19"/>
        <v>0</v>
      </c>
      <c r="T244" t="str">
        <f t="shared" si="20"/>
        <v xml:space="preserve"> -&gt; </v>
      </c>
    </row>
    <row r="245" spans="1:20" x14ac:dyDescent="0.3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6"/>
        <v/>
      </c>
      <c r="P245">
        <f>'Combined Delivery Data'!B243</f>
        <v>0</v>
      </c>
      <c r="Q245">
        <f t="shared" si="17"/>
        <v>0</v>
      </c>
      <c r="R245">
        <f t="shared" si="18"/>
        <v>491</v>
      </c>
      <c r="S245" s="28">
        <f t="shared" si="19"/>
        <v>0</v>
      </c>
      <c r="T245" t="str">
        <f t="shared" si="20"/>
        <v xml:space="preserve"> -&gt; </v>
      </c>
    </row>
    <row r="246" spans="1:20" x14ac:dyDescent="0.3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6"/>
        <v/>
      </c>
      <c r="P246">
        <f>'Combined Delivery Data'!B244</f>
        <v>0</v>
      </c>
      <c r="Q246">
        <f t="shared" si="17"/>
        <v>0</v>
      </c>
      <c r="R246">
        <f t="shared" si="18"/>
        <v>491</v>
      </c>
      <c r="S246" s="28">
        <f t="shared" si="19"/>
        <v>0</v>
      </c>
      <c r="T246" t="str">
        <f t="shared" si="20"/>
        <v xml:space="preserve"> -&gt; </v>
      </c>
    </row>
    <row r="247" spans="1:20" x14ac:dyDescent="0.3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6"/>
        <v/>
      </c>
      <c r="P247">
        <f>'Combined Delivery Data'!B245</f>
        <v>0</v>
      </c>
      <c r="Q247">
        <f t="shared" si="17"/>
        <v>0</v>
      </c>
      <c r="R247">
        <f t="shared" si="18"/>
        <v>491</v>
      </c>
      <c r="S247" s="28">
        <f t="shared" si="19"/>
        <v>0</v>
      </c>
      <c r="T247" t="str">
        <f t="shared" si="20"/>
        <v xml:space="preserve"> -&gt; </v>
      </c>
    </row>
    <row r="248" spans="1:20" x14ac:dyDescent="0.3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6"/>
        <v/>
      </c>
      <c r="P248">
        <f>'Combined Delivery Data'!B246</f>
        <v>0</v>
      </c>
      <c r="Q248">
        <f t="shared" si="17"/>
        <v>0</v>
      </c>
      <c r="R248">
        <f t="shared" si="18"/>
        <v>491</v>
      </c>
      <c r="S248" s="28">
        <f t="shared" si="19"/>
        <v>0</v>
      </c>
      <c r="T248" t="str">
        <f t="shared" si="20"/>
        <v xml:space="preserve"> -&gt; </v>
      </c>
    </row>
    <row r="249" spans="1:20" x14ac:dyDescent="0.3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6"/>
        <v/>
      </c>
      <c r="P249">
        <f>'Combined Delivery Data'!B247</f>
        <v>0</v>
      </c>
      <c r="Q249">
        <f t="shared" si="17"/>
        <v>0</v>
      </c>
      <c r="R249">
        <f t="shared" si="18"/>
        <v>491</v>
      </c>
      <c r="S249" s="28">
        <f t="shared" si="19"/>
        <v>0</v>
      </c>
      <c r="T249" t="str">
        <f t="shared" si="20"/>
        <v xml:space="preserve"> -&gt; </v>
      </c>
    </row>
    <row r="250" spans="1:20" x14ac:dyDescent="0.3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6"/>
        <v/>
      </c>
      <c r="P250">
        <f>'Combined Delivery Data'!B248</f>
        <v>0</v>
      </c>
      <c r="Q250">
        <f t="shared" si="17"/>
        <v>0</v>
      </c>
      <c r="R250">
        <f t="shared" si="18"/>
        <v>491</v>
      </c>
      <c r="S250" s="28">
        <f t="shared" si="19"/>
        <v>0</v>
      </c>
      <c r="T250" t="str">
        <f t="shared" si="20"/>
        <v xml:space="preserve"> -&gt; </v>
      </c>
    </row>
    <row r="251" spans="1:20" x14ac:dyDescent="0.3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6"/>
        <v/>
      </c>
      <c r="P251">
        <f>'Combined Delivery Data'!B249</f>
        <v>0</v>
      </c>
      <c r="Q251">
        <f t="shared" si="17"/>
        <v>0</v>
      </c>
      <c r="R251">
        <f t="shared" si="18"/>
        <v>491</v>
      </c>
      <c r="S251" s="28">
        <f t="shared" si="19"/>
        <v>0</v>
      </c>
      <c r="T251" t="str">
        <f t="shared" si="20"/>
        <v xml:space="preserve"> -&gt; </v>
      </c>
    </row>
    <row r="252" spans="1:20" x14ac:dyDescent="0.3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6"/>
        <v/>
      </c>
      <c r="P252">
        <f>'Combined Delivery Data'!B250</f>
        <v>0</v>
      </c>
      <c r="Q252">
        <f t="shared" si="17"/>
        <v>0</v>
      </c>
      <c r="R252">
        <f t="shared" si="18"/>
        <v>491</v>
      </c>
      <c r="S252" s="28">
        <f t="shared" si="19"/>
        <v>0</v>
      </c>
      <c r="T252" t="str">
        <f t="shared" si="20"/>
        <v xml:space="preserve"> -&gt; </v>
      </c>
    </row>
    <row r="253" spans="1:20" x14ac:dyDescent="0.3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6"/>
        <v/>
      </c>
      <c r="P253">
        <f>'Combined Delivery Data'!B251</f>
        <v>0</v>
      </c>
      <c r="Q253">
        <f t="shared" si="17"/>
        <v>0</v>
      </c>
      <c r="R253">
        <f t="shared" si="18"/>
        <v>491</v>
      </c>
      <c r="S253" s="28">
        <f t="shared" si="19"/>
        <v>0</v>
      </c>
      <c r="T253" t="str">
        <f t="shared" si="20"/>
        <v xml:space="preserve"> -&gt; </v>
      </c>
    </row>
    <row r="254" spans="1:20" x14ac:dyDescent="0.3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6"/>
        <v/>
      </c>
      <c r="P254">
        <f>'Combined Delivery Data'!B252</f>
        <v>0</v>
      </c>
      <c r="Q254">
        <f t="shared" si="17"/>
        <v>0</v>
      </c>
      <c r="R254">
        <f t="shared" si="18"/>
        <v>491</v>
      </c>
      <c r="S254" s="28">
        <f t="shared" si="19"/>
        <v>0</v>
      </c>
      <c r="T254" t="str">
        <f t="shared" si="20"/>
        <v xml:space="preserve"> -&gt; </v>
      </c>
    </row>
    <row r="255" spans="1:20" x14ac:dyDescent="0.3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6"/>
        <v/>
      </c>
      <c r="P255">
        <f>'Combined Delivery Data'!B253</f>
        <v>0</v>
      </c>
      <c r="Q255">
        <f t="shared" si="17"/>
        <v>0</v>
      </c>
      <c r="R255">
        <f t="shared" si="18"/>
        <v>491</v>
      </c>
      <c r="S255" s="28">
        <f t="shared" si="19"/>
        <v>0</v>
      </c>
      <c r="T255" t="str">
        <f t="shared" si="20"/>
        <v xml:space="preserve"> -&gt; </v>
      </c>
    </row>
    <row r="256" spans="1:20" x14ac:dyDescent="0.3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6"/>
        <v/>
      </c>
      <c r="P256">
        <f>'Combined Delivery Data'!B254</f>
        <v>0</v>
      </c>
      <c r="Q256">
        <f t="shared" si="17"/>
        <v>0</v>
      </c>
      <c r="R256">
        <f t="shared" si="18"/>
        <v>491</v>
      </c>
      <c r="S256" s="28">
        <f t="shared" si="19"/>
        <v>0</v>
      </c>
      <c r="T256" t="str">
        <f t="shared" si="20"/>
        <v xml:space="preserve"> -&gt; </v>
      </c>
    </row>
    <row r="257" spans="1:20" x14ac:dyDescent="0.3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6"/>
        <v/>
      </c>
      <c r="P257">
        <f>'Combined Delivery Data'!B255</f>
        <v>0</v>
      </c>
      <c r="Q257">
        <f t="shared" si="17"/>
        <v>0</v>
      </c>
      <c r="R257">
        <f t="shared" si="18"/>
        <v>491</v>
      </c>
      <c r="S257" s="28">
        <f t="shared" si="19"/>
        <v>0</v>
      </c>
      <c r="T257" t="str">
        <f t="shared" si="20"/>
        <v xml:space="preserve"> -&gt; </v>
      </c>
    </row>
    <row r="258" spans="1:20" x14ac:dyDescent="0.3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6"/>
        <v/>
      </c>
      <c r="P258">
        <f>'Combined Delivery Data'!B256</f>
        <v>0</v>
      </c>
      <c r="Q258">
        <f t="shared" si="17"/>
        <v>0</v>
      </c>
      <c r="R258">
        <f t="shared" si="18"/>
        <v>491</v>
      </c>
      <c r="S258" s="28">
        <f t="shared" si="19"/>
        <v>0</v>
      </c>
      <c r="T258" t="str">
        <f t="shared" si="20"/>
        <v xml:space="preserve"> -&gt; </v>
      </c>
    </row>
    <row r="259" spans="1:20" x14ac:dyDescent="0.3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1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 t="shared" ref="Q259:Q322" si="22">IF($P259="","",COUNTIF($A$3:$A$500,$P259))</f>
        <v>0</v>
      </c>
      <c r="R259">
        <f t="shared" ref="R259:R322" si="23">IF($P259="","",SUMPRODUCT(($A$3:$A$500=$P259)*($G$3:$G$500&lt;&gt;"Yes")*($G$3:$G$500&lt;&gt;"Did not pass re-test")))</f>
        <v>491</v>
      </c>
      <c r="S259" s="28">
        <f t="shared" ref="S259:S322" si="24">IF($P259="","",IF(SUMPRODUCT(MAX(($A$3:$A$500=$P259)*ROW($A$3:$A$500)))=0,"",INDEX($B:$B,SUMPRODUCT(MAX(($A$3:$A$500=$P259)*ROW($A$3:$A$500))))))</f>
        <v>0</v>
      </c>
      <c r="T259" t="str">
        <f t="shared" ref="T259:T322" si="25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 x14ac:dyDescent="0.3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1"/>
        <v/>
      </c>
      <c r="P260">
        <f>'Combined Delivery Data'!B258</f>
        <v>0</v>
      </c>
      <c r="Q260">
        <f t="shared" si="22"/>
        <v>0</v>
      </c>
      <c r="R260">
        <f t="shared" si="23"/>
        <v>491</v>
      </c>
      <c r="S260" s="28">
        <f t="shared" si="24"/>
        <v>0</v>
      </c>
      <c r="T260" t="str">
        <f t="shared" si="25"/>
        <v xml:space="preserve"> -&gt; </v>
      </c>
    </row>
    <row r="261" spans="1:20" x14ac:dyDescent="0.3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1"/>
        <v/>
      </c>
      <c r="P261">
        <f>'Combined Delivery Data'!B259</f>
        <v>0</v>
      </c>
      <c r="Q261">
        <f t="shared" si="22"/>
        <v>0</v>
      </c>
      <c r="R261">
        <f t="shared" si="23"/>
        <v>491</v>
      </c>
      <c r="S261" s="28">
        <f t="shared" si="24"/>
        <v>0</v>
      </c>
      <c r="T261" t="str">
        <f t="shared" si="25"/>
        <v xml:space="preserve"> -&gt; </v>
      </c>
    </row>
    <row r="262" spans="1:20" x14ac:dyDescent="0.3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1"/>
        <v/>
      </c>
      <c r="P262">
        <f>'Combined Delivery Data'!B260</f>
        <v>0</v>
      </c>
      <c r="Q262">
        <f t="shared" si="22"/>
        <v>0</v>
      </c>
      <c r="R262">
        <f t="shared" si="23"/>
        <v>491</v>
      </c>
      <c r="S262" s="28">
        <f t="shared" si="24"/>
        <v>0</v>
      </c>
      <c r="T262" t="str">
        <f t="shared" si="25"/>
        <v xml:space="preserve"> -&gt; </v>
      </c>
    </row>
    <row r="263" spans="1:20" x14ac:dyDescent="0.3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1"/>
        <v/>
      </c>
      <c r="P263">
        <f>'Combined Delivery Data'!B261</f>
        <v>0</v>
      </c>
      <c r="Q263">
        <f t="shared" si="22"/>
        <v>0</v>
      </c>
      <c r="R263">
        <f t="shared" si="23"/>
        <v>491</v>
      </c>
      <c r="S263" s="28">
        <f t="shared" si="24"/>
        <v>0</v>
      </c>
      <c r="T263" t="str">
        <f t="shared" si="25"/>
        <v xml:space="preserve"> -&gt; </v>
      </c>
    </row>
    <row r="264" spans="1:20" x14ac:dyDescent="0.3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1"/>
        <v/>
      </c>
      <c r="P264">
        <f>'Combined Delivery Data'!B262</f>
        <v>0</v>
      </c>
      <c r="Q264">
        <f t="shared" si="22"/>
        <v>0</v>
      </c>
      <c r="R264">
        <f t="shared" si="23"/>
        <v>491</v>
      </c>
      <c r="S264" s="28">
        <f t="shared" si="24"/>
        <v>0</v>
      </c>
      <c r="T264" t="str">
        <f t="shared" si="25"/>
        <v xml:space="preserve"> -&gt; </v>
      </c>
    </row>
    <row r="265" spans="1:20" x14ac:dyDescent="0.3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1"/>
        <v/>
      </c>
      <c r="P265">
        <f>'Combined Delivery Data'!B263</f>
        <v>0</v>
      </c>
      <c r="Q265">
        <f t="shared" si="22"/>
        <v>0</v>
      </c>
      <c r="R265">
        <f t="shared" si="23"/>
        <v>491</v>
      </c>
      <c r="S265" s="28">
        <f t="shared" si="24"/>
        <v>0</v>
      </c>
      <c r="T265" t="str">
        <f t="shared" si="25"/>
        <v xml:space="preserve"> -&gt; </v>
      </c>
    </row>
    <row r="266" spans="1:20" x14ac:dyDescent="0.3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1"/>
        <v/>
      </c>
      <c r="P266">
        <f>'Combined Delivery Data'!B264</f>
        <v>0</v>
      </c>
      <c r="Q266">
        <f t="shared" si="22"/>
        <v>0</v>
      </c>
      <c r="R266">
        <f t="shared" si="23"/>
        <v>491</v>
      </c>
      <c r="S266" s="28">
        <f t="shared" si="24"/>
        <v>0</v>
      </c>
      <c r="T266" t="str">
        <f t="shared" si="25"/>
        <v xml:space="preserve"> -&gt; </v>
      </c>
    </row>
    <row r="267" spans="1:20" x14ac:dyDescent="0.3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1"/>
        <v/>
      </c>
      <c r="P267">
        <f>'Combined Delivery Data'!B265</f>
        <v>0</v>
      </c>
      <c r="Q267">
        <f t="shared" si="22"/>
        <v>0</v>
      </c>
      <c r="R267">
        <f t="shared" si="23"/>
        <v>491</v>
      </c>
      <c r="S267" s="28">
        <f t="shared" si="24"/>
        <v>0</v>
      </c>
      <c r="T267" t="str">
        <f t="shared" si="25"/>
        <v xml:space="preserve"> -&gt; </v>
      </c>
    </row>
    <row r="268" spans="1:20" x14ac:dyDescent="0.3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1"/>
        <v/>
      </c>
      <c r="P268">
        <f>'Combined Delivery Data'!B266</f>
        <v>0</v>
      </c>
      <c r="Q268">
        <f t="shared" si="22"/>
        <v>0</v>
      </c>
      <c r="R268">
        <f t="shared" si="23"/>
        <v>491</v>
      </c>
      <c r="S268" s="28">
        <f t="shared" si="24"/>
        <v>0</v>
      </c>
      <c r="T268" t="str">
        <f t="shared" si="25"/>
        <v xml:space="preserve"> -&gt; </v>
      </c>
    </row>
    <row r="269" spans="1:20" x14ac:dyDescent="0.3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1"/>
        <v/>
      </c>
      <c r="P269">
        <f>'Combined Delivery Data'!B267</f>
        <v>0</v>
      </c>
      <c r="Q269">
        <f t="shared" si="22"/>
        <v>0</v>
      </c>
      <c r="R269">
        <f t="shared" si="23"/>
        <v>491</v>
      </c>
      <c r="S269" s="28">
        <f t="shared" si="24"/>
        <v>0</v>
      </c>
      <c r="T269" t="str">
        <f t="shared" si="25"/>
        <v xml:space="preserve"> -&gt; </v>
      </c>
    </row>
    <row r="270" spans="1:20" x14ac:dyDescent="0.3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1"/>
        <v/>
      </c>
      <c r="P270">
        <f>'Combined Delivery Data'!B268</f>
        <v>0</v>
      </c>
      <c r="Q270">
        <f t="shared" si="22"/>
        <v>0</v>
      </c>
      <c r="R270">
        <f t="shared" si="23"/>
        <v>491</v>
      </c>
      <c r="S270" s="28">
        <f t="shared" si="24"/>
        <v>0</v>
      </c>
      <c r="T270" t="str">
        <f t="shared" si="25"/>
        <v xml:space="preserve"> -&gt; </v>
      </c>
    </row>
    <row r="271" spans="1:20" x14ac:dyDescent="0.3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1"/>
        <v/>
      </c>
      <c r="P271">
        <f>'Combined Delivery Data'!B269</f>
        <v>0</v>
      </c>
      <c r="Q271">
        <f t="shared" si="22"/>
        <v>0</v>
      </c>
      <c r="R271">
        <f t="shared" si="23"/>
        <v>491</v>
      </c>
      <c r="S271" s="28">
        <f t="shared" si="24"/>
        <v>0</v>
      </c>
      <c r="T271" t="str">
        <f t="shared" si="25"/>
        <v xml:space="preserve"> -&gt; </v>
      </c>
    </row>
    <row r="272" spans="1:20" x14ac:dyDescent="0.3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1"/>
        <v/>
      </c>
      <c r="P272">
        <f>'Combined Delivery Data'!B270</f>
        <v>0</v>
      </c>
      <c r="Q272">
        <f t="shared" si="22"/>
        <v>0</v>
      </c>
      <c r="R272">
        <f t="shared" si="23"/>
        <v>491</v>
      </c>
      <c r="S272" s="28">
        <f t="shared" si="24"/>
        <v>0</v>
      </c>
      <c r="T272" t="str">
        <f t="shared" si="25"/>
        <v xml:space="preserve"> -&gt; </v>
      </c>
    </row>
    <row r="273" spans="1:20" x14ac:dyDescent="0.3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1"/>
        <v/>
      </c>
      <c r="P273">
        <f>'Combined Delivery Data'!B271</f>
        <v>0</v>
      </c>
      <c r="Q273">
        <f t="shared" si="22"/>
        <v>0</v>
      </c>
      <c r="R273">
        <f t="shared" si="23"/>
        <v>491</v>
      </c>
      <c r="S273" s="28">
        <f t="shared" si="24"/>
        <v>0</v>
      </c>
      <c r="T273" t="str">
        <f t="shared" si="25"/>
        <v xml:space="preserve"> -&gt; </v>
      </c>
    </row>
    <row r="274" spans="1:20" x14ac:dyDescent="0.3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1"/>
        <v/>
      </c>
      <c r="P274">
        <f>'Combined Delivery Data'!B272</f>
        <v>0</v>
      </c>
      <c r="Q274">
        <f t="shared" si="22"/>
        <v>0</v>
      </c>
      <c r="R274">
        <f t="shared" si="23"/>
        <v>491</v>
      </c>
      <c r="S274" s="28">
        <f t="shared" si="24"/>
        <v>0</v>
      </c>
      <c r="T274" t="str">
        <f t="shared" si="25"/>
        <v xml:space="preserve"> -&gt; </v>
      </c>
    </row>
    <row r="275" spans="1:20" x14ac:dyDescent="0.3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1"/>
        <v/>
      </c>
      <c r="P275">
        <f>'Combined Delivery Data'!B273</f>
        <v>0</v>
      </c>
      <c r="Q275">
        <f t="shared" si="22"/>
        <v>0</v>
      </c>
      <c r="R275">
        <f t="shared" si="23"/>
        <v>491</v>
      </c>
      <c r="S275" s="28">
        <f t="shared" si="24"/>
        <v>0</v>
      </c>
      <c r="T275" t="str">
        <f t="shared" si="25"/>
        <v xml:space="preserve"> -&gt; </v>
      </c>
    </row>
    <row r="276" spans="1:20" x14ac:dyDescent="0.3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1"/>
        <v/>
      </c>
      <c r="P276">
        <f>'Combined Delivery Data'!B274</f>
        <v>0</v>
      </c>
      <c r="Q276">
        <f t="shared" si="22"/>
        <v>0</v>
      </c>
      <c r="R276">
        <f t="shared" si="23"/>
        <v>491</v>
      </c>
      <c r="S276" s="28">
        <f t="shared" si="24"/>
        <v>0</v>
      </c>
      <c r="T276" t="str">
        <f t="shared" si="25"/>
        <v xml:space="preserve"> -&gt; </v>
      </c>
    </row>
    <row r="277" spans="1:20" x14ac:dyDescent="0.3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1"/>
        <v/>
      </c>
      <c r="P277">
        <f>'Combined Delivery Data'!B275</f>
        <v>0</v>
      </c>
      <c r="Q277">
        <f t="shared" si="22"/>
        <v>0</v>
      </c>
      <c r="R277">
        <f t="shared" si="23"/>
        <v>491</v>
      </c>
      <c r="S277" s="28">
        <f t="shared" si="24"/>
        <v>0</v>
      </c>
      <c r="T277" t="str">
        <f t="shared" si="25"/>
        <v xml:space="preserve"> -&gt; </v>
      </c>
    </row>
    <row r="278" spans="1:20" x14ac:dyDescent="0.3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1"/>
        <v/>
      </c>
      <c r="P278">
        <f>'Combined Delivery Data'!B276</f>
        <v>0</v>
      </c>
      <c r="Q278">
        <f t="shared" si="22"/>
        <v>0</v>
      </c>
      <c r="R278">
        <f t="shared" si="23"/>
        <v>491</v>
      </c>
      <c r="S278" s="28">
        <f t="shared" si="24"/>
        <v>0</v>
      </c>
      <c r="T278" t="str">
        <f t="shared" si="25"/>
        <v xml:space="preserve"> -&gt; </v>
      </c>
    </row>
    <row r="279" spans="1:20" x14ac:dyDescent="0.3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1"/>
        <v/>
      </c>
      <c r="P279">
        <f>'Combined Delivery Data'!B277</f>
        <v>0</v>
      </c>
      <c r="Q279">
        <f t="shared" si="22"/>
        <v>0</v>
      </c>
      <c r="R279">
        <f t="shared" si="23"/>
        <v>491</v>
      </c>
      <c r="S279" s="28">
        <f t="shared" si="24"/>
        <v>0</v>
      </c>
      <c r="T279" t="str">
        <f t="shared" si="25"/>
        <v xml:space="preserve"> -&gt; </v>
      </c>
    </row>
    <row r="280" spans="1:20" x14ac:dyDescent="0.3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1"/>
        <v/>
      </c>
      <c r="P280">
        <f>'Combined Delivery Data'!B278</f>
        <v>0</v>
      </c>
      <c r="Q280">
        <f t="shared" si="22"/>
        <v>0</v>
      </c>
      <c r="R280">
        <f t="shared" si="23"/>
        <v>491</v>
      </c>
      <c r="S280" s="28">
        <f t="shared" si="24"/>
        <v>0</v>
      </c>
      <c r="T280" t="str">
        <f t="shared" si="25"/>
        <v xml:space="preserve"> -&gt; </v>
      </c>
    </row>
    <row r="281" spans="1:20" x14ac:dyDescent="0.3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1"/>
        <v/>
      </c>
      <c r="P281">
        <f>'Combined Delivery Data'!B279</f>
        <v>0</v>
      </c>
      <c r="Q281">
        <f t="shared" si="22"/>
        <v>0</v>
      </c>
      <c r="R281">
        <f t="shared" si="23"/>
        <v>491</v>
      </c>
      <c r="S281" s="28">
        <f t="shared" si="24"/>
        <v>0</v>
      </c>
      <c r="T281" t="str">
        <f t="shared" si="25"/>
        <v xml:space="preserve"> -&gt; </v>
      </c>
    </row>
    <row r="282" spans="1:20" x14ac:dyDescent="0.3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1"/>
        <v/>
      </c>
      <c r="P282">
        <f>'Combined Delivery Data'!B280</f>
        <v>0</v>
      </c>
      <c r="Q282">
        <f t="shared" si="22"/>
        <v>0</v>
      </c>
      <c r="R282">
        <f t="shared" si="23"/>
        <v>491</v>
      </c>
      <c r="S282" s="28">
        <f t="shared" si="24"/>
        <v>0</v>
      </c>
      <c r="T282" t="str">
        <f t="shared" si="25"/>
        <v xml:space="preserve"> -&gt; </v>
      </c>
    </row>
    <row r="283" spans="1:20" x14ac:dyDescent="0.3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1"/>
        <v/>
      </c>
      <c r="P283">
        <f>'Combined Delivery Data'!B281</f>
        <v>0</v>
      </c>
      <c r="Q283">
        <f t="shared" si="22"/>
        <v>0</v>
      </c>
      <c r="R283">
        <f t="shared" si="23"/>
        <v>491</v>
      </c>
      <c r="S283" s="28">
        <f t="shared" si="24"/>
        <v>0</v>
      </c>
      <c r="T283" t="str">
        <f t="shared" si="25"/>
        <v xml:space="preserve"> -&gt; </v>
      </c>
    </row>
    <row r="284" spans="1:20" x14ac:dyDescent="0.3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1"/>
        <v/>
      </c>
      <c r="P284">
        <f>'Combined Delivery Data'!B282</f>
        <v>0</v>
      </c>
      <c r="Q284">
        <f t="shared" si="22"/>
        <v>0</v>
      </c>
      <c r="R284">
        <f t="shared" si="23"/>
        <v>491</v>
      </c>
      <c r="S284" s="28">
        <f t="shared" si="24"/>
        <v>0</v>
      </c>
      <c r="T284" t="str">
        <f t="shared" si="25"/>
        <v xml:space="preserve"> -&gt; </v>
      </c>
    </row>
    <row r="285" spans="1:20" x14ac:dyDescent="0.3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1"/>
        <v/>
      </c>
      <c r="P285">
        <f>'Combined Delivery Data'!B283</f>
        <v>0</v>
      </c>
      <c r="Q285">
        <f t="shared" si="22"/>
        <v>0</v>
      </c>
      <c r="R285">
        <f t="shared" si="23"/>
        <v>491</v>
      </c>
      <c r="S285" s="28">
        <f t="shared" si="24"/>
        <v>0</v>
      </c>
      <c r="T285" t="str">
        <f t="shared" si="25"/>
        <v xml:space="preserve"> -&gt; </v>
      </c>
    </row>
    <row r="286" spans="1:20" x14ac:dyDescent="0.3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1"/>
        <v/>
      </c>
      <c r="P286">
        <f>'Combined Delivery Data'!B284</f>
        <v>0</v>
      </c>
      <c r="Q286">
        <f t="shared" si="22"/>
        <v>0</v>
      </c>
      <c r="R286">
        <f t="shared" si="23"/>
        <v>491</v>
      </c>
      <c r="S286" s="28">
        <f t="shared" si="24"/>
        <v>0</v>
      </c>
      <c r="T286" t="str">
        <f t="shared" si="25"/>
        <v xml:space="preserve"> -&gt; </v>
      </c>
    </row>
    <row r="287" spans="1:20" x14ac:dyDescent="0.3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1"/>
        <v/>
      </c>
      <c r="P287">
        <f>'Combined Delivery Data'!B285</f>
        <v>0</v>
      </c>
      <c r="Q287">
        <f t="shared" si="22"/>
        <v>0</v>
      </c>
      <c r="R287">
        <f t="shared" si="23"/>
        <v>491</v>
      </c>
      <c r="S287" s="28">
        <f t="shared" si="24"/>
        <v>0</v>
      </c>
      <c r="T287" t="str">
        <f t="shared" si="25"/>
        <v xml:space="preserve"> -&gt; </v>
      </c>
    </row>
    <row r="288" spans="1:20" x14ac:dyDescent="0.3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1"/>
        <v/>
      </c>
      <c r="P288">
        <f>'Combined Delivery Data'!B286</f>
        <v>0</v>
      </c>
      <c r="Q288">
        <f t="shared" si="22"/>
        <v>0</v>
      </c>
      <c r="R288">
        <f t="shared" si="23"/>
        <v>491</v>
      </c>
      <c r="S288" s="28">
        <f t="shared" si="24"/>
        <v>0</v>
      </c>
      <c r="T288" t="str">
        <f t="shared" si="25"/>
        <v xml:space="preserve"> -&gt; </v>
      </c>
    </row>
    <row r="289" spans="1:20" x14ac:dyDescent="0.3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1"/>
        <v/>
      </c>
      <c r="P289">
        <f>'Combined Delivery Data'!B287</f>
        <v>0</v>
      </c>
      <c r="Q289">
        <f t="shared" si="22"/>
        <v>0</v>
      </c>
      <c r="R289">
        <f t="shared" si="23"/>
        <v>491</v>
      </c>
      <c r="S289" s="28">
        <f t="shared" si="24"/>
        <v>0</v>
      </c>
      <c r="T289" t="str">
        <f t="shared" si="25"/>
        <v xml:space="preserve"> -&gt; </v>
      </c>
    </row>
    <row r="290" spans="1:20" x14ac:dyDescent="0.3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1"/>
        <v/>
      </c>
      <c r="P290">
        <f>'Combined Delivery Data'!B288</f>
        <v>0</v>
      </c>
      <c r="Q290">
        <f t="shared" si="22"/>
        <v>0</v>
      </c>
      <c r="R290">
        <f t="shared" si="23"/>
        <v>491</v>
      </c>
      <c r="S290" s="28">
        <f t="shared" si="24"/>
        <v>0</v>
      </c>
      <c r="T290" t="str">
        <f t="shared" si="25"/>
        <v xml:space="preserve"> -&gt; </v>
      </c>
    </row>
    <row r="291" spans="1:20" x14ac:dyDescent="0.3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1"/>
        <v/>
      </c>
      <c r="P291">
        <f>'Combined Delivery Data'!B289</f>
        <v>0</v>
      </c>
      <c r="Q291">
        <f t="shared" si="22"/>
        <v>0</v>
      </c>
      <c r="R291">
        <f t="shared" si="23"/>
        <v>491</v>
      </c>
      <c r="S291" s="28">
        <f t="shared" si="24"/>
        <v>0</v>
      </c>
      <c r="T291" t="str">
        <f t="shared" si="25"/>
        <v xml:space="preserve"> -&gt; </v>
      </c>
    </row>
    <row r="292" spans="1:20" x14ac:dyDescent="0.3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1"/>
        <v/>
      </c>
      <c r="P292">
        <f>'Combined Delivery Data'!B290</f>
        <v>0</v>
      </c>
      <c r="Q292">
        <f t="shared" si="22"/>
        <v>0</v>
      </c>
      <c r="R292">
        <f t="shared" si="23"/>
        <v>491</v>
      </c>
      <c r="S292" s="28">
        <f t="shared" si="24"/>
        <v>0</v>
      </c>
      <c r="T292" t="str">
        <f t="shared" si="25"/>
        <v xml:space="preserve"> -&gt; </v>
      </c>
    </row>
    <row r="293" spans="1:20" x14ac:dyDescent="0.3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1"/>
        <v/>
      </c>
      <c r="P293">
        <f>'Combined Delivery Data'!B291</f>
        <v>0</v>
      </c>
      <c r="Q293">
        <f t="shared" si="22"/>
        <v>0</v>
      </c>
      <c r="R293">
        <f t="shared" si="23"/>
        <v>491</v>
      </c>
      <c r="S293" s="28">
        <f t="shared" si="24"/>
        <v>0</v>
      </c>
      <c r="T293" t="str">
        <f t="shared" si="25"/>
        <v xml:space="preserve"> -&gt; </v>
      </c>
    </row>
    <row r="294" spans="1:20" x14ac:dyDescent="0.3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1"/>
        <v/>
      </c>
      <c r="P294">
        <f>'Combined Delivery Data'!B292</f>
        <v>0</v>
      </c>
      <c r="Q294">
        <f t="shared" si="22"/>
        <v>0</v>
      </c>
      <c r="R294">
        <f t="shared" si="23"/>
        <v>491</v>
      </c>
      <c r="S294" s="28">
        <f t="shared" si="24"/>
        <v>0</v>
      </c>
      <c r="T294" t="str">
        <f t="shared" si="25"/>
        <v xml:space="preserve"> -&gt; </v>
      </c>
    </row>
    <row r="295" spans="1:20" x14ac:dyDescent="0.3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1"/>
        <v/>
      </c>
      <c r="P295">
        <f>'Combined Delivery Data'!B293</f>
        <v>0</v>
      </c>
      <c r="Q295">
        <f t="shared" si="22"/>
        <v>0</v>
      </c>
      <c r="R295">
        <f t="shared" si="23"/>
        <v>491</v>
      </c>
      <c r="S295" s="28">
        <f t="shared" si="24"/>
        <v>0</v>
      </c>
      <c r="T295" t="str">
        <f t="shared" si="25"/>
        <v xml:space="preserve"> -&gt; </v>
      </c>
    </row>
    <row r="296" spans="1:20" x14ac:dyDescent="0.3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1"/>
        <v/>
      </c>
      <c r="P296">
        <f>'Combined Delivery Data'!B294</f>
        <v>0</v>
      </c>
      <c r="Q296">
        <f t="shared" si="22"/>
        <v>0</v>
      </c>
      <c r="R296">
        <f t="shared" si="23"/>
        <v>491</v>
      </c>
      <c r="S296" s="28">
        <f t="shared" si="24"/>
        <v>0</v>
      </c>
      <c r="T296" t="str">
        <f t="shared" si="25"/>
        <v xml:space="preserve"> -&gt; </v>
      </c>
    </row>
    <row r="297" spans="1:20" x14ac:dyDescent="0.3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1"/>
        <v/>
      </c>
      <c r="P297">
        <f>'Combined Delivery Data'!B295</f>
        <v>0</v>
      </c>
      <c r="Q297">
        <f t="shared" si="22"/>
        <v>0</v>
      </c>
      <c r="R297">
        <f t="shared" si="23"/>
        <v>491</v>
      </c>
      <c r="S297" s="28">
        <f t="shared" si="24"/>
        <v>0</v>
      </c>
      <c r="T297" t="str">
        <f t="shared" si="25"/>
        <v xml:space="preserve"> -&gt; </v>
      </c>
    </row>
    <row r="298" spans="1:20" x14ac:dyDescent="0.3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1"/>
        <v/>
      </c>
      <c r="P298">
        <f>'Combined Delivery Data'!B296</f>
        <v>0</v>
      </c>
      <c r="Q298">
        <f t="shared" si="22"/>
        <v>0</v>
      </c>
      <c r="R298">
        <f t="shared" si="23"/>
        <v>491</v>
      </c>
      <c r="S298" s="28">
        <f t="shared" si="24"/>
        <v>0</v>
      </c>
      <c r="T298" t="str">
        <f t="shared" si="25"/>
        <v xml:space="preserve"> -&gt; </v>
      </c>
    </row>
    <row r="299" spans="1:20" x14ac:dyDescent="0.3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1"/>
        <v/>
      </c>
      <c r="P299">
        <f>'Combined Delivery Data'!B297</f>
        <v>0</v>
      </c>
      <c r="Q299">
        <f t="shared" si="22"/>
        <v>0</v>
      </c>
      <c r="R299">
        <f t="shared" si="23"/>
        <v>491</v>
      </c>
      <c r="S299" s="28">
        <f t="shared" si="24"/>
        <v>0</v>
      </c>
      <c r="T299" t="str">
        <f t="shared" si="25"/>
        <v xml:space="preserve"> -&gt; </v>
      </c>
    </row>
    <row r="300" spans="1:20" x14ac:dyDescent="0.3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1"/>
        <v/>
      </c>
      <c r="P300">
        <f>'Combined Delivery Data'!B298</f>
        <v>0</v>
      </c>
      <c r="Q300">
        <f t="shared" si="22"/>
        <v>0</v>
      </c>
      <c r="R300">
        <f t="shared" si="23"/>
        <v>491</v>
      </c>
      <c r="S300" s="28">
        <f t="shared" si="24"/>
        <v>0</v>
      </c>
      <c r="T300" t="str">
        <f t="shared" si="25"/>
        <v xml:space="preserve"> -&gt; </v>
      </c>
    </row>
    <row r="301" spans="1:20" x14ac:dyDescent="0.3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1"/>
        <v/>
      </c>
      <c r="P301">
        <f>'Combined Delivery Data'!B299</f>
        <v>0</v>
      </c>
      <c r="Q301">
        <f t="shared" si="22"/>
        <v>0</v>
      </c>
      <c r="R301">
        <f t="shared" si="23"/>
        <v>491</v>
      </c>
      <c r="S301" s="28">
        <f t="shared" si="24"/>
        <v>0</v>
      </c>
      <c r="T301" t="str">
        <f t="shared" si="25"/>
        <v xml:space="preserve"> -&gt; </v>
      </c>
    </row>
    <row r="302" spans="1:20" x14ac:dyDescent="0.3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1"/>
        <v/>
      </c>
      <c r="P302">
        <f>'Combined Delivery Data'!B300</f>
        <v>0</v>
      </c>
      <c r="Q302">
        <f t="shared" si="22"/>
        <v>0</v>
      </c>
      <c r="R302">
        <f t="shared" si="23"/>
        <v>491</v>
      </c>
      <c r="S302" s="28">
        <f t="shared" si="24"/>
        <v>0</v>
      </c>
      <c r="T302" t="str">
        <f t="shared" si="25"/>
        <v xml:space="preserve"> -&gt; </v>
      </c>
    </row>
    <row r="303" spans="1:20" x14ac:dyDescent="0.3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1"/>
        <v/>
      </c>
      <c r="P303">
        <f>'Combined Delivery Data'!B301</f>
        <v>0</v>
      </c>
      <c r="Q303">
        <f t="shared" si="22"/>
        <v>0</v>
      </c>
      <c r="R303">
        <f t="shared" si="23"/>
        <v>491</v>
      </c>
      <c r="S303" s="28">
        <f t="shared" si="24"/>
        <v>0</v>
      </c>
      <c r="T303" t="str">
        <f t="shared" si="25"/>
        <v xml:space="preserve"> -&gt; </v>
      </c>
    </row>
    <row r="304" spans="1:20" x14ac:dyDescent="0.3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1"/>
        <v/>
      </c>
      <c r="P304">
        <f>'Combined Delivery Data'!B302</f>
        <v>0</v>
      </c>
      <c r="Q304">
        <f t="shared" si="22"/>
        <v>0</v>
      </c>
      <c r="R304">
        <f t="shared" si="23"/>
        <v>491</v>
      </c>
      <c r="S304" s="28">
        <f t="shared" si="24"/>
        <v>0</v>
      </c>
      <c r="T304" t="str">
        <f t="shared" si="25"/>
        <v xml:space="preserve"> -&gt; </v>
      </c>
    </row>
    <row r="305" spans="1:20" x14ac:dyDescent="0.3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1"/>
        <v/>
      </c>
      <c r="P305">
        <f>'Combined Delivery Data'!B303</f>
        <v>0</v>
      </c>
      <c r="Q305">
        <f t="shared" si="22"/>
        <v>0</v>
      </c>
      <c r="R305">
        <f t="shared" si="23"/>
        <v>491</v>
      </c>
      <c r="S305" s="28">
        <f t="shared" si="24"/>
        <v>0</v>
      </c>
      <c r="T305" t="str">
        <f t="shared" si="25"/>
        <v xml:space="preserve"> -&gt; </v>
      </c>
    </row>
    <row r="306" spans="1:20" x14ac:dyDescent="0.3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1"/>
        <v/>
      </c>
      <c r="P306">
        <f>'Combined Delivery Data'!B304</f>
        <v>0</v>
      </c>
      <c r="Q306">
        <f t="shared" si="22"/>
        <v>0</v>
      </c>
      <c r="R306">
        <f t="shared" si="23"/>
        <v>491</v>
      </c>
      <c r="S306" s="28">
        <f t="shared" si="24"/>
        <v>0</v>
      </c>
      <c r="T306" t="str">
        <f t="shared" si="25"/>
        <v xml:space="preserve"> -&gt; </v>
      </c>
    </row>
    <row r="307" spans="1:20" x14ac:dyDescent="0.3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1"/>
        <v/>
      </c>
      <c r="P307">
        <f>'Combined Delivery Data'!B305</f>
        <v>0</v>
      </c>
      <c r="Q307">
        <f t="shared" si="22"/>
        <v>0</v>
      </c>
      <c r="R307">
        <f t="shared" si="23"/>
        <v>491</v>
      </c>
      <c r="S307" s="28">
        <f t="shared" si="24"/>
        <v>0</v>
      </c>
      <c r="T307" t="str">
        <f t="shared" si="25"/>
        <v xml:space="preserve"> -&gt; </v>
      </c>
    </row>
    <row r="308" spans="1:20" x14ac:dyDescent="0.3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1"/>
        <v/>
      </c>
      <c r="P308">
        <f>'Combined Delivery Data'!B306</f>
        <v>0</v>
      </c>
      <c r="Q308">
        <f t="shared" si="22"/>
        <v>0</v>
      </c>
      <c r="R308">
        <f t="shared" si="23"/>
        <v>491</v>
      </c>
      <c r="S308" s="28">
        <f t="shared" si="24"/>
        <v>0</v>
      </c>
      <c r="T308" t="str">
        <f t="shared" si="25"/>
        <v xml:space="preserve"> -&gt; </v>
      </c>
    </row>
    <row r="309" spans="1:20" x14ac:dyDescent="0.3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1"/>
        <v/>
      </c>
      <c r="P309">
        <f>'Combined Delivery Data'!B307</f>
        <v>0</v>
      </c>
      <c r="Q309">
        <f t="shared" si="22"/>
        <v>0</v>
      </c>
      <c r="R309">
        <f t="shared" si="23"/>
        <v>491</v>
      </c>
      <c r="S309" s="28">
        <f t="shared" si="24"/>
        <v>0</v>
      </c>
      <c r="T309" t="str">
        <f t="shared" si="25"/>
        <v xml:space="preserve"> -&gt; </v>
      </c>
    </row>
    <row r="310" spans="1:20" x14ac:dyDescent="0.3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1"/>
        <v/>
      </c>
      <c r="P310">
        <f>'Combined Delivery Data'!B308</f>
        <v>0</v>
      </c>
      <c r="Q310">
        <f t="shared" si="22"/>
        <v>0</v>
      </c>
      <c r="R310">
        <f t="shared" si="23"/>
        <v>491</v>
      </c>
      <c r="S310" s="28">
        <f t="shared" si="24"/>
        <v>0</v>
      </c>
      <c r="T310" t="str">
        <f t="shared" si="25"/>
        <v xml:space="preserve"> -&gt; </v>
      </c>
    </row>
    <row r="311" spans="1:20" x14ac:dyDescent="0.3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1"/>
        <v/>
      </c>
      <c r="P311">
        <f>'Combined Delivery Data'!B309</f>
        <v>0</v>
      </c>
      <c r="Q311">
        <f t="shared" si="22"/>
        <v>0</v>
      </c>
      <c r="R311">
        <f t="shared" si="23"/>
        <v>491</v>
      </c>
      <c r="S311" s="28">
        <f t="shared" si="24"/>
        <v>0</v>
      </c>
      <c r="T311" t="str">
        <f t="shared" si="25"/>
        <v xml:space="preserve"> -&gt; </v>
      </c>
    </row>
    <row r="312" spans="1:20" x14ac:dyDescent="0.3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1"/>
        <v/>
      </c>
      <c r="P312">
        <f>'Combined Delivery Data'!B310</f>
        <v>0</v>
      </c>
      <c r="Q312">
        <f t="shared" si="22"/>
        <v>0</v>
      </c>
      <c r="R312">
        <f t="shared" si="23"/>
        <v>491</v>
      </c>
      <c r="S312" s="28">
        <f t="shared" si="24"/>
        <v>0</v>
      </c>
      <c r="T312" t="str">
        <f t="shared" si="25"/>
        <v xml:space="preserve"> -&gt; </v>
      </c>
    </row>
    <row r="313" spans="1:20" x14ac:dyDescent="0.3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1"/>
        <v/>
      </c>
      <c r="P313">
        <f>'Combined Delivery Data'!B311</f>
        <v>0</v>
      </c>
      <c r="Q313">
        <f t="shared" si="22"/>
        <v>0</v>
      </c>
      <c r="R313">
        <f t="shared" si="23"/>
        <v>491</v>
      </c>
      <c r="S313" s="28">
        <f t="shared" si="24"/>
        <v>0</v>
      </c>
      <c r="T313" t="str">
        <f t="shared" si="25"/>
        <v xml:space="preserve"> -&gt; </v>
      </c>
    </row>
    <row r="314" spans="1:20" x14ac:dyDescent="0.3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1"/>
        <v/>
      </c>
      <c r="P314">
        <f>'Combined Delivery Data'!B312</f>
        <v>0</v>
      </c>
      <c r="Q314">
        <f t="shared" si="22"/>
        <v>0</v>
      </c>
      <c r="R314">
        <f t="shared" si="23"/>
        <v>491</v>
      </c>
      <c r="S314" s="28">
        <f t="shared" si="24"/>
        <v>0</v>
      </c>
      <c r="T314" t="str">
        <f t="shared" si="25"/>
        <v xml:space="preserve"> -&gt; </v>
      </c>
    </row>
    <row r="315" spans="1:20" x14ac:dyDescent="0.3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1"/>
        <v/>
      </c>
      <c r="P315">
        <f>'Combined Delivery Data'!B313</f>
        <v>0</v>
      </c>
      <c r="Q315">
        <f t="shared" si="22"/>
        <v>0</v>
      </c>
      <c r="R315">
        <f t="shared" si="23"/>
        <v>491</v>
      </c>
      <c r="S315" s="28">
        <f t="shared" si="24"/>
        <v>0</v>
      </c>
      <c r="T315" t="str">
        <f t="shared" si="25"/>
        <v xml:space="preserve"> -&gt; </v>
      </c>
    </row>
    <row r="316" spans="1:20" x14ac:dyDescent="0.3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1"/>
        <v/>
      </c>
      <c r="P316">
        <f>'Combined Delivery Data'!B314</f>
        <v>0</v>
      </c>
      <c r="Q316">
        <f t="shared" si="22"/>
        <v>0</v>
      </c>
      <c r="R316">
        <f t="shared" si="23"/>
        <v>491</v>
      </c>
      <c r="S316" s="28">
        <f t="shared" si="24"/>
        <v>0</v>
      </c>
      <c r="T316" t="str">
        <f t="shared" si="25"/>
        <v xml:space="preserve"> -&gt; </v>
      </c>
    </row>
    <row r="317" spans="1:20" x14ac:dyDescent="0.3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1"/>
        <v/>
      </c>
      <c r="P317">
        <f>'Combined Delivery Data'!B315</f>
        <v>0</v>
      </c>
      <c r="Q317">
        <f t="shared" si="22"/>
        <v>0</v>
      </c>
      <c r="R317">
        <f t="shared" si="23"/>
        <v>491</v>
      </c>
      <c r="S317" s="28">
        <f t="shared" si="24"/>
        <v>0</v>
      </c>
      <c r="T317" t="str">
        <f t="shared" si="25"/>
        <v xml:space="preserve"> -&gt; </v>
      </c>
    </row>
    <row r="318" spans="1:20" x14ac:dyDescent="0.3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1"/>
        <v/>
      </c>
      <c r="P318">
        <f>'Combined Delivery Data'!B316</f>
        <v>0</v>
      </c>
      <c r="Q318">
        <f t="shared" si="22"/>
        <v>0</v>
      </c>
      <c r="R318">
        <f t="shared" si="23"/>
        <v>491</v>
      </c>
      <c r="S318" s="28">
        <f t="shared" si="24"/>
        <v>0</v>
      </c>
      <c r="T318" t="str">
        <f t="shared" si="25"/>
        <v xml:space="preserve"> -&gt; </v>
      </c>
    </row>
    <row r="319" spans="1:20" x14ac:dyDescent="0.3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1"/>
        <v/>
      </c>
      <c r="P319">
        <f>'Combined Delivery Data'!B317</f>
        <v>0</v>
      </c>
      <c r="Q319">
        <f t="shared" si="22"/>
        <v>0</v>
      </c>
      <c r="R319">
        <f t="shared" si="23"/>
        <v>491</v>
      </c>
      <c r="S319" s="28">
        <f t="shared" si="24"/>
        <v>0</v>
      </c>
      <c r="T319" t="str">
        <f t="shared" si="25"/>
        <v xml:space="preserve"> -&gt; </v>
      </c>
    </row>
    <row r="320" spans="1:20" x14ac:dyDescent="0.3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1"/>
        <v/>
      </c>
      <c r="P320">
        <f>'Combined Delivery Data'!B318</f>
        <v>0</v>
      </c>
      <c r="Q320">
        <f t="shared" si="22"/>
        <v>0</v>
      </c>
      <c r="R320">
        <f t="shared" si="23"/>
        <v>491</v>
      </c>
      <c r="S320" s="28">
        <f t="shared" si="24"/>
        <v>0</v>
      </c>
      <c r="T320" t="str">
        <f t="shared" si="25"/>
        <v xml:space="preserve"> -&gt; </v>
      </c>
    </row>
    <row r="321" spans="1:20" x14ac:dyDescent="0.3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1"/>
        <v/>
      </c>
      <c r="P321">
        <f>'Combined Delivery Data'!B319</f>
        <v>0</v>
      </c>
      <c r="Q321">
        <f t="shared" si="22"/>
        <v>0</v>
      </c>
      <c r="R321">
        <f t="shared" si="23"/>
        <v>491</v>
      </c>
      <c r="S321" s="28">
        <f t="shared" si="24"/>
        <v>0</v>
      </c>
      <c r="T321" t="str">
        <f t="shared" si="25"/>
        <v xml:space="preserve"> -&gt; </v>
      </c>
    </row>
    <row r="322" spans="1:20" x14ac:dyDescent="0.3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1"/>
        <v/>
      </c>
      <c r="P322">
        <f>'Combined Delivery Data'!B320</f>
        <v>0</v>
      </c>
      <c r="Q322">
        <f t="shared" si="22"/>
        <v>0</v>
      </c>
      <c r="R322">
        <f t="shared" si="23"/>
        <v>491</v>
      </c>
      <c r="S322" s="28">
        <f t="shared" si="24"/>
        <v>0</v>
      </c>
      <c r="T322" t="str">
        <f t="shared" si="25"/>
        <v xml:space="preserve"> -&gt; </v>
      </c>
    </row>
    <row r="323" spans="1:20" x14ac:dyDescent="0.3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 t="shared" ref="Q323:Q386" si="27">IF($P323="","",COUNTIF($A$3:$A$500,$P323))</f>
        <v>0</v>
      </c>
      <c r="R323">
        <f t="shared" ref="R323:R386" si="28">IF($P323="","",SUMPRODUCT(($A$3:$A$500=$P323)*($G$3:$G$500&lt;&gt;"Yes")*($G$3:$G$500&lt;&gt;"Did not pass re-test")))</f>
        <v>491</v>
      </c>
      <c r="S323" s="28">
        <f t="shared" ref="S323:S386" si="29">IF($P323="","",IF(SUMPRODUCT(MAX(($A$3:$A$500=$P323)*ROW($A$3:$A$500)))=0,"",INDEX($B:$B,SUMPRODUCT(MAX(($A$3:$A$500=$P323)*ROW($A$3:$A$500))))))</f>
        <v>0</v>
      </c>
      <c r="T323" t="str">
        <f t="shared" ref="T323:T386" si="30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 x14ac:dyDescent="0.3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6"/>
        <v/>
      </c>
      <c r="P324">
        <f>'Combined Delivery Data'!B322</f>
        <v>0</v>
      </c>
      <c r="Q324">
        <f t="shared" si="27"/>
        <v>0</v>
      </c>
      <c r="R324">
        <f t="shared" si="28"/>
        <v>491</v>
      </c>
      <c r="S324" s="28">
        <f t="shared" si="29"/>
        <v>0</v>
      </c>
      <c r="T324" t="str">
        <f t="shared" si="30"/>
        <v xml:space="preserve"> -&gt; </v>
      </c>
    </row>
    <row r="325" spans="1:20" x14ac:dyDescent="0.3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6"/>
        <v/>
      </c>
      <c r="P325">
        <f>'Combined Delivery Data'!B323</f>
        <v>0</v>
      </c>
      <c r="Q325">
        <f t="shared" si="27"/>
        <v>0</v>
      </c>
      <c r="R325">
        <f t="shared" si="28"/>
        <v>491</v>
      </c>
      <c r="S325" s="28">
        <f t="shared" si="29"/>
        <v>0</v>
      </c>
      <c r="T325" t="str">
        <f t="shared" si="30"/>
        <v xml:space="preserve"> -&gt; </v>
      </c>
    </row>
    <row r="326" spans="1:20" x14ac:dyDescent="0.3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6"/>
        <v/>
      </c>
      <c r="P326">
        <f>'Combined Delivery Data'!B324</f>
        <v>0</v>
      </c>
      <c r="Q326">
        <f t="shared" si="27"/>
        <v>0</v>
      </c>
      <c r="R326">
        <f t="shared" si="28"/>
        <v>491</v>
      </c>
      <c r="S326" s="28">
        <f t="shared" si="29"/>
        <v>0</v>
      </c>
      <c r="T326" t="str">
        <f t="shared" si="30"/>
        <v xml:space="preserve"> -&gt; </v>
      </c>
    </row>
    <row r="327" spans="1:20" x14ac:dyDescent="0.3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6"/>
        <v/>
      </c>
      <c r="P327">
        <f>'Combined Delivery Data'!B325</f>
        <v>0</v>
      </c>
      <c r="Q327">
        <f t="shared" si="27"/>
        <v>0</v>
      </c>
      <c r="R327">
        <f t="shared" si="28"/>
        <v>491</v>
      </c>
      <c r="S327" s="28">
        <f t="shared" si="29"/>
        <v>0</v>
      </c>
      <c r="T327" t="str">
        <f t="shared" si="30"/>
        <v xml:space="preserve"> -&gt; </v>
      </c>
    </row>
    <row r="328" spans="1:20" x14ac:dyDescent="0.3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6"/>
        <v/>
      </c>
      <c r="P328">
        <f>'Combined Delivery Data'!B326</f>
        <v>0</v>
      </c>
      <c r="Q328">
        <f t="shared" si="27"/>
        <v>0</v>
      </c>
      <c r="R328">
        <f t="shared" si="28"/>
        <v>491</v>
      </c>
      <c r="S328" s="28">
        <f t="shared" si="29"/>
        <v>0</v>
      </c>
      <c r="T328" t="str">
        <f t="shared" si="30"/>
        <v xml:space="preserve"> -&gt; </v>
      </c>
    </row>
    <row r="329" spans="1:20" x14ac:dyDescent="0.3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6"/>
        <v/>
      </c>
      <c r="P329">
        <f>'Combined Delivery Data'!B327</f>
        <v>0</v>
      </c>
      <c r="Q329">
        <f t="shared" si="27"/>
        <v>0</v>
      </c>
      <c r="R329">
        <f t="shared" si="28"/>
        <v>491</v>
      </c>
      <c r="S329" s="28">
        <f t="shared" si="29"/>
        <v>0</v>
      </c>
      <c r="T329" t="str">
        <f t="shared" si="30"/>
        <v xml:space="preserve"> -&gt; </v>
      </c>
    </row>
    <row r="330" spans="1:20" x14ac:dyDescent="0.3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6"/>
        <v/>
      </c>
      <c r="P330">
        <f>'Combined Delivery Data'!B328</f>
        <v>0</v>
      </c>
      <c r="Q330">
        <f t="shared" si="27"/>
        <v>0</v>
      </c>
      <c r="R330">
        <f t="shared" si="28"/>
        <v>491</v>
      </c>
      <c r="S330" s="28">
        <f t="shared" si="29"/>
        <v>0</v>
      </c>
      <c r="T330" t="str">
        <f t="shared" si="30"/>
        <v xml:space="preserve"> -&gt; </v>
      </c>
    </row>
    <row r="331" spans="1:20" x14ac:dyDescent="0.3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6"/>
        <v/>
      </c>
      <c r="P331">
        <f>'Combined Delivery Data'!B329</f>
        <v>0</v>
      </c>
      <c r="Q331">
        <f t="shared" si="27"/>
        <v>0</v>
      </c>
      <c r="R331">
        <f t="shared" si="28"/>
        <v>491</v>
      </c>
      <c r="S331" s="28">
        <f t="shared" si="29"/>
        <v>0</v>
      </c>
      <c r="T331" t="str">
        <f t="shared" si="30"/>
        <v xml:space="preserve"> -&gt; </v>
      </c>
    </row>
    <row r="332" spans="1:20" x14ac:dyDescent="0.3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6"/>
        <v/>
      </c>
      <c r="P332">
        <f>'Combined Delivery Data'!B330</f>
        <v>0</v>
      </c>
      <c r="Q332">
        <f t="shared" si="27"/>
        <v>0</v>
      </c>
      <c r="R332">
        <f t="shared" si="28"/>
        <v>491</v>
      </c>
      <c r="S332" s="28">
        <f t="shared" si="29"/>
        <v>0</v>
      </c>
      <c r="T332" t="str">
        <f t="shared" si="30"/>
        <v xml:space="preserve"> -&gt; </v>
      </c>
    </row>
    <row r="333" spans="1:20" x14ac:dyDescent="0.3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6"/>
        <v/>
      </c>
      <c r="P333">
        <f>'Combined Delivery Data'!B331</f>
        <v>0</v>
      </c>
      <c r="Q333">
        <f t="shared" si="27"/>
        <v>0</v>
      </c>
      <c r="R333">
        <f t="shared" si="28"/>
        <v>491</v>
      </c>
      <c r="S333" s="28">
        <f t="shared" si="29"/>
        <v>0</v>
      </c>
      <c r="T333" t="str">
        <f t="shared" si="30"/>
        <v xml:space="preserve"> -&gt; </v>
      </c>
    </row>
    <row r="334" spans="1:20" x14ac:dyDescent="0.3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6"/>
        <v/>
      </c>
      <c r="P334">
        <f>'Combined Delivery Data'!B332</f>
        <v>0</v>
      </c>
      <c r="Q334">
        <f t="shared" si="27"/>
        <v>0</v>
      </c>
      <c r="R334">
        <f t="shared" si="28"/>
        <v>491</v>
      </c>
      <c r="S334" s="28">
        <f t="shared" si="29"/>
        <v>0</v>
      </c>
      <c r="T334" t="str">
        <f t="shared" si="30"/>
        <v xml:space="preserve"> -&gt; </v>
      </c>
    </row>
    <row r="335" spans="1:20" x14ac:dyDescent="0.3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6"/>
        <v/>
      </c>
      <c r="P335">
        <f>'Combined Delivery Data'!B333</f>
        <v>0</v>
      </c>
      <c r="Q335">
        <f t="shared" si="27"/>
        <v>0</v>
      </c>
      <c r="R335">
        <f t="shared" si="28"/>
        <v>491</v>
      </c>
      <c r="S335" s="28">
        <f t="shared" si="29"/>
        <v>0</v>
      </c>
      <c r="T335" t="str">
        <f t="shared" si="30"/>
        <v xml:space="preserve"> -&gt; </v>
      </c>
    </row>
    <row r="336" spans="1:20" x14ac:dyDescent="0.3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6"/>
        <v/>
      </c>
      <c r="P336">
        <f>'Combined Delivery Data'!B334</f>
        <v>0</v>
      </c>
      <c r="Q336">
        <f t="shared" si="27"/>
        <v>0</v>
      </c>
      <c r="R336">
        <f t="shared" si="28"/>
        <v>491</v>
      </c>
      <c r="S336" s="28">
        <f t="shared" si="29"/>
        <v>0</v>
      </c>
      <c r="T336" t="str">
        <f t="shared" si="30"/>
        <v xml:space="preserve"> -&gt; </v>
      </c>
    </row>
    <row r="337" spans="1:20" x14ac:dyDescent="0.3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6"/>
        <v/>
      </c>
      <c r="P337">
        <f>'Combined Delivery Data'!B335</f>
        <v>0</v>
      </c>
      <c r="Q337">
        <f t="shared" si="27"/>
        <v>0</v>
      </c>
      <c r="R337">
        <f t="shared" si="28"/>
        <v>491</v>
      </c>
      <c r="S337" s="28">
        <f t="shared" si="29"/>
        <v>0</v>
      </c>
      <c r="T337" t="str">
        <f t="shared" si="30"/>
        <v xml:space="preserve"> -&gt; </v>
      </c>
    </row>
    <row r="338" spans="1:20" x14ac:dyDescent="0.3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6"/>
        <v/>
      </c>
      <c r="P338">
        <f>'Combined Delivery Data'!B336</f>
        <v>0</v>
      </c>
      <c r="Q338">
        <f t="shared" si="27"/>
        <v>0</v>
      </c>
      <c r="R338">
        <f t="shared" si="28"/>
        <v>491</v>
      </c>
      <c r="S338" s="28">
        <f t="shared" si="29"/>
        <v>0</v>
      </c>
      <c r="T338" t="str">
        <f t="shared" si="30"/>
        <v xml:space="preserve"> -&gt; </v>
      </c>
    </row>
    <row r="339" spans="1:20" x14ac:dyDescent="0.3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6"/>
        <v/>
      </c>
      <c r="P339">
        <f>'Combined Delivery Data'!B337</f>
        <v>0</v>
      </c>
      <c r="Q339">
        <f t="shared" si="27"/>
        <v>0</v>
      </c>
      <c r="R339">
        <f t="shared" si="28"/>
        <v>491</v>
      </c>
      <c r="S339" s="28">
        <f t="shared" si="29"/>
        <v>0</v>
      </c>
      <c r="T339" t="str">
        <f t="shared" si="30"/>
        <v xml:space="preserve"> -&gt; </v>
      </c>
    </row>
    <row r="340" spans="1:20" x14ac:dyDescent="0.3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6"/>
        <v/>
      </c>
      <c r="P340">
        <f>'Combined Delivery Data'!B338</f>
        <v>0</v>
      </c>
      <c r="Q340">
        <f t="shared" si="27"/>
        <v>0</v>
      </c>
      <c r="R340">
        <f t="shared" si="28"/>
        <v>491</v>
      </c>
      <c r="S340" s="28">
        <f t="shared" si="29"/>
        <v>0</v>
      </c>
      <c r="T340" t="str">
        <f t="shared" si="30"/>
        <v xml:space="preserve"> -&gt; </v>
      </c>
    </row>
    <row r="341" spans="1:20" x14ac:dyDescent="0.3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6"/>
        <v/>
      </c>
      <c r="P341">
        <f>'Combined Delivery Data'!B339</f>
        <v>0</v>
      </c>
      <c r="Q341">
        <f t="shared" si="27"/>
        <v>0</v>
      </c>
      <c r="R341">
        <f t="shared" si="28"/>
        <v>491</v>
      </c>
      <c r="S341" s="28">
        <f t="shared" si="29"/>
        <v>0</v>
      </c>
      <c r="T341" t="str">
        <f t="shared" si="30"/>
        <v xml:space="preserve"> -&gt; </v>
      </c>
    </row>
    <row r="342" spans="1:20" x14ac:dyDescent="0.3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6"/>
        <v/>
      </c>
      <c r="P342">
        <f>'Combined Delivery Data'!B340</f>
        <v>0</v>
      </c>
      <c r="Q342">
        <f t="shared" si="27"/>
        <v>0</v>
      </c>
      <c r="R342">
        <f t="shared" si="28"/>
        <v>491</v>
      </c>
      <c r="S342" s="28">
        <f t="shared" si="29"/>
        <v>0</v>
      </c>
      <c r="T342" t="str">
        <f t="shared" si="30"/>
        <v xml:space="preserve"> -&gt; </v>
      </c>
    </row>
    <row r="343" spans="1:20" x14ac:dyDescent="0.3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6"/>
        <v/>
      </c>
      <c r="P343">
        <f>'Combined Delivery Data'!B341</f>
        <v>0</v>
      </c>
      <c r="Q343">
        <f t="shared" si="27"/>
        <v>0</v>
      </c>
      <c r="R343">
        <f t="shared" si="28"/>
        <v>491</v>
      </c>
      <c r="S343" s="28">
        <f t="shared" si="29"/>
        <v>0</v>
      </c>
      <c r="T343" t="str">
        <f t="shared" si="30"/>
        <v xml:space="preserve"> -&gt; </v>
      </c>
    </row>
    <row r="344" spans="1:20" x14ac:dyDescent="0.3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6"/>
        <v/>
      </c>
      <c r="P344">
        <f>'Combined Delivery Data'!B342</f>
        <v>0</v>
      </c>
      <c r="Q344">
        <f t="shared" si="27"/>
        <v>0</v>
      </c>
      <c r="R344">
        <f t="shared" si="28"/>
        <v>491</v>
      </c>
      <c r="S344" s="28">
        <f t="shared" si="29"/>
        <v>0</v>
      </c>
      <c r="T344" t="str">
        <f t="shared" si="30"/>
        <v xml:space="preserve"> -&gt; </v>
      </c>
    </row>
    <row r="345" spans="1:20" x14ac:dyDescent="0.3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6"/>
        <v/>
      </c>
      <c r="P345">
        <f>'Combined Delivery Data'!B343</f>
        <v>0</v>
      </c>
      <c r="Q345">
        <f t="shared" si="27"/>
        <v>0</v>
      </c>
      <c r="R345">
        <f t="shared" si="28"/>
        <v>491</v>
      </c>
      <c r="S345" s="28">
        <f t="shared" si="29"/>
        <v>0</v>
      </c>
      <c r="T345" t="str">
        <f t="shared" si="30"/>
        <v xml:space="preserve"> -&gt; </v>
      </c>
    </row>
    <row r="346" spans="1:20" x14ac:dyDescent="0.3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6"/>
        <v/>
      </c>
      <c r="P346">
        <f>'Combined Delivery Data'!B344</f>
        <v>0</v>
      </c>
      <c r="Q346">
        <f t="shared" si="27"/>
        <v>0</v>
      </c>
      <c r="R346">
        <f t="shared" si="28"/>
        <v>491</v>
      </c>
      <c r="S346" s="28">
        <f t="shared" si="29"/>
        <v>0</v>
      </c>
      <c r="T346" t="str">
        <f t="shared" si="30"/>
        <v xml:space="preserve"> -&gt; </v>
      </c>
    </row>
    <row r="347" spans="1:20" x14ac:dyDescent="0.3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6"/>
        <v/>
      </c>
      <c r="P347">
        <f>'Combined Delivery Data'!B345</f>
        <v>0</v>
      </c>
      <c r="Q347">
        <f t="shared" si="27"/>
        <v>0</v>
      </c>
      <c r="R347">
        <f t="shared" si="28"/>
        <v>491</v>
      </c>
      <c r="S347" s="28">
        <f t="shared" si="29"/>
        <v>0</v>
      </c>
      <c r="T347" t="str">
        <f t="shared" si="30"/>
        <v xml:space="preserve"> -&gt; </v>
      </c>
    </row>
    <row r="348" spans="1:20" x14ac:dyDescent="0.3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6"/>
        <v/>
      </c>
      <c r="P348">
        <f>'Combined Delivery Data'!B346</f>
        <v>0</v>
      </c>
      <c r="Q348">
        <f t="shared" si="27"/>
        <v>0</v>
      </c>
      <c r="R348">
        <f t="shared" si="28"/>
        <v>491</v>
      </c>
      <c r="S348" s="28">
        <f t="shared" si="29"/>
        <v>0</v>
      </c>
      <c r="T348" t="str">
        <f t="shared" si="30"/>
        <v xml:space="preserve"> -&gt; </v>
      </c>
    </row>
    <row r="349" spans="1:20" x14ac:dyDescent="0.3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6"/>
        <v/>
      </c>
      <c r="P349">
        <f>'Combined Delivery Data'!B347</f>
        <v>0</v>
      </c>
      <c r="Q349">
        <f t="shared" si="27"/>
        <v>0</v>
      </c>
      <c r="R349">
        <f t="shared" si="28"/>
        <v>491</v>
      </c>
      <c r="S349" s="28">
        <f t="shared" si="29"/>
        <v>0</v>
      </c>
      <c r="T349" t="str">
        <f t="shared" si="30"/>
        <v xml:space="preserve"> -&gt; </v>
      </c>
    </row>
    <row r="350" spans="1:20" x14ac:dyDescent="0.3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6"/>
        <v/>
      </c>
      <c r="P350">
        <f>'Combined Delivery Data'!B348</f>
        <v>0</v>
      </c>
      <c r="Q350">
        <f t="shared" si="27"/>
        <v>0</v>
      </c>
      <c r="R350">
        <f t="shared" si="28"/>
        <v>491</v>
      </c>
      <c r="S350" s="28">
        <f t="shared" si="29"/>
        <v>0</v>
      </c>
      <c r="T350" t="str">
        <f t="shared" si="30"/>
        <v xml:space="preserve"> -&gt; </v>
      </c>
    </row>
    <row r="351" spans="1:20" x14ac:dyDescent="0.3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6"/>
        <v/>
      </c>
      <c r="P351">
        <f>'Combined Delivery Data'!B349</f>
        <v>0</v>
      </c>
      <c r="Q351">
        <f t="shared" si="27"/>
        <v>0</v>
      </c>
      <c r="R351">
        <f t="shared" si="28"/>
        <v>491</v>
      </c>
      <c r="S351" s="28">
        <f t="shared" si="29"/>
        <v>0</v>
      </c>
      <c r="T351" t="str">
        <f t="shared" si="30"/>
        <v xml:space="preserve"> -&gt; </v>
      </c>
    </row>
    <row r="352" spans="1:20" x14ac:dyDescent="0.3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6"/>
        <v/>
      </c>
      <c r="P352">
        <f>'Combined Delivery Data'!B350</f>
        <v>0</v>
      </c>
      <c r="Q352">
        <f t="shared" si="27"/>
        <v>0</v>
      </c>
      <c r="R352">
        <f t="shared" si="28"/>
        <v>491</v>
      </c>
      <c r="S352" s="28">
        <f t="shared" si="29"/>
        <v>0</v>
      </c>
      <c r="T352" t="str">
        <f t="shared" si="30"/>
        <v xml:space="preserve"> -&gt; </v>
      </c>
    </row>
    <row r="353" spans="1:20" x14ac:dyDescent="0.3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6"/>
        <v/>
      </c>
      <c r="P353">
        <f>'Combined Delivery Data'!B351</f>
        <v>0</v>
      </c>
      <c r="Q353">
        <f t="shared" si="27"/>
        <v>0</v>
      </c>
      <c r="R353">
        <f t="shared" si="28"/>
        <v>491</v>
      </c>
      <c r="S353" s="28">
        <f t="shared" si="29"/>
        <v>0</v>
      </c>
      <c r="T353" t="str">
        <f t="shared" si="30"/>
        <v xml:space="preserve"> -&gt; </v>
      </c>
    </row>
    <row r="354" spans="1:20" x14ac:dyDescent="0.3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6"/>
        <v/>
      </c>
      <c r="P354">
        <f>'Combined Delivery Data'!B352</f>
        <v>0</v>
      </c>
      <c r="Q354">
        <f t="shared" si="27"/>
        <v>0</v>
      </c>
      <c r="R354">
        <f t="shared" si="28"/>
        <v>491</v>
      </c>
      <c r="S354" s="28">
        <f t="shared" si="29"/>
        <v>0</v>
      </c>
      <c r="T354" t="str">
        <f t="shared" si="30"/>
        <v xml:space="preserve"> -&gt; </v>
      </c>
    </row>
    <row r="355" spans="1:20" x14ac:dyDescent="0.3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6"/>
        <v/>
      </c>
      <c r="P355">
        <f>'Combined Delivery Data'!B353</f>
        <v>0</v>
      </c>
      <c r="Q355">
        <f t="shared" si="27"/>
        <v>0</v>
      </c>
      <c r="R355">
        <f t="shared" si="28"/>
        <v>491</v>
      </c>
      <c r="S355" s="28">
        <f t="shared" si="29"/>
        <v>0</v>
      </c>
      <c r="T355" t="str">
        <f t="shared" si="30"/>
        <v xml:space="preserve"> -&gt; </v>
      </c>
    </row>
    <row r="356" spans="1:20" x14ac:dyDescent="0.3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6"/>
        <v/>
      </c>
      <c r="P356">
        <f>'Combined Delivery Data'!B354</f>
        <v>0</v>
      </c>
      <c r="Q356">
        <f t="shared" si="27"/>
        <v>0</v>
      </c>
      <c r="R356">
        <f t="shared" si="28"/>
        <v>491</v>
      </c>
      <c r="S356" s="28">
        <f t="shared" si="29"/>
        <v>0</v>
      </c>
      <c r="T356" t="str">
        <f t="shared" si="30"/>
        <v xml:space="preserve"> -&gt; </v>
      </c>
    </row>
    <row r="357" spans="1:20" x14ac:dyDescent="0.3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6"/>
        <v/>
      </c>
      <c r="P357">
        <f>'Combined Delivery Data'!B355</f>
        <v>0</v>
      </c>
      <c r="Q357">
        <f t="shared" si="27"/>
        <v>0</v>
      </c>
      <c r="R357">
        <f t="shared" si="28"/>
        <v>491</v>
      </c>
      <c r="S357" s="28">
        <f t="shared" si="29"/>
        <v>0</v>
      </c>
      <c r="T357" t="str">
        <f t="shared" si="30"/>
        <v xml:space="preserve"> -&gt; </v>
      </c>
    </row>
    <row r="358" spans="1:20" x14ac:dyDescent="0.3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6"/>
        <v/>
      </c>
      <c r="P358">
        <f>'Combined Delivery Data'!B356</f>
        <v>0</v>
      </c>
      <c r="Q358">
        <f t="shared" si="27"/>
        <v>0</v>
      </c>
      <c r="R358">
        <f t="shared" si="28"/>
        <v>491</v>
      </c>
      <c r="S358" s="28">
        <f t="shared" si="29"/>
        <v>0</v>
      </c>
      <c r="T358" t="str">
        <f t="shared" si="30"/>
        <v xml:space="preserve"> -&gt; </v>
      </c>
    </row>
    <row r="359" spans="1:20" x14ac:dyDescent="0.3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6"/>
        <v/>
      </c>
      <c r="P359">
        <f>'Combined Delivery Data'!B357</f>
        <v>0</v>
      </c>
      <c r="Q359">
        <f t="shared" si="27"/>
        <v>0</v>
      </c>
      <c r="R359">
        <f t="shared" si="28"/>
        <v>491</v>
      </c>
      <c r="S359" s="28">
        <f t="shared" si="29"/>
        <v>0</v>
      </c>
      <c r="T359" t="str">
        <f t="shared" si="30"/>
        <v xml:space="preserve"> -&gt; </v>
      </c>
    </row>
    <row r="360" spans="1:20" x14ac:dyDescent="0.3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6"/>
        <v/>
      </c>
      <c r="P360">
        <f>'Combined Delivery Data'!B358</f>
        <v>0</v>
      </c>
      <c r="Q360">
        <f t="shared" si="27"/>
        <v>0</v>
      </c>
      <c r="R360">
        <f t="shared" si="28"/>
        <v>491</v>
      </c>
      <c r="S360" s="28">
        <f t="shared" si="29"/>
        <v>0</v>
      </c>
      <c r="T360" t="str">
        <f t="shared" si="30"/>
        <v xml:space="preserve"> -&gt; </v>
      </c>
    </row>
    <row r="361" spans="1:20" x14ac:dyDescent="0.3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6"/>
        <v/>
      </c>
      <c r="P361">
        <f>'Combined Delivery Data'!B359</f>
        <v>0</v>
      </c>
      <c r="Q361">
        <f t="shared" si="27"/>
        <v>0</v>
      </c>
      <c r="R361">
        <f t="shared" si="28"/>
        <v>491</v>
      </c>
      <c r="S361" s="28">
        <f t="shared" si="29"/>
        <v>0</v>
      </c>
      <c r="T361" t="str">
        <f t="shared" si="30"/>
        <v xml:space="preserve"> -&gt; </v>
      </c>
    </row>
    <row r="362" spans="1:20" x14ac:dyDescent="0.3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6"/>
        <v/>
      </c>
      <c r="P362">
        <f>'Combined Delivery Data'!B360</f>
        <v>0</v>
      </c>
      <c r="Q362">
        <f t="shared" si="27"/>
        <v>0</v>
      </c>
      <c r="R362">
        <f t="shared" si="28"/>
        <v>491</v>
      </c>
      <c r="S362" s="28">
        <f t="shared" si="29"/>
        <v>0</v>
      </c>
      <c r="T362" t="str">
        <f t="shared" si="30"/>
        <v xml:space="preserve"> -&gt; </v>
      </c>
    </row>
    <row r="363" spans="1:20" x14ac:dyDescent="0.3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6"/>
        <v/>
      </c>
      <c r="P363">
        <f>'Combined Delivery Data'!B361</f>
        <v>0</v>
      </c>
      <c r="Q363">
        <f t="shared" si="27"/>
        <v>0</v>
      </c>
      <c r="R363">
        <f t="shared" si="28"/>
        <v>491</v>
      </c>
      <c r="S363" s="28">
        <f t="shared" si="29"/>
        <v>0</v>
      </c>
      <c r="T363" t="str">
        <f t="shared" si="30"/>
        <v xml:space="preserve"> -&gt; </v>
      </c>
    </row>
    <row r="364" spans="1:20" x14ac:dyDescent="0.3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6"/>
        <v/>
      </c>
      <c r="P364">
        <f>'Combined Delivery Data'!B362</f>
        <v>0</v>
      </c>
      <c r="Q364">
        <f t="shared" si="27"/>
        <v>0</v>
      </c>
      <c r="R364">
        <f t="shared" si="28"/>
        <v>491</v>
      </c>
      <c r="S364" s="28">
        <f t="shared" si="29"/>
        <v>0</v>
      </c>
      <c r="T364" t="str">
        <f t="shared" si="30"/>
        <v xml:space="preserve"> -&gt; </v>
      </c>
    </row>
    <row r="365" spans="1:20" x14ac:dyDescent="0.3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6"/>
        <v/>
      </c>
      <c r="P365">
        <f>'Combined Delivery Data'!B363</f>
        <v>0</v>
      </c>
      <c r="Q365">
        <f t="shared" si="27"/>
        <v>0</v>
      </c>
      <c r="R365">
        <f t="shared" si="28"/>
        <v>491</v>
      </c>
      <c r="S365" s="28">
        <f t="shared" si="29"/>
        <v>0</v>
      </c>
      <c r="T365" t="str">
        <f t="shared" si="30"/>
        <v xml:space="preserve"> -&gt; </v>
      </c>
    </row>
    <row r="366" spans="1:20" x14ac:dyDescent="0.3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6"/>
        <v/>
      </c>
      <c r="P366">
        <f>'Combined Delivery Data'!B364</f>
        <v>0</v>
      </c>
      <c r="Q366">
        <f t="shared" si="27"/>
        <v>0</v>
      </c>
      <c r="R366">
        <f t="shared" si="28"/>
        <v>491</v>
      </c>
      <c r="S366" s="28">
        <f t="shared" si="29"/>
        <v>0</v>
      </c>
      <c r="T366" t="str">
        <f t="shared" si="30"/>
        <v xml:space="preserve"> -&gt; </v>
      </c>
    </row>
    <row r="367" spans="1:20" x14ac:dyDescent="0.3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6"/>
        <v/>
      </c>
      <c r="P367">
        <f>'Combined Delivery Data'!B365</f>
        <v>0</v>
      </c>
      <c r="Q367">
        <f t="shared" si="27"/>
        <v>0</v>
      </c>
      <c r="R367">
        <f t="shared" si="28"/>
        <v>491</v>
      </c>
      <c r="S367" s="28">
        <f t="shared" si="29"/>
        <v>0</v>
      </c>
      <c r="T367" t="str">
        <f t="shared" si="30"/>
        <v xml:space="preserve"> -&gt; </v>
      </c>
    </row>
    <row r="368" spans="1:20" x14ac:dyDescent="0.3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6"/>
        <v/>
      </c>
      <c r="P368">
        <f>'Combined Delivery Data'!B366</f>
        <v>0</v>
      </c>
      <c r="Q368">
        <f t="shared" si="27"/>
        <v>0</v>
      </c>
      <c r="R368">
        <f t="shared" si="28"/>
        <v>491</v>
      </c>
      <c r="S368" s="28">
        <f t="shared" si="29"/>
        <v>0</v>
      </c>
      <c r="T368" t="str">
        <f t="shared" si="30"/>
        <v xml:space="preserve"> -&gt; </v>
      </c>
    </row>
    <row r="369" spans="1:20" x14ac:dyDescent="0.3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6"/>
        <v/>
      </c>
      <c r="P369">
        <f>'Combined Delivery Data'!B367</f>
        <v>0</v>
      </c>
      <c r="Q369">
        <f t="shared" si="27"/>
        <v>0</v>
      </c>
      <c r="R369">
        <f t="shared" si="28"/>
        <v>491</v>
      </c>
      <c r="S369" s="28">
        <f t="shared" si="29"/>
        <v>0</v>
      </c>
      <c r="T369" t="str">
        <f t="shared" si="30"/>
        <v xml:space="preserve"> -&gt; </v>
      </c>
    </row>
    <row r="370" spans="1:20" x14ac:dyDescent="0.3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6"/>
        <v/>
      </c>
      <c r="P370">
        <f>'Combined Delivery Data'!B368</f>
        <v>0</v>
      </c>
      <c r="Q370">
        <f t="shared" si="27"/>
        <v>0</v>
      </c>
      <c r="R370">
        <f t="shared" si="28"/>
        <v>491</v>
      </c>
      <c r="S370" s="28">
        <f t="shared" si="29"/>
        <v>0</v>
      </c>
      <c r="T370" t="str">
        <f t="shared" si="30"/>
        <v xml:space="preserve"> -&gt; </v>
      </c>
    </row>
    <row r="371" spans="1:20" x14ac:dyDescent="0.3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6"/>
        <v/>
      </c>
      <c r="P371">
        <f>'Combined Delivery Data'!B369</f>
        <v>0</v>
      </c>
      <c r="Q371">
        <f t="shared" si="27"/>
        <v>0</v>
      </c>
      <c r="R371">
        <f t="shared" si="28"/>
        <v>491</v>
      </c>
      <c r="S371" s="28">
        <f t="shared" si="29"/>
        <v>0</v>
      </c>
      <c r="T371" t="str">
        <f t="shared" si="30"/>
        <v xml:space="preserve"> -&gt; </v>
      </c>
    </row>
    <row r="372" spans="1:20" x14ac:dyDescent="0.3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6"/>
        <v/>
      </c>
      <c r="P372">
        <f>'Combined Delivery Data'!B370</f>
        <v>0</v>
      </c>
      <c r="Q372">
        <f t="shared" si="27"/>
        <v>0</v>
      </c>
      <c r="R372">
        <f t="shared" si="28"/>
        <v>491</v>
      </c>
      <c r="S372" s="28">
        <f t="shared" si="29"/>
        <v>0</v>
      </c>
      <c r="T372" t="str">
        <f t="shared" si="30"/>
        <v xml:space="preserve"> -&gt; </v>
      </c>
    </row>
    <row r="373" spans="1:20" x14ac:dyDescent="0.3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6"/>
        <v/>
      </c>
      <c r="P373">
        <f>'Combined Delivery Data'!B371</f>
        <v>0</v>
      </c>
      <c r="Q373">
        <f t="shared" si="27"/>
        <v>0</v>
      </c>
      <c r="R373">
        <f t="shared" si="28"/>
        <v>491</v>
      </c>
      <c r="S373" s="28">
        <f t="shared" si="29"/>
        <v>0</v>
      </c>
      <c r="T373" t="str">
        <f t="shared" si="30"/>
        <v xml:space="preserve"> -&gt; </v>
      </c>
    </row>
    <row r="374" spans="1:20" x14ac:dyDescent="0.3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6"/>
        <v/>
      </c>
      <c r="P374">
        <f>'Combined Delivery Data'!B372</f>
        <v>0</v>
      </c>
      <c r="Q374">
        <f t="shared" si="27"/>
        <v>0</v>
      </c>
      <c r="R374">
        <f t="shared" si="28"/>
        <v>491</v>
      </c>
      <c r="S374" s="28">
        <f t="shared" si="29"/>
        <v>0</v>
      </c>
      <c r="T374" t="str">
        <f t="shared" si="30"/>
        <v xml:space="preserve"> -&gt; </v>
      </c>
    </row>
    <row r="375" spans="1:20" x14ac:dyDescent="0.3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6"/>
        <v/>
      </c>
      <c r="P375">
        <f>'Combined Delivery Data'!B373</f>
        <v>0</v>
      </c>
      <c r="Q375">
        <f t="shared" si="27"/>
        <v>0</v>
      </c>
      <c r="R375">
        <f t="shared" si="28"/>
        <v>491</v>
      </c>
      <c r="S375" s="28">
        <f t="shared" si="29"/>
        <v>0</v>
      </c>
      <c r="T375" t="str">
        <f t="shared" si="30"/>
        <v xml:space="preserve"> -&gt; </v>
      </c>
    </row>
    <row r="376" spans="1:20" x14ac:dyDescent="0.3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6"/>
        <v/>
      </c>
      <c r="P376">
        <f>'Combined Delivery Data'!B374</f>
        <v>0</v>
      </c>
      <c r="Q376">
        <f t="shared" si="27"/>
        <v>0</v>
      </c>
      <c r="R376">
        <f t="shared" si="28"/>
        <v>491</v>
      </c>
      <c r="S376" s="28">
        <f t="shared" si="29"/>
        <v>0</v>
      </c>
      <c r="T376" t="str">
        <f t="shared" si="30"/>
        <v xml:space="preserve"> -&gt; </v>
      </c>
    </row>
    <row r="377" spans="1:20" x14ac:dyDescent="0.3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6"/>
        <v/>
      </c>
      <c r="P377">
        <f>'Combined Delivery Data'!B375</f>
        <v>0</v>
      </c>
      <c r="Q377">
        <f t="shared" si="27"/>
        <v>0</v>
      </c>
      <c r="R377">
        <f t="shared" si="28"/>
        <v>491</v>
      </c>
      <c r="S377" s="28">
        <f t="shared" si="29"/>
        <v>0</v>
      </c>
      <c r="T377" t="str">
        <f t="shared" si="30"/>
        <v xml:space="preserve"> -&gt; </v>
      </c>
    </row>
    <row r="378" spans="1:20" x14ac:dyDescent="0.3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6"/>
        <v/>
      </c>
      <c r="P378">
        <f>'Combined Delivery Data'!B376</f>
        <v>0</v>
      </c>
      <c r="Q378">
        <f t="shared" si="27"/>
        <v>0</v>
      </c>
      <c r="R378">
        <f t="shared" si="28"/>
        <v>491</v>
      </c>
      <c r="S378" s="28">
        <f t="shared" si="29"/>
        <v>0</v>
      </c>
      <c r="T378" t="str">
        <f t="shared" si="30"/>
        <v xml:space="preserve"> -&gt; </v>
      </c>
    </row>
    <row r="379" spans="1:20" x14ac:dyDescent="0.3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6"/>
        <v/>
      </c>
      <c r="P379">
        <f>'Combined Delivery Data'!B377</f>
        <v>0</v>
      </c>
      <c r="Q379">
        <f t="shared" si="27"/>
        <v>0</v>
      </c>
      <c r="R379">
        <f t="shared" si="28"/>
        <v>491</v>
      </c>
      <c r="S379" s="28">
        <f t="shared" si="29"/>
        <v>0</v>
      </c>
      <c r="T379" t="str">
        <f t="shared" si="30"/>
        <v xml:space="preserve"> -&gt; </v>
      </c>
    </row>
    <row r="380" spans="1:20" x14ac:dyDescent="0.3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6"/>
        <v/>
      </c>
      <c r="P380">
        <f>'Combined Delivery Data'!B378</f>
        <v>0</v>
      </c>
      <c r="Q380">
        <f t="shared" si="27"/>
        <v>0</v>
      </c>
      <c r="R380">
        <f t="shared" si="28"/>
        <v>491</v>
      </c>
      <c r="S380" s="28">
        <f t="shared" si="29"/>
        <v>0</v>
      </c>
      <c r="T380" t="str">
        <f t="shared" si="30"/>
        <v xml:space="preserve"> -&gt; </v>
      </c>
    </row>
    <row r="381" spans="1:20" x14ac:dyDescent="0.3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6"/>
        <v/>
      </c>
      <c r="P381">
        <f>'Combined Delivery Data'!B379</f>
        <v>0</v>
      </c>
      <c r="Q381">
        <f t="shared" si="27"/>
        <v>0</v>
      </c>
      <c r="R381">
        <f t="shared" si="28"/>
        <v>491</v>
      </c>
      <c r="S381" s="28">
        <f t="shared" si="29"/>
        <v>0</v>
      </c>
      <c r="T381" t="str">
        <f t="shared" si="30"/>
        <v xml:space="preserve"> -&gt; </v>
      </c>
    </row>
    <row r="382" spans="1:20" x14ac:dyDescent="0.3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6"/>
        <v/>
      </c>
      <c r="P382">
        <f>'Combined Delivery Data'!B380</f>
        <v>0</v>
      </c>
      <c r="Q382">
        <f t="shared" si="27"/>
        <v>0</v>
      </c>
      <c r="R382">
        <f t="shared" si="28"/>
        <v>491</v>
      </c>
      <c r="S382" s="28">
        <f t="shared" si="29"/>
        <v>0</v>
      </c>
      <c r="T382" t="str">
        <f t="shared" si="30"/>
        <v xml:space="preserve"> -&gt; </v>
      </c>
    </row>
    <row r="383" spans="1:20" x14ac:dyDescent="0.3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6"/>
        <v/>
      </c>
      <c r="P383">
        <f>'Combined Delivery Data'!B381</f>
        <v>0</v>
      </c>
      <c r="Q383">
        <f t="shared" si="27"/>
        <v>0</v>
      </c>
      <c r="R383">
        <f t="shared" si="28"/>
        <v>491</v>
      </c>
      <c r="S383" s="28">
        <f t="shared" si="29"/>
        <v>0</v>
      </c>
      <c r="T383" t="str">
        <f t="shared" si="30"/>
        <v xml:space="preserve"> -&gt; </v>
      </c>
    </row>
    <row r="384" spans="1:20" x14ac:dyDescent="0.3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6"/>
        <v/>
      </c>
      <c r="P384">
        <f>'Combined Delivery Data'!B382</f>
        <v>0</v>
      </c>
      <c r="Q384">
        <f t="shared" si="27"/>
        <v>0</v>
      </c>
      <c r="R384">
        <f t="shared" si="28"/>
        <v>491</v>
      </c>
      <c r="S384" s="28">
        <f t="shared" si="29"/>
        <v>0</v>
      </c>
      <c r="T384" t="str">
        <f t="shared" si="30"/>
        <v xml:space="preserve"> -&gt; </v>
      </c>
    </row>
    <row r="385" spans="1:20" x14ac:dyDescent="0.3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6"/>
        <v/>
      </c>
      <c r="P385">
        <f>'Combined Delivery Data'!B383</f>
        <v>0</v>
      </c>
      <c r="Q385">
        <f t="shared" si="27"/>
        <v>0</v>
      </c>
      <c r="R385">
        <f t="shared" si="28"/>
        <v>491</v>
      </c>
      <c r="S385" s="28">
        <f t="shared" si="29"/>
        <v>0</v>
      </c>
      <c r="T385" t="str">
        <f t="shared" si="30"/>
        <v xml:space="preserve"> -&gt; </v>
      </c>
    </row>
    <row r="386" spans="1:20" x14ac:dyDescent="0.3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6"/>
        <v/>
      </c>
      <c r="P386">
        <f>'Combined Delivery Data'!B384</f>
        <v>0</v>
      </c>
      <c r="Q386">
        <f t="shared" si="27"/>
        <v>0</v>
      </c>
      <c r="R386">
        <f t="shared" si="28"/>
        <v>491</v>
      </c>
      <c r="S386" s="28">
        <f t="shared" si="29"/>
        <v>0</v>
      </c>
      <c r="T386" t="str">
        <f t="shared" si="30"/>
        <v xml:space="preserve"> -&gt; </v>
      </c>
    </row>
    <row r="387" spans="1:20" x14ac:dyDescent="0.3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1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 t="shared" ref="Q387:Q450" si="32">IF($P387="","",COUNTIF($A$3:$A$500,$P387))</f>
        <v>0</v>
      </c>
      <c r="R387">
        <f t="shared" ref="R387:R450" si="33">IF($P387="","",SUMPRODUCT(($A$3:$A$500=$P387)*($G$3:$G$500&lt;&gt;"Yes")*($G$3:$G$500&lt;&gt;"Did not pass re-test")))</f>
        <v>491</v>
      </c>
      <c r="S387" s="28">
        <f t="shared" ref="S387:S450" si="34">IF($P387="","",IF(SUMPRODUCT(MAX(($A$3:$A$500=$P387)*ROW($A$3:$A$500)))=0,"",INDEX($B:$B,SUMPRODUCT(MAX(($A$3:$A$500=$P387)*ROW($A$3:$A$500))))))</f>
        <v>0</v>
      </c>
      <c r="T387" t="str">
        <f t="shared" ref="T387:T450" si="35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 x14ac:dyDescent="0.3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1"/>
        <v/>
      </c>
      <c r="P388">
        <f>'Combined Delivery Data'!B386</f>
        <v>0</v>
      </c>
      <c r="Q388">
        <f t="shared" si="32"/>
        <v>0</v>
      </c>
      <c r="R388">
        <f t="shared" si="33"/>
        <v>491</v>
      </c>
      <c r="S388" s="28">
        <f t="shared" si="34"/>
        <v>0</v>
      </c>
      <c r="T388" t="str">
        <f t="shared" si="35"/>
        <v xml:space="preserve"> -&gt; </v>
      </c>
    </row>
    <row r="389" spans="1:20" x14ac:dyDescent="0.3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1"/>
        <v/>
      </c>
      <c r="P389">
        <f>'Combined Delivery Data'!B387</f>
        <v>0</v>
      </c>
      <c r="Q389">
        <f t="shared" si="32"/>
        <v>0</v>
      </c>
      <c r="R389">
        <f t="shared" si="33"/>
        <v>491</v>
      </c>
      <c r="S389" s="28">
        <f t="shared" si="34"/>
        <v>0</v>
      </c>
      <c r="T389" t="str">
        <f t="shared" si="35"/>
        <v xml:space="preserve"> -&gt; </v>
      </c>
    </row>
    <row r="390" spans="1:20" x14ac:dyDescent="0.3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1"/>
        <v/>
      </c>
      <c r="P390">
        <f>'Combined Delivery Data'!B388</f>
        <v>0</v>
      </c>
      <c r="Q390">
        <f t="shared" si="32"/>
        <v>0</v>
      </c>
      <c r="R390">
        <f t="shared" si="33"/>
        <v>491</v>
      </c>
      <c r="S390" s="28">
        <f t="shared" si="34"/>
        <v>0</v>
      </c>
      <c r="T390" t="str">
        <f t="shared" si="35"/>
        <v xml:space="preserve"> -&gt; </v>
      </c>
    </row>
    <row r="391" spans="1:20" x14ac:dyDescent="0.3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1"/>
        <v/>
      </c>
      <c r="P391">
        <f>'Combined Delivery Data'!B389</f>
        <v>0</v>
      </c>
      <c r="Q391">
        <f t="shared" si="32"/>
        <v>0</v>
      </c>
      <c r="R391">
        <f t="shared" si="33"/>
        <v>491</v>
      </c>
      <c r="S391" s="28">
        <f t="shared" si="34"/>
        <v>0</v>
      </c>
      <c r="T391" t="str">
        <f t="shared" si="35"/>
        <v xml:space="preserve"> -&gt; </v>
      </c>
    </row>
    <row r="392" spans="1:20" x14ac:dyDescent="0.3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1"/>
        <v/>
      </c>
      <c r="P392">
        <f>'Combined Delivery Data'!B390</f>
        <v>0</v>
      </c>
      <c r="Q392">
        <f t="shared" si="32"/>
        <v>0</v>
      </c>
      <c r="R392">
        <f t="shared" si="33"/>
        <v>491</v>
      </c>
      <c r="S392" s="28">
        <f t="shared" si="34"/>
        <v>0</v>
      </c>
      <c r="T392" t="str">
        <f t="shared" si="35"/>
        <v xml:space="preserve"> -&gt; </v>
      </c>
    </row>
    <row r="393" spans="1:20" x14ac:dyDescent="0.3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1"/>
        <v/>
      </c>
      <c r="P393">
        <f>'Combined Delivery Data'!B391</f>
        <v>0</v>
      </c>
      <c r="Q393">
        <f t="shared" si="32"/>
        <v>0</v>
      </c>
      <c r="R393">
        <f t="shared" si="33"/>
        <v>491</v>
      </c>
      <c r="S393" s="28">
        <f t="shared" si="34"/>
        <v>0</v>
      </c>
      <c r="T393" t="str">
        <f t="shared" si="35"/>
        <v xml:space="preserve"> -&gt; </v>
      </c>
    </row>
    <row r="394" spans="1:20" x14ac:dyDescent="0.3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1"/>
        <v/>
      </c>
      <c r="P394">
        <f>'Combined Delivery Data'!B392</f>
        <v>0</v>
      </c>
      <c r="Q394">
        <f t="shared" si="32"/>
        <v>0</v>
      </c>
      <c r="R394">
        <f t="shared" si="33"/>
        <v>491</v>
      </c>
      <c r="S394" s="28">
        <f t="shared" si="34"/>
        <v>0</v>
      </c>
      <c r="T394" t="str">
        <f t="shared" si="35"/>
        <v xml:space="preserve"> -&gt; </v>
      </c>
    </row>
    <row r="395" spans="1:20" x14ac:dyDescent="0.3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1"/>
        <v/>
      </c>
      <c r="P395">
        <f>'Combined Delivery Data'!B393</f>
        <v>0</v>
      </c>
      <c r="Q395">
        <f t="shared" si="32"/>
        <v>0</v>
      </c>
      <c r="R395">
        <f t="shared" si="33"/>
        <v>491</v>
      </c>
      <c r="S395" s="28">
        <f t="shared" si="34"/>
        <v>0</v>
      </c>
      <c r="T395" t="str">
        <f t="shared" si="35"/>
        <v xml:space="preserve"> -&gt; </v>
      </c>
    </row>
    <row r="396" spans="1:20" x14ac:dyDescent="0.3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1"/>
        <v/>
      </c>
      <c r="P396">
        <f>'Combined Delivery Data'!B394</f>
        <v>0</v>
      </c>
      <c r="Q396">
        <f t="shared" si="32"/>
        <v>0</v>
      </c>
      <c r="R396">
        <f t="shared" si="33"/>
        <v>491</v>
      </c>
      <c r="S396" s="28">
        <f t="shared" si="34"/>
        <v>0</v>
      </c>
      <c r="T396" t="str">
        <f t="shared" si="35"/>
        <v xml:space="preserve"> -&gt; </v>
      </c>
    </row>
    <row r="397" spans="1:20" x14ac:dyDescent="0.3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1"/>
        <v/>
      </c>
      <c r="P397">
        <f>'Combined Delivery Data'!B395</f>
        <v>0</v>
      </c>
      <c r="Q397">
        <f t="shared" si="32"/>
        <v>0</v>
      </c>
      <c r="R397">
        <f t="shared" si="33"/>
        <v>491</v>
      </c>
      <c r="S397" s="28">
        <f t="shared" si="34"/>
        <v>0</v>
      </c>
      <c r="T397" t="str">
        <f t="shared" si="35"/>
        <v xml:space="preserve"> -&gt; </v>
      </c>
    </row>
    <row r="398" spans="1:20" x14ac:dyDescent="0.3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1"/>
        <v/>
      </c>
      <c r="P398">
        <f>'Combined Delivery Data'!B396</f>
        <v>0</v>
      </c>
      <c r="Q398">
        <f t="shared" si="32"/>
        <v>0</v>
      </c>
      <c r="R398">
        <f t="shared" si="33"/>
        <v>491</v>
      </c>
      <c r="S398" s="28">
        <f t="shared" si="34"/>
        <v>0</v>
      </c>
      <c r="T398" t="str">
        <f t="shared" si="35"/>
        <v xml:space="preserve"> -&gt; </v>
      </c>
    </row>
    <row r="399" spans="1:20" x14ac:dyDescent="0.3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1"/>
        <v/>
      </c>
      <c r="P399">
        <f>'Combined Delivery Data'!B397</f>
        <v>0</v>
      </c>
      <c r="Q399">
        <f t="shared" si="32"/>
        <v>0</v>
      </c>
      <c r="R399">
        <f t="shared" si="33"/>
        <v>491</v>
      </c>
      <c r="S399" s="28">
        <f t="shared" si="34"/>
        <v>0</v>
      </c>
      <c r="T399" t="str">
        <f t="shared" si="35"/>
        <v xml:space="preserve"> -&gt; </v>
      </c>
    </row>
    <row r="400" spans="1:20" x14ac:dyDescent="0.3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1"/>
        <v/>
      </c>
      <c r="P400">
        <f>'Combined Delivery Data'!B398</f>
        <v>0</v>
      </c>
      <c r="Q400">
        <f t="shared" si="32"/>
        <v>0</v>
      </c>
      <c r="R400">
        <f t="shared" si="33"/>
        <v>491</v>
      </c>
      <c r="S400" s="28">
        <f t="shared" si="34"/>
        <v>0</v>
      </c>
      <c r="T400" t="str">
        <f t="shared" si="35"/>
        <v xml:space="preserve"> -&gt; </v>
      </c>
    </row>
    <row r="401" spans="1:20" x14ac:dyDescent="0.3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1"/>
        <v/>
      </c>
      <c r="P401">
        <f>'Combined Delivery Data'!B399</f>
        <v>0</v>
      </c>
      <c r="Q401">
        <f t="shared" si="32"/>
        <v>0</v>
      </c>
      <c r="R401">
        <f t="shared" si="33"/>
        <v>491</v>
      </c>
      <c r="S401" s="28">
        <f t="shared" si="34"/>
        <v>0</v>
      </c>
      <c r="T401" t="str">
        <f t="shared" si="35"/>
        <v xml:space="preserve"> -&gt; </v>
      </c>
    </row>
    <row r="402" spans="1:20" x14ac:dyDescent="0.3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1"/>
        <v/>
      </c>
      <c r="P402">
        <f>'Combined Delivery Data'!B400</f>
        <v>0</v>
      </c>
      <c r="Q402">
        <f t="shared" si="32"/>
        <v>0</v>
      </c>
      <c r="R402">
        <f t="shared" si="33"/>
        <v>491</v>
      </c>
      <c r="S402" s="28">
        <f t="shared" si="34"/>
        <v>0</v>
      </c>
      <c r="T402" t="str">
        <f t="shared" si="35"/>
        <v xml:space="preserve"> -&gt; </v>
      </c>
    </row>
    <row r="403" spans="1:20" x14ac:dyDescent="0.3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1"/>
        <v/>
      </c>
      <c r="P403">
        <f>'Combined Delivery Data'!B401</f>
        <v>0</v>
      </c>
      <c r="Q403">
        <f t="shared" si="32"/>
        <v>0</v>
      </c>
      <c r="R403">
        <f t="shared" si="33"/>
        <v>491</v>
      </c>
      <c r="S403" s="28">
        <f t="shared" si="34"/>
        <v>0</v>
      </c>
      <c r="T403" t="str">
        <f t="shared" si="35"/>
        <v xml:space="preserve"> -&gt; </v>
      </c>
    </row>
    <row r="404" spans="1:20" x14ac:dyDescent="0.3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1"/>
        <v/>
      </c>
      <c r="P404">
        <f>'Combined Delivery Data'!B402</f>
        <v>0</v>
      </c>
      <c r="Q404">
        <f t="shared" si="32"/>
        <v>0</v>
      </c>
      <c r="R404">
        <f t="shared" si="33"/>
        <v>491</v>
      </c>
      <c r="S404" s="28">
        <f t="shared" si="34"/>
        <v>0</v>
      </c>
      <c r="T404" t="str">
        <f t="shared" si="35"/>
        <v xml:space="preserve"> -&gt; </v>
      </c>
    </row>
    <row r="405" spans="1:20" x14ac:dyDescent="0.3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1"/>
        <v/>
      </c>
      <c r="P405">
        <f>'Combined Delivery Data'!B403</f>
        <v>0</v>
      </c>
      <c r="Q405">
        <f t="shared" si="32"/>
        <v>0</v>
      </c>
      <c r="R405">
        <f t="shared" si="33"/>
        <v>491</v>
      </c>
      <c r="S405" s="28">
        <f t="shared" si="34"/>
        <v>0</v>
      </c>
      <c r="T405" t="str">
        <f t="shared" si="35"/>
        <v xml:space="preserve"> -&gt; </v>
      </c>
    </row>
    <row r="406" spans="1:20" x14ac:dyDescent="0.3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1"/>
        <v/>
      </c>
      <c r="P406">
        <f>'Combined Delivery Data'!B404</f>
        <v>0</v>
      </c>
      <c r="Q406">
        <f t="shared" si="32"/>
        <v>0</v>
      </c>
      <c r="R406">
        <f t="shared" si="33"/>
        <v>491</v>
      </c>
      <c r="S406" s="28">
        <f t="shared" si="34"/>
        <v>0</v>
      </c>
      <c r="T406" t="str">
        <f t="shared" si="35"/>
        <v xml:space="preserve"> -&gt; </v>
      </c>
    </row>
    <row r="407" spans="1:20" x14ac:dyDescent="0.3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1"/>
        <v/>
      </c>
      <c r="P407">
        <f>'Combined Delivery Data'!B405</f>
        <v>0</v>
      </c>
      <c r="Q407">
        <f t="shared" si="32"/>
        <v>0</v>
      </c>
      <c r="R407">
        <f t="shared" si="33"/>
        <v>491</v>
      </c>
      <c r="S407" s="28">
        <f t="shared" si="34"/>
        <v>0</v>
      </c>
      <c r="T407" t="str">
        <f t="shared" si="35"/>
        <v xml:space="preserve"> -&gt; </v>
      </c>
    </row>
    <row r="408" spans="1:20" x14ac:dyDescent="0.3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1"/>
        <v/>
      </c>
      <c r="P408">
        <f>'Combined Delivery Data'!B406</f>
        <v>0</v>
      </c>
      <c r="Q408">
        <f t="shared" si="32"/>
        <v>0</v>
      </c>
      <c r="R408">
        <f t="shared" si="33"/>
        <v>491</v>
      </c>
      <c r="S408" s="28">
        <f t="shared" si="34"/>
        <v>0</v>
      </c>
      <c r="T408" t="str">
        <f t="shared" si="35"/>
        <v xml:space="preserve"> -&gt; </v>
      </c>
    </row>
    <row r="409" spans="1:20" x14ac:dyDescent="0.3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1"/>
        <v/>
      </c>
      <c r="P409">
        <f>'Combined Delivery Data'!B407</f>
        <v>0</v>
      </c>
      <c r="Q409">
        <f t="shared" si="32"/>
        <v>0</v>
      </c>
      <c r="R409">
        <f t="shared" si="33"/>
        <v>491</v>
      </c>
      <c r="S409" s="28">
        <f t="shared" si="34"/>
        <v>0</v>
      </c>
      <c r="T409" t="str">
        <f t="shared" si="35"/>
        <v xml:space="preserve"> -&gt; </v>
      </c>
    </row>
    <row r="410" spans="1:20" x14ac:dyDescent="0.3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1"/>
        <v/>
      </c>
      <c r="P410">
        <f>'Combined Delivery Data'!B408</f>
        <v>0</v>
      </c>
      <c r="Q410">
        <f t="shared" si="32"/>
        <v>0</v>
      </c>
      <c r="R410">
        <f t="shared" si="33"/>
        <v>491</v>
      </c>
      <c r="S410" s="28">
        <f t="shared" si="34"/>
        <v>0</v>
      </c>
      <c r="T410" t="str">
        <f t="shared" si="35"/>
        <v xml:space="preserve"> -&gt; </v>
      </c>
    </row>
    <row r="411" spans="1:20" x14ac:dyDescent="0.3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1"/>
        <v/>
      </c>
      <c r="P411">
        <f>'Combined Delivery Data'!B409</f>
        <v>0</v>
      </c>
      <c r="Q411">
        <f t="shared" si="32"/>
        <v>0</v>
      </c>
      <c r="R411">
        <f t="shared" si="33"/>
        <v>491</v>
      </c>
      <c r="S411" s="28">
        <f t="shared" si="34"/>
        <v>0</v>
      </c>
      <c r="T411" t="str">
        <f t="shared" si="35"/>
        <v xml:space="preserve"> -&gt; </v>
      </c>
    </row>
    <row r="412" spans="1:20" x14ac:dyDescent="0.3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1"/>
        <v/>
      </c>
      <c r="P412">
        <f>'Combined Delivery Data'!B410</f>
        <v>0</v>
      </c>
      <c r="Q412">
        <f t="shared" si="32"/>
        <v>0</v>
      </c>
      <c r="R412">
        <f t="shared" si="33"/>
        <v>491</v>
      </c>
      <c r="S412" s="28">
        <f t="shared" si="34"/>
        <v>0</v>
      </c>
      <c r="T412" t="str">
        <f t="shared" si="35"/>
        <v xml:space="preserve"> -&gt; </v>
      </c>
    </row>
    <row r="413" spans="1:20" x14ac:dyDescent="0.3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1"/>
        <v/>
      </c>
      <c r="P413">
        <f>'Combined Delivery Data'!B411</f>
        <v>0</v>
      </c>
      <c r="Q413">
        <f t="shared" si="32"/>
        <v>0</v>
      </c>
      <c r="R413">
        <f t="shared" si="33"/>
        <v>491</v>
      </c>
      <c r="S413" s="28">
        <f t="shared" si="34"/>
        <v>0</v>
      </c>
      <c r="T413" t="str">
        <f t="shared" si="35"/>
        <v xml:space="preserve"> -&gt; </v>
      </c>
    </row>
    <row r="414" spans="1:20" x14ac:dyDescent="0.3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1"/>
        <v/>
      </c>
      <c r="P414">
        <f>'Combined Delivery Data'!B412</f>
        <v>0</v>
      </c>
      <c r="Q414">
        <f t="shared" si="32"/>
        <v>0</v>
      </c>
      <c r="R414">
        <f t="shared" si="33"/>
        <v>491</v>
      </c>
      <c r="S414" s="28">
        <f t="shared" si="34"/>
        <v>0</v>
      </c>
      <c r="T414" t="str">
        <f t="shared" si="35"/>
        <v xml:space="preserve"> -&gt; </v>
      </c>
    </row>
    <row r="415" spans="1:20" x14ac:dyDescent="0.3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1"/>
        <v/>
      </c>
      <c r="P415">
        <f>'Combined Delivery Data'!B413</f>
        <v>0</v>
      </c>
      <c r="Q415">
        <f t="shared" si="32"/>
        <v>0</v>
      </c>
      <c r="R415">
        <f t="shared" si="33"/>
        <v>491</v>
      </c>
      <c r="S415" s="28">
        <f t="shared" si="34"/>
        <v>0</v>
      </c>
      <c r="T415" t="str">
        <f t="shared" si="35"/>
        <v xml:space="preserve"> -&gt; </v>
      </c>
    </row>
    <row r="416" spans="1:20" x14ac:dyDescent="0.3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1"/>
        <v/>
      </c>
      <c r="P416">
        <f>'Combined Delivery Data'!B414</f>
        <v>0</v>
      </c>
      <c r="Q416">
        <f t="shared" si="32"/>
        <v>0</v>
      </c>
      <c r="R416">
        <f t="shared" si="33"/>
        <v>491</v>
      </c>
      <c r="S416" s="28">
        <f t="shared" si="34"/>
        <v>0</v>
      </c>
      <c r="T416" t="str">
        <f t="shared" si="35"/>
        <v xml:space="preserve"> -&gt; </v>
      </c>
    </row>
    <row r="417" spans="1:20" x14ac:dyDescent="0.3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1"/>
        <v/>
      </c>
      <c r="P417">
        <f>'Combined Delivery Data'!B415</f>
        <v>0</v>
      </c>
      <c r="Q417">
        <f t="shared" si="32"/>
        <v>0</v>
      </c>
      <c r="R417">
        <f t="shared" si="33"/>
        <v>491</v>
      </c>
      <c r="S417" s="28">
        <f t="shared" si="34"/>
        <v>0</v>
      </c>
      <c r="T417" t="str">
        <f t="shared" si="35"/>
        <v xml:space="preserve"> -&gt; </v>
      </c>
    </row>
    <row r="418" spans="1:20" x14ac:dyDescent="0.3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1"/>
        <v/>
      </c>
      <c r="P418">
        <f>'Combined Delivery Data'!B416</f>
        <v>0</v>
      </c>
      <c r="Q418">
        <f t="shared" si="32"/>
        <v>0</v>
      </c>
      <c r="R418">
        <f t="shared" si="33"/>
        <v>491</v>
      </c>
      <c r="S418" s="28">
        <f t="shared" si="34"/>
        <v>0</v>
      </c>
      <c r="T418" t="str">
        <f t="shared" si="35"/>
        <v xml:space="preserve"> -&gt; </v>
      </c>
    </row>
    <row r="419" spans="1:20" x14ac:dyDescent="0.3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1"/>
        <v/>
      </c>
      <c r="P419">
        <f>'Combined Delivery Data'!B417</f>
        <v>0</v>
      </c>
      <c r="Q419">
        <f t="shared" si="32"/>
        <v>0</v>
      </c>
      <c r="R419">
        <f t="shared" si="33"/>
        <v>491</v>
      </c>
      <c r="S419" s="28">
        <f t="shared" si="34"/>
        <v>0</v>
      </c>
      <c r="T419" t="str">
        <f t="shared" si="35"/>
        <v xml:space="preserve"> -&gt; </v>
      </c>
    </row>
    <row r="420" spans="1:20" x14ac:dyDescent="0.3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1"/>
        <v/>
      </c>
      <c r="P420">
        <f>'Combined Delivery Data'!B418</f>
        <v>0</v>
      </c>
      <c r="Q420">
        <f t="shared" si="32"/>
        <v>0</v>
      </c>
      <c r="R420">
        <f t="shared" si="33"/>
        <v>491</v>
      </c>
      <c r="S420" s="28">
        <f t="shared" si="34"/>
        <v>0</v>
      </c>
      <c r="T420" t="str">
        <f t="shared" si="35"/>
        <v xml:space="preserve"> -&gt; </v>
      </c>
    </row>
    <row r="421" spans="1:20" x14ac:dyDescent="0.3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1"/>
        <v/>
      </c>
      <c r="P421">
        <f>'Combined Delivery Data'!B419</f>
        <v>0</v>
      </c>
      <c r="Q421">
        <f t="shared" si="32"/>
        <v>0</v>
      </c>
      <c r="R421">
        <f t="shared" si="33"/>
        <v>491</v>
      </c>
      <c r="S421" s="28">
        <f t="shared" si="34"/>
        <v>0</v>
      </c>
      <c r="T421" t="str">
        <f t="shared" si="35"/>
        <v xml:space="preserve"> -&gt; </v>
      </c>
    </row>
    <row r="422" spans="1:20" x14ac:dyDescent="0.3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1"/>
        <v/>
      </c>
      <c r="P422">
        <f>'Combined Delivery Data'!B420</f>
        <v>0</v>
      </c>
      <c r="Q422">
        <f t="shared" si="32"/>
        <v>0</v>
      </c>
      <c r="R422">
        <f t="shared" si="33"/>
        <v>491</v>
      </c>
      <c r="S422" s="28">
        <f t="shared" si="34"/>
        <v>0</v>
      </c>
      <c r="T422" t="str">
        <f t="shared" si="35"/>
        <v xml:space="preserve"> -&gt; </v>
      </c>
    </row>
    <row r="423" spans="1:20" x14ac:dyDescent="0.3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1"/>
        <v/>
      </c>
      <c r="P423">
        <f>'Combined Delivery Data'!B421</f>
        <v>0</v>
      </c>
      <c r="Q423">
        <f t="shared" si="32"/>
        <v>0</v>
      </c>
      <c r="R423">
        <f t="shared" si="33"/>
        <v>491</v>
      </c>
      <c r="S423" s="28">
        <f t="shared" si="34"/>
        <v>0</v>
      </c>
      <c r="T423" t="str">
        <f t="shared" si="35"/>
        <v xml:space="preserve"> -&gt; </v>
      </c>
    </row>
    <row r="424" spans="1:20" x14ac:dyDescent="0.3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1"/>
        <v/>
      </c>
      <c r="P424">
        <f>'Combined Delivery Data'!B422</f>
        <v>0</v>
      </c>
      <c r="Q424">
        <f t="shared" si="32"/>
        <v>0</v>
      </c>
      <c r="R424">
        <f t="shared" si="33"/>
        <v>491</v>
      </c>
      <c r="S424" s="28">
        <f t="shared" si="34"/>
        <v>0</v>
      </c>
      <c r="T424" t="str">
        <f t="shared" si="35"/>
        <v xml:space="preserve"> -&gt; </v>
      </c>
    </row>
    <row r="425" spans="1:20" x14ac:dyDescent="0.3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1"/>
        <v/>
      </c>
      <c r="P425">
        <f>'Combined Delivery Data'!B423</f>
        <v>0</v>
      </c>
      <c r="Q425">
        <f t="shared" si="32"/>
        <v>0</v>
      </c>
      <c r="R425">
        <f t="shared" si="33"/>
        <v>491</v>
      </c>
      <c r="S425" s="28">
        <f t="shared" si="34"/>
        <v>0</v>
      </c>
      <c r="T425" t="str">
        <f t="shared" si="35"/>
        <v xml:space="preserve"> -&gt; </v>
      </c>
    </row>
    <row r="426" spans="1:20" x14ac:dyDescent="0.3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1"/>
        <v/>
      </c>
      <c r="P426">
        <f>'Combined Delivery Data'!B424</f>
        <v>0</v>
      </c>
      <c r="Q426">
        <f t="shared" si="32"/>
        <v>0</v>
      </c>
      <c r="R426">
        <f t="shared" si="33"/>
        <v>491</v>
      </c>
      <c r="S426" s="28">
        <f t="shared" si="34"/>
        <v>0</v>
      </c>
      <c r="T426" t="str">
        <f t="shared" si="35"/>
        <v xml:space="preserve"> -&gt; </v>
      </c>
    </row>
    <row r="427" spans="1:20" x14ac:dyDescent="0.3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1"/>
        <v/>
      </c>
      <c r="P427">
        <f>'Combined Delivery Data'!B425</f>
        <v>0</v>
      </c>
      <c r="Q427">
        <f t="shared" si="32"/>
        <v>0</v>
      </c>
      <c r="R427">
        <f t="shared" si="33"/>
        <v>491</v>
      </c>
      <c r="S427" s="28">
        <f t="shared" si="34"/>
        <v>0</v>
      </c>
      <c r="T427" t="str">
        <f t="shared" si="35"/>
        <v xml:space="preserve"> -&gt; </v>
      </c>
    </row>
    <row r="428" spans="1:20" x14ac:dyDescent="0.3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1"/>
        <v/>
      </c>
      <c r="P428">
        <f>'Combined Delivery Data'!B426</f>
        <v>0</v>
      </c>
      <c r="Q428">
        <f t="shared" si="32"/>
        <v>0</v>
      </c>
      <c r="R428">
        <f t="shared" si="33"/>
        <v>491</v>
      </c>
      <c r="S428" s="28">
        <f t="shared" si="34"/>
        <v>0</v>
      </c>
      <c r="T428" t="str">
        <f t="shared" si="35"/>
        <v xml:space="preserve"> -&gt; </v>
      </c>
    </row>
    <row r="429" spans="1:20" x14ac:dyDescent="0.3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1"/>
        <v/>
      </c>
      <c r="P429">
        <f>'Combined Delivery Data'!B427</f>
        <v>0</v>
      </c>
      <c r="Q429">
        <f t="shared" si="32"/>
        <v>0</v>
      </c>
      <c r="R429">
        <f t="shared" si="33"/>
        <v>491</v>
      </c>
      <c r="S429" s="28">
        <f t="shared" si="34"/>
        <v>0</v>
      </c>
      <c r="T429" t="str">
        <f t="shared" si="35"/>
        <v xml:space="preserve"> -&gt; </v>
      </c>
    </row>
    <row r="430" spans="1:20" x14ac:dyDescent="0.3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1"/>
        <v/>
      </c>
      <c r="P430">
        <f>'Combined Delivery Data'!B428</f>
        <v>0</v>
      </c>
      <c r="Q430">
        <f t="shared" si="32"/>
        <v>0</v>
      </c>
      <c r="R430">
        <f t="shared" si="33"/>
        <v>491</v>
      </c>
      <c r="S430" s="28">
        <f t="shared" si="34"/>
        <v>0</v>
      </c>
      <c r="T430" t="str">
        <f t="shared" si="35"/>
        <v xml:space="preserve"> -&gt; </v>
      </c>
    </row>
    <row r="431" spans="1:20" x14ac:dyDescent="0.3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1"/>
        <v/>
      </c>
      <c r="P431">
        <f>'Combined Delivery Data'!B429</f>
        <v>0</v>
      </c>
      <c r="Q431">
        <f t="shared" si="32"/>
        <v>0</v>
      </c>
      <c r="R431">
        <f t="shared" si="33"/>
        <v>491</v>
      </c>
      <c r="S431" s="28">
        <f t="shared" si="34"/>
        <v>0</v>
      </c>
      <c r="T431" t="str">
        <f t="shared" si="35"/>
        <v xml:space="preserve"> -&gt; </v>
      </c>
    </row>
    <row r="432" spans="1:20" x14ac:dyDescent="0.3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1"/>
        <v/>
      </c>
      <c r="P432">
        <f>'Combined Delivery Data'!B430</f>
        <v>0</v>
      </c>
      <c r="Q432">
        <f t="shared" si="32"/>
        <v>0</v>
      </c>
      <c r="R432">
        <f t="shared" si="33"/>
        <v>491</v>
      </c>
      <c r="S432" s="28">
        <f t="shared" si="34"/>
        <v>0</v>
      </c>
      <c r="T432" t="str">
        <f t="shared" si="35"/>
        <v xml:space="preserve"> -&gt; </v>
      </c>
    </row>
    <row r="433" spans="1:20" x14ac:dyDescent="0.3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1"/>
        <v/>
      </c>
      <c r="P433">
        <f>'Combined Delivery Data'!B431</f>
        <v>0</v>
      </c>
      <c r="Q433">
        <f t="shared" si="32"/>
        <v>0</v>
      </c>
      <c r="R433">
        <f t="shared" si="33"/>
        <v>491</v>
      </c>
      <c r="S433" s="28">
        <f t="shared" si="34"/>
        <v>0</v>
      </c>
      <c r="T433" t="str">
        <f t="shared" si="35"/>
        <v xml:space="preserve"> -&gt; </v>
      </c>
    </row>
    <row r="434" spans="1:20" x14ac:dyDescent="0.3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1"/>
        <v/>
      </c>
      <c r="P434">
        <f>'Combined Delivery Data'!B432</f>
        <v>0</v>
      </c>
      <c r="Q434">
        <f t="shared" si="32"/>
        <v>0</v>
      </c>
      <c r="R434">
        <f t="shared" si="33"/>
        <v>491</v>
      </c>
      <c r="S434" s="28">
        <f t="shared" si="34"/>
        <v>0</v>
      </c>
      <c r="T434" t="str">
        <f t="shared" si="35"/>
        <v xml:space="preserve"> -&gt; </v>
      </c>
    </row>
    <row r="435" spans="1:20" x14ac:dyDescent="0.3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1"/>
        <v/>
      </c>
      <c r="P435">
        <f>'Combined Delivery Data'!B433</f>
        <v>0</v>
      </c>
      <c r="Q435">
        <f t="shared" si="32"/>
        <v>0</v>
      </c>
      <c r="R435">
        <f t="shared" si="33"/>
        <v>491</v>
      </c>
      <c r="S435" s="28">
        <f t="shared" si="34"/>
        <v>0</v>
      </c>
      <c r="T435" t="str">
        <f t="shared" si="35"/>
        <v xml:space="preserve"> -&gt; </v>
      </c>
    </row>
    <row r="436" spans="1:20" x14ac:dyDescent="0.3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1"/>
        <v/>
      </c>
      <c r="P436">
        <f>'Combined Delivery Data'!B434</f>
        <v>0</v>
      </c>
      <c r="Q436">
        <f t="shared" si="32"/>
        <v>0</v>
      </c>
      <c r="R436">
        <f t="shared" si="33"/>
        <v>491</v>
      </c>
      <c r="S436" s="28">
        <f t="shared" si="34"/>
        <v>0</v>
      </c>
      <c r="T436" t="str">
        <f t="shared" si="35"/>
        <v xml:space="preserve"> -&gt; </v>
      </c>
    </row>
    <row r="437" spans="1:20" x14ac:dyDescent="0.3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1"/>
        <v/>
      </c>
      <c r="P437">
        <f>'Combined Delivery Data'!B435</f>
        <v>0</v>
      </c>
      <c r="Q437">
        <f t="shared" si="32"/>
        <v>0</v>
      </c>
      <c r="R437">
        <f t="shared" si="33"/>
        <v>491</v>
      </c>
      <c r="S437" s="28">
        <f t="shared" si="34"/>
        <v>0</v>
      </c>
      <c r="T437" t="str">
        <f t="shared" si="35"/>
        <v xml:space="preserve"> -&gt; </v>
      </c>
    </row>
    <row r="438" spans="1:20" x14ac:dyDescent="0.3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1"/>
        <v/>
      </c>
      <c r="P438">
        <f>'Combined Delivery Data'!B436</f>
        <v>0</v>
      </c>
      <c r="Q438">
        <f t="shared" si="32"/>
        <v>0</v>
      </c>
      <c r="R438">
        <f t="shared" si="33"/>
        <v>491</v>
      </c>
      <c r="S438" s="28">
        <f t="shared" si="34"/>
        <v>0</v>
      </c>
      <c r="T438" t="str">
        <f t="shared" si="35"/>
        <v xml:space="preserve"> -&gt; </v>
      </c>
    </row>
    <row r="439" spans="1:20" x14ac:dyDescent="0.3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1"/>
        <v/>
      </c>
      <c r="P439">
        <f>'Combined Delivery Data'!B437</f>
        <v>0</v>
      </c>
      <c r="Q439">
        <f t="shared" si="32"/>
        <v>0</v>
      </c>
      <c r="R439">
        <f t="shared" si="33"/>
        <v>491</v>
      </c>
      <c r="S439" s="28">
        <f t="shared" si="34"/>
        <v>0</v>
      </c>
      <c r="T439" t="str">
        <f t="shared" si="35"/>
        <v xml:space="preserve"> -&gt; </v>
      </c>
    </row>
    <row r="440" spans="1:20" x14ac:dyDescent="0.3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1"/>
        <v/>
      </c>
      <c r="P440">
        <f>'Combined Delivery Data'!B438</f>
        <v>0</v>
      </c>
      <c r="Q440">
        <f t="shared" si="32"/>
        <v>0</v>
      </c>
      <c r="R440">
        <f t="shared" si="33"/>
        <v>491</v>
      </c>
      <c r="S440" s="28">
        <f t="shared" si="34"/>
        <v>0</v>
      </c>
      <c r="T440" t="str">
        <f t="shared" si="35"/>
        <v xml:space="preserve"> -&gt; </v>
      </c>
    </row>
    <row r="441" spans="1:20" x14ac:dyDescent="0.3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1"/>
        <v/>
      </c>
      <c r="P441">
        <f>'Combined Delivery Data'!B439</f>
        <v>0</v>
      </c>
      <c r="Q441">
        <f t="shared" si="32"/>
        <v>0</v>
      </c>
      <c r="R441">
        <f t="shared" si="33"/>
        <v>491</v>
      </c>
      <c r="S441" s="28">
        <f t="shared" si="34"/>
        <v>0</v>
      </c>
      <c r="T441" t="str">
        <f t="shared" si="35"/>
        <v xml:space="preserve"> -&gt; </v>
      </c>
    </row>
    <row r="442" spans="1:20" x14ac:dyDescent="0.3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1"/>
        <v/>
      </c>
      <c r="P442">
        <f>'Combined Delivery Data'!B440</f>
        <v>0</v>
      </c>
      <c r="Q442">
        <f t="shared" si="32"/>
        <v>0</v>
      </c>
      <c r="R442">
        <f t="shared" si="33"/>
        <v>491</v>
      </c>
      <c r="S442" s="28">
        <f t="shared" si="34"/>
        <v>0</v>
      </c>
      <c r="T442" t="str">
        <f t="shared" si="35"/>
        <v xml:space="preserve"> -&gt; </v>
      </c>
    </row>
    <row r="443" spans="1:20" x14ac:dyDescent="0.3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1"/>
        <v/>
      </c>
      <c r="P443">
        <f>'Combined Delivery Data'!B441</f>
        <v>0</v>
      </c>
      <c r="Q443">
        <f t="shared" si="32"/>
        <v>0</v>
      </c>
      <c r="R443">
        <f t="shared" si="33"/>
        <v>491</v>
      </c>
      <c r="S443" s="28">
        <f t="shared" si="34"/>
        <v>0</v>
      </c>
      <c r="T443" t="str">
        <f t="shared" si="35"/>
        <v xml:space="preserve"> -&gt; </v>
      </c>
    </row>
    <row r="444" spans="1:20" x14ac:dyDescent="0.3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1"/>
        <v/>
      </c>
      <c r="P444">
        <f>'Combined Delivery Data'!B442</f>
        <v>0</v>
      </c>
      <c r="Q444">
        <f t="shared" si="32"/>
        <v>0</v>
      </c>
      <c r="R444">
        <f t="shared" si="33"/>
        <v>491</v>
      </c>
      <c r="S444" s="28">
        <f t="shared" si="34"/>
        <v>0</v>
      </c>
      <c r="T444" t="str">
        <f t="shared" si="35"/>
        <v xml:space="preserve"> -&gt; </v>
      </c>
    </row>
    <row r="445" spans="1:20" x14ac:dyDescent="0.3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1"/>
        <v/>
      </c>
      <c r="P445">
        <f>'Combined Delivery Data'!B443</f>
        <v>0</v>
      </c>
      <c r="Q445">
        <f t="shared" si="32"/>
        <v>0</v>
      </c>
      <c r="R445">
        <f t="shared" si="33"/>
        <v>491</v>
      </c>
      <c r="S445" s="28">
        <f t="shared" si="34"/>
        <v>0</v>
      </c>
      <c r="T445" t="str">
        <f t="shared" si="35"/>
        <v xml:space="preserve"> -&gt; </v>
      </c>
    </row>
    <row r="446" spans="1:20" x14ac:dyDescent="0.3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1"/>
        <v/>
      </c>
      <c r="P446">
        <f>'Combined Delivery Data'!B444</f>
        <v>0</v>
      </c>
      <c r="Q446">
        <f t="shared" si="32"/>
        <v>0</v>
      </c>
      <c r="R446">
        <f t="shared" si="33"/>
        <v>491</v>
      </c>
      <c r="S446" s="28">
        <f t="shared" si="34"/>
        <v>0</v>
      </c>
      <c r="T446" t="str">
        <f t="shared" si="35"/>
        <v xml:space="preserve"> -&gt; </v>
      </c>
    </row>
    <row r="447" spans="1:20" x14ac:dyDescent="0.3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1"/>
        <v/>
      </c>
      <c r="P447">
        <f>'Combined Delivery Data'!B445</f>
        <v>0</v>
      </c>
      <c r="Q447">
        <f t="shared" si="32"/>
        <v>0</v>
      </c>
      <c r="R447">
        <f t="shared" si="33"/>
        <v>491</v>
      </c>
      <c r="S447" s="28">
        <f t="shared" si="34"/>
        <v>0</v>
      </c>
      <c r="T447" t="str">
        <f t="shared" si="35"/>
        <v xml:space="preserve"> -&gt; </v>
      </c>
    </row>
    <row r="448" spans="1:20" x14ac:dyDescent="0.3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1"/>
        <v/>
      </c>
      <c r="P448">
        <f>'Combined Delivery Data'!B446</f>
        <v>0</v>
      </c>
      <c r="Q448">
        <f t="shared" si="32"/>
        <v>0</v>
      </c>
      <c r="R448">
        <f t="shared" si="33"/>
        <v>491</v>
      </c>
      <c r="S448" s="28">
        <f t="shared" si="34"/>
        <v>0</v>
      </c>
      <c r="T448" t="str">
        <f t="shared" si="35"/>
        <v xml:space="preserve"> -&gt; </v>
      </c>
    </row>
    <row r="449" spans="1:20" x14ac:dyDescent="0.3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1"/>
        <v/>
      </c>
      <c r="P449">
        <f>'Combined Delivery Data'!B447</f>
        <v>0</v>
      </c>
      <c r="Q449">
        <f t="shared" si="32"/>
        <v>0</v>
      </c>
      <c r="R449">
        <f t="shared" si="33"/>
        <v>491</v>
      </c>
      <c r="S449" s="28">
        <f t="shared" si="34"/>
        <v>0</v>
      </c>
      <c r="T449" t="str">
        <f t="shared" si="35"/>
        <v xml:space="preserve"> -&gt; </v>
      </c>
    </row>
    <row r="450" spans="1:20" x14ac:dyDescent="0.3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1"/>
        <v/>
      </c>
      <c r="P450">
        <f>'Combined Delivery Data'!B448</f>
        <v>0</v>
      </c>
      <c r="Q450">
        <f t="shared" si="32"/>
        <v>0</v>
      </c>
      <c r="R450">
        <f t="shared" si="33"/>
        <v>491</v>
      </c>
      <c r="S450" s="28">
        <f t="shared" si="34"/>
        <v>0</v>
      </c>
      <c r="T450" t="str">
        <f t="shared" si="35"/>
        <v xml:space="preserve"> -&gt; </v>
      </c>
    </row>
    <row r="451" spans="1:20" x14ac:dyDescent="0.3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6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 t="shared" ref="Q451:Q500" si="37">IF($P451="","",COUNTIF($A$3:$A$500,$P451))</f>
        <v>0</v>
      </c>
      <c r="R451">
        <f t="shared" ref="R451:R500" si="38">IF($P451="","",SUMPRODUCT(($A$3:$A$500=$P451)*($G$3:$G$500&lt;&gt;"Yes")*($G$3:$G$500&lt;&gt;"Did not pass re-test")))</f>
        <v>491</v>
      </c>
      <c r="S451" s="28">
        <f t="shared" ref="S451:S500" si="39">IF($P451="","",IF(SUMPRODUCT(MAX(($A$3:$A$500=$P451)*ROW($A$3:$A$500)))=0,"",INDEX($B:$B,SUMPRODUCT(MAX(($A$3:$A$500=$P451)*ROW($A$3:$A$500))))))</f>
        <v>0</v>
      </c>
      <c r="T451" t="str">
        <f t="shared" ref="T451:T500" si="40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 x14ac:dyDescent="0.3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6"/>
        <v/>
      </c>
      <c r="P452">
        <f>'Combined Delivery Data'!B450</f>
        <v>0</v>
      </c>
      <c r="Q452">
        <f t="shared" si="37"/>
        <v>0</v>
      </c>
      <c r="R452">
        <f t="shared" si="38"/>
        <v>491</v>
      </c>
      <c r="S452" s="28">
        <f t="shared" si="39"/>
        <v>0</v>
      </c>
      <c r="T452" t="str">
        <f t="shared" si="40"/>
        <v xml:space="preserve"> -&gt; </v>
      </c>
    </row>
    <row r="453" spans="1:20" x14ac:dyDescent="0.3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6"/>
        <v/>
      </c>
      <c r="P453">
        <f>'Combined Delivery Data'!B451</f>
        <v>0</v>
      </c>
      <c r="Q453">
        <f t="shared" si="37"/>
        <v>0</v>
      </c>
      <c r="R453">
        <f t="shared" si="38"/>
        <v>491</v>
      </c>
      <c r="S453" s="28">
        <f t="shared" si="39"/>
        <v>0</v>
      </c>
      <c r="T453" t="str">
        <f t="shared" si="40"/>
        <v xml:space="preserve"> -&gt; </v>
      </c>
    </row>
    <row r="454" spans="1:20" x14ac:dyDescent="0.3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6"/>
        <v/>
      </c>
      <c r="P454">
        <f>'Combined Delivery Data'!B452</f>
        <v>0</v>
      </c>
      <c r="Q454">
        <f t="shared" si="37"/>
        <v>0</v>
      </c>
      <c r="R454">
        <f t="shared" si="38"/>
        <v>491</v>
      </c>
      <c r="S454" s="28">
        <f t="shared" si="39"/>
        <v>0</v>
      </c>
      <c r="T454" t="str">
        <f t="shared" si="40"/>
        <v xml:space="preserve"> -&gt; </v>
      </c>
    </row>
    <row r="455" spans="1:20" x14ac:dyDescent="0.3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6"/>
        <v/>
      </c>
      <c r="P455">
        <f>'Combined Delivery Data'!B453</f>
        <v>0</v>
      </c>
      <c r="Q455">
        <f t="shared" si="37"/>
        <v>0</v>
      </c>
      <c r="R455">
        <f t="shared" si="38"/>
        <v>491</v>
      </c>
      <c r="S455" s="28">
        <f t="shared" si="39"/>
        <v>0</v>
      </c>
      <c r="T455" t="str">
        <f t="shared" si="40"/>
        <v xml:space="preserve"> -&gt; </v>
      </c>
    </row>
    <row r="456" spans="1:20" x14ac:dyDescent="0.3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6"/>
        <v/>
      </c>
      <c r="P456">
        <f>'Combined Delivery Data'!B454</f>
        <v>0</v>
      </c>
      <c r="Q456">
        <f t="shared" si="37"/>
        <v>0</v>
      </c>
      <c r="R456">
        <f t="shared" si="38"/>
        <v>491</v>
      </c>
      <c r="S456" s="28">
        <f t="shared" si="39"/>
        <v>0</v>
      </c>
      <c r="T456" t="str">
        <f t="shared" si="40"/>
        <v xml:space="preserve"> -&gt; </v>
      </c>
    </row>
    <row r="457" spans="1:20" x14ac:dyDescent="0.3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6"/>
        <v/>
      </c>
      <c r="P457">
        <f>'Combined Delivery Data'!B455</f>
        <v>0</v>
      </c>
      <c r="Q457">
        <f t="shared" si="37"/>
        <v>0</v>
      </c>
      <c r="R457">
        <f t="shared" si="38"/>
        <v>491</v>
      </c>
      <c r="S457" s="28">
        <f t="shared" si="39"/>
        <v>0</v>
      </c>
      <c r="T457" t="str">
        <f t="shared" si="40"/>
        <v xml:space="preserve"> -&gt; </v>
      </c>
    </row>
    <row r="458" spans="1:20" x14ac:dyDescent="0.3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6"/>
        <v/>
      </c>
      <c r="P458">
        <f>'Combined Delivery Data'!B456</f>
        <v>0</v>
      </c>
      <c r="Q458">
        <f t="shared" si="37"/>
        <v>0</v>
      </c>
      <c r="R458">
        <f t="shared" si="38"/>
        <v>491</v>
      </c>
      <c r="S458" s="28">
        <f t="shared" si="39"/>
        <v>0</v>
      </c>
      <c r="T458" t="str">
        <f t="shared" si="40"/>
        <v xml:space="preserve"> -&gt; </v>
      </c>
    </row>
    <row r="459" spans="1:20" x14ac:dyDescent="0.3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6"/>
        <v/>
      </c>
      <c r="P459">
        <f>'Combined Delivery Data'!B457</f>
        <v>0</v>
      </c>
      <c r="Q459">
        <f t="shared" si="37"/>
        <v>0</v>
      </c>
      <c r="R459">
        <f t="shared" si="38"/>
        <v>491</v>
      </c>
      <c r="S459" s="28">
        <f t="shared" si="39"/>
        <v>0</v>
      </c>
      <c r="T459" t="str">
        <f t="shared" si="40"/>
        <v xml:space="preserve"> -&gt; </v>
      </c>
    </row>
    <row r="460" spans="1:20" x14ac:dyDescent="0.3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6"/>
        <v/>
      </c>
      <c r="P460">
        <f>'Combined Delivery Data'!B458</f>
        <v>0</v>
      </c>
      <c r="Q460">
        <f t="shared" si="37"/>
        <v>0</v>
      </c>
      <c r="R460">
        <f t="shared" si="38"/>
        <v>491</v>
      </c>
      <c r="S460" s="28">
        <f t="shared" si="39"/>
        <v>0</v>
      </c>
      <c r="T460" t="str">
        <f t="shared" si="40"/>
        <v xml:space="preserve"> -&gt; </v>
      </c>
    </row>
    <row r="461" spans="1:20" x14ac:dyDescent="0.3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6"/>
        <v/>
      </c>
      <c r="P461">
        <f>'Combined Delivery Data'!B459</f>
        <v>0</v>
      </c>
      <c r="Q461">
        <f t="shared" si="37"/>
        <v>0</v>
      </c>
      <c r="R461">
        <f t="shared" si="38"/>
        <v>491</v>
      </c>
      <c r="S461" s="28">
        <f t="shared" si="39"/>
        <v>0</v>
      </c>
      <c r="T461" t="str">
        <f t="shared" si="40"/>
        <v xml:space="preserve"> -&gt; </v>
      </c>
    </row>
    <row r="462" spans="1:20" x14ac:dyDescent="0.3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6"/>
        <v/>
      </c>
      <c r="P462">
        <f>'Combined Delivery Data'!B460</f>
        <v>0</v>
      </c>
      <c r="Q462">
        <f t="shared" si="37"/>
        <v>0</v>
      </c>
      <c r="R462">
        <f t="shared" si="38"/>
        <v>491</v>
      </c>
      <c r="S462" s="28">
        <f t="shared" si="39"/>
        <v>0</v>
      </c>
      <c r="T462" t="str">
        <f t="shared" si="40"/>
        <v xml:space="preserve"> -&gt; </v>
      </c>
    </row>
    <row r="463" spans="1:20" x14ac:dyDescent="0.3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6"/>
        <v/>
      </c>
      <c r="P463">
        <f>'Combined Delivery Data'!B461</f>
        <v>0</v>
      </c>
      <c r="Q463">
        <f t="shared" si="37"/>
        <v>0</v>
      </c>
      <c r="R463">
        <f t="shared" si="38"/>
        <v>491</v>
      </c>
      <c r="S463" s="28">
        <f t="shared" si="39"/>
        <v>0</v>
      </c>
      <c r="T463" t="str">
        <f t="shared" si="40"/>
        <v xml:space="preserve"> -&gt; </v>
      </c>
    </row>
    <row r="464" spans="1:20" x14ac:dyDescent="0.3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6"/>
        <v/>
      </c>
      <c r="P464">
        <f>'Combined Delivery Data'!B462</f>
        <v>0</v>
      </c>
      <c r="Q464">
        <f t="shared" si="37"/>
        <v>0</v>
      </c>
      <c r="R464">
        <f t="shared" si="38"/>
        <v>491</v>
      </c>
      <c r="S464" s="28">
        <f t="shared" si="39"/>
        <v>0</v>
      </c>
      <c r="T464" t="str">
        <f t="shared" si="40"/>
        <v xml:space="preserve"> -&gt; </v>
      </c>
    </row>
    <row r="465" spans="1:20" x14ac:dyDescent="0.3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6"/>
        <v/>
      </c>
      <c r="P465">
        <f>'Combined Delivery Data'!B463</f>
        <v>0</v>
      </c>
      <c r="Q465">
        <f t="shared" si="37"/>
        <v>0</v>
      </c>
      <c r="R465">
        <f t="shared" si="38"/>
        <v>491</v>
      </c>
      <c r="S465" s="28">
        <f t="shared" si="39"/>
        <v>0</v>
      </c>
      <c r="T465" t="str">
        <f t="shared" si="40"/>
        <v xml:space="preserve"> -&gt; </v>
      </c>
    </row>
    <row r="466" spans="1:20" x14ac:dyDescent="0.3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6"/>
        <v/>
      </c>
      <c r="P466">
        <f>'Combined Delivery Data'!B464</f>
        <v>0</v>
      </c>
      <c r="Q466">
        <f t="shared" si="37"/>
        <v>0</v>
      </c>
      <c r="R466">
        <f t="shared" si="38"/>
        <v>491</v>
      </c>
      <c r="S466" s="28">
        <f t="shared" si="39"/>
        <v>0</v>
      </c>
      <c r="T466" t="str">
        <f t="shared" si="40"/>
        <v xml:space="preserve"> -&gt; </v>
      </c>
    </row>
    <row r="467" spans="1:20" x14ac:dyDescent="0.3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6"/>
        <v/>
      </c>
      <c r="P467">
        <f>'Combined Delivery Data'!B465</f>
        <v>0</v>
      </c>
      <c r="Q467">
        <f t="shared" si="37"/>
        <v>0</v>
      </c>
      <c r="R467">
        <f t="shared" si="38"/>
        <v>491</v>
      </c>
      <c r="S467" s="28">
        <f t="shared" si="39"/>
        <v>0</v>
      </c>
      <c r="T467" t="str">
        <f t="shared" si="40"/>
        <v xml:space="preserve"> -&gt; </v>
      </c>
    </row>
    <row r="468" spans="1:20" x14ac:dyDescent="0.3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6"/>
        <v/>
      </c>
      <c r="P468">
        <f>'Combined Delivery Data'!B466</f>
        <v>0</v>
      </c>
      <c r="Q468">
        <f t="shared" si="37"/>
        <v>0</v>
      </c>
      <c r="R468">
        <f t="shared" si="38"/>
        <v>491</v>
      </c>
      <c r="S468" s="28">
        <f t="shared" si="39"/>
        <v>0</v>
      </c>
      <c r="T468" t="str">
        <f t="shared" si="40"/>
        <v xml:space="preserve"> -&gt; </v>
      </c>
    </row>
    <row r="469" spans="1:20" x14ac:dyDescent="0.3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6"/>
        <v/>
      </c>
      <c r="P469">
        <f>'Combined Delivery Data'!B467</f>
        <v>0</v>
      </c>
      <c r="Q469">
        <f t="shared" si="37"/>
        <v>0</v>
      </c>
      <c r="R469">
        <f t="shared" si="38"/>
        <v>491</v>
      </c>
      <c r="S469" s="28">
        <f t="shared" si="39"/>
        <v>0</v>
      </c>
      <c r="T469" t="str">
        <f t="shared" si="40"/>
        <v xml:space="preserve"> -&gt; </v>
      </c>
    </row>
    <row r="470" spans="1:20" x14ac:dyDescent="0.3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6"/>
        <v/>
      </c>
      <c r="P470">
        <f>'Combined Delivery Data'!B468</f>
        <v>0</v>
      </c>
      <c r="Q470">
        <f t="shared" si="37"/>
        <v>0</v>
      </c>
      <c r="R470">
        <f t="shared" si="38"/>
        <v>491</v>
      </c>
      <c r="S470" s="28">
        <f t="shared" si="39"/>
        <v>0</v>
      </c>
      <c r="T470" t="str">
        <f t="shared" si="40"/>
        <v xml:space="preserve"> -&gt; </v>
      </c>
    </row>
    <row r="471" spans="1:20" x14ac:dyDescent="0.3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6"/>
        <v/>
      </c>
      <c r="P471">
        <f>'Combined Delivery Data'!B469</f>
        <v>0</v>
      </c>
      <c r="Q471">
        <f t="shared" si="37"/>
        <v>0</v>
      </c>
      <c r="R471">
        <f t="shared" si="38"/>
        <v>491</v>
      </c>
      <c r="S471" s="28">
        <f t="shared" si="39"/>
        <v>0</v>
      </c>
      <c r="T471" t="str">
        <f t="shared" si="40"/>
        <v xml:space="preserve"> -&gt; </v>
      </c>
    </row>
    <row r="472" spans="1:20" x14ac:dyDescent="0.3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6"/>
        <v/>
      </c>
      <c r="P472">
        <f>'Combined Delivery Data'!B470</f>
        <v>0</v>
      </c>
      <c r="Q472">
        <f t="shared" si="37"/>
        <v>0</v>
      </c>
      <c r="R472">
        <f t="shared" si="38"/>
        <v>491</v>
      </c>
      <c r="S472" s="28">
        <f t="shared" si="39"/>
        <v>0</v>
      </c>
      <c r="T472" t="str">
        <f t="shared" si="40"/>
        <v xml:space="preserve"> -&gt; </v>
      </c>
    </row>
    <row r="473" spans="1:20" x14ac:dyDescent="0.3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6"/>
        <v/>
      </c>
      <c r="P473">
        <f>'Combined Delivery Data'!B471</f>
        <v>0</v>
      </c>
      <c r="Q473">
        <f t="shared" si="37"/>
        <v>0</v>
      </c>
      <c r="R473">
        <f t="shared" si="38"/>
        <v>491</v>
      </c>
      <c r="S473" s="28">
        <f t="shared" si="39"/>
        <v>0</v>
      </c>
      <c r="T473" t="str">
        <f t="shared" si="40"/>
        <v xml:space="preserve"> -&gt; </v>
      </c>
    </row>
    <row r="474" spans="1:20" x14ac:dyDescent="0.3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6"/>
        <v/>
      </c>
      <c r="P474">
        <f>'Combined Delivery Data'!B472</f>
        <v>0</v>
      </c>
      <c r="Q474">
        <f t="shared" si="37"/>
        <v>0</v>
      </c>
      <c r="R474">
        <f t="shared" si="38"/>
        <v>491</v>
      </c>
      <c r="S474" s="28">
        <f t="shared" si="39"/>
        <v>0</v>
      </c>
      <c r="T474" t="str">
        <f t="shared" si="40"/>
        <v xml:space="preserve"> -&gt; </v>
      </c>
    </row>
    <row r="475" spans="1:20" x14ac:dyDescent="0.3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6"/>
        <v/>
      </c>
      <c r="P475">
        <f>'Combined Delivery Data'!B473</f>
        <v>0</v>
      </c>
      <c r="Q475">
        <f t="shared" si="37"/>
        <v>0</v>
      </c>
      <c r="R475">
        <f t="shared" si="38"/>
        <v>491</v>
      </c>
      <c r="S475" s="28">
        <f t="shared" si="39"/>
        <v>0</v>
      </c>
      <c r="T475" t="str">
        <f t="shared" si="40"/>
        <v xml:space="preserve"> -&gt; </v>
      </c>
    </row>
    <row r="476" spans="1:20" x14ac:dyDescent="0.3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6"/>
        <v/>
      </c>
      <c r="P476">
        <f>'Combined Delivery Data'!B474</f>
        <v>0</v>
      </c>
      <c r="Q476">
        <f t="shared" si="37"/>
        <v>0</v>
      </c>
      <c r="R476">
        <f t="shared" si="38"/>
        <v>491</v>
      </c>
      <c r="S476" s="28">
        <f t="shared" si="39"/>
        <v>0</v>
      </c>
      <c r="T476" t="str">
        <f t="shared" si="40"/>
        <v xml:space="preserve"> -&gt; </v>
      </c>
    </row>
    <row r="477" spans="1:20" x14ac:dyDescent="0.3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6"/>
        <v/>
      </c>
      <c r="P477">
        <f>'Combined Delivery Data'!B475</f>
        <v>0</v>
      </c>
      <c r="Q477">
        <f t="shared" si="37"/>
        <v>0</v>
      </c>
      <c r="R477">
        <f t="shared" si="38"/>
        <v>491</v>
      </c>
      <c r="S477" s="28">
        <f t="shared" si="39"/>
        <v>0</v>
      </c>
      <c r="T477" t="str">
        <f t="shared" si="40"/>
        <v xml:space="preserve"> -&gt; </v>
      </c>
    </row>
    <row r="478" spans="1:20" x14ac:dyDescent="0.3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6"/>
        <v/>
      </c>
      <c r="P478">
        <f>'Combined Delivery Data'!B476</f>
        <v>0</v>
      </c>
      <c r="Q478">
        <f t="shared" si="37"/>
        <v>0</v>
      </c>
      <c r="R478">
        <f t="shared" si="38"/>
        <v>491</v>
      </c>
      <c r="S478" s="28">
        <f t="shared" si="39"/>
        <v>0</v>
      </c>
      <c r="T478" t="str">
        <f t="shared" si="40"/>
        <v xml:space="preserve"> -&gt; </v>
      </c>
    </row>
    <row r="479" spans="1:20" x14ac:dyDescent="0.3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6"/>
        <v/>
      </c>
      <c r="P479">
        <f>'Combined Delivery Data'!B477</f>
        <v>0</v>
      </c>
      <c r="Q479">
        <f t="shared" si="37"/>
        <v>0</v>
      </c>
      <c r="R479">
        <f t="shared" si="38"/>
        <v>491</v>
      </c>
      <c r="S479" s="28">
        <f t="shared" si="39"/>
        <v>0</v>
      </c>
      <c r="T479" t="str">
        <f t="shared" si="40"/>
        <v xml:space="preserve"> -&gt; </v>
      </c>
    </row>
    <row r="480" spans="1:20" x14ac:dyDescent="0.3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6"/>
        <v/>
      </c>
      <c r="P480">
        <f>'Combined Delivery Data'!B478</f>
        <v>0</v>
      </c>
      <c r="Q480">
        <f t="shared" si="37"/>
        <v>0</v>
      </c>
      <c r="R480">
        <f t="shared" si="38"/>
        <v>491</v>
      </c>
      <c r="S480" s="28">
        <f t="shared" si="39"/>
        <v>0</v>
      </c>
      <c r="T480" t="str">
        <f t="shared" si="40"/>
        <v xml:space="preserve"> -&gt; </v>
      </c>
    </row>
    <row r="481" spans="1:20" x14ac:dyDescent="0.3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6"/>
        <v/>
      </c>
      <c r="P481">
        <f>'Combined Delivery Data'!B479</f>
        <v>0</v>
      </c>
      <c r="Q481">
        <f t="shared" si="37"/>
        <v>0</v>
      </c>
      <c r="R481">
        <f t="shared" si="38"/>
        <v>491</v>
      </c>
      <c r="S481" s="28">
        <f t="shared" si="39"/>
        <v>0</v>
      </c>
      <c r="T481" t="str">
        <f t="shared" si="40"/>
        <v xml:space="preserve"> -&gt; </v>
      </c>
    </row>
    <row r="482" spans="1:20" x14ac:dyDescent="0.3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6"/>
        <v/>
      </c>
      <c r="P482">
        <f>'Combined Delivery Data'!B480</f>
        <v>0</v>
      </c>
      <c r="Q482">
        <f t="shared" si="37"/>
        <v>0</v>
      </c>
      <c r="R482">
        <f t="shared" si="38"/>
        <v>491</v>
      </c>
      <c r="S482" s="28">
        <f t="shared" si="39"/>
        <v>0</v>
      </c>
      <c r="T482" t="str">
        <f t="shared" si="40"/>
        <v xml:space="preserve"> -&gt; </v>
      </c>
    </row>
    <row r="483" spans="1:20" x14ac:dyDescent="0.3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6"/>
        <v/>
      </c>
      <c r="P483">
        <f>'Combined Delivery Data'!B481</f>
        <v>0</v>
      </c>
      <c r="Q483">
        <f t="shared" si="37"/>
        <v>0</v>
      </c>
      <c r="R483">
        <f t="shared" si="38"/>
        <v>491</v>
      </c>
      <c r="S483" s="28">
        <f t="shared" si="39"/>
        <v>0</v>
      </c>
      <c r="T483" t="str">
        <f t="shared" si="40"/>
        <v xml:space="preserve"> -&gt; </v>
      </c>
    </row>
    <row r="484" spans="1:20" x14ac:dyDescent="0.3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6"/>
        <v/>
      </c>
      <c r="P484">
        <f>'Combined Delivery Data'!B482</f>
        <v>0</v>
      </c>
      <c r="Q484">
        <f t="shared" si="37"/>
        <v>0</v>
      </c>
      <c r="R484">
        <f t="shared" si="38"/>
        <v>491</v>
      </c>
      <c r="S484" s="28">
        <f t="shared" si="39"/>
        <v>0</v>
      </c>
      <c r="T484" t="str">
        <f t="shared" si="40"/>
        <v xml:space="preserve"> -&gt; </v>
      </c>
    </row>
    <row r="485" spans="1:20" x14ac:dyDescent="0.3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6"/>
        <v/>
      </c>
      <c r="P485">
        <f>'Combined Delivery Data'!B483</f>
        <v>0</v>
      </c>
      <c r="Q485">
        <f t="shared" si="37"/>
        <v>0</v>
      </c>
      <c r="R485">
        <f t="shared" si="38"/>
        <v>491</v>
      </c>
      <c r="S485" s="28">
        <f t="shared" si="39"/>
        <v>0</v>
      </c>
      <c r="T485" t="str">
        <f t="shared" si="40"/>
        <v xml:space="preserve"> -&gt; </v>
      </c>
    </row>
    <row r="486" spans="1:20" x14ac:dyDescent="0.3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6"/>
        <v/>
      </c>
      <c r="P486">
        <f>'Combined Delivery Data'!B484</f>
        <v>0</v>
      </c>
      <c r="Q486">
        <f t="shared" si="37"/>
        <v>0</v>
      </c>
      <c r="R486">
        <f t="shared" si="38"/>
        <v>491</v>
      </c>
      <c r="S486" s="28">
        <f t="shared" si="39"/>
        <v>0</v>
      </c>
      <c r="T486" t="str">
        <f t="shared" si="40"/>
        <v xml:space="preserve"> -&gt; </v>
      </c>
    </row>
    <row r="487" spans="1:20" x14ac:dyDescent="0.3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6"/>
        <v/>
      </c>
      <c r="P487">
        <f>'Combined Delivery Data'!B485</f>
        <v>0</v>
      </c>
      <c r="Q487">
        <f t="shared" si="37"/>
        <v>0</v>
      </c>
      <c r="R487">
        <f t="shared" si="38"/>
        <v>491</v>
      </c>
      <c r="S487" s="28">
        <f t="shared" si="39"/>
        <v>0</v>
      </c>
      <c r="T487" t="str">
        <f t="shared" si="40"/>
        <v xml:space="preserve"> -&gt; </v>
      </c>
    </row>
    <row r="488" spans="1:20" x14ac:dyDescent="0.3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6"/>
        <v/>
      </c>
      <c r="P488">
        <f>'Combined Delivery Data'!B486</f>
        <v>0</v>
      </c>
      <c r="Q488">
        <f t="shared" si="37"/>
        <v>0</v>
      </c>
      <c r="R488">
        <f t="shared" si="38"/>
        <v>491</v>
      </c>
      <c r="S488" s="28">
        <f t="shared" si="39"/>
        <v>0</v>
      </c>
      <c r="T488" t="str">
        <f t="shared" si="40"/>
        <v xml:space="preserve"> -&gt; </v>
      </c>
    </row>
    <row r="489" spans="1:20" x14ac:dyDescent="0.3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6"/>
        <v/>
      </c>
      <c r="P489">
        <f>'Combined Delivery Data'!B487</f>
        <v>0</v>
      </c>
      <c r="Q489">
        <f t="shared" si="37"/>
        <v>0</v>
      </c>
      <c r="R489">
        <f t="shared" si="38"/>
        <v>491</v>
      </c>
      <c r="S489" s="28">
        <f t="shared" si="39"/>
        <v>0</v>
      </c>
      <c r="T489" t="str">
        <f t="shared" si="40"/>
        <v xml:space="preserve"> -&gt; </v>
      </c>
    </row>
    <row r="490" spans="1:20" x14ac:dyDescent="0.3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6"/>
        <v/>
      </c>
      <c r="P490">
        <f>'Combined Delivery Data'!B488</f>
        <v>0</v>
      </c>
      <c r="Q490">
        <f t="shared" si="37"/>
        <v>0</v>
      </c>
      <c r="R490">
        <f t="shared" si="38"/>
        <v>491</v>
      </c>
      <c r="S490" s="28">
        <f t="shared" si="39"/>
        <v>0</v>
      </c>
      <c r="T490" t="str">
        <f t="shared" si="40"/>
        <v xml:space="preserve"> -&gt; </v>
      </c>
    </row>
    <row r="491" spans="1:20" x14ac:dyDescent="0.3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6"/>
        <v/>
      </c>
      <c r="P491">
        <f>'Combined Delivery Data'!B489</f>
        <v>0</v>
      </c>
      <c r="Q491">
        <f t="shared" si="37"/>
        <v>0</v>
      </c>
      <c r="R491">
        <f t="shared" si="38"/>
        <v>491</v>
      </c>
      <c r="S491" s="28">
        <f t="shared" si="39"/>
        <v>0</v>
      </c>
      <c r="T491" t="str">
        <f t="shared" si="40"/>
        <v xml:space="preserve"> -&gt; </v>
      </c>
    </row>
    <row r="492" spans="1:20" x14ac:dyDescent="0.3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6"/>
        <v/>
      </c>
      <c r="P492">
        <f>'Combined Delivery Data'!B490</f>
        <v>0</v>
      </c>
      <c r="Q492">
        <f t="shared" si="37"/>
        <v>0</v>
      </c>
      <c r="R492">
        <f t="shared" si="38"/>
        <v>491</v>
      </c>
      <c r="S492" s="28">
        <f t="shared" si="39"/>
        <v>0</v>
      </c>
      <c r="T492" t="str">
        <f t="shared" si="40"/>
        <v xml:space="preserve"> -&gt; </v>
      </c>
    </row>
    <row r="493" spans="1:20" x14ac:dyDescent="0.3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6"/>
        <v/>
      </c>
      <c r="P493">
        <f>'Combined Delivery Data'!B491</f>
        <v>0</v>
      </c>
      <c r="Q493">
        <f t="shared" si="37"/>
        <v>0</v>
      </c>
      <c r="R493">
        <f t="shared" si="38"/>
        <v>491</v>
      </c>
      <c r="S493" s="28">
        <f t="shared" si="39"/>
        <v>0</v>
      </c>
      <c r="T493" t="str">
        <f t="shared" si="40"/>
        <v xml:space="preserve"> -&gt; </v>
      </c>
    </row>
    <row r="494" spans="1:20" x14ac:dyDescent="0.3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6"/>
        <v/>
      </c>
      <c r="P494">
        <f>'Combined Delivery Data'!B492</f>
        <v>0</v>
      </c>
      <c r="Q494">
        <f t="shared" si="37"/>
        <v>0</v>
      </c>
      <c r="R494">
        <f t="shared" si="38"/>
        <v>491</v>
      </c>
      <c r="S494" s="28">
        <f t="shared" si="39"/>
        <v>0</v>
      </c>
      <c r="T494" t="str">
        <f t="shared" si="40"/>
        <v xml:space="preserve"> -&gt; </v>
      </c>
    </row>
    <row r="495" spans="1:20" x14ac:dyDescent="0.3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6"/>
        <v/>
      </c>
      <c r="P495">
        <f>'Combined Delivery Data'!B493</f>
        <v>0</v>
      </c>
      <c r="Q495">
        <f t="shared" si="37"/>
        <v>0</v>
      </c>
      <c r="R495">
        <f t="shared" si="38"/>
        <v>491</v>
      </c>
      <c r="S495" s="28">
        <f t="shared" si="39"/>
        <v>0</v>
      </c>
      <c r="T495" t="str">
        <f t="shared" si="40"/>
        <v xml:space="preserve"> -&gt; </v>
      </c>
    </row>
    <row r="496" spans="1:20" x14ac:dyDescent="0.3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6"/>
        <v/>
      </c>
      <c r="P496">
        <f>'Combined Delivery Data'!B494</f>
        <v>0</v>
      </c>
      <c r="Q496">
        <f t="shared" si="37"/>
        <v>0</v>
      </c>
      <c r="R496">
        <f t="shared" si="38"/>
        <v>491</v>
      </c>
      <c r="S496" s="28">
        <f t="shared" si="39"/>
        <v>0</v>
      </c>
      <c r="T496" t="str">
        <f t="shared" si="40"/>
        <v xml:space="preserve"> -&gt; </v>
      </c>
    </row>
    <row r="497" spans="1:20" x14ac:dyDescent="0.3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6"/>
        <v/>
      </c>
      <c r="P497">
        <f>'Combined Delivery Data'!B495</f>
        <v>0</v>
      </c>
      <c r="Q497">
        <f t="shared" si="37"/>
        <v>0</v>
      </c>
      <c r="R497">
        <f t="shared" si="38"/>
        <v>491</v>
      </c>
      <c r="S497" s="28">
        <f t="shared" si="39"/>
        <v>0</v>
      </c>
      <c r="T497" t="str">
        <f t="shared" si="40"/>
        <v xml:space="preserve"> -&gt; </v>
      </c>
    </row>
    <row r="498" spans="1:20" x14ac:dyDescent="0.3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6"/>
        <v/>
      </c>
      <c r="P498">
        <f>'Combined Delivery Data'!B496</f>
        <v>0</v>
      </c>
      <c r="Q498">
        <f t="shared" si="37"/>
        <v>0</v>
      </c>
      <c r="R498">
        <f t="shared" si="38"/>
        <v>491</v>
      </c>
      <c r="S498" s="28">
        <f t="shared" si="39"/>
        <v>0</v>
      </c>
      <c r="T498" t="str">
        <f t="shared" si="40"/>
        <v xml:space="preserve"> -&gt; </v>
      </c>
    </row>
    <row r="499" spans="1:20" x14ac:dyDescent="0.3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6"/>
        <v/>
      </c>
      <c r="P499">
        <f>'Combined Delivery Data'!B497</f>
        <v>0</v>
      </c>
      <c r="Q499">
        <f t="shared" si="37"/>
        <v>0</v>
      </c>
      <c r="R499">
        <f t="shared" si="38"/>
        <v>491</v>
      </c>
      <c r="S499" s="28">
        <f t="shared" si="39"/>
        <v>0</v>
      </c>
      <c r="T499" t="str">
        <f t="shared" si="40"/>
        <v xml:space="preserve"> -&gt; </v>
      </c>
    </row>
    <row r="500" spans="1:20" x14ac:dyDescent="0.3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6"/>
        <v/>
      </c>
      <c r="P500">
        <f>'Combined Delivery Data'!B498</f>
        <v>0</v>
      </c>
      <c r="Q500">
        <f t="shared" si="37"/>
        <v>0</v>
      </c>
      <c r="R500">
        <f t="shared" si="38"/>
        <v>491</v>
      </c>
      <c r="S500" s="28">
        <f t="shared" si="39"/>
        <v>0</v>
      </c>
      <c r="T500" t="str">
        <f t="shared" si="40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2" priority="2">
      <formula>AND($B5&lt;&gt;"",MOD(ROW(),2)=0)</formula>
    </cfRule>
  </conditionalFormatting>
  <conditionalFormatting sqref="A3:H3 K3:M3 A4:M4 M4:M71 B5:M8 A9:M500">
    <cfRule type="expression" dxfId="11" priority="12">
      <formula>AND($A3&lt;&gt;"",$G3="Yes")</formula>
    </cfRule>
    <cfRule type="expression" dxfId="10" priority="13">
      <formula>AND($A3&lt;&gt;"",$J3&lt;&gt;"")</formula>
    </cfRule>
    <cfRule type="expression" dxfId="9" priority="14">
      <formula>$A3&lt;&gt;""</formula>
    </cfRule>
  </conditionalFormatting>
  <conditionalFormatting sqref="C3:C200">
    <cfRule type="expression" dxfId="8" priority="15">
      <formula>$A3=""</formula>
    </cfRule>
  </conditionalFormatting>
  <conditionalFormatting sqref="G3:G200">
    <cfRule type="expression" dxfId="7" priority="16">
      <formula>$A3=""</formula>
    </cfRule>
  </conditionalFormatting>
  <conditionalFormatting sqref="K3:M3 A4:M4 M4:M71 B5:M8 A9:M500 A3:H3">
    <cfRule type="expression" dxfId="6" priority="11">
      <formula>AND($A3&lt;&gt;"",$G3="Did not pass re-test")</formula>
    </cfRule>
  </conditionalFormatting>
  <conditionalFormatting sqref="M3:M500">
    <cfRule type="expression" dxfId="5" priority="5">
      <formula>ISNUMBER(SEARCH("Sent back again",$M3))</formula>
    </cfRule>
    <cfRule type="expression" dxfId="4" priority="6">
      <formula>ISNUMBER(SEARCH("LATE",$M3))</formula>
    </cfRule>
    <cfRule type="expression" dxfId="3" priority="7">
      <formula>ISNUMBER(SEARCH("UNCLAIMED",$M3))</formula>
    </cfRule>
    <cfRule type="expression" dxfId="2" priority="8">
      <formula>ISNUMBER(SEARCH("Missing",$M3))</formula>
    </cfRule>
    <cfRule type="expression" dxfId="1" priority="9">
      <formula>ISNUMBER(SEARCH("Fixed in",$M3))</formula>
    </cfRule>
    <cfRule type="expression" dxfId="0" priority="10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 I5:J5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A3:A4 A9:A500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topRight" activeCell="D1" sqref="D1"/>
      <selection pane="bottomLeft" activeCell="A3" sqref="A3"/>
      <selection pane="bottomRight"/>
    </sheetView>
  </sheetViews>
  <sheetFormatPr defaultColWidth="8.6640625" defaultRowHeight="14.4" x14ac:dyDescent="0.3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 x14ac:dyDescent="0.3">
      <c r="A1" s="85" t="s">
        <v>226</v>
      </c>
      <c r="B1" s="77"/>
      <c r="C1" s="77"/>
      <c r="D1" s="77"/>
      <c r="E1" s="77"/>
      <c r="F1" s="77"/>
      <c r="G1" s="77"/>
      <c r="H1" s="77"/>
      <c r="I1" s="77"/>
      <c r="J1" s="77"/>
    </row>
    <row r="2" spans="1:10" ht="27" customHeight="1" x14ac:dyDescent="0.3">
      <c r="A2" s="8" t="s">
        <v>0</v>
      </c>
      <c r="B2" s="8" t="s">
        <v>227</v>
      </c>
      <c r="C2" s="8" t="s">
        <v>1</v>
      </c>
      <c r="D2" s="8" t="s">
        <v>228</v>
      </c>
      <c r="E2" s="8" t="s">
        <v>229</v>
      </c>
      <c r="F2" s="8" t="s">
        <v>6</v>
      </c>
      <c r="G2" s="8" t="s">
        <v>5</v>
      </c>
      <c r="H2" s="8" t="s">
        <v>230</v>
      </c>
      <c r="I2" s="8" t="s">
        <v>231</v>
      </c>
      <c r="J2" s="8" t="s">
        <v>232</v>
      </c>
    </row>
    <row r="3" spans="1:10" ht="14.25" customHeight="1" x14ac:dyDescent="0.3">
      <c r="A3" s="9" t="s">
        <v>34</v>
      </c>
      <c r="B3" s="9" t="s">
        <v>154</v>
      </c>
      <c r="C3" s="9" t="s">
        <v>35</v>
      </c>
      <c r="D3" s="9" t="s">
        <v>38</v>
      </c>
      <c r="E3" s="9" t="s">
        <v>39</v>
      </c>
      <c r="F3" s="9"/>
      <c r="G3" s="9"/>
      <c r="H3" s="9"/>
      <c r="I3" s="10">
        <v>46115</v>
      </c>
      <c r="J3" s="10">
        <v>46115</v>
      </c>
    </row>
    <row r="4" spans="1:10" ht="14.25" customHeight="1" x14ac:dyDescent="0.3">
      <c r="A4" s="9" t="s">
        <v>34</v>
      </c>
      <c r="B4" s="9" t="s">
        <v>125</v>
      </c>
      <c r="C4" s="9" t="s">
        <v>35</v>
      </c>
      <c r="D4" s="9" t="s">
        <v>38</v>
      </c>
      <c r="E4" s="9" t="s">
        <v>39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 x14ac:dyDescent="0.3">
      <c r="A5" s="9" t="s">
        <v>34</v>
      </c>
      <c r="B5" s="9" t="s">
        <v>120</v>
      </c>
      <c r="C5" s="9" t="s">
        <v>35</v>
      </c>
      <c r="D5" s="9" t="s">
        <v>38</v>
      </c>
      <c r="E5" s="9" t="s">
        <v>39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 x14ac:dyDescent="0.3">
      <c r="A6" s="9" t="s">
        <v>34</v>
      </c>
      <c r="B6" s="9" t="s">
        <v>114</v>
      </c>
      <c r="C6" s="9" t="s">
        <v>35</v>
      </c>
      <c r="D6" s="9" t="s">
        <v>38</v>
      </c>
      <c r="E6" s="9" t="s">
        <v>39</v>
      </c>
      <c r="F6" s="9"/>
      <c r="G6" s="9"/>
      <c r="H6" s="10">
        <v>46122</v>
      </c>
      <c r="I6" s="10"/>
      <c r="J6" s="10"/>
    </row>
    <row r="7" spans="1:10" ht="14.25" customHeight="1" x14ac:dyDescent="0.3">
      <c r="A7" s="9" t="s">
        <v>34</v>
      </c>
      <c r="B7" s="9" t="s">
        <v>36</v>
      </c>
      <c r="C7" s="9" t="s">
        <v>35</v>
      </c>
      <c r="D7" s="9" t="s">
        <v>38</v>
      </c>
      <c r="E7" s="9" t="s">
        <v>39</v>
      </c>
      <c r="F7" s="9"/>
      <c r="G7" s="9"/>
      <c r="H7" s="9"/>
      <c r="I7" s="10"/>
      <c r="J7" s="10"/>
    </row>
    <row r="8" spans="1:10" ht="14.25" customHeight="1" x14ac:dyDescent="0.3">
      <c r="A8" s="9" t="s">
        <v>34</v>
      </c>
      <c r="B8" s="9" t="s">
        <v>154</v>
      </c>
      <c r="C8" s="9" t="s">
        <v>47</v>
      </c>
      <c r="D8" s="9" t="s">
        <v>38</v>
      </c>
      <c r="E8" s="9" t="s">
        <v>39</v>
      </c>
      <c r="F8" s="9"/>
      <c r="G8" s="9"/>
      <c r="H8" s="10"/>
      <c r="I8" s="10">
        <v>46115</v>
      </c>
      <c r="J8" s="10">
        <v>46115</v>
      </c>
    </row>
    <row r="9" spans="1:10" ht="14.25" customHeight="1" x14ac:dyDescent="0.3">
      <c r="A9" s="9" t="s">
        <v>34</v>
      </c>
      <c r="B9" s="9" t="s">
        <v>125</v>
      </c>
      <c r="C9" s="9" t="s">
        <v>47</v>
      </c>
      <c r="D9" s="9" t="s">
        <v>38</v>
      </c>
      <c r="E9" s="9" t="s">
        <v>39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 x14ac:dyDescent="0.3">
      <c r="A10" s="9" t="s">
        <v>34</v>
      </c>
      <c r="B10" s="9" t="s">
        <v>120</v>
      </c>
      <c r="C10" s="9" t="s">
        <v>47</v>
      </c>
      <c r="D10" s="9" t="s">
        <v>38</v>
      </c>
      <c r="E10" s="9" t="s">
        <v>39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 x14ac:dyDescent="0.3">
      <c r="A11" s="9" t="s">
        <v>34</v>
      </c>
      <c r="B11" s="9" t="s">
        <v>114</v>
      </c>
      <c r="C11" s="9" t="s">
        <v>47</v>
      </c>
      <c r="D11" s="9" t="s">
        <v>38</v>
      </c>
      <c r="E11" s="9" t="s">
        <v>39</v>
      </c>
      <c r="F11" s="9"/>
      <c r="G11" s="9"/>
      <c r="H11" s="10">
        <v>46122</v>
      </c>
      <c r="I11" s="10"/>
      <c r="J11" s="10"/>
    </row>
    <row r="12" spans="1:10" ht="14.25" customHeight="1" x14ac:dyDescent="0.3">
      <c r="A12" s="9" t="s">
        <v>34</v>
      </c>
      <c r="B12" s="9" t="s">
        <v>36</v>
      </c>
      <c r="C12" s="9" t="s">
        <v>47</v>
      </c>
      <c r="D12" s="9" t="s">
        <v>38</v>
      </c>
      <c r="E12" s="9" t="s">
        <v>39</v>
      </c>
      <c r="F12" s="9"/>
      <c r="G12" s="9"/>
      <c r="H12" s="10"/>
      <c r="I12" s="10"/>
      <c r="J12" s="10"/>
    </row>
    <row r="13" spans="1:10" ht="14.25" customHeight="1" x14ac:dyDescent="0.3">
      <c r="A13" s="9" t="s">
        <v>34</v>
      </c>
      <c r="B13" s="9" t="s">
        <v>154</v>
      </c>
      <c r="C13" s="9" t="s">
        <v>233</v>
      </c>
      <c r="D13" s="9" t="s">
        <v>57</v>
      </c>
      <c r="E13" s="9" t="s">
        <v>39</v>
      </c>
      <c r="F13" s="9"/>
      <c r="G13" s="9"/>
      <c r="H13" s="10"/>
      <c r="I13" s="10">
        <v>46115</v>
      </c>
      <c r="J13" s="10">
        <v>46115</v>
      </c>
    </row>
    <row r="14" spans="1:10" ht="14.25" customHeight="1" x14ac:dyDescent="0.3">
      <c r="A14" s="9" t="s">
        <v>34</v>
      </c>
      <c r="B14" s="9" t="s">
        <v>125</v>
      </c>
      <c r="C14" s="9" t="s">
        <v>233</v>
      </c>
      <c r="D14" s="9" t="s">
        <v>57</v>
      </c>
      <c r="E14" s="9" t="s">
        <v>39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 x14ac:dyDescent="0.3">
      <c r="A15" s="9" t="s">
        <v>34</v>
      </c>
      <c r="B15" s="9" t="s">
        <v>120</v>
      </c>
      <c r="C15" s="9" t="s">
        <v>233</v>
      </c>
      <c r="D15" s="9" t="s">
        <v>57</v>
      </c>
      <c r="E15" s="9" t="s">
        <v>39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 x14ac:dyDescent="0.3">
      <c r="A16" s="9" t="s">
        <v>34</v>
      </c>
      <c r="B16" s="9" t="s">
        <v>114</v>
      </c>
      <c r="C16" s="9" t="s">
        <v>233</v>
      </c>
      <c r="D16" s="9" t="s">
        <v>57</v>
      </c>
      <c r="E16" s="9" t="s">
        <v>39</v>
      </c>
      <c r="F16" s="9"/>
      <c r="G16" s="9"/>
      <c r="H16" s="10">
        <v>46122</v>
      </c>
      <c r="I16" s="10"/>
      <c r="J16" s="10"/>
    </row>
    <row r="17" spans="1:10" ht="14.25" customHeight="1" x14ac:dyDescent="0.3">
      <c r="A17" s="9" t="s">
        <v>34</v>
      </c>
      <c r="B17" s="9" t="s">
        <v>36</v>
      </c>
      <c r="C17" s="9" t="s">
        <v>233</v>
      </c>
      <c r="D17" s="9" t="s">
        <v>57</v>
      </c>
      <c r="E17" s="9" t="s">
        <v>39</v>
      </c>
      <c r="F17" s="9"/>
      <c r="G17" s="9"/>
      <c r="H17" s="10"/>
      <c r="I17" s="10"/>
      <c r="J17" s="10"/>
    </row>
    <row r="18" spans="1:10" ht="14.25" customHeight="1" x14ac:dyDescent="0.3">
      <c r="A18" s="9" t="s">
        <v>34</v>
      </c>
      <c r="B18" s="9" t="s">
        <v>154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 x14ac:dyDescent="0.3">
      <c r="A19" s="9" t="s">
        <v>34</v>
      </c>
      <c r="B19" s="9" t="s">
        <v>125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 x14ac:dyDescent="0.3">
      <c r="A20" s="9" t="s">
        <v>34</v>
      </c>
      <c r="B20" s="9" t="s">
        <v>120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 x14ac:dyDescent="0.3">
      <c r="A21" s="9" t="s">
        <v>34</v>
      </c>
      <c r="B21" s="9" t="s">
        <v>114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 x14ac:dyDescent="0.3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 x14ac:dyDescent="0.3">
      <c r="A23" s="9" t="s">
        <v>34</v>
      </c>
      <c r="B23" s="9" t="s">
        <v>154</v>
      </c>
      <c r="C23" s="9" t="s">
        <v>56</v>
      </c>
      <c r="D23" s="9" t="s">
        <v>57</v>
      </c>
      <c r="E23" s="9" t="s">
        <v>39</v>
      </c>
      <c r="F23" s="9"/>
      <c r="G23" s="9"/>
      <c r="H23" s="10"/>
      <c r="I23" s="10">
        <v>46115</v>
      </c>
      <c r="J23" s="10">
        <v>46115</v>
      </c>
    </row>
    <row r="24" spans="1:10" ht="14.25" customHeight="1" x14ac:dyDescent="0.3">
      <c r="A24" s="9" t="s">
        <v>34</v>
      </c>
      <c r="B24" s="9" t="s">
        <v>125</v>
      </c>
      <c r="C24" s="9" t="s">
        <v>56</v>
      </c>
      <c r="D24" s="9" t="s">
        <v>57</v>
      </c>
      <c r="E24" s="9" t="s">
        <v>39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 x14ac:dyDescent="0.3">
      <c r="A25" s="9" t="s">
        <v>34</v>
      </c>
      <c r="B25" s="9" t="s">
        <v>120</v>
      </c>
      <c r="C25" s="9" t="s">
        <v>56</v>
      </c>
      <c r="D25" s="9" t="s">
        <v>57</v>
      </c>
      <c r="E25" s="9" t="s">
        <v>39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 x14ac:dyDescent="0.3">
      <c r="A26" s="9" t="s">
        <v>34</v>
      </c>
      <c r="B26" s="9" t="s">
        <v>114</v>
      </c>
      <c r="C26" s="9" t="s">
        <v>56</v>
      </c>
      <c r="D26" s="9" t="s">
        <v>57</v>
      </c>
      <c r="E26" s="9" t="s">
        <v>39</v>
      </c>
      <c r="F26" s="9"/>
      <c r="G26" s="9"/>
      <c r="H26" s="10">
        <v>46122</v>
      </c>
      <c r="I26" s="10"/>
      <c r="J26" s="10"/>
    </row>
    <row r="27" spans="1:10" ht="14.25" customHeight="1" x14ac:dyDescent="0.3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39</v>
      </c>
      <c r="F27" s="9"/>
      <c r="G27" s="9"/>
      <c r="H27" s="10"/>
      <c r="I27" s="10"/>
      <c r="J27" s="10"/>
    </row>
    <row r="28" spans="1:10" ht="14.25" customHeight="1" x14ac:dyDescent="0.3">
      <c r="A28" s="9" t="s">
        <v>34</v>
      </c>
      <c r="B28" s="9" t="s">
        <v>154</v>
      </c>
      <c r="C28" s="9" t="s">
        <v>61</v>
      </c>
      <c r="D28" s="9" t="s">
        <v>68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 x14ac:dyDescent="0.3">
      <c r="A29" s="9" t="s">
        <v>34</v>
      </c>
      <c r="B29" s="9" t="s">
        <v>125</v>
      </c>
      <c r="C29" s="9" t="s">
        <v>61</v>
      </c>
      <c r="D29" s="9" t="s">
        <v>68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 x14ac:dyDescent="0.3">
      <c r="A30" s="9" t="s">
        <v>34</v>
      </c>
      <c r="B30" s="9" t="s">
        <v>120</v>
      </c>
      <c r="C30" s="9" t="s">
        <v>61</v>
      </c>
      <c r="D30" s="9" t="s">
        <v>68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 x14ac:dyDescent="0.3">
      <c r="A31" s="9" t="s">
        <v>34</v>
      </c>
      <c r="B31" s="9" t="s">
        <v>114</v>
      </c>
      <c r="C31" s="9" t="s">
        <v>61</v>
      </c>
      <c r="D31" s="9" t="s">
        <v>68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 x14ac:dyDescent="0.3">
      <c r="A32" s="9" t="s">
        <v>34</v>
      </c>
      <c r="B32" s="9" t="s">
        <v>36</v>
      </c>
      <c r="C32" s="9" t="s">
        <v>61</v>
      </c>
      <c r="D32" s="9" t="s">
        <v>68</v>
      </c>
      <c r="E32" s="9" t="s">
        <v>52</v>
      </c>
      <c r="F32" s="9"/>
      <c r="G32" s="9"/>
      <c r="H32" s="10"/>
      <c r="I32" s="10"/>
      <c r="J32" s="10"/>
    </row>
    <row r="33" spans="1:10" ht="14.25" customHeight="1" x14ac:dyDescent="0.3">
      <c r="A33" s="9" t="s">
        <v>34</v>
      </c>
      <c r="B33" s="9" t="s">
        <v>154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 x14ac:dyDescent="0.3">
      <c r="A34" s="9" t="s">
        <v>34</v>
      </c>
      <c r="B34" s="9" t="s">
        <v>125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 x14ac:dyDescent="0.3">
      <c r="A35" s="9" t="s">
        <v>34</v>
      </c>
      <c r="B35" s="9" t="s">
        <v>120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 x14ac:dyDescent="0.3">
      <c r="A36" s="9" t="s">
        <v>34</v>
      </c>
      <c r="B36" s="9" t="s">
        <v>114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 x14ac:dyDescent="0.3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 x14ac:dyDescent="0.3">
      <c r="A38" s="9" t="s">
        <v>34</v>
      </c>
      <c r="B38" s="9" t="s">
        <v>154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 x14ac:dyDescent="0.3">
      <c r="A39" s="9" t="s">
        <v>34</v>
      </c>
      <c r="B39" s="9" t="s">
        <v>125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 x14ac:dyDescent="0.3">
      <c r="A40" s="9" t="s">
        <v>34</v>
      </c>
      <c r="B40" s="9" t="s">
        <v>120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 x14ac:dyDescent="0.3">
      <c r="A41" s="9" t="s">
        <v>34</v>
      </c>
      <c r="B41" s="9" t="s">
        <v>114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 x14ac:dyDescent="0.3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 x14ac:dyDescent="0.3">
      <c r="A43" s="9" t="s">
        <v>34</v>
      </c>
      <c r="B43" s="9" t="s">
        <v>154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 x14ac:dyDescent="0.3">
      <c r="A44" s="9" t="s">
        <v>34</v>
      </c>
      <c r="B44" s="9" t="s">
        <v>125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 x14ac:dyDescent="0.3">
      <c r="A45" s="9" t="s">
        <v>34</v>
      </c>
      <c r="B45" s="9" t="s">
        <v>120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 x14ac:dyDescent="0.3">
      <c r="A46" s="9" t="s">
        <v>34</v>
      </c>
      <c r="B46" s="9" t="s">
        <v>114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 x14ac:dyDescent="0.3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 x14ac:dyDescent="0.3">
      <c r="A48" s="9" t="s">
        <v>34</v>
      </c>
      <c r="B48" s="9" t="s">
        <v>154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 x14ac:dyDescent="0.3">
      <c r="A49" s="9" t="s">
        <v>34</v>
      </c>
      <c r="B49" s="9" t="s">
        <v>125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 x14ac:dyDescent="0.3">
      <c r="A50" s="9" t="s">
        <v>34</v>
      </c>
      <c r="B50" s="9" t="s">
        <v>120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 x14ac:dyDescent="0.3">
      <c r="A51" s="9" t="s">
        <v>34</v>
      </c>
      <c r="B51" s="9" t="s">
        <v>114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 x14ac:dyDescent="0.3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 x14ac:dyDescent="0.3">
      <c r="A53" s="9" t="s">
        <v>34</v>
      </c>
      <c r="B53" s="9" t="s">
        <v>154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 x14ac:dyDescent="0.3">
      <c r="A54" s="9" t="s">
        <v>34</v>
      </c>
      <c r="B54" s="9" t="s">
        <v>125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 x14ac:dyDescent="0.3">
      <c r="A55" s="9" t="s">
        <v>34</v>
      </c>
      <c r="B55" s="9" t="s">
        <v>120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 x14ac:dyDescent="0.3">
      <c r="A56" s="9" t="s">
        <v>34</v>
      </c>
      <c r="B56" s="9" t="s">
        <v>114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 x14ac:dyDescent="0.3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 x14ac:dyDescent="0.3">
      <c r="A58" s="9" t="s">
        <v>34</v>
      </c>
      <c r="B58" s="9" t="s">
        <v>154</v>
      </c>
      <c r="C58" s="9" t="s">
        <v>90</v>
      </c>
      <c r="D58" s="9" t="s">
        <v>57</v>
      </c>
      <c r="E58" s="9" t="s">
        <v>39</v>
      </c>
      <c r="F58" s="9"/>
      <c r="G58" s="9"/>
      <c r="H58" s="9"/>
      <c r="I58" s="10"/>
      <c r="J58" s="10"/>
    </row>
    <row r="59" spans="1:10" ht="14.25" customHeight="1" x14ac:dyDescent="0.3">
      <c r="A59" s="9" t="s">
        <v>34</v>
      </c>
      <c r="B59" s="9" t="s">
        <v>125</v>
      </c>
      <c r="C59" s="9" t="s">
        <v>90</v>
      </c>
      <c r="D59" s="9" t="s">
        <v>57</v>
      </c>
      <c r="E59" s="9" t="s">
        <v>39</v>
      </c>
      <c r="F59" s="9"/>
      <c r="G59" s="9"/>
      <c r="H59" s="10"/>
      <c r="I59" s="10">
        <v>46161</v>
      </c>
      <c r="J59" s="10">
        <v>46161</v>
      </c>
    </row>
    <row r="60" spans="1:10" ht="14.25" customHeight="1" x14ac:dyDescent="0.3">
      <c r="A60" s="9" t="s">
        <v>34</v>
      </c>
      <c r="B60" s="9" t="s">
        <v>120</v>
      </c>
      <c r="C60" s="9" t="s">
        <v>90</v>
      </c>
      <c r="D60" s="9" t="s">
        <v>57</v>
      </c>
      <c r="E60" s="9" t="s">
        <v>39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 x14ac:dyDescent="0.3">
      <c r="A61" s="9" t="s">
        <v>34</v>
      </c>
      <c r="B61" s="9" t="s">
        <v>114</v>
      </c>
      <c r="C61" s="9" t="s">
        <v>90</v>
      </c>
      <c r="D61" s="9" t="s">
        <v>57</v>
      </c>
      <c r="E61" s="9" t="s">
        <v>39</v>
      </c>
      <c r="F61" s="9"/>
      <c r="G61" s="9"/>
      <c r="H61" s="10">
        <v>46161</v>
      </c>
      <c r="I61" s="10"/>
      <c r="J61" s="10"/>
    </row>
    <row r="62" spans="1:10" ht="14.25" customHeight="1" x14ac:dyDescent="0.3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39</v>
      </c>
      <c r="F62" s="9"/>
      <c r="G62" s="9"/>
      <c r="H62" s="9"/>
      <c r="I62" s="10"/>
      <c r="J62" s="10"/>
    </row>
    <row r="63" spans="1:10" ht="14.25" customHeight="1" x14ac:dyDescent="0.3">
      <c r="A63" s="9" t="s">
        <v>34</v>
      </c>
      <c r="B63" s="9" t="s">
        <v>154</v>
      </c>
      <c r="C63" s="9" t="s">
        <v>91</v>
      </c>
      <c r="D63" s="9" t="s">
        <v>94</v>
      </c>
      <c r="E63" s="9" t="s">
        <v>39</v>
      </c>
      <c r="F63" s="9"/>
      <c r="G63" s="9"/>
      <c r="H63" s="10"/>
      <c r="I63" s="10"/>
      <c r="J63" s="10"/>
    </row>
    <row r="64" spans="1:10" ht="14.25" customHeight="1" x14ac:dyDescent="0.3">
      <c r="A64" s="9" t="s">
        <v>34</v>
      </c>
      <c r="B64" s="9" t="s">
        <v>125</v>
      </c>
      <c r="C64" s="9" t="s">
        <v>91</v>
      </c>
      <c r="D64" s="9" t="s">
        <v>94</v>
      </c>
      <c r="E64" s="9" t="s">
        <v>39</v>
      </c>
      <c r="F64" s="9"/>
      <c r="G64" s="9"/>
      <c r="H64" s="10"/>
      <c r="I64" s="10">
        <v>46175</v>
      </c>
      <c r="J64" s="10">
        <v>46175</v>
      </c>
    </row>
    <row r="65" spans="1:10" ht="14.25" customHeight="1" x14ac:dyDescent="0.3">
      <c r="A65" s="9" t="s">
        <v>34</v>
      </c>
      <c r="B65" s="9" t="s">
        <v>120</v>
      </c>
      <c r="C65" s="9" t="s">
        <v>91</v>
      </c>
      <c r="D65" s="9" t="s">
        <v>94</v>
      </c>
      <c r="E65" s="9" t="s">
        <v>39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 x14ac:dyDescent="0.3">
      <c r="A66" s="9" t="s">
        <v>34</v>
      </c>
      <c r="B66" s="9" t="s">
        <v>114</v>
      </c>
      <c r="C66" s="9" t="s">
        <v>91</v>
      </c>
      <c r="D66" s="9" t="s">
        <v>94</v>
      </c>
      <c r="E66" s="9" t="s">
        <v>39</v>
      </c>
      <c r="F66" s="9"/>
      <c r="G66" s="9"/>
      <c r="H66" s="10">
        <v>46175</v>
      </c>
      <c r="I66" s="10"/>
      <c r="J66" s="10"/>
    </row>
    <row r="67" spans="1:10" ht="14.25" customHeight="1" x14ac:dyDescent="0.3">
      <c r="A67" s="9" t="s">
        <v>34</v>
      </c>
      <c r="B67" s="9" t="s">
        <v>36</v>
      </c>
      <c r="C67" s="9" t="s">
        <v>91</v>
      </c>
      <c r="D67" s="9" t="s">
        <v>94</v>
      </c>
      <c r="E67" s="9" t="s">
        <v>39</v>
      </c>
      <c r="F67" s="9"/>
      <c r="G67" s="9"/>
      <c r="H67" s="10"/>
      <c r="I67" s="10">
        <v>46184</v>
      </c>
      <c r="J67" s="10">
        <v>46184</v>
      </c>
    </row>
    <row r="68" spans="1:10" ht="14.25" customHeight="1" x14ac:dyDescent="0.3">
      <c r="A68" s="9" t="s">
        <v>34</v>
      </c>
      <c r="B68" s="9" t="s">
        <v>154</v>
      </c>
      <c r="C68" s="9" t="s">
        <v>66</v>
      </c>
      <c r="D68" s="9" t="s">
        <v>68</v>
      </c>
      <c r="E68" s="9" t="s">
        <v>69</v>
      </c>
      <c r="F68" s="9"/>
      <c r="G68" s="9"/>
      <c r="H68" s="10"/>
      <c r="I68" s="10"/>
      <c r="J68" s="9"/>
    </row>
    <row r="69" spans="1:10" ht="14.25" customHeight="1" x14ac:dyDescent="0.3">
      <c r="A69" s="9" t="s">
        <v>34</v>
      </c>
      <c r="B69" s="9" t="s">
        <v>125</v>
      </c>
      <c r="C69" s="9" t="s">
        <v>66</v>
      </c>
      <c r="D69" s="9" t="s">
        <v>68</v>
      </c>
      <c r="E69" s="9" t="s">
        <v>69</v>
      </c>
      <c r="F69" s="9"/>
      <c r="G69" s="9"/>
      <c r="H69" s="9"/>
      <c r="I69" s="10">
        <v>46134</v>
      </c>
      <c r="J69" s="10">
        <v>46134</v>
      </c>
    </row>
    <row r="70" spans="1:10" ht="14.25" customHeight="1" x14ac:dyDescent="0.3">
      <c r="A70" s="9" t="s">
        <v>34</v>
      </c>
      <c r="B70" s="9" t="s">
        <v>120</v>
      </c>
      <c r="C70" s="9" t="s">
        <v>66</v>
      </c>
      <c r="D70" s="9" t="s">
        <v>68</v>
      </c>
      <c r="E70" s="9" t="s">
        <v>69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 x14ac:dyDescent="0.3">
      <c r="A71" s="9" t="s">
        <v>34</v>
      </c>
      <c r="B71" s="9" t="s">
        <v>114</v>
      </c>
      <c r="C71" s="9" t="s">
        <v>66</v>
      </c>
      <c r="D71" s="9" t="s">
        <v>68</v>
      </c>
      <c r="E71" s="9" t="s">
        <v>69</v>
      </c>
      <c r="F71" s="9"/>
      <c r="G71" s="9"/>
      <c r="H71" s="10">
        <v>46134</v>
      </c>
      <c r="I71" s="10"/>
      <c r="J71" s="10"/>
    </row>
    <row r="72" spans="1:10" ht="14.25" customHeight="1" x14ac:dyDescent="0.3">
      <c r="A72" s="9" t="s">
        <v>34</v>
      </c>
      <c r="B72" s="9" t="s">
        <v>36</v>
      </c>
      <c r="C72" s="9" t="s">
        <v>66</v>
      </c>
      <c r="D72" s="9" t="s">
        <v>68</v>
      </c>
      <c r="E72" s="9" t="s">
        <v>69</v>
      </c>
      <c r="F72" s="9"/>
      <c r="G72" s="9"/>
      <c r="H72" s="10"/>
      <c r="I72" s="10"/>
      <c r="J72" s="10"/>
    </row>
    <row r="73" spans="1:10" ht="14.25" customHeight="1" x14ac:dyDescent="0.3">
      <c r="A73" s="9" t="s">
        <v>34</v>
      </c>
      <c r="B73" s="9" t="s">
        <v>154</v>
      </c>
      <c r="C73" s="9" t="s">
        <v>72</v>
      </c>
      <c r="D73" s="9" t="s">
        <v>51</v>
      </c>
      <c r="E73" s="9" t="s">
        <v>69</v>
      </c>
      <c r="F73" s="9"/>
      <c r="G73" s="9"/>
      <c r="H73" s="9"/>
      <c r="I73" s="10"/>
      <c r="J73" s="10"/>
    </row>
    <row r="74" spans="1:10" ht="14.25" customHeight="1" x14ac:dyDescent="0.3">
      <c r="A74" s="9" t="s">
        <v>34</v>
      </c>
      <c r="B74" s="9" t="s">
        <v>125</v>
      </c>
      <c r="C74" s="9" t="s">
        <v>72</v>
      </c>
      <c r="D74" s="9" t="s">
        <v>51</v>
      </c>
      <c r="E74" s="9" t="s">
        <v>69</v>
      </c>
      <c r="F74" s="9"/>
      <c r="G74" s="9"/>
      <c r="H74" s="10"/>
      <c r="I74" s="10">
        <v>46139</v>
      </c>
      <c r="J74" s="10">
        <v>46139</v>
      </c>
    </row>
    <row r="75" spans="1:10" ht="14.25" customHeight="1" x14ac:dyDescent="0.3">
      <c r="A75" s="9" t="s">
        <v>34</v>
      </c>
      <c r="B75" s="9" t="s">
        <v>120</v>
      </c>
      <c r="C75" s="9" t="s">
        <v>72</v>
      </c>
      <c r="D75" s="9" t="s">
        <v>51</v>
      </c>
      <c r="E75" s="9" t="s">
        <v>69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 x14ac:dyDescent="0.3">
      <c r="A76" s="9" t="s">
        <v>34</v>
      </c>
      <c r="B76" s="9" t="s">
        <v>114</v>
      </c>
      <c r="C76" s="9" t="s">
        <v>72</v>
      </c>
      <c r="D76" s="9" t="s">
        <v>51</v>
      </c>
      <c r="E76" s="9" t="s">
        <v>69</v>
      </c>
      <c r="F76" s="9"/>
      <c r="G76" s="9"/>
      <c r="H76" s="10">
        <v>46139</v>
      </c>
      <c r="I76" s="10"/>
      <c r="J76" s="10"/>
    </row>
    <row r="77" spans="1:10" ht="14.25" customHeight="1" x14ac:dyDescent="0.3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69</v>
      </c>
      <c r="F77" s="9"/>
      <c r="G77" s="9"/>
      <c r="H77" s="9"/>
      <c r="I77" s="10"/>
      <c r="J77" s="10"/>
    </row>
    <row r="78" spans="1:10" ht="14.25" customHeight="1" x14ac:dyDescent="0.3">
      <c r="A78" s="9" t="s">
        <v>34</v>
      </c>
      <c r="B78" s="9" t="s">
        <v>154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 x14ac:dyDescent="0.3">
      <c r="A79" s="9" t="s">
        <v>34</v>
      </c>
      <c r="B79" s="9" t="s">
        <v>125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 x14ac:dyDescent="0.3">
      <c r="A80" s="9" t="s">
        <v>34</v>
      </c>
      <c r="B80" s="9" t="s">
        <v>120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 x14ac:dyDescent="0.3">
      <c r="A81" s="9" t="s">
        <v>34</v>
      </c>
      <c r="B81" s="9" t="s">
        <v>114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 x14ac:dyDescent="0.3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 x14ac:dyDescent="0.3">
      <c r="A83" s="9" t="s">
        <v>34</v>
      </c>
      <c r="B83" s="9" t="s">
        <v>154</v>
      </c>
      <c r="C83" s="9" t="s">
        <v>79</v>
      </c>
      <c r="D83" s="9" t="s">
        <v>76</v>
      </c>
      <c r="E83" s="9" t="s">
        <v>39</v>
      </c>
      <c r="F83" s="9"/>
      <c r="G83" s="9"/>
      <c r="H83" s="9"/>
      <c r="I83" s="10"/>
      <c r="J83" s="10"/>
    </row>
    <row r="84" spans="1:10" ht="14.25" customHeight="1" x14ac:dyDescent="0.3">
      <c r="A84" s="9" t="s">
        <v>34</v>
      </c>
      <c r="B84" s="9" t="s">
        <v>125</v>
      </c>
      <c r="C84" s="9" t="s">
        <v>79</v>
      </c>
      <c r="D84" s="9" t="s">
        <v>76</v>
      </c>
      <c r="E84" s="9" t="s">
        <v>39</v>
      </c>
      <c r="F84" s="9"/>
      <c r="G84" s="9"/>
      <c r="H84" s="10"/>
      <c r="I84" s="10">
        <v>46175</v>
      </c>
      <c r="J84" s="10">
        <v>46175</v>
      </c>
    </row>
    <row r="85" spans="1:10" ht="14.25" customHeight="1" x14ac:dyDescent="0.3">
      <c r="A85" s="9" t="s">
        <v>34</v>
      </c>
      <c r="B85" s="9" t="s">
        <v>120</v>
      </c>
      <c r="C85" s="9" t="s">
        <v>79</v>
      </c>
      <c r="D85" s="9" t="s">
        <v>76</v>
      </c>
      <c r="E85" s="9" t="s">
        <v>39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 x14ac:dyDescent="0.3">
      <c r="A86" s="9" t="s">
        <v>34</v>
      </c>
      <c r="B86" s="9" t="s">
        <v>114</v>
      </c>
      <c r="C86" s="9" t="s">
        <v>79</v>
      </c>
      <c r="D86" s="9" t="s">
        <v>76</v>
      </c>
      <c r="E86" s="9" t="s">
        <v>39</v>
      </c>
      <c r="F86" s="9"/>
      <c r="G86" s="9"/>
      <c r="H86" s="10">
        <v>46179</v>
      </c>
      <c r="I86" s="10"/>
      <c r="J86" s="10"/>
    </row>
    <row r="87" spans="1:10" ht="14.25" customHeight="1" x14ac:dyDescent="0.3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39</v>
      </c>
      <c r="F87" s="9"/>
      <c r="G87" s="9"/>
      <c r="H87" s="9"/>
      <c r="I87" s="10"/>
      <c r="J87" s="10"/>
    </row>
    <row r="88" spans="1:10" ht="14.25" customHeight="1" x14ac:dyDescent="0.3">
      <c r="A88" s="9" t="s">
        <v>34</v>
      </c>
      <c r="B88" s="9" t="s">
        <v>154</v>
      </c>
      <c r="C88" s="9" t="s">
        <v>82</v>
      </c>
      <c r="D88" s="9" t="s">
        <v>38</v>
      </c>
      <c r="E88" s="9" t="s">
        <v>52</v>
      </c>
      <c r="F88" s="9"/>
      <c r="G88" s="9"/>
      <c r="H88" s="10"/>
      <c r="I88" s="10"/>
      <c r="J88" s="9"/>
    </row>
    <row r="89" spans="1:10" ht="14.25" customHeight="1" x14ac:dyDescent="0.3">
      <c r="A89" s="9" t="s">
        <v>34</v>
      </c>
      <c r="B89" s="9" t="s">
        <v>125</v>
      </c>
      <c r="C89" s="9" t="s">
        <v>82</v>
      </c>
      <c r="D89" s="9" t="s">
        <v>38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 x14ac:dyDescent="0.3">
      <c r="A90" s="9" t="s">
        <v>34</v>
      </c>
      <c r="B90" s="9" t="s">
        <v>120</v>
      </c>
      <c r="C90" s="9" t="s">
        <v>82</v>
      </c>
      <c r="D90" s="9" t="s">
        <v>38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 x14ac:dyDescent="0.3">
      <c r="A91" s="9" t="s">
        <v>34</v>
      </c>
      <c r="B91" s="9" t="s">
        <v>114</v>
      </c>
      <c r="C91" s="9" t="s">
        <v>82</v>
      </c>
      <c r="D91" s="9" t="s">
        <v>38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 x14ac:dyDescent="0.3">
      <c r="A92" s="9" t="s">
        <v>34</v>
      </c>
      <c r="B92" s="9" t="s">
        <v>36</v>
      </c>
      <c r="C92" s="9" t="s">
        <v>82</v>
      </c>
      <c r="D92" s="9" t="s">
        <v>38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 x14ac:dyDescent="0.3">
      <c r="A93" s="9" t="s">
        <v>34</v>
      </c>
      <c r="B93" s="9" t="s">
        <v>154</v>
      </c>
      <c r="C93" s="9" t="s">
        <v>85</v>
      </c>
      <c r="D93" s="9" t="s">
        <v>38</v>
      </c>
      <c r="E93" s="9" t="s">
        <v>69</v>
      </c>
      <c r="F93" s="9"/>
      <c r="G93" s="9"/>
      <c r="H93" s="9"/>
      <c r="I93" s="10">
        <v>46175</v>
      </c>
      <c r="J93" s="10">
        <v>46175</v>
      </c>
    </row>
    <row r="94" spans="1:10" ht="14.25" customHeight="1" x14ac:dyDescent="0.3">
      <c r="A94" s="9" t="s">
        <v>34</v>
      </c>
      <c r="B94" s="9" t="s">
        <v>125</v>
      </c>
      <c r="C94" s="9" t="s">
        <v>85</v>
      </c>
      <c r="D94" s="9" t="s">
        <v>38</v>
      </c>
      <c r="E94" s="9" t="s">
        <v>69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 x14ac:dyDescent="0.3">
      <c r="A95" s="9" t="s">
        <v>34</v>
      </c>
      <c r="B95" s="9" t="s">
        <v>120</v>
      </c>
      <c r="C95" s="9" t="s">
        <v>85</v>
      </c>
      <c r="D95" s="9" t="s">
        <v>38</v>
      </c>
      <c r="E95" s="9" t="s">
        <v>69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 x14ac:dyDescent="0.3">
      <c r="A96" s="9" t="s">
        <v>34</v>
      </c>
      <c r="B96" s="9" t="s">
        <v>114</v>
      </c>
      <c r="C96" s="9" t="s">
        <v>85</v>
      </c>
      <c r="D96" s="9" t="s">
        <v>38</v>
      </c>
      <c r="E96" s="9" t="s">
        <v>69</v>
      </c>
      <c r="F96" s="9"/>
      <c r="G96" s="9"/>
      <c r="H96" s="10">
        <v>46175</v>
      </c>
      <c r="I96" s="10"/>
      <c r="J96" s="10"/>
    </row>
    <row r="97" spans="1:10" ht="14.25" customHeight="1" x14ac:dyDescent="0.3">
      <c r="A97" s="9" t="s">
        <v>34</v>
      </c>
      <c r="B97" s="9" t="s">
        <v>36</v>
      </c>
      <c r="C97" s="9" t="s">
        <v>85</v>
      </c>
      <c r="D97" s="9" t="s">
        <v>38</v>
      </c>
      <c r="E97" s="9" t="s">
        <v>69</v>
      </c>
      <c r="F97" s="9"/>
      <c r="G97" s="9"/>
      <c r="H97" s="9"/>
      <c r="I97" s="10">
        <v>46192</v>
      </c>
      <c r="J97" s="10">
        <v>46192</v>
      </c>
    </row>
    <row r="98" spans="1:10" ht="14.25" customHeight="1" x14ac:dyDescent="0.3">
      <c r="A98" s="9" t="s">
        <v>34</v>
      </c>
      <c r="B98" s="9" t="s">
        <v>154</v>
      </c>
      <c r="C98" s="9" t="s">
        <v>92</v>
      </c>
      <c r="D98" s="9" t="s">
        <v>94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 x14ac:dyDescent="0.3">
      <c r="A99" s="9" t="s">
        <v>34</v>
      </c>
      <c r="B99" s="9" t="s">
        <v>125</v>
      </c>
      <c r="C99" s="9" t="s">
        <v>92</v>
      </c>
      <c r="D99" s="9" t="s">
        <v>94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 x14ac:dyDescent="0.3">
      <c r="A100" s="9" t="s">
        <v>34</v>
      </c>
      <c r="B100" s="9" t="s">
        <v>120</v>
      </c>
      <c r="C100" s="9" t="s">
        <v>92</v>
      </c>
      <c r="D100" s="9" t="s">
        <v>94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 x14ac:dyDescent="0.3">
      <c r="A101" s="9" t="s">
        <v>34</v>
      </c>
      <c r="B101" s="9" t="s">
        <v>114</v>
      </c>
      <c r="C101" s="9" t="s">
        <v>92</v>
      </c>
      <c r="D101" s="9" t="s">
        <v>94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 x14ac:dyDescent="0.3">
      <c r="A102" s="9" t="s">
        <v>34</v>
      </c>
      <c r="B102" s="9" t="s">
        <v>36</v>
      </c>
      <c r="C102" s="9" t="s">
        <v>92</v>
      </c>
      <c r="D102" s="9" t="s">
        <v>94</v>
      </c>
      <c r="E102" s="9" t="s">
        <v>52</v>
      </c>
      <c r="F102" s="9"/>
      <c r="G102" s="9"/>
      <c r="H102" s="10"/>
      <c r="I102" s="10"/>
      <c r="J102" s="9"/>
    </row>
    <row r="103" spans="1:10" ht="14.25" customHeight="1" x14ac:dyDescent="0.3">
      <c r="A103" s="9" t="s">
        <v>34</v>
      </c>
      <c r="B103" s="9" t="s">
        <v>154</v>
      </c>
      <c r="C103" s="9" t="s">
        <v>95</v>
      </c>
      <c r="D103" s="9" t="s">
        <v>94</v>
      </c>
      <c r="E103" s="9" t="s">
        <v>69</v>
      </c>
      <c r="F103" s="9"/>
      <c r="G103" s="9"/>
      <c r="H103" s="9"/>
      <c r="I103" s="10">
        <v>46162</v>
      </c>
      <c r="J103" s="10">
        <v>46162</v>
      </c>
    </row>
    <row r="104" spans="1:10" ht="14.25" customHeight="1" x14ac:dyDescent="0.3">
      <c r="A104" s="9" t="s">
        <v>34</v>
      </c>
      <c r="B104" s="9" t="s">
        <v>125</v>
      </c>
      <c r="C104" s="9" t="s">
        <v>95</v>
      </c>
      <c r="D104" s="9" t="s">
        <v>94</v>
      </c>
      <c r="E104" s="9" t="s">
        <v>69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 x14ac:dyDescent="0.3">
      <c r="A105" s="9" t="s">
        <v>34</v>
      </c>
      <c r="B105" s="9" t="s">
        <v>120</v>
      </c>
      <c r="C105" s="9" t="s">
        <v>95</v>
      </c>
      <c r="D105" s="9" t="s">
        <v>94</v>
      </c>
      <c r="E105" s="9" t="s">
        <v>69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 x14ac:dyDescent="0.3">
      <c r="A106" s="9" t="s">
        <v>34</v>
      </c>
      <c r="B106" s="9" t="s">
        <v>114</v>
      </c>
      <c r="C106" s="9" t="s">
        <v>95</v>
      </c>
      <c r="D106" s="9" t="s">
        <v>94</v>
      </c>
      <c r="E106" s="9" t="s">
        <v>69</v>
      </c>
      <c r="F106" s="9"/>
      <c r="G106" s="9"/>
      <c r="H106" s="10">
        <v>46198</v>
      </c>
      <c r="I106" s="10"/>
      <c r="J106" s="9"/>
    </row>
    <row r="107" spans="1:10" ht="14.25" customHeight="1" x14ac:dyDescent="0.3">
      <c r="A107" s="9" t="s">
        <v>34</v>
      </c>
      <c r="B107" s="9" t="s">
        <v>36</v>
      </c>
      <c r="C107" s="9" t="s">
        <v>95</v>
      </c>
      <c r="D107" s="9" t="s">
        <v>94</v>
      </c>
      <c r="E107" s="9" t="s">
        <v>69</v>
      </c>
      <c r="F107" s="9"/>
      <c r="G107" s="9"/>
      <c r="H107" s="9"/>
      <c r="I107" s="10"/>
      <c r="J107" s="10"/>
    </row>
    <row r="108" spans="1:10" ht="14.25" customHeight="1" x14ac:dyDescent="0.3">
      <c r="A108" s="9" t="s">
        <v>34</v>
      </c>
      <c r="B108" s="9" t="s">
        <v>154</v>
      </c>
      <c r="C108" s="9" t="s">
        <v>97</v>
      </c>
      <c r="D108" s="9" t="s">
        <v>38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 x14ac:dyDescent="0.3">
      <c r="A109" s="9" t="s">
        <v>34</v>
      </c>
      <c r="B109" s="9" t="s">
        <v>125</v>
      </c>
      <c r="C109" s="9" t="s">
        <v>97</v>
      </c>
      <c r="D109" s="9" t="s">
        <v>38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 x14ac:dyDescent="0.3">
      <c r="A110" s="9" t="s">
        <v>34</v>
      </c>
      <c r="B110" s="9" t="s">
        <v>120</v>
      </c>
      <c r="C110" s="9" t="s">
        <v>97</v>
      </c>
      <c r="D110" s="9" t="s">
        <v>38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 x14ac:dyDescent="0.3">
      <c r="A111" s="9" t="s">
        <v>34</v>
      </c>
      <c r="B111" s="9" t="s">
        <v>114</v>
      </c>
      <c r="C111" s="9" t="s">
        <v>97</v>
      </c>
      <c r="D111" s="9" t="s">
        <v>38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 x14ac:dyDescent="0.3">
      <c r="A112" s="9" t="s">
        <v>34</v>
      </c>
      <c r="B112" s="9" t="s">
        <v>36</v>
      </c>
      <c r="C112" s="9" t="s">
        <v>97</v>
      </c>
      <c r="D112" s="9" t="s">
        <v>38</v>
      </c>
      <c r="E112" s="9" t="s">
        <v>52</v>
      </c>
      <c r="F112" s="9"/>
      <c r="G112" s="9"/>
      <c r="H112" s="10"/>
      <c r="I112" s="10"/>
      <c r="J112" s="9"/>
    </row>
    <row r="113" spans="1:10" ht="14.25" customHeight="1" x14ac:dyDescent="0.3">
      <c r="A113" s="9" t="s">
        <v>34</v>
      </c>
      <c r="B113" s="9" t="s">
        <v>154</v>
      </c>
      <c r="C113" s="9" t="s">
        <v>98</v>
      </c>
      <c r="D113" s="9" t="s">
        <v>38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 x14ac:dyDescent="0.3">
      <c r="A114" s="9" t="s">
        <v>34</v>
      </c>
      <c r="B114" s="9" t="s">
        <v>125</v>
      </c>
      <c r="C114" s="9" t="s">
        <v>98</v>
      </c>
      <c r="D114" s="9" t="s">
        <v>38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 x14ac:dyDescent="0.3">
      <c r="A115" s="9" t="s">
        <v>34</v>
      </c>
      <c r="B115" s="9" t="s">
        <v>120</v>
      </c>
      <c r="C115" s="9" t="s">
        <v>98</v>
      </c>
      <c r="D115" s="9" t="s">
        <v>38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 x14ac:dyDescent="0.3">
      <c r="A116" s="9" t="s">
        <v>34</v>
      </c>
      <c r="B116" s="9" t="s">
        <v>114</v>
      </c>
      <c r="C116" s="9" t="s">
        <v>98</v>
      </c>
      <c r="D116" s="9" t="s">
        <v>38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 x14ac:dyDescent="0.3">
      <c r="A117" s="9" t="s">
        <v>34</v>
      </c>
      <c r="B117" s="9" t="s">
        <v>36</v>
      </c>
      <c r="C117" s="9" t="s">
        <v>98</v>
      </c>
      <c r="D117" s="9" t="s">
        <v>38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 x14ac:dyDescent="0.3">
      <c r="A118" s="9" t="s">
        <v>34</v>
      </c>
      <c r="B118" s="9" t="s">
        <v>154</v>
      </c>
      <c r="C118" s="9" t="s">
        <v>101</v>
      </c>
      <c r="D118" s="9" t="s">
        <v>51</v>
      </c>
      <c r="E118" s="9" t="s">
        <v>39</v>
      </c>
      <c r="F118" s="9"/>
      <c r="G118" s="9"/>
      <c r="H118" s="10"/>
      <c r="I118" s="10">
        <v>46162</v>
      </c>
      <c r="J118" s="10">
        <v>46162</v>
      </c>
    </row>
    <row r="119" spans="1:10" ht="14.25" customHeight="1" x14ac:dyDescent="0.3">
      <c r="A119" s="9" t="s">
        <v>34</v>
      </c>
      <c r="B119" s="9" t="s">
        <v>125</v>
      </c>
      <c r="C119" s="9" t="s">
        <v>101</v>
      </c>
      <c r="D119" s="9" t="s">
        <v>51</v>
      </c>
      <c r="E119" s="9" t="s">
        <v>39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 x14ac:dyDescent="0.3">
      <c r="A120" s="9" t="s">
        <v>34</v>
      </c>
      <c r="B120" s="9" t="s">
        <v>120</v>
      </c>
      <c r="C120" s="9" t="s">
        <v>101</v>
      </c>
      <c r="D120" s="9" t="s">
        <v>51</v>
      </c>
      <c r="E120" s="9" t="s">
        <v>39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 x14ac:dyDescent="0.3">
      <c r="A121" s="9" t="s">
        <v>34</v>
      </c>
      <c r="B121" s="9" t="s">
        <v>154</v>
      </c>
      <c r="C121" s="9" t="s">
        <v>103</v>
      </c>
      <c r="D121" s="9" t="s">
        <v>51</v>
      </c>
      <c r="E121" s="9" t="s">
        <v>69</v>
      </c>
      <c r="F121" s="9"/>
      <c r="G121" s="9"/>
      <c r="H121" s="9"/>
      <c r="I121" s="10">
        <v>46162</v>
      </c>
      <c r="J121" s="10">
        <v>46162</v>
      </c>
    </row>
    <row r="122" spans="1:10" ht="14.25" customHeight="1" x14ac:dyDescent="0.3">
      <c r="A122" s="9" t="s">
        <v>34</v>
      </c>
      <c r="B122" s="9" t="s">
        <v>125</v>
      </c>
      <c r="C122" s="9" t="s">
        <v>103</v>
      </c>
      <c r="D122" s="9" t="s">
        <v>51</v>
      </c>
      <c r="E122" s="9" t="s">
        <v>69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 x14ac:dyDescent="0.3">
      <c r="A123" s="9" t="s">
        <v>34</v>
      </c>
      <c r="B123" s="9" t="s">
        <v>120</v>
      </c>
      <c r="C123" s="9" t="s">
        <v>103</v>
      </c>
      <c r="D123" s="9" t="s">
        <v>51</v>
      </c>
      <c r="E123" s="9" t="s">
        <v>69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 x14ac:dyDescent="0.3">
      <c r="A124" s="9" t="s">
        <v>34</v>
      </c>
      <c r="B124" s="9" t="s">
        <v>114</v>
      </c>
      <c r="C124" s="9" t="s">
        <v>103</v>
      </c>
      <c r="D124" s="9" t="s">
        <v>51</v>
      </c>
      <c r="E124" s="9" t="s">
        <v>69</v>
      </c>
      <c r="F124" s="9"/>
      <c r="G124" s="9"/>
      <c r="H124" s="10">
        <v>46204</v>
      </c>
      <c r="I124" s="10"/>
      <c r="J124" s="9"/>
    </row>
    <row r="125" spans="1:10" ht="14.25" customHeight="1" x14ac:dyDescent="0.3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69</v>
      </c>
      <c r="F125" s="9"/>
      <c r="G125" s="9"/>
      <c r="H125" s="9"/>
      <c r="I125" s="10"/>
      <c r="J125" s="10"/>
    </row>
    <row r="126" spans="1:10" ht="14.25" customHeight="1" x14ac:dyDescent="0.3">
      <c r="A126" s="9" t="s">
        <v>34</v>
      </c>
      <c r="B126" s="9" t="s">
        <v>154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 x14ac:dyDescent="0.3">
      <c r="A127" s="9" t="s">
        <v>34</v>
      </c>
      <c r="B127" s="9" t="s">
        <v>125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 x14ac:dyDescent="0.3">
      <c r="A128" s="9" t="s">
        <v>34</v>
      </c>
      <c r="B128" s="9" t="s">
        <v>120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 x14ac:dyDescent="0.3">
      <c r="A129" s="9" t="s">
        <v>34</v>
      </c>
      <c r="B129" s="9" t="s">
        <v>114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 x14ac:dyDescent="0.3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 x14ac:dyDescent="0.3">
      <c r="A131" s="9" t="s">
        <v>34</v>
      </c>
      <c r="B131" s="9" t="s">
        <v>154</v>
      </c>
      <c r="C131" s="9" t="s">
        <v>108</v>
      </c>
      <c r="D131" s="9" t="s">
        <v>94</v>
      </c>
      <c r="E131" s="9" t="s">
        <v>69</v>
      </c>
      <c r="F131" s="9"/>
      <c r="G131" s="9"/>
      <c r="H131" s="9"/>
      <c r="I131" s="10">
        <v>46168</v>
      </c>
      <c r="J131" s="10">
        <v>46168</v>
      </c>
    </row>
    <row r="132" spans="1:10" ht="14.25" customHeight="1" x14ac:dyDescent="0.3">
      <c r="A132" s="9" t="s">
        <v>34</v>
      </c>
      <c r="B132" s="9" t="s">
        <v>125</v>
      </c>
      <c r="C132" s="9" t="s">
        <v>108</v>
      </c>
      <c r="D132" s="9" t="s">
        <v>94</v>
      </c>
      <c r="E132" s="9" t="s">
        <v>69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 x14ac:dyDescent="0.3">
      <c r="A133" s="9" t="s">
        <v>34</v>
      </c>
      <c r="B133" s="9" t="s">
        <v>120</v>
      </c>
      <c r="C133" s="9" t="s">
        <v>108</v>
      </c>
      <c r="D133" s="9" t="s">
        <v>94</v>
      </c>
      <c r="E133" s="9" t="s">
        <v>69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 x14ac:dyDescent="0.3">
      <c r="A134" s="9" t="s">
        <v>34</v>
      </c>
      <c r="B134" s="9" t="s">
        <v>114</v>
      </c>
      <c r="C134" s="9" t="s">
        <v>108</v>
      </c>
      <c r="D134" s="9" t="s">
        <v>94</v>
      </c>
      <c r="E134" s="9" t="s">
        <v>69</v>
      </c>
      <c r="F134" s="9"/>
      <c r="G134" s="9"/>
      <c r="H134" s="10">
        <v>46189</v>
      </c>
      <c r="I134" s="9"/>
      <c r="J134" s="9"/>
    </row>
    <row r="135" spans="1:10" ht="14.25" customHeight="1" x14ac:dyDescent="0.3">
      <c r="A135" s="9" t="s">
        <v>34</v>
      </c>
      <c r="B135" s="9" t="s">
        <v>36</v>
      </c>
      <c r="C135" s="9" t="s">
        <v>108</v>
      </c>
      <c r="D135" s="9" t="s">
        <v>94</v>
      </c>
      <c r="E135" s="9" t="s">
        <v>69</v>
      </c>
      <c r="F135" s="9"/>
      <c r="G135" s="9"/>
      <c r="H135" s="9"/>
      <c r="I135" s="10">
        <v>46192</v>
      </c>
      <c r="J135" s="10">
        <v>46192</v>
      </c>
    </row>
    <row r="136" spans="1:10" ht="14.25" customHeight="1" x14ac:dyDescent="0.3">
      <c r="A136" s="9" t="s">
        <v>34</v>
      </c>
      <c r="B136" s="9" t="s">
        <v>154</v>
      </c>
      <c r="C136" s="9" t="s">
        <v>110</v>
      </c>
      <c r="D136" s="9" t="s">
        <v>76</v>
      </c>
      <c r="E136" s="9" t="s">
        <v>69</v>
      </c>
      <c r="F136" s="9"/>
      <c r="G136" s="9"/>
      <c r="H136" s="9"/>
      <c r="I136" s="10">
        <v>46169</v>
      </c>
      <c r="J136" s="10">
        <v>46169</v>
      </c>
    </row>
    <row r="137" spans="1:10" ht="14.25" customHeight="1" x14ac:dyDescent="0.3">
      <c r="A137" s="9" t="s">
        <v>34</v>
      </c>
      <c r="B137" s="9" t="s">
        <v>125</v>
      </c>
      <c r="C137" s="9" t="s">
        <v>110</v>
      </c>
      <c r="D137" s="9" t="s">
        <v>76</v>
      </c>
      <c r="E137" s="9" t="s">
        <v>69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 x14ac:dyDescent="0.3">
      <c r="A138" s="9" t="s">
        <v>34</v>
      </c>
      <c r="B138" s="9" t="s">
        <v>120</v>
      </c>
      <c r="C138" s="9" t="s">
        <v>110</v>
      </c>
      <c r="D138" s="9" t="s">
        <v>76</v>
      </c>
      <c r="E138" s="9" t="s">
        <v>69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 x14ac:dyDescent="0.3">
      <c r="A139" s="9" t="s">
        <v>34</v>
      </c>
      <c r="B139" s="9" t="s">
        <v>114</v>
      </c>
      <c r="C139" s="9" t="s">
        <v>110</v>
      </c>
      <c r="D139" s="9" t="s">
        <v>76</v>
      </c>
      <c r="E139" s="9" t="s">
        <v>69</v>
      </c>
      <c r="F139" s="9"/>
      <c r="G139" s="9"/>
      <c r="H139" s="10">
        <v>46197</v>
      </c>
      <c r="I139" s="9"/>
      <c r="J139" s="9"/>
    </row>
    <row r="140" spans="1:10" ht="14.25" customHeight="1" x14ac:dyDescent="0.3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69</v>
      </c>
      <c r="F140" s="9"/>
      <c r="G140" s="9"/>
      <c r="H140" s="9"/>
      <c r="I140" s="9"/>
      <c r="J140" s="9"/>
    </row>
    <row r="141" spans="1:10" ht="14.25" customHeight="1" x14ac:dyDescent="0.3">
      <c r="A141" s="9" t="s">
        <v>112</v>
      </c>
      <c r="B141" s="9" t="s">
        <v>154</v>
      </c>
      <c r="C141" s="9" t="s">
        <v>113</v>
      </c>
      <c r="D141" s="9" t="s">
        <v>68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 x14ac:dyDescent="0.3">
      <c r="A142" s="9" t="s">
        <v>112</v>
      </c>
      <c r="B142" s="9" t="s">
        <v>125</v>
      </c>
      <c r="C142" s="9" t="s">
        <v>113</v>
      </c>
      <c r="D142" s="9" t="s">
        <v>68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 x14ac:dyDescent="0.3">
      <c r="A143" s="9" t="s">
        <v>112</v>
      </c>
      <c r="B143" s="9" t="s">
        <v>120</v>
      </c>
      <c r="C143" s="9" t="s">
        <v>113</v>
      </c>
      <c r="D143" s="9" t="s">
        <v>68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 x14ac:dyDescent="0.3">
      <c r="A144" s="9" t="s">
        <v>112</v>
      </c>
      <c r="B144" s="9" t="s">
        <v>154</v>
      </c>
      <c r="C144" s="9" t="s">
        <v>119</v>
      </c>
      <c r="D144" s="9" t="s">
        <v>105</v>
      </c>
      <c r="E144" s="9" t="s">
        <v>69</v>
      </c>
      <c r="F144" s="9"/>
      <c r="G144" s="9" t="s">
        <v>115</v>
      </c>
      <c r="H144" s="9"/>
      <c r="I144" s="9"/>
      <c r="J144" s="9"/>
    </row>
    <row r="145" spans="1:10" ht="14.25" customHeight="1" x14ac:dyDescent="0.3">
      <c r="A145" s="9" t="s">
        <v>112</v>
      </c>
      <c r="B145" s="9" t="s">
        <v>125</v>
      </c>
      <c r="C145" s="9" t="s">
        <v>119</v>
      </c>
      <c r="D145" s="9" t="s">
        <v>105</v>
      </c>
      <c r="E145" s="9" t="s">
        <v>69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 x14ac:dyDescent="0.3">
      <c r="A146" s="9" t="s">
        <v>112</v>
      </c>
      <c r="B146" s="9" t="s">
        <v>120</v>
      </c>
      <c r="C146" s="9" t="s">
        <v>119</v>
      </c>
      <c r="D146" s="9" t="s">
        <v>105</v>
      </c>
      <c r="E146" s="9" t="s">
        <v>69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 x14ac:dyDescent="0.3">
      <c r="A147" s="9" t="s">
        <v>112</v>
      </c>
      <c r="B147" s="9" t="s">
        <v>154</v>
      </c>
      <c r="C147" s="9" t="s">
        <v>122</v>
      </c>
      <c r="D147" s="9" t="s">
        <v>105</v>
      </c>
      <c r="E147" s="9" t="s">
        <v>69</v>
      </c>
      <c r="F147" s="9"/>
      <c r="G147" s="9" t="s">
        <v>115</v>
      </c>
      <c r="H147" s="9"/>
      <c r="I147" s="9"/>
      <c r="J147" s="9"/>
    </row>
    <row r="148" spans="1:10" ht="14.25" customHeight="1" x14ac:dyDescent="0.3">
      <c r="A148" s="9" t="s">
        <v>112</v>
      </c>
      <c r="B148" s="9" t="s">
        <v>125</v>
      </c>
      <c r="C148" s="9" t="s">
        <v>122</v>
      </c>
      <c r="D148" s="9" t="s">
        <v>105</v>
      </c>
      <c r="E148" s="9" t="s">
        <v>69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 x14ac:dyDescent="0.3">
      <c r="A149" s="9" t="s">
        <v>112</v>
      </c>
      <c r="B149" s="9" t="s">
        <v>120</v>
      </c>
      <c r="C149" s="9" t="s">
        <v>122</v>
      </c>
      <c r="D149" s="9" t="s">
        <v>105</v>
      </c>
      <c r="E149" s="9" t="s">
        <v>69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 x14ac:dyDescent="0.3">
      <c r="A150" s="9" t="s">
        <v>112</v>
      </c>
      <c r="B150" s="9" t="s">
        <v>154</v>
      </c>
      <c r="C150" s="9" t="s">
        <v>124</v>
      </c>
      <c r="D150" s="9" t="s">
        <v>51</v>
      </c>
      <c r="E150" s="9" t="s">
        <v>39</v>
      </c>
      <c r="F150" s="9"/>
      <c r="G150" s="9" t="s">
        <v>115</v>
      </c>
      <c r="H150" s="9"/>
      <c r="I150" s="9"/>
      <c r="J150" s="9"/>
    </row>
    <row r="151" spans="1:10" ht="14.25" customHeight="1" x14ac:dyDescent="0.3">
      <c r="A151" s="9" t="s">
        <v>112</v>
      </c>
      <c r="B151" s="9" t="s">
        <v>125</v>
      </c>
      <c r="C151" s="9" t="s">
        <v>124</v>
      </c>
      <c r="D151" s="9" t="s">
        <v>51</v>
      </c>
      <c r="E151" s="9" t="s">
        <v>39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 x14ac:dyDescent="0.3">
      <c r="A152" s="9" t="s">
        <v>112</v>
      </c>
      <c r="B152" s="9" t="s">
        <v>120</v>
      </c>
      <c r="C152" s="9" t="s">
        <v>124</v>
      </c>
      <c r="D152" s="9" t="s">
        <v>51</v>
      </c>
      <c r="E152" s="9" t="s">
        <v>39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 x14ac:dyDescent="0.3">
      <c r="A153" s="9" t="s">
        <v>112</v>
      </c>
      <c r="B153" s="9" t="s">
        <v>154</v>
      </c>
      <c r="C153" s="9" t="s">
        <v>127</v>
      </c>
      <c r="D153" s="9" t="s">
        <v>94</v>
      </c>
      <c r="E153" s="9" t="s">
        <v>69</v>
      </c>
      <c r="F153" s="9"/>
      <c r="G153" s="9" t="s">
        <v>115</v>
      </c>
      <c r="H153" s="9"/>
      <c r="I153" s="9"/>
      <c r="J153" s="9"/>
    </row>
    <row r="154" spans="1:10" ht="14.25" customHeight="1" x14ac:dyDescent="0.3">
      <c r="A154" s="9" t="s">
        <v>112</v>
      </c>
      <c r="B154" s="9" t="s">
        <v>125</v>
      </c>
      <c r="C154" s="9" t="s">
        <v>127</v>
      </c>
      <c r="D154" s="9" t="s">
        <v>94</v>
      </c>
      <c r="E154" s="9" t="s">
        <v>69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 x14ac:dyDescent="0.3">
      <c r="A155" s="9" t="s">
        <v>112</v>
      </c>
      <c r="B155" s="9" t="s">
        <v>120</v>
      </c>
      <c r="C155" s="9" t="s">
        <v>127</v>
      </c>
      <c r="D155" s="9" t="s">
        <v>94</v>
      </c>
      <c r="E155" s="9" t="s">
        <v>69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 x14ac:dyDescent="0.3">
      <c r="A156" s="9" t="s">
        <v>112</v>
      </c>
      <c r="B156" s="9" t="s">
        <v>154</v>
      </c>
      <c r="C156" s="9" t="s">
        <v>129</v>
      </c>
      <c r="D156" s="9" t="s">
        <v>76</v>
      </c>
      <c r="E156" s="9" t="s">
        <v>52</v>
      </c>
      <c r="F156" s="9"/>
      <c r="G156" s="9" t="s">
        <v>130</v>
      </c>
      <c r="H156" s="9"/>
      <c r="I156" s="9"/>
      <c r="J156" s="9"/>
    </row>
    <row r="157" spans="1:10" x14ac:dyDescent="0.3">
      <c r="A157" s="3" t="s">
        <v>112</v>
      </c>
      <c r="B157" s="3" t="s">
        <v>154</v>
      </c>
      <c r="C157" s="3" t="s">
        <v>132</v>
      </c>
      <c r="D157" s="3" t="s">
        <v>105</v>
      </c>
      <c r="E157" s="3" t="s">
        <v>39</v>
      </c>
      <c r="F157" s="3"/>
      <c r="G157" s="3" t="s">
        <v>130</v>
      </c>
      <c r="H157" s="3"/>
      <c r="I157" s="3"/>
      <c r="J157" s="3"/>
    </row>
    <row r="158" spans="1:10" x14ac:dyDescent="0.3">
      <c r="A158" s="3" t="s">
        <v>112</v>
      </c>
      <c r="B158" s="3" t="s">
        <v>154</v>
      </c>
      <c r="C158" s="3" t="s">
        <v>134</v>
      </c>
      <c r="D158" s="3" t="s">
        <v>105</v>
      </c>
      <c r="E158" s="3" t="s">
        <v>39</v>
      </c>
      <c r="F158" s="3"/>
      <c r="G158" s="3" t="s">
        <v>130</v>
      </c>
      <c r="H158" s="3"/>
      <c r="I158" s="3"/>
      <c r="J158" s="3"/>
    </row>
    <row r="159" spans="1:10" x14ac:dyDescent="0.3">
      <c r="A159" s="3" t="s">
        <v>112</v>
      </c>
      <c r="B159" s="3" t="s">
        <v>125</v>
      </c>
      <c r="C159" s="3" t="s">
        <v>134</v>
      </c>
      <c r="D159" s="3" t="s">
        <v>105</v>
      </c>
      <c r="E159" s="3" t="s">
        <v>39</v>
      </c>
      <c r="F159" s="3"/>
      <c r="G159" s="3" t="s">
        <v>130</v>
      </c>
      <c r="H159" s="3"/>
      <c r="I159" s="4">
        <v>46221</v>
      </c>
      <c r="J159" s="4">
        <v>46221</v>
      </c>
    </row>
    <row r="160" spans="1:10" x14ac:dyDescent="0.3">
      <c r="A160" s="3" t="s">
        <v>112</v>
      </c>
      <c r="B160" s="3" t="s">
        <v>120</v>
      </c>
      <c r="C160" s="3" t="s">
        <v>134</v>
      </c>
      <c r="D160" s="3" t="s">
        <v>105</v>
      </c>
      <c r="E160" s="3" t="s">
        <v>39</v>
      </c>
      <c r="F160" s="3"/>
      <c r="G160" s="3" t="s">
        <v>130</v>
      </c>
      <c r="H160" s="4">
        <v>46221</v>
      </c>
      <c r="I160" s="4">
        <v>46223</v>
      </c>
      <c r="J160" s="4">
        <v>46223</v>
      </c>
    </row>
    <row r="161" spans="1:10" x14ac:dyDescent="0.3">
      <c r="A161" s="3" t="s">
        <v>112</v>
      </c>
      <c r="B161" s="3" t="s">
        <v>154</v>
      </c>
      <c r="C161" s="3" t="s">
        <v>135</v>
      </c>
      <c r="D161" s="3" t="s">
        <v>76</v>
      </c>
      <c r="E161" s="3" t="s">
        <v>52</v>
      </c>
      <c r="F161" s="3"/>
      <c r="G161" s="3" t="s">
        <v>130</v>
      </c>
      <c r="H161" s="3"/>
      <c r="I161" s="3"/>
      <c r="J161" s="3"/>
    </row>
    <row r="162" spans="1:10" x14ac:dyDescent="0.3">
      <c r="A162" s="3" t="s">
        <v>112</v>
      </c>
      <c r="B162" s="3" t="s">
        <v>125</v>
      </c>
      <c r="C162" s="3" t="s">
        <v>135</v>
      </c>
      <c r="D162" s="3" t="s">
        <v>76</v>
      </c>
      <c r="E162" s="3" t="s">
        <v>52</v>
      </c>
      <c r="F162" s="3"/>
      <c r="G162" s="3" t="s">
        <v>130</v>
      </c>
      <c r="H162" s="3"/>
      <c r="I162" s="4">
        <v>46220</v>
      </c>
      <c r="J162" s="4">
        <v>46220</v>
      </c>
    </row>
    <row r="163" spans="1:10" x14ac:dyDescent="0.3">
      <c r="A163" s="3" t="s">
        <v>112</v>
      </c>
      <c r="B163" s="3" t="s">
        <v>120</v>
      </c>
      <c r="C163" s="3" t="s">
        <v>135</v>
      </c>
      <c r="D163" s="3" t="s">
        <v>76</v>
      </c>
      <c r="E163" s="3" t="s">
        <v>52</v>
      </c>
      <c r="F163" s="3"/>
      <c r="G163" s="3" t="s">
        <v>130</v>
      </c>
      <c r="H163" s="4">
        <v>46220</v>
      </c>
      <c r="I163" s="4">
        <v>46223</v>
      </c>
      <c r="J163" s="4">
        <v>46223</v>
      </c>
    </row>
    <row r="164" spans="1:10" x14ac:dyDescent="0.3">
      <c r="A164" s="3" t="s">
        <v>112</v>
      </c>
      <c r="B164" s="3" t="s">
        <v>154</v>
      </c>
      <c r="C164" s="3" t="s">
        <v>137</v>
      </c>
      <c r="D164" s="3" t="s">
        <v>139</v>
      </c>
      <c r="E164" s="3" t="s">
        <v>52</v>
      </c>
      <c r="F164" s="3"/>
      <c r="G164" s="3" t="s">
        <v>130</v>
      </c>
      <c r="H164" s="3"/>
      <c r="I164" s="3"/>
      <c r="J164" s="3"/>
    </row>
    <row r="165" spans="1:10" x14ac:dyDescent="0.3">
      <c r="A165" s="3" t="s">
        <v>112</v>
      </c>
      <c r="B165" s="3" t="s">
        <v>125</v>
      </c>
      <c r="C165" s="3" t="s">
        <v>137</v>
      </c>
      <c r="D165" s="3" t="s">
        <v>139</v>
      </c>
      <c r="E165" s="3" t="s">
        <v>52</v>
      </c>
      <c r="F165" s="3"/>
      <c r="G165" s="3" t="s">
        <v>130</v>
      </c>
      <c r="H165" s="3"/>
      <c r="I165" s="4">
        <v>46224</v>
      </c>
      <c r="J165" s="4">
        <v>46224</v>
      </c>
    </row>
    <row r="166" spans="1:10" x14ac:dyDescent="0.3">
      <c r="A166" s="3" t="s">
        <v>112</v>
      </c>
      <c r="B166" s="3" t="s">
        <v>120</v>
      </c>
      <c r="C166" s="3" t="s">
        <v>137</v>
      </c>
      <c r="D166" s="3" t="s">
        <v>139</v>
      </c>
      <c r="E166" s="3" t="s">
        <v>52</v>
      </c>
      <c r="F166" s="3"/>
      <c r="G166" s="3" t="s">
        <v>130</v>
      </c>
      <c r="H166" s="4">
        <v>46224</v>
      </c>
      <c r="I166" s="4">
        <v>46223</v>
      </c>
      <c r="J166" s="4">
        <v>46223</v>
      </c>
    </row>
    <row r="167" spans="1:10" x14ac:dyDescent="0.3">
      <c r="A167" s="3" t="s">
        <v>112</v>
      </c>
      <c r="B167" s="3" t="s">
        <v>154</v>
      </c>
      <c r="C167" s="3" t="s">
        <v>140</v>
      </c>
      <c r="D167" s="3" t="s">
        <v>139</v>
      </c>
      <c r="E167" s="3" t="s">
        <v>69</v>
      </c>
      <c r="F167" s="3"/>
      <c r="G167" s="3" t="s">
        <v>130</v>
      </c>
      <c r="H167" s="3"/>
      <c r="I167" s="3"/>
      <c r="J167" s="3"/>
    </row>
    <row r="168" spans="1:10" x14ac:dyDescent="0.3">
      <c r="A168" s="3" t="s">
        <v>112</v>
      </c>
      <c r="B168" s="3" t="s">
        <v>125</v>
      </c>
      <c r="C168" s="3" t="s">
        <v>140</v>
      </c>
      <c r="D168" s="3" t="s">
        <v>139</v>
      </c>
      <c r="E168" s="3" t="s">
        <v>69</v>
      </c>
      <c r="F168" s="3"/>
      <c r="G168" s="3" t="s">
        <v>130</v>
      </c>
      <c r="H168" s="3"/>
      <c r="I168" s="4">
        <v>46225</v>
      </c>
      <c r="J168" s="4">
        <v>46225</v>
      </c>
    </row>
    <row r="169" spans="1:10" x14ac:dyDescent="0.3">
      <c r="A169" s="3" t="s">
        <v>112</v>
      </c>
      <c r="B169" s="3" t="s">
        <v>120</v>
      </c>
      <c r="C169" s="3" t="s">
        <v>140</v>
      </c>
      <c r="D169" s="3" t="s">
        <v>139</v>
      </c>
      <c r="E169" s="3" t="s">
        <v>69</v>
      </c>
      <c r="F169" s="3"/>
      <c r="G169" s="3" t="s">
        <v>130</v>
      </c>
      <c r="H169" s="4">
        <v>46225</v>
      </c>
      <c r="I169" s="4">
        <v>46223</v>
      </c>
      <c r="J169" s="4">
        <v>46223</v>
      </c>
    </row>
    <row r="170" spans="1:10" x14ac:dyDescent="0.3">
      <c r="A170" s="3" t="s">
        <v>112</v>
      </c>
      <c r="B170" s="3" t="s">
        <v>154</v>
      </c>
      <c r="C170" s="3" t="s">
        <v>142</v>
      </c>
      <c r="D170" s="3" t="s">
        <v>68</v>
      </c>
      <c r="E170" s="3" t="s">
        <v>39</v>
      </c>
      <c r="F170" s="3"/>
      <c r="G170" s="3" t="s">
        <v>115</v>
      </c>
      <c r="H170" s="3"/>
      <c r="I170" s="3"/>
      <c r="J170" s="3"/>
    </row>
    <row r="171" spans="1:10" x14ac:dyDescent="0.3">
      <c r="A171" s="3" t="s">
        <v>112</v>
      </c>
      <c r="B171" s="3" t="s">
        <v>125</v>
      </c>
      <c r="C171" s="3" t="s">
        <v>142</v>
      </c>
      <c r="D171" s="3" t="s">
        <v>68</v>
      </c>
      <c r="E171" s="3" t="s">
        <v>39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 x14ac:dyDescent="0.3">
      <c r="A172" s="3" t="s">
        <v>112</v>
      </c>
      <c r="B172" s="3" t="s">
        <v>120</v>
      </c>
      <c r="C172" s="3" t="s">
        <v>142</v>
      </c>
      <c r="D172" s="3" t="s">
        <v>68</v>
      </c>
      <c r="E172" s="3" t="s">
        <v>39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 x14ac:dyDescent="0.3">
      <c r="A173" s="3" t="s">
        <v>112</v>
      </c>
      <c r="B173" s="3" t="s">
        <v>154</v>
      </c>
      <c r="C173" s="3" t="s">
        <v>145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 x14ac:dyDescent="0.3">
      <c r="A174" s="3" t="s">
        <v>112</v>
      </c>
      <c r="B174" s="3" t="s">
        <v>125</v>
      </c>
      <c r="C174" s="3" t="s">
        <v>145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 x14ac:dyDescent="0.3">
      <c r="A175" s="3" t="s">
        <v>112</v>
      </c>
      <c r="B175" s="3" t="s">
        <v>120</v>
      </c>
      <c r="C175" s="3" t="s">
        <v>145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 x14ac:dyDescent="0.3">
      <c r="A176" s="3" t="s">
        <v>112</v>
      </c>
      <c r="B176" s="3" t="s">
        <v>154</v>
      </c>
      <c r="C176" s="3" t="s">
        <v>147</v>
      </c>
      <c r="D176" s="3" t="s">
        <v>68</v>
      </c>
      <c r="E176" s="3" t="s">
        <v>69</v>
      </c>
      <c r="F176" s="3"/>
      <c r="G176" s="3" t="s">
        <v>130</v>
      </c>
      <c r="H176" s="3"/>
      <c r="I176" s="3"/>
      <c r="J176" s="3"/>
    </row>
    <row r="177" spans="1:10" x14ac:dyDescent="0.3">
      <c r="A177" s="3" t="s">
        <v>112</v>
      </c>
      <c r="B177" s="3" t="s">
        <v>125</v>
      </c>
      <c r="C177" s="3" t="s">
        <v>147</v>
      </c>
      <c r="D177" s="3" t="s">
        <v>68</v>
      </c>
      <c r="E177" s="3" t="s">
        <v>69</v>
      </c>
      <c r="F177" s="3"/>
      <c r="G177" s="3" t="s">
        <v>130</v>
      </c>
      <c r="H177" s="3"/>
      <c r="I177" s="4">
        <v>46225</v>
      </c>
      <c r="J177" s="4">
        <v>46225</v>
      </c>
    </row>
    <row r="178" spans="1:10" x14ac:dyDescent="0.3">
      <c r="A178" s="3" t="s">
        <v>112</v>
      </c>
      <c r="B178" s="3" t="s">
        <v>120</v>
      </c>
      <c r="C178" s="3" t="s">
        <v>147</v>
      </c>
      <c r="D178" s="3" t="s">
        <v>68</v>
      </c>
      <c r="E178" s="3" t="s">
        <v>69</v>
      </c>
      <c r="F178" s="3"/>
      <c r="G178" s="3" t="s">
        <v>130</v>
      </c>
      <c r="H178" s="4">
        <v>46225</v>
      </c>
      <c r="I178" s="4">
        <v>46230</v>
      </c>
      <c r="J178" s="4">
        <v>46230</v>
      </c>
    </row>
    <row r="179" spans="1:10" x14ac:dyDescent="0.3">
      <c r="A179" s="3" t="s">
        <v>112</v>
      </c>
      <c r="B179" s="3" t="s">
        <v>154</v>
      </c>
      <c r="C179" s="3" t="s">
        <v>149</v>
      </c>
      <c r="D179" s="3" t="s">
        <v>94</v>
      </c>
      <c r="E179" s="3"/>
      <c r="F179" s="3"/>
      <c r="G179" s="3"/>
      <c r="H179" s="3"/>
      <c r="I179" s="3"/>
      <c r="J179" s="3"/>
    </row>
    <row r="180" spans="1:10" x14ac:dyDescent="0.3">
      <c r="A180" s="3" t="s">
        <v>112</v>
      </c>
      <c r="B180" s="3" t="s">
        <v>125</v>
      </c>
      <c r="C180" s="3" t="s">
        <v>149</v>
      </c>
      <c r="D180" s="3" t="s">
        <v>94</v>
      </c>
      <c r="E180" s="3"/>
      <c r="F180" s="3"/>
      <c r="G180" s="3"/>
      <c r="H180" s="3"/>
      <c r="I180" s="3"/>
      <c r="J180" s="3"/>
    </row>
    <row r="181" spans="1:10" x14ac:dyDescent="0.3">
      <c r="A181" s="3" t="s">
        <v>112</v>
      </c>
      <c r="B181" s="3" t="s">
        <v>120</v>
      </c>
      <c r="C181" s="3" t="s">
        <v>149</v>
      </c>
      <c r="D181" s="3" t="s">
        <v>94</v>
      </c>
      <c r="E181" s="3"/>
      <c r="F181" s="3"/>
      <c r="G181" s="3"/>
      <c r="H181" s="3"/>
      <c r="I181" s="3"/>
      <c r="J181" s="3"/>
    </row>
    <row r="182" spans="1:10" x14ac:dyDescent="0.3">
      <c r="A182" s="3" t="s">
        <v>112</v>
      </c>
      <c r="B182" s="3" t="s">
        <v>154</v>
      </c>
      <c r="C182" s="3" t="s">
        <v>156</v>
      </c>
      <c r="D182" s="3" t="s">
        <v>76</v>
      </c>
      <c r="E182" s="3"/>
      <c r="F182" s="3"/>
      <c r="G182" s="3"/>
      <c r="H182" s="3"/>
      <c r="I182" s="3"/>
      <c r="J182" s="3"/>
    </row>
    <row r="183" spans="1:10" x14ac:dyDescent="0.3">
      <c r="A183" s="3" t="s">
        <v>112</v>
      </c>
      <c r="B183" s="3" t="s">
        <v>125</v>
      </c>
      <c r="C183" s="3" t="s">
        <v>156</v>
      </c>
      <c r="D183" s="3" t="s">
        <v>76</v>
      </c>
      <c r="E183" s="3"/>
      <c r="F183" s="3"/>
      <c r="G183" s="3"/>
      <c r="H183" s="3"/>
      <c r="I183" s="3"/>
      <c r="J183" s="3"/>
    </row>
    <row r="184" spans="1:10" x14ac:dyDescent="0.3">
      <c r="A184" s="3" t="s">
        <v>112</v>
      </c>
      <c r="B184" s="3" t="s">
        <v>120</v>
      </c>
      <c r="C184" s="3" t="s">
        <v>156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6640625" defaultRowHeight="14.4" x14ac:dyDescent="0.3"/>
  <cols>
    <col min="1" max="3" width="22" customWidth="1"/>
  </cols>
  <sheetData>
    <row r="1" spans="1:3" ht="14.25" hidden="1" customHeight="1" x14ac:dyDescent="0.3">
      <c r="A1" s="86" t="s">
        <v>234</v>
      </c>
      <c r="B1" s="77"/>
      <c r="C1" s="77"/>
    </row>
    <row r="2" spans="1:3" ht="14.25" customHeight="1" x14ac:dyDescent="0.3">
      <c r="A2" s="8" t="s">
        <v>0</v>
      </c>
      <c r="B2" s="8" t="s">
        <v>235</v>
      </c>
      <c r="C2" s="8" t="s">
        <v>231</v>
      </c>
    </row>
    <row r="3" spans="1:3" ht="14.25" customHeight="1" x14ac:dyDescent="0.3">
      <c r="A3" s="11" t="s">
        <v>34</v>
      </c>
      <c r="B3" s="11">
        <v>8</v>
      </c>
      <c r="C3" s="12">
        <v>46142</v>
      </c>
    </row>
    <row r="4" spans="1:3" ht="14.25" customHeight="1" x14ac:dyDescent="0.3">
      <c r="A4" s="11" t="s">
        <v>34</v>
      </c>
      <c r="B4" s="11">
        <v>10</v>
      </c>
      <c r="C4" s="12">
        <v>46172</v>
      </c>
    </row>
    <row r="5" spans="1:3" ht="14.25" customHeight="1" x14ac:dyDescent="0.3">
      <c r="A5" s="11" t="s">
        <v>34</v>
      </c>
      <c r="B5" s="11">
        <v>9</v>
      </c>
      <c r="C5" s="12">
        <v>46203</v>
      </c>
    </row>
    <row r="6" spans="1:3" ht="14.25" customHeight="1" x14ac:dyDescent="0.3">
      <c r="A6" s="11" t="s">
        <v>112</v>
      </c>
      <c r="B6" s="11">
        <v>15</v>
      </c>
      <c r="C6" s="12">
        <v>46233</v>
      </c>
    </row>
    <row r="7" spans="1:3" ht="14.25" customHeight="1" x14ac:dyDescent="0.3">
      <c r="A7" s="11" t="s">
        <v>112</v>
      </c>
      <c r="B7" s="11">
        <v>15</v>
      </c>
      <c r="C7" s="12">
        <v>46264</v>
      </c>
    </row>
    <row r="8" spans="1:3" ht="14.25" customHeight="1" x14ac:dyDescent="0.3">
      <c r="A8" s="11" t="s">
        <v>112</v>
      </c>
      <c r="B8" s="11">
        <v>17</v>
      </c>
      <c r="C8" s="12">
        <v>46295</v>
      </c>
    </row>
    <row r="9" spans="1:3" ht="14.25" customHeight="1" x14ac:dyDescent="0.3">
      <c r="A9" s="11" t="s">
        <v>112</v>
      </c>
      <c r="B9" s="11">
        <v>20</v>
      </c>
      <c r="C9" s="12">
        <v>46325</v>
      </c>
    </row>
    <row r="10" spans="1:3" ht="14.25" customHeight="1" x14ac:dyDescent="0.3">
      <c r="A10" s="11" t="s">
        <v>112</v>
      </c>
      <c r="B10" s="11">
        <v>20</v>
      </c>
      <c r="C10" s="12">
        <v>46356</v>
      </c>
    </row>
    <row r="11" spans="1:3" ht="14.25" customHeight="1" x14ac:dyDescent="0.3">
      <c r="A11" s="11" t="s">
        <v>236</v>
      </c>
      <c r="B11" s="11">
        <v>18</v>
      </c>
      <c r="C11" s="12">
        <v>46386</v>
      </c>
    </row>
    <row r="12" spans="1:3" ht="14.25" customHeight="1" x14ac:dyDescent="0.3">
      <c r="A12" s="11" t="s">
        <v>236</v>
      </c>
      <c r="B12" s="11">
        <v>18</v>
      </c>
      <c r="C12" s="12">
        <v>46417</v>
      </c>
    </row>
    <row r="13" spans="1:3" ht="14.25" customHeight="1" x14ac:dyDescent="0.3">
      <c r="A13" s="11" t="s">
        <v>236</v>
      </c>
      <c r="B13" s="11">
        <v>19</v>
      </c>
      <c r="C13" s="12">
        <v>46446</v>
      </c>
    </row>
    <row r="14" spans="1:3" ht="14.25" customHeight="1" x14ac:dyDescent="0.3">
      <c r="A14" s="11" t="s">
        <v>237</v>
      </c>
      <c r="B14" s="11">
        <v>9</v>
      </c>
      <c r="C14" s="12">
        <v>46476</v>
      </c>
    </row>
    <row r="15" spans="1:3" ht="14.25" customHeight="1" x14ac:dyDescent="0.3">
      <c r="A15" s="11" t="s">
        <v>238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N2" sqref="N2"/>
    </sheetView>
  </sheetViews>
  <sheetFormatPr defaultColWidth="8.6640625" defaultRowHeight="14.4" x14ac:dyDescent="0.3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 x14ac:dyDescent="0.3">
      <c r="A1" s="1" t="s">
        <v>0</v>
      </c>
      <c r="B1" s="1" t="s">
        <v>9</v>
      </c>
      <c r="C1" s="1" t="s">
        <v>14</v>
      </c>
      <c r="D1" s="1" t="s">
        <v>5</v>
      </c>
      <c r="E1" s="1" t="s">
        <v>239</v>
      </c>
      <c r="F1" s="1" t="s">
        <v>2</v>
      </c>
      <c r="G1" s="5" t="s">
        <v>240</v>
      </c>
      <c r="H1" s="5" t="s">
        <v>19</v>
      </c>
      <c r="I1" t="s">
        <v>31</v>
      </c>
      <c r="J1" s="5" t="s">
        <v>241</v>
      </c>
      <c r="K1" s="5" t="s">
        <v>114</v>
      </c>
      <c r="L1" s="5" t="s">
        <v>209</v>
      </c>
      <c r="M1" s="1" t="s">
        <v>242</v>
      </c>
      <c r="N1" s="1" t="s">
        <v>243</v>
      </c>
    </row>
    <row r="2" spans="1:14" ht="13.5" customHeight="1" x14ac:dyDescent="0.3">
      <c r="A2" s="2" t="s">
        <v>244</v>
      </c>
      <c r="B2" s="2" t="s">
        <v>245</v>
      </c>
      <c r="C2" s="2" t="s">
        <v>246</v>
      </c>
      <c r="D2" s="2" t="s">
        <v>247</v>
      </c>
      <c r="E2" s="2" t="s">
        <v>248</v>
      </c>
      <c r="F2" s="2" t="s">
        <v>249</v>
      </c>
      <c r="G2" t="s">
        <v>250</v>
      </c>
      <c r="H2" t="s">
        <v>251</v>
      </c>
      <c r="I2" t="s">
        <v>252</v>
      </c>
      <c r="J2" s="29" t="s">
        <v>253</v>
      </c>
      <c r="K2" s="29" t="s">
        <v>254</v>
      </c>
      <c r="L2" s="29" t="s">
        <v>255</v>
      </c>
      <c r="M2" t="s">
        <v>130</v>
      </c>
      <c r="N2" s="45" t="s">
        <v>256</v>
      </c>
    </row>
    <row r="3" spans="1:14" ht="15" customHeight="1" x14ac:dyDescent="0.3">
      <c r="A3" t="s">
        <v>34</v>
      </c>
      <c r="B3" t="s">
        <v>38</v>
      </c>
      <c r="C3" t="s">
        <v>52</v>
      </c>
      <c r="D3" t="s">
        <v>115</v>
      </c>
      <c r="E3" t="s">
        <v>42</v>
      </c>
      <c r="F3" t="s">
        <v>168</v>
      </c>
      <c r="G3" t="s">
        <v>38</v>
      </c>
      <c r="H3" t="s">
        <v>40</v>
      </c>
      <c r="I3" t="s">
        <v>45</v>
      </c>
      <c r="J3" t="s">
        <v>154</v>
      </c>
      <c r="K3" t="s">
        <v>41</v>
      </c>
      <c r="L3" t="s">
        <v>45</v>
      </c>
      <c r="M3" t="s">
        <v>38</v>
      </c>
      <c r="N3" s="45" t="s">
        <v>257</v>
      </c>
    </row>
    <row r="4" spans="1:14" ht="15" customHeight="1" x14ac:dyDescent="0.3">
      <c r="A4" t="s">
        <v>112</v>
      </c>
      <c r="B4" t="s">
        <v>51</v>
      </c>
      <c r="C4" t="s">
        <v>39</v>
      </c>
      <c r="D4" t="s">
        <v>130</v>
      </c>
      <c r="E4" t="s">
        <v>45</v>
      </c>
      <c r="F4" t="s">
        <v>154</v>
      </c>
      <c r="G4" t="s">
        <v>51</v>
      </c>
      <c r="H4" t="s">
        <v>80</v>
      </c>
      <c r="I4" t="s">
        <v>258</v>
      </c>
      <c r="J4" t="s">
        <v>125</v>
      </c>
      <c r="L4" t="s">
        <v>42</v>
      </c>
      <c r="M4" t="s">
        <v>94</v>
      </c>
      <c r="N4" s="45" t="s">
        <v>257</v>
      </c>
    </row>
    <row r="5" spans="1:14" ht="15" customHeight="1" x14ac:dyDescent="0.3">
      <c r="A5" t="s">
        <v>236</v>
      </c>
      <c r="B5" t="s">
        <v>57</v>
      </c>
      <c r="C5" t="s">
        <v>69</v>
      </c>
      <c r="F5" t="s">
        <v>125</v>
      </c>
      <c r="G5" t="s">
        <v>57</v>
      </c>
      <c r="H5" t="s">
        <v>115</v>
      </c>
      <c r="I5" t="s">
        <v>259</v>
      </c>
      <c r="J5" t="s">
        <v>120</v>
      </c>
      <c r="L5" t="s">
        <v>260</v>
      </c>
      <c r="M5" t="s">
        <v>80</v>
      </c>
      <c r="N5" s="45" t="s">
        <v>257</v>
      </c>
    </row>
    <row r="6" spans="1:14" ht="15" customHeight="1" x14ac:dyDescent="0.3">
      <c r="A6" t="s">
        <v>237</v>
      </c>
      <c r="B6" t="s">
        <v>76</v>
      </c>
      <c r="F6" t="s">
        <v>120</v>
      </c>
      <c r="G6" t="s">
        <v>76</v>
      </c>
      <c r="H6" t="s">
        <v>130</v>
      </c>
      <c r="I6" t="s">
        <v>261</v>
      </c>
      <c r="J6" t="s">
        <v>114</v>
      </c>
      <c r="M6" t="s">
        <v>41</v>
      </c>
      <c r="N6" s="45" t="s">
        <v>257</v>
      </c>
    </row>
    <row r="7" spans="1:14" ht="15" customHeight="1" x14ac:dyDescent="0.3">
      <c r="A7" t="s">
        <v>238</v>
      </c>
      <c r="B7" t="s">
        <v>105</v>
      </c>
      <c r="F7" t="s">
        <v>114</v>
      </c>
      <c r="G7" t="s">
        <v>105</v>
      </c>
      <c r="I7" t="s">
        <v>262</v>
      </c>
      <c r="M7" t="s">
        <v>115</v>
      </c>
      <c r="N7" s="45" t="s">
        <v>257</v>
      </c>
    </row>
    <row r="8" spans="1:14" ht="15" customHeight="1" x14ac:dyDescent="0.3">
      <c r="B8" t="s">
        <v>68</v>
      </c>
      <c r="F8" t="s">
        <v>36</v>
      </c>
      <c r="G8" t="s">
        <v>68</v>
      </c>
      <c r="I8" t="s">
        <v>263</v>
      </c>
      <c r="M8" t="s">
        <v>52</v>
      </c>
      <c r="N8" s="45" t="s">
        <v>257</v>
      </c>
    </row>
    <row r="9" spans="1:14" ht="15" customHeight="1" x14ac:dyDescent="0.3">
      <c r="B9" t="s">
        <v>94</v>
      </c>
      <c r="G9" t="s">
        <v>94</v>
      </c>
      <c r="I9" t="s">
        <v>264</v>
      </c>
      <c r="M9" t="s">
        <v>139</v>
      </c>
      <c r="N9" s="45" t="s">
        <v>257</v>
      </c>
    </row>
    <row r="10" spans="1:14" ht="15" customHeight="1" x14ac:dyDescent="0.3">
      <c r="B10" t="s">
        <v>139</v>
      </c>
      <c r="G10" t="s">
        <v>139</v>
      </c>
      <c r="M10" t="s">
        <v>40</v>
      </c>
      <c r="N10" s="45" t="s">
        <v>257</v>
      </c>
    </row>
    <row r="11" spans="1:14" x14ac:dyDescent="0.3">
      <c r="G11" t="s">
        <v>52</v>
      </c>
      <c r="M11" t="s">
        <v>68</v>
      </c>
      <c r="N11" s="45" t="s">
        <v>257</v>
      </c>
    </row>
    <row r="12" spans="1:14" x14ac:dyDescent="0.3">
      <c r="G12" t="s">
        <v>39</v>
      </c>
      <c r="M12" t="s">
        <v>39</v>
      </c>
      <c r="N12" s="45" t="s">
        <v>257</v>
      </c>
    </row>
    <row r="13" spans="1:14" x14ac:dyDescent="0.3">
      <c r="G13" t="s">
        <v>69</v>
      </c>
      <c r="M13" t="s">
        <v>69</v>
      </c>
      <c r="N13" s="45" t="s">
        <v>257</v>
      </c>
    </row>
    <row r="14" spans="1:14" x14ac:dyDescent="0.3">
      <c r="M14" t="s">
        <v>76</v>
      </c>
      <c r="N14" s="45" t="s">
        <v>265</v>
      </c>
    </row>
    <row r="15" spans="1:14" x14ac:dyDescent="0.3">
      <c r="M15" t="s">
        <v>51</v>
      </c>
      <c r="N15" s="45" t="s">
        <v>257</v>
      </c>
    </row>
    <row r="16" spans="1:14" x14ac:dyDescent="0.3">
      <c r="M16" t="s">
        <v>105</v>
      </c>
      <c r="N16" s="45" t="s">
        <v>257</v>
      </c>
    </row>
    <row r="17" spans="13:14" x14ac:dyDescent="0.3">
      <c r="M17" t="s">
        <v>57</v>
      </c>
      <c r="N17" s="45" t="s">
        <v>257</v>
      </c>
    </row>
    <row r="18" spans="13:14" x14ac:dyDescent="0.3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D565648-A6A0-41BF-86C3-DCBEA404F718}">
  <ds:schemaRefs>
    <ds:schemaRef ds:uri="http://schemas.microsoft.com/sharepoint/events"/>
  </ds:schemaRefs>
</ds:datastoreItem>
</file>

<file path=customXml/itemProps2.xml><?xml version="1.0" encoding="utf-8"?>
<ds:datastoreItem xmlns:ds="http://schemas.openxmlformats.org/officeDocument/2006/customXml" ds:itemID="{AD54C7CB-11A4-40CF-B95E-1D5833A38355}">
  <ds:schemaRefs>
    <ds:schemaRef ds:uri="6d32ee4e-79d4-4fe0-ad34-1cbae873c51e"/>
    <ds:schemaRef ds:uri="http://purl.org/dc/terms/"/>
    <ds:schemaRef ds:uri="http://purl.org/dc/elements/1.1/"/>
    <ds:schemaRef ds:uri="cadce026-d35b-4a62-a2ee-1436bb44fb55"/>
    <ds:schemaRef ds:uri="http://schemas.microsoft.com/office/2006/metadata/properties"/>
    <ds:schemaRef ds:uri="5b9cbbf0-fbbf-4687-be4c-62cb1159071c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4550CFC1-C6B8-4442-974F-39E6BA114AF6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24BA0970-9A29-4941-880B-66A35426966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b9cbbf0-fbbf-4687-be4c-62cb1159071c"/>
    <ds:schemaRef ds:uri="6d32ee4e-79d4-4fe0-ad34-1cbae873c51e"/>
    <ds:schemaRef ds:uri="cadce026-d35b-4a62-a2ee-1436bb44fb5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Combined Delivery Data</vt:lpstr>
      <vt:lpstr>Find a Report</vt:lpstr>
      <vt:lpstr>Rework Log</vt:lpstr>
      <vt:lpstr>Fact Table</vt:lpstr>
      <vt:lpstr>Dim Table</vt:lpstr>
      <vt:lpstr>Data Validation</vt:lpstr>
      <vt:lpstr>DB_Dev_List</vt:lpstr>
      <vt:lpstr>DPO_Approval_List</vt:lpstr>
      <vt:lpstr>PBI_Dev_List</vt:lpstr>
      <vt:lpstr>QA_List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Sailaja Gorijala</cp:lastModifiedBy>
  <cp:revision>0</cp:revision>
  <dcterms:created xsi:type="dcterms:W3CDTF">2026-07-21T14:32:59Z</dcterms:created>
  <dcterms:modified xsi:type="dcterms:W3CDTF">2026-08-18T21:55:01Z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