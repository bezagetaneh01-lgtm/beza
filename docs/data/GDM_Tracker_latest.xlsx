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77" documentId="13_ncr:1_{52745E9B-3AA1-4770-AAD3-E6166BFC13AE}" xr6:coauthVersionLast="47" xr6:coauthVersionMax="47" xr10:uidLastSave="{ACFB9550-3A2D-4A43-9DB9-1AB54BE11341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D55" i="2" s="1" a="1"/>
  <c r="D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<sst xmlns="http://schemas.openxmlformats.org/spreadsheetml/2006/main" count="2981" uniqueCount="421">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</sst>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</cellXfs>
  <cellStyles count="2">
    <cellStyle name="Hyperlink" xfId="1" builtinId="8"/>
    <cellStyle name="Normal" xfId="0" builtinId="0"/>
  </cellStyles>
  <dxfs count="110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109">
  <autoFilter ref="A1:AM115" xr:uid="{00000000-0009-0000-0100-000001000000}">
    <filterColumn colId="8">
      <filters>
        <filter val="August"/>
        <filter val="December"/>
        <filter val="November"/>
        <filter val="October"/>
      </filters>
    </filterColumn>
  </autoFilter>
  <tableColumns count="39">
    <tableColumn id="1" xr3:uid="{00000000-0010-0000-0000-000001000000}" name="Domain" dataDxfId="108"/>
    <tableColumn id="2" xr3:uid="{00000000-0010-0000-0000-000002000000}" name="Report Name" dataDxfId="107"/>
    <tableColumn id="3" xr3:uid="{00000000-0010-0000-0000-000003000000}" name="Current Status  (Update next stage after completion date)" dataDxfId="106"/>
    <tableColumn id="4" xr3:uid="{00000000-0010-0000-0000-000004000000}" name="Status Flag" dataDxfId="105"/>
    <tableColumn id="5" xr3:uid="{00000000-0010-0000-0000-000005000000}" name="Business Value Rank" dataDxfId="104"/>
    <tableColumn id="6" xr3:uid="{00000000-0010-0000-0000-000006000000}" name="PO" dataDxfId="103"/>
    <tableColumn id="10" xr3:uid="{00000000-0010-0000-0000-00000A000000}" name="Schema" dataDxfId="102"/>
    <tableColumn id="11" xr3:uid="{00000000-0010-0000-0000-00000B000000}" name="Plan Delivery Date" dataDxfId="101"/>
    <tableColumn id="12" xr3:uid="{00000000-0010-0000-0000-00000C000000}" name="Plan Delivery Month" dataDxfId="100"/>
    <tableColumn id="7" xr3:uid="{00000000-0010-0000-0000-000007000000}" name="DB Developer" dataDxfId="99"/>
    <tableColumn id="13" xr3:uid="{00000000-0010-0000-0000-00000D000000}" name="DB Dev Baseline Completion Date" dataDxfId="98"/>
    <tableColumn id="30" xr3:uid="{00000000-0010-0000-0000-00001E000000}" name="DB Dev Reforecast Completion Date" dataDxfId="97"/>
    <tableColumn id="14" xr3:uid="{00000000-0010-0000-0000-00000E000000}" name="DB Dev Actual Completion Date" dataDxfId="96"/>
    <tableColumn id="35" xr3:uid="{1A518B0C-8D73-4DAB-8F10-7B4DFF037343}" name="Build Source" dataDxfId="95"/>
    <tableColumn id="28" xr3:uid="{EFCDFAEE-1B00-42CE-9649-7541F5DDC136}" name="Sprint DB" dataDxfId="94"/>
    <tableColumn id="8" xr3:uid="{00000000-0010-0000-0000-000008000000}" name="PBI Developer" dataDxfId="93"/>
    <tableColumn id="15" xr3:uid="{00000000-0010-0000-0000-00000F000000}" name="PBI Dev Baseline Completion Date" dataDxfId="92"/>
    <tableColumn id="31" xr3:uid="{00000000-0010-0000-0000-00001F000000}" name="PBI Dev Reforecast Completion Date" dataDxfId="91"/>
    <tableColumn id="16" xr3:uid="{00000000-0010-0000-0000-000010000000}" name="PBI Dev Actual Completion Date" dataDxfId="90"/>
    <tableColumn id="29" xr3:uid="{4630D178-9B47-4360-A40B-22C7384DB9C9}" name="Sprint PBI" dataDxfId="89"/>
    <tableColumn id="9" xr3:uid="{00000000-0010-0000-0000-000009000000}" name="QA Tester" dataDxfId="88"/>
    <tableColumn id="17" xr3:uid="{00000000-0010-0000-0000-000011000000}" name="QA Baseline Completion Date" dataDxfId="87"/>
    <tableColumn id="32" xr3:uid="{00000000-0010-0000-0000-000020000000}" name="QA Reforecast Completion Date" dataDxfId="86"/>
    <tableColumn id="18" xr3:uid="{00000000-0010-0000-0000-000012000000}" name="QA Actual Completion Date" dataDxfId="85"/>
    <tableColumn id="34" xr3:uid="{70C5E8CB-08B0-4A84-9B68-89630FC3C5C7}" name="Sprint QA" dataDxfId="84"/>
    <tableColumn id="19" xr3:uid="{00000000-0010-0000-0000-000013000000}" name="DPO Approval Baseline Completion Date" dataDxfId="83"/>
    <tableColumn id="33" xr3:uid="{00000000-0010-0000-0000-000021000000}" name="DPO Approval Reforecast Completion Date" dataDxfId="82"/>
    <tableColumn id="36" xr3:uid="{86D482BF-E7A4-45A2-B2F5-CA0223EBDDD1}" name="DPO Approval Completion Date" dataDxfId="81"/>
    <tableColumn id="20" xr3:uid="{00000000-0010-0000-0000-000014000000}" name="DPO Approval Reviewer" dataDxfId="80"/>
    <tableColumn id="39" xr3:uid="{D4F67DF1-1A6D-469A-AA66-A681F9EBF81F}" name="Report Type" dataDxfId="79"/>
    <tableColumn id="21" xr3:uid="{00000000-0010-0000-0000-000015000000}" name="Confirmed Deployed?" dataDxfId="78"/>
    <tableColumn id="22" xr3:uid="{00000000-0010-0000-0000-000016000000}" name="Confirmed Deployed Date" dataDxfId="77"/>
    <tableColumn id="23" xr3:uid="{00000000-0010-0000-0000-000017000000}" name="UAT Report URL" dataDxfId="76"/>
    <tableColumn id="24" xr3:uid="{00000000-0010-0000-0000-000018000000}" name="Production URL" dataDxfId="75"/>
    <tableColumn id="25" xr3:uid="{00000000-0010-0000-0000-000019000000}" name="Blocked?" dataDxfId="74"/>
    <tableColumn id="26" xr3:uid="{00000000-0010-0000-0000-00001A000000}" name="Data Check" dataDxfId="73"/>
    <tableColumn id="27" xr3:uid="{00000000-0010-0000-0000-00001B000000}" name="Comments" dataDxfId="72"/>
    <tableColumn id="37" xr3:uid="{80A8E094-8F50-434A-A9E3-195269D50436}" name="QA Rework Due_x0009_DPO Rework Due" dataDxfId="71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70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6" Type="http://schemas.microsoft.com/office/2019/04/relationships/namedSheetView" Target="../namedSheetViews/namedSheetView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7"/>
  <sheetViews>
    <sheetView tabSelected="1" zoomScaleNormal="100" workbookViewId="0">
      <pane xSplit="2" topLeftCell="C1" activePane="topRight" state="frozen"/>
      <selection activeCell="A29" sqref="A29"/>
      <selection pane="topRight" activeCell="M118" sqref="M118"/>
    </sheetView>
  </sheetViews>
  <sheetFormatPr defaultRowHeight="15" customHeight="1" x14ac:dyDescent="0.3"/>
  <cols>
    <col min="1" max="1" width="12" customWidth="1"/>
    <col min="2" max="2" width="47.10937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0937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332031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33203125" customWidth="1"/>
    <col min="37" max="37" width="45.6640625" customWidth="1"/>
    <col min="38" max="38" width="9.44140625" bestFit="1" customWidth="1"/>
  </cols>
  <sheetData>
    <row r="1" spans="1:39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" hidden="1" x14ac:dyDescent="0.3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" hidden="1" x14ac:dyDescent="0.3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" hidden="1" x14ac:dyDescent="0.3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" hidden="1" x14ac:dyDescent="0.3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" hidden="1" x14ac:dyDescent="0.3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" hidden="1" x14ac:dyDescent="0.3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" hidden="1" x14ac:dyDescent="0.3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" hidden="1" x14ac:dyDescent="0.3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" hidden="1" x14ac:dyDescent="0.3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" hidden="1" x14ac:dyDescent="0.3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" hidden="1" x14ac:dyDescent="0.3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" hidden="1" x14ac:dyDescent="0.3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" hidden="1" x14ac:dyDescent="0.3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" hidden="1" x14ac:dyDescent="0.3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" hidden="1" x14ac:dyDescent="0.3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" hidden="1" x14ac:dyDescent="0.3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" hidden="1" x14ac:dyDescent="0.3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" hidden="1" x14ac:dyDescent="0.3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" hidden="1" x14ac:dyDescent="0.3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" hidden="1" x14ac:dyDescent="0.3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" hidden="1" x14ac:dyDescent="0.3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" hidden="1" x14ac:dyDescent="0.3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" hidden="1" x14ac:dyDescent="0.3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" hidden="1" x14ac:dyDescent="0.3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" hidden="1" x14ac:dyDescent="0.3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" hidden="1" x14ac:dyDescent="0.3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" hidden="1" x14ac:dyDescent="0.3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 ht="14.4" hidden="1" x14ac:dyDescent="0.3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 ht="14.4" hidden="1" x14ac:dyDescent="0.3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 ht="14.4" hidden="1" x14ac:dyDescent="0.3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>Open rework row - mark Blocked? or close it</v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 ht="14.4" hidden="1" x14ac:dyDescent="0.3">
      <c r="A32" s="33" t="s">
        <v>126</v>
      </c>
      <c r="B32" s="33" t="s">
        <v>139</v>
      </c>
      <c r="C32" s="33" t="s">
        <v>149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410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Blocked - log it on Rework Log</v>
      </c>
      <c r="AK32" s="41" t="s">
        <v>142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 ht="14.4" hidden="1" x14ac:dyDescent="0.3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 ht="14.4" hidden="1" x14ac:dyDescent="0.3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 ht="14.4" hidden="1" x14ac:dyDescent="0.3">
      <c r="A35" s="33" t="s">
        <v>126</v>
      </c>
      <c r="B35" s="33" t="s">
        <v>148</v>
      </c>
      <c r="C35" s="33" t="s">
        <v>180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146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150</v>
      </c>
      <c r="AD35" s="33" t="s">
        <v>48</v>
      </c>
      <c r="AE35" s="38"/>
      <c r="AF35" s="36"/>
      <c r="AG35" s="39"/>
      <c r="AH35" s="33"/>
      <c r="AI35" s="40" t="s">
        <v>151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152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 ht="14.4" hidden="1" x14ac:dyDescent="0.3">
      <c r="A36" s="33" t="s">
        <v>126</v>
      </c>
      <c r="B36" s="33" t="s">
        <v>153</v>
      </c>
      <c r="C36" s="33" t="s">
        <v>140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410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152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 ht="14.4" hidden="1" x14ac:dyDescent="0.3">
      <c r="A37" s="33" t="s">
        <v>126</v>
      </c>
      <c r="B37" s="33" t="s">
        <v>154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155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156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 ht="14.4" hidden="1" x14ac:dyDescent="0.3">
      <c r="A38" s="33" t="s">
        <v>126</v>
      </c>
      <c r="B38" s="33" t="s">
        <v>157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158</v>
      </c>
      <c r="F38" s="34" t="s">
        <v>146</v>
      </c>
      <c r="G38" s="33"/>
      <c r="H38" s="50">
        <v>46234</v>
      </c>
      <c r="I38" s="62" t="s">
        <v>130</v>
      </c>
      <c r="J38" s="33" t="s">
        <v>159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155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 ht="14.4" hidden="1" x14ac:dyDescent="0.3">
      <c r="A39" s="33" t="s">
        <v>126</v>
      </c>
      <c r="B39" s="33" t="s">
        <v>160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159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155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>Open rework row - mark Blocked? or close it</v>
      </c>
      <c r="AK39" s="41" t="s">
        <v>152</v>
      </c>
      <c r="AL39" s="32" t="str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 ht="14.4" hidden="1" x14ac:dyDescent="0.3">
      <c r="A40" s="33" t="s">
        <v>126</v>
      </c>
      <c r="B40" s="33" t="s">
        <v>161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>Open rework row - mark Blocked? or close it</v>
      </c>
      <c r="AK40" s="41" t="s">
        <v>162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 ht="14.4" hidden="1" x14ac:dyDescent="0.3">
      <c r="A41" s="33" t="s">
        <v>126</v>
      </c>
      <c r="B41" s="33" t="s">
        <v>163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164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 ht="14.4" hidden="1" x14ac:dyDescent="0.3">
      <c r="A42" s="33" t="s">
        <v>126</v>
      </c>
      <c r="B42" s="33" t="s">
        <v>165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166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155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167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 ht="14.4" x14ac:dyDescent="0.3">
      <c r="A43" s="33" t="s">
        <v>126</v>
      </c>
      <c r="B43" s="33" t="s">
        <v>168</v>
      </c>
      <c r="C43" s="33" t="s">
        <v>149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169</v>
      </c>
      <c r="F43" s="34" t="s">
        <v>146</v>
      </c>
      <c r="G43" s="33"/>
      <c r="H43" s="50">
        <v>46265</v>
      </c>
      <c r="I43" s="62" t="s">
        <v>170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171</v>
      </c>
      <c r="O43" s="36" t="s">
        <v>172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173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 ht="14.4" x14ac:dyDescent="0.3">
      <c r="A44" s="33" t="s">
        <v>126</v>
      </c>
      <c r="B44" s="33" t="s">
        <v>174</v>
      </c>
      <c r="C44" s="33" t="s">
        <v>140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146</v>
      </c>
      <c r="G44" s="33"/>
      <c r="H44" s="50">
        <v>46265</v>
      </c>
      <c r="I44" s="62" t="s">
        <v>170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172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175</v>
      </c>
      <c r="AD44" s="33" t="s">
        <v>48</v>
      </c>
      <c r="AE44" s="38"/>
      <c r="AF44" s="36"/>
      <c r="AG44" s="39"/>
      <c r="AH44" s="33"/>
      <c r="AI44" s="40" t="s">
        <v>410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176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 ht="14.4" x14ac:dyDescent="0.3">
      <c r="A45" s="33" t="s">
        <v>126</v>
      </c>
      <c r="B45" s="33" t="s">
        <v>177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170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172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175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178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 ht="14.4" x14ac:dyDescent="0.3">
      <c r="A46" s="33" t="s">
        <v>126</v>
      </c>
      <c r="B46" s="33" t="s">
        <v>179</v>
      </c>
      <c r="C46" s="33" t="s">
        <v>149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170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178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 ht="14.4" x14ac:dyDescent="0.3">
      <c r="A47" s="33" t="s">
        <v>126</v>
      </c>
      <c r="B47" s="33" t="s">
        <v>182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170</v>
      </c>
      <c r="J47" s="33" t="s">
        <v>159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46280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178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 ht="14.4" x14ac:dyDescent="0.3">
      <c r="A48" s="33" t="s">
        <v>126</v>
      </c>
      <c r="B48" s="33" t="s">
        <v>184</v>
      </c>
      <c r="C48" s="33" t="s">
        <v>149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146</v>
      </c>
      <c r="G48" s="33"/>
      <c r="H48" s="50">
        <v>46265</v>
      </c>
      <c r="I48" s="62" t="s">
        <v>170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46269</v>
      </c>
      <c r="X48" s="36"/>
      <c r="Y48" s="36"/>
      <c r="Z48" s="53">
        <v>46260</v>
      </c>
      <c r="AA48" s="47">
        <v>46268</v>
      </c>
      <c r="AB48" s="36"/>
      <c r="AC48" s="33" t="s">
        <v>175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185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 ht="14.4" x14ac:dyDescent="0.3">
      <c r="A49" s="33" t="s">
        <v>126</v>
      </c>
      <c r="B49" s="33" t="s">
        <v>186</v>
      </c>
      <c r="C49" s="33" t="s">
        <v>149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170</v>
      </c>
      <c r="J49" s="33" t="s">
        <v>159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46272</v>
      </c>
      <c r="X49" s="36"/>
      <c r="Y49" s="36"/>
      <c r="Z49" s="53">
        <v>46260</v>
      </c>
      <c r="AA49" s="36"/>
      <c r="AB49" s="36"/>
      <c r="AC49" s="33" t="s">
        <v>155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 x14ac:dyDescent="0.3">
      <c r="A50" s="33" t="s">
        <v>126</v>
      </c>
      <c r="B50" s="33" t="s">
        <v>187</v>
      </c>
      <c r="C50" s="33" t="s">
        <v>149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146</v>
      </c>
      <c r="G50" s="33"/>
      <c r="H50" s="50">
        <v>46265</v>
      </c>
      <c r="I50" s="62" t="s">
        <v>170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175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 ht="14.4" x14ac:dyDescent="0.3">
      <c r="A51" s="33" t="s">
        <v>126</v>
      </c>
      <c r="B51" s="33" t="s">
        <v>188</v>
      </c>
      <c r="C51" s="33" t="s">
        <v>149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170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183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189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185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16.8" customHeight="1" x14ac:dyDescent="0.3">
      <c r="A52" s="33" t="s">
        <v>126</v>
      </c>
      <c r="B52" s="33" t="s">
        <v>190</v>
      </c>
      <c r="C52" s="33" t="s">
        <v>149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170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191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>Open rework row - mark Blocked? or close it</v>
      </c>
      <c r="AK52" s="82" t="s">
        <v>192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 ht="14.4" x14ac:dyDescent="0.3">
      <c r="A53" s="33" t="s">
        <v>126</v>
      </c>
      <c r="B53" s="33" t="s">
        <v>193</v>
      </c>
      <c r="C53" s="33" t="s">
        <v>149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170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171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46269</v>
      </c>
      <c r="X53" s="36"/>
      <c r="Y53" s="36"/>
      <c r="Z53" s="53">
        <v>46260</v>
      </c>
      <c r="AA53" s="47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 ht="14.4" x14ac:dyDescent="0.3">
      <c r="A54" s="33" t="s">
        <v>126</v>
      </c>
      <c r="B54" s="33" t="s">
        <v>195</v>
      </c>
      <c r="C54" s="33" t="s">
        <v>149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170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>
        <v>46267</v>
      </c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" hidden="1" x14ac:dyDescent="0.3">
      <c r="A55" s="33" t="s">
        <v>126</v>
      </c>
      <c r="B55" s="33" t="s">
        <v>197</v>
      </c>
      <c r="C55" s="33" t="s">
        <v>149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" hidden="1" x14ac:dyDescent="0.3">
      <c r="A56" s="33" t="s">
        <v>126</v>
      </c>
      <c r="B56" s="33" t="s">
        <v>202</v>
      </c>
      <c r="C56" s="33" t="s">
        <v>180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171</v>
      </c>
      <c r="O56" s="36" t="s">
        <v>199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" hidden="1" x14ac:dyDescent="0.3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>
        <v>46268</v>
      </c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" hidden="1" x14ac:dyDescent="0.3">
      <c r="A58" s="33" t="s">
        <v>126</v>
      </c>
      <c r="B58" s="33" t="s">
        <v>207</v>
      </c>
      <c r="C58" s="33" t="s">
        <v>180</v>
      </c>
      <c r="D58" t="e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>
        <v>46272</v>
      </c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" hidden="1" x14ac:dyDescent="0.3">
      <c r="A59" s="33" t="s">
        <v>126</v>
      </c>
      <c r="B59" s="33" t="s">
        <v>208</v>
      </c>
      <c r="C59" s="33" t="s">
        <v>180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" hidden="1" x14ac:dyDescent="0.3">
      <c r="A60" s="33" t="s">
        <v>126</v>
      </c>
      <c r="B60" s="33" t="s">
        <v>209</v>
      </c>
      <c r="C60" s="33" t="s">
        <v>180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159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" hidden="1" x14ac:dyDescent="0.3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>
        <v>46267</v>
      </c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" hidden="1" x14ac:dyDescent="0.3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" hidden="1" x14ac:dyDescent="0.3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" hidden="1" x14ac:dyDescent="0.3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" hidden="1" x14ac:dyDescent="0.3">
      <c r="A65" s="33" t="s">
        <v>126</v>
      </c>
      <c r="B65" s="33" t="s">
        <v>219</v>
      </c>
      <c r="C65" s="33" t="s">
        <v>140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159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43"/>
      <c r="S65" s="31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" hidden="1" x14ac:dyDescent="0.3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" hidden="1" x14ac:dyDescent="0.3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95" customFormat="1" ht="14.4" hidden="1" x14ac:dyDescent="0.3">
      <c r="A68" s="94" t="s">
        <v>126</v>
      </c>
      <c r="B68" s="80" t="s">
        <v>223</v>
      </c>
      <c r="C68" s="94" t="s">
        <v>180</v>
      </c>
      <c r="D68" s="95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94">
        <v>44</v>
      </c>
      <c r="F68" s="96" t="s">
        <v>129</v>
      </c>
      <c r="G68" s="94"/>
      <c r="H68" s="97">
        <v>46295</v>
      </c>
      <c r="I68" s="98" t="s">
        <v>198</v>
      </c>
      <c r="J68" s="94" t="s">
        <v>224</v>
      </c>
      <c r="K68" s="99">
        <v>46276</v>
      </c>
      <c r="L68" s="100">
        <v>46258</v>
      </c>
      <c r="M68" s="100">
        <v>46258</v>
      </c>
      <c r="N68" s="100"/>
      <c r="O68" s="100" t="s">
        <v>199</v>
      </c>
      <c r="P68" s="101" t="s">
        <v>76</v>
      </c>
      <c r="Q68" s="99">
        <v>46286</v>
      </c>
      <c r="R68" s="100"/>
      <c r="S68" s="100"/>
      <c r="T68" s="102" t="s">
        <v>225</v>
      </c>
      <c r="U68" s="94"/>
      <c r="V68" s="103">
        <v>46290</v>
      </c>
      <c r="W68" s="100"/>
      <c r="X68" s="100"/>
      <c r="Y68" s="100"/>
      <c r="Z68" s="104">
        <v>46295</v>
      </c>
      <c r="AA68" s="100"/>
      <c r="AB68" s="100"/>
      <c r="AC68" s="80" t="s">
        <v>226</v>
      </c>
      <c r="AD68" s="94" t="s">
        <v>71</v>
      </c>
      <c r="AE68" s="105"/>
      <c r="AF68" s="100"/>
      <c r="AG68" s="106"/>
      <c r="AH68" s="94"/>
      <c r="AI68" s="107" t="s">
        <v>52</v>
      </c>
      <c r="AJ68" s="108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109" t="s">
        <v>227</v>
      </c>
      <c r="AL68" s="110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110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s="112" customFormat="1" ht="14.4" hidden="1" x14ac:dyDescent="0.3">
      <c r="A69" s="111" t="s">
        <v>126</v>
      </c>
      <c r="B69" s="81" t="s">
        <v>228</v>
      </c>
      <c r="C69" s="111" t="s">
        <v>206</v>
      </c>
      <c r="D69" s="112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111">
        <v>45</v>
      </c>
      <c r="F69" s="113" t="s">
        <v>146</v>
      </c>
      <c r="G69" s="111"/>
      <c r="H69" s="114">
        <v>46295</v>
      </c>
      <c r="I69" s="115" t="s">
        <v>198</v>
      </c>
      <c r="J69" s="111" t="s">
        <v>58</v>
      </c>
      <c r="K69" s="116">
        <v>46276</v>
      </c>
      <c r="L69" s="117"/>
      <c r="M69" s="117"/>
      <c r="N69" s="117"/>
      <c r="O69" s="117" t="s">
        <v>199</v>
      </c>
      <c r="P69" s="118" t="s">
        <v>45</v>
      </c>
      <c r="Q69" s="116">
        <v>46286</v>
      </c>
      <c r="R69" s="117"/>
      <c r="S69" s="117"/>
      <c r="T69" s="119" t="s">
        <v>225</v>
      </c>
      <c r="U69" s="111"/>
      <c r="V69" s="120">
        <v>46290</v>
      </c>
      <c r="W69" s="117"/>
      <c r="X69" s="117"/>
      <c r="Y69" s="117"/>
      <c r="Z69" s="121">
        <v>46295</v>
      </c>
      <c r="AA69" s="117"/>
      <c r="AB69" s="117"/>
      <c r="AC69" s="81" t="s">
        <v>229</v>
      </c>
      <c r="AD69" s="111" t="s">
        <v>71</v>
      </c>
      <c r="AE69" s="122"/>
      <c r="AF69" s="117"/>
      <c r="AG69" s="123"/>
      <c r="AH69" s="111"/>
      <c r="AI69" s="124" t="s">
        <v>52</v>
      </c>
      <c r="AJ69" s="125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26" t="s">
        <v>230</v>
      </c>
      <c r="AL69" s="127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27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" hidden="1" x14ac:dyDescent="0.3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" hidden="1" x14ac:dyDescent="0.3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" hidden="1" x14ac:dyDescent="0.3">
      <c r="A72" s="33" t="s">
        <v>126</v>
      </c>
      <c r="B72" s="33" t="s">
        <v>234</v>
      </c>
      <c r="C72" s="33" t="s">
        <v>180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175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" x14ac:dyDescent="0.3">
      <c r="A73" s="79" t="s">
        <v>126</v>
      </c>
      <c r="B73" s="31" t="s">
        <v>235</v>
      </c>
      <c r="C73" s="31" t="s">
        <v>180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>
        <v>46310</v>
      </c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" x14ac:dyDescent="0.3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>
        <v>46310</v>
      </c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175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" x14ac:dyDescent="0.3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>
        <v>46310</v>
      </c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" x14ac:dyDescent="0.3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>
        <v>46310</v>
      </c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" x14ac:dyDescent="0.3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159</v>
      </c>
      <c r="K77" s="51">
        <v>46310</v>
      </c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" x14ac:dyDescent="0.3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>
        <v>46310</v>
      </c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191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" x14ac:dyDescent="0.3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>
        <v>46310</v>
      </c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" x14ac:dyDescent="0.3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 t="s">
        <v>248</v>
      </c>
      <c r="K80" s="51">
        <v>46325</v>
      </c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" x14ac:dyDescent="0.3">
      <c r="A81" s="31" t="s">
        <v>126</v>
      </c>
      <c r="B81" s="31" t="s">
        <v>249</v>
      </c>
      <c r="C81" s="31" t="s">
        <v>206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 t="s">
        <v>248</v>
      </c>
      <c r="K81" s="51">
        <v>46325</v>
      </c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250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" x14ac:dyDescent="0.3">
      <c r="A82" s="31" t="s">
        <v>126</v>
      </c>
      <c r="B82" s="31" t="s">
        <v>251</v>
      </c>
      <c r="C82" s="31" t="s">
        <v>206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>
        <v>46325</v>
      </c>
      <c r="L82" s="43"/>
      <c r="M82" s="44"/>
      <c r="N82" s="44"/>
      <c r="O82" s="36" t="s">
        <v>252</v>
      </c>
      <c r="P82" s="76"/>
      <c r="Q82" s="51"/>
      <c r="R82" s="43"/>
      <c r="S82" s="44"/>
      <c r="T82" s="70" t="s">
        <v>250</v>
      </c>
      <c r="U82" s="47"/>
      <c r="W82" s="43"/>
      <c r="X82" s="31"/>
      <c r="Y82" s="36"/>
      <c r="AA82" s="43"/>
      <c r="AB82" s="43"/>
      <c r="AC82" s="31" t="s">
        <v>253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" x14ac:dyDescent="0.3">
      <c r="A83" s="31" t="s">
        <v>126</v>
      </c>
      <c r="B83" s="31" t="s">
        <v>254</v>
      </c>
      <c r="C83" s="31" t="s">
        <v>206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>
        <v>46325</v>
      </c>
      <c r="L83" s="43"/>
      <c r="M83" s="44"/>
      <c r="N83" s="44"/>
      <c r="O83" s="36" t="s">
        <v>252</v>
      </c>
      <c r="P83" s="76"/>
      <c r="Q83" s="51"/>
      <c r="R83" s="43"/>
      <c r="S83" s="44"/>
      <c r="T83" s="70" t="s">
        <v>250</v>
      </c>
      <c r="U83" s="47"/>
      <c r="W83" s="43"/>
      <c r="X83" s="31"/>
      <c r="Y83" s="36"/>
      <c r="AA83" s="43"/>
      <c r="AB83" s="43"/>
      <c r="AC83" s="31" t="s">
        <v>255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" x14ac:dyDescent="0.3">
      <c r="A84" s="31" t="s">
        <v>126</v>
      </c>
      <c r="B84" s="31" t="s">
        <v>256</v>
      </c>
      <c r="C84" s="31" t="s">
        <v>206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>
        <v>46325</v>
      </c>
      <c r="L84" s="43"/>
      <c r="M84" s="44"/>
      <c r="N84" s="44"/>
      <c r="O84" s="36" t="s">
        <v>252</v>
      </c>
      <c r="P84" s="76"/>
      <c r="Q84" s="51"/>
      <c r="R84" s="43"/>
      <c r="S84" s="44"/>
      <c r="T84" s="70" t="s">
        <v>250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" x14ac:dyDescent="0.3">
      <c r="A85" s="31" t="s">
        <v>126</v>
      </c>
      <c r="B85" s="31" t="s">
        <v>257</v>
      </c>
      <c r="C85" s="31" t="s">
        <v>206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7" t="s">
        <v>236</v>
      </c>
      <c r="J85" s="55"/>
      <c r="K85" s="51">
        <v>46325</v>
      </c>
      <c r="L85" s="43"/>
      <c r="M85" s="44"/>
      <c r="N85" s="44"/>
      <c r="O85" s="36" t="s">
        <v>259</v>
      </c>
      <c r="P85" s="76"/>
      <c r="Q85" s="51"/>
      <c r="R85" s="43"/>
      <c r="S85" s="44"/>
      <c r="T85" s="70" t="s">
        <v>250</v>
      </c>
      <c r="U85" s="47"/>
      <c r="W85" s="43"/>
      <c r="X85" s="31"/>
      <c r="Y85" s="36"/>
      <c r="AA85" s="43"/>
      <c r="AB85" s="43"/>
      <c r="AC85" s="31" t="s">
        <v>191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" x14ac:dyDescent="0.3">
      <c r="A86" s="31" t="s">
        <v>126</v>
      </c>
      <c r="B86" s="31" t="s">
        <v>260</v>
      </c>
      <c r="C86" s="31" t="s">
        <v>206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261</v>
      </c>
      <c r="J86" s="55"/>
      <c r="K86" s="51"/>
      <c r="L86" s="43"/>
      <c r="M86" s="44"/>
      <c r="N86" s="44"/>
      <c r="O86" s="36" t="s">
        <v>259</v>
      </c>
      <c r="P86" s="76"/>
      <c r="Q86" s="51"/>
      <c r="R86" s="43"/>
      <c r="S86" s="44"/>
      <c r="T86" s="70" t="s">
        <v>250</v>
      </c>
      <c r="U86" s="47"/>
      <c r="W86" s="43"/>
      <c r="X86" s="31"/>
      <c r="Y86" s="36"/>
      <c r="AA86" s="43"/>
      <c r="AB86" s="43"/>
      <c r="AC86" s="31" t="s">
        <v>262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" x14ac:dyDescent="0.3">
      <c r="A87" s="31" t="s">
        <v>126</v>
      </c>
      <c r="B87" s="31" t="s">
        <v>263</v>
      </c>
      <c r="C87" s="31" t="s">
        <v>206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261</v>
      </c>
      <c r="J87" s="55"/>
      <c r="K87" s="51"/>
      <c r="L87" s="43"/>
      <c r="M87" s="44"/>
      <c r="N87" s="44"/>
      <c r="O87" s="36" t="s">
        <v>259</v>
      </c>
      <c r="P87" s="76"/>
      <c r="Q87" s="51"/>
      <c r="R87" s="43"/>
      <c r="S87" s="44"/>
      <c r="T87" s="70" t="s">
        <v>250</v>
      </c>
      <c r="U87" s="47"/>
      <c r="W87" s="43"/>
      <c r="X87" s="31"/>
      <c r="Y87" s="36"/>
      <c r="AA87" s="43"/>
      <c r="AB87" s="43"/>
      <c r="AC87" s="31" t="s">
        <v>175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" x14ac:dyDescent="0.3">
      <c r="A88" s="31" t="s">
        <v>126</v>
      </c>
      <c r="B88" s="31" t="s">
        <v>264</v>
      </c>
      <c r="C88" s="31" t="s">
        <v>206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261</v>
      </c>
      <c r="J88" s="55"/>
      <c r="K88" s="51"/>
      <c r="L88" s="43"/>
      <c r="M88" s="44"/>
      <c r="N88" s="44"/>
      <c r="O88" s="36" t="s">
        <v>259</v>
      </c>
      <c r="P88" s="76"/>
      <c r="Q88" s="51"/>
      <c r="R88" s="43"/>
      <c r="S88" s="44"/>
      <c r="T88" s="70" t="s">
        <v>265</v>
      </c>
      <c r="U88" s="47"/>
      <c r="W88" s="43"/>
      <c r="X88" s="31"/>
      <c r="Y88" s="36"/>
      <c r="AA88" s="43"/>
      <c r="AB88" s="43"/>
      <c r="AC88" s="31" t="s">
        <v>175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" x14ac:dyDescent="0.3">
      <c r="A89" s="31" t="s">
        <v>126</v>
      </c>
      <c r="B89" s="31" t="s">
        <v>266</v>
      </c>
      <c r="C89" s="31" t="s">
        <v>206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261</v>
      </c>
      <c r="J89" s="55"/>
      <c r="K89" s="51"/>
      <c r="L89" s="43"/>
      <c r="M89" s="44"/>
      <c r="N89" s="44"/>
      <c r="O89" s="36" t="s">
        <v>259</v>
      </c>
      <c r="P89" s="76"/>
      <c r="Q89" s="51"/>
      <c r="R89" s="43"/>
      <c r="S89" s="44"/>
      <c r="T89" s="70" t="s">
        <v>265</v>
      </c>
      <c r="U89" s="47"/>
      <c r="W89" s="43"/>
      <c r="X89" s="31"/>
      <c r="Y89" s="36"/>
      <c r="AA89" s="43"/>
      <c r="AB89" s="43"/>
      <c r="AC89" s="31" t="s">
        <v>175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" x14ac:dyDescent="0.3">
      <c r="A90" s="31" t="s">
        <v>126</v>
      </c>
      <c r="B90" s="31" t="s">
        <v>267</v>
      </c>
      <c r="C90" s="31" t="s">
        <v>206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261</v>
      </c>
      <c r="J90" s="55"/>
      <c r="K90" s="51"/>
      <c r="L90" s="43"/>
      <c r="M90" s="44"/>
      <c r="N90" s="44"/>
      <c r="O90" s="36" t="s">
        <v>259</v>
      </c>
      <c r="P90" s="76"/>
      <c r="Q90" s="51"/>
      <c r="R90" s="43"/>
      <c r="S90" s="44"/>
      <c r="T90" s="70" t="s">
        <v>265</v>
      </c>
      <c r="U90" s="47"/>
      <c r="W90" s="43"/>
      <c r="X90" s="31"/>
      <c r="Y90" s="36"/>
      <c r="AA90" s="43"/>
      <c r="AB90" s="43"/>
      <c r="AC90" s="31" t="s">
        <v>175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" x14ac:dyDescent="0.3">
      <c r="A91" s="31" t="s">
        <v>126</v>
      </c>
      <c r="B91" s="31" t="s">
        <v>268</v>
      </c>
      <c r="C91" s="31" t="s">
        <v>206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261</v>
      </c>
      <c r="J91" s="55"/>
      <c r="K91" s="51"/>
      <c r="L91" s="43"/>
      <c r="M91" s="44"/>
      <c r="N91" s="44"/>
      <c r="O91" s="36" t="s">
        <v>259</v>
      </c>
      <c r="P91" s="76"/>
      <c r="Q91" s="51"/>
      <c r="R91" s="43"/>
      <c r="S91" s="44"/>
      <c r="T91" s="70" t="s">
        <v>265</v>
      </c>
      <c r="U91" s="47"/>
      <c r="W91" s="43"/>
      <c r="X91" s="31"/>
      <c r="Y91" s="36"/>
      <c r="AA91" s="43"/>
      <c r="AB91" s="43"/>
      <c r="AC91" s="31" t="s">
        <v>269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" x14ac:dyDescent="0.3">
      <c r="A92" s="31" t="s">
        <v>126</v>
      </c>
      <c r="B92" s="31" t="s">
        <v>270</v>
      </c>
      <c r="C92" s="31" t="s">
        <v>206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261</v>
      </c>
      <c r="J92" s="55"/>
      <c r="K92" s="51"/>
      <c r="L92" s="43"/>
      <c r="M92" s="44"/>
      <c r="N92" s="44"/>
      <c r="O92" s="36" t="s">
        <v>271</v>
      </c>
      <c r="P92" s="76"/>
      <c r="Q92" s="51"/>
      <c r="R92" s="43"/>
      <c r="S92" s="44"/>
      <c r="T92" s="70" t="s">
        <v>265</v>
      </c>
      <c r="U92" s="47"/>
      <c r="W92" s="43"/>
      <c r="X92" s="31"/>
      <c r="Y92" s="36"/>
      <c r="AA92" s="43"/>
      <c r="AB92" s="43"/>
      <c r="AC92" s="31" t="s">
        <v>175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" x14ac:dyDescent="0.3">
      <c r="A93" s="31" t="s">
        <v>126</v>
      </c>
      <c r="B93" s="31" t="s">
        <v>272</v>
      </c>
      <c r="C93" s="31" t="s">
        <v>206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261</v>
      </c>
      <c r="J93" s="55"/>
      <c r="K93" s="51"/>
      <c r="L93" s="43"/>
      <c r="M93" s="44"/>
      <c r="N93" s="44"/>
      <c r="O93" s="36" t="s">
        <v>271</v>
      </c>
      <c r="P93" s="76"/>
      <c r="Q93" s="51"/>
      <c r="R93" s="43"/>
      <c r="S93" s="44"/>
      <c r="T93" s="70" t="s">
        <v>265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" x14ac:dyDescent="0.3">
      <c r="A94" s="31" t="s">
        <v>126</v>
      </c>
      <c r="B94" s="31" t="s">
        <v>273</v>
      </c>
      <c r="C94" s="31" t="s">
        <v>206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261</v>
      </c>
      <c r="J94" s="55"/>
      <c r="K94" s="51"/>
      <c r="L94" s="43"/>
      <c r="M94" s="44"/>
      <c r="N94" s="44"/>
      <c r="O94" s="36" t="s">
        <v>271</v>
      </c>
      <c r="P94" s="76"/>
      <c r="Q94" s="51"/>
      <c r="R94" s="43"/>
      <c r="S94" s="44"/>
      <c r="T94" s="70" t="s">
        <v>265</v>
      </c>
      <c r="U94" s="47"/>
      <c r="W94" s="43"/>
      <c r="X94" s="31"/>
      <c r="Y94" s="36"/>
      <c r="AA94" s="43"/>
      <c r="AB94" s="43"/>
      <c r="AC94" s="31" t="s">
        <v>274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" x14ac:dyDescent="0.3">
      <c r="A95" s="31" t="s">
        <v>126</v>
      </c>
      <c r="B95" s="31" t="s">
        <v>275</v>
      </c>
      <c r="C95" s="31" t="s">
        <v>206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261</v>
      </c>
      <c r="J95" s="55"/>
      <c r="K95" s="51"/>
      <c r="L95" s="43"/>
      <c r="M95" s="44"/>
      <c r="N95" s="44"/>
      <c r="O95" s="36" t="s">
        <v>271</v>
      </c>
      <c r="P95" s="76"/>
      <c r="Q95" s="51"/>
      <c r="R95" s="43"/>
      <c r="S95" s="44"/>
      <c r="T95" s="70" t="s">
        <v>276</v>
      </c>
      <c r="U95" s="47"/>
      <c r="W95" s="43"/>
      <c r="X95" s="31"/>
      <c r="Y95" s="36"/>
      <c r="AA95" s="43"/>
      <c r="AB95" s="43"/>
      <c r="AC95" s="31" t="s">
        <v>277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" x14ac:dyDescent="0.3">
      <c r="A96" s="31" t="s">
        <v>126</v>
      </c>
      <c r="B96" s="31" t="s">
        <v>278</v>
      </c>
      <c r="C96" s="31" t="s">
        <v>206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261</v>
      </c>
      <c r="J96" s="55"/>
      <c r="K96" s="51"/>
      <c r="L96" s="43"/>
      <c r="M96" s="44"/>
      <c r="N96" s="44"/>
      <c r="O96" s="36" t="s">
        <v>271</v>
      </c>
      <c r="P96" s="76"/>
      <c r="Q96" s="51"/>
      <c r="R96" s="43"/>
      <c r="S96" s="44"/>
      <c r="T96" s="70" t="s">
        <v>276</v>
      </c>
      <c r="U96" s="47"/>
      <c r="W96" s="43"/>
      <c r="X96" s="31"/>
      <c r="Y96" s="36"/>
      <c r="AA96" s="43"/>
      <c r="AB96" s="43"/>
      <c r="AC96" s="31" t="s">
        <v>279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" x14ac:dyDescent="0.3">
      <c r="A97" s="31" t="s">
        <v>126</v>
      </c>
      <c r="B97" s="31" t="s">
        <v>280</v>
      </c>
      <c r="C97" s="31" t="s">
        <v>206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261</v>
      </c>
      <c r="J97" s="55"/>
      <c r="K97" s="51"/>
      <c r="L97" s="43"/>
      <c r="M97" s="44"/>
      <c r="N97" s="44"/>
      <c r="O97" s="36" t="s">
        <v>271</v>
      </c>
      <c r="P97" s="76"/>
      <c r="Q97" s="51"/>
      <c r="R97" s="43"/>
      <c r="S97" s="44"/>
      <c r="T97" s="70" t="s">
        <v>276</v>
      </c>
      <c r="U97" s="47"/>
      <c r="W97" s="43"/>
      <c r="X97" s="31"/>
      <c r="Y97" s="36"/>
      <c r="AA97" s="43"/>
      <c r="AB97" s="43"/>
      <c r="AC97" s="31" t="s">
        <v>281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" x14ac:dyDescent="0.3">
      <c r="A98" s="31" t="s">
        <v>126</v>
      </c>
      <c r="B98" s="31" t="s">
        <v>282</v>
      </c>
      <c r="C98" s="31" t="s">
        <v>206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261</v>
      </c>
      <c r="J98" s="55"/>
      <c r="K98" s="51"/>
      <c r="L98" s="43"/>
      <c r="M98" s="44"/>
      <c r="N98" s="44"/>
      <c r="O98" s="36" t="s">
        <v>271</v>
      </c>
      <c r="P98" s="76"/>
      <c r="Q98" s="51"/>
      <c r="R98" s="43"/>
      <c r="S98" s="44"/>
      <c r="T98" s="70" t="s">
        <v>276</v>
      </c>
      <c r="U98" s="47"/>
      <c r="W98" s="43"/>
      <c r="X98" s="31"/>
      <c r="Y98" s="36"/>
      <c r="AA98" s="43"/>
      <c r="AB98" s="43"/>
      <c r="AC98" s="31" t="s">
        <v>175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" x14ac:dyDescent="0.3">
      <c r="A99" s="31" t="s">
        <v>126</v>
      </c>
      <c r="B99" s="31" t="s">
        <v>283</v>
      </c>
      <c r="C99" s="31" t="s">
        <v>206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284</v>
      </c>
      <c r="F99" s="31"/>
      <c r="G99" s="31"/>
      <c r="H99" s="50">
        <v>46356</v>
      </c>
      <c r="I99" s="57" t="s">
        <v>261</v>
      </c>
      <c r="J99" s="55"/>
      <c r="K99" s="51"/>
      <c r="L99" s="43"/>
      <c r="M99" s="44"/>
      <c r="N99" s="44"/>
      <c r="O99" s="36" t="s">
        <v>271</v>
      </c>
      <c r="P99" s="76"/>
      <c r="Q99" s="51"/>
      <c r="R99" s="43"/>
      <c r="S99" s="44"/>
      <c r="T99" s="70" t="s">
        <v>276</v>
      </c>
      <c r="U99" s="47"/>
      <c r="W99" s="43"/>
      <c r="X99" s="31"/>
      <c r="Y99" s="36"/>
      <c r="AA99" s="43"/>
      <c r="AB99" s="43"/>
      <c r="AC99" s="31" t="s">
        <v>285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" x14ac:dyDescent="0.3">
      <c r="A100" s="31" t="s">
        <v>126</v>
      </c>
      <c r="B100" s="31" t="s">
        <v>286</v>
      </c>
      <c r="C100" s="31" t="s">
        <v>206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261</v>
      </c>
      <c r="J100" s="55"/>
      <c r="K100" s="51"/>
      <c r="L100" s="43"/>
      <c r="M100" s="44"/>
      <c r="N100" s="44"/>
      <c r="O100" s="36" t="s">
        <v>271</v>
      </c>
      <c r="P100" s="76"/>
      <c r="Q100" s="51"/>
      <c r="R100" s="43"/>
      <c r="S100" s="44"/>
      <c r="T100" s="70" t="s">
        <v>276</v>
      </c>
      <c r="U100" s="47"/>
      <c r="W100" s="43"/>
      <c r="X100" s="31"/>
      <c r="Y100" s="36"/>
      <c r="AA100" s="43"/>
      <c r="AB100" s="43"/>
      <c r="AC100" s="31" t="s">
        <v>287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" x14ac:dyDescent="0.3">
      <c r="A101" s="31" t="s">
        <v>288</v>
      </c>
      <c r="B101" s="31" t="s">
        <v>289</v>
      </c>
      <c r="C101" s="31" t="s">
        <v>206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290</v>
      </c>
      <c r="J101" s="55"/>
      <c r="L101" s="43"/>
      <c r="M101" s="31"/>
      <c r="N101" s="31"/>
      <c r="O101" s="36" t="s">
        <v>291</v>
      </c>
      <c r="P101" s="76"/>
      <c r="R101" s="43"/>
      <c r="S101" s="31"/>
      <c r="T101" s="70" t="s">
        <v>276</v>
      </c>
      <c r="U101" s="47"/>
      <c r="W101" s="43"/>
      <c r="X101" s="31"/>
      <c r="Y101" s="36"/>
      <c r="AA101" s="43"/>
      <c r="AB101" s="43"/>
      <c r="AC101" s="31" t="s">
        <v>292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" x14ac:dyDescent="0.3">
      <c r="A102" s="31" t="s">
        <v>288</v>
      </c>
      <c r="B102" s="31" t="s">
        <v>293</v>
      </c>
      <c r="C102" s="31" t="s">
        <v>206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290</v>
      </c>
      <c r="J102" s="55"/>
      <c r="L102" s="43"/>
      <c r="M102" s="31"/>
      <c r="N102" s="31"/>
      <c r="O102" s="36" t="s">
        <v>291</v>
      </c>
      <c r="P102" s="76"/>
      <c r="R102" s="43"/>
      <c r="S102" s="31"/>
      <c r="T102" s="70" t="s">
        <v>294</v>
      </c>
      <c r="U102" s="47"/>
      <c r="W102" s="43"/>
      <c r="X102" s="31"/>
      <c r="Y102" s="36"/>
      <c r="AA102" s="43"/>
      <c r="AB102" s="43"/>
      <c r="AC102" s="31" t="s">
        <v>295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" x14ac:dyDescent="0.3">
      <c r="A103" s="31" t="s">
        <v>288</v>
      </c>
      <c r="B103" s="31" t="s">
        <v>296</v>
      </c>
      <c r="C103" s="31" t="s">
        <v>206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290</v>
      </c>
      <c r="J103" s="55"/>
      <c r="L103" s="43"/>
      <c r="M103" s="31"/>
      <c r="N103" s="31"/>
      <c r="O103" s="36" t="s">
        <v>291</v>
      </c>
      <c r="P103" s="76"/>
      <c r="R103" s="43"/>
      <c r="S103" s="31"/>
      <c r="T103" s="70" t="s">
        <v>294</v>
      </c>
      <c r="U103" s="47"/>
      <c r="W103" s="43"/>
      <c r="X103" s="31"/>
      <c r="Y103" s="36"/>
      <c r="AA103" s="43"/>
      <c r="AB103" s="43"/>
      <c r="AC103" s="31" t="s">
        <v>297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" x14ac:dyDescent="0.3">
      <c r="A104" s="31" t="s">
        <v>298</v>
      </c>
      <c r="B104" s="31" t="s">
        <v>299</v>
      </c>
      <c r="C104" s="31" t="s">
        <v>206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290</v>
      </c>
      <c r="J104" s="55"/>
      <c r="L104" s="43"/>
      <c r="M104" s="31"/>
      <c r="N104" s="31"/>
      <c r="O104" s="36" t="s">
        <v>291</v>
      </c>
      <c r="P104" s="76"/>
      <c r="R104" s="43"/>
      <c r="S104" s="31"/>
      <c r="T104" s="70" t="s">
        <v>294</v>
      </c>
      <c r="U104" s="47"/>
      <c r="W104" s="43"/>
      <c r="X104" s="31"/>
      <c r="Y104" s="36"/>
      <c r="AA104" s="43"/>
      <c r="AB104" s="43"/>
      <c r="AC104" s="31" t="s">
        <v>300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" x14ac:dyDescent="0.3">
      <c r="A105" s="31" t="s">
        <v>288</v>
      </c>
      <c r="B105" s="31" t="s">
        <v>301</v>
      </c>
      <c r="C105" s="31" t="s">
        <v>206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290</v>
      </c>
      <c r="J105" s="55"/>
      <c r="L105" s="43"/>
      <c r="M105" s="31"/>
      <c r="N105" s="31"/>
      <c r="O105" s="36" t="s">
        <v>291</v>
      </c>
      <c r="P105" s="76"/>
      <c r="R105" s="43"/>
      <c r="S105" s="31"/>
      <c r="T105" s="70" t="s">
        <v>294</v>
      </c>
      <c r="U105" s="47"/>
      <c r="W105" s="43"/>
      <c r="X105" s="31"/>
      <c r="Y105" s="36"/>
      <c r="AA105" s="43"/>
      <c r="AB105" s="43"/>
      <c r="AC105" s="31" t="s">
        <v>302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" x14ac:dyDescent="0.3">
      <c r="A106" s="31" t="s">
        <v>288</v>
      </c>
      <c r="B106" s="31" t="s">
        <v>303</v>
      </c>
      <c r="C106" s="31" t="s">
        <v>206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290</v>
      </c>
      <c r="J106" s="55"/>
      <c r="L106" s="43"/>
      <c r="M106" s="31"/>
      <c r="N106" s="31"/>
      <c r="O106" s="36" t="s">
        <v>291</v>
      </c>
      <c r="P106" s="76"/>
      <c r="R106" s="43"/>
      <c r="S106" s="31"/>
      <c r="T106" s="70" t="s">
        <v>294</v>
      </c>
      <c r="U106" s="47"/>
      <c r="W106" s="43"/>
      <c r="X106" s="31"/>
      <c r="Y106" s="36"/>
      <c r="AA106" s="43"/>
      <c r="AB106" s="43"/>
      <c r="AC106" s="31" t="s">
        <v>304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" x14ac:dyDescent="0.3">
      <c r="A107" s="31" t="s">
        <v>288</v>
      </c>
      <c r="B107" s="31" t="s">
        <v>305</v>
      </c>
      <c r="C107" s="31" t="s">
        <v>206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290</v>
      </c>
      <c r="J107" s="55"/>
      <c r="L107" s="43"/>
      <c r="M107" s="31"/>
      <c r="N107" s="31"/>
      <c r="O107" s="36" t="s">
        <v>291</v>
      </c>
      <c r="P107" s="76"/>
      <c r="R107" s="43"/>
      <c r="S107" s="31"/>
      <c r="T107" s="70" t="s">
        <v>294</v>
      </c>
      <c r="U107" s="47"/>
      <c r="W107" s="43"/>
      <c r="X107" s="31"/>
      <c r="Y107" s="36"/>
      <c r="AA107" s="43"/>
      <c r="AB107" s="43"/>
      <c r="AC107" s="31" t="s">
        <v>306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" x14ac:dyDescent="0.3">
      <c r="A108" s="31" t="s">
        <v>288</v>
      </c>
      <c r="B108" s="31" t="s">
        <v>307</v>
      </c>
      <c r="C108" s="31" t="s">
        <v>206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290</v>
      </c>
      <c r="J108" s="55"/>
      <c r="L108" s="43"/>
      <c r="M108" s="31"/>
      <c r="N108" s="31"/>
      <c r="O108" s="36" t="s">
        <v>308</v>
      </c>
      <c r="P108" s="76"/>
      <c r="R108" s="43"/>
      <c r="S108" s="31"/>
      <c r="T108" s="70" t="s">
        <v>294</v>
      </c>
      <c r="U108" s="47"/>
      <c r="W108" s="43"/>
      <c r="X108" s="31"/>
      <c r="Y108" s="36"/>
      <c r="AA108" s="43"/>
      <c r="AB108" s="43"/>
      <c r="AC108" s="31" t="s">
        <v>309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" x14ac:dyDescent="0.3">
      <c r="A109" s="31" t="s">
        <v>298</v>
      </c>
      <c r="B109" s="31" t="s">
        <v>310</v>
      </c>
      <c r="C109" s="31" t="s">
        <v>206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290</v>
      </c>
      <c r="J109" s="55"/>
      <c r="L109" s="43"/>
      <c r="M109" s="31"/>
      <c r="N109" s="31"/>
      <c r="O109" s="36" t="s">
        <v>308</v>
      </c>
      <c r="P109" s="76"/>
      <c r="R109" s="43"/>
      <c r="S109" s="31"/>
      <c r="T109" s="70" t="s">
        <v>311</v>
      </c>
      <c r="U109" s="47"/>
      <c r="W109" s="43"/>
      <c r="X109" s="31"/>
      <c r="Y109" s="36"/>
      <c r="AA109" s="43"/>
      <c r="AB109" s="43"/>
      <c r="AC109" s="31" t="s">
        <v>312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" x14ac:dyDescent="0.3">
      <c r="A110" s="31" t="s">
        <v>288</v>
      </c>
      <c r="B110" s="31" t="s">
        <v>313</v>
      </c>
      <c r="C110" s="31" t="s">
        <v>206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290</v>
      </c>
      <c r="J110" s="55"/>
      <c r="L110" s="43"/>
      <c r="M110" s="31"/>
      <c r="N110" s="31"/>
      <c r="O110" s="36" t="s">
        <v>308</v>
      </c>
      <c r="P110" s="76"/>
      <c r="R110" s="43"/>
      <c r="S110" s="31"/>
      <c r="T110" s="70" t="s">
        <v>311</v>
      </c>
      <c r="U110" s="47"/>
      <c r="W110" s="43"/>
      <c r="X110" s="31"/>
      <c r="Y110" s="36"/>
      <c r="AA110" s="43"/>
      <c r="AB110" s="43"/>
      <c r="AC110" s="31" t="s">
        <v>314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" x14ac:dyDescent="0.3">
      <c r="A111" s="31" t="s">
        <v>298</v>
      </c>
      <c r="B111" s="31" t="s">
        <v>315</v>
      </c>
      <c r="C111" s="31" t="s">
        <v>206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290</v>
      </c>
      <c r="J111" s="55"/>
      <c r="L111" s="43"/>
      <c r="M111" s="31"/>
      <c r="N111" s="31"/>
      <c r="O111" s="36" t="s">
        <v>308</v>
      </c>
      <c r="P111" s="76"/>
      <c r="R111" s="43"/>
      <c r="S111" s="31"/>
      <c r="T111" s="70" t="s">
        <v>311</v>
      </c>
      <c r="U111" s="47"/>
      <c r="W111" s="43"/>
      <c r="X111" s="31"/>
      <c r="Y111" s="36"/>
      <c r="AA111" s="43"/>
      <c r="AB111" s="43"/>
      <c r="AC111" s="31" t="s">
        <v>316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" x14ac:dyDescent="0.3">
      <c r="A112" s="31" t="s">
        <v>298</v>
      </c>
      <c r="B112" s="31" t="s">
        <v>317</v>
      </c>
      <c r="C112" s="31" t="s">
        <v>206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290</v>
      </c>
      <c r="J112" s="55"/>
      <c r="L112" s="43"/>
      <c r="M112" s="31"/>
      <c r="N112" s="31"/>
      <c r="O112" s="36" t="s">
        <v>308</v>
      </c>
      <c r="P112" s="76"/>
      <c r="R112" s="43"/>
      <c r="S112" s="31"/>
      <c r="T112" s="70" t="s">
        <v>311</v>
      </c>
      <c r="U112" s="47"/>
      <c r="W112" s="43"/>
      <c r="X112" s="31"/>
      <c r="Y112" s="36"/>
      <c r="AA112" s="43"/>
      <c r="AB112" s="43"/>
      <c r="AC112" s="31" t="s">
        <v>312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" x14ac:dyDescent="0.3">
      <c r="A113" s="31" t="s">
        <v>298</v>
      </c>
      <c r="B113" s="31" t="s">
        <v>318</v>
      </c>
      <c r="C113" s="31" t="s">
        <v>206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290</v>
      </c>
      <c r="J113" s="55"/>
      <c r="L113" s="43"/>
      <c r="M113" s="31"/>
      <c r="N113" s="31"/>
      <c r="O113" s="36" t="s">
        <v>308</v>
      </c>
      <c r="P113" s="76"/>
      <c r="R113" s="43"/>
      <c r="S113" s="31"/>
      <c r="T113" s="70" t="s">
        <v>311</v>
      </c>
      <c r="U113" s="47"/>
      <c r="W113" s="43"/>
      <c r="X113" s="31"/>
      <c r="Y113" s="36"/>
      <c r="AA113" s="43"/>
      <c r="AB113" s="43"/>
      <c r="AC113" s="31" t="s">
        <v>312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" x14ac:dyDescent="0.3">
      <c r="A114" s="31" t="s">
        <v>298</v>
      </c>
      <c r="B114" s="31" t="s">
        <v>319</v>
      </c>
      <c r="C114" s="31" t="s">
        <v>206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290</v>
      </c>
      <c r="J114" s="55"/>
      <c r="L114" s="43"/>
      <c r="M114" s="31"/>
      <c r="N114" s="31"/>
      <c r="O114" s="36" t="s">
        <v>320</v>
      </c>
      <c r="P114" s="76"/>
      <c r="R114" s="43"/>
      <c r="S114" s="31"/>
      <c r="T114" s="70" t="s">
        <v>311</v>
      </c>
      <c r="U114" s="47"/>
      <c r="W114" s="43"/>
      <c r="X114" s="31"/>
      <c r="Y114" s="36"/>
      <c r="AA114" s="43"/>
      <c r="AB114" s="43"/>
      <c r="AC114" s="31" t="s">
        <v>316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" x14ac:dyDescent="0.3">
      <c r="A115" s="31" t="s">
        <v>298</v>
      </c>
      <c r="B115" s="31" t="s">
        <v>321</v>
      </c>
      <c r="C115" s="31" t="s">
        <v>206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290</v>
      </c>
      <c r="J115" s="55"/>
      <c r="L115" s="43"/>
      <c r="M115" s="31"/>
      <c r="N115" s="31"/>
      <c r="O115" s="36" t="s">
        <v>320</v>
      </c>
      <c r="P115" s="76"/>
      <c r="R115" s="43"/>
      <c r="S115" s="31"/>
      <c r="T115" s="70" t="s">
        <v>311</v>
      </c>
      <c r="U115" s="47"/>
      <c r="W115" s="43"/>
      <c r="X115" s="31"/>
      <c r="Y115" s="36"/>
      <c r="AA115" s="43"/>
      <c r="AB115" s="43"/>
      <c r="AC115" s="31" t="s">
        <v>262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 ht="14.4" x14ac:dyDescent="0.3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 ht="14.4" x14ac:dyDescent="0.3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 ht="14.4" x14ac:dyDescent="0.3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 ht="14.4" x14ac:dyDescent="0.3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 ht="14.4" x14ac:dyDescent="0.3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 ht="14.4" x14ac:dyDescent="0.3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 ht="14.4" x14ac:dyDescent="0.3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 ht="14.4" x14ac:dyDescent="0.3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 ht="14.4" x14ac:dyDescent="0.3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 ht="14.4" x14ac:dyDescent="0.3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 ht="14.4" x14ac:dyDescent="0.3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 ht="14.4" x14ac:dyDescent="0.3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 ht="14.4" x14ac:dyDescent="0.3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 ht="14.4" x14ac:dyDescent="0.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 ht="14.4" x14ac:dyDescent="0.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 ht="14.4" x14ac:dyDescent="0.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 ht="14.4" x14ac:dyDescent="0.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 ht="14.4" x14ac:dyDescent="0.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 ht="14.4" x14ac:dyDescent="0.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 ht="14.4" x14ac:dyDescent="0.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 ht="14.4" x14ac:dyDescent="0.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 ht="14.4" x14ac:dyDescent="0.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 ht="14.4" x14ac:dyDescent="0.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 ht="14.4" x14ac:dyDescent="0.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 ht="14.4" x14ac:dyDescent="0.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 ht="14.4" x14ac:dyDescent="0.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 ht="14.4" x14ac:dyDescent="0.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 ht="14.4" x14ac:dyDescent="0.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 ht="14.4" x14ac:dyDescent="0.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 ht="14.4" x14ac:dyDescent="0.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 ht="14.4" x14ac:dyDescent="0.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 ht="14.4" x14ac:dyDescent="0.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 ht="14.4" x14ac:dyDescent="0.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 ht="14.4" x14ac:dyDescent="0.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 ht="14.4" x14ac:dyDescent="0.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 ht="14.4" x14ac:dyDescent="0.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 ht="14.4" x14ac:dyDescent="0.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 ht="14.4" x14ac:dyDescent="0.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 ht="14.4" x14ac:dyDescent="0.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 ht="14.4" x14ac:dyDescent="0.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 ht="14.4" x14ac:dyDescent="0.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 ht="14.4" x14ac:dyDescent="0.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 ht="14.4" x14ac:dyDescent="0.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 ht="14.4" x14ac:dyDescent="0.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 ht="14.4" x14ac:dyDescent="0.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 ht="14.4" x14ac:dyDescent="0.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 ht="14.4" x14ac:dyDescent="0.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 ht="14.4" x14ac:dyDescent="0.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 ht="14.4" x14ac:dyDescent="0.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 ht="14.4" x14ac:dyDescent="0.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 ht="14.4" x14ac:dyDescent="0.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 ht="14.4" x14ac:dyDescent="0.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 ht="14.4" x14ac:dyDescent="0.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 ht="14.4" x14ac:dyDescent="0.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 ht="14.4" x14ac:dyDescent="0.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 ht="14.4" x14ac:dyDescent="0.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 ht="14.4" x14ac:dyDescent="0.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 ht="14.4" x14ac:dyDescent="0.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 ht="14.4" x14ac:dyDescent="0.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 ht="14.4" x14ac:dyDescent="0.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 ht="14.4" x14ac:dyDescent="0.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 ht="14.4" x14ac:dyDescent="0.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 ht="14.4" x14ac:dyDescent="0.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 ht="14.4" x14ac:dyDescent="0.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 ht="14.4" x14ac:dyDescent="0.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 ht="14.4" x14ac:dyDescent="0.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 ht="14.4" x14ac:dyDescent="0.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 ht="14.4" x14ac:dyDescent="0.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 ht="14.4" x14ac:dyDescent="0.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 ht="14.4" x14ac:dyDescent="0.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 ht="14.4" x14ac:dyDescent="0.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 ht="14.4" x14ac:dyDescent="0.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 ht="14.4" x14ac:dyDescent="0.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 ht="14.4" x14ac:dyDescent="0.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 ht="14.4" x14ac:dyDescent="0.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 ht="14.4" x14ac:dyDescent="0.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 ht="14.4" x14ac:dyDescent="0.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 ht="14.4" x14ac:dyDescent="0.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 ht="14.4" x14ac:dyDescent="0.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 ht="14.4" x14ac:dyDescent="0.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 ht="14.4" x14ac:dyDescent="0.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 ht="14.4" x14ac:dyDescent="0.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 ht="14.4" x14ac:dyDescent="0.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 ht="14.4" x14ac:dyDescent="0.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 ht="14.4" x14ac:dyDescent="0.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 ht="14.4" x14ac:dyDescent="0.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 ht="14.4" x14ac:dyDescent="0.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 ht="14.4" x14ac:dyDescent="0.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 ht="14.4" x14ac:dyDescent="0.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 ht="14.4" x14ac:dyDescent="0.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 ht="14.4" x14ac:dyDescent="0.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 ht="14.4" x14ac:dyDescent="0.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 ht="14.4" x14ac:dyDescent="0.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 ht="14.4" x14ac:dyDescent="0.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 ht="14.4" x14ac:dyDescent="0.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 ht="14.4" x14ac:dyDescent="0.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 ht="14.4" x14ac:dyDescent="0.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 ht="14.4" x14ac:dyDescent="0.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 ht="14.4" x14ac:dyDescent="0.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 ht="14.4" x14ac:dyDescent="0.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 ht="14.4" x14ac:dyDescent="0.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 ht="14.4" x14ac:dyDescent="0.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 ht="14.4" x14ac:dyDescent="0.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 ht="14.4" x14ac:dyDescent="0.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 ht="14.4" x14ac:dyDescent="0.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 ht="14.4" x14ac:dyDescent="0.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 ht="14.4" x14ac:dyDescent="0.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 ht="14.4" x14ac:dyDescent="0.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 ht="14.4" x14ac:dyDescent="0.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 ht="14.4" x14ac:dyDescent="0.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 ht="14.4" x14ac:dyDescent="0.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 ht="14.4" x14ac:dyDescent="0.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 ht="14.4" x14ac:dyDescent="0.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 ht="14.4" x14ac:dyDescent="0.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 ht="14.4" x14ac:dyDescent="0.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 ht="14.4" x14ac:dyDescent="0.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 ht="14.4" x14ac:dyDescent="0.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 ht="14.4" x14ac:dyDescent="0.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 ht="14.4" x14ac:dyDescent="0.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 ht="14.4" x14ac:dyDescent="0.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 ht="14.4" x14ac:dyDescent="0.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 ht="14.4" x14ac:dyDescent="0.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 ht="14.4" x14ac:dyDescent="0.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 ht="14.4" x14ac:dyDescent="0.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 ht="14.4" x14ac:dyDescent="0.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 ht="14.4" x14ac:dyDescent="0.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 ht="14.4" x14ac:dyDescent="0.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 ht="14.4" x14ac:dyDescent="0.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 ht="14.4" x14ac:dyDescent="0.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 ht="14.4" x14ac:dyDescent="0.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 ht="14.4" x14ac:dyDescent="0.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 ht="14.4" x14ac:dyDescent="0.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 ht="14.4" x14ac:dyDescent="0.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 ht="14.4" x14ac:dyDescent="0.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 ht="14.4" x14ac:dyDescent="0.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 ht="14.4" x14ac:dyDescent="0.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 ht="14.4" x14ac:dyDescent="0.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 ht="14.4" x14ac:dyDescent="0.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 ht="14.4" x14ac:dyDescent="0.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 ht="14.4" x14ac:dyDescent="0.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 ht="14.4" x14ac:dyDescent="0.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 ht="14.4" x14ac:dyDescent="0.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 ht="14.4" x14ac:dyDescent="0.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 ht="14.4" x14ac:dyDescent="0.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 ht="14.4" x14ac:dyDescent="0.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 ht="14.4" x14ac:dyDescent="0.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 ht="14.4" x14ac:dyDescent="0.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 ht="14.4" x14ac:dyDescent="0.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 ht="14.4" x14ac:dyDescent="0.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 ht="14.4" x14ac:dyDescent="0.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 ht="14.4" x14ac:dyDescent="0.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 ht="14.4" x14ac:dyDescent="0.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 ht="14.4" x14ac:dyDescent="0.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 ht="14.4" x14ac:dyDescent="0.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 ht="14.4" x14ac:dyDescent="0.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 ht="14.4" x14ac:dyDescent="0.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 ht="14.4" x14ac:dyDescent="0.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 ht="14.4" x14ac:dyDescent="0.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 ht="14.4" x14ac:dyDescent="0.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 ht="14.4" x14ac:dyDescent="0.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 ht="14.4" x14ac:dyDescent="0.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 ht="14.4" x14ac:dyDescent="0.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 ht="14.4" x14ac:dyDescent="0.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 ht="14.4" x14ac:dyDescent="0.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 ht="14.4" x14ac:dyDescent="0.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 ht="14.4" x14ac:dyDescent="0.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 ht="14.4" x14ac:dyDescent="0.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 ht="14.4" x14ac:dyDescent="0.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 ht="14.4" x14ac:dyDescent="0.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 ht="14.4" x14ac:dyDescent="0.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 ht="14.4" x14ac:dyDescent="0.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 ht="14.4" x14ac:dyDescent="0.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 ht="14.4" x14ac:dyDescent="0.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 ht="14.4" x14ac:dyDescent="0.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 ht="14.4" x14ac:dyDescent="0.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 ht="14.4" x14ac:dyDescent="0.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 ht="14.4" x14ac:dyDescent="0.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 ht="14.4" x14ac:dyDescent="0.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 ht="14.4" x14ac:dyDescent="0.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 ht="14.4" x14ac:dyDescent="0.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 ht="14.4" x14ac:dyDescent="0.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 ht="14.4" x14ac:dyDescent="0.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 ht="14.4" x14ac:dyDescent="0.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 ht="14.4" x14ac:dyDescent="0.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 ht="14.4" x14ac:dyDescent="0.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 ht="14.4" x14ac:dyDescent="0.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 ht="14.4" x14ac:dyDescent="0.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 ht="14.4" x14ac:dyDescent="0.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 ht="14.4" x14ac:dyDescent="0.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 ht="14.4" x14ac:dyDescent="0.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 ht="14.4" x14ac:dyDescent="0.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 ht="14.4" x14ac:dyDescent="0.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 ht="14.4" x14ac:dyDescent="0.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 ht="14.4" x14ac:dyDescent="0.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 ht="14.4" x14ac:dyDescent="0.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 ht="14.4" x14ac:dyDescent="0.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 ht="14.4" x14ac:dyDescent="0.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 ht="14.4" x14ac:dyDescent="0.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 ht="14.4" x14ac:dyDescent="0.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 ht="14.4" x14ac:dyDescent="0.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 ht="14.4" x14ac:dyDescent="0.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 ht="14.4" x14ac:dyDescent="0.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 ht="14.4" x14ac:dyDescent="0.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 ht="14.4" x14ac:dyDescent="0.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 ht="14.4" x14ac:dyDescent="0.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 ht="14.4" x14ac:dyDescent="0.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 ht="14.4" x14ac:dyDescent="0.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 ht="14.4" x14ac:dyDescent="0.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 ht="14.4" x14ac:dyDescent="0.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 ht="14.4" x14ac:dyDescent="0.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 ht="14.4" x14ac:dyDescent="0.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 ht="14.4" x14ac:dyDescent="0.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 ht="14.4" x14ac:dyDescent="0.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 ht="14.4" x14ac:dyDescent="0.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 ht="14.4" x14ac:dyDescent="0.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 ht="14.4" x14ac:dyDescent="0.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 ht="14.4" x14ac:dyDescent="0.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 ht="14.4" x14ac:dyDescent="0.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 ht="14.4" x14ac:dyDescent="0.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 ht="14.4" x14ac:dyDescent="0.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 ht="14.4" x14ac:dyDescent="0.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 ht="14.4" x14ac:dyDescent="0.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 ht="14.4" x14ac:dyDescent="0.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 ht="14.4" x14ac:dyDescent="0.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 ht="14.4" x14ac:dyDescent="0.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 ht="14.4" x14ac:dyDescent="0.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 ht="14.4" x14ac:dyDescent="0.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 ht="14.4" x14ac:dyDescent="0.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 ht="14.4" x14ac:dyDescent="0.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 ht="14.4" x14ac:dyDescent="0.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 ht="14.4" x14ac:dyDescent="0.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 ht="14.4" x14ac:dyDescent="0.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 ht="14.4" x14ac:dyDescent="0.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 ht="14.4" x14ac:dyDescent="0.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 ht="14.4" x14ac:dyDescent="0.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 ht="14.4" x14ac:dyDescent="0.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 ht="14.4" x14ac:dyDescent="0.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 ht="14.4" x14ac:dyDescent="0.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 ht="14.4" x14ac:dyDescent="0.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 ht="14.4" x14ac:dyDescent="0.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 ht="14.4" x14ac:dyDescent="0.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 ht="14.4" x14ac:dyDescent="0.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 ht="14.4" x14ac:dyDescent="0.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 ht="14.4" x14ac:dyDescent="0.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 ht="14.4" x14ac:dyDescent="0.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 ht="14.4" x14ac:dyDescent="0.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 ht="14.4" x14ac:dyDescent="0.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 ht="14.4" x14ac:dyDescent="0.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 ht="14.4" x14ac:dyDescent="0.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 ht="14.4" x14ac:dyDescent="0.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 ht="14.4" x14ac:dyDescent="0.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 ht="14.4" x14ac:dyDescent="0.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 ht="14.4" x14ac:dyDescent="0.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 ht="14.4" x14ac:dyDescent="0.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 ht="14.4" x14ac:dyDescent="0.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 ht="14.4" x14ac:dyDescent="0.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 ht="14.4" x14ac:dyDescent="0.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 ht="14.4" x14ac:dyDescent="0.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 ht="14.4" x14ac:dyDescent="0.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 ht="14.4" x14ac:dyDescent="0.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 ht="14.4" x14ac:dyDescent="0.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 ht="14.4" x14ac:dyDescent="0.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 ht="14.4" x14ac:dyDescent="0.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 ht="14.4" x14ac:dyDescent="0.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 ht="14.4" x14ac:dyDescent="0.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 ht="14.4" x14ac:dyDescent="0.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 ht="14.4" x14ac:dyDescent="0.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 ht="14.4" x14ac:dyDescent="0.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 ht="14.4" x14ac:dyDescent="0.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 ht="14.4" x14ac:dyDescent="0.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 ht="14.4" x14ac:dyDescent="0.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 ht="14.4" x14ac:dyDescent="0.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 ht="14.4" x14ac:dyDescent="0.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 ht="14.4" x14ac:dyDescent="0.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 ht="14.4" x14ac:dyDescent="0.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 ht="14.4" x14ac:dyDescent="0.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 ht="14.4" x14ac:dyDescent="0.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 ht="14.4" x14ac:dyDescent="0.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 ht="14.4" x14ac:dyDescent="0.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 ht="14.4" x14ac:dyDescent="0.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 ht="14.4" x14ac:dyDescent="0.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 ht="14.4" x14ac:dyDescent="0.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 ht="14.4" x14ac:dyDescent="0.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 ht="14.4" x14ac:dyDescent="0.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 ht="14.4" x14ac:dyDescent="0.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 ht="14.4" x14ac:dyDescent="0.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 ht="14.4" x14ac:dyDescent="0.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 ht="14.4" x14ac:dyDescent="0.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 ht="14.4" x14ac:dyDescent="0.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 ht="14.4" x14ac:dyDescent="0.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 ht="14.4" x14ac:dyDescent="0.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 ht="14.4" x14ac:dyDescent="0.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 ht="14.4" x14ac:dyDescent="0.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 ht="14.4" x14ac:dyDescent="0.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 ht="14.4" x14ac:dyDescent="0.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 ht="14.4" x14ac:dyDescent="0.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 ht="14.4" x14ac:dyDescent="0.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 ht="14.4" x14ac:dyDescent="0.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 ht="14.4" x14ac:dyDescent="0.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 ht="14.4" x14ac:dyDescent="0.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 ht="14.4" x14ac:dyDescent="0.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 ht="14.4" x14ac:dyDescent="0.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 ht="14.4" x14ac:dyDescent="0.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 ht="14.4" x14ac:dyDescent="0.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 ht="14.4" x14ac:dyDescent="0.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 ht="14.4" x14ac:dyDescent="0.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 ht="14.4" x14ac:dyDescent="0.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 ht="14.4" x14ac:dyDescent="0.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 ht="14.4" x14ac:dyDescent="0.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 ht="14.4" x14ac:dyDescent="0.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 ht="14.4" x14ac:dyDescent="0.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 ht="14.4" x14ac:dyDescent="0.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 ht="14.4" x14ac:dyDescent="0.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 ht="14.4" x14ac:dyDescent="0.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 ht="14.4" x14ac:dyDescent="0.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 ht="14.4" x14ac:dyDescent="0.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 ht="14.4" x14ac:dyDescent="0.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 ht="14.4" x14ac:dyDescent="0.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 ht="14.4" x14ac:dyDescent="0.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 ht="14.4" x14ac:dyDescent="0.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 ht="14.4" x14ac:dyDescent="0.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 ht="14.4" x14ac:dyDescent="0.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 ht="14.4" x14ac:dyDescent="0.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 ht="14.4" x14ac:dyDescent="0.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 ht="14.4" x14ac:dyDescent="0.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 ht="14.4" x14ac:dyDescent="0.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 ht="14.4" x14ac:dyDescent="0.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 ht="14.4" x14ac:dyDescent="0.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 ht="14.4" x14ac:dyDescent="0.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 ht="14.4" x14ac:dyDescent="0.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 ht="14.4" x14ac:dyDescent="0.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 ht="14.4" x14ac:dyDescent="0.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 ht="14.4" x14ac:dyDescent="0.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 ht="14.4" x14ac:dyDescent="0.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 ht="14.4" x14ac:dyDescent="0.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 ht="14.4" x14ac:dyDescent="0.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 ht="14.4" x14ac:dyDescent="0.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 ht="14.4" x14ac:dyDescent="0.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 ht="14.4" x14ac:dyDescent="0.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 ht="14.4" x14ac:dyDescent="0.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 ht="14.4" x14ac:dyDescent="0.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 ht="14.4" x14ac:dyDescent="0.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 ht="14.4" x14ac:dyDescent="0.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 ht="14.4" x14ac:dyDescent="0.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 ht="14.4" x14ac:dyDescent="0.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 ht="14.4" x14ac:dyDescent="0.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 ht="14.4" x14ac:dyDescent="0.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 ht="14.4" x14ac:dyDescent="0.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 ht="14.4" x14ac:dyDescent="0.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 ht="14.4" x14ac:dyDescent="0.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 ht="14.4" x14ac:dyDescent="0.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 ht="14.4" x14ac:dyDescent="0.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 ht="14.4" x14ac:dyDescent="0.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 ht="14.4" x14ac:dyDescent="0.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 ht="14.4" x14ac:dyDescent="0.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 ht="14.4" x14ac:dyDescent="0.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 ht="14.4" x14ac:dyDescent="0.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 ht="14.4" x14ac:dyDescent="0.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 ht="14.4" x14ac:dyDescent="0.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 ht="14.4" x14ac:dyDescent="0.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 ht="14.4" x14ac:dyDescent="0.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 ht="14.4" x14ac:dyDescent="0.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 ht="14.4" x14ac:dyDescent="0.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 ht="14.4" x14ac:dyDescent="0.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 ht="14.4" x14ac:dyDescent="0.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 ht="14.4" x14ac:dyDescent="0.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 ht="14.4" x14ac:dyDescent="0.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 ht="14.4" x14ac:dyDescent="0.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 ht="14.4" x14ac:dyDescent="0.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 ht="14.4" x14ac:dyDescent="0.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 ht="14.4" x14ac:dyDescent="0.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 ht="14.4" x14ac:dyDescent="0.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 ht="14.4" x14ac:dyDescent="0.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 ht="14.4" x14ac:dyDescent="0.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 ht="14.4" x14ac:dyDescent="0.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 ht="14.4" x14ac:dyDescent="0.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 ht="14.4" x14ac:dyDescent="0.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 ht="14.4" x14ac:dyDescent="0.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 ht="14.4" x14ac:dyDescent="0.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 ht="14.4" x14ac:dyDescent="0.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 ht="14.4" x14ac:dyDescent="0.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 ht="14.4" x14ac:dyDescent="0.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 ht="14.4" x14ac:dyDescent="0.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 ht="14.4" x14ac:dyDescent="0.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4.4" x14ac:dyDescent="0.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 x14ac:dyDescent="0.3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 x14ac:dyDescent="0.3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 x14ac:dyDescent="0.3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 x14ac:dyDescent="0.3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 x14ac:dyDescent="0.3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 x14ac:dyDescent="0.3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 x14ac:dyDescent="0.3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 x14ac:dyDescent="0.3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 x14ac:dyDescent="0.3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 x14ac:dyDescent="0.3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 x14ac:dyDescent="0.3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 x14ac:dyDescent="0.3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 x14ac:dyDescent="0.3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 x14ac:dyDescent="0.3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 x14ac:dyDescent="0.3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 x14ac:dyDescent="0.3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 x14ac:dyDescent="0.3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 x14ac:dyDescent="0.3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 x14ac:dyDescent="0.3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 x14ac:dyDescent="0.3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 x14ac:dyDescent="0.3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 x14ac:dyDescent="0.3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 x14ac:dyDescent="0.3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 x14ac:dyDescent="0.3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 x14ac:dyDescent="0.3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 x14ac:dyDescent="0.3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 x14ac:dyDescent="0.3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7"/>
      <c r="R527" s="31"/>
      <c r="S527" s="31"/>
      <c r="T527" s="72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A101:AD527 T96:T101 A2:F115 G2:V40 N3:N44 L41:V42 G41:J42 W2:AK2 W3:Y3 AA3:AK3 W42:AJ42 W43:AK44 W73:AG73 W4:AK41 W48:AK72 G43:V64 G66:V73 T65:V65 G65:Q65 W45:AJ47 A74:AG100">
    <cfRule type="expression" dxfId="69" priority="37">
      <formula>AND($B2&lt;&gt;"",MOD(ROW(),2)=0)</formula>
    </cfRule>
  </conditionalFormatting>
  <conditionalFormatting sqref="D2:D527">
    <cfRule type="expression" dxfId="68" priority="21">
      <formula>ISNUMBER(SEARCH("Blocked",$D2))</formula>
    </cfRule>
    <cfRule type="expression" dxfId="67" priority="22">
      <formula>ISNUMBER(SEARCH("overdue",$D2))</formula>
    </cfRule>
    <cfRule type="expression" dxfId="66" priority="23">
      <formula>ISNUMBER(SEARCH("no target",$D2))</formula>
    </cfRule>
    <cfRule type="expression" dxfId="65" priority="24">
      <formula>ISNUMBER(SEARCH("Review",$D2))</formula>
    </cfRule>
    <cfRule type="expression" dxfId="64" priority="25">
      <formula>OR($D2="On track",$D2="Delivered")</formula>
    </cfRule>
  </conditionalFormatting>
  <conditionalFormatting sqref="J2:O192">
    <cfRule type="expression" dxfId="63" priority="4">
      <formula>$AI2="Yes – needs DB Dev to fix"</formula>
    </cfRule>
  </conditionalFormatting>
  <conditionalFormatting sqref="K41">
    <cfRule type="expression" dxfId="62" priority="287">
      <formula>AND($B41&lt;&gt;"",MOD(ROW(),2)=0)</formula>
    </cfRule>
    <cfRule type="expression" dxfId="61" priority="288">
      <formula>$AI41="Yes – needs DB Dev to fix"</formula>
    </cfRule>
  </conditionalFormatting>
  <conditionalFormatting sqref="K42">
    <cfRule type="expression" dxfId="60" priority="289">
      <formula>AND($B41&lt;&gt;"",MOD(ROW(),2)=0)</formula>
    </cfRule>
    <cfRule type="expression" dxfId="59" priority="290">
      <formula>$AI41="Yes – needs DB Dev to fix"</formula>
    </cfRule>
  </conditionalFormatting>
  <conditionalFormatting sqref="K73:L100">
    <cfRule type="expression" dxfId="58" priority="96">
      <formula>$AE73="Yes – needs DB Dev to fix"</formula>
    </cfRule>
  </conditionalFormatting>
  <conditionalFormatting sqref="K101:L527">
    <cfRule type="expression" dxfId="57" priority="30">
      <formula>$Z101="Yes – needs DB Dev to fix"</formula>
    </cfRule>
  </conditionalFormatting>
  <conditionalFormatting sqref="M73">
    <cfRule type="expression" dxfId="56" priority="3">
      <formula>$AE73="Yes – needs DB Dev to fix"</formula>
    </cfRule>
  </conditionalFormatting>
  <conditionalFormatting sqref="M73:P100">
    <cfRule type="expression" dxfId="55" priority="281">
      <formula>$AC73="Yes – needs PBI Dev to fix"</formula>
    </cfRule>
  </conditionalFormatting>
  <conditionalFormatting sqref="M101:P527">
    <cfRule type="expression" dxfId="54" priority="283">
      <formula>$Z101="Yes – needs PBI Dev to fix"</formula>
    </cfRule>
  </conditionalFormatting>
  <conditionalFormatting sqref="O101:O113">
    <cfRule type="expression" dxfId="53" priority="2">
      <formula>$AC101="Yes – needs PBI Dev to fix"</formula>
    </cfRule>
  </conditionalFormatting>
  <conditionalFormatting sqref="Q73:Q100">
    <cfRule type="expression" dxfId="52" priority="100">
      <formula>$AE73="Yes – needs PBI Dev to fix"</formula>
    </cfRule>
  </conditionalFormatting>
  <conditionalFormatting sqref="Q101:R527">
    <cfRule type="expression" dxfId="51" priority="32">
      <formula>$Z101="Yes – needs QA to fix"</formula>
    </cfRule>
  </conditionalFormatting>
  <conditionalFormatting sqref="J29 M29:P29 J32:J33 M32:P33 K40:K41 M40:P41 Q2:U64 Q66:U115 T65:U65 Q65">
    <cfRule type="expression" dxfId="50" priority="11">
      <formula>$AI2="Yes – needs PBI Dev to fix"</formula>
    </cfRule>
  </conditionalFormatting>
  <conditionalFormatting sqref="R73:U100 T96:T101">
    <cfRule type="expression" dxfId="49" priority="102">
      <formula>$AE73="Yes – needs QA to fix"</formula>
    </cfRule>
  </conditionalFormatting>
  <conditionalFormatting sqref="S101:U527">
    <cfRule type="expression" dxfId="48" priority="33">
      <formula>$Z101="Yes – needs DPO Approval to fix"</formula>
    </cfRule>
  </conditionalFormatting>
  <conditionalFormatting sqref="U10:V19">
    <cfRule type="expression" dxfId="47" priority="20">
      <formula>$AI10="Yes – needs PBI Dev to fix"</formula>
    </cfRule>
  </conditionalFormatting>
  <conditionalFormatting sqref="U101:V527">
    <cfRule type="expression" dxfId="46" priority="29">
      <formula>$V101="Yes"</formula>
    </cfRule>
  </conditionalFormatting>
  <conditionalFormatting sqref="U73:W100">
    <cfRule type="expression" dxfId="45" priority="104">
      <formula>$AE73="Yes – needs DPO Approval to fix"</formula>
    </cfRule>
  </conditionalFormatting>
  <conditionalFormatting sqref="U2:Y115">
    <cfRule type="expression" dxfId="44" priority="75">
      <formula>$AI2="Yes – needs QA to fix"</formula>
    </cfRule>
  </conditionalFormatting>
  <conditionalFormatting sqref="X73:Y100">
    <cfRule type="expression" dxfId="43" priority="106">
      <formula>$X73="Yes"</formula>
    </cfRule>
  </conditionalFormatting>
  <conditionalFormatting sqref="Z3">
    <cfRule type="expression" dxfId="42" priority="291">
      <formula>AND($B3&lt;&gt;"",MOD(ROW(),2)=0)</formula>
    </cfRule>
    <cfRule type="expression" dxfId="41" priority="292">
      <formula>$AI3="Yes – needs DPO Approval to fix"</formula>
    </cfRule>
  </conditionalFormatting>
  <conditionalFormatting sqref="Z101:Z527">
    <cfRule type="expression" dxfId="40" priority="26">
      <formula>LEFT($Z101,3)="Yes"</formula>
    </cfRule>
  </conditionalFormatting>
  <conditionalFormatting sqref="Z2:AD2 AA3:AD3 Z4:AD100">
    <cfRule type="expression" dxfId="39" priority="78">
      <formula>$AI2="Yes – needs DPO Approval to fix"</formula>
    </cfRule>
  </conditionalFormatting>
  <conditionalFormatting sqref="AA101:AB527">
    <cfRule type="expression" dxfId="38" priority="34">
      <formula>ISNUMBER(SEARCH("Open rework",$AA101))</formula>
    </cfRule>
    <cfRule type="expression" dxfId="37" priority="34">
      <formula>ISNUMBER(SEARCH("Move old",$AA101))</formula>
    </cfRule>
    <cfRule type="expression" dxfId="36" priority="34">
      <formula>ISNUMBER(SEARCH("log it",$AA101))</formula>
    </cfRule>
    <cfRule type="expression" dxfId="35" priority="35">
      <formula>ISNUMBER(SEARCH("Duplicate",$AA101))</formula>
    </cfRule>
    <cfRule type="expression" dxfId="34" priority="36">
      <formula>$AA101&lt;&gt;""</formula>
    </cfRule>
  </conditionalFormatting>
  <conditionalFormatting sqref="AE2:AE115">
    <cfRule type="expression" dxfId="33" priority="50">
      <formula>$AE2="Yes"</formula>
    </cfRule>
  </conditionalFormatting>
  <conditionalFormatting sqref="AE73:AE100">
    <cfRule type="expression" dxfId="32" priority="108">
      <formula>LEFT($AE73,3)="Yes"</formula>
    </cfRule>
  </conditionalFormatting>
  <conditionalFormatting sqref="AF73:AF100">
    <cfRule type="expression" dxfId="31" priority="114">
      <formula>ISNUMBER(SEARCH("Open rework",$AF73))</formula>
    </cfRule>
    <cfRule type="expression" dxfId="30" priority="115">
      <formula>ISNUMBER(SEARCH("Move old",$AF73))</formula>
    </cfRule>
    <cfRule type="expression" dxfId="29" priority="116">
      <formula>ISNUMBER(SEARCH("log it",$AF73))</formula>
    </cfRule>
    <cfRule type="expression" dxfId="28" priority="117">
      <formula>ISNUMBER(SEARCH("Duplicate",$AF73))</formula>
    </cfRule>
    <cfRule type="expression" dxfId="27" priority="118">
      <formula>$AF73&lt;&gt;""</formula>
    </cfRule>
  </conditionalFormatting>
  <conditionalFormatting sqref="AI2:AI115">
    <cfRule type="expression" dxfId="26" priority="52">
      <formula>LEFT($AI2,3)="Yes"</formula>
    </cfRule>
  </conditionalFormatting>
  <conditionalFormatting sqref="AJ2:AJ115">
    <cfRule type="expression" dxfId="25" priority="58">
      <formula>ISNUMBER(SEARCH("log it",$AJ2))</formula>
    </cfRule>
    <cfRule type="expression" dxfId="24" priority="59">
      <formula>ISNUMBER(SEARCH("Open rework",$AJ2))</formula>
    </cfRule>
    <cfRule type="expression" dxfId="23" priority="60">
      <formula>ISNUMBER(SEARCH("Move old",$AJ2))</formula>
    </cfRule>
    <cfRule type="expression" dxfId="22" priority="61">
      <formula>ISNUMBER(SEARCH("Duplicate",$AJ2))</formula>
    </cfRule>
    <cfRule type="expression" dxfId="21" priority="62">
      <formula>$AJ2&lt;&gt;""</formula>
    </cfRule>
  </conditionalFormatting>
  <conditionalFormatting sqref="AK45:AK46">
    <cfRule type="expression" dxfId="20" priority="1">
      <formula>AND($B49&lt;&gt;"",MOD(ROW(),2)=0)</formula>
    </cfRule>
  </conditionalFormatting>
  <conditionalFormatting sqref="AK47">
    <cfRule type="expression" dxfId="19" priority="294">
      <formula>AND($B51&lt;&gt;"",MOD(ROW(),2)=0)</formula>
    </cfRule>
  </conditionalFormatting>
  <conditionalFormatting sqref="R58">
    <cfRule type="expression" dxfId="18" priority="296">
      <formula>AND($B65&lt;&gt;"",MOD(ROW(),2)=0)</formula>
    </cfRule>
  </conditionalFormatting>
  <conditionalFormatting sqref="R58">
    <cfRule type="expression" dxfId="17" priority="298">
      <formula>$AI65="Yes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7 AF2:AF72 AA2:AA72 H2:H527 AB5:AB72 S2:S28 Q2:R64 Z2:Z100 W2:X72 U2:V100 AB2:AB3 S30:S64 Q65 Q66:S527 K2:M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U101:V527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Z101:Z527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322</v>
      </c>
    </row>
    <row r="2" spans="1:5" x14ac:dyDescent="0.3">
      <c r="A2" s="6" t="s">
        <v>323</v>
      </c>
    </row>
    <row r="4" spans="1:5" ht="21.9" customHeight="1" x14ac:dyDescent="0.3">
      <c r="A4" s="5" t="s">
        <v>324</v>
      </c>
      <c r="B4" s="83"/>
      <c r="C4" s="84"/>
      <c r="D4" s="84"/>
      <c r="E4" s="84"/>
    </row>
    <row r="6" spans="1:5" x14ac:dyDescent="0.3">
      <c r="A6" s="42" t="s">
        <v>0</v>
      </c>
      <c r="B6" s="88" t="str">
        <f>IF($B$4="","",IFERROR(INDEX('Combined Delivery Data'!$A:$A,MATCH($B$4,'Combined Delivery Data'!$B:$B,0)),""))</f>
        <v/>
      </c>
      <c r="C6" s="86"/>
      <c r="D6" s="86"/>
      <c r="E6" s="87"/>
    </row>
    <row r="7" spans="1:5" x14ac:dyDescent="0.3">
      <c r="A7" s="42" t="s">
        <v>325</v>
      </c>
      <c r="B7" s="88" t="str">
        <f>IF($B$4="","",IFERROR(INDEX('Combined Delivery Data'!$C:$C,MATCH($B$4,'Combined Delivery Data'!$B:$B,0)),""))</f>
        <v/>
      </c>
      <c r="C7" s="86"/>
      <c r="D7" s="86"/>
      <c r="E7" s="87"/>
    </row>
    <row r="8" spans="1:5" x14ac:dyDescent="0.3">
      <c r="A8" s="42" t="s">
        <v>3</v>
      </c>
      <c r="B8" s="88" t="str">
        <f>IF($B$4="","",IFERROR(INDEX('Combined Delivery Data'!$D:$D,MATCH($B$4,'Combined Delivery Data'!$B:$B,0)),""))</f>
        <v/>
      </c>
      <c r="C8" s="86"/>
      <c r="D8" s="86"/>
      <c r="E8" s="87"/>
    </row>
    <row r="9" spans="1:5" x14ac:dyDescent="0.3">
      <c r="A9" s="42" t="s">
        <v>4</v>
      </c>
      <c r="B9" s="88" t="str">
        <f>IF($B$4="","",IFERROR(INDEX('Combined Delivery Data'!$E:$E,MATCH($B$4,'Combined Delivery Data'!$B:$B,0)),""))</f>
        <v/>
      </c>
      <c r="C9" s="86"/>
      <c r="D9" s="86"/>
      <c r="E9" s="87"/>
    </row>
    <row r="10" spans="1:5" x14ac:dyDescent="0.3">
      <c r="A10" s="42" t="s">
        <v>5</v>
      </c>
      <c r="B10" s="88" t="str">
        <f>IF($B$4="","",IFERROR(INDEX('Combined Delivery Data'!$F:$F,MATCH($B$4,'Combined Delivery Data'!$B:$B,0)),""))</f>
        <v/>
      </c>
      <c r="C10" s="86"/>
      <c r="D10" s="86"/>
      <c r="E10" s="87"/>
    </row>
    <row r="11" spans="1:5" x14ac:dyDescent="0.3">
      <c r="A11" s="42" t="s">
        <v>9</v>
      </c>
      <c r="B11" s="88" t="str">
        <f>IF($B$4="","",IFERROR(INDEX('Combined Delivery Data'!$J:$J,MATCH($B$4,'Combined Delivery Data'!$B:$B,0)),""))</f>
        <v/>
      </c>
      <c r="C11" s="86"/>
      <c r="D11" s="86"/>
      <c r="E11" s="87"/>
    </row>
    <row r="12" spans="1:5" x14ac:dyDescent="0.3">
      <c r="A12" s="42" t="s">
        <v>15</v>
      </c>
      <c r="B12" s="88" t="str">
        <f>IF($B$4="","",IFERROR(INDEX('Combined Delivery Data'!$P:$P,MATCH($B$4,'Combined Delivery Data'!$B:$B,0)),""))</f>
        <v/>
      </c>
      <c r="C12" s="86"/>
      <c r="D12" s="86"/>
      <c r="E12" s="87"/>
    </row>
    <row r="13" spans="1:5" x14ac:dyDescent="0.3">
      <c r="A13" s="42" t="s">
        <v>20</v>
      </c>
      <c r="B13" s="88" t="str">
        <f>IF($B$4="","",IFERROR(INDEX('Combined Delivery Data'!$U:$U,MATCH($B$4,'Combined Delivery Data'!$B:$B,0)),""))</f>
        <v/>
      </c>
      <c r="C13" s="86"/>
      <c r="D13" s="86"/>
      <c r="E13" s="87"/>
    </row>
    <row r="14" spans="1:5" x14ac:dyDescent="0.3">
      <c r="A14" s="42" t="s">
        <v>326</v>
      </c>
      <c r="B14" s="85" t="str">
        <f>IF($B$4="","",IFERROR(INDEX('Combined Delivery Data'!$K:$K,MATCH($B$4,'Combined Delivery Data'!$B:$B,0)),""))</f>
        <v/>
      </c>
      <c r="C14" s="86"/>
      <c r="D14" s="86"/>
      <c r="E14" s="87"/>
    </row>
    <row r="15" spans="1:5" x14ac:dyDescent="0.3">
      <c r="A15" s="42" t="s">
        <v>327</v>
      </c>
      <c r="B15" s="85" t="str">
        <f>IF($B$4="","",IFERROR(INDEX('Combined Delivery Data'!$L:$L,MATCH($B$4,'Combined Delivery Data'!$B:$B,0)),""))</f>
        <v/>
      </c>
      <c r="C15" s="86"/>
      <c r="D15" s="86"/>
      <c r="E15" s="87"/>
    </row>
    <row r="16" spans="1:5" x14ac:dyDescent="0.3">
      <c r="A16" s="42" t="s">
        <v>328</v>
      </c>
      <c r="B16" s="85" t="str">
        <f>IF($B$4="","",IFERROR(INDEX('Combined Delivery Data'!$M:$M,MATCH($B$4,'Combined Delivery Data'!$B:$B,0)),""))</f>
        <v/>
      </c>
      <c r="C16" s="86"/>
      <c r="D16" s="86"/>
      <c r="E16" s="87"/>
    </row>
    <row r="17" spans="1:5" x14ac:dyDescent="0.3">
      <c r="A17" s="42" t="s">
        <v>329</v>
      </c>
      <c r="B17" s="85" t="str">
        <f>IF($B$4="","",IFERROR(INDEX('Combined Delivery Data'!$O:$O,MATCH($B$4,'Combined Delivery Data'!$B:$B,0)),""))</f>
        <v/>
      </c>
      <c r="C17" s="86"/>
      <c r="D17" s="86"/>
      <c r="E17" s="87"/>
    </row>
    <row r="18" spans="1:5" x14ac:dyDescent="0.3">
      <c r="A18" s="42" t="s">
        <v>330</v>
      </c>
      <c r="B18" s="85" t="str">
        <f>IF($B$4="","",IFERROR(INDEX('Combined Delivery Data'!$Q:$Q,MATCH($B$4,'Combined Delivery Data'!$B:$B,0)),""))</f>
        <v/>
      </c>
      <c r="C18" s="86"/>
      <c r="D18" s="86"/>
      <c r="E18" s="87"/>
    </row>
    <row r="19" spans="1:5" x14ac:dyDescent="0.3">
      <c r="A19" s="42" t="s">
        <v>331</v>
      </c>
      <c r="B19" s="85" t="str">
        <f>IF($B$4="","",IFERROR(INDEX('Combined Delivery Data'!$R:$R,MATCH($B$4,'Combined Delivery Data'!$B:$B,0)),""))</f>
        <v/>
      </c>
      <c r="C19" s="86"/>
      <c r="D19" s="86"/>
      <c r="E19" s="87"/>
    </row>
    <row r="20" spans="1:5" x14ac:dyDescent="0.3">
      <c r="A20" s="42" t="s">
        <v>332</v>
      </c>
      <c r="B20" s="85" t="str">
        <f>IF($B$4="","",IFERROR(INDEX('Combined Delivery Data'!$S:$S,MATCH($B$4,'Combined Delivery Data'!$B:$B,0)),""))</f>
        <v/>
      </c>
      <c r="C20" s="86"/>
      <c r="D20" s="86"/>
      <c r="E20" s="87"/>
    </row>
    <row r="21" spans="1:5" x14ac:dyDescent="0.3">
      <c r="A21" s="42" t="s">
        <v>28</v>
      </c>
      <c r="B21" s="88" t="str">
        <f>IF($B$4="","",IFERROR(INDEX('Combined Delivery Data'!$T:$T,MATCH($B$4,'Combined Delivery Data'!$B:$B,0)),""))</f>
        <v/>
      </c>
      <c r="C21" s="86"/>
      <c r="D21" s="86"/>
      <c r="E21" s="87"/>
    </row>
    <row r="22" spans="1:5" x14ac:dyDescent="0.3">
      <c r="A22" s="42" t="s">
        <v>30</v>
      </c>
      <c r="B22" s="88" t="str">
        <f>IF($B$4="","",IFERROR(INDEX('Combined Delivery Data'!$V:$V,MATCH($B$4,'Combined Delivery Data'!$B:$B,0)),""))</f>
        <v/>
      </c>
      <c r="C22" s="86"/>
      <c r="D22" s="86"/>
      <c r="E22" s="87"/>
    </row>
    <row r="23" spans="1:5" x14ac:dyDescent="0.3">
      <c r="A23" s="42" t="s">
        <v>31</v>
      </c>
      <c r="B23" s="85" t="str">
        <f>IF($B$4="","",IFERROR(INDEX('Combined Delivery Data'!$W:$W,MATCH($B$4,'Combined Delivery Data'!$B:$B,0)),""))</f>
        <v/>
      </c>
      <c r="C23" s="86"/>
      <c r="D23" s="86"/>
      <c r="E23" s="87"/>
    </row>
    <row r="24" spans="1:5" x14ac:dyDescent="0.3">
      <c r="A24" s="42" t="s">
        <v>34</v>
      </c>
      <c r="B24" s="88" t="str">
        <f>IF($B$4="","",IFERROR(INDEX('Combined Delivery Data'!$Z:$Z,MATCH($B$4,'Combined Delivery Data'!$B:$B,0)),""))</f>
        <v/>
      </c>
      <c r="C24" s="86"/>
      <c r="D24" s="86"/>
      <c r="E24" s="87"/>
    </row>
    <row r="25" spans="1:5" x14ac:dyDescent="0.3">
      <c r="A25" s="42" t="s">
        <v>35</v>
      </c>
      <c r="B25" s="88" t="str">
        <f>IF($B$4="","",IFERROR(INDEX('Combined Delivery Data'!$AA:$AA,MATCH($B$4,'Combined Delivery Data'!$B:$B,0)),""))</f>
        <v/>
      </c>
      <c r="C25" s="86"/>
      <c r="D25" s="86"/>
      <c r="E25" s="87"/>
    </row>
    <row r="26" spans="1:5" x14ac:dyDescent="0.3">
      <c r="A26" s="42" t="s">
        <v>333</v>
      </c>
      <c r="B26" s="88" t="str">
        <f>IF($B$4="","",IFERROR(INDEX('Rework Log'!$Q:$Q,MATCH($B$4,'Rework Log'!$P:$P,0)),""))</f>
        <v/>
      </c>
      <c r="C26" s="86"/>
      <c r="D26" s="86"/>
      <c r="E26" s="87"/>
    </row>
    <row r="27" spans="1:5" x14ac:dyDescent="0.3">
      <c r="A27" s="42" t="s">
        <v>334</v>
      </c>
      <c r="B27" s="88" t="str">
        <f>IF($B$4="","",IFERROR(INDEX('Rework Log'!$R:$R,MATCH($B$4,'Rework Log'!$P:$P,0)),""))</f>
        <v/>
      </c>
      <c r="C27" s="86"/>
      <c r="D27" s="86"/>
      <c r="E27" s="87"/>
    </row>
    <row r="28" spans="1:5" x14ac:dyDescent="0.3">
      <c r="A28" s="42" t="s">
        <v>335</v>
      </c>
      <c r="B28" s="88" t="str">
        <f>IF($B$4="","",IFERROR(INDEX('Rework Log'!$S:$S,MATCH($B$4,'Rework Log'!$P:$P,0)),""))</f>
        <v/>
      </c>
      <c r="C28" s="86"/>
      <c r="D28" s="86"/>
      <c r="E28" s="87"/>
    </row>
    <row r="29" spans="1:5" x14ac:dyDescent="0.3">
      <c r="A29" s="42" t="s">
        <v>336</v>
      </c>
      <c r="B29" s="88" t="str">
        <f>IF($B$4="","",IFERROR(INDEX('Rework Log'!$T:$T,MATCH($B$4,'Rework Log'!$P:$P,0)),""))</f>
        <v/>
      </c>
      <c r="C29" s="86"/>
      <c r="D29" s="86"/>
      <c r="E29" s="87"/>
    </row>
    <row r="30" spans="1:5" ht="15.6" customHeight="1" x14ac:dyDescent="0.3">
      <c r="A30" s="42"/>
      <c r="B30" s="88"/>
      <c r="C30" s="86"/>
      <c r="D30" s="86"/>
      <c r="E30" s="87"/>
    </row>
    <row r="31" spans="1:5" ht="15.6" customHeight="1" x14ac:dyDescent="0.3">
      <c r="A31" s="5" t="s">
        <v>36</v>
      </c>
      <c r="B31" s="89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L26" sqref="L26"/>
    </sheetView>
  </sheetViews>
  <sheetFormatPr defaultRowHeight="14.4" x14ac:dyDescent="0.3"/>
  <cols>
    <col min="1" max="1" width="50.5546875" customWidth="1"/>
    <col min="2" max="2" width="14" customWidth="1"/>
    <col min="3" max="4" width="11" customWidth="1"/>
    <col min="5" max="5" width="13" customWidth="1"/>
    <col min="6" max="6" width="56" customWidth="1"/>
    <col min="7" max="7" width="9.6640625" customWidth="1"/>
    <col min="8" max="8" width="3.5546875" customWidth="1"/>
    <col min="9" max="9" width="17.6640625" customWidth="1"/>
    <col min="10" max="11" width="12" customWidth="1"/>
    <col min="12" max="12" width="51.109375" bestFit="1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90" t="s">
        <v>337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P1" s="91" t="s">
        <v>338</v>
      </c>
      <c r="Q1" s="91"/>
      <c r="R1" s="91"/>
      <c r="S1" s="91"/>
      <c r="T1" s="91"/>
    </row>
    <row r="2" spans="1:20" ht="30" customHeight="1" x14ac:dyDescent="0.3">
      <c r="A2" s="17" t="s">
        <v>1</v>
      </c>
      <c r="B2" s="17" t="s">
        <v>339</v>
      </c>
      <c r="C2" s="17" t="s">
        <v>340</v>
      </c>
      <c r="D2" s="17" t="s">
        <v>341</v>
      </c>
      <c r="E2" s="17" t="s">
        <v>342</v>
      </c>
      <c r="F2" s="17" t="s">
        <v>343</v>
      </c>
      <c r="G2" s="17" t="s">
        <v>344</v>
      </c>
      <c r="H2" s="30" t="s">
        <v>345</v>
      </c>
      <c r="I2" s="30" t="s">
        <v>346</v>
      </c>
      <c r="J2" s="30" t="s">
        <v>347</v>
      </c>
      <c r="K2" s="30" t="s">
        <v>348</v>
      </c>
      <c r="L2" s="30" t="s">
        <v>349</v>
      </c>
      <c r="M2" s="21" t="s">
        <v>350</v>
      </c>
      <c r="N2" s="21" t="s">
        <v>351</v>
      </c>
      <c r="P2" s="13" t="s">
        <v>1</v>
      </c>
      <c r="Q2" s="13" t="s">
        <v>333</v>
      </c>
      <c r="R2" s="13" t="s">
        <v>334</v>
      </c>
      <c r="S2" s="13" t="s">
        <v>335</v>
      </c>
      <c r="T2" s="13" t="s">
        <v>336</v>
      </c>
    </row>
    <row r="3" spans="1:20" x14ac:dyDescent="0.3">
      <c r="A3" s="33" t="s">
        <v>145</v>
      </c>
      <c r="B3" s="36">
        <v>46230</v>
      </c>
      <c r="C3" s="33" t="s">
        <v>149</v>
      </c>
      <c r="D3" s="33" t="s">
        <v>140</v>
      </c>
      <c r="E3" s="33" t="s">
        <v>146</v>
      </c>
      <c r="F3" s="33" t="s">
        <v>352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 x14ac:dyDescent="0.3">
      <c r="A4" s="31" t="s">
        <v>157</v>
      </c>
      <c r="B4" s="32">
        <v>46237</v>
      </c>
      <c r="C4" s="31" t="s">
        <v>149</v>
      </c>
      <c r="D4" s="31" t="s">
        <v>140</v>
      </c>
      <c r="E4" s="31" t="s">
        <v>146</v>
      </c>
      <c r="F4" s="31" t="s">
        <v>353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354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 x14ac:dyDescent="0.3">
      <c r="A5" s="55" t="s">
        <v>127</v>
      </c>
      <c r="B5" s="32">
        <v>46238</v>
      </c>
      <c r="C5" s="31" t="s">
        <v>149</v>
      </c>
      <c r="D5" s="31" t="s">
        <v>140</v>
      </c>
      <c r="E5" s="31" t="s">
        <v>129</v>
      </c>
      <c r="F5" s="31" t="s">
        <v>355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 x14ac:dyDescent="0.3">
      <c r="A6" s="55" t="s">
        <v>143</v>
      </c>
      <c r="B6" s="32">
        <v>46234</v>
      </c>
      <c r="C6" s="31" t="s">
        <v>149</v>
      </c>
      <c r="D6" s="31" t="s">
        <v>140</v>
      </c>
      <c r="E6" s="31" t="s">
        <v>129</v>
      </c>
      <c r="F6" s="31" t="s">
        <v>356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 x14ac:dyDescent="0.3">
      <c r="A7" s="55" t="s">
        <v>134</v>
      </c>
      <c r="B7" s="32">
        <v>46239</v>
      </c>
      <c r="C7" s="31" t="s">
        <v>149</v>
      </c>
      <c r="D7" s="31" t="s">
        <v>140</v>
      </c>
      <c r="E7" s="31" t="s">
        <v>129</v>
      </c>
      <c r="F7" s="31" t="s">
        <v>357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 x14ac:dyDescent="0.3">
      <c r="A8" s="55" t="s">
        <v>134</v>
      </c>
      <c r="B8" s="32">
        <v>46246</v>
      </c>
      <c r="C8" s="31" t="s">
        <v>149</v>
      </c>
      <c r="D8" s="31" t="s">
        <v>140</v>
      </c>
      <c r="E8" s="31" t="s">
        <v>129</v>
      </c>
      <c r="F8" s="31" t="s">
        <v>358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359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 x14ac:dyDescent="0.3">
      <c r="A9" s="31" t="s">
        <v>157</v>
      </c>
      <c r="B9" s="32">
        <v>46251</v>
      </c>
      <c r="C9" s="31" t="s">
        <v>149</v>
      </c>
      <c r="D9" s="31" t="s">
        <v>140</v>
      </c>
      <c r="E9" s="31" t="s">
        <v>146</v>
      </c>
      <c r="F9" s="31" t="s">
        <v>360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359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 x14ac:dyDescent="0.3">
      <c r="A10" s="31" t="s">
        <v>145</v>
      </c>
      <c r="B10" s="32">
        <v>46237</v>
      </c>
      <c r="C10" s="31" t="s">
        <v>149</v>
      </c>
      <c r="D10" s="31" t="s">
        <v>140</v>
      </c>
      <c r="E10" s="31" t="s">
        <v>146</v>
      </c>
      <c r="F10" s="31" t="s">
        <v>353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359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 x14ac:dyDescent="0.3">
      <c r="A11" s="55" t="s">
        <v>134</v>
      </c>
      <c r="B11" s="32">
        <v>46254</v>
      </c>
      <c r="C11" s="31" t="s">
        <v>149</v>
      </c>
      <c r="D11" s="31" t="s">
        <v>140</v>
      </c>
      <c r="E11" s="31" t="s">
        <v>129</v>
      </c>
      <c r="F11" s="31" t="s">
        <v>355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 x14ac:dyDescent="0.3">
      <c r="A12" s="55" t="s">
        <v>154</v>
      </c>
      <c r="B12" s="32">
        <v>46254</v>
      </c>
      <c r="C12" s="31" t="s">
        <v>149</v>
      </c>
      <c r="D12" s="31" t="s">
        <v>140</v>
      </c>
      <c r="E12" s="31" t="s">
        <v>146</v>
      </c>
      <c r="F12" s="31" t="s">
        <v>361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362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 x14ac:dyDescent="0.3">
      <c r="A13" s="55" t="s">
        <v>139</v>
      </c>
      <c r="B13" s="32">
        <v>46258</v>
      </c>
      <c r="C13" s="31" t="s">
        <v>149</v>
      </c>
      <c r="D13" s="31" t="s">
        <v>140</v>
      </c>
      <c r="E13" s="31" t="s">
        <v>129</v>
      </c>
      <c r="F13" s="31" t="s">
        <v>363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 x14ac:dyDescent="0.3">
      <c r="A14" s="31" t="s">
        <v>148</v>
      </c>
      <c r="B14" s="32">
        <v>46258</v>
      </c>
      <c r="C14" s="31" t="s">
        <v>149</v>
      </c>
      <c r="D14" s="31" t="s">
        <v>180</v>
      </c>
      <c r="E14" s="31" t="s">
        <v>146</v>
      </c>
      <c r="F14" s="31" t="s">
        <v>364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 x14ac:dyDescent="0.3">
      <c r="A15" s="31" t="s">
        <v>160</v>
      </c>
      <c r="B15" s="32">
        <v>46258</v>
      </c>
      <c r="C15" s="31" t="s">
        <v>149</v>
      </c>
      <c r="D15" s="31" t="s">
        <v>180</v>
      </c>
      <c r="E15" s="31" t="s">
        <v>146</v>
      </c>
      <c r="F15" s="31" t="s">
        <v>365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49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 x14ac:dyDescent="0.3">
      <c r="A16" s="31" t="s">
        <v>153</v>
      </c>
      <c r="B16" s="32">
        <v>46258</v>
      </c>
      <c r="C16" s="31" t="s">
        <v>149</v>
      </c>
      <c r="D16" s="31" t="s">
        <v>140</v>
      </c>
      <c r="E16" s="31" t="s">
        <v>146</v>
      </c>
      <c r="F16" s="31" t="s">
        <v>366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362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 x14ac:dyDescent="0.3">
      <c r="A17" s="31" t="s">
        <v>148</v>
      </c>
      <c r="B17" s="32">
        <v>46260</v>
      </c>
      <c r="C17" s="31" t="s">
        <v>149</v>
      </c>
      <c r="D17" s="31" t="s">
        <v>180</v>
      </c>
      <c r="E17" s="31" t="s">
        <v>146</v>
      </c>
      <c r="F17" s="31" t="s">
        <v>367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x14ac:dyDescent="0.3">
      <c r="A18" s="33" t="s">
        <v>186</v>
      </c>
      <c r="B18" s="32">
        <v>46261</v>
      </c>
      <c r="C18" s="31" t="s">
        <v>149</v>
      </c>
      <c r="D18" s="31" t="s">
        <v>140</v>
      </c>
      <c r="E18" s="31" t="s">
        <v>129</v>
      </c>
      <c r="F18" s="31" t="s">
        <v>368</v>
      </c>
      <c r="G18" s="31" t="s">
        <v>52</v>
      </c>
      <c r="H18" s="32"/>
      <c r="I18" s="32"/>
      <c r="J18" s="32">
        <v>46261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 x14ac:dyDescent="0.3">
      <c r="A19" s="31" t="s">
        <v>148</v>
      </c>
      <c r="B19" s="32">
        <v>46262</v>
      </c>
      <c r="C19" s="31" t="s">
        <v>149</v>
      </c>
      <c r="D19" s="31" t="s">
        <v>180</v>
      </c>
      <c r="E19" s="31" t="s">
        <v>146</v>
      </c>
      <c r="F19" s="31" t="s">
        <v>369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359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 x14ac:dyDescent="0.3">
      <c r="A20" s="31" t="s">
        <v>370</v>
      </c>
      <c r="B20" s="32">
        <v>46265</v>
      </c>
      <c r="C20" s="31" t="s">
        <v>149</v>
      </c>
      <c r="D20" s="31" t="s">
        <v>180</v>
      </c>
      <c r="E20" s="31" t="s">
        <v>46</v>
      </c>
      <c r="F20" s="31" t="s">
        <v>371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372</v>
      </c>
      <c r="M20" s="3" t="str">
        <f t="shared" ca="1" si="0"/>
        <v>Fixed</v>
      </c>
      <c r="N20" t="s">
        <v>362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 x14ac:dyDescent="0.3">
      <c r="A21" s="31" t="s">
        <v>179</v>
      </c>
      <c r="B21" s="32">
        <v>46265</v>
      </c>
      <c r="C21" s="31" t="s">
        <v>149</v>
      </c>
      <c r="D21" s="31" t="s">
        <v>140</v>
      </c>
      <c r="E21" s="31" t="s">
        <v>46</v>
      </c>
      <c r="F21" s="31" t="s">
        <v>373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 x14ac:dyDescent="0.3">
      <c r="A22" s="55" t="s">
        <v>139</v>
      </c>
      <c r="B22" s="32">
        <v>46265</v>
      </c>
      <c r="C22" s="31" t="s">
        <v>149</v>
      </c>
      <c r="D22" s="31" t="s">
        <v>140</v>
      </c>
      <c r="E22" s="31" t="s">
        <v>129</v>
      </c>
      <c r="F22" s="31" t="s">
        <v>374</v>
      </c>
      <c r="G22" s="31" t="s">
        <v>49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 x14ac:dyDescent="0.3">
      <c r="A23" s="31" t="s">
        <v>174</v>
      </c>
      <c r="B23" s="32">
        <v>46266</v>
      </c>
      <c r="C23" s="31" t="s">
        <v>149</v>
      </c>
      <c r="D23" s="31" t="s">
        <v>140</v>
      </c>
      <c r="E23" s="31" t="s">
        <v>46</v>
      </c>
      <c r="F23" s="31" t="s">
        <v>375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 x14ac:dyDescent="0.3">
      <c r="A24" s="31" t="s">
        <v>174</v>
      </c>
      <c r="B24" s="32">
        <v>46266</v>
      </c>
      <c r="C24" s="31" t="s">
        <v>149</v>
      </c>
      <c r="D24" s="31" t="s">
        <v>140</v>
      </c>
      <c r="E24" s="31" t="s">
        <v>46</v>
      </c>
      <c r="F24" s="31" t="s">
        <v>376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 x14ac:dyDescent="0.3">
      <c r="A25" s="31" t="s">
        <v>174</v>
      </c>
      <c r="B25" s="32">
        <v>46267</v>
      </c>
      <c r="C25" s="31" t="s">
        <v>149</v>
      </c>
      <c r="D25" s="31" t="s">
        <v>180</v>
      </c>
      <c r="E25" s="31" t="s">
        <v>46</v>
      </c>
      <c r="F25" s="79" t="s">
        <v>418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 x14ac:dyDescent="0.3">
      <c r="A26" s="55" t="s">
        <v>190</v>
      </c>
      <c r="B26" s="32">
        <v>46267</v>
      </c>
      <c r="C26" s="31" t="s">
        <v>149</v>
      </c>
      <c r="D26" s="31" t="s">
        <v>180</v>
      </c>
      <c r="E26" s="31" t="s">
        <v>129</v>
      </c>
      <c r="F26" s="31" t="s">
        <v>419</v>
      </c>
      <c r="G26" s="31" t="s">
        <v>52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49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 x14ac:dyDescent="0.3">
      <c r="A27" s="55" t="s">
        <v>186</v>
      </c>
      <c r="B27" s="32">
        <v>46267</v>
      </c>
      <c r="C27" s="31" t="s">
        <v>149</v>
      </c>
      <c r="D27" s="31" t="s">
        <v>140</v>
      </c>
      <c r="E27" s="31" t="s">
        <v>129</v>
      </c>
      <c r="F27" s="31" t="s">
        <v>368</v>
      </c>
      <c r="G27" s="31" t="s">
        <v>49</v>
      </c>
      <c r="H27" s="32"/>
      <c r="I27" s="32"/>
      <c r="J27" s="32"/>
      <c r="K27" s="31"/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UNCLAIMED 0 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 x14ac:dyDescent="0.3">
      <c r="A28" s="31" t="s">
        <v>160</v>
      </c>
      <c r="B28" s="32">
        <v>46267</v>
      </c>
      <c r="C28" s="31" t="s">
        <v>149</v>
      </c>
      <c r="D28" s="31" t="s">
        <v>180</v>
      </c>
      <c r="E28" s="31" t="s">
        <v>146</v>
      </c>
      <c r="F28" s="31" t="s">
        <v>420</v>
      </c>
      <c r="G28" s="31" t="s">
        <v>52</v>
      </c>
      <c r="H28" s="32"/>
      <c r="I28" s="32"/>
      <c r="J28" s="32"/>
      <c r="K28" s="31"/>
      <c r="L28" s="31"/>
      <c r="M28" s="3" t="str">
        <f t="shared" ca="1" si="0"/>
        <v>UNCLAIMED 0 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 x14ac:dyDescent="0.3">
      <c r="A29" s="31" t="s">
        <v>137</v>
      </c>
      <c r="B29" s="32">
        <v>46267</v>
      </c>
      <c r="C29" s="31" t="s">
        <v>149</v>
      </c>
      <c r="D29" s="31" t="s">
        <v>180</v>
      </c>
      <c r="E29" s="31" t="s">
        <v>129</v>
      </c>
      <c r="F29" s="31" t="s">
        <v>420</v>
      </c>
      <c r="G29" s="31" t="s">
        <v>52</v>
      </c>
      <c r="H29" s="32"/>
      <c r="I29" s="32"/>
      <c r="J29" s="32"/>
      <c r="K29" s="31"/>
      <c r="L29" s="31"/>
      <c r="M29" s="3" t="str">
        <f t="shared" ca="1" si="0"/>
        <v>UNCLAIMED 0 d</v>
      </c>
      <c r="N29" t="s">
        <v>49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 x14ac:dyDescent="0.3">
      <c r="A30" s="31" t="s">
        <v>161</v>
      </c>
      <c r="B30" s="32">
        <v>46267</v>
      </c>
      <c r="C30" s="31" t="s">
        <v>149</v>
      </c>
      <c r="D30" s="31" t="s">
        <v>180</v>
      </c>
      <c r="E30" s="31" t="s">
        <v>129</v>
      </c>
      <c r="F30" s="31" t="s">
        <v>420</v>
      </c>
      <c r="G30" s="31" t="s">
        <v>52</v>
      </c>
      <c r="H30" s="32"/>
      <c r="I30" s="32"/>
      <c r="J30" s="32"/>
      <c r="K30" s="31"/>
      <c r="L30" s="31"/>
      <c r="M30" s="3" t="str">
        <f t="shared" ca="1" si="0"/>
        <v>UNCLAIMED 0 d</v>
      </c>
      <c r="N30" t="s">
        <v>49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 x14ac:dyDescent="0.3">
      <c r="A31" s="31"/>
      <c r="B31" s="32"/>
      <c r="C31" s="31" t="s">
        <v>149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 x14ac:dyDescent="0.3">
      <c r="A32" s="31"/>
      <c r="B32" s="32"/>
      <c r="C32" s="31" t="s">
        <v>149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1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 x14ac:dyDescent="0.3">
      <c r="A33" s="31"/>
      <c r="B33" s="32"/>
      <c r="C33" s="31" t="s">
        <v>149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 x14ac:dyDescent="0.3">
      <c r="A34" s="31"/>
      <c r="B34" s="32"/>
      <c r="C34" s="31" t="s">
        <v>149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 x14ac:dyDescent="0.3">
      <c r="A35" s="31"/>
      <c r="B35" s="32"/>
      <c r="C35" s="31" t="s">
        <v>149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 x14ac:dyDescent="0.3">
      <c r="A36" s="31"/>
      <c r="B36" s="32"/>
      <c r="C36" s="31" t="s">
        <v>149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 x14ac:dyDescent="0.3">
      <c r="A37" s="31"/>
      <c r="B37" s="32"/>
      <c r="C37" s="31" t="s">
        <v>149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 x14ac:dyDescent="0.3">
      <c r="A38" s="31"/>
      <c r="B38" s="32"/>
      <c r="C38" s="31" t="s">
        <v>149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 x14ac:dyDescent="0.3">
      <c r="A39" s="31"/>
      <c r="B39" s="32"/>
      <c r="C39" s="31" t="s">
        <v>149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 x14ac:dyDescent="0.3">
      <c r="A40" s="31"/>
      <c r="B40" s="32"/>
      <c r="C40" s="31" t="s">
        <v>149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1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 x14ac:dyDescent="0.3">
      <c r="A41" s="31"/>
      <c r="B41" s="32"/>
      <c r="C41" s="31" t="s">
        <v>149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1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 x14ac:dyDescent="0.3">
      <c r="A42" s="31"/>
      <c r="B42" s="32"/>
      <c r="C42" s="31" t="s">
        <v>149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 x14ac:dyDescent="0.3">
      <c r="A43" s="31"/>
      <c r="B43" s="32"/>
      <c r="C43" s="31" t="s">
        <v>149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 x14ac:dyDescent="0.3">
      <c r="A44" s="31"/>
      <c r="B44" s="32"/>
      <c r="C44" s="31" t="s">
        <v>149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 x14ac:dyDescent="0.3">
      <c r="A45" s="31"/>
      <c r="B45" s="32"/>
      <c r="C45" s="31" t="s">
        <v>149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 x14ac:dyDescent="0.3">
      <c r="A46" s="31"/>
      <c r="B46" s="32"/>
      <c r="C46" s="31" t="s">
        <v>149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 x14ac:dyDescent="0.3">
      <c r="A47" s="31"/>
      <c r="B47" s="32"/>
      <c r="C47" s="31" t="s">
        <v>149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 x14ac:dyDescent="0.3">
      <c r="A48" s="31"/>
      <c r="B48" s="32"/>
      <c r="C48" s="31" t="s">
        <v>149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 x14ac:dyDescent="0.3">
      <c r="A49" s="31"/>
      <c r="B49" s="32"/>
      <c r="C49" s="31" t="s">
        <v>149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 x14ac:dyDescent="0.3">
      <c r="A50" s="31"/>
      <c r="B50" s="32"/>
      <c r="C50" s="31" t="s">
        <v>149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2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 x14ac:dyDescent="0.3">
      <c r="A51" s="31"/>
      <c r="B51" s="32"/>
      <c r="C51" s="31" t="s">
        <v>149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 x14ac:dyDescent="0.3">
      <c r="A52" s="31"/>
      <c r="B52" s="32"/>
      <c r="C52" s="31" t="s">
        <v>149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 x14ac:dyDescent="0.3">
      <c r="A53" s="31"/>
      <c r="B53" s="32"/>
      <c r="C53" s="31" t="s">
        <v>149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 x14ac:dyDescent="0.3">
      <c r="A54" s="31"/>
      <c r="B54" s="32"/>
      <c r="C54" s="31" t="s">
        <v>149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 x14ac:dyDescent="0.3">
      <c r="A55" s="31"/>
      <c r="B55" s="32"/>
      <c r="C55" s="31" t="s">
        <v>149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 x14ac:dyDescent="0.3">
      <c r="A56" s="31"/>
      <c r="B56" s="32"/>
      <c r="C56" s="31" t="s">
        <v>149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 x14ac:dyDescent="0.3">
      <c r="A57" s="31"/>
      <c r="B57" s="32"/>
      <c r="C57" s="31" t="s">
        <v>149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 x14ac:dyDescent="0.3">
      <c r="A58" s="31"/>
      <c r="B58" s="32"/>
      <c r="C58" s="31" t="s">
        <v>149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 x14ac:dyDescent="0.3">
      <c r="A59" s="31"/>
      <c r="B59" s="32"/>
      <c r="C59" s="31" t="s">
        <v>149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 x14ac:dyDescent="0.3">
      <c r="A60" s="31"/>
      <c r="B60" s="32"/>
      <c r="C60" s="31" t="s">
        <v>149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 x14ac:dyDescent="0.3">
      <c r="A61" s="31"/>
      <c r="B61" s="32"/>
      <c r="C61" s="31" t="s">
        <v>149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 x14ac:dyDescent="0.3">
      <c r="A62" s="31"/>
      <c r="B62" s="32"/>
      <c r="C62" s="31" t="s">
        <v>149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 x14ac:dyDescent="0.3">
      <c r="A63" s="31"/>
      <c r="B63" s="32"/>
      <c r="C63" s="31" t="s">
        <v>149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 x14ac:dyDescent="0.3">
      <c r="A64" s="31"/>
      <c r="B64" s="32"/>
      <c r="C64" s="31" t="s">
        <v>149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 x14ac:dyDescent="0.3">
      <c r="A65" s="31"/>
      <c r="B65" s="32"/>
      <c r="C65" s="31" t="s">
        <v>149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 x14ac:dyDescent="0.3">
      <c r="A66" s="31"/>
      <c r="B66" s="32"/>
      <c r="C66" s="31" t="s">
        <v>149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 x14ac:dyDescent="0.3">
      <c r="A67" s="31"/>
      <c r="B67" s="32"/>
      <c r="C67" s="31" t="s">
        <v>149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 x14ac:dyDescent="0.3">
      <c r="A68" s="31"/>
      <c r="B68" s="32"/>
      <c r="C68" s="31" t="s">
        <v>149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 x14ac:dyDescent="0.3">
      <c r="A69" s="31"/>
      <c r="B69" s="32"/>
      <c r="C69" s="31" t="s">
        <v>149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 x14ac:dyDescent="0.3">
      <c r="A70" s="31"/>
      <c r="B70" s="32"/>
      <c r="C70" s="31" t="s">
        <v>149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 x14ac:dyDescent="0.3">
      <c r="A71" s="31"/>
      <c r="B71" s="32"/>
      <c r="C71" s="31" t="s">
        <v>149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 x14ac:dyDescent="0.3">
      <c r="A72" s="31"/>
      <c r="B72" s="32"/>
      <c r="C72" s="31" t="s">
        <v>149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 x14ac:dyDescent="0.3">
      <c r="A73" s="31"/>
      <c r="B73" s="32"/>
      <c r="C73" s="31" t="s">
        <v>149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 x14ac:dyDescent="0.3">
      <c r="A74" s="31"/>
      <c r="B74" s="32"/>
      <c r="C74" s="31" t="s">
        <v>149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 x14ac:dyDescent="0.3">
      <c r="A75" s="31"/>
      <c r="B75" s="32"/>
      <c r="C75" s="31" t="s">
        <v>149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 x14ac:dyDescent="0.3">
      <c r="A76" s="31"/>
      <c r="B76" s="32"/>
      <c r="C76" s="31" t="s">
        <v>149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 x14ac:dyDescent="0.3">
      <c r="A77" s="31"/>
      <c r="B77" s="32"/>
      <c r="C77" s="31" t="s">
        <v>149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 x14ac:dyDescent="0.3">
      <c r="A78" s="31"/>
      <c r="B78" s="32"/>
      <c r="C78" s="31" t="s">
        <v>149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 x14ac:dyDescent="0.3">
      <c r="A79" s="31"/>
      <c r="B79" s="32"/>
      <c r="C79" s="31" t="s">
        <v>149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 x14ac:dyDescent="0.3">
      <c r="A80" s="31"/>
      <c r="B80" s="32"/>
      <c r="C80" s="31" t="s">
        <v>149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 x14ac:dyDescent="0.3">
      <c r="A81" s="31"/>
      <c r="B81" s="32"/>
      <c r="C81" s="31" t="s">
        <v>149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 x14ac:dyDescent="0.3">
      <c r="A82" s="31"/>
      <c r="B82" s="32"/>
      <c r="C82" s="31" t="s">
        <v>149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 x14ac:dyDescent="0.3">
      <c r="A83" s="31"/>
      <c r="B83" s="32"/>
      <c r="C83" s="31" t="s">
        <v>149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 x14ac:dyDescent="0.3">
      <c r="A84" s="31"/>
      <c r="B84" s="32"/>
      <c r="C84" s="31" t="s">
        <v>149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 x14ac:dyDescent="0.3">
      <c r="A85" s="31"/>
      <c r="B85" s="32"/>
      <c r="C85" s="31" t="s">
        <v>149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 x14ac:dyDescent="0.3">
      <c r="A86" s="31"/>
      <c r="B86" s="32"/>
      <c r="C86" s="31" t="s">
        <v>149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 x14ac:dyDescent="0.3">
      <c r="A87" s="31"/>
      <c r="B87" s="32"/>
      <c r="C87" s="31" t="s">
        <v>149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 x14ac:dyDescent="0.3">
      <c r="A88" s="31"/>
      <c r="B88" s="32"/>
      <c r="C88" s="31" t="s">
        <v>149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 x14ac:dyDescent="0.3">
      <c r="A89" s="31"/>
      <c r="B89" s="32"/>
      <c r="C89" s="31" t="s">
        <v>149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 x14ac:dyDescent="0.3">
      <c r="A90" s="31"/>
      <c r="B90" s="32"/>
      <c r="C90" s="31" t="s">
        <v>149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469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 x14ac:dyDescent="0.3">
      <c r="A91" s="31"/>
      <c r="B91" s="32"/>
      <c r="C91" s="31" t="s">
        <v>149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469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 x14ac:dyDescent="0.3">
      <c r="A92" s="31"/>
      <c r="B92" s="32"/>
      <c r="C92" s="31" t="s">
        <v>149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469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 x14ac:dyDescent="0.3">
      <c r="A93" s="31"/>
      <c r="B93" s="32"/>
      <c r="C93" s="31" t="s">
        <v>149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469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 x14ac:dyDescent="0.3">
      <c r="A94" s="31"/>
      <c r="B94" s="32"/>
      <c r="C94" s="31" t="s">
        <v>149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469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 x14ac:dyDescent="0.3">
      <c r="A95" s="31"/>
      <c r="B95" s="32"/>
      <c r="C95" s="31" t="s">
        <v>149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469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 x14ac:dyDescent="0.3">
      <c r="A96" s="31"/>
      <c r="B96" s="32"/>
      <c r="C96" s="31" t="s">
        <v>149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469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 x14ac:dyDescent="0.3">
      <c r="A97" s="31"/>
      <c r="B97" s="32"/>
      <c r="C97" s="31" t="s">
        <v>149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469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 x14ac:dyDescent="0.3">
      <c r="A98" s="31"/>
      <c r="B98" s="32"/>
      <c r="C98" s="31" t="s">
        <v>149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469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 x14ac:dyDescent="0.3">
      <c r="A99" s="31"/>
      <c r="B99" s="32"/>
      <c r="C99" s="31" t="s">
        <v>149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469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 x14ac:dyDescent="0.3">
      <c r="A100" s="31"/>
      <c r="B100" s="32"/>
      <c r="C100" s="31" t="s">
        <v>149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469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 x14ac:dyDescent="0.3">
      <c r="A101" s="31"/>
      <c r="B101" s="32"/>
      <c r="C101" s="31" t="s">
        <v>149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469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 x14ac:dyDescent="0.3">
      <c r="A102" s="31"/>
      <c r="B102" s="32"/>
      <c r="C102" s="31" t="s">
        <v>149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469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 x14ac:dyDescent="0.3">
      <c r="A103" s="31"/>
      <c r="B103" s="32"/>
      <c r="C103" s="31" t="s">
        <v>149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469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 x14ac:dyDescent="0.3">
      <c r="A104" s="31"/>
      <c r="B104" s="32"/>
      <c r="C104" s="31" t="s">
        <v>149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469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 x14ac:dyDescent="0.3">
      <c r="A105" s="31"/>
      <c r="B105" s="32"/>
      <c r="C105" s="31" t="s">
        <v>149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469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 x14ac:dyDescent="0.3">
      <c r="A106" s="31"/>
      <c r="B106" s="32"/>
      <c r="C106" s="31" t="s">
        <v>149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469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 x14ac:dyDescent="0.3">
      <c r="A107" s="31"/>
      <c r="B107" s="32"/>
      <c r="C107" s="31" t="s">
        <v>149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469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 x14ac:dyDescent="0.3">
      <c r="A108" s="31"/>
      <c r="B108" s="32"/>
      <c r="C108" s="31" t="s">
        <v>149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469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 x14ac:dyDescent="0.3">
      <c r="A109" s="31"/>
      <c r="B109" s="32"/>
      <c r="C109" s="31" t="s">
        <v>149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469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 x14ac:dyDescent="0.3">
      <c r="A110" s="31"/>
      <c r="B110" s="32"/>
      <c r="C110" s="31" t="s">
        <v>149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469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 x14ac:dyDescent="0.3">
      <c r="A111" s="31"/>
      <c r="B111" s="32"/>
      <c r="C111" s="31" t="s">
        <v>149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469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 x14ac:dyDescent="0.3">
      <c r="A112" s="31"/>
      <c r="B112" s="32"/>
      <c r="C112" s="31" t="s">
        <v>149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469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 x14ac:dyDescent="0.3">
      <c r="A113" s="31"/>
      <c r="B113" s="32"/>
      <c r="C113" s="31" t="s">
        <v>149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469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 x14ac:dyDescent="0.3">
      <c r="A114" s="31"/>
      <c r="B114" s="32"/>
      <c r="C114" s="31" t="s">
        <v>149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469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 x14ac:dyDescent="0.3">
      <c r="A115" s="31"/>
      <c r="B115" s="32"/>
      <c r="C115" s="31" t="s">
        <v>149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469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 x14ac:dyDescent="0.3">
      <c r="A116" s="31"/>
      <c r="B116" s="32"/>
      <c r="C116" s="31" t="s">
        <v>149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469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 x14ac:dyDescent="0.3">
      <c r="A117" s="31"/>
      <c r="B117" s="32"/>
      <c r="C117" s="31" t="s">
        <v>149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469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 x14ac:dyDescent="0.3">
      <c r="A118" s="31"/>
      <c r="B118" s="32"/>
      <c r="C118" s="31" t="s">
        <v>149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469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 x14ac:dyDescent="0.3">
      <c r="A119" s="31"/>
      <c r="B119" s="32"/>
      <c r="C119" s="31" t="s">
        <v>149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469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 x14ac:dyDescent="0.3">
      <c r="A120" s="31"/>
      <c r="B120" s="32"/>
      <c r="C120" s="31" t="s">
        <v>149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469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 x14ac:dyDescent="0.3">
      <c r="A121" s="31"/>
      <c r="B121" s="32"/>
      <c r="C121" s="31" t="s">
        <v>149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469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 x14ac:dyDescent="0.3">
      <c r="A122" s="31"/>
      <c r="B122" s="32"/>
      <c r="C122" s="31" t="s">
        <v>149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469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 x14ac:dyDescent="0.3">
      <c r="A123" s="31"/>
      <c r="B123" s="32"/>
      <c r="C123" s="31" t="s">
        <v>149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469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 x14ac:dyDescent="0.3">
      <c r="A124" s="31"/>
      <c r="B124" s="32"/>
      <c r="C124" s="31" t="s">
        <v>149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469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 x14ac:dyDescent="0.3">
      <c r="A125" s="31"/>
      <c r="B125" s="32"/>
      <c r="C125" s="31" t="s">
        <v>149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469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 x14ac:dyDescent="0.3">
      <c r="A126" s="31"/>
      <c r="B126" s="32"/>
      <c r="C126" s="31" t="s">
        <v>149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469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 x14ac:dyDescent="0.3">
      <c r="A127" s="31"/>
      <c r="B127" s="32"/>
      <c r="C127" s="31" t="s">
        <v>149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469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 x14ac:dyDescent="0.3">
      <c r="A128" s="31"/>
      <c r="B128" s="32"/>
      <c r="C128" s="31" t="s">
        <v>149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469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 x14ac:dyDescent="0.3">
      <c r="A129" s="31"/>
      <c r="B129" s="32"/>
      <c r="C129" s="31" t="s">
        <v>149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469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 x14ac:dyDescent="0.3">
      <c r="A130" s="31"/>
      <c r="B130" s="32"/>
      <c r="C130" s="31" t="s">
        <v>149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469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 x14ac:dyDescent="0.3">
      <c r="A131" s="31"/>
      <c r="B131" s="32"/>
      <c r="C131" s="31" t="s">
        <v>149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469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 x14ac:dyDescent="0.3">
      <c r="A132" s="31"/>
      <c r="B132" s="32"/>
      <c r="C132" s="31" t="s">
        <v>149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469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 x14ac:dyDescent="0.3">
      <c r="A133" s="31"/>
      <c r="B133" s="32"/>
      <c r="C133" s="31" t="s">
        <v>149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469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 x14ac:dyDescent="0.3">
      <c r="A134" s="31"/>
      <c r="B134" s="32"/>
      <c r="C134" s="31" t="s">
        <v>149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469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 x14ac:dyDescent="0.3">
      <c r="A135" s="31"/>
      <c r="B135" s="32"/>
      <c r="C135" s="31" t="s">
        <v>149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469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 x14ac:dyDescent="0.3">
      <c r="A136" s="31"/>
      <c r="B136" s="32"/>
      <c r="C136" s="31" t="s">
        <v>149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469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 x14ac:dyDescent="0.3">
      <c r="A137" s="31"/>
      <c r="B137" s="32"/>
      <c r="C137" s="31" t="s">
        <v>149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469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 x14ac:dyDescent="0.3">
      <c r="A138" s="31"/>
      <c r="B138" s="32"/>
      <c r="C138" s="31" t="s">
        <v>149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469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 x14ac:dyDescent="0.3">
      <c r="A139" s="31"/>
      <c r="B139" s="32"/>
      <c r="C139" s="31" t="s">
        <v>149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469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 x14ac:dyDescent="0.3">
      <c r="A140" s="31"/>
      <c r="B140" s="32"/>
      <c r="C140" s="31" t="s">
        <v>149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469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 x14ac:dyDescent="0.3">
      <c r="A141" s="31"/>
      <c r="B141" s="32"/>
      <c r="C141" s="31" t="s">
        <v>149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469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 x14ac:dyDescent="0.3">
      <c r="A142" s="31"/>
      <c r="B142" s="32"/>
      <c r="C142" s="31" t="s">
        <v>149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469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 x14ac:dyDescent="0.3">
      <c r="A143" s="31"/>
      <c r="B143" s="32"/>
      <c r="C143" s="31" t="s">
        <v>149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469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 x14ac:dyDescent="0.3">
      <c r="A144" s="31"/>
      <c r="B144" s="32"/>
      <c r="C144" s="31" t="s">
        <v>149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469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 x14ac:dyDescent="0.3">
      <c r="A145" s="31"/>
      <c r="B145" s="32"/>
      <c r="C145" s="31" t="s">
        <v>149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469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 x14ac:dyDescent="0.3">
      <c r="A146" s="31"/>
      <c r="B146" s="32"/>
      <c r="C146" s="31" t="s">
        <v>149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469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 x14ac:dyDescent="0.3">
      <c r="A147" s="31"/>
      <c r="B147" s="32"/>
      <c r="C147" s="31" t="s">
        <v>149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469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 x14ac:dyDescent="0.3">
      <c r="A148" s="31"/>
      <c r="B148" s="32"/>
      <c r="C148" s="31" t="s">
        <v>149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469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 x14ac:dyDescent="0.3">
      <c r="A149" s="31"/>
      <c r="B149" s="32"/>
      <c r="C149" s="31" t="s">
        <v>149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469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 x14ac:dyDescent="0.3">
      <c r="A150" s="31"/>
      <c r="B150" s="32"/>
      <c r="C150" s="31" t="s">
        <v>149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469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 x14ac:dyDescent="0.3">
      <c r="A151" s="31"/>
      <c r="B151" s="32"/>
      <c r="C151" s="31" t="s">
        <v>149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469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 x14ac:dyDescent="0.3">
      <c r="A152" s="31"/>
      <c r="B152" s="32"/>
      <c r="C152" s="31" t="s">
        <v>149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469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 x14ac:dyDescent="0.3">
      <c r="A153" s="31"/>
      <c r="B153" s="32"/>
      <c r="C153" s="31" t="s">
        <v>149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469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 x14ac:dyDescent="0.3">
      <c r="A154" s="31"/>
      <c r="B154" s="32"/>
      <c r="C154" s="31" t="s">
        <v>149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469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 x14ac:dyDescent="0.3">
      <c r="A155" s="31"/>
      <c r="B155" s="32"/>
      <c r="C155" s="31" t="s">
        <v>149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469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 x14ac:dyDescent="0.3">
      <c r="A156" s="31"/>
      <c r="B156" s="32"/>
      <c r="C156" s="31" t="s">
        <v>149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469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 x14ac:dyDescent="0.3">
      <c r="A157" s="31"/>
      <c r="B157" s="32"/>
      <c r="C157" s="31" t="s">
        <v>149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469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 x14ac:dyDescent="0.3">
      <c r="A158" s="31"/>
      <c r="B158" s="32"/>
      <c r="C158" s="31" t="s">
        <v>149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469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 x14ac:dyDescent="0.3">
      <c r="A159" s="31"/>
      <c r="B159" s="32"/>
      <c r="C159" s="31" t="s">
        <v>149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469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 x14ac:dyDescent="0.3">
      <c r="A160" s="31"/>
      <c r="B160" s="32"/>
      <c r="C160" s="31" t="s">
        <v>149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469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 x14ac:dyDescent="0.3">
      <c r="A161" s="31"/>
      <c r="B161" s="32"/>
      <c r="C161" s="31" t="s">
        <v>149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469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 x14ac:dyDescent="0.3">
      <c r="A162" s="31"/>
      <c r="B162" s="32"/>
      <c r="C162" s="31" t="s">
        <v>149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469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 x14ac:dyDescent="0.3">
      <c r="A163" s="31"/>
      <c r="B163" s="32"/>
      <c r="C163" s="31" t="s">
        <v>149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469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 x14ac:dyDescent="0.3">
      <c r="A164" s="31"/>
      <c r="B164" s="32"/>
      <c r="C164" s="31" t="s">
        <v>149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469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 x14ac:dyDescent="0.3">
      <c r="A165" s="31"/>
      <c r="B165" s="32"/>
      <c r="C165" s="31" t="s">
        <v>149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469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 x14ac:dyDescent="0.3">
      <c r="A166" s="31"/>
      <c r="B166" s="32"/>
      <c r="C166" s="31" t="s">
        <v>149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469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 x14ac:dyDescent="0.3">
      <c r="A167" s="31"/>
      <c r="B167" s="32"/>
      <c r="C167" s="31" t="s">
        <v>149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469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 x14ac:dyDescent="0.3">
      <c r="A168" s="31"/>
      <c r="B168" s="32"/>
      <c r="C168" s="31" t="s">
        <v>149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469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 x14ac:dyDescent="0.3">
      <c r="A169" s="31"/>
      <c r="B169" s="32"/>
      <c r="C169" s="31" t="s">
        <v>149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469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 x14ac:dyDescent="0.3">
      <c r="A170" s="31"/>
      <c r="B170" s="32"/>
      <c r="C170" s="31" t="s">
        <v>149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469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 x14ac:dyDescent="0.3">
      <c r="A171" s="31"/>
      <c r="B171" s="32"/>
      <c r="C171" s="31" t="s">
        <v>149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469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 x14ac:dyDescent="0.3">
      <c r="A172" s="31"/>
      <c r="B172" s="32"/>
      <c r="C172" s="31" t="s">
        <v>149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469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 x14ac:dyDescent="0.3">
      <c r="A173" s="31"/>
      <c r="B173" s="32"/>
      <c r="C173" s="31" t="s">
        <v>149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469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 x14ac:dyDescent="0.3">
      <c r="A174" s="31"/>
      <c r="B174" s="32"/>
      <c r="C174" s="31" t="s">
        <v>149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469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 x14ac:dyDescent="0.3">
      <c r="A175" s="31"/>
      <c r="B175" s="32"/>
      <c r="C175" s="31" t="s">
        <v>149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469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 x14ac:dyDescent="0.3">
      <c r="A176" s="31"/>
      <c r="B176" s="32"/>
      <c r="C176" s="31" t="s">
        <v>149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469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 x14ac:dyDescent="0.3">
      <c r="A177" s="31"/>
      <c r="B177" s="32"/>
      <c r="C177" s="31" t="s">
        <v>149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469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 x14ac:dyDescent="0.3">
      <c r="A178" s="31"/>
      <c r="B178" s="32"/>
      <c r="C178" s="31" t="s">
        <v>149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469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 x14ac:dyDescent="0.3">
      <c r="A179" s="31"/>
      <c r="B179" s="32"/>
      <c r="C179" s="31" t="s">
        <v>149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469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 x14ac:dyDescent="0.3">
      <c r="A180" s="31"/>
      <c r="B180" s="32"/>
      <c r="C180" s="31" t="s">
        <v>149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469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 x14ac:dyDescent="0.3">
      <c r="A181" s="31"/>
      <c r="B181" s="32"/>
      <c r="C181" s="31" t="s">
        <v>149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469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 x14ac:dyDescent="0.3">
      <c r="A182" s="31"/>
      <c r="B182" s="32"/>
      <c r="C182" s="31" t="s">
        <v>149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469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 x14ac:dyDescent="0.3">
      <c r="A183" s="31"/>
      <c r="B183" s="32"/>
      <c r="C183" s="31" t="s">
        <v>149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469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 x14ac:dyDescent="0.3">
      <c r="A184" s="31"/>
      <c r="B184" s="32"/>
      <c r="C184" s="31" t="s">
        <v>149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469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 x14ac:dyDescent="0.3">
      <c r="A185" s="31"/>
      <c r="B185" s="32"/>
      <c r="C185" s="31" t="s">
        <v>149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469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 x14ac:dyDescent="0.3">
      <c r="A186" s="31"/>
      <c r="B186" s="32"/>
      <c r="C186" s="31" t="s">
        <v>149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469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 x14ac:dyDescent="0.3">
      <c r="A187" s="31"/>
      <c r="B187" s="32"/>
      <c r="C187" s="31" t="s">
        <v>149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469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 x14ac:dyDescent="0.3">
      <c r="A188" s="31"/>
      <c r="B188" s="32"/>
      <c r="C188" s="31" t="s">
        <v>149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469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 x14ac:dyDescent="0.3">
      <c r="A189" s="31"/>
      <c r="B189" s="32"/>
      <c r="C189" s="31" t="s">
        <v>149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469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 x14ac:dyDescent="0.3">
      <c r="A190" s="31"/>
      <c r="B190" s="32"/>
      <c r="C190" s="31" t="s">
        <v>149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469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 x14ac:dyDescent="0.3">
      <c r="A191" s="31"/>
      <c r="B191" s="32"/>
      <c r="C191" s="31" t="s">
        <v>149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469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 x14ac:dyDescent="0.3">
      <c r="A192" s="31"/>
      <c r="B192" s="32"/>
      <c r="C192" s="31" t="s">
        <v>149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469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 x14ac:dyDescent="0.3">
      <c r="A193" s="31"/>
      <c r="B193" s="32"/>
      <c r="C193" s="31" t="s">
        <v>149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469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 x14ac:dyDescent="0.3">
      <c r="A194" s="31"/>
      <c r="B194" s="32"/>
      <c r="C194" s="31" t="s">
        <v>149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469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 x14ac:dyDescent="0.3">
      <c r="A195" s="31"/>
      <c r="B195" s="32"/>
      <c r="C195" s="31" t="s">
        <v>149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469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 x14ac:dyDescent="0.3">
      <c r="A196" s="31"/>
      <c r="B196" s="32"/>
      <c r="C196" s="31" t="s">
        <v>149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469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 x14ac:dyDescent="0.3">
      <c r="A197" s="31"/>
      <c r="B197" s="32"/>
      <c r="C197" s="31" t="s">
        <v>149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469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 x14ac:dyDescent="0.3">
      <c r="A198" s="31"/>
      <c r="B198" s="32"/>
      <c r="C198" s="31" t="s">
        <v>149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469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 x14ac:dyDescent="0.3">
      <c r="A199" s="31"/>
      <c r="B199" s="32"/>
      <c r="C199" s="31" t="s">
        <v>149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469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 x14ac:dyDescent="0.3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469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 x14ac:dyDescent="0.3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469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 x14ac:dyDescent="0.3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469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 x14ac:dyDescent="0.3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469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 x14ac:dyDescent="0.3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469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 x14ac:dyDescent="0.3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469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 x14ac:dyDescent="0.3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469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 x14ac:dyDescent="0.3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469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 x14ac:dyDescent="0.3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469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 x14ac:dyDescent="0.3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469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 x14ac:dyDescent="0.3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469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 x14ac:dyDescent="0.3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469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 x14ac:dyDescent="0.3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469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 x14ac:dyDescent="0.3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469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 x14ac:dyDescent="0.3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469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 x14ac:dyDescent="0.3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469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 x14ac:dyDescent="0.3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469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 x14ac:dyDescent="0.3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469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 x14ac:dyDescent="0.3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469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 x14ac:dyDescent="0.3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469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 x14ac:dyDescent="0.3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469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 x14ac:dyDescent="0.3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469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 x14ac:dyDescent="0.3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469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 x14ac:dyDescent="0.3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469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 x14ac:dyDescent="0.3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469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 x14ac:dyDescent="0.3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469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 x14ac:dyDescent="0.3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469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 x14ac:dyDescent="0.3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469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 x14ac:dyDescent="0.3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469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 x14ac:dyDescent="0.3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469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 x14ac:dyDescent="0.3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469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 x14ac:dyDescent="0.3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469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 x14ac:dyDescent="0.3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469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 x14ac:dyDescent="0.3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469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 x14ac:dyDescent="0.3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469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 x14ac:dyDescent="0.3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469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 x14ac:dyDescent="0.3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469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 x14ac:dyDescent="0.3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469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 x14ac:dyDescent="0.3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469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 x14ac:dyDescent="0.3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469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 x14ac:dyDescent="0.3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469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 x14ac:dyDescent="0.3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469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 x14ac:dyDescent="0.3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469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 x14ac:dyDescent="0.3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469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 x14ac:dyDescent="0.3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469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 x14ac:dyDescent="0.3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469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 x14ac:dyDescent="0.3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469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 x14ac:dyDescent="0.3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469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 x14ac:dyDescent="0.3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469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 x14ac:dyDescent="0.3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469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 x14ac:dyDescent="0.3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469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 x14ac:dyDescent="0.3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469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 x14ac:dyDescent="0.3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469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 x14ac:dyDescent="0.3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469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 x14ac:dyDescent="0.3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469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 x14ac:dyDescent="0.3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469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 x14ac:dyDescent="0.3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469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 x14ac:dyDescent="0.3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469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 x14ac:dyDescent="0.3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469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 x14ac:dyDescent="0.3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469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 x14ac:dyDescent="0.3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469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 x14ac:dyDescent="0.3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469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 x14ac:dyDescent="0.3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469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 x14ac:dyDescent="0.3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469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 x14ac:dyDescent="0.3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469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 x14ac:dyDescent="0.3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469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 x14ac:dyDescent="0.3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469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 x14ac:dyDescent="0.3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469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 x14ac:dyDescent="0.3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469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 x14ac:dyDescent="0.3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469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 x14ac:dyDescent="0.3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469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 x14ac:dyDescent="0.3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469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 x14ac:dyDescent="0.3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469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 x14ac:dyDescent="0.3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469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 x14ac:dyDescent="0.3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469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 x14ac:dyDescent="0.3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469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 x14ac:dyDescent="0.3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469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 x14ac:dyDescent="0.3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469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 x14ac:dyDescent="0.3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469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 x14ac:dyDescent="0.3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469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 x14ac:dyDescent="0.3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469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 x14ac:dyDescent="0.3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469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 x14ac:dyDescent="0.3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469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 x14ac:dyDescent="0.3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469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 x14ac:dyDescent="0.3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469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 x14ac:dyDescent="0.3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469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 x14ac:dyDescent="0.3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469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 x14ac:dyDescent="0.3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469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 x14ac:dyDescent="0.3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469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 x14ac:dyDescent="0.3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469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 x14ac:dyDescent="0.3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469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 x14ac:dyDescent="0.3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469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 x14ac:dyDescent="0.3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469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 x14ac:dyDescent="0.3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469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 x14ac:dyDescent="0.3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469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 x14ac:dyDescent="0.3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469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 x14ac:dyDescent="0.3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469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 x14ac:dyDescent="0.3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469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 x14ac:dyDescent="0.3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469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 x14ac:dyDescent="0.3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469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 x14ac:dyDescent="0.3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469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 x14ac:dyDescent="0.3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469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 x14ac:dyDescent="0.3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469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 x14ac:dyDescent="0.3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469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 x14ac:dyDescent="0.3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469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 x14ac:dyDescent="0.3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469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 x14ac:dyDescent="0.3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469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 x14ac:dyDescent="0.3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469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 x14ac:dyDescent="0.3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469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 x14ac:dyDescent="0.3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469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 x14ac:dyDescent="0.3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469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 x14ac:dyDescent="0.3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469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 x14ac:dyDescent="0.3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469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 x14ac:dyDescent="0.3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469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 x14ac:dyDescent="0.3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469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 x14ac:dyDescent="0.3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469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 x14ac:dyDescent="0.3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469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 x14ac:dyDescent="0.3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469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 x14ac:dyDescent="0.3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469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 x14ac:dyDescent="0.3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469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 x14ac:dyDescent="0.3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469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 x14ac:dyDescent="0.3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469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 x14ac:dyDescent="0.3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469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 x14ac:dyDescent="0.3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469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 x14ac:dyDescent="0.3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469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 x14ac:dyDescent="0.3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469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 x14ac:dyDescent="0.3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469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 x14ac:dyDescent="0.3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469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 x14ac:dyDescent="0.3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469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 x14ac:dyDescent="0.3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469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 x14ac:dyDescent="0.3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469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 x14ac:dyDescent="0.3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469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 x14ac:dyDescent="0.3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469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 x14ac:dyDescent="0.3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469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 x14ac:dyDescent="0.3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469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 x14ac:dyDescent="0.3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469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 x14ac:dyDescent="0.3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469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 x14ac:dyDescent="0.3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469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 x14ac:dyDescent="0.3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469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 x14ac:dyDescent="0.3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469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 x14ac:dyDescent="0.3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469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 x14ac:dyDescent="0.3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469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 x14ac:dyDescent="0.3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469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 x14ac:dyDescent="0.3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469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 x14ac:dyDescent="0.3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469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 x14ac:dyDescent="0.3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469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 x14ac:dyDescent="0.3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469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 x14ac:dyDescent="0.3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469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 x14ac:dyDescent="0.3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469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 x14ac:dyDescent="0.3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469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 x14ac:dyDescent="0.3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469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 x14ac:dyDescent="0.3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469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 x14ac:dyDescent="0.3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469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 x14ac:dyDescent="0.3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469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 x14ac:dyDescent="0.3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469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 x14ac:dyDescent="0.3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469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 x14ac:dyDescent="0.3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469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 x14ac:dyDescent="0.3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469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 x14ac:dyDescent="0.3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469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 x14ac:dyDescent="0.3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469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 x14ac:dyDescent="0.3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469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 x14ac:dyDescent="0.3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469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 x14ac:dyDescent="0.3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469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 x14ac:dyDescent="0.3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469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 x14ac:dyDescent="0.3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469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 x14ac:dyDescent="0.3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469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 x14ac:dyDescent="0.3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469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 x14ac:dyDescent="0.3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469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 x14ac:dyDescent="0.3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469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 x14ac:dyDescent="0.3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469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 x14ac:dyDescent="0.3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469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 x14ac:dyDescent="0.3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469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 x14ac:dyDescent="0.3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469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 x14ac:dyDescent="0.3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469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 x14ac:dyDescent="0.3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469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 x14ac:dyDescent="0.3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469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 x14ac:dyDescent="0.3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469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 x14ac:dyDescent="0.3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469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 x14ac:dyDescent="0.3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469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 x14ac:dyDescent="0.3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469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 x14ac:dyDescent="0.3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469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 x14ac:dyDescent="0.3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469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 x14ac:dyDescent="0.3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469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 x14ac:dyDescent="0.3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469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 x14ac:dyDescent="0.3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469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 x14ac:dyDescent="0.3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469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 x14ac:dyDescent="0.3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469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 x14ac:dyDescent="0.3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469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 x14ac:dyDescent="0.3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469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 x14ac:dyDescent="0.3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469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 x14ac:dyDescent="0.3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469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 x14ac:dyDescent="0.3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469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 x14ac:dyDescent="0.3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469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 x14ac:dyDescent="0.3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469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 x14ac:dyDescent="0.3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469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 x14ac:dyDescent="0.3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469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 x14ac:dyDescent="0.3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469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 x14ac:dyDescent="0.3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469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 x14ac:dyDescent="0.3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469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 x14ac:dyDescent="0.3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469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 x14ac:dyDescent="0.3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469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 x14ac:dyDescent="0.3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469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 x14ac:dyDescent="0.3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469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 x14ac:dyDescent="0.3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469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 x14ac:dyDescent="0.3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469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 x14ac:dyDescent="0.3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469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 x14ac:dyDescent="0.3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469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 x14ac:dyDescent="0.3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469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 x14ac:dyDescent="0.3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469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 x14ac:dyDescent="0.3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469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 x14ac:dyDescent="0.3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469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 x14ac:dyDescent="0.3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469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 x14ac:dyDescent="0.3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469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 x14ac:dyDescent="0.3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469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 x14ac:dyDescent="0.3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469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 x14ac:dyDescent="0.3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469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 x14ac:dyDescent="0.3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469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 x14ac:dyDescent="0.3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469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 x14ac:dyDescent="0.3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469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 x14ac:dyDescent="0.3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469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 x14ac:dyDescent="0.3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469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 x14ac:dyDescent="0.3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469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 x14ac:dyDescent="0.3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469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 x14ac:dyDescent="0.3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469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 x14ac:dyDescent="0.3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469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 x14ac:dyDescent="0.3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469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 x14ac:dyDescent="0.3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469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 x14ac:dyDescent="0.3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469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 x14ac:dyDescent="0.3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469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 x14ac:dyDescent="0.3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469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 x14ac:dyDescent="0.3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469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 x14ac:dyDescent="0.3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469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 x14ac:dyDescent="0.3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469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 x14ac:dyDescent="0.3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469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 x14ac:dyDescent="0.3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469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 x14ac:dyDescent="0.3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469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 x14ac:dyDescent="0.3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469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 x14ac:dyDescent="0.3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469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 x14ac:dyDescent="0.3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469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 x14ac:dyDescent="0.3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469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 x14ac:dyDescent="0.3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469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 x14ac:dyDescent="0.3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469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 x14ac:dyDescent="0.3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469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 x14ac:dyDescent="0.3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469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 x14ac:dyDescent="0.3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469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 x14ac:dyDescent="0.3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469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 x14ac:dyDescent="0.3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469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 x14ac:dyDescent="0.3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469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 x14ac:dyDescent="0.3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469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 x14ac:dyDescent="0.3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469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 x14ac:dyDescent="0.3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469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 x14ac:dyDescent="0.3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469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 x14ac:dyDescent="0.3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469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 x14ac:dyDescent="0.3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469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 x14ac:dyDescent="0.3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469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 x14ac:dyDescent="0.3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469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 x14ac:dyDescent="0.3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469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 x14ac:dyDescent="0.3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469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 x14ac:dyDescent="0.3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469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 x14ac:dyDescent="0.3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469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 x14ac:dyDescent="0.3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469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 x14ac:dyDescent="0.3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469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 x14ac:dyDescent="0.3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469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 x14ac:dyDescent="0.3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469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 x14ac:dyDescent="0.3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469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 x14ac:dyDescent="0.3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469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 x14ac:dyDescent="0.3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469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 x14ac:dyDescent="0.3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469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 x14ac:dyDescent="0.3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469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 x14ac:dyDescent="0.3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469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 x14ac:dyDescent="0.3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469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 x14ac:dyDescent="0.3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469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 x14ac:dyDescent="0.3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469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 x14ac:dyDescent="0.3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469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 x14ac:dyDescent="0.3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469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 x14ac:dyDescent="0.3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469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 x14ac:dyDescent="0.3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469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 x14ac:dyDescent="0.3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469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 x14ac:dyDescent="0.3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469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 x14ac:dyDescent="0.3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469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 x14ac:dyDescent="0.3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469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 x14ac:dyDescent="0.3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469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 x14ac:dyDescent="0.3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469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 x14ac:dyDescent="0.3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469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 x14ac:dyDescent="0.3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469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 x14ac:dyDescent="0.3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469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 x14ac:dyDescent="0.3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469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 x14ac:dyDescent="0.3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469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 x14ac:dyDescent="0.3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469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 x14ac:dyDescent="0.3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469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 x14ac:dyDescent="0.3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469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 x14ac:dyDescent="0.3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469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 x14ac:dyDescent="0.3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469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 x14ac:dyDescent="0.3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469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 x14ac:dyDescent="0.3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469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 x14ac:dyDescent="0.3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469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 x14ac:dyDescent="0.3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469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 x14ac:dyDescent="0.3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469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 x14ac:dyDescent="0.3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469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 x14ac:dyDescent="0.3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469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9">
      <formula>AND($B5&lt;&gt;"",MOD(ROW(),2)=0)</formula>
    </cfRule>
  </conditionalFormatting>
  <conditionalFormatting sqref="A11:A13">
    <cfRule type="expression" dxfId="15" priority="6">
      <formula>AND($B11&lt;&gt;"",MOD(ROW(),2)=0)</formula>
    </cfRule>
  </conditionalFormatting>
  <conditionalFormatting sqref="A3:H3 K3:M3 A4:M4 M4:M11 B5:M8 A9:M10 B11:M13 A14:M17 A19:M21 B18:M18 B22:M22 A23:M25 B26:M27 A28:M499">
    <cfRule type="expression" dxfId="14" priority="19">
      <formula>AND($A3&lt;&gt;"",$G3="Yes")</formula>
    </cfRule>
    <cfRule type="expression" dxfId="13" priority="20">
      <formula>AND($A3&lt;&gt;"",$J3&lt;&gt;"")</formula>
    </cfRule>
    <cfRule type="expression" dxfId="12" priority="21">
      <formula>$A3&lt;&gt;""</formula>
    </cfRule>
  </conditionalFormatting>
  <conditionalFormatting sqref="C3:C199 G3:G199">
    <cfRule type="expression" dxfId="11" priority="22">
      <formula>$A3=""</formula>
    </cfRule>
  </conditionalFormatting>
  <conditionalFormatting sqref="K3:M3 A4:M4 M4:M11 B5:M8 A9:M10 B11:M13 A14:M17 A3:H3 A19:M21 B18:M18 B22:M22 A23:M25 B26:M27 A28:M499">
    <cfRule type="expression" dxfId="10" priority="18">
      <formula>AND($A3&lt;&gt;"",$G3="Did not pass re-test")</formula>
    </cfRule>
  </conditionalFormatting>
  <conditionalFormatting sqref="M3:M499">
    <cfRule type="expression" dxfId="9" priority="12">
      <formula>ISNUMBER(SEARCH("Sent back again",$M3))</formula>
    </cfRule>
    <cfRule type="expression" dxfId="8" priority="13">
      <formula>ISNUMBER(SEARCH("LATE",$M3))</formula>
    </cfRule>
    <cfRule type="expression" dxfId="7" priority="14">
      <formula>ISNUMBER(SEARCH("UNCLAIMED",$M3))</formula>
    </cfRule>
    <cfRule type="expression" dxfId="6" priority="15">
      <formula>ISNUMBER(SEARCH("Missing",$M3))</formula>
    </cfRule>
    <cfRule type="expression" dxfId="5" priority="16">
      <formula>ISNUMBER(SEARCH("Fixed in",$M3))</formula>
    </cfRule>
    <cfRule type="expression" dxfId="4" priority="17">
      <formula>ISNUMBER(SEARCH("Open",$M3))</formula>
    </cfRule>
  </conditionalFormatting>
  <conditionalFormatting sqref="A18">
    <cfRule type="expression" dxfId="3" priority="5">
      <formula>AND($B18&lt;&gt;"",MOD(ROW(),2)=0)</formula>
    </cfRule>
  </conditionalFormatting>
  <conditionalFormatting sqref="A22">
    <cfRule type="expression" dxfId="2" priority="3">
      <formula>AND($B22&lt;&gt;"",MOD(ROW(),2)=0)</formula>
    </cfRule>
  </conditionalFormatting>
  <conditionalFormatting sqref="A26">
    <cfRule type="expression" dxfId="1" priority="2">
      <formula>AND($B26&lt;&gt;"",MOD(ROW(),2)=0)</formula>
    </cfRule>
  </conditionalFormatting>
  <conditionalFormatting sqref="A27">
    <cfRule type="expression" dxfId="0" priority="1">
      <formula>AND($B27&lt;&gt;"",MOD(ROW(),2)=0)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92" t="s">
        <v>377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 x14ac:dyDescent="0.3">
      <c r="A2" s="8" t="s">
        <v>0</v>
      </c>
      <c r="B2" s="8" t="s">
        <v>378</v>
      </c>
      <c r="C2" s="8" t="s">
        <v>1</v>
      </c>
      <c r="D2" s="8" t="s">
        <v>379</v>
      </c>
      <c r="E2" s="8" t="s">
        <v>380</v>
      </c>
      <c r="F2" s="8" t="s">
        <v>6</v>
      </c>
      <c r="G2" s="8" t="s">
        <v>5</v>
      </c>
      <c r="H2" s="8" t="s">
        <v>381</v>
      </c>
      <c r="I2" s="8" t="s">
        <v>382</v>
      </c>
      <c r="J2" s="8" t="s">
        <v>383</v>
      </c>
    </row>
    <row r="3" spans="1:10" ht="14.25" customHeight="1" x14ac:dyDescent="0.3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39</v>
      </c>
      <c r="B4" s="9" t="s">
        <v>180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39</v>
      </c>
      <c r="B5" s="9" t="s">
        <v>149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 x14ac:dyDescent="0.3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39</v>
      </c>
      <c r="B9" s="9" t="s">
        <v>180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39</v>
      </c>
      <c r="B10" s="9" t="s">
        <v>149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 x14ac:dyDescent="0.3">
      <c r="A13" s="9" t="s">
        <v>39</v>
      </c>
      <c r="B13" s="9" t="s">
        <v>140</v>
      </c>
      <c r="C13" s="9" t="s">
        <v>384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39</v>
      </c>
      <c r="B14" s="9" t="s">
        <v>180</v>
      </c>
      <c r="C14" s="9" t="s">
        <v>384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39</v>
      </c>
      <c r="B15" s="9" t="s">
        <v>149</v>
      </c>
      <c r="C15" s="9" t="s">
        <v>384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39</v>
      </c>
      <c r="B16" s="9" t="s">
        <v>128</v>
      </c>
      <c r="C16" s="9" t="s">
        <v>384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39</v>
      </c>
      <c r="B17" s="9" t="s">
        <v>41</v>
      </c>
      <c r="C17" s="9" t="s">
        <v>384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 x14ac:dyDescent="0.3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39</v>
      </c>
      <c r="B19" s="9" t="s">
        <v>180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39</v>
      </c>
      <c r="B20" s="9" t="s">
        <v>149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 x14ac:dyDescent="0.3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39</v>
      </c>
      <c r="B24" s="9" t="s">
        <v>180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39</v>
      </c>
      <c r="B25" s="9" t="s">
        <v>149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 x14ac:dyDescent="0.3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39</v>
      </c>
      <c r="B29" s="9" t="s">
        <v>180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39</v>
      </c>
      <c r="B30" s="9" t="s">
        <v>149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 x14ac:dyDescent="0.3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39</v>
      </c>
      <c r="B34" s="9" t="s">
        <v>180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39</v>
      </c>
      <c r="B35" s="9" t="s">
        <v>149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 x14ac:dyDescent="0.3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39</v>
      </c>
      <c r="B39" s="9" t="s">
        <v>180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39</v>
      </c>
      <c r="B40" s="9" t="s">
        <v>149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 x14ac:dyDescent="0.3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39</v>
      </c>
      <c r="B44" s="9" t="s">
        <v>180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39</v>
      </c>
      <c r="B45" s="9" t="s">
        <v>149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 x14ac:dyDescent="0.3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 x14ac:dyDescent="0.3">
      <c r="A49" s="9" t="s">
        <v>39</v>
      </c>
      <c r="B49" s="9" t="s">
        <v>180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39</v>
      </c>
      <c r="B50" s="9" t="s">
        <v>149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 x14ac:dyDescent="0.3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 x14ac:dyDescent="0.3">
      <c r="A54" s="9" t="s">
        <v>39</v>
      </c>
      <c r="B54" s="9" t="s">
        <v>180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39</v>
      </c>
      <c r="B55" s="9" t="s">
        <v>149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 x14ac:dyDescent="0.3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 x14ac:dyDescent="0.3">
      <c r="A59" s="9" t="s">
        <v>39</v>
      </c>
      <c r="B59" s="9" t="s">
        <v>180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39</v>
      </c>
      <c r="B60" s="9" t="s">
        <v>149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 x14ac:dyDescent="0.3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 x14ac:dyDescent="0.3">
      <c r="A64" s="9" t="s">
        <v>39</v>
      </c>
      <c r="B64" s="9" t="s">
        <v>180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39</v>
      </c>
      <c r="B65" s="9" t="s">
        <v>149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 x14ac:dyDescent="0.3">
      <c r="A69" s="9" t="s">
        <v>39</v>
      </c>
      <c r="B69" s="9" t="s">
        <v>180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39</v>
      </c>
      <c r="B70" s="9" t="s">
        <v>149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 x14ac:dyDescent="0.3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 x14ac:dyDescent="0.3">
      <c r="A74" s="9" t="s">
        <v>39</v>
      </c>
      <c r="B74" s="9" t="s">
        <v>180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39</v>
      </c>
      <c r="B75" s="9" t="s">
        <v>149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 x14ac:dyDescent="0.3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 x14ac:dyDescent="0.3">
      <c r="A79" s="9" t="s">
        <v>39</v>
      </c>
      <c r="B79" s="9" t="s">
        <v>180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39</v>
      </c>
      <c r="B80" s="9" t="s">
        <v>149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 x14ac:dyDescent="0.3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 x14ac:dyDescent="0.3">
      <c r="A84" s="9" t="s">
        <v>39</v>
      </c>
      <c r="B84" s="9" t="s">
        <v>180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39</v>
      </c>
      <c r="B85" s="9" t="s">
        <v>149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 x14ac:dyDescent="0.3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 x14ac:dyDescent="0.3">
      <c r="A89" s="9" t="s">
        <v>39</v>
      </c>
      <c r="B89" s="9" t="s">
        <v>180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39</v>
      </c>
      <c r="B90" s="9" t="s">
        <v>149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39</v>
      </c>
      <c r="B94" s="9" t="s">
        <v>180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39</v>
      </c>
      <c r="B95" s="9" t="s">
        <v>149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39</v>
      </c>
      <c r="B99" s="9" t="s">
        <v>180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39</v>
      </c>
      <c r="B100" s="9" t="s">
        <v>149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39</v>
      </c>
      <c r="B104" s="9" t="s">
        <v>180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39</v>
      </c>
      <c r="B105" s="9" t="s">
        <v>149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39</v>
      </c>
      <c r="B109" s="9" t="s">
        <v>180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39</v>
      </c>
      <c r="B110" s="9" t="s">
        <v>149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39</v>
      </c>
      <c r="B114" s="9" t="s">
        <v>180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39</v>
      </c>
      <c r="B115" s="9" t="s">
        <v>149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39</v>
      </c>
      <c r="B119" s="9" t="s">
        <v>180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39</v>
      </c>
      <c r="B120" s="9" t="s">
        <v>149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39</v>
      </c>
      <c r="B122" s="9" t="s">
        <v>180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39</v>
      </c>
      <c r="B123" s="9" t="s">
        <v>149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39</v>
      </c>
      <c r="B127" s="9" t="s">
        <v>180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39</v>
      </c>
      <c r="B128" s="9" t="s">
        <v>149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39</v>
      </c>
      <c r="B132" s="9" t="s">
        <v>180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39</v>
      </c>
      <c r="B133" s="9" t="s">
        <v>149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39</v>
      </c>
      <c r="B137" s="9" t="s">
        <v>180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39</v>
      </c>
      <c r="B138" s="9" t="s">
        <v>149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 x14ac:dyDescent="0.3">
      <c r="A142" s="9" t="s">
        <v>126</v>
      </c>
      <c r="B142" s="9" t="s">
        <v>180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126</v>
      </c>
      <c r="B143" s="9" t="s">
        <v>149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 x14ac:dyDescent="0.3">
      <c r="A145" s="9" t="s">
        <v>126</v>
      </c>
      <c r="B145" s="9" t="s">
        <v>180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126</v>
      </c>
      <c r="B146" s="9" t="s">
        <v>149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 x14ac:dyDescent="0.3">
      <c r="A148" s="9" t="s">
        <v>126</v>
      </c>
      <c r="B148" s="9" t="s">
        <v>180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126</v>
      </c>
      <c r="B149" s="9" t="s">
        <v>149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 x14ac:dyDescent="0.3">
      <c r="A151" s="9" t="s">
        <v>126</v>
      </c>
      <c r="B151" s="9" t="s">
        <v>180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126</v>
      </c>
      <c r="B152" s="9" t="s">
        <v>149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126</v>
      </c>
      <c r="B153" s="9" t="s">
        <v>140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 x14ac:dyDescent="0.3">
      <c r="A154" s="9" t="s">
        <v>126</v>
      </c>
      <c r="B154" s="9" t="s">
        <v>180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126</v>
      </c>
      <c r="B155" s="9" t="s">
        <v>149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126</v>
      </c>
      <c r="B156" s="9" t="s">
        <v>140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 x14ac:dyDescent="0.3">
      <c r="A157" s="3" t="s">
        <v>126</v>
      </c>
      <c r="B157" s="3" t="s">
        <v>140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 x14ac:dyDescent="0.3">
      <c r="A158" s="3" t="s">
        <v>126</v>
      </c>
      <c r="B158" s="3" t="s">
        <v>140</v>
      </c>
      <c r="C158" s="3" t="s">
        <v>153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 x14ac:dyDescent="0.3">
      <c r="A159" s="3" t="s">
        <v>126</v>
      </c>
      <c r="B159" s="3" t="s">
        <v>180</v>
      </c>
      <c r="C159" s="3" t="s">
        <v>153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 x14ac:dyDescent="0.3">
      <c r="A160" s="3" t="s">
        <v>126</v>
      </c>
      <c r="B160" s="3" t="s">
        <v>149</v>
      </c>
      <c r="C160" s="3" t="s">
        <v>153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126</v>
      </c>
      <c r="B161" s="3" t="s">
        <v>140</v>
      </c>
      <c r="C161" s="3" t="s">
        <v>154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 x14ac:dyDescent="0.3">
      <c r="A162" s="3" t="s">
        <v>126</v>
      </c>
      <c r="B162" s="3" t="s">
        <v>180</v>
      </c>
      <c r="C162" s="3" t="s">
        <v>154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 x14ac:dyDescent="0.3">
      <c r="A163" s="3" t="s">
        <v>126</v>
      </c>
      <c r="B163" s="3" t="s">
        <v>149</v>
      </c>
      <c r="C163" s="3" t="s">
        <v>154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126</v>
      </c>
      <c r="B164" s="3" t="s">
        <v>140</v>
      </c>
      <c r="C164" s="3" t="s">
        <v>157</v>
      </c>
      <c r="D164" s="3" t="s">
        <v>159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 x14ac:dyDescent="0.3">
      <c r="A165" s="3" t="s">
        <v>126</v>
      </c>
      <c r="B165" s="3" t="s">
        <v>180</v>
      </c>
      <c r="C165" s="3" t="s">
        <v>157</v>
      </c>
      <c r="D165" s="3" t="s">
        <v>159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 x14ac:dyDescent="0.3">
      <c r="A166" s="3" t="s">
        <v>126</v>
      </c>
      <c r="B166" s="3" t="s">
        <v>149</v>
      </c>
      <c r="C166" s="3" t="s">
        <v>157</v>
      </c>
      <c r="D166" s="3" t="s">
        <v>159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126</v>
      </c>
      <c r="B167" s="3" t="s">
        <v>140</v>
      </c>
      <c r="C167" s="3" t="s">
        <v>160</v>
      </c>
      <c r="D167" s="3" t="s">
        <v>159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 x14ac:dyDescent="0.3">
      <c r="A168" s="3" t="s">
        <v>126</v>
      </c>
      <c r="B168" s="3" t="s">
        <v>180</v>
      </c>
      <c r="C168" s="3" t="s">
        <v>160</v>
      </c>
      <c r="D168" s="3" t="s">
        <v>159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 x14ac:dyDescent="0.3">
      <c r="A169" s="3" t="s">
        <v>126</v>
      </c>
      <c r="B169" s="3" t="s">
        <v>149</v>
      </c>
      <c r="C169" s="3" t="s">
        <v>160</v>
      </c>
      <c r="D169" s="3" t="s">
        <v>159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126</v>
      </c>
      <c r="B170" s="3" t="s">
        <v>140</v>
      </c>
      <c r="C170" s="3" t="s">
        <v>161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 x14ac:dyDescent="0.3">
      <c r="A171" s="3" t="s">
        <v>126</v>
      </c>
      <c r="B171" s="3" t="s">
        <v>180</v>
      </c>
      <c r="C171" s="3" t="s">
        <v>161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 x14ac:dyDescent="0.3">
      <c r="A172" s="3" t="s">
        <v>126</v>
      </c>
      <c r="B172" s="3" t="s">
        <v>149</v>
      </c>
      <c r="C172" s="3" t="s">
        <v>161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126</v>
      </c>
      <c r="B173" s="3" t="s">
        <v>140</v>
      </c>
      <c r="C173" s="3" t="s">
        <v>163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 x14ac:dyDescent="0.3">
      <c r="A174" s="3" t="s">
        <v>126</v>
      </c>
      <c r="B174" s="3" t="s">
        <v>180</v>
      </c>
      <c r="C174" s="3" t="s">
        <v>163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 x14ac:dyDescent="0.3">
      <c r="A175" s="3" t="s">
        <v>126</v>
      </c>
      <c r="B175" s="3" t="s">
        <v>149</v>
      </c>
      <c r="C175" s="3" t="s">
        <v>163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126</v>
      </c>
      <c r="B176" s="3" t="s">
        <v>140</v>
      </c>
      <c r="C176" s="3" t="s">
        <v>165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 x14ac:dyDescent="0.3">
      <c r="A177" s="3" t="s">
        <v>126</v>
      </c>
      <c r="B177" s="3" t="s">
        <v>180</v>
      </c>
      <c r="C177" s="3" t="s">
        <v>165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 x14ac:dyDescent="0.3">
      <c r="A178" s="3" t="s">
        <v>126</v>
      </c>
      <c r="B178" s="3" t="s">
        <v>149</v>
      </c>
      <c r="C178" s="3" t="s">
        <v>165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126</v>
      </c>
      <c r="B179" s="3" t="s">
        <v>140</v>
      </c>
      <c r="C179" s="3" t="s">
        <v>168</v>
      </c>
      <c r="D179" s="3" t="s">
        <v>102</v>
      </c>
      <c r="E179" s="3"/>
      <c r="F179" s="3"/>
      <c r="G179" s="3"/>
      <c r="H179" s="3"/>
      <c r="I179" s="3"/>
      <c r="J179" s="3"/>
    </row>
    <row r="180" spans="1:10" x14ac:dyDescent="0.3">
      <c r="A180" s="3" t="s">
        <v>126</v>
      </c>
      <c r="B180" s="3" t="s">
        <v>180</v>
      </c>
      <c r="C180" s="3" t="s">
        <v>168</v>
      </c>
      <c r="D180" s="3" t="s">
        <v>102</v>
      </c>
      <c r="E180" s="3"/>
      <c r="F180" s="3"/>
      <c r="G180" s="3"/>
      <c r="H180" s="3"/>
      <c r="I180" s="3"/>
      <c r="J180" s="3"/>
    </row>
    <row r="181" spans="1:10" x14ac:dyDescent="0.3">
      <c r="A181" s="3" t="s">
        <v>126</v>
      </c>
      <c r="B181" s="3" t="s">
        <v>149</v>
      </c>
      <c r="C181" s="3" t="s">
        <v>168</v>
      </c>
      <c r="D181" s="3" t="s">
        <v>102</v>
      </c>
      <c r="E181" s="3"/>
      <c r="F181" s="3"/>
      <c r="G181" s="3"/>
      <c r="H181" s="3"/>
      <c r="I181" s="3"/>
      <c r="J181" s="3"/>
    </row>
    <row r="182" spans="1:10" x14ac:dyDescent="0.3">
      <c r="A182" s="3" t="s">
        <v>126</v>
      </c>
      <c r="B182" s="3" t="s">
        <v>140</v>
      </c>
      <c r="C182" s="3" t="s">
        <v>179</v>
      </c>
      <c r="D182" s="3" t="s">
        <v>83</v>
      </c>
      <c r="E182" s="3"/>
      <c r="F182" s="3"/>
      <c r="G182" s="3"/>
      <c r="H182" s="3"/>
      <c r="I182" s="3"/>
      <c r="J182" s="3"/>
    </row>
    <row r="183" spans="1:10" x14ac:dyDescent="0.3">
      <c r="A183" s="3" t="s">
        <v>126</v>
      </c>
      <c r="B183" s="3" t="s">
        <v>180</v>
      </c>
      <c r="C183" s="3" t="s">
        <v>179</v>
      </c>
      <c r="D183" s="3" t="s">
        <v>83</v>
      </c>
      <c r="E183" s="3"/>
      <c r="F183" s="3"/>
      <c r="G183" s="3"/>
      <c r="H183" s="3"/>
      <c r="I183" s="3"/>
      <c r="J183" s="3"/>
    </row>
    <row r="184" spans="1:10" x14ac:dyDescent="0.3">
      <c r="A184" s="3" t="s">
        <v>126</v>
      </c>
      <c r="B184" s="3" t="s">
        <v>149</v>
      </c>
      <c r="C184" s="3" t="s">
        <v>179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93" t="s">
        <v>385</v>
      </c>
      <c r="B1" s="84"/>
      <c r="C1" s="84"/>
    </row>
    <row r="2" spans="1:3" ht="14.25" customHeight="1" x14ac:dyDescent="0.3">
      <c r="A2" s="8" t="s">
        <v>0</v>
      </c>
      <c r="B2" s="8" t="s">
        <v>386</v>
      </c>
      <c r="C2" s="8" t="s">
        <v>382</v>
      </c>
    </row>
    <row r="3" spans="1:3" ht="14.25" customHeight="1" x14ac:dyDescent="0.3">
      <c r="A3" s="11" t="s">
        <v>39</v>
      </c>
      <c r="B3" s="11">
        <v>8</v>
      </c>
      <c r="C3" s="12">
        <v>46142</v>
      </c>
    </row>
    <row r="4" spans="1:3" ht="14.25" customHeight="1" x14ac:dyDescent="0.3">
      <c r="A4" s="11" t="s">
        <v>39</v>
      </c>
      <c r="B4" s="11">
        <v>10</v>
      </c>
      <c r="C4" s="12">
        <v>46172</v>
      </c>
    </row>
    <row r="5" spans="1:3" ht="14.25" customHeight="1" x14ac:dyDescent="0.3">
      <c r="A5" s="11" t="s">
        <v>39</v>
      </c>
      <c r="B5" s="11">
        <v>9</v>
      </c>
      <c r="C5" s="12">
        <v>46203</v>
      </c>
    </row>
    <row r="6" spans="1:3" ht="14.25" customHeight="1" x14ac:dyDescent="0.3">
      <c r="A6" s="11" t="s">
        <v>126</v>
      </c>
      <c r="B6" s="11">
        <v>15</v>
      </c>
      <c r="C6" s="12">
        <v>46233</v>
      </c>
    </row>
    <row r="7" spans="1:3" ht="14.25" customHeight="1" x14ac:dyDescent="0.3">
      <c r="A7" s="11" t="s">
        <v>126</v>
      </c>
      <c r="B7" s="11">
        <v>15</v>
      </c>
      <c r="C7" s="12">
        <v>46264</v>
      </c>
    </row>
    <row r="8" spans="1:3" ht="14.25" customHeight="1" x14ac:dyDescent="0.3">
      <c r="A8" s="11" t="s">
        <v>126</v>
      </c>
      <c r="B8" s="11">
        <v>17</v>
      </c>
      <c r="C8" s="12">
        <v>46295</v>
      </c>
    </row>
    <row r="9" spans="1:3" ht="14.25" customHeight="1" x14ac:dyDescent="0.3">
      <c r="A9" s="11" t="s">
        <v>126</v>
      </c>
      <c r="B9" s="11">
        <v>20</v>
      </c>
      <c r="C9" s="12">
        <v>46325</v>
      </c>
    </row>
    <row r="10" spans="1:3" ht="14.25" customHeight="1" x14ac:dyDescent="0.3">
      <c r="A10" s="11" t="s">
        <v>126</v>
      </c>
      <c r="B10" s="11">
        <v>20</v>
      </c>
      <c r="C10" s="12">
        <v>46356</v>
      </c>
    </row>
    <row r="11" spans="1:3" ht="14.25" customHeight="1" x14ac:dyDescent="0.3">
      <c r="A11" s="11" t="s">
        <v>387</v>
      </c>
      <c r="B11" s="11">
        <v>18</v>
      </c>
      <c r="C11" s="12">
        <v>46386</v>
      </c>
    </row>
    <row r="12" spans="1:3" ht="14.25" customHeight="1" x14ac:dyDescent="0.3">
      <c r="A12" s="11" t="s">
        <v>387</v>
      </c>
      <c r="B12" s="11">
        <v>18</v>
      </c>
      <c r="C12" s="12">
        <v>46417</v>
      </c>
    </row>
    <row r="13" spans="1:3" ht="14.25" customHeight="1" x14ac:dyDescent="0.3">
      <c r="A13" s="11" t="s">
        <v>387</v>
      </c>
      <c r="B13" s="11">
        <v>19</v>
      </c>
      <c r="C13" s="12">
        <v>46446</v>
      </c>
    </row>
    <row r="14" spans="1:3" ht="14.25" customHeight="1" x14ac:dyDescent="0.3">
      <c r="A14" s="11" t="s">
        <v>298</v>
      </c>
      <c r="B14" s="11">
        <v>9</v>
      </c>
      <c r="C14" s="12">
        <v>46476</v>
      </c>
    </row>
    <row r="15" spans="1:3" ht="14.25" customHeight="1" x14ac:dyDescent="0.3">
      <c r="A15" s="11" t="s">
        <v>288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4140625" bestFit="1" customWidth="1"/>
  </cols>
  <sheetData>
    <row r="1" spans="1:20" ht="15" customHeight="1" x14ac:dyDescent="0.3">
      <c r="A1" s="1" t="s">
        <v>0</v>
      </c>
      <c r="B1" s="1" t="s">
        <v>9</v>
      </c>
      <c r="C1" s="1" t="s">
        <v>15</v>
      </c>
      <c r="D1" s="1" t="s">
        <v>5</v>
      </c>
      <c r="E1" s="1" t="s">
        <v>388</v>
      </c>
      <c r="F1" s="1" t="s">
        <v>325</v>
      </c>
      <c r="G1" s="5" t="s">
        <v>389</v>
      </c>
      <c r="H1" s="5" t="s">
        <v>20</v>
      </c>
      <c r="I1" t="s">
        <v>34</v>
      </c>
      <c r="J1" s="5" t="s">
        <v>390</v>
      </c>
      <c r="K1" s="5" t="s">
        <v>128</v>
      </c>
      <c r="L1" s="5" t="s">
        <v>344</v>
      </c>
      <c r="M1" s="1" t="s">
        <v>391</v>
      </c>
      <c r="N1" s="1" t="s">
        <v>392</v>
      </c>
      <c r="R1" t="s">
        <v>13</v>
      </c>
      <c r="T1" t="s">
        <v>393</v>
      </c>
    </row>
    <row r="2" spans="1:20" ht="13.5" customHeight="1" x14ac:dyDescent="0.3">
      <c r="A2" s="2" t="s">
        <v>394</v>
      </c>
      <c r="B2" s="2" t="s">
        <v>395</v>
      </c>
      <c r="C2" s="2" t="s">
        <v>396</v>
      </c>
      <c r="D2" s="2" t="s">
        <v>397</v>
      </c>
      <c r="E2" s="2" t="s">
        <v>398</v>
      </c>
      <c r="F2" s="2" t="s">
        <v>399</v>
      </c>
      <c r="G2" t="s">
        <v>400</v>
      </c>
      <c r="H2" t="s">
        <v>401</v>
      </c>
      <c r="I2" t="s">
        <v>402</v>
      </c>
      <c r="J2" s="29" t="s">
        <v>403</v>
      </c>
      <c r="K2" s="29" t="s">
        <v>404</v>
      </c>
      <c r="L2" s="29" t="s">
        <v>405</v>
      </c>
      <c r="M2" t="s">
        <v>146</v>
      </c>
      <c r="N2" s="45" t="s">
        <v>406</v>
      </c>
      <c r="R2" t="s">
        <v>407</v>
      </c>
      <c r="T2" t="s">
        <v>48</v>
      </c>
    </row>
    <row r="3" spans="1:20" ht="15" customHeight="1" x14ac:dyDescent="0.3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408</v>
      </c>
      <c r="R3" t="s">
        <v>44</v>
      </c>
      <c r="T3" t="s">
        <v>93</v>
      </c>
    </row>
    <row r="4" spans="1:20" ht="15" customHeight="1" x14ac:dyDescent="0.3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140</v>
      </c>
      <c r="G4" t="s">
        <v>58</v>
      </c>
      <c r="H4" t="s">
        <v>87</v>
      </c>
      <c r="I4" t="s">
        <v>409</v>
      </c>
      <c r="J4" t="s">
        <v>180</v>
      </c>
      <c r="L4" t="s">
        <v>49</v>
      </c>
      <c r="M4" t="s">
        <v>102</v>
      </c>
      <c r="N4" s="45" t="s">
        <v>408</v>
      </c>
      <c r="R4" t="s">
        <v>171</v>
      </c>
      <c r="T4" t="s">
        <v>71</v>
      </c>
    </row>
    <row r="5" spans="1:20" ht="15" customHeight="1" x14ac:dyDescent="0.3">
      <c r="A5" t="s">
        <v>387</v>
      </c>
      <c r="B5" t="s">
        <v>64</v>
      </c>
      <c r="C5" t="s">
        <v>76</v>
      </c>
      <c r="F5" t="s">
        <v>180</v>
      </c>
      <c r="G5" t="s">
        <v>64</v>
      </c>
      <c r="H5" t="s">
        <v>129</v>
      </c>
      <c r="I5" t="s">
        <v>410</v>
      </c>
      <c r="J5" t="s">
        <v>149</v>
      </c>
      <c r="L5" t="s">
        <v>411</v>
      </c>
      <c r="M5" t="s">
        <v>87</v>
      </c>
      <c r="N5" s="45" t="s">
        <v>408</v>
      </c>
    </row>
    <row r="6" spans="1:20" ht="15" customHeight="1" x14ac:dyDescent="0.3">
      <c r="A6" t="s">
        <v>298</v>
      </c>
      <c r="B6" t="s">
        <v>83</v>
      </c>
      <c r="F6" t="s">
        <v>149</v>
      </c>
      <c r="G6" t="s">
        <v>83</v>
      </c>
      <c r="H6" t="s">
        <v>146</v>
      </c>
      <c r="I6" t="s">
        <v>151</v>
      </c>
      <c r="J6" t="s">
        <v>128</v>
      </c>
      <c r="M6" t="s">
        <v>47</v>
      </c>
      <c r="N6" s="45" t="s">
        <v>408</v>
      </c>
    </row>
    <row r="7" spans="1:20" ht="15" customHeight="1" x14ac:dyDescent="0.3">
      <c r="A7" t="s">
        <v>288</v>
      </c>
      <c r="B7" t="s">
        <v>117</v>
      </c>
      <c r="F7" t="s">
        <v>128</v>
      </c>
      <c r="G7" t="s">
        <v>117</v>
      </c>
      <c r="I7" t="s">
        <v>412</v>
      </c>
      <c r="M7" t="s">
        <v>129</v>
      </c>
      <c r="N7" s="45" t="s">
        <v>408</v>
      </c>
    </row>
    <row r="8" spans="1:20" ht="15" customHeight="1" x14ac:dyDescent="0.3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408</v>
      </c>
    </row>
    <row r="9" spans="1:20" ht="15" customHeight="1" x14ac:dyDescent="0.3">
      <c r="B9" t="s">
        <v>102</v>
      </c>
      <c r="G9" t="s">
        <v>102</v>
      </c>
      <c r="I9" t="s">
        <v>414</v>
      </c>
      <c r="M9" t="s">
        <v>159</v>
      </c>
      <c r="N9" s="45" t="s">
        <v>408</v>
      </c>
    </row>
    <row r="10" spans="1:20" ht="15" customHeight="1" x14ac:dyDescent="0.3">
      <c r="B10" t="s">
        <v>159</v>
      </c>
      <c r="G10" t="s">
        <v>159</v>
      </c>
      <c r="M10" t="s">
        <v>46</v>
      </c>
      <c r="N10" s="45" t="s">
        <v>408</v>
      </c>
    </row>
    <row r="11" spans="1:20" x14ac:dyDescent="0.3">
      <c r="B11" t="s">
        <v>415</v>
      </c>
      <c r="G11" t="s">
        <v>59</v>
      </c>
      <c r="M11" t="s">
        <v>75</v>
      </c>
      <c r="N11" s="45" t="s">
        <v>408</v>
      </c>
    </row>
    <row r="12" spans="1:20" x14ac:dyDescent="0.3">
      <c r="B12" t="s">
        <v>416</v>
      </c>
      <c r="G12" t="s">
        <v>45</v>
      </c>
      <c r="M12" t="s">
        <v>45</v>
      </c>
      <c r="N12" s="45" t="s">
        <v>408</v>
      </c>
    </row>
    <row r="13" spans="1:20" x14ac:dyDescent="0.3">
      <c r="G13" t="s">
        <v>76</v>
      </c>
      <c r="M13" t="s">
        <v>76</v>
      </c>
      <c r="N13" s="45" t="s">
        <v>408</v>
      </c>
    </row>
    <row r="14" spans="1:20" x14ac:dyDescent="0.3">
      <c r="M14" t="s">
        <v>83</v>
      </c>
      <c r="N14" s="45" t="s">
        <v>417</v>
      </c>
    </row>
    <row r="15" spans="1:20" x14ac:dyDescent="0.3">
      <c r="M15" t="s">
        <v>58</v>
      </c>
      <c r="N15" s="45" t="s">
        <v>408</v>
      </c>
    </row>
    <row r="16" spans="1:20" x14ac:dyDescent="0.3">
      <c r="M16" t="s">
        <v>117</v>
      </c>
      <c r="N16" s="45" t="s">
        <v>408</v>
      </c>
    </row>
    <row r="17" spans="13:14" x14ac:dyDescent="0.3">
      <c r="M17" t="s">
        <v>64</v>
      </c>
      <c r="N17" s="45" t="s">
        <v>408</v>
      </c>
    </row>
    <row r="18" spans="13:14" x14ac:dyDescent="0.3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D54C7CB-11A4-40CF-B95E-1D5833A38355}">
  <ds:schemaRefs>
    <ds:schemaRef ds:uri="http://purl.org/dc/dcmitype/"/>
    <ds:schemaRef ds:uri="http://purl.org/dc/terms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cadce026-d35b-4a62-a2ee-1436bb44fb55"/>
    <ds:schemaRef ds:uri="6d32ee4e-79d4-4fe0-ad34-1cbae873c51e"/>
    <ds:schemaRef ds:uri="5b9cbbf0-fbbf-4687-be4c-62cb1159071c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A73A73</vt:lpstr>
      <vt:lpstr>DB_Dev_List</vt:lpstr>
      <vt:lpstr>DPO_Approval_List</vt:lpstr>
      <vt:lpstr>L2T2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2026-09-02T17:30:35Z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