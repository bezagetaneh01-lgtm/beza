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21" documentId="13_ncr:1_{52745E9B-3AA1-4770-AAD3-E6166BFC13AE}" xr6:coauthVersionLast="47" xr6:coauthVersionMax="47" xr10:uidLastSave="{87E3A29F-DF27-4D3F-A6BB-4E277B0EF882}"/>
  <bookViews>
    <workbookView xWindow="28680" yWindow="-120" windowWidth="20640" windowHeight="1104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<sst xmlns="http://schemas.openxmlformats.org/spreadsheetml/2006/main" count="2089" uniqueCount="244">
  <si>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</si>
  <si>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</si>
  <si>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</si>
  <si>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</si>
  <si>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</si>
  <si>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</si>
  <si>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</si>
  <si>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</si>
  <si>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</si>
  <si>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</si>
  <si>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</si>
  <si>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</si>
  <si>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</si>
  <si>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</si>
  <si>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</si>
  <si>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PBI Dev Baseline Completion Date</t>
  </si>
  <si>
    <t>PBI Dev Reforecast Completion Date</t>
  </si>
  <si>
    <t>PBI Dev Actual Completion Date</t>
  </si>
  <si>
    <t>QA Baseline Completion Date</t>
  </si>
  <si>
    <t>QA Reforecast Completion Date</t>
  </si>
  <si>
    <t>QA Actual Completion Date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</si>
  <si>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</si>
  <si>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</si>
  <si>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</si>
  <si>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</si>
  <si>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</si>
  <si>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</si>
  <si>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</si>
  <si>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</si>
  <si>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</si>
  <si>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</si>
  <si>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</si>
  <si>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</si>
  <si>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</si>
  <si>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</si>
  <si>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</si>
  <si>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</si>
  <si>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</si>
  <si>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</si>
  <si>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</si>
  <si>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</si>
  <si>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</si>
  <si>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</si>
  <si>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</si>
  <si>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</si>
  <si>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</si>
  <si>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</si>
  <si>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</si>
  <si>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</si>
  <si>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</si>
  <si>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</si>
  <si>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</si>
  <si>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</si>
  <si>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</si>
  <si>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</si>
  <si>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</si>
  <si>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</si>
  <si>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</si>
  <si>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</si>
  <si>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</si>
  <si>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</si>
  <si>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</si>
  <si>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</si>
  <si>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</si>
  <si>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</si>
  <si>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</si>
  <si>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</si>
  <si>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</si>
  <si>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</si>
  <si>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</si>
  <si>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</si>
  <si>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</si>
  <si>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</si>
  <si>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</si>
  <si>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</si>
  <si>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</si>
  <si>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</si>
  <si>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</si>
  <si>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</si>
  <si>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</si>
  <si>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</si>
  <si>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</si>
  <si>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</si>
  <si>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</si>
  <si>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</si>
  <si>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</si>
  <si>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</si>
  <si>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</si>
  <si>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</si>
  <si>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</si>
  <si>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</si>
  <si>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</si>
  <si>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</si>
  <si>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</si>
  <si>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</si>
  <si>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</si>
  <si>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</si>
  <si>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</si>
  <si>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</si>
  <si>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</si>
  <si>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</si>
  <si>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</si>
  <si>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</si>
  <si>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</si>
  <si>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</si>
  <si>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</si>
  <si>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</si>
  <si>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</si>
  <si>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</si>
  <si>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</si>
  <si>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</si>
  <si>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</si>
  <si>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</si>
  <si>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</si>
  <si>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</si>
  <si>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</si>
  <si>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</si>
  <si>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</si>
  <si>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</si>
  <si>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</si>
  <si>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</si>
  <si>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</si>
  <si>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</si>
  <si>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</si>
  <si>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</si>
  <si>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</si>
  <si>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</si>
  <si>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</si>
  <si>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</si>
  <si>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</si>
  <si>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</si>
  <si>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</si>
  <si>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</si>
  <si>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</si>
  <si>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</si>
  <si>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</si>
  <si>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</si>
  <si>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</si>
  <si>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</si>
  <si>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</si>
  <si>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</si>
  <si>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</si>
  <si>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</si>
  <si>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</si>
  <si>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</si>
  <si>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</si>
  <si>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</si>
  <si>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</si>
  <si>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</si>
  <si>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</si>
  <si>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</si>
  <si>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</si>
  <si>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</si>
  <si>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</si>
  <si>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</si>
  <si>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</si>
  <si>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</si>
  <si>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</si>
  <si>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</si>
  <si>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</si>
  <si>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</si>
  <si>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</si>
  <si>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</si>
  <si>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</si>
  <si>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</si>
  <si>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</si>
  <si>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</si>
  <si>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</si>
  <si>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</si>
  <si>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test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</si>
  <si>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</si>
  <si>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</si>
  <si>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</si>
  <si>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</si>
  <si>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</si>
  <si>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</si>
  <si>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</si>
  <si>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</si>
  <si>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</si>
  <si>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</si>
  <si>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</si>
  <si>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</si>
  <si>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</si>
  <si>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</si>
  <si>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</si>
  <si>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</si>
  <si>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</si>
  <si>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</si>
  <si>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</si>
  <si>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</si>
  <si>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</si>
  <si>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</si>
  <si>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</si>
  <si>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</si>
  <si>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</si>
  <si>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</si>
  <si>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</si>
  <si>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</si>
  <si>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</si>
  <si>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</si>
  <si>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</si>
  <si>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</si>
  <si>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</si>
  <si>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</si>
  <si>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</si>
  <si>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</si>
  <si>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</si>
  <si>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</si>
  <si>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</si>
  <si>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</si>
  <si>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</si>
  <si>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</si>
  <si>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</si>
  <si>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</si>
  <si>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</si>
  <si>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</si>
  <si>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</si>
  <si>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</si>
  <si>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</si>
  <si>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</si>
  <si>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</si>
  <si>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</si>
  <si>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</si>
  <si>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</si>
  <si>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</si>
  <si>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</si>
  <si>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</si>
  <si>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</si>
  <si>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</si>
  <si>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</si>
  <si>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</si>
  <si>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</si>
  <si>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</si>
  <si>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</si>
  <si>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</si>
  <si>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</si>
  <si>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</si>
  <si>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</si>
  <si>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</si>
  <si>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beza.getaneh01@gmail.com</t>
  </si>
  <si>
    <t>Yes – other</t>
  </si>
  <si>
    <t>Yes – needs DB Dev to fix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</si>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</sst>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1">
    <cellStyle name="Normal" xfId="0" builtinId="0"/>
  </cellStyles>
  <dxfs count="5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66">
  <autoFilter ref="A1:AE66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5"/>
    <tableColumn id="14" xr3:uid="{00000000-0010-0000-0000-00000E000000}" name="DB Dev Actual Completion Date"/>
    <tableColumn id="15" xr3:uid="{00000000-0010-0000-0000-00000F000000}" name="PBI Dev Baseline Completion Date"/>
    <tableColumn id="31" xr3:uid="{00000000-0010-0000-0000-00001F000000}" name="PBI Dev Reforecast Completion Date" dataDxfId="14"/>
    <tableColumn id="16" xr3:uid="{00000000-0010-0000-0000-000010000000}" name="PBI Dev Actual Completion Date"/>
    <tableColumn id="17" xr3:uid="{00000000-0010-0000-0000-000011000000}" name="QA Baseline Completion Date"/>
    <tableColumn id="32" xr3:uid="{00000000-0010-0000-0000-000020000000}" name="QA Reforecast Completion Date" dataDxfId="13"/>
    <tableColumn id="18" xr3:uid="{00000000-0010-0000-0000-000012000000}" name="QA Actual Completion Date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7">
  <autoFilter ref="M1:N17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492"/>
  <sheetViews>
    <sheetView tabSelected="1" zoomScaleNormal="70" workbookViewId="0">
      <pane xSplit="2" ySplit="1" topLeftCell="E52" activePane="bottomRight" state="frozen"/>
      <selection pane="bottomRight" activeCell="Q66" sqref="Q66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26" t="s">
        <v>15</v>
      </c>
      <c r="Q1" s="17" t="s">
        <v>16</v>
      </c>
      <c r="R1" s="17" t="s">
        <v>17</v>
      </c>
      <c r="S1" s="27" t="s">
        <v>18</v>
      </c>
      <c r="T1" s="18" t="s">
        <v>19</v>
      </c>
      <c r="U1" s="18" t="s">
        <v>20</v>
      </c>
      <c r="V1" s="28" t="s">
        <v>21</v>
      </c>
      <c r="W1" s="19" t="s">
        <v>22</v>
      </c>
      <c r="X1" s="19" t="s">
        <v>23</v>
      </c>
      <c r="Y1" s="29" t="s">
        <v>24</v>
      </c>
      <c r="Z1" s="20" t="s">
        <v>25</v>
      </c>
      <c r="AA1" s="30" t="s">
        <v>26</v>
      </c>
      <c r="AB1" s="21" t="s">
        <v>27</v>
      </c>
      <c r="AC1" s="31" t="s">
        <v>28</v>
      </c>
      <c r="AD1" s="32" t="s">
        <v>29</v>
      </c>
      <c r="AE1" s="33" t="s">
        <v>30</v>
      </c>
    </row>
    <row r="2" spans="1:31">
      <c r="A2" s="40" t="s">
        <v>31</v>
      </c>
      <c r="B2" s="40" t="s">
        <v>32</v>
      </c>
      <c r="C2" s="40" t="s">
        <v>33</v>
      </c>
      <c r="D2" s="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40">
        <v>1</v>
      </c>
      <c r="F2" s="41"/>
      <c r="G2" s="40" t="s">
        <v>34</v>
      </c>
      <c r="H2" s="40" t="s">
        <v>35</v>
      </c>
      <c r="I2" s="40" t="s">
        <v>36</v>
      </c>
      <c r="J2" s="40"/>
      <c r="K2" s="42">
        <v>46142</v>
      </c>
      <c r="L2" s="40" t="s">
        <v>37</v>
      </c>
      <c r="M2" s="43">
        <v>46115</v>
      </c>
      <c r="N2" s="44"/>
      <c r="O2" s="44">
        <v>46115</v>
      </c>
      <c r="P2" s="45">
        <v>46114</v>
      </c>
      <c r="Q2" s="44"/>
      <c r="R2" s="44">
        <v>46114</v>
      </c>
      <c r="S2" s="46">
        <v>46122</v>
      </c>
      <c r="T2" s="44"/>
      <c r="U2" s="44">
        <v>46122</v>
      </c>
      <c r="V2" s="47"/>
      <c r="W2" s="44"/>
      <c r="X2" s="40" t="s">
        <v>38</v>
      </c>
      <c r="Y2" s="48" t="s">
        <v>39</v>
      </c>
      <c r="Z2" s="44">
        <v>46122</v>
      </c>
      <c r="AA2" s="49" t="s">
        <v>40</v>
      </c>
      <c r="AB2" s="40" t="s">
        <v>41</v>
      </c>
      <c r="AC2" s="50" t="s">
        <v>42</v>
      </c>
      <c r="AD2" s="51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52" t="s">
        <v>43</v>
      </c>
    </row>
    <row r="3" spans="1:31">
      <c r="A3" s="40" t="s">
        <v>31</v>
      </c>
      <c r="B3" s="40" t="s">
        <v>44</v>
      </c>
      <c r="C3" s="40" t="s">
        <v>33</v>
      </c>
      <c r="D3" s="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40">
        <v>2</v>
      </c>
      <c r="F3" s="41"/>
      <c r="G3" s="40" t="s">
        <v>34</v>
      </c>
      <c r="H3" s="40" t="s">
        <v>35</v>
      </c>
      <c r="I3" s="40" t="s">
        <v>36</v>
      </c>
      <c r="J3" s="40"/>
      <c r="K3" s="42">
        <v>46142</v>
      </c>
      <c r="L3" s="40" t="s">
        <v>37</v>
      </c>
      <c r="M3" s="43">
        <v>46115</v>
      </c>
      <c r="N3" s="44"/>
      <c r="O3" s="44">
        <v>46115</v>
      </c>
      <c r="P3" s="45">
        <v>46114</v>
      </c>
      <c r="Q3" s="44"/>
      <c r="R3" s="44">
        <v>46114</v>
      </c>
      <c r="S3" s="46">
        <v>46122</v>
      </c>
      <c r="T3" s="44"/>
      <c r="U3" s="44">
        <v>46122</v>
      </c>
      <c r="V3" s="47"/>
      <c r="W3" s="44"/>
      <c r="X3" s="40" t="s">
        <v>38</v>
      </c>
      <c r="Y3" s="48" t="s">
        <v>39</v>
      </c>
      <c r="Z3" s="44">
        <v>46122</v>
      </c>
      <c r="AA3" s="49" t="s">
        <v>45</v>
      </c>
      <c r="AB3" s="40" t="s">
        <v>46</v>
      </c>
      <c r="AC3" s="50" t="s">
        <v>42</v>
      </c>
      <c r="AD3" s="51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52" t="s">
        <v>43</v>
      </c>
    </row>
    <row r="4" spans="1:31">
      <c r="A4" s="40" t="s">
        <v>31</v>
      </c>
      <c r="B4" s="40" t="s">
        <v>47</v>
      </c>
      <c r="C4" s="40" t="s">
        <v>33</v>
      </c>
      <c r="D4" s="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40">
        <v>4</v>
      </c>
      <c r="F4" s="41"/>
      <c r="G4" s="40" t="s">
        <v>48</v>
      </c>
      <c r="H4" s="40" t="s">
        <v>35</v>
      </c>
      <c r="I4" s="40" t="s">
        <v>36</v>
      </c>
      <c r="J4" s="40"/>
      <c r="K4" s="42">
        <v>46142</v>
      </c>
      <c r="L4" s="40" t="s">
        <v>37</v>
      </c>
      <c r="M4" s="43">
        <v>46115</v>
      </c>
      <c r="N4" s="44"/>
      <c r="O4" s="44">
        <v>46115</v>
      </c>
      <c r="P4" s="45">
        <v>46120</v>
      </c>
      <c r="Q4" s="44"/>
      <c r="R4" s="44">
        <v>46120</v>
      </c>
      <c r="S4" s="46">
        <v>46122</v>
      </c>
      <c r="T4" s="44"/>
      <c r="U4" s="44">
        <v>46122</v>
      </c>
      <c r="V4" s="47"/>
      <c r="W4" s="44"/>
      <c r="X4" s="40" t="s">
        <v>38</v>
      </c>
      <c r="Y4" s="48" t="s">
        <v>39</v>
      </c>
      <c r="Z4" s="44">
        <v>46122</v>
      </c>
      <c r="AA4" s="49"/>
      <c r="AB4" s="40"/>
      <c r="AC4" s="50" t="s">
        <v>42</v>
      </c>
      <c r="AD4" s="51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52"/>
    </row>
    <row r="5" spans="1:31">
      <c r="A5" s="40" t="s">
        <v>31</v>
      </c>
      <c r="B5" s="40" t="s">
        <v>49</v>
      </c>
      <c r="C5" s="40" t="s">
        <v>33</v>
      </c>
      <c r="D5" s="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40">
        <v>5</v>
      </c>
      <c r="F5" s="41"/>
      <c r="G5" s="40" t="s">
        <v>50</v>
      </c>
      <c r="H5" s="40" t="s">
        <v>51</v>
      </c>
      <c r="I5" s="40" t="s">
        <v>36</v>
      </c>
      <c r="J5" s="40"/>
      <c r="K5" s="42">
        <v>46142</v>
      </c>
      <c r="L5" s="40" t="s">
        <v>37</v>
      </c>
      <c r="M5" s="43">
        <v>46115</v>
      </c>
      <c r="N5" s="44"/>
      <c r="O5" s="44">
        <v>46115</v>
      </c>
      <c r="P5" s="45">
        <v>46126</v>
      </c>
      <c r="Q5" s="44"/>
      <c r="R5" s="44">
        <v>46126</v>
      </c>
      <c r="S5" s="46">
        <v>46122</v>
      </c>
      <c r="T5" s="44"/>
      <c r="U5" s="44">
        <v>46122</v>
      </c>
      <c r="V5" s="47"/>
      <c r="W5" s="44"/>
      <c r="X5" s="40" t="s">
        <v>38</v>
      </c>
      <c r="Y5" s="48" t="s">
        <v>39</v>
      </c>
      <c r="Z5" s="44">
        <v>46122</v>
      </c>
      <c r="AA5" s="49" t="s">
        <v>52</v>
      </c>
      <c r="AB5" s="40" t="s">
        <v>53</v>
      </c>
      <c r="AC5" s="50" t="s">
        <v>42</v>
      </c>
      <c r="AD5" s="51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52" t="s">
        <v>54</v>
      </c>
    </row>
    <row r="6" spans="1:31">
      <c r="A6" s="40" t="s">
        <v>31</v>
      </c>
      <c r="B6" s="40" t="s">
        <v>55</v>
      </c>
      <c r="C6" s="40" t="s">
        <v>33</v>
      </c>
      <c r="D6" s="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40">
        <v>3</v>
      </c>
      <c r="F6" s="41"/>
      <c r="G6" s="40" t="s">
        <v>48</v>
      </c>
      <c r="H6" s="40" t="s">
        <v>35</v>
      </c>
      <c r="I6" s="40" t="s">
        <v>36</v>
      </c>
      <c r="J6" s="40"/>
      <c r="K6" s="42">
        <v>46142</v>
      </c>
      <c r="L6" s="40" t="s">
        <v>37</v>
      </c>
      <c r="M6" s="43">
        <v>46115</v>
      </c>
      <c r="N6" s="44"/>
      <c r="O6" s="44">
        <v>46115</v>
      </c>
      <c r="P6" s="45">
        <v>46120</v>
      </c>
      <c r="Q6" s="44"/>
      <c r="R6" s="44">
        <v>46120</v>
      </c>
      <c r="S6" s="46">
        <v>46122</v>
      </c>
      <c r="T6" s="44"/>
      <c r="U6" s="44">
        <v>46122</v>
      </c>
      <c r="V6" s="47"/>
      <c r="W6" s="44"/>
      <c r="X6" s="40" t="s">
        <v>38</v>
      </c>
      <c r="Y6" s="48" t="s">
        <v>39</v>
      </c>
      <c r="Z6" s="44">
        <v>46122</v>
      </c>
      <c r="AA6" s="49" t="s">
        <v>56</v>
      </c>
      <c r="AB6" s="40" t="s">
        <v>57</v>
      </c>
      <c r="AC6" s="50" t="s">
        <v>42</v>
      </c>
      <c r="AD6" s="51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52" t="s">
        <v>58</v>
      </c>
    </row>
    <row r="7" spans="1:31">
      <c r="A7" s="40" t="s">
        <v>31</v>
      </c>
      <c r="B7" s="40" t="s">
        <v>59</v>
      </c>
      <c r="C7" s="40" t="s">
        <v>33</v>
      </c>
      <c r="D7" s="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40">
        <v>14</v>
      </c>
      <c r="F7" s="41"/>
      <c r="G7" s="40" t="s">
        <v>60</v>
      </c>
      <c r="H7" s="40" t="s">
        <v>61</v>
      </c>
      <c r="I7" s="40" t="s">
        <v>36</v>
      </c>
      <c r="J7" s="40"/>
      <c r="K7" s="42">
        <v>46173</v>
      </c>
      <c r="L7" s="40" t="s">
        <v>62</v>
      </c>
      <c r="M7" s="43"/>
      <c r="N7" s="44"/>
      <c r="O7" s="44"/>
      <c r="P7" s="45">
        <v>46134</v>
      </c>
      <c r="Q7" s="44"/>
      <c r="R7" s="44">
        <v>46134</v>
      </c>
      <c r="S7" s="46">
        <v>46134</v>
      </c>
      <c r="T7" s="44"/>
      <c r="U7" s="44">
        <v>46134</v>
      </c>
      <c r="V7" s="47"/>
      <c r="W7" s="44"/>
      <c r="X7" s="40" t="s">
        <v>38</v>
      </c>
      <c r="Y7" s="48" t="s">
        <v>39</v>
      </c>
      <c r="Z7" s="44">
        <v>46134</v>
      </c>
      <c r="AA7" s="49" t="s">
        <v>63</v>
      </c>
      <c r="AB7" s="40" t="s">
        <v>64</v>
      </c>
      <c r="AC7" s="50" t="s">
        <v>42</v>
      </c>
      <c r="AD7" s="51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/>
      </c>
      <c r="AE7" s="52"/>
    </row>
    <row r="8" spans="1:31">
      <c r="A8" s="40" t="s">
        <v>31</v>
      </c>
      <c r="B8" s="40" t="s">
        <v>65</v>
      </c>
      <c r="C8" s="40" t="s">
        <v>33</v>
      </c>
      <c r="D8" s="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40">
        <v>15</v>
      </c>
      <c r="F8" s="41"/>
      <c r="G8" s="40" t="s">
        <v>50</v>
      </c>
      <c r="H8" s="40" t="s">
        <v>61</v>
      </c>
      <c r="I8" s="40" t="s">
        <v>36</v>
      </c>
      <c r="J8" s="40"/>
      <c r="K8" s="42">
        <v>46173</v>
      </c>
      <c r="L8" s="40" t="s">
        <v>62</v>
      </c>
      <c r="M8" s="43"/>
      <c r="N8" s="44"/>
      <c r="O8" s="44"/>
      <c r="P8" s="45">
        <v>46139</v>
      </c>
      <c r="Q8" s="44"/>
      <c r="R8" s="44">
        <v>46139</v>
      </c>
      <c r="S8" s="46">
        <v>46139</v>
      </c>
      <c r="T8" s="44"/>
      <c r="U8" s="44">
        <v>46139</v>
      </c>
      <c r="V8" s="47"/>
      <c r="W8" s="44"/>
      <c r="X8" s="40" t="s">
        <v>38</v>
      </c>
      <c r="Y8" s="48" t="s">
        <v>39</v>
      </c>
      <c r="Z8" s="44">
        <v>46139</v>
      </c>
      <c r="AA8" s="49" t="s">
        <v>66</v>
      </c>
      <c r="AB8" s="40" t="s">
        <v>67</v>
      </c>
      <c r="AC8" s="50" t="s">
        <v>42</v>
      </c>
      <c r="AD8" s="51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/>
      </c>
      <c r="AE8" s="52"/>
    </row>
    <row r="9" spans="1:31">
      <c r="A9" s="40" t="s">
        <v>31</v>
      </c>
      <c r="B9" s="40" t="s">
        <v>68</v>
      </c>
      <c r="C9" s="40" t="s">
        <v>33</v>
      </c>
      <c r="D9" s="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40">
        <v>16</v>
      </c>
      <c r="F9" s="41"/>
      <c r="G9" s="40" t="s">
        <v>69</v>
      </c>
      <c r="H9" s="40" t="s">
        <v>51</v>
      </c>
      <c r="I9" s="40" t="s">
        <v>36</v>
      </c>
      <c r="J9" s="40"/>
      <c r="K9" s="42">
        <v>46173</v>
      </c>
      <c r="L9" s="40" t="s">
        <v>62</v>
      </c>
      <c r="M9" s="43"/>
      <c r="N9" s="44"/>
      <c r="O9" s="44"/>
      <c r="P9" s="45">
        <v>46147</v>
      </c>
      <c r="Q9" s="44"/>
      <c r="R9" s="44">
        <v>46147</v>
      </c>
      <c r="S9" s="46">
        <v>46147</v>
      </c>
      <c r="T9" s="44"/>
      <c r="U9" s="44">
        <v>46147</v>
      </c>
      <c r="V9" s="47"/>
      <c r="W9" s="44"/>
      <c r="X9" s="40" t="s">
        <v>38</v>
      </c>
      <c r="Y9" s="48" t="s">
        <v>39</v>
      </c>
      <c r="Z9" s="44">
        <v>46147</v>
      </c>
      <c r="AA9" s="49" t="s">
        <v>70</v>
      </c>
      <c r="AB9" s="40" t="s">
        <v>71</v>
      </c>
      <c r="AC9" s="50" t="s">
        <v>42</v>
      </c>
      <c r="AD9" s="51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/>
      </c>
      <c r="AE9" s="52"/>
    </row>
    <row r="10" spans="1:31">
      <c r="A10" s="40" t="s">
        <v>31</v>
      </c>
      <c r="B10" s="40" t="s">
        <v>72</v>
      </c>
      <c r="C10" s="40" t="s">
        <v>33</v>
      </c>
      <c r="D10" s="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40">
        <v>17</v>
      </c>
      <c r="F10" s="41"/>
      <c r="G10" s="40" t="s">
        <v>69</v>
      </c>
      <c r="H10" s="40" t="s">
        <v>35</v>
      </c>
      <c r="I10" s="40" t="s">
        <v>73</v>
      </c>
      <c r="J10" s="40"/>
      <c r="K10" s="42">
        <v>46173</v>
      </c>
      <c r="L10" s="40" t="s">
        <v>62</v>
      </c>
      <c r="M10" s="43"/>
      <c r="N10" s="44"/>
      <c r="O10" s="44"/>
      <c r="P10" s="45">
        <v>46175</v>
      </c>
      <c r="Q10" s="44"/>
      <c r="R10" s="44">
        <v>46175</v>
      </c>
      <c r="S10" s="46">
        <v>46179</v>
      </c>
      <c r="T10" s="44"/>
      <c r="U10" s="44">
        <v>46179</v>
      </c>
      <c r="V10" s="47"/>
      <c r="W10" s="44"/>
      <c r="X10" s="40" t="s">
        <v>38</v>
      </c>
      <c r="Y10" s="48" t="s">
        <v>39</v>
      </c>
      <c r="Z10" s="44">
        <v>46179</v>
      </c>
      <c r="AA10" s="49" t="s">
        <v>74</v>
      </c>
      <c r="AB10" s="40"/>
      <c r="AC10" s="50" t="s">
        <v>42</v>
      </c>
      <c r="AD10" s="51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/>
      </c>
      <c r="AE10" s="52"/>
    </row>
    <row r="11" spans="1:31">
      <c r="A11" s="40" t="s">
        <v>31</v>
      </c>
      <c r="B11" s="40" t="s">
        <v>75</v>
      </c>
      <c r="C11" s="40" t="s">
        <v>33</v>
      </c>
      <c r="D11" s="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40">
        <v>18</v>
      </c>
      <c r="F11" s="41"/>
      <c r="G11" s="40" t="s">
        <v>34</v>
      </c>
      <c r="H11" s="40" t="s">
        <v>51</v>
      </c>
      <c r="I11" s="40" t="s">
        <v>73</v>
      </c>
      <c r="J11" s="40"/>
      <c r="K11" s="42">
        <v>46173</v>
      </c>
      <c r="L11" s="40" t="s">
        <v>62</v>
      </c>
      <c r="M11" s="43"/>
      <c r="N11" s="44"/>
      <c r="O11" s="44"/>
      <c r="P11" s="45">
        <v>46143</v>
      </c>
      <c r="Q11" s="44"/>
      <c r="R11" s="44">
        <v>46143</v>
      </c>
      <c r="S11" s="46">
        <v>46175</v>
      </c>
      <c r="T11" s="44"/>
      <c r="U11" s="44">
        <v>46175</v>
      </c>
      <c r="V11" s="47">
        <v>46184</v>
      </c>
      <c r="W11" s="44"/>
      <c r="X11" s="40" t="s">
        <v>38</v>
      </c>
      <c r="Y11" s="48" t="s">
        <v>39</v>
      </c>
      <c r="Z11" s="44">
        <v>46184</v>
      </c>
      <c r="AA11" s="49" t="s">
        <v>76</v>
      </c>
      <c r="AB11" s="40" t="s">
        <v>77</v>
      </c>
      <c r="AC11" s="50" t="s">
        <v>42</v>
      </c>
      <c r="AD11" s="51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52"/>
    </row>
    <row r="12" spans="1:31">
      <c r="A12" s="40" t="s">
        <v>31</v>
      </c>
      <c r="B12" s="40" t="s">
        <v>78</v>
      </c>
      <c r="C12" s="40" t="s">
        <v>33</v>
      </c>
      <c r="D12" s="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40">
        <v>19</v>
      </c>
      <c r="F12" s="41"/>
      <c r="G12" s="40" t="s">
        <v>34</v>
      </c>
      <c r="H12" s="40" t="s">
        <v>61</v>
      </c>
      <c r="I12" s="40" t="s">
        <v>36</v>
      </c>
      <c r="J12" s="40"/>
      <c r="K12" s="42">
        <v>46173</v>
      </c>
      <c r="L12" s="40" t="s">
        <v>62</v>
      </c>
      <c r="M12" s="43">
        <v>46175</v>
      </c>
      <c r="N12" s="44"/>
      <c r="O12" s="44">
        <v>46175</v>
      </c>
      <c r="P12" s="45">
        <v>46178</v>
      </c>
      <c r="Q12" s="44"/>
      <c r="R12" s="44">
        <v>46178</v>
      </c>
      <c r="S12" s="46">
        <v>46175</v>
      </c>
      <c r="T12" s="44"/>
      <c r="U12" s="44">
        <v>46175</v>
      </c>
      <c r="V12" s="47">
        <v>46192</v>
      </c>
      <c r="W12" s="44"/>
      <c r="X12" s="40" t="s">
        <v>38</v>
      </c>
      <c r="Y12" s="48" t="s">
        <v>39</v>
      </c>
      <c r="Z12" s="44">
        <v>46192</v>
      </c>
      <c r="AA12" s="49" t="s">
        <v>79</v>
      </c>
      <c r="AB12" s="40"/>
      <c r="AC12" s="50" t="s">
        <v>42</v>
      </c>
      <c r="AD12" s="51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>QA target is before PBI Dev target</v>
      </c>
      <c r="AE12" s="52" t="s">
        <v>80</v>
      </c>
    </row>
    <row r="13" spans="1:31">
      <c r="A13" s="40" t="s">
        <v>31</v>
      </c>
      <c r="B13" s="40" t="s">
        <v>81</v>
      </c>
      <c r="C13" s="40" t="s">
        <v>33</v>
      </c>
      <c r="D13" s="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40">
        <v>20</v>
      </c>
      <c r="F13" s="41"/>
      <c r="G13" s="40" t="s">
        <v>82</v>
      </c>
      <c r="H13" s="40" t="s">
        <v>51</v>
      </c>
      <c r="I13" s="40" t="s">
        <v>36</v>
      </c>
      <c r="J13" s="40"/>
      <c r="K13" s="42">
        <v>46203</v>
      </c>
      <c r="L13" s="40" t="s">
        <v>83</v>
      </c>
      <c r="M13" s="43">
        <v>46148</v>
      </c>
      <c r="N13" s="44"/>
      <c r="O13" s="44">
        <v>46148</v>
      </c>
      <c r="P13" s="45">
        <v>46183</v>
      </c>
      <c r="Q13" s="44"/>
      <c r="R13" s="44">
        <v>46183</v>
      </c>
      <c r="S13" s="46">
        <v>46195</v>
      </c>
      <c r="T13" s="44"/>
      <c r="U13" s="44">
        <v>46195</v>
      </c>
      <c r="V13" s="47"/>
      <c r="W13" s="44"/>
      <c r="X13" s="40"/>
      <c r="Y13" s="48" t="s">
        <v>39</v>
      </c>
      <c r="Z13" s="44">
        <v>46195</v>
      </c>
      <c r="AA13" s="49"/>
      <c r="AB13" s="40"/>
      <c r="AC13" s="50" t="s">
        <v>42</v>
      </c>
      <c r="AD13" s="51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52"/>
    </row>
    <row r="14" spans="1:31">
      <c r="A14" s="40" t="s">
        <v>31</v>
      </c>
      <c r="B14" s="40" t="s">
        <v>84</v>
      </c>
      <c r="C14" s="40" t="s">
        <v>33</v>
      </c>
      <c r="D14" s="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40">
        <v>21</v>
      </c>
      <c r="F14" s="41"/>
      <c r="G14" s="40" t="s">
        <v>82</v>
      </c>
      <c r="H14" s="40" t="s">
        <v>61</v>
      </c>
      <c r="I14" s="40" t="s">
        <v>36</v>
      </c>
      <c r="J14" s="40"/>
      <c r="K14" s="42">
        <v>46203</v>
      </c>
      <c r="L14" s="40" t="s">
        <v>83</v>
      </c>
      <c r="M14" s="43">
        <v>46162</v>
      </c>
      <c r="N14" s="44"/>
      <c r="O14" s="44">
        <v>46162</v>
      </c>
      <c r="P14" s="45">
        <v>46182</v>
      </c>
      <c r="Q14" s="44"/>
      <c r="R14" s="44">
        <v>46182</v>
      </c>
      <c r="S14" s="46">
        <v>46198</v>
      </c>
      <c r="T14" s="44"/>
      <c r="U14" s="44">
        <v>46198</v>
      </c>
      <c r="V14" s="47"/>
      <c r="W14" s="44"/>
      <c r="X14" s="40"/>
      <c r="Y14" s="48" t="s">
        <v>39</v>
      </c>
      <c r="Z14" s="44">
        <v>46198</v>
      </c>
      <c r="AA14" s="49"/>
      <c r="AB14" s="40"/>
      <c r="AC14" s="50" t="s">
        <v>42</v>
      </c>
      <c r="AD14" s="51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52" t="s">
        <v>85</v>
      </c>
    </row>
    <row r="15" spans="1:31">
      <c r="A15" s="40" t="s">
        <v>31</v>
      </c>
      <c r="B15" s="40" t="s">
        <v>86</v>
      </c>
      <c r="C15" s="40" t="s">
        <v>33</v>
      </c>
      <c r="D15" s="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40">
        <v>22</v>
      </c>
      <c r="F15" s="41"/>
      <c r="G15" s="40" t="s">
        <v>34</v>
      </c>
      <c r="H15" s="40" t="s">
        <v>51</v>
      </c>
      <c r="I15" s="40" t="s">
        <v>36</v>
      </c>
      <c r="J15" s="40"/>
      <c r="K15" s="42">
        <v>46203</v>
      </c>
      <c r="L15" s="40" t="s">
        <v>83</v>
      </c>
      <c r="M15" s="43">
        <v>46168</v>
      </c>
      <c r="N15" s="44"/>
      <c r="O15" s="44">
        <v>46168</v>
      </c>
      <c r="P15" s="45">
        <v>46183</v>
      </c>
      <c r="Q15" s="44"/>
      <c r="R15" s="44">
        <v>46183</v>
      </c>
      <c r="S15" s="46">
        <v>46198</v>
      </c>
      <c r="T15" s="44"/>
      <c r="U15" s="44">
        <v>46198</v>
      </c>
      <c r="V15" s="47"/>
      <c r="W15" s="44"/>
      <c r="X15" s="40"/>
      <c r="Y15" s="48" t="s">
        <v>39</v>
      </c>
      <c r="Z15" s="44">
        <v>46198</v>
      </c>
      <c r="AA15" s="49"/>
      <c r="AB15" s="40"/>
      <c r="AC15" s="50" t="s">
        <v>42</v>
      </c>
      <c r="AD15" s="51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52"/>
    </row>
    <row r="16" spans="1:31">
      <c r="A16" s="40" t="s">
        <v>31</v>
      </c>
      <c r="B16" s="40" t="s">
        <v>87</v>
      </c>
      <c r="C16" s="40" t="s">
        <v>33</v>
      </c>
      <c r="D16" s="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40">
        <v>23</v>
      </c>
      <c r="F16" s="41"/>
      <c r="G16" s="40" t="s">
        <v>34</v>
      </c>
      <c r="H16" s="40" t="s">
        <v>51</v>
      </c>
      <c r="I16" s="40" t="s">
        <v>36</v>
      </c>
      <c r="J16" s="40"/>
      <c r="K16" s="42">
        <v>46203</v>
      </c>
      <c r="L16" s="40" t="s">
        <v>83</v>
      </c>
      <c r="M16" s="43">
        <v>46165</v>
      </c>
      <c r="N16" s="44"/>
      <c r="O16" s="44">
        <v>46165</v>
      </c>
      <c r="P16" s="45">
        <v>46153</v>
      </c>
      <c r="Q16" s="44"/>
      <c r="R16" s="44">
        <v>46153</v>
      </c>
      <c r="S16" s="46">
        <v>46154</v>
      </c>
      <c r="T16" s="44"/>
      <c r="U16" s="44">
        <v>46154</v>
      </c>
      <c r="V16" s="47">
        <v>46184</v>
      </c>
      <c r="W16" s="44"/>
      <c r="X16" s="40"/>
      <c r="Y16" s="48" t="s">
        <v>39</v>
      </c>
      <c r="Z16" s="44">
        <v>46184</v>
      </c>
      <c r="AA16" s="49" t="s">
        <v>88</v>
      </c>
      <c r="AB16" s="40" t="s">
        <v>89</v>
      </c>
      <c r="AC16" s="50" t="s">
        <v>42</v>
      </c>
      <c r="AD16" s="51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>QA target is before DB Dev target</v>
      </c>
      <c r="AE16" s="52"/>
    </row>
    <row r="17" spans="1:31">
      <c r="A17" s="40" t="s">
        <v>31</v>
      </c>
      <c r="B17" s="40" t="s">
        <v>90</v>
      </c>
      <c r="C17" s="40" t="s">
        <v>33</v>
      </c>
      <c r="D17" s="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40">
        <v>24</v>
      </c>
      <c r="F17" s="41"/>
      <c r="G17" s="40" t="s">
        <v>50</v>
      </c>
      <c r="H17" s="40" t="s">
        <v>35</v>
      </c>
      <c r="I17" s="40" t="s">
        <v>73</v>
      </c>
      <c r="J17" s="40"/>
      <c r="K17" s="42">
        <v>46203</v>
      </c>
      <c r="L17" s="40" t="s">
        <v>83</v>
      </c>
      <c r="M17" s="43">
        <v>46162</v>
      </c>
      <c r="N17" s="44"/>
      <c r="O17" s="44">
        <v>46162</v>
      </c>
      <c r="P17" s="45">
        <v>46186</v>
      </c>
      <c r="Q17" s="44"/>
      <c r="R17" s="44">
        <v>46186</v>
      </c>
      <c r="S17" s="46">
        <v>46227</v>
      </c>
      <c r="T17" s="44"/>
      <c r="U17" s="44"/>
      <c r="V17" s="47"/>
      <c r="W17" s="44"/>
      <c r="X17" s="40"/>
      <c r="Y17" s="48" t="s">
        <v>39</v>
      </c>
      <c r="Z17" s="44">
        <v>46227</v>
      </c>
      <c r="AA17" s="49"/>
      <c r="AB17" s="40"/>
      <c r="AC17" s="50" t="s">
        <v>42</v>
      </c>
      <c r="AD17" s="51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52" t="s">
        <v>91</v>
      </c>
    </row>
    <row r="18" spans="1:31">
      <c r="A18" s="40" t="s">
        <v>31</v>
      </c>
      <c r="B18" s="40" t="s">
        <v>92</v>
      </c>
      <c r="C18" s="40" t="s">
        <v>33</v>
      </c>
      <c r="D18" s="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40">
        <v>25</v>
      </c>
      <c r="F18" s="41"/>
      <c r="G18" s="40" t="s">
        <v>50</v>
      </c>
      <c r="H18" s="40" t="s">
        <v>61</v>
      </c>
      <c r="I18" s="40" t="s">
        <v>36</v>
      </c>
      <c r="J18" s="40"/>
      <c r="K18" s="42">
        <v>46203</v>
      </c>
      <c r="L18" s="40" t="s">
        <v>83</v>
      </c>
      <c r="M18" s="43">
        <v>46162</v>
      </c>
      <c r="N18" s="44"/>
      <c r="O18" s="44">
        <v>46162</v>
      </c>
      <c r="P18" s="45">
        <v>46164</v>
      </c>
      <c r="Q18" s="44"/>
      <c r="R18" s="44">
        <v>46164</v>
      </c>
      <c r="S18" s="46">
        <v>46204</v>
      </c>
      <c r="T18" s="44"/>
      <c r="U18" s="44">
        <v>46204</v>
      </c>
      <c r="V18" s="47"/>
      <c r="W18" s="44"/>
      <c r="X18" s="40"/>
      <c r="Y18" s="48" t="s">
        <v>39</v>
      </c>
      <c r="Z18" s="44">
        <v>46204</v>
      </c>
      <c r="AA18" s="49"/>
      <c r="AB18" s="40"/>
      <c r="AC18" s="50" t="s">
        <v>42</v>
      </c>
      <c r="AD18" s="51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52" t="s">
        <v>91</v>
      </c>
    </row>
    <row r="19" spans="1:31">
      <c r="A19" s="40" t="s">
        <v>31</v>
      </c>
      <c r="B19" s="40" t="s">
        <v>93</v>
      </c>
      <c r="C19" s="40" t="s">
        <v>33</v>
      </c>
      <c r="D19" s="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40">
        <v>26</v>
      </c>
      <c r="F19" s="41"/>
      <c r="G19" s="40" t="s">
        <v>94</v>
      </c>
      <c r="H19" s="40" t="s">
        <v>51</v>
      </c>
      <c r="I19" s="40" t="s">
        <v>73</v>
      </c>
      <c r="J19" s="40"/>
      <c r="K19" s="42">
        <v>46203</v>
      </c>
      <c r="L19" s="40" t="s">
        <v>83</v>
      </c>
      <c r="M19" s="43">
        <v>46169</v>
      </c>
      <c r="N19" s="44"/>
      <c r="O19" s="44">
        <v>46169</v>
      </c>
      <c r="P19" s="45">
        <v>46191</v>
      </c>
      <c r="Q19" s="44"/>
      <c r="R19" s="44">
        <v>46191</v>
      </c>
      <c r="S19" s="46">
        <v>46196</v>
      </c>
      <c r="T19" s="44"/>
      <c r="U19" s="44">
        <v>46196</v>
      </c>
      <c r="V19" s="47"/>
      <c r="W19" s="44"/>
      <c r="X19" s="40"/>
      <c r="Y19" s="48" t="s">
        <v>39</v>
      </c>
      <c r="Z19" s="44">
        <v>46196</v>
      </c>
      <c r="AA19" s="49" t="s">
        <v>95</v>
      </c>
      <c r="AB19" s="40" t="s">
        <v>96</v>
      </c>
      <c r="AC19" s="50" t="s">
        <v>42</v>
      </c>
      <c r="AD19" s="51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52"/>
    </row>
    <row r="20" spans="1:31">
      <c r="A20" s="40" t="s">
        <v>31</v>
      </c>
      <c r="B20" s="40" t="s">
        <v>97</v>
      </c>
      <c r="C20" s="40" t="s">
        <v>33</v>
      </c>
      <c r="D20" s="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40">
        <v>27</v>
      </c>
      <c r="F20" s="41"/>
      <c r="G20" s="40" t="s">
        <v>82</v>
      </c>
      <c r="H20" s="40" t="s">
        <v>61</v>
      </c>
      <c r="I20" s="40" t="s">
        <v>73</v>
      </c>
      <c r="J20" s="40"/>
      <c r="K20" s="42">
        <v>46203</v>
      </c>
      <c r="L20" s="40" t="s">
        <v>83</v>
      </c>
      <c r="M20" s="43">
        <v>46168</v>
      </c>
      <c r="N20" s="44"/>
      <c r="O20" s="44">
        <v>46168</v>
      </c>
      <c r="P20" s="45">
        <v>46189</v>
      </c>
      <c r="Q20" s="44"/>
      <c r="R20" s="44">
        <v>46189</v>
      </c>
      <c r="S20" s="46">
        <v>46189</v>
      </c>
      <c r="T20" s="44"/>
      <c r="U20" s="44">
        <v>46189</v>
      </c>
      <c r="V20" s="47">
        <v>46192</v>
      </c>
      <c r="W20" s="44"/>
      <c r="X20" s="40"/>
      <c r="Y20" s="48" t="s">
        <v>39</v>
      </c>
      <c r="Z20" s="44">
        <v>46192</v>
      </c>
      <c r="AA20" s="49" t="s">
        <v>98</v>
      </c>
      <c r="AB20" s="40"/>
      <c r="AC20" s="50" t="s">
        <v>42</v>
      </c>
      <c r="AD20" s="51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/>
      </c>
      <c r="AE20" s="52"/>
    </row>
    <row r="21" spans="1:31">
      <c r="A21" s="40" t="s">
        <v>31</v>
      </c>
      <c r="B21" s="40" t="s">
        <v>99</v>
      </c>
      <c r="C21" s="40" t="s">
        <v>33</v>
      </c>
      <c r="D21" s="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40"/>
      <c r="F21" s="41"/>
      <c r="G21" s="40" t="s">
        <v>69</v>
      </c>
      <c r="H21" s="40" t="s">
        <v>61</v>
      </c>
      <c r="I21" s="40"/>
      <c r="J21" s="40"/>
      <c r="K21" s="42">
        <v>46203</v>
      </c>
      <c r="L21" s="40" t="s">
        <v>83</v>
      </c>
      <c r="M21" s="43">
        <v>46169</v>
      </c>
      <c r="N21" s="44"/>
      <c r="O21" s="44">
        <v>46169</v>
      </c>
      <c r="P21" s="45">
        <v>46195</v>
      </c>
      <c r="Q21" s="44"/>
      <c r="R21" s="44">
        <v>46195</v>
      </c>
      <c r="S21" s="46">
        <v>46197</v>
      </c>
      <c r="T21" s="44"/>
      <c r="U21" s="44">
        <v>46197</v>
      </c>
      <c r="V21" s="47"/>
      <c r="W21" s="44"/>
      <c r="X21" s="40"/>
      <c r="Y21" s="48" t="s">
        <v>39</v>
      </c>
      <c r="Z21" s="44">
        <v>46197</v>
      </c>
      <c r="AA21" s="49"/>
      <c r="AB21" s="40"/>
      <c r="AC21" s="50" t="s">
        <v>42</v>
      </c>
      <c r="AD21" s="51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52" t="s">
        <v>100</v>
      </c>
    </row>
    <row r="22" spans="1:31">
      <c r="A22" s="40" t="s">
        <v>101</v>
      </c>
      <c r="B22" s="40" t="s">
        <v>102</v>
      </c>
      <c r="C22" s="40" t="s">
        <v>103</v>
      </c>
      <c r="D22" s="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On track</v>
      </c>
      <c r="E22" s="40">
        <v>1</v>
      </c>
      <c r="F22" s="41" t="s">
        <v>104</v>
      </c>
      <c r="G22" s="40" t="s">
        <v>60</v>
      </c>
      <c r="H22" s="40" t="s">
        <v>51</v>
      </c>
      <c r="I22" s="40" t="s">
        <v>104</v>
      </c>
      <c r="J22" s="40"/>
      <c r="K22" s="42">
        <v>46234</v>
      </c>
      <c r="L22" s="40" t="s">
        <v>105</v>
      </c>
      <c r="M22" s="45">
        <v>46213</v>
      </c>
      <c r="N22" s="44"/>
      <c r="O22" s="45">
        <v>46213</v>
      </c>
      <c r="P22" s="45">
        <v>46223</v>
      </c>
      <c r="Q22" s="44"/>
      <c r="R22" s="44">
        <v>46223</v>
      </c>
      <c r="S22" s="46">
        <v>46227</v>
      </c>
      <c r="T22" s="44">
        <v>46237</v>
      </c>
      <c r="U22" s="44">
        <v>46227</v>
      </c>
      <c r="V22" s="47"/>
      <c r="W22" s="44"/>
      <c r="X22" s="40"/>
      <c r="Y22" s="48"/>
      <c r="Z22" s="44"/>
      <c r="AA22" s="49"/>
      <c r="AB22" s="40"/>
      <c r="AC22" s="50" t="s">
        <v>42</v>
      </c>
      <c r="AD22" s="51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52" t="s">
        <v>106</v>
      </c>
    </row>
    <row r="23" spans="1:31">
      <c r="A23" s="40" t="s">
        <v>101</v>
      </c>
      <c r="B23" s="40" t="s">
        <v>107</v>
      </c>
      <c r="C23" s="40" t="s">
        <v>103</v>
      </c>
      <c r="D23" s="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On track</v>
      </c>
      <c r="E23" s="40">
        <v>2</v>
      </c>
      <c r="F23" s="41" t="s">
        <v>104</v>
      </c>
      <c r="G23" s="40" t="s">
        <v>94</v>
      </c>
      <c r="H23" s="40" t="s">
        <v>61</v>
      </c>
      <c r="I23" s="40" t="s">
        <v>104</v>
      </c>
      <c r="J23" s="40"/>
      <c r="K23" s="42">
        <v>46234</v>
      </c>
      <c r="L23" s="40" t="s">
        <v>105</v>
      </c>
      <c r="M23" s="43">
        <v>46224</v>
      </c>
      <c r="N23" s="44"/>
      <c r="O23" s="43">
        <v>46224</v>
      </c>
      <c r="P23" s="45">
        <v>46224</v>
      </c>
      <c r="Q23" s="44"/>
      <c r="R23" s="44">
        <v>46224</v>
      </c>
      <c r="S23" s="46">
        <v>46227</v>
      </c>
      <c r="T23" s="44"/>
      <c r="U23" s="44">
        <v>46227</v>
      </c>
      <c r="V23" s="47"/>
      <c r="W23" s="44"/>
      <c r="X23" s="40"/>
      <c r="Y23" s="48"/>
      <c r="Z23" s="44"/>
      <c r="AA23" s="49"/>
      <c r="AB23" s="40"/>
      <c r="AC23" s="50" t="s">
        <v>42</v>
      </c>
      <c r="AD23" s="51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52" t="s">
        <v>108</v>
      </c>
    </row>
    <row r="24" spans="1:31">
      <c r="A24" s="40" t="s">
        <v>101</v>
      </c>
      <c r="B24" s="40" t="s">
        <v>109</v>
      </c>
      <c r="C24" s="40" t="s">
        <v>110</v>
      </c>
      <c r="D24" s="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Overdue</v>
      </c>
      <c r="E24" s="40">
        <v>3</v>
      </c>
      <c r="F24" s="41" t="s">
        <v>104</v>
      </c>
      <c r="G24" s="40" t="s">
        <v>94</v>
      </c>
      <c r="H24" s="40" t="s">
        <v>61</v>
      </c>
      <c r="I24" s="40" t="s">
        <v>104</v>
      </c>
      <c r="J24" s="40"/>
      <c r="K24" s="42">
        <v>46234</v>
      </c>
      <c r="L24" s="40" t="s">
        <v>105</v>
      </c>
      <c r="M24" s="43">
        <v>46224</v>
      </c>
      <c r="N24" s="44"/>
      <c r="O24" s="43">
        <v>46224</v>
      </c>
      <c r="P24" s="45">
        <v>46230</v>
      </c>
      <c r="Q24" s="44"/>
      <c r="R24" s="44"/>
      <c r="S24" s="46"/>
      <c r="T24" s="44"/>
      <c r="U24" s="44"/>
      <c r="V24" s="47"/>
      <c r="W24" s="44"/>
      <c r="X24" s="40"/>
      <c r="Y24" s="48"/>
      <c r="Z24" s="44"/>
      <c r="AA24" s="49"/>
      <c r="AB24" s="40"/>
      <c r="AC24" s="50" t="s">
        <v>42</v>
      </c>
      <c r="AD24" s="51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/>
      </c>
      <c r="AE24" s="52" t="s">
        <v>111</v>
      </c>
    </row>
    <row r="25" spans="1:31">
      <c r="A25" s="40" t="s">
        <v>101</v>
      </c>
      <c r="B25" s="40" t="s">
        <v>112</v>
      </c>
      <c r="C25" s="40" t="s">
        <v>110</v>
      </c>
      <c r="D25" s="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Overdue</v>
      </c>
      <c r="E25" s="40">
        <v>4</v>
      </c>
      <c r="F25" s="41" t="s">
        <v>104</v>
      </c>
      <c r="G25" s="40" t="s">
        <v>50</v>
      </c>
      <c r="H25" s="40" t="s">
        <v>35</v>
      </c>
      <c r="I25" s="40" t="s">
        <v>104</v>
      </c>
      <c r="J25" s="40"/>
      <c r="K25" s="42">
        <v>46234</v>
      </c>
      <c r="L25" s="40" t="s">
        <v>105</v>
      </c>
      <c r="M25" s="45">
        <v>46217</v>
      </c>
      <c r="N25" s="44"/>
      <c r="O25" s="45">
        <v>46217</v>
      </c>
      <c r="P25" s="45">
        <v>46230</v>
      </c>
      <c r="Q25" s="44"/>
      <c r="R25" s="44"/>
      <c r="S25" s="46"/>
      <c r="T25" s="44"/>
      <c r="U25" s="44"/>
      <c r="V25" s="47"/>
      <c r="W25" s="44"/>
      <c r="X25" s="40"/>
      <c r="Y25" s="48"/>
      <c r="Z25" s="44"/>
      <c r="AA25" s="49"/>
      <c r="AB25" s="40"/>
      <c r="AC25" s="50" t="s">
        <v>42</v>
      </c>
      <c r="AD25" s="51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52" t="s">
        <v>113</v>
      </c>
    </row>
    <row r="26" spans="1:31">
      <c r="A26" s="40" t="s">
        <v>101</v>
      </c>
      <c r="B26" s="40" t="s">
        <v>114</v>
      </c>
      <c r="C26" s="40" t="s">
        <v>103</v>
      </c>
      <c r="D26" s="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On track</v>
      </c>
      <c r="E26" s="40">
        <v>5</v>
      </c>
      <c r="F26" s="41" t="s">
        <v>104</v>
      </c>
      <c r="G26" s="40" t="s">
        <v>82</v>
      </c>
      <c r="H26" s="40" t="s">
        <v>61</v>
      </c>
      <c r="I26" s="40" t="s">
        <v>36</v>
      </c>
      <c r="J26" s="40"/>
      <c r="K26" s="42">
        <v>46234</v>
      </c>
      <c r="L26" s="40" t="s">
        <v>105</v>
      </c>
      <c r="M26" s="45">
        <v>46215</v>
      </c>
      <c r="N26" s="44"/>
      <c r="O26" s="45">
        <v>46215</v>
      </c>
      <c r="P26" s="45">
        <v>46218</v>
      </c>
      <c r="Q26" s="44"/>
      <c r="R26" s="44">
        <v>46226</v>
      </c>
      <c r="S26" s="46">
        <v>46225</v>
      </c>
      <c r="T26" s="44">
        <v>46231</v>
      </c>
      <c r="U26" s="44">
        <v>46234</v>
      </c>
      <c r="V26" s="47"/>
      <c r="W26" s="44"/>
      <c r="X26" s="40"/>
      <c r="Y26" s="48"/>
      <c r="Z26" s="44"/>
      <c r="AA26" s="49"/>
      <c r="AB26" s="40"/>
      <c r="AC26" s="50" t="s">
        <v>42</v>
      </c>
      <c r="AD26" s="51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52" t="s">
        <v>115</v>
      </c>
    </row>
    <row r="27" spans="1:31">
      <c r="A27" s="40" t="s">
        <v>101</v>
      </c>
      <c r="B27" s="40" t="s">
        <v>116</v>
      </c>
      <c r="C27" s="40" t="s">
        <v>117</v>
      </c>
      <c r="D27" s="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On track</v>
      </c>
      <c r="E27" s="40">
        <v>6</v>
      </c>
      <c r="F27" s="41" t="s">
        <v>118</v>
      </c>
      <c r="G27" s="40" t="s">
        <v>69</v>
      </c>
      <c r="H27" s="40" t="s">
        <v>51</v>
      </c>
      <c r="I27" s="40" t="s">
        <v>118</v>
      </c>
      <c r="J27" s="40"/>
      <c r="K27" s="42">
        <v>46234</v>
      </c>
      <c r="L27" s="40" t="s">
        <v>105</v>
      </c>
      <c r="M27" s="43">
        <v>46234</v>
      </c>
      <c r="N27" s="44"/>
      <c r="O27" s="44">
        <v>46239</v>
      </c>
      <c r="P27" s="45">
        <v>46220</v>
      </c>
      <c r="Q27" s="44"/>
      <c r="R27" s="44">
        <v>46220</v>
      </c>
      <c r="S27" s="46">
        <v>46225</v>
      </c>
      <c r="T27" s="44"/>
      <c r="U27" s="44">
        <v>46225</v>
      </c>
      <c r="V27" s="47"/>
      <c r="W27" s="44"/>
      <c r="X27" s="40"/>
      <c r="Y27" s="48"/>
      <c r="Z27" s="44"/>
      <c r="AA27" s="49"/>
      <c r="AB27" s="40"/>
      <c r="AC27" s="50" t="s">
        <v>42</v>
      </c>
      <c r="AD27" s="51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52" t="s">
        <v>119</v>
      </c>
    </row>
    <row r="28" spans="1:31">
      <c r="A28" s="40" t="s">
        <v>101</v>
      </c>
      <c r="B28" s="40" t="s">
        <v>120</v>
      </c>
      <c r="C28" s="40" t="s">
        <v>117</v>
      </c>
      <c r="D28" s="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Blocked - needs PBI Dev to fix</v>
      </c>
      <c r="E28" s="40">
        <v>7</v>
      </c>
      <c r="F28" s="41" t="s">
        <v>118</v>
      </c>
      <c r="G28" s="40" t="s">
        <v>94</v>
      </c>
      <c r="H28" s="40" t="s">
        <v>35</v>
      </c>
      <c r="I28" s="40" t="s">
        <v>118</v>
      </c>
      <c r="J28" s="40"/>
      <c r="K28" s="42">
        <v>46234</v>
      </c>
      <c r="L28" s="40" t="s">
        <v>105</v>
      </c>
      <c r="M28" s="43">
        <v>46227</v>
      </c>
      <c r="N28" s="44"/>
      <c r="O28" s="43">
        <v>46227</v>
      </c>
      <c r="P28" s="45">
        <v>46223</v>
      </c>
      <c r="Q28" s="44"/>
      <c r="R28" s="44">
        <v>46223</v>
      </c>
      <c r="S28" s="46">
        <v>46225</v>
      </c>
      <c r="T28" s="44"/>
      <c r="U28" s="44"/>
      <c r="V28" s="47"/>
      <c r="W28" s="44"/>
      <c r="X28" s="40"/>
      <c r="Y28" s="48"/>
      <c r="Z28" s="44"/>
      <c r="AA28" s="49"/>
      <c r="AB28" s="40"/>
      <c r="AC28" s="50" t="s">
        <v>121</v>
      </c>
      <c r="AD28" s="51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>Blocked - log it on Rework Log</v>
      </c>
      <c r="AE28" s="52" t="s">
        <v>122</v>
      </c>
    </row>
    <row r="29" spans="1:31">
      <c r="A29" s="40" t="s">
        <v>101</v>
      </c>
      <c r="B29" s="40" t="s">
        <v>123</v>
      </c>
      <c r="C29" s="40" t="s">
        <v>103</v>
      </c>
      <c r="D29" s="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On track</v>
      </c>
      <c r="E29" s="40">
        <v>8</v>
      </c>
      <c r="F29" s="41" t="s">
        <v>118</v>
      </c>
      <c r="G29" s="40" t="s">
        <v>94</v>
      </c>
      <c r="H29" s="40" t="s">
        <v>35</v>
      </c>
      <c r="I29" s="40" t="s">
        <v>118</v>
      </c>
      <c r="J29" s="40"/>
      <c r="K29" s="42">
        <v>46234</v>
      </c>
      <c r="L29" s="40" t="s">
        <v>105</v>
      </c>
      <c r="M29" s="43">
        <v>46231</v>
      </c>
      <c r="N29" s="44"/>
      <c r="O29" s="44">
        <v>46231</v>
      </c>
      <c r="P29" s="45">
        <v>46224</v>
      </c>
      <c r="Q29" s="44"/>
      <c r="R29" s="44"/>
      <c r="S29" s="46">
        <v>46240</v>
      </c>
      <c r="T29" s="44"/>
      <c r="U29" s="44"/>
      <c r="V29" s="47"/>
      <c r="W29" s="44"/>
      <c r="X29" s="40"/>
      <c r="Y29" s="48"/>
      <c r="Z29" s="44"/>
      <c r="AA29" s="49"/>
      <c r="AB29" s="40"/>
      <c r="AC29" s="50" t="s">
        <v>42</v>
      </c>
      <c r="AD29" s="51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52" t="s">
        <v>124</v>
      </c>
    </row>
    <row r="30" spans="1:31">
      <c r="A30" s="40" t="s">
        <v>101</v>
      </c>
      <c r="B30" s="40" t="s">
        <v>125</v>
      </c>
      <c r="C30" s="40" t="s">
        <v>103</v>
      </c>
      <c r="D30" s="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On track</v>
      </c>
      <c r="E30" s="40">
        <v>9</v>
      </c>
      <c r="F30" s="41" t="s">
        <v>118</v>
      </c>
      <c r="G30" s="40" t="s">
        <v>69</v>
      </c>
      <c r="H30" s="40" t="s">
        <v>51</v>
      </c>
      <c r="I30" s="40" t="s">
        <v>118</v>
      </c>
      <c r="J30" s="40"/>
      <c r="K30" s="42">
        <v>46234</v>
      </c>
      <c r="L30" s="40" t="s">
        <v>105</v>
      </c>
      <c r="M30" s="43">
        <v>46234</v>
      </c>
      <c r="N30" s="44"/>
      <c r="O30" s="44">
        <v>46239</v>
      </c>
      <c r="P30" s="45">
        <v>46230</v>
      </c>
      <c r="Q30" s="44"/>
      <c r="R30" s="44"/>
      <c r="S30" s="46">
        <v>46240</v>
      </c>
      <c r="T30" s="44"/>
      <c r="U30" s="44"/>
      <c r="V30" s="47"/>
      <c r="W30" s="44"/>
      <c r="X30" s="40"/>
      <c r="Y30" s="48"/>
      <c r="Z30" s="44"/>
      <c r="AA30" s="49"/>
      <c r="AB30" s="40"/>
      <c r="AC30" s="50" t="s">
        <v>42</v>
      </c>
      <c r="AD30" s="51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/>
      </c>
      <c r="AE30" s="52" t="s">
        <v>126</v>
      </c>
    </row>
    <row r="31" spans="1:31">
      <c r="A31" s="40" t="s">
        <v>101</v>
      </c>
      <c r="B31" s="40" t="s">
        <v>127</v>
      </c>
      <c r="C31" s="40" t="s">
        <v>103</v>
      </c>
      <c r="D31" s="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40" t="s">
        <v>128</v>
      </c>
      <c r="F31" s="41" t="s">
        <v>118</v>
      </c>
      <c r="G31" s="40" t="s">
        <v>129</v>
      </c>
      <c r="H31" s="40" t="s">
        <v>51</v>
      </c>
      <c r="I31" s="40" t="s">
        <v>118</v>
      </c>
      <c r="J31" s="40"/>
      <c r="K31" s="42">
        <v>46234</v>
      </c>
      <c r="L31" s="40" t="s">
        <v>105</v>
      </c>
      <c r="M31" s="43">
        <v>46227</v>
      </c>
      <c r="N31" s="44"/>
      <c r="O31" s="43">
        <v>46227</v>
      </c>
      <c r="P31" s="45">
        <v>46230</v>
      </c>
      <c r="Q31" s="44"/>
      <c r="R31" s="44"/>
      <c r="S31" s="46">
        <v>46238</v>
      </c>
      <c r="T31" s="44"/>
      <c r="U31" s="44"/>
      <c r="V31" s="47"/>
      <c r="W31" s="44"/>
      <c r="X31" s="40"/>
      <c r="Y31" s="48"/>
      <c r="Z31" s="44"/>
      <c r="AA31" s="49"/>
      <c r="AB31" s="40"/>
      <c r="AC31" s="50" t="s">
        <v>42</v>
      </c>
      <c r="AD31" s="51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52"/>
    </row>
    <row r="32" spans="1:31">
      <c r="A32" s="40" t="s">
        <v>101</v>
      </c>
      <c r="B32" s="40" t="s">
        <v>130</v>
      </c>
      <c r="C32" s="40" t="s">
        <v>103</v>
      </c>
      <c r="D32" s="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On track</v>
      </c>
      <c r="E32" s="40">
        <v>11</v>
      </c>
      <c r="F32" s="41" t="s">
        <v>118</v>
      </c>
      <c r="G32" s="40" t="s">
        <v>129</v>
      </c>
      <c r="H32" s="40" t="s">
        <v>61</v>
      </c>
      <c r="I32" s="40" t="s">
        <v>36</v>
      </c>
      <c r="J32" s="40"/>
      <c r="K32" s="42">
        <v>46234</v>
      </c>
      <c r="L32" s="40" t="s">
        <v>105</v>
      </c>
      <c r="M32" s="43">
        <v>46223</v>
      </c>
      <c r="N32" s="44"/>
      <c r="O32" s="44">
        <v>46223</v>
      </c>
      <c r="P32" s="45">
        <v>46230</v>
      </c>
      <c r="Q32" s="44"/>
      <c r="R32" s="44">
        <v>46226</v>
      </c>
      <c r="S32" s="46">
        <v>46238</v>
      </c>
      <c r="T32" s="44"/>
      <c r="U32" s="44"/>
      <c r="V32" s="47"/>
      <c r="W32" s="44"/>
      <c r="X32" s="40"/>
      <c r="Y32" s="48"/>
      <c r="Z32" s="44"/>
      <c r="AA32" s="49"/>
      <c r="AB32" s="40"/>
      <c r="AC32" s="50" t="s">
        <v>42</v>
      </c>
      <c r="AD32" s="51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52" t="s">
        <v>131</v>
      </c>
    </row>
    <row r="33" spans="1:31">
      <c r="A33" s="40" t="s">
        <v>101</v>
      </c>
      <c r="B33" s="40" t="s">
        <v>132</v>
      </c>
      <c r="C33" s="40" t="s">
        <v>110</v>
      </c>
      <c r="D33" s="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Overdue</v>
      </c>
      <c r="E33" s="40">
        <v>13</v>
      </c>
      <c r="F33" s="41" t="s">
        <v>104</v>
      </c>
      <c r="G33" s="40" t="s">
        <v>60</v>
      </c>
      <c r="H33" s="40" t="s">
        <v>35</v>
      </c>
      <c r="I33" s="40" t="s">
        <v>36</v>
      </c>
      <c r="J33" s="40"/>
      <c r="K33" s="42">
        <v>46234</v>
      </c>
      <c r="L33" s="40" t="s">
        <v>105</v>
      </c>
      <c r="M33" s="45">
        <v>46234</v>
      </c>
      <c r="N33" s="44"/>
      <c r="O33" s="45">
        <v>46234</v>
      </c>
      <c r="P33" s="45">
        <v>46230</v>
      </c>
      <c r="Q33" s="44"/>
      <c r="R33" s="44"/>
      <c r="S33" s="46"/>
      <c r="T33" s="44"/>
      <c r="U33" s="44"/>
      <c r="V33" s="47"/>
      <c r="W33" s="44"/>
      <c r="X33" s="40"/>
      <c r="Y33" s="48"/>
      <c r="Z33" s="44"/>
      <c r="AA33" s="49"/>
      <c r="AB33" s="40"/>
      <c r="AC33" s="50" t="s">
        <v>42</v>
      </c>
      <c r="AD33" s="51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52"/>
    </row>
    <row r="34" spans="1:31">
      <c r="A34" s="40" t="s">
        <v>101</v>
      </c>
      <c r="B34" s="40" t="s">
        <v>133</v>
      </c>
      <c r="C34" s="40" t="s">
        <v>110</v>
      </c>
      <c r="D34" s="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Overdue</v>
      </c>
      <c r="E34" s="40">
        <v>14</v>
      </c>
      <c r="F34" s="41" t="s">
        <v>104</v>
      </c>
      <c r="G34" s="40" t="s">
        <v>50</v>
      </c>
      <c r="H34" s="40" t="s">
        <v>51</v>
      </c>
      <c r="I34" s="40" t="s">
        <v>36</v>
      </c>
      <c r="J34" s="40"/>
      <c r="K34" s="42">
        <v>46234</v>
      </c>
      <c r="L34" s="40" t="s">
        <v>105</v>
      </c>
      <c r="M34" s="45">
        <v>46226</v>
      </c>
      <c r="N34" s="43"/>
      <c r="O34" s="45">
        <v>46233</v>
      </c>
      <c r="P34" s="45">
        <v>46230</v>
      </c>
      <c r="Q34" s="44"/>
      <c r="R34" s="44"/>
      <c r="S34" s="46"/>
      <c r="T34" s="44"/>
      <c r="U34" s="44"/>
      <c r="V34" s="47"/>
      <c r="W34" s="44"/>
      <c r="X34" s="40"/>
      <c r="Y34" s="48"/>
      <c r="Z34" s="44"/>
      <c r="AA34" s="49"/>
      <c r="AB34" s="40"/>
      <c r="AC34" s="50" t="s">
        <v>42</v>
      </c>
      <c r="AD34" s="51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Log'!$A$3:$A$500,$B34)&gt;0,"",IF(AND(S34&lt;&gt;"",M35&lt;&gt;"",S34&lt;M35),"QA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52"/>
    </row>
    <row r="35" spans="1:31">
      <c r="A35" s="40" t="s">
        <v>101</v>
      </c>
      <c r="B35" s="40" t="s">
        <v>134</v>
      </c>
      <c r="C35" s="40" t="s">
        <v>110</v>
      </c>
      <c r="D35" s="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Overdue</v>
      </c>
      <c r="E35" s="40">
        <v>15</v>
      </c>
      <c r="F35" s="41" t="s">
        <v>118</v>
      </c>
      <c r="G35" s="40" t="s">
        <v>60</v>
      </c>
      <c r="H35" s="40" t="s">
        <v>61</v>
      </c>
      <c r="I35" s="40" t="s">
        <v>36</v>
      </c>
      <c r="J35" s="40"/>
      <c r="K35" s="42">
        <v>46234</v>
      </c>
      <c r="L35" s="40" t="s">
        <v>105</v>
      </c>
      <c r="M35" s="43">
        <v>46239</v>
      </c>
      <c r="N35" s="44"/>
      <c r="O35" s="44"/>
      <c r="P35" s="45">
        <v>46230</v>
      </c>
      <c r="Q35" s="44"/>
      <c r="R35" s="44"/>
      <c r="S35" s="46"/>
      <c r="T35" s="44"/>
      <c r="U35" s="44"/>
      <c r="V35" s="47"/>
      <c r="W35" s="44"/>
      <c r="X35" s="40"/>
      <c r="Y35" s="48"/>
      <c r="Z35" s="44"/>
      <c r="AA35" s="49"/>
      <c r="AB35" s="40"/>
      <c r="AC35" s="50" t="s">
        <v>42</v>
      </c>
      <c r="AD35" s="51" t="e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Log'!$A$3:$A$500,$B35)&gt;0,"",IF(AND(S35&lt;&gt;"",#REF!&lt;&gt;"",S35&lt;#REF!),"QA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>#REF!</v>
      </c>
      <c r="AE35" s="52"/>
    </row>
    <row r="36" spans="1:31">
      <c r="A36" s="40" t="s">
        <v>101</v>
      </c>
      <c r="B36" s="40" t="s">
        <v>135</v>
      </c>
      <c r="C36" s="40" t="s">
        <v>110</v>
      </c>
      <c r="D36" s="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40" t="s">
        <v>136</v>
      </c>
      <c r="F36" s="41"/>
      <c r="G36" s="40" t="s">
        <v>82</v>
      </c>
      <c r="H36" s="40"/>
      <c r="I36" s="40"/>
      <c r="J36" s="40"/>
      <c r="K36" s="42">
        <v>46265</v>
      </c>
      <c r="L36" s="40" t="s">
        <v>137</v>
      </c>
      <c r="M36" s="43">
        <v>46246</v>
      </c>
      <c r="N36" s="44"/>
      <c r="O36" s="44"/>
      <c r="P36" s="45"/>
      <c r="Q36" s="44"/>
      <c r="R36" s="44"/>
      <c r="S36" s="46"/>
      <c r="T36" s="44"/>
      <c r="U36" s="44"/>
      <c r="V36" s="47"/>
      <c r="W36" s="44"/>
      <c r="X36" s="40"/>
      <c r="Y36" s="48"/>
      <c r="Z36" s="44"/>
      <c r="AA36" s="49"/>
      <c r="AB36" s="40"/>
      <c r="AC36" s="50" t="s">
        <v>42</v>
      </c>
      <c r="AD36" s="51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52"/>
    </row>
    <row r="37" spans="1:31">
      <c r="A37" s="40" t="s">
        <v>101</v>
      </c>
      <c r="B37" s="40" t="s">
        <v>138</v>
      </c>
      <c r="C37" s="40" t="s">
        <v>139</v>
      </c>
      <c r="D37" s="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On track</v>
      </c>
      <c r="E37" s="40">
        <v>18</v>
      </c>
      <c r="F37" s="41"/>
      <c r="G37" s="40" t="s">
        <v>50</v>
      </c>
      <c r="H37" s="40"/>
      <c r="I37" s="40"/>
      <c r="J37" s="40"/>
      <c r="K37" s="42">
        <v>46265</v>
      </c>
      <c r="L37" s="40" t="s">
        <v>137</v>
      </c>
      <c r="M37" s="43"/>
      <c r="N37" s="44"/>
      <c r="O37" s="44"/>
      <c r="P37" s="45"/>
      <c r="Q37" s="44"/>
      <c r="R37" s="44"/>
      <c r="S37" s="46"/>
      <c r="T37" s="44"/>
      <c r="U37" s="44"/>
      <c r="V37" s="47"/>
      <c r="W37" s="44"/>
      <c r="X37" s="40"/>
      <c r="Y37" s="48"/>
      <c r="Z37" s="44"/>
      <c r="AA37" s="49"/>
      <c r="AB37" s="40"/>
      <c r="AC37" s="50" t="s">
        <v>42</v>
      </c>
      <c r="AD37" s="51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52"/>
    </row>
    <row r="38" spans="1:31">
      <c r="A38" s="40" t="s">
        <v>101</v>
      </c>
      <c r="B38" s="40" t="s">
        <v>140</v>
      </c>
      <c r="C38" s="40" t="s">
        <v>139</v>
      </c>
      <c r="D38" s="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On track</v>
      </c>
      <c r="E38" s="40">
        <v>19</v>
      </c>
      <c r="F38" s="41"/>
      <c r="G38" s="40" t="s">
        <v>34</v>
      </c>
      <c r="H38" s="40"/>
      <c r="I38" s="40"/>
      <c r="J38" s="40"/>
      <c r="K38" s="42">
        <v>46265</v>
      </c>
      <c r="L38" s="40" t="s">
        <v>137</v>
      </c>
      <c r="M38" s="43"/>
      <c r="N38" s="44"/>
      <c r="O38" s="44"/>
      <c r="P38" s="45"/>
      <c r="Q38" s="44"/>
      <c r="R38" s="44"/>
      <c r="S38" s="46"/>
      <c r="T38" s="44"/>
      <c r="U38" s="44"/>
      <c r="V38" s="47"/>
      <c r="W38" s="44"/>
      <c r="X38" s="40"/>
      <c r="Y38" s="48"/>
      <c r="Z38" s="44"/>
      <c r="AA38" s="49"/>
      <c r="AB38" s="40"/>
      <c r="AC38" s="50" t="s">
        <v>42</v>
      </c>
      <c r="AD38" s="51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52"/>
    </row>
    <row r="39" spans="1:31">
      <c r="A39" s="40" t="s">
        <v>101</v>
      </c>
      <c r="B39" s="40" t="s">
        <v>141</v>
      </c>
      <c r="C39" s="40" t="s">
        <v>103</v>
      </c>
      <c r="D39" s="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No target set</v>
      </c>
      <c r="E39" s="40">
        <v>20</v>
      </c>
      <c r="F39" s="41"/>
      <c r="G39" s="40" t="s">
        <v>69</v>
      </c>
      <c r="H39" s="40"/>
      <c r="I39" s="40"/>
      <c r="J39" s="40"/>
      <c r="K39" s="42">
        <v>46265</v>
      </c>
      <c r="L39" s="40" t="s">
        <v>137</v>
      </c>
      <c r="M39" s="43">
        <v>46213</v>
      </c>
      <c r="N39" s="44">
        <v>46213</v>
      </c>
      <c r="O39" s="44">
        <v>46213</v>
      </c>
      <c r="P39" s="45"/>
      <c r="Q39" s="44"/>
      <c r="R39" s="44"/>
      <c r="S39" s="46"/>
      <c r="T39" s="44"/>
      <c r="U39" s="44"/>
      <c r="V39" s="47"/>
      <c r="W39" s="44"/>
      <c r="X39" s="40"/>
      <c r="Y39" s="48"/>
      <c r="Z39" s="44"/>
      <c r="AA39" s="49"/>
      <c r="AB39" s="40"/>
      <c r="AC39" s="50" t="s">
        <v>42</v>
      </c>
      <c r="AD39" s="51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52"/>
    </row>
    <row r="40" spans="1:31">
      <c r="A40" s="40" t="s">
        <v>101</v>
      </c>
      <c r="B40" s="40" t="s">
        <v>142</v>
      </c>
      <c r="C40" s="40" t="s">
        <v>139</v>
      </c>
      <c r="D40" s="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On track</v>
      </c>
      <c r="E40" s="40">
        <v>21</v>
      </c>
      <c r="F40" s="41"/>
      <c r="G40" s="40" t="s">
        <v>129</v>
      </c>
      <c r="H40" s="40"/>
      <c r="I40" s="40"/>
      <c r="J40" s="40"/>
      <c r="K40" s="42">
        <v>46265</v>
      </c>
      <c r="L40" s="40" t="s">
        <v>137</v>
      </c>
      <c r="M40" s="43">
        <v>46239</v>
      </c>
      <c r="N40" s="44"/>
      <c r="O40" s="44"/>
      <c r="P40" s="45"/>
      <c r="Q40" s="44"/>
      <c r="R40" s="44"/>
      <c r="S40" s="46"/>
      <c r="T40" s="44"/>
      <c r="U40" s="44"/>
      <c r="V40" s="47"/>
      <c r="W40" s="44"/>
      <c r="X40" s="40"/>
      <c r="Y40" s="48"/>
      <c r="Z40" s="44"/>
      <c r="AA40" s="49"/>
      <c r="AB40" s="40"/>
      <c r="AC40" s="50" t="s">
        <v>42</v>
      </c>
      <c r="AD40" s="51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52"/>
    </row>
    <row r="41" spans="1:31">
      <c r="A41" s="40" t="s">
        <v>101</v>
      </c>
      <c r="B41" s="40" t="s">
        <v>143</v>
      </c>
      <c r="C41" s="40" t="s">
        <v>139</v>
      </c>
      <c r="D41" s="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On track</v>
      </c>
      <c r="E41" s="40">
        <v>22</v>
      </c>
      <c r="F41" s="41"/>
      <c r="G41" s="40" t="s">
        <v>50</v>
      </c>
      <c r="H41" s="40"/>
      <c r="I41" s="40"/>
      <c r="J41" s="40"/>
      <c r="K41" s="42">
        <v>46265</v>
      </c>
      <c r="L41" s="40" t="s">
        <v>137</v>
      </c>
      <c r="M41" s="43"/>
      <c r="N41" s="44"/>
      <c r="O41" s="44"/>
      <c r="P41" s="45"/>
      <c r="Q41" s="44"/>
      <c r="R41" s="44"/>
      <c r="S41" s="46"/>
      <c r="T41" s="44"/>
      <c r="U41" s="44"/>
      <c r="V41" s="47"/>
      <c r="W41" s="44"/>
      <c r="X41" s="40"/>
      <c r="Y41" s="48"/>
      <c r="Z41" s="44"/>
      <c r="AA41" s="49"/>
      <c r="AB41" s="40"/>
      <c r="AC41" s="50" t="s">
        <v>42</v>
      </c>
      <c r="AD41" s="51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52"/>
    </row>
    <row r="42" spans="1:31">
      <c r="A42" s="40" t="s">
        <v>101</v>
      </c>
      <c r="B42" s="40" t="s">
        <v>144</v>
      </c>
      <c r="C42" s="40" t="s">
        <v>139</v>
      </c>
      <c r="D42" s="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On track</v>
      </c>
      <c r="E42" s="40">
        <v>23</v>
      </c>
      <c r="F42" s="41"/>
      <c r="G42" s="40" t="s">
        <v>129</v>
      </c>
      <c r="H42" s="40"/>
      <c r="I42" s="40"/>
      <c r="J42" s="40"/>
      <c r="K42" s="42">
        <v>46265</v>
      </c>
      <c r="L42" s="40" t="s">
        <v>137</v>
      </c>
      <c r="M42" s="43">
        <v>46253</v>
      </c>
      <c r="N42" s="44"/>
      <c r="O42" s="44"/>
      <c r="P42" s="45"/>
      <c r="Q42" s="44"/>
      <c r="R42" s="44"/>
      <c r="S42" s="46"/>
      <c r="T42" s="44"/>
      <c r="U42" s="44"/>
      <c r="V42" s="47"/>
      <c r="W42" s="44"/>
      <c r="X42" s="40"/>
      <c r="Y42" s="48"/>
      <c r="Z42" s="44"/>
      <c r="AA42" s="49"/>
      <c r="AB42" s="40"/>
      <c r="AC42" s="50" t="s">
        <v>42</v>
      </c>
      <c r="AD42" s="51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52"/>
    </row>
    <row r="43" spans="1:31">
      <c r="A43" s="40" t="s">
        <v>101</v>
      </c>
      <c r="B43" s="40" t="s">
        <v>145</v>
      </c>
      <c r="C43" s="40" t="s">
        <v>139</v>
      </c>
      <c r="D43" s="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On track</v>
      </c>
      <c r="E43" s="40">
        <v>25</v>
      </c>
      <c r="F43" s="41"/>
      <c r="G43" s="40" t="s">
        <v>34</v>
      </c>
      <c r="H43" s="40"/>
      <c r="I43" s="40"/>
      <c r="J43" s="40"/>
      <c r="K43" s="42">
        <v>46265</v>
      </c>
      <c r="L43" s="40" t="s">
        <v>137</v>
      </c>
      <c r="M43" s="43"/>
      <c r="N43" s="44"/>
      <c r="O43" s="44"/>
      <c r="P43" s="45"/>
      <c r="Q43" s="44"/>
      <c r="R43" s="44"/>
      <c r="S43" s="46"/>
      <c r="T43" s="44"/>
      <c r="U43" s="44"/>
      <c r="V43" s="47"/>
      <c r="W43" s="44"/>
      <c r="X43" s="40"/>
      <c r="Y43" s="48"/>
      <c r="Z43" s="44"/>
      <c r="AA43" s="49"/>
      <c r="AB43" s="40"/>
      <c r="AC43" s="50" t="s">
        <v>42</v>
      </c>
      <c r="AD43" s="51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52"/>
    </row>
    <row r="44" spans="1:31">
      <c r="A44" s="40" t="s">
        <v>101</v>
      </c>
      <c r="B44" s="40" t="s">
        <v>146</v>
      </c>
      <c r="C44" s="40" t="s">
        <v>139</v>
      </c>
      <c r="D44" s="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On track</v>
      </c>
      <c r="E44" s="40">
        <v>26</v>
      </c>
      <c r="F44" s="41"/>
      <c r="G44" s="40" t="s">
        <v>69</v>
      </c>
      <c r="H44" s="40"/>
      <c r="I44" s="40"/>
      <c r="J44" s="40"/>
      <c r="K44" s="42">
        <v>46265</v>
      </c>
      <c r="L44" s="40" t="s">
        <v>137</v>
      </c>
      <c r="M44" s="43">
        <v>46255</v>
      </c>
      <c r="N44" s="44">
        <v>46255</v>
      </c>
      <c r="O44" s="44">
        <v>46255</v>
      </c>
      <c r="P44" s="45"/>
      <c r="Q44" s="44"/>
      <c r="R44" s="44"/>
      <c r="S44" s="46"/>
      <c r="T44" s="44"/>
      <c r="U44" s="44"/>
      <c r="V44" s="47"/>
      <c r="W44" s="44"/>
      <c r="X44" s="40"/>
      <c r="Y44" s="48"/>
      <c r="Z44" s="44"/>
      <c r="AA44" s="49"/>
      <c r="AB44" s="40"/>
      <c r="AC44" s="50" t="s">
        <v>42</v>
      </c>
      <c r="AD44" s="51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52"/>
    </row>
    <row r="45" spans="1:31">
      <c r="A45" s="40" t="s">
        <v>101</v>
      </c>
      <c r="B45" s="40" t="s">
        <v>147</v>
      </c>
      <c r="C45" s="40" t="s">
        <v>139</v>
      </c>
      <c r="D45" s="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40">
        <v>27</v>
      </c>
      <c r="F45" s="41"/>
      <c r="G45" s="40" t="s">
        <v>94</v>
      </c>
      <c r="H45" s="40"/>
      <c r="I45" s="40"/>
      <c r="J45" s="40"/>
      <c r="K45" s="42">
        <v>46265</v>
      </c>
      <c r="L45" s="40" t="s">
        <v>137</v>
      </c>
      <c r="M45" s="43">
        <v>46253</v>
      </c>
      <c r="N45" s="44"/>
      <c r="O45" s="44"/>
      <c r="P45" s="45"/>
      <c r="Q45" s="44"/>
      <c r="R45" s="44"/>
      <c r="S45" s="46"/>
      <c r="T45" s="44"/>
      <c r="U45" s="44"/>
      <c r="V45" s="47"/>
      <c r="W45" s="44"/>
      <c r="X45" s="40"/>
      <c r="Y45" s="48"/>
      <c r="Z45" s="44"/>
      <c r="AA45" s="49"/>
      <c r="AB45" s="40"/>
      <c r="AC45" s="50" t="s">
        <v>42</v>
      </c>
      <c r="AD45" s="51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52"/>
    </row>
    <row r="46" spans="1:31">
      <c r="A46" s="40" t="s">
        <v>101</v>
      </c>
      <c r="B46" s="40" t="s">
        <v>148</v>
      </c>
      <c r="C46" s="40" t="s">
        <v>139</v>
      </c>
      <c r="D46" s="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40">
        <v>29</v>
      </c>
      <c r="F46" s="41"/>
      <c r="G46" s="40" t="s">
        <v>60</v>
      </c>
      <c r="H46" s="40"/>
      <c r="I46" s="40"/>
      <c r="J46" s="40"/>
      <c r="K46" s="42">
        <v>46265</v>
      </c>
      <c r="L46" s="40" t="s">
        <v>137</v>
      </c>
      <c r="M46" s="43"/>
      <c r="N46" s="44"/>
      <c r="O46" s="44"/>
      <c r="P46" s="45"/>
      <c r="Q46" s="44"/>
      <c r="R46" s="44"/>
      <c r="S46" s="46"/>
      <c r="T46" s="44"/>
      <c r="U46" s="44"/>
      <c r="V46" s="47"/>
      <c r="W46" s="44"/>
      <c r="X46" s="40"/>
      <c r="Y46" s="48"/>
      <c r="Z46" s="44"/>
      <c r="AA46" s="49"/>
      <c r="AB46" s="40"/>
      <c r="AC46" s="50" t="s">
        <v>42</v>
      </c>
      <c r="AD46" s="51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52"/>
    </row>
    <row r="47" spans="1:31">
      <c r="A47" s="40" t="s">
        <v>101</v>
      </c>
      <c r="B47" s="40" t="s">
        <v>149</v>
      </c>
      <c r="C47" s="40" t="s">
        <v>139</v>
      </c>
      <c r="D47" s="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137</v>
      </c>
      <c r="M47" s="43"/>
      <c r="N47" s="44"/>
      <c r="O47" s="44"/>
      <c r="P47" s="45"/>
      <c r="Q47" s="44"/>
      <c r="R47" s="44"/>
      <c r="S47" s="46"/>
      <c r="T47" s="44"/>
      <c r="U47" s="44"/>
      <c r="V47" s="47"/>
      <c r="W47" s="44"/>
      <c r="X47" s="40"/>
      <c r="Y47" s="48"/>
      <c r="Z47" s="44"/>
      <c r="AA47" s="49"/>
      <c r="AB47" s="40"/>
      <c r="AC47" s="50" t="s">
        <v>42</v>
      </c>
      <c r="AD47" s="51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52"/>
    </row>
    <row r="48" spans="1:31">
      <c r="A48" s="40" t="s">
        <v>101</v>
      </c>
      <c r="B48" s="40" t="s">
        <v>150</v>
      </c>
      <c r="C48" s="40" t="s">
        <v>139</v>
      </c>
      <c r="D48" s="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151</v>
      </c>
      <c r="M48" s="43"/>
      <c r="N48" s="44"/>
      <c r="O48" s="44"/>
      <c r="P48" s="45"/>
      <c r="Q48" s="44"/>
      <c r="R48" s="44"/>
      <c r="S48" s="46"/>
      <c r="T48" s="44"/>
      <c r="U48" s="44"/>
      <c r="V48" s="47"/>
      <c r="W48" s="44"/>
      <c r="X48" s="40"/>
      <c r="Y48" s="48"/>
      <c r="Z48" s="44"/>
      <c r="AA48" s="49"/>
      <c r="AB48" s="40"/>
      <c r="AC48" s="50" t="s">
        <v>42</v>
      </c>
      <c r="AD48" s="51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52"/>
    </row>
    <row r="49" spans="1:31">
      <c r="A49" s="40" t="s">
        <v>101</v>
      </c>
      <c r="B49" s="40" t="s">
        <v>152</v>
      </c>
      <c r="C49" s="40" t="s">
        <v>139</v>
      </c>
      <c r="D49" s="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151</v>
      </c>
      <c r="M49" s="43"/>
      <c r="N49" s="44"/>
      <c r="O49" s="44"/>
      <c r="P49" s="45"/>
      <c r="Q49" s="44"/>
      <c r="R49" s="44"/>
      <c r="S49" s="46"/>
      <c r="T49" s="44"/>
      <c r="U49" s="44"/>
      <c r="V49" s="47"/>
      <c r="W49" s="44"/>
      <c r="X49" s="40"/>
      <c r="Y49" s="48"/>
      <c r="Z49" s="44"/>
      <c r="AA49" s="49"/>
      <c r="AB49" s="40"/>
      <c r="AC49" s="50" t="s">
        <v>42</v>
      </c>
      <c r="AD49" s="51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52"/>
    </row>
    <row r="50" spans="1:31">
      <c r="A50" s="40" t="s">
        <v>101</v>
      </c>
      <c r="B50" s="40" t="s">
        <v>153</v>
      </c>
      <c r="C50" s="40" t="s">
        <v>139</v>
      </c>
      <c r="D50" s="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151</v>
      </c>
      <c r="M50" s="43"/>
      <c r="N50" s="44"/>
      <c r="O50" s="44"/>
      <c r="P50" s="45"/>
      <c r="Q50" s="44"/>
      <c r="R50" s="44"/>
      <c r="S50" s="46"/>
      <c r="T50" s="44"/>
      <c r="U50" s="44"/>
      <c r="V50" s="47"/>
      <c r="W50" s="44"/>
      <c r="X50" s="40"/>
      <c r="Y50" s="48"/>
      <c r="Z50" s="44"/>
      <c r="AA50" s="49"/>
      <c r="AB50" s="40"/>
      <c r="AC50" s="50" t="s">
        <v>42</v>
      </c>
      <c r="AD50" s="51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52"/>
    </row>
    <row r="51" spans="1:31">
      <c r="A51" s="40" t="s">
        <v>101</v>
      </c>
      <c r="B51" s="40" t="s">
        <v>154</v>
      </c>
      <c r="C51" s="40" t="s">
        <v>139</v>
      </c>
      <c r="D51" s="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151</v>
      </c>
      <c r="M51" s="43"/>
      <c r="N51" s="44"/>
      <c r="O51" s="44"/>
      <c r="P51" s="45"/>
      <c r="Q51" s="44"/>
      <c r="R51" s="44"/>
      <c r="S51" s="46"/>
      <c r="T51" s="44"/>
      <c r="U51" s="44"/>
      <c r="V51" s="47"/>
      <c r="W51" s="44"/>
      <c r="X51" s="40"/>
      <c r="Y51" s="48"/>
      <c r="Z51" s="44"/>
      <c r="AA51" s="49"/>
      <c r="AB51" s="40"/>
      <c r="AC51" s="50" t="s">
        <v>42</v>
      </c>
      <c r="AD51" s="51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52"/>
    </row>
    <row r="52" spans="1:31">
      <c r="A52" s="40" t="s">
        <v>101</v>
      </c>
      <c r="B52" s="40" t="s">
        <v>155</v>
      </c>
      <c r="C52" s="40" t="s">
        <v>139</v>
      </c>
      <c r="D52" s="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151</v>
      </c>
      <c r="M52" s="43"/>
      <c r="N52" s="44"/>
      <c r="O52" s="44"/>
      <c r="P52" s="45"/>
      <c r="Q52" s="44"/>
      <c r="R52" s="44"/>
      <c r="S52" s="46"/>
      <c r="T52" s="44"/>
      <c r="U52" s="44"/>
      <c r="V52" s="47"/>
      <c r="W52" s="44"/>
      <c r="X52" s="40"/>
      <c r="Y52" s="48"/>
      <c r="Z52" s="44"/>
      <c r="AA52" s="49"/>
      <c r="AB52" s="40"/>
      <c r="AC52" s="50" t="s">
        <v>42</v>
      </c>
      <c r="AD52" s="51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52"/>
    </row>
    <row r="53" spans="1:31">
      <c r="A53" s="40" t="s">
        <v>101</v>
      </c>
      <c r="B53" s="40" t="s">
        <v>156</v>
      </c>
      <c r="C53" s="40" t="s">
        <v>139</v>
      </c>
      <c r="D53" s="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151</v>
      </c>
      <c r="M53" s="43"/>
      <c r="N53" s="44"/>
      <c r="O53" s="44"/>
      <c r="P53" s="45"/>
      <c r="Q53" s="44"/>
      <c r="R53" s="44"/>
      <c r="S53" s="46"/>
      <c r="T53" s="44"/>
      <c r="U53" s="44"/>
      <c r="V53" s="47"/>
      <c r="W53" s="44"/>
      <c r="X53" s="40"/>
      <c r="Y53" s="48"/>
      <c r="Z53" s="44"/>
      <c r="AA53" s="49"/>
      <c r="AB53" s="40"/>
      <c r="AC53" s="50" t="s">
        <v>42</v>
      </c>
      <c r="AD53" s="51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52"/>
    </row>
    <row r="54" spans="1:31">
      <c r="A54" s="40" t="s">
        <v>101</v>
      </c>
      <c r="B54" s="40" t="s">
        <v>157</v>
      </c>
      <c r="C54" s="40" t="s">
        <v>139</v>
      </c>
      <c r="D54" s="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151</v>
      </c>
      <c r="M54" s="43"/>
      <c r="N54" s="44"/>
      <c r="O54" s="44"/>
      <c r="P54" s="45"/>
      <c r="Q54" s="44"/>
      <c r="R54" s="44"/>
      <c r="S54" s="46"/>
      <c r="T54" s="44"/>
      <c r="U54" s="44"/>
      <c r="V54" s="47"/>
      <c r="W54" s="44"/>
      <c r="X54" s="40"/>
      <c r="Y54" s="48"/>
      <c r="Z54" s="44"/>
      <c r="AA54" s="49"/>
      <c r="AB54" s="40"/>
      <c r="AC54" s="50" t="s">
        <v>42</v>
      </c>
      <c r="AD54" s="51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52"/>
    </row>
    <row r="55" spans="1:31">
      <c r="A55" s="40" t="s">
        <v>101</v>
      </c>
      <c r="B55" s="40" t="s">
        <v>158</v>
      </c>
      <c r="C55" s="40" t="s">
        <v>139</v>
      </c>
      <c r="D55" s="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151</v>
      </c>
      <c r="M55" s="43"/>
      <c r="N55" s="44"/>
      <c r="O55" s="44"/>
      <c r="P55" s="45"/>
      <c r="Q55" s="44"/>
      <c r="R55" s="44"/>
      <c r="S55" s="46"/>
      <c r="T55" s="44"/>
      <c r="U55" s="44"/>
      <c r="V55" s="47"/>
      <c r="W55" s="44"/>
      <c r="X55" s="40"/>
      <c r="Y55" s="48"/>
      <c r="Z55" s="44"/>
      <c r="AA55" s="49"/>
      <c r="AB55" s="40"/>
      <c r="AC55" s="50" t="s">
        <v>42</v>
      </c>
      <c r="AD55" s="51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52"/>
    </row>
    <row r="56" spans="1:31">
      <c r="A56" s="40" t="s">
        <v>101</v>
      </c>
      <c r="B56" s="40" t="s">
        <v>159</v>
      </c>
      <c r="C56" s="40" t="s">
        <v>139</v>
      </c>
      <c r="D56" s="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151</v>
      </c>
      <c r="M56" s="43"/>
      <c r="N56" s="44"/>
      <c r="O56" s="44"/>
      <c r="P56" s="45"/>
      <c r="Q56" s="44"/>
      <c r="R56" s="44"/>
      <c r="S56" s="46"/>
      <c r="T56" s="44"/>
      <c r="U56" s="44"/>
      <c r="V56" s="47"/>
      <c r="W56" s="44"/>
      <c r="X56" s="40"/>
      <c r="Y56" s="48"/>
      <c r="Z56" s="44"/>
      <c r="AA56" s="49"/>
      <c r="AB56" s="40"/>
      <c r="AC56" s="50" t="s">
        <v>42</v>
      </c>
      <c r="AD56" s="51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52"/>
    </row>
    <row r="57" spans="1:31">
      <c r="A57" s="40" t="s">
        <v>101</v>
      </c>
      <c r="B57" s="40" t="s">
        <v>160</v>
      </c>
      <c r="C57" s="40" t="s">
        <v>139</v>
      </c>
      <c r="D57" s="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151</v>
      </c>
      <c r="M57" s="43"/>
      <c r="N57" s="44"/>
      <c r="O57" s="44"/>
      <c r="P57" s="45"/>
      <c r="Q57" s="44"/>
      <c r="R57" s="44"/>
      <c r="S57" s="46"/>
      <c r="T57" s="44"/>
      <c r="U57" s="44"/>
      <c r="V57" s="47"/>
      <c r="W57" s="44"/>
      <c r="X57" s="40"/>
      <c r="Y57" s="48"/>
      <c r="Z57" s="44"/>
      <c r="AA57" s="49"/>
      <c r="AB57" s="40"/>
      <c r="AC57" s="50" t="s">
        <v>42</v>
      </c>
      <c r="AD57" s="51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52"/>
    </row>
    <row r="58" spans="1:31">
      <c r="A58" s="40" t="s">
        <v>101</v>
      </c>
      <c r="B58" s="40" t="s">
        <v>161</v>
      </c>
      <c r="C58" s="40" t="s">
        <v>139</v>
      </c>
      <c r="D58" s="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151</v>
      </c>
      <c r="M58" s="43"/>
      <c r="N58" s="44"/>
      <c r="O58" s="44"/>
      <c r="P58" s="45"/>
      <c r="Q58" s="44"/>
      <c r="R58" s="44"/>
      <c r="S58" s="46"/>
      <c r="T58" s="44"/>
      <c r="U58" s="44"/>
      <c r="V58" s="47"/>
      <c r="W58" s="44"/>
      <c r="X58" s="40"/>
      <c r="Y58" s="48"/>
      <c r="Z58" s="44"/>
      <c r="AA58" s="49"/>
      <c r="AB58" s="40"/>
      <c r="AC58" s="50" t="s">
        <v>42</v>
      </c>
      <c r="AD58" s="51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52"/>
    </row>
    <row r="59" spans="1:31">
      <c r="A59" s="40" t="s">
        <v>101</v>
      </c>
      <c r="B59" s="40" t="s">
        <v>162</v>
      </c>
      <c r="C59" s="40" t="s">
        <v>139</v>
      </c>
      <c r="D59" s="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151</v>
      </c>
      <c r="M59" s="43"/>
      <c r="N59" s="44"/>
      <c r="O59" s="44"/>
      <c r="P59" s="45"/>
      <c r="Q59" s="44"/>
      <c r="R59" s="44"/>
      <c r="S59" s="46"/>
      <c r="T59" s="44"/>
      <c r="U59" s="44"/>
      <c r="V59" s="47"/>
      <c r="W59" s="44"/>
      <c r="X59" s="40"/>
      <c r="Y59" s="48"/>
      <c r="Z59" s="44"/>
      <c r="AA59" s="49"/>
      <c r="AB59" s="40"/>
      <c r="AC59" s="50" t="s">
        <v>42</v>
      </c>
      <c r="AD59" s="51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52"/>
    </row>
    <row r="60" spans="1:31">
      <c r="A60" s="40" t="s">
        <v>101</v>
      </c>
      <c r="B60" s="40" t="s">
        <v>163</v>
      </c>
      <c r="C60" s="40" t="s">
        <v>139</v>
      </c>
      <c r="D60" s="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151</v>
      </c>
      <c r="M60" s="43"/>
      <c r="N60" s="44"/>
      <c r="O60" s="44"/>
      <c r="P60" s="45"/>
      <c r="Q60" s="44"/>
      <c r="R60" s="44"/>
      <c r="S60" s="46"/>
      <c r="T60" s="44"/>
      <c r="U60" s="44"/>
      <c r="V60" s="47"/>
      <c r="W60" s="44"/>
      <c r="X60" s="40"/>
      <c r="Y60" s="48"/>
      <c r="Z60" s="44"/>
      <c r="AA60" s="49"/>
      <c r="AB60" s="40"/>
      <c r="AC60" s="50" t="s">
        <v>42</v>
      </c>
      <c r="AD60" s="51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52"/>
    </row>
    <row r="61" spans="1:31">
      <c r="A61" s="40" t="s">
        <v>101</v>
      </c>
      <c r="B61" s="40" t="s">
        <v>164</v>
      </c>
      <c r="C61" s="40" t="s">
        <v>139</v>
      </c>
      <c r="D61" s="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151</v>
      </c>
      <c r="M61" s="43"/>
      <c r="N61" s="44"/>
      <c r="O61" s="44"/>
      <c r="P61" s="45"/>
      <c r="Q61" s="44"/>
      <c r="R61" s="44"/>
      <c r="S61" s="46"/>
      <c r="T61" s="44"/>
      <c r="U61" s="44"/>
      <c r="V61" s="47"/>
      <c r="W61" s="44"/>
      <c r="X61" s="40"/>
      <c r="Y61" s="48"/>
      <c r="Z61" s="44"/>
      <c r="AA61" s="49"/>
      <c r="AB61" s="40"/>
      <c r="AC61" s="50" t="s">
        <v>42</v>
      </c>
      <c r="AD61" s="51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52"/>
    </row>
    <row r="62" spans="1:31">
      <c r="A62" s="40" t="s">
        <v>101</v>
      </c>
      <c r="B62" s="40" t="s">
        <v>165</v>
      </c>
      <c r="C62" s="40" t="s">
        <v>139</v>
      </c>
      <c r="D62" s="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151</v>
      </c>
      <c r="M62" s="43"/>
      <c r="N62" s="44"/>
      <c r="O62" s="44"/>
      <c r="P62" s="45"/>
      <c r="Q62" s="44"/>
      <c r="R62" s="44"/>
      <c r="S62" s="46"/>
      <c r="T62" s="44"/>
      <c r="U62" s="44"/>
      <c r="V62" s="47"/>
      <c r="W62" s="44"/>
      <c r="X62" s="40"/>
      <c r="Y62" s="48"/>
      <c r="Z62" s="44"/>
      <c r="AA62" s="49"/>
      <c r="AB62" s="40"/>
      <c r="AC62" s="50" t="s">
        <v>42</v>
      </c>
      <c r="AD62" s="51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52"/>
    </row>
    <row r="63" spans="1:31">
      <c r="A63" s="40" t="s">
        <v>101</v>
      </c>
      <c r="B63" s="40" t="s">
        <v>166</v>
      </c>
      <c r="C63" s="40" t="s">
        <v>139</v>
      </c>
      <c r="D63" s="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151</v>
      </c>
      <c r="M63" s="43"/>
      <c r="N63" s="44"/>
      <c r="O63" s="44"/>
      <c r="P63" s="45"/>
      <c r="Q63" s="44"/>
      <c r="R63" s="44"/>
      <c r="S63" s="46"/>
      <c r="T63" s="44"/>
      <c r="U63" s="44"/>
      <c r="V63" s="47"/>
      <c r="W63" s="44"/>
      <c r="X63" s="40"/>
      <c r="Y63" s="48"/>
      <c r="Z63" s="44"/>
      <c r="AA63" s="49"/>
      <c r="AB63" s="40"/>
      <c r="AC63" s="50" t="s">
        <v>42</v>
      </c>
      <c r="AD63" s="51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52"/>
    </row>
    <row r="64" spans="1:31">
      <c r="A64" s="40" t="s">
        <v>101</v>
      </c>
      <c r="B64" s="40" t="s">
        <v>167</v>
      </c>
      <c r="C64" s="40" t="s">
        <v>139</v>
      </c>
      <c r="D64" s="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151</v>
      </c>
      <c r="M64" s="43"/>
      <c r="N64" s="44"/>
      <c r="O64" s="44"/>
      <c r="P64" s="45"/>
      <c r="Q64" s="44"/>
      <c r="R64" s="44"/>
      <c r="S64" s="46"/>
      <c r="T64" s="44"/>
      <c r="U64" s="44"/>
      <c r="V64" s="47"/>
      <c r="W64" s="44"/>
      <c r="X64" s="40"/>
      <c r="Y64" s="48"/>
      <c r="Z64" s="44"/>
      <c r="AA64" s="49"/>
      <c r="AB64" s="40"/>
      <c r="AC64" s="50" t="s">
        <v>42</v>
      </c>
      <c r="AD64" s="51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52"/>
    </row>
    <row r="65" spans="1:31">
      <c r="A65" s="40" t="s">
        <v>31</v>
      </c>
      <c r="B65" s="40" t="s">
        <v>168</v>
      </c>
      <c r="C65" s="40" t="s">
        <v>139</v>
      </c>
      <c r="D65" s="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151</v>
      </c>
      <c r="M65" s="43"/>
      <c r="N65" s="44"/>
      <c r="O65" s="44"/>
      <c r="P65" s="45"/>
      <c r="Q65" s="44"/>
      <c r="R65" s="44"/>
      <c r="S65" s="46"/>
      <c r="T65" s="44"/>
      <c r="U65" s="44"/>
      <c r="V65" s="47"/>
      <c r="W65" s="44"/>
      <c r="X65" s="40"/>
      <c r="Y65" s="48"/>
      <c r="Z65" s="44"/>
      <c r="AA65" s="49"/>
      <c r="AB65" s="40"/>
      <c r="AC65" s="50" t="s">
        <v>42</v>
      </c>
      <c r="AD65" s="51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52"/>
    </row>
    <row r="66" spans="1:31" ht="15">
      <c r="A66" s="37" t="s">
        <v>101</v>
      </c>
      <c r="B66" s="37" t="s">
        <v>169</v>
      </c>
      <c r="C66" s="37" t="s">
        <v>139</v>
      </c>
      <c r="E66" s="37">
        <v>49</v>
      </c>
      <c r="F66" s="37"/>
      <c r="G66" s="37"/>
      <c r="H66" s="37"/>
      <c r="I66" s="37"/>
      <c r="J66" s="37"/>
      <c r="K66" s="58">
        <v>46295</v>
      </c>
      <c r="L66" s="37" t="s">
        <v>151</v>
      </c>
      <c r="M66" s="37"/>
      <c r="N66" s="57"/>
      <c r="O66" s="37"/>
      <c r="P66" s="37"/>
      <c r="Q66" s="57"/>
      <c r="R66" s="37"/>
      <c r="S66" s="37"/>
      <c r="T66" s="57"/>
      <c r="U66" s="37"/>
      <c r="V66" s="37"/>
      <c r="W66" s="57"/>
      <c r="X66" s="37"/>
      <c r="Y66" s="37"/>
      <c r="Z66" s="37"/>
      <c r="AA66" s="37"/>
      <c r="AB66" s="37"/>
      <c r="AC66" s="37"/>
      <c r="AE66" s="37"/>
    </row>
    <row r="67" spans="1:31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1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1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1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1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1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1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1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1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1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1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1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1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1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66:AA492 A2:AE33 A34:L35 A36:AE65 N34:AE35">
    <cfRule type="expression" dxfId="53" priority="28">
      <formula>AND($B2&lt;&gt;"",MOD(ROW(),2)=0)</formula>
    </cfRule>
  </conditionalFormatting>
  <conditionalFormatting sqref="D2:D492">
    <cfRule type="expression" dxfId="52" priority="12">
      <formula>ISNUMBER(SEARCH("Blocked",$D2))</formula>
    </cfRule>
    <cfRule type="expression" dxfId="51" priority="13">
      <formula>ISNUMBER(SEARCH("overdue",$D2))</formula>
    </cfRule>
    <cfRule type="expression" dxfId="50" priority="14">
      <formula>ISNUMBER(SEARCH("no target",$D2))</formula>
    </cfRule>
    <cfRule type="expression" dxfId="49" priority="15">
      <formula>ISNUMBER(SEARCH("Review",$D2))</formula>
    </cfRule>
    <cfRule type="expression" dxfId="48" priority="16">
      <formula>OR($D2="On track",$D2="Delivered")</formula>
    </cfRule>
  </conditionalFormatting>
  <conditionalFormatting sqref="M22">
    <cfRule type="expression" dxfId="47" priority="9">
      <formula>$AC22="Yes – needs PBI Dev to fix"</formula>
    </cfRule>
  </conditionalFormatting>
  <conditionalFormatting sqref="M25:M26">
    <cfRule type="expression" dxfId="46" priority="11">
      <formula>$AC25="Yes – needs PBI Dev to fix"</formula>
    </cfRule>
  </conditionalFormatting>
  <conditionalFormatting sqref="M33:M34">
    <cfRule type="expression" dxfId="45" priority="2">
      <formula>$AC33="Yes – needs PBI Dev to fix"</formula>
    </cfRule>
  </conditionalFormatting>
  <conditionalFormatting sqref="M34">
    <cfRule type="expression" dxfId="44" priority="3">
      <formula>AND($B34&lt;&gt;"",MOD(ROW(),2)=0)</formula>
    </cfRule>
    <cfRule type="expression" dxfId="43" priority="4">
      <formula>$AC34="Yes – needs DB Dev to fix"</formula>
    </cfRule>
  </conditionalFormatting>
  <conditionalFormatting sqref="M35">
    <cfRule type="expression" dxfId="42" priority="71">
      <formula>AND($B34&lt;&gt;"",MOD(ROW(),2)=0)</formula>
    </cfRule>
    <cfRule type="expression" dxfId="41" priority="73">
      <formula>$AC34="Yes – needs DB Dev to fix"</formula>
    </cfRule>
  </conditionalFormatting>
  <conditionalFormatting sqref="M66:N492">
    <cfRule type="expression" dxfId="40" priority="21">
      <formula>$Y66="Yes – needs DB Dev to fix"</formula>
    </cfRule>
  </conditionalFormatting>
  <conditionalFormatting sqref="M2:O33 N34:O35 M36:O65">
    <cfRule type="expression" dxfId="39" priority="60">
      <formula>$AC2="Yes – needs DB Dev to fix"</formula>
    </cfRule>
  </conditionalFormatting>
  <conditionalFormatting sqref="O22">
    <cfRule type="expression" dxfId="38" priority="8">
      <formula>$AC22="Yes – needs PBI Dev to fix"</formula>
    </cfRule>
  </conditionalFormatting>
  <conditionalFormatting sqref="O25:O26">
    <cfRule type="expression" dxfId="37" priority="5">
      <formula>$AC25="Yes – needs PBI Dev to fix"</formula>
    </cfRule>
  </conditionalFormatting>
  <conditionalFormatting sqref="O33:O34">
    <cfRule type="expression" dxfId="36" priority="1">
      <formula>$AC33="Yes – needs PBI Dev to fix"</formula>
    </cfRule>
  </conditionalFormatting>
  <conditionalFormatting sqref="O66:P492">
    <cfRule type="expression" dxfId="35" priority="22">
      <formula>$Y66="Yes – needs PBI Dev to fix"</formula>
    </cfRule>
  </conditionalFormatting>
  <conditionalFormatting sqref="P2:R66">
    <cfRule type="expression" dxfId="34" priority="63">
      <formula>$AC2="Yes – needs PBI Dev to fix"</formula>
    </cfRule>
  </conditionalFormatting>
  <conditionalFormatting sqref="Q66:R492">
    <cfRule type="expression" dxfId="33" priority="23">
      <formula>$Y66="Yes – needs QA to fix"</formula>
    </cfRule>
  </conditionalFormatting>
  <conditionalFormatting sqref="S66:T492">
    <cfRule type="expression" dxfId="32" priority="24">
      <formula>$Y66="Yes – needs DPO Approval to fix"</formula>
    </cfRule>
  </conditionalFormatting>
  <conditionalFormatting sqref="S2:U66">
    <cfRule type="expression" dxfId="31" priority="66">
      <formula>$AC2="Yes – needs QA to fix"</formula>
    </cfRule>
  </conditionalFormatting>
  <conditionalFormatting sqref="U66:U492">
    <cfRule type="expression" dxfId="30" priority="20">
      <formula>$U66="Yes"</formula>
    </cfRule>
  </conditionalFormatting>
  <conditionalFormatting sqref="V2:X66">
    <cfRule type="expression" dxfId="29" priority="69">
      <formula>$AC2="Yes – needs DPO Approval to fix"</formula>
    </cfRule>
  </conditionalFormatting>
  <conditionalFormatting sqref="Y2:Y66">
    <cfRule type="expression" dxfId="28" priority="41">
      <formula>$Y2="Yes"</formula>
    </cfRule>
  </conditionalFormatting>
  <conditionalFormatting sqref="Y66:Y492">
    <cfRule type="expression" dxfId="27" priority="17">
      <formula>LEFT($Y66,3)="Yes"</formula>
    </cfRule>
  </conditionalFormatting>
  <conditionalFormatting sqref="Z66:Z492">
    <cfRule type="expression" dxfId="26" priority="25">
      <formula>ISNUMBER(SEARCH("log it",$Z66))</formula>
    </cfRule>
    <cfRule type="expression" dxfId="25" priority="25">
      <formula>ISNUMBER(SEARCH("Open rework",$Z66))</formula>
    </cfRule>
    <cfRule type="expression" dxfId="24" priority="25">
      <formula>ISNUMBER(SEARCH("Move old",$Z66))</formula>
    </cfRule>
    <cfRule type="expression" dxfId="23" priority="26">
      <formula>ISNUMBER(SEARCH("Duplicate",$Z66))</formula>
    </cfRule>
    <cfRule type="expression" dxfId="22" priority="27">
      <formula>$Z66&lt;&gt;""</formula>
    </cfRule>
  </conditionalFormatting>
  <conditionalFormatting sqref="AC2:AC66">
    <cfRule type="expression" dxfId="21" priority="43">
      <formula>LEFT($AC2,3)="Yes"</formula>
    </cfRule>
  </conditionalFormatting>
  <conditionalFormatting sqref="AD2:AD66">
    <cfRule type="expression" dxfId="20" priority="49">
      <formula>ISNUMBER(SEARCH("log it",$AD2))</formula>
    </cfRule>
    <cfRule type="expression" dxfId="19" priority="50">
      <formula>ISNUMBER(SEARCH("Open rework",$AD2))</formula>
    </cfRule>
    <cfRule type="expression" dxfId="18" priority="51">
      <formula>ISNUMBER(SEARCH("Move old",$AD2))</formula>
    </cfRule>
    <cfRule type="expression" dxfId="17" priority="52">
      <formula>ISNUMBER(SEARCH("Duplicate",$AD2))</formula>
    </cfRule>
    <cfRule type="expression" dxfId="16" priority="53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M66:S492 V66:V492 K2:K492 Z2:Z65 M2:W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U66:U492 Y2:Y65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Y66:Y492 AC2:AC66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170</v>
      </c>
    </row>
    <row r="2" spans="1:5">
      <c r="A2" s="6" t="s">
        <v>171</v>
      </c>
    </row>
    <row r="4" spans="1:5" ht="21.95" customHeight="1">
      <c r="A4" s="5" t="s">
        <v>172</v>
      </c>
      <c r="B4" s="59"/>
      <c r="C4" s="60"/>
      <c r="D4" s="60"/>
      <c r="E4" s="60"/>
    </row>
    <row r="6" spans="1:5">
      <c r="A6" s="53" t="s">
        <v>0</v>
      </c>
      <c r="B6" s="55" t="str">
        <f>IF($B$4="","",IFERROR(INDEX('Combined Delivery Data'!$A:$A,MATCH($B$4,'Combined Delivery Data'!$B:$B,0)),""))</f>
        <v/>
      </c>
      <c r="C6" s="61"/>
      <c r="D6" s="61"/>
      <c r="E6" s="62"/>
    </row>
    <row r="7" spans="1:5">
      <c r="A7" s="53" t="s">
        <v>2</v>
      </c>
      <c r="B7" s="55" t="str">
        <f>IF($B$4="","",IFERROR(INDEX('Combined Delivery Data'!$C:$C,MATCH($B$4,'Combined Delivery Data'!$B:$B,0)),""))</f>
        <v/>
      </c>
      <c r="C7" s="61"/>
      <c r="D7" s="61"/>
      <c r="E7" s="62"/>
    </row>
    <row r="8" spans="1:5">
      <c r="A8" s="53" t="s">
        <v>3</v>
      </c>
      <c r="B8" s="55" t="str">
        <f>IF($B$4="","",IFERROR(INDEX('Combined Delivery Data'!$D:$D,MATCH($B$4,'Combined Delivery Data'!$B:$B,0)),""))</f>
        <v/>
      </c>
      <c r="C8" s="61"/>
      <c r="D8" s="61"/>
      <c r="E8" s="62"/>
    </row>
    <row r="9" spans="1:5">
      <c r="A9" s="53" t="s">
        <v>4</v>
      </c>
      <c r="B9" s="55" t="str">
        <f>IF($B$4="","",IFERROR(INDEX('Combined Delivery Data'!$E:$E,MATCH($B$4,'Combined Delivery Data'!$B:$B,0)),""))</f>
        <v/>
      </c>
      <c r="C9" s="61"/>
      <c r="D9" s="61"/>
      <c r="E9" s="62"/>
    </row>
    <row r="10" spans="1:5">
      <c r="A10" s="53" t="s">
        <v>5</v>
      </c>
      <c r="B10" s="55" t="str">
        <f>IF($B$4="","",IFERROR(INDEX('Combined Delivery Data'!$F:$F,MATCH($B$4,'Combined Delivery Data'!$B:$B,0)),""))</f>
        <v/>
      </c>
      <c r="C10" s="61"/>
      <c r="D10" s="61"/>
      <c r="E10" s="62"/>
    </row>
    <row r="11" spans="1:5">
      <c r="A11" s="53" t="s">
        <v>6</v>
      </c>
      <c r="B11" s="55" t="str">
        <f>IF($B$4="","",IFERROR(INDEX('Combined Delivery Data'!$G:$G,MATCH($B$4,'Combined Delivery Data'!$B:$B,0)),""))</f>
        <v/>
      </c>
      <c r="C11" s="61"/>
      <c r="D11" s="61"/>
      <c r="E11" s="62"/>
    </row>
    <row r="12" spans="1:5">
      <c r="A12" s="53" t="s">
        <v>7</v>
      </c>
      <c r="B12" s="55" t="str">
        <f>IF($B$4="","",IFERROR(INDEX('Combined Delivery Data'!$H:$H,MATCH($B$4,'Combined Delivery Data'!$B:$B,0)),""))</f>
        <v/>
      </c>
      <c r="C12" s="61"/>
      <c r="D12" s="61"/>
      <c r="E12" s="62"/>
    </row>
    <row r="13" spans="1:5">
      <c r="A13" s="53" t="s">
        <v>8</v>
      </c>
      <c r="B13" s="55" t="str">
        <f>IF($B$4="","",IFERROR(INDEX('Combined Delivery Data'!$I:$I,MATCH($B$4,'Combined Delivery Data'!$B:$B,0)),""))</f>
        <v/>
      </c>
      <c r="C13" s="61"/>
      <c r="D13" s="61"/>
      <c r="E13" s="62"/>
    </row>
    <row r="14" spans="1:5">
      <c r="A14" s="53" t="s">
        <v>173</v>
      </c>
      <c r="B14" s="54" t="str">
        <f>IF($B$4="","",IFERROR(INDEX('Combined Delivery Data'!$M:$M,MATCH($B$4,'Combined Delivery Data'!$B:$B,0)),""))</f>
        <v/>
      </c>
      <c r="C14" s="61"/>
      <c r="D14" s="61"/>
      <c r="E14" s="62"/>
    </row>
    <row r="15" spans="1:5">
      <c r="A15" s="53" t="s">
        <v>174</v>
      </c>
      <c r="B15" s="54" t="str">
        <f>IF($B$4="","",IFERROR(INDEX('Combined Delivery Data'!$N:$N,MATCH($B$4,'Combined Delivery Data'!$B:$B,0)),""))</f>
        <v/>
      </c>
      <c r="C15" s="61"/>
      <c r="D15" s="61"/>
      <c r="E15" s="62"/>
    </row>
    <row r="16" spans="1:5">
      <c r="A16" s="53" t="s">
        <v>175</v>
      </c>
      <c r="B16" s="54" t="str">
        <f>IF($B$4="","",IFERROR(INDEX('Combined Delivery Data'!$O:$O,MATCH($B$4,'Combined Delivery Data'!$B:$B,0)),""))</f>
        <v/>
      </c>
      <c r="C16" s="61"/>
      <c r="D16" s="61"/>
      <c r="E16" s="62"/>
    </row>
    <row r="17" spans="1:5">
      <c r="A17" s="53" t="s">
        <v>176</v>
      </c>
      <c r="B17" s="54" t="str">
        <f>IF($B$4="","",IFERROR(INDEX('Combined Delivery Data'!$P:$P,MATCH($B$4,'Combined Delivery Data'!$B:$B,0)),""))</f>
        <v/>
      </c>
      <c r="C17" s="61"/>
      <c r="D17" s="61"/>
      <c r="E17" s="62"/>
    </row>
    <row r="18" spans="1:5">
      <c r="A18" s="53" t="s">
        <v>177</v>
      </c>
      <c r="B18" s="54" t="str">
        <f>IF($B$4="","",IFERROR(INDEX('Combined Delivery Data'!$Q:$Q,MATCH($B$4,'Combined Delivery Data'!$B:$B,0)),""))</f>
        <v/>
      </c>
      <c r="C18" s="61"/>
      <c r="D18" s="61"/>
      <c r="E18" s="62"/>
    </row>
    <row r="19" spans="1:5">
      <c r="A19" s="53" t="s">
        <v>178</v>
      </c>
      <c r="B19" s="54" t="str">
        <f>IF($B$4="","",IFERROR(INDEX('Combined Delivery Data'!$R:$R,MATCH($B$4,'Combined Delivery Data'!$B:$B,0)),""))</f>
        <v/>
      </c>
      <c r="C19" s="61"/>
      <c r="D19" s="61"/>
      <c r="E19" s="62"/>
    </row>
    <row r="20" spans="1:5">
      <c r="A20" s="53" t="s">
        <v>179</v>
      </c>
      <c r="B20" s="54" t="str">
        <f>IF($B$4="","",IFERROR(INDEX('Combined Delivery Data'!$S:$S,MATCH($B$4,'Combined Delivery Data'!$B:$B,0)),""))</f>
        <v/>
      </c>
      <c r="C20" s="61"/>
      <c r="D20" s="61"/>
      <c r="E20" s="62"/>
    </row>
    <row r="21" spans="1:5">
      <c r="A21" s="53" t="s">
        <v>23</v>
      </c>
      <c r="B21" s="55" t="str">
        <f>IF($B$4="","",IFERROR(INDEX('Combined Delivery Data'!$T:$T,MATCH($B$4,'Combined Delivery Data'!$B:$B,0)),""))</f>
        <v/>
      </c>
      <c r="C21" s="61"/>
      <c r="D21" s="61"/>
      <c r="E21" s="62"/>
    </row>
    <row r="22" spans="1:5">
      <c r="A22" s="53" t="s">
        <v>24</v>
      </c>
      <c r="B22" s="55" t="str">
        <f>IF($B$4="","",IFERROR(INDEX('Combined Delivery Data'!$U:$U,MATCH($B$4,'Combined Delivery Data'!$B:$B,0)),""))</f>
        <v/>
      </c>
      <c r="C22" s="61"/>
      <c r="D22" s="61"/>
      <c r="E22" s="62"/>
    </row>
    <row r="23" spans="1:5">
      <c r="A23" s="53" t="s">
        <v>25</v>
      </c>
      <c r="B23" s="54" t="str">
        <f>IF($B$4="","",IFERROR(INDEX('Combined Delivery Data'!$V:$V,MATCH($B$4,'Combined Delivery Data'!$B:$B,0)),""))</f>
        <v/>
      </c>
      <c r="C23" s="61"/>
      <c r="D23" s="61"/>
      <c r="E23" s="62"/>
    </row>
    <row r="24" spans="1:5">
      <c r="A24" s="53" t="s">
        <v>28</v>
      </c>
      <c r="B24" s="55" t="str">
        <f>IF($B$4="","",IFERROR(INDEX('Combined Delivery Data'!$Y:$Y,MATCH($B$4,'Combined Delivery Data'!$B:$B,0)),""))</f>
        <v/>
      </c>
      <c r="C24" s="61"/>
      <c r="D24" s="61"/>
      <c r="E24" s="62"/>
    </row>
    <row r="25" spans="1:5">
      <c r="A25" s="53" t="s">
        <v>29</v>
      </c>
      <c r="B25" s="55" t="str">
        <f>IF($B$4="","",IFERROR(INDEX('Combined Delivery Data'!$Z:$Z,MATCH($B$4,'Combined Delivery Data'!$B:$B,0)),""))</f>
        <v/>
      </c>
      <c r="C25" s="61"/>
      <c r="D25" s="61"/>
      <c r="E25" s="62"/>
    </row>
    <row r="26" spans="1:5">
      <c r="A26" s="53" t="s">
        <v>180</v>
      </c>
      <c r="B26" s="55" t="str">
        <f>IF($B$4="","",IFERROR(INDEX('Rework Log'!$Q:$Q,MATCH($B$4,'Rework Log'!$P:$P,0)),""))</f>
        <v/>
      </c>
      <c r="C26" s="61"/>
      <c r="D26" s="61"/>
      <c r="E26" s="62"/>
    </row>
    <row r="27" spans="1:5">
      <c r="A27" s="53" t="s">
        <v>181</v>
      </c>
      <c r="B27" s="55" t="str">
        <f>IF($B$4="","",IFERROR(INDEX('Rework Log'!$R:$R,MATCH($B$4,'Rework Log'!$P:$P,0)),""))</f>
        <v/>
      </c>
      <c r="C27" s="61"/>
      <c r="D27" s="61"/>
      <c r="E27" s="62"/>
    </row>
    <row r="28" spans="1:5">
      <c r="A28" s="53" t="s">
        <v>182</v>
      </c>
      <c r="B28" s="55" t="str">
        <f>IF($B$4="","",IFERROR(INDEX('Rework Log'!$S:$S,MATCH($B$4,'Rework Log'!$P:$P,0)),""))</f>
        <v/>
      </c>
      <c r="C28" s="61"/>
      <c r="D28" s="61"/>
      <c r="E28" s="62"/>
    </row>
    <row r="29" spans="1:5">
      <c r="A29" s="53" t="s">
        <v>183</v>
      </c>
      <c r="B29" s="55" t="str">
        <f>IF($B$4="","",IFERROR(INDEX('Rework Log'!$T:$T,MATCH($B$4,'Rework Log'!$P:$P,0)),""))</f>
        <v/>
      </c>
      <c r="C29" s="61"/>
      <c r="D29" s="61"/>
      <c r="E29" s="62"/>
    </row>
    <row r="30" spans="1:5" ht="15.6" customHeight="1">
      <c r="A30" s="53"/>
      <c r="B30" s="55"/>
      <c r="C30" s="61"/>
      <c r="D30" s="61"/>
      <c r="E30" s="62"/>
    </row>
    <row r="31" spans="1:5" ht="15.6" customHeight="1">
      <c r="A31" s="5" t="s">
        <v>30</v>
      </c>
      <c r="B31" s="63" t="str">
        <f>IF($B$4="","",IFERROR(INDEX('Combined Delivery Data'!$AA:$AA,MATCH($B$4,'Combined Delivery Data'!$B:$B,0)),""))</f>
        <v/>
      </c>
      <c r="C31" s="60"/>
      <c r="D31" s="60"/>
      <c r="E31" s="6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3" sqref="N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140625" customWidth="1"/>
    <col min="8" max="8" width="1.85546875" customWidth="1"/>
    <col min="9" max="9" width="9.1406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56" t="s">
        <v>184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P1" s="64" t="s">
        <v>185</v>
      </c>
      <c r="Q1" s="60"/>
      <c r="R1" s="60"/>
      <c r="S1" s="60"/>
      <c r="T1" s="60"/>
    </row>
    <row r="2" spans="1:20" ht="30" customHeight="1">
      <c r="A2" s="18" t="s">
        <v>1</v>
      </c>
      <c r="B2" s="18" t="s">
        <v>186</v>
      </c>
      <c r="C2" s="18" t="s">
        <v>187</v>
      </c>
      <c r="D2" s="18" t="s">
        <v>188</v>
      </c>
      <c r="E2" s="18" t="s">
        <v>189</v>
      </c>
      <c r="F2" s="18" t="s">
        <v>190</v>
      </c>
      <c r="G2" s="18" t="s">
        <v>191</v>
      </c>
      <c r="H2" s="36" t="s">
        <v>192</v>
      </c>
      <c r="I2" s="36" t="s">
        <v>193</v>
      </c>
      <c r="J2" s="36" t="s">
        <v>194</v>
      </c>
      <c r="K2" s="36" t="s">
        <v>195</v>
      </c>
      <c r="L2" s="36" t="s">
        <v>196</v>
      </c>
      <c r="M2" s="22" t="s">
        <v>197</v>
      </c>
      <c r="N2" s="22" t="s">
        <v>198</v>
      </c>
      <c r="P2" s="13" t="s">
        <v>1</v>
      </c>
      <c r="Q2" s="13" t="s">
        <v>180</v>
      </c>
      <c r="R2" s="13" t="s">
        <v>181</v>
      </c>
      <c r="S2" s="13" t="s">
        <v>182</v>
      </c>
      <c r="T2" s="13" t="s">
        <v>183</v>
      </c>
    </row>
    <row r="3" spans="1:20">
      <c r="A3" s="40" t="s">
        <v>116</v>
      </c>
      <c r="B3" s="44">
        <v>46230</v>
      </c>
      <c r="C3" s="40" t="s">
        <v>103</v>
      </c>
      <c r="D3" s="40" t="s">
        <v>117</v>
      </c>
      <c r="E3" s="40" t="s">
        <v>118</v>
      </c>
      <c r="F3" s="40" t="s">
        <v>199</v>
      </c>
      <c r="G3" s="40" t="s">
        <v>200</v>
      </c>
      <c r="H3" s="44"/>
      <c r="I3" s="39">
        <v>46230</v>
      </c>
      <c r="J3" s="44">
        <v>46230</v>
      </c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N3" t="s">
        <v>39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103</v>
      </c>
      <c r="D4" s="37"/>
      <c r="E4" s="37"/>
      <c r="F4" s="37"/>
      <c r="G4" s="37" t="s">
        <v>42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103</v>
      </c>
      <c r="D5" s="37"/>
      <c r="E5" s="37"/>
      <c r="F5" s="37"/>
      <c r="G5" s="37" t="s">
        <v>42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103</v>
      </c>
      <c r="D6" s="37"/>
      <c r="E6" s="37"/>
      <c r="F6" s="37"/>
      <c r="G6" s="37" t="s">
        <v>42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103</v>
      </c>
      <c r="D7" s="37"/>
      <c r="E7" s="37"/>
      <c r="F7" s="37"/>
      <c r="G7" s="37" t="s">
        <v>42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103</v>
      </c>
      <c r="D8" s="37"/>
      <c r="E8" s="37"/>
      <c r="F8" s="37"/>
      <c r="G8" s="37" t="s">
        <v>42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103</v>
      </c>
      <c r="D9" s="37"/>
      <c r="E9" s="37"/>
      <c r="F9" s="37"/>
      <c r="G9" s="37" t="s">
        <v>42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103</v>
      </c>
      <c r="D10" s="37"/>
      <c r="E10" s="37"/>
      <c r="F10" s="37"/>
      <c r="G10" s="37" t="s">
        <v>42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103</v>
      </c>
      <c r="D11" s="37"/>
      <c r="E11" s="37"/>
      <c r="F11" s="37"/>
      <c r="G11" s="37" t="s">
        <v>42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103</v>
      </c>
      <c r="D12" s="37"/>
      <c r="E12" s="37"/>
      <c r="F12" s="37"/>
      <c r="G12" s="37" t="s">
        <v>42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103</v>
      </c>
      <c r="D13" s="37"/>
      <c r="E13" s="37"/>
      <c r="F13" s="37"/>
      <c r="G13" s="37" t="s">
        <v>42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103</v>
      </c>
      <c r="D14" s="37"/>
      <c r="E14" s="37"/>
      <c r="F14" s="37"/>
      <c r="G14" s="37" t="s">
        <v>42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103</v>
      </c>
      <c r="D15" s="37"/>
      <c r="E15" s="37"/>
      <c r="F15" s="37"/>
      <c r="G15" s="37" t="s">
        <v>42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103</v>
      </c>
      <c r="D16" s="37"/>
      <c r="E16" s="37"/>
      <c r="F16" s="37"/>
      <c r="G16" s="37" t="s">
        <v>42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103</v>
      </c>
      <c r="D17" s="37"/>
      <c r="E17" s="37"/>
      <c r="F17" s="37"/>
      <c r="G17" s="37" t="s">
        <v>42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103</v>
      </c>
      <c r="D18" s="37"/>
      <c r="E18" s="37"/>
      <c r="F18" s="37"/>
      <c r="G18" s="37" t="s">
        <v>42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103</v>
      </c>
      <c r="D19" s="37"/>
      <c r="E19" s="37"/>
      <c r="F19" s="37"/>
      <c r="G19" s="37" t="s">
        <v>42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103</v>
      </c>
      <c r="D20" s="37"/>
      <c r="E20" s="37"/>
      <c r="F20" s="37"/>
      <c r="G20" s="37" t="s">
        <v>42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103</v>
      </c>
      <c r="D21" s="37"/>
      <c r="E21" s="37"/>
      <c r="F21" s="37"/>
      <c r="G21" s="37" t="s">
        <v>42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103</v>
      </c>
      <c r="D22" s="37"/>
      <c r="E22" s="37"/>
      <c r="F22" s="37"/>
      <c r="G22" s="37" t="s">
        <v>42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103</v>
      </c>
      <c r="D23" s="37"/>
      <c r="E23" s="37"/>
      <c r="F23" s="37"/>
      <c r="G23" s="37" t="s">
        <v>42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103</v>
      </c>
      <c r="D24" s="37"/>
      <c r="E24" s="37"/>
      <c r="F24" s="37"/>
      <c r="G24" s="37" t="s">
        <v>42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103</v>
      </c>
      <c r="D25" s="37"/>
      <c r="E25" s="37"/>
      <c r="F25" s="37"/>
      <c r="G25" s="37" t="s">
        <v>42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103</v>
      </c>
      <c r="D26" s="37"/>
      <c r="E26" s="37"/>
      <c r="F26" s="37"/>
      <c r="G26" s="37" t="s">
        <v>42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103</v>
      </c>
      <c r="D27" s="37"/>
      <c r="E27" s="37"/>
      <c r="F27" s="37"/>
      <c r="G27" s="37" t="s">
        <v>42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103</v>
      </c>
      <c r="D28" s="37"/>
      <c r="E28" s="37"/>
      <c r="F28" s="37"/>
      <c r="G28" s="37" t="s">
        <v>42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103</v>
      </c>
      <c r="D29" s="37"/>
      <c r="E29" s="37"/>
      <c r="F29" s="37"/>
      <c r="G29" s="37" t="s">
        <v>42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103</v>
      </c>
      <c r="D30" s="37"/>
      <c r="E30" s="37"/>
      <c r="F30" s="37"/>
      <c r="G30" s="37" t="s">
        <v>42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103</v>
      </c>
      <c r="D31" s="37"/>
      <c r="E31" s="37"/>
      <c r="F31" s="37"/>
      <c r="G31" s="37" t="s">
        <v>42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103</v>
      </c>
      <c r="D32" s="37"/>
      <c r="E32" s="37"/>
      <c r="F32" s="37"/>
      <c r="G32" s="37" t="s">
        <v>42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103</v>
      </c>
      <c r="D33" s="37"/>
      <c r="E33" s="37"/>
      <c r="F33" s="37"/>
      <c r="G33" s="37" t="s">
        <v>42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103</v>
      </c>
      <c r="D34" s="37"/>
      <c r="E34" s="37"/>
      <c r="F34" s="37"/>
      <c r="G34" s="37" t="s">
        <v>42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103</v>
      </c>
      <c r="D35" s="37"/>
      <c r="E35" s="37"/>
      <c r="F35" s="37"/>
      <c r="G35" s="37" t="s">
        <v>42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103</v>
      </c>
      <c r="D36" s="37"/>
      <c r="E36" s="37"/>
      <c r="F36" s="37"/>
      <c r="G36" s="37" t="s">
        <v>42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0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103</v>
      </c>
      <c r="D37" s="37"/>
      <c r="E37" s="37"/>
      <c r="F37" s="37"/>
      <c r="G37" s="37" t="s">
        <v>42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103</v>
      </c>
      <c r="D38" s="37"/>
      <c r="E38" s="37"/>
      <c r="F38" s="37"/>
      <c r="G38" s="37" t="s">
        <v>42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103</v>
      </c>
      <c r="D39" s="37"/>
      <c r="E39" s="37"/>
      <c r="F39" s="37"/>
      <c r="G39" s="37" t="s">
        <v>42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103</v>
      </c>
      <c r="D40" s="37"/>
      <c r="E40" s="37"/>
      <c r="F40" s="37"/>
      <c r="G40" s="37" t="s">
        <v>42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103</v>
      </c>
      <c r="D41" s="37"/>
      <c r="E41" s="37"/>
      <c r="F41" s="37"/>
      <c r="G41" s="37" t="s">
        <v>42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103</v>
      </c>
      <c r="D42" s="37"/>
      <c r="E42" s="37"/>
      <c r="F42" s="37"/>
      <c r="G42" s="37" t="s">
        <v>42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103</v>
      </c>
      <c r="D43" s="37"/>
      <c r="E43" s="37"/>
      <c r="F43" s="37"/>
      <c r="G43" s="37" t="s">
        <v>42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103</v>
      </c>
      <c r="D44" s="37"/>
      <c r="E44" s="37"/>
      <c r="F44" s="37"/>
      <c r="G44" s="37" t="s">
        <v>42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103</v>
      </c>
      <c r="D45" s="37"/>
      <c r="E45" s="37"/>
      <c r="F45" s="37"/>
      <c r="G45" s="37" t="s">
        <v>42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103</v>
      </c>
      <c r="D46" s="37"/>
      <c r="E46" s="37"/>
      <c r="F46" s="37"/>
      <c r="G46" s="37" t="s">
        <v>42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103</v>
      </c>
      <c r="D47" s="37"/>
      <c r="E47" s="37"/>
      <c r="F47" s="37"/>
      <c r="G47" s="37" t="s">
        <v>42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103</v>
      </c>
      <c r="D48" s="37"/>
      <c r="E48" s="37"/>
      <c r="F48" s="37"/>
      <c r="G48" s="37" t="s">
        <v>42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103</v>
      </c>
      <c r="D49" s="37"/>
      <c r="E49" s="37"/>
      <c r="F49" s="37"/>
      <c r="G49" s="37" t="s">
        <v>42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103</v>
      </c>
      <c r="D50" s="37"/>
      <c r="E50" s="37"/>
      <c r="F50" s="37"/>
      <c r="G50" s="37" t="s">
        <v>42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103</v>
      </c>
      <c r="D51" s="37"/>
      <c r="E51" s="37"/>
      <c r="F51" s="37"/>
      <c r="G51" s="37" t="s">
        <v>42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103</v>
      </c>
      <c r="D52" s="37"/>
      <c r="E52" s="37"/>
      <c r="F52" s="37"/>
      <c r="G52" s="37" t="s">
        <v>42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103</v>
      </c>
      <c r="D53" s="37"/>
      <c r="E53" s="37"/>
      <c r="F53" s="37"/>
      <c r="G53" s="37" t="s">
        <v>42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103</v>
      </c>
      <c r="D54" s="37"/>
      <c r="E54" s="37"/>
      <c r="F54" s="37"/>
      <c r="G54" s="37" t="s">
        <v>42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103</v>
      </c>
      <c r="D55" s="37"/>
      <c r="E55" s="37"/>
      <c r="F55" s="37"/>
      <c r="G55" s="37" t="s">
        <v>42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103</v>
      </c>
      <c r="D56" s="37"/>
      <c r="E56" s="37"/>
      <c r="F56" s="37"/>
      <c r="G56" s="37" t="s">
        <v>42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103</v>
      </c>
      <c r="D57" s="37"/>
      <c r="E57" s="37"/>
      <c r="F57" s="37"/>
      <c r="G57" s="37" t="s">
        <v>42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103</v>
      </c>
      <c r="D58" s="37"/>
      <c r="E58" s="37"/>
      <c r="F58" s="37"/>
      <c r="G58" s="37" t="s">
        <v>42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103</v>
      </c>
      <c r="D59" s="37"/>
      <c r="E59" s="37"/>
      <c r="F59" s="37"/>
      <c r="G59" s="37" t="s">
        <v>42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103</v>
      </c>
      <c r="D60" s="37"/>
      <c r="E60" s="37"/>
      <c r="F60" s="37"/>
      <c r="G60" s="37" t="s">
        <v>42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103</v>
      </c>
      <c r="D61" s="37"/>
      <c r="E61" s="37"/>
      <c r="F61" s="37"/>
      <c r="G61" s="37" t="s">
        <v>42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103</v>
      </c>
      <c r="D62" s="37"/>
      <c r="E62" s="37"/>
      <c r="F62" s="37"/>
      <c r="G62" s="37" t="s">
        <v>42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103</v>
      </c>
      <c r="D63" s="37"/>
      <c r="E63" s="37"/>
      <c r="F63" s="37"/>
      <c r="G63" s="37" t="s">
        <v>42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103</v>
      </c>
      <c r="D64" s="37"/>
      <c r="E64" s="37"/>
      <c r="F64" s="37"/>
      <c r="G64" s="37" t="s">
        <v>42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103</v>
      </c>
      <c r="D65" s="37"/>
      <c r="E65" s="37"/>
      <c r="F65" s="37"/>
      <c r="G65" s="37" t="s">
        <v>42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103</v>
      </c>
      <c r="D66" s="37"/>
      <c r="E66" s="37"/>
      <c r="F66" s="37"/>
      <c r="G66" s="37" t="s">
        <v>42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103</v>
      </c>
      <c r="D67" s="37"/>
      <c r="E67" s="37"/>
      <c r="F67" s="37"/>
      <c r="G67" s="37" t="s">
        <v>42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103</v>
      </c>
      <c r="D68" s="37"/>
      <c r="E68" s="37"/>
      <c r="F68" s="37"/>
      <c r="G68" s="37" t="s">
        <v>42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103</v>
      </c>
      <c r="D69" s="37"/>
      <c r="E69" s="37"/>
      <c r="F69" s="37"/>
      <c r="G69" s="37" t="s">
        <v>42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103</v>
      </c>
      <c r="D70" s="37"/>
      <c r="E70" s="37"/>
      <c r="F70" s="37"/>
      <c r="G70" s="37" t="s">
        <v>42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103</v>
      </c>
      <c r="D71" s="37"/>
      <c r="E71" s="37"/>
      <c r="F71" s="37"/>
      <c r="G71" s="37" t="s">
        <v>42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103</v>
      </c>
      <c r="D72" s="37"/>
      <c r="E72" s="37"/>
      <c r="F72" s="37"/>
      <c r="G72" s="37" t="s">
        <v>42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103</v>
      </c>
      <c r="D73" s="37"/>
      <c r="E73" s="37"/>
      <c r="F73" s="37"/>
      <c r="G73" s="37" t="s">
        <v>42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103</v>
      </c>
      <c r="D74" s="37"/>
      <c r="E74" s="37"/>
      <c r="F74" s="37"/>
      <c r="G74" s="37" t="s">
        <v>42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103</v>
      </c>
      <c r="D75" s="37"/>
      <c r="E75" s="37"/>
      <c r="F75" s="37"/>
      <c r="G75" s="37" t="s">
        <v>42</v>
      </c>
      <c r="H75" s="38"/>
      <c r="I75" s="38"/>
      <c r="J75" s="38"/>
      <c r="K75" s="37"/>
      <c r="L75" s="37"/>
      <c r="M75" s="3" t="str">
        <f t="shared" ca="1" si="5"/>
        <v/>
      </c>
      <c r="P75" t="str">
        <f>'Combined Delivery Data'!B66</f>
        <v>test</v>
      </c>
      <c r="Q75">
        <f t="shared" si="6"/>
        <v>0</v>
      </c>
      <c r="R75">
        <f t="shared" si="7"/>
        <v>0</v>
      </c>
      <c r="S75" s="34" t="str">
        <f t="shared" si="8"/>
        <v/>
      </c>
      <c r="T75" t="str">
        <f t="shared" si="9"/>
        <v/>
      </c>
    </row>
    <row r="76" spans="1:20">
      <c r="A76" s="37"/>
      <c r="B76" s="38"/>
      <c r="C76" s="37" t="s">
        <v>103</v>
      </c>
      <c r="D76" s="37"/>
      <c r="E76" s="37"/>
      <c r="F76" s="37"/>
      <c r="G76" s="37" t="s">
        <v>42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103</v>
      </c>
      <c r="D77" s="37"/>
      <c r="E77" s="37"/>
      <c r="F77" s="37"/>
      <c r="G77" s="37" t="s">
        <v>42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103</v>
      </c>
      <c r="D78" s="37"/>
      <c r="E78" s="37"/>
      <c r="F78" s="37"/>
      <c r="G78" s="37" t="s">
        <v>42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103</v>
      </c>
      <c r="D79" s="37"/>
      <c r="E79" s="37"/>
      <c r="F79" s="37"/>
      <c r="G79" s="37" t="s">
        <v>42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103</v>
      </c>
      <c r="D80" s="37"/>
      <c r="E80" s="37"/>
      <c r="F80" s="37"/>
      <c r="G80" s="37" t="s">
        <v>42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103</v>
      </c>
      <c r="D81" s="37"/>
      <c r="E81" s="37"/>
      <c r="F81" s="37"/>
      <c r="G81" s="37" t="s">
        <v>42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103</v>
      </c>
      <c r="D82" s="37"/>
      <c r="E82" s="37"/>
      <c r="F82" s="37"/>
      <c r="G82" s="37" t="s">
        <v>42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103</v>
      </c>
      <c r="D83" s="37"/>
      <c r="E83" s="37"/>
      <c r="F83" s="37"/>
      <c r="G83" s="37" t="s">
        <v>42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103</v>
      </c>
      <c r="D84" s="37"/>
      <c r="E84" s="37"/>
      <c r="F84" s="37"/>
      <c r="G84" s="37" t="s">
        <v>42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103</v>
      </c>
      <c r="D85" s="37"/>
      <c r="E85" s="37"/>
      <c r="F85" s="37"/>
      <c r="G85" s="37" t="s">
        <v>42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103</v>
      </c>
      <c r="D86" s="37"/>
      <c r="E86" s="37"/>
      <c r="F86" s="37"/>
      <c r="G86" s="37" t="s">
        <v>42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103</v>
      </c>
      <c r="D87" s="37"/>
      <c r="E87" s="37"/>
      <c r="F87" s="37"/>
      <c r="G87" s="37" t="s">
        <v>42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103</v>
      </c>
      <c r="D88" s="37"/>
      <c r="E88" s="37"/>
      <c r="F88" s="37"/>
      <c r="G88" s="37" t="s">
        <v>42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103</v>
      </c>
      <c r="D89" s="37"/>
      <c r="E89" s="37"/>
      <c r="F89" s="37"/>
      <c r="G89" s="37" t="s">
        <v>42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103</v>
      </c>
      <c r="D90" s="37"/>
      <c r="E90" s="37"/>
      <c r="F90" s="37"/>
      <c r="G90" s="37" t="s">
        <v>42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103</v>
      </c>
      <c r="D91" s="37"/>
      <c r="E91" s="37"/>
      <c r="F91" s="37"/>
      <c r="G91" s="37" t="s">
        <v>42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103</v>
      </c>
      <c r="D92" s="37"/>
      <c r="E92" s="37"/>
      <c r="F92" s="37"/>
      <c r="G92" s="37" t="s">
        <v>42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103</v>
      </c>
      <c r="D93" s="37"/>
      <c r="E93" s="37"/>
      <c r="F93" s="37"/>
      <c r="G93" s="37" t="s">
        <v>42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103</v>
      </c>
      <c r="D94" s="37"/>
      <c r="E94" s="37"/>
      <c r="F94" s="37"/>
      <c r="G94" s="37" t="s">
        <v>42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103</v>
      </c>
      <c r="D95" s="37"/>
      <c r="E95" s="37"/>
      <c r="F95" s="37"/>
      <c r="G95" s="37" t="s">
        <v>42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103</v>
      </c>
      <c r="D96" s="37"/>
      <c r="E96" s="37"/>
      <c r="F96" s="37"/>
      <c r="G96" s="37" t="s">
        <v>42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103</v>
      </c>
      <c r="D97" s="37"/>
      <c r="E97" s="37"/>
      <c r="F97" s="37"/>
      <c r="G97" s="37" t="s">
        <v>42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103</v>
      </c>
      <c r="D98" s="37"/>
      <c r="E98" s="37"/>
      <c r="F98" s="37"/>
      <c r="G98" s="37" t="s">
        <v>42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103</v>
      </c>
      <c r="D99" s="37"/>
      <c r="E99" s="37"/>
      <c r="F99" s="37"/>
      <c r="G99" s="37" t="s">
        <v>42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103</v>
      </c>
      <c r="D100" s="37"/>
      <c r="E100" s="37"/>
      <c r="F100" s="37"/>
      <c r="G100" s="37" t="s">
        <v>42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103</v>
      </c>
      <c r="D101" s="37"/>
      <c r="E101" s="37"/>
      <c r="F101" s="37"/>
      <c r="G101" s="37" t="s">
        <v>42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103</v>
      </c>
      <c r="D102" s="37"/>
      <c r="E102" s="37"/>
      <c r="F102" s="37"/>
      <c r="G102" s="37" t="s">
        <v>42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103</v>
      </c>
      <c r="D103" s="37"/>
      <c r="E103" s="37"/>
      <c r="F103" s="37"/>
      <c r="G103" s="37" t="s">
        <v>42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103</v>
      </c>
      <c r="D104" s="37"/>
      <c r="E104" s="37"/>
      <c r="F104" s="37"/>
      <c r="G104" s="37" t="s">
        <v>42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103</v>
      </c>
      <c r="D105" s="37"/>
      <c r="E105" s="37"/>
      <c r="F105" s="37"/>
      <c r="G105" s="37" t="s">
        <v>42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103</v>
      </c>
      <c r="D106" s="37"/>
      <c r="E106" s="37"/>
      <c r="F106" s="37"/>
      <c r="G106" s="37" t="s">
        <v>42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103</v>
      </c>
      <c r="D107" s="37"/>
      <c r="E107" s="37"/>
      <c r="F107" s="37"/>
      <c r="G107" s="37" t="s">
        <v>42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103</v>
      </c>
      <c r="D108" s="37"/>
      <c r="E108" s="37"/>
      <c r="F108" s="37"/>
      <c r="G108" s="37" t="s">
        <v>42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103</v>
      </c>
      <c r="D109" s="37"/>
      <c r="E109" s="37"/>
      <c r="F109" s="37"/>
      <c r="G109" s="37" t="s">
        <v>42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103</v>
      </c>
      <c r="D110" s="37"/>
      <c r="E110" s="37"/>
      <c r="F110" s="37"/>
      <c r="G110" s="37" t="s">
        <v>42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103</v>
      </c>
      <c r="D111" s="37"/>
      <c r="E111" s="37"/>
      <c r="F111" s="37"/>
      <c r="G111" s="37" t="s">
        <v>42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103</v>
      </c>
      <c r="D112" s="37"/>
      <c r="E112" s="37"/>
      <c r="F112" s="37"/>
      <c r="G112" s="37" t="s">
        <v>42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103</v>
      </c>
      <c r="D113" s="37"/>
      <c r="E113" s="37"/>
      <c r="F113" s="37"/>
      <c r="G113" s="37" t="s">
        <v>42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103</v>
      </c>
      <c r="D114" s="37"/>
      <c r="E114" s="37"/>
      <c r="F114" s="37"/>
      <c r="G114" s="37" t="s">
        <v>42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103</v>
      </c>
      <c r="D115" s="37"/>
      <c r="E115" s="37"/>
      <c r="F115" s="37"/>
      <c r="G115" s="37" t="s">
        <v>42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103</v>
      </c>
      <c r="D116" s="37"/>
      <c r="E116" s="37"/>
      <c r="F116" s="37"/>
      <c r="G116" s="37" t="s">
        <v>42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103</v>
      </c>
      <c r="D117" s="37"/>
      <c r="E117" s="37"/>
      <c r="F117" s="37"/>
      <c r="G117" s="37" t="s">
        <v>42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103</v>
      </c>
      <c r="D118" s="37"/>
      <c r="E118" s="37"/>
      <c r="F118" s="37"/>
      <c r="G118" s="37" t="s">
        <v>42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103</v>
      </c>
      <c r="D119" s="37"/>
      <c r="E119" s="37"/>
      <c r="F119" s="37"/>
      <c r="G119" s="37" t="s">
        <v>42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103</v>
      </c>
      <c r="D120" s="37"/>
      <c r="E120" s="37"/>
      <c r="F120" s="37"/>
      <c r="G120" s="37" t="s">
        <v>42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103</v>
      </c>
      <c r="D121" s="37"/>
      <c r="E121" s="37"/>
      <c r="F121" s="37"/>
      <c r="G121" s="37" t="s">
        <v>42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103</v>
      </c>
      <c r="D122" s="37"/>
      <c r="E122" s="37"/>
      <c r="F122" s="37"/>
      <c r="G122" s="37" t="s">
        <v>42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103</v>
      </c>
      <c r="D123" s="37"/>
      <c r="E123" s="37"/>
      <c r="F123" s="37"/>
      <c r="G123" s="37" t="s">
        <v>42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103</v>
      </c>
      <c r="D124" s="37"/>
      <c r="E124" s="37"/>
      <c r="F124" s="37"/>
      <c r="G124" s="37" t="s">
        <v>42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103</v>
      </c>
      <c r="D125" s="37"/>
      <c r="E125" s="37"/>
      <c r="F125" s="37"/>
      <c r="G125" s="37" t="s">
        <v>42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103</v>
      </c>
      <c r="D126" s="37"/>
      <c r="E126" s="37"/>
      <c r="F126" s="37"/>
      <c r="G126" s="37" t="s">
        <v>42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103</v>
      </c>
      <c r="D127" s="37"/>
      <c r="E127" s="37"/>
      <c r="F127" s="37"/>
      <c r="G127" s="37" t="s">
        <v>42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103</v>
      </c>
      <c r="D128" s="37"/>
      <c r="E128" s="37"/>
      <c r="F128" s="37"/>
      <c r="G128" s="37" t="s">
        <v>42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103</v>
      </c>
      <c r="D129" s="37"/>
      <c r="E129" s="37"/>
      <c r="F129" s="37"/>
      <c r="G129" s="37" t="s">
        <v>42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103</v>
      </c>
      <c r="D130" s="37"/>
      <c r="E130" s="37"/>
      <c r="F130" s="37"/>
      <c r="G130" s="37" t="s">
        <v>42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103</v>
      </c>
      <c r="D131" s="37"/>
      <c r="E131" s="37"/>
      <c r="F131" s="37"/>
      <c r="G131" s="37" t="s">
        <v>42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103</v>
      </c>
      <c r="D132" s="37"/>
      <c r="E132" s="37"/>
      <c r="F132" s="37"/>
      <c r="G132" s="37" t="s">
        <v>42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103</v>
      </c>
      <c r="D133" s="37"/>
      <c r="E133" s="37"/>
      <c r="F133" s="37"/>
      <c r="G133" s="37" t="s">
        <v>42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103</v>
      </c>
      <c r="D134" s="37"/>
      <c r="E134" s="37"/>
      <c r="F134" s="37"/>
      <c r="G134" s="37" t="s">
        <v>42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103</v>
      </c>
      <c r="D135" s="37"/>
      <c r="E135" s="37"/>
      <c r="F135" s="37"/>
      <c r="G135" s="37" t="s">
        <v>42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103</v>
      </c>
      <c r="D136" s="37"/>
      <c r="E136" s="37"/>
      <c r="F136" s="37"/>
      <c r="G136" s="37" t="s">
        <v>42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103</v>
      </c>
      <c r="D137" s="37"/>
      <c r="E137" s="37"/>
      <c r="F137" s="37"/>
      <c r="G137" s="37" t="s">
        <v>42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103</v>
      </c>
      <c r="D138" s="37"/>
      <c r="E138" s="37"/>
      <c r="F138" s="37"/>
      <c r="G138" s="37" t="s">
        <v>42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103</v>
      </c>
      <c r="D139" s="37"/>
      <c r="E139" s="37"/>
      <c r="F139" s="37"/>
      <c r="G139" s="37" t="s">
        <v>42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103</v>
      </c>
      <c r="D140" s="37"/>
      <c r="E140" s="37"/>
      <c r="F140" s="37"/>
      <c r="G140" s="37" t="s">
        <v>42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103</v>
      </c>
      <c r="D141" s="37"/>
      <c r="E141" s="37"/>
      <c r="F141" s="37"/>
      <c r="G141" s="37" t="s">
        <v>42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103</v>
      </c>
      <c r="D142" s="37"/>
      <c r="E142" s="37"/>
      <c r="F142" s="37"/>
      <c r="G142" s="37" t="s">
        <v>42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103</v>
      </c>
      <c r="D143" s="37"/>
      <c r="E143" s="37"/>
      <c r="F143" s="37"/>
      <c r="G143" s="37" t="s">
        <v>42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103</v>
      </c>
      <c r="D144" s="37"/>
      <c r="E144" s="37"/>
      <c r="F144" s="37"/>
      <c r="G144" s="37" t="s">
        <v>42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103</v>
      </c>
      <c r="D145" s="37"/>
      <c r="E145" s="37"/>
      <c r="F145" s="37"/>
      <c r="G145" s="37" t="s">
        <v>42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103</v>
      </c>
      <c r="D146" s="37"/>
      <c r="E146" s="37"/>
      <c r="F146" s="37"/>
      <c r="G146" s="37" t="s">
        <v>42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103</v>
      </c>
      <c r="D147" s="37"/>
      <c r="E147" s="37"/>
      <c r="F147" s="37"/>
      <c r="G147" s="37" t="s">
        <v>42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103</v>
      </c>
      <c r="D148" s="37"/>
      <c r="E148" s="37"/>
      <c r="F148" s="37"/>
      <c r="G148" s="37" t="s">
        <v>42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103</v>
      </c>
      <c r="D149" s="37"/>
      <c r="E149" s="37"/>
      <c r="F149" s="37"/>
      <c r="G149" s="37" t="s">
        <v>42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103</v>
      </c>
      <c r="D150" s="37"/>
      <c r="E150" s="37"/>
      <c r="F150" s="37"/>
      <c r="G150" s="37" t="s">
        <v>42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103</v>
      </c>
      <c r="D151" s="37"/>
      <c r="E151" s="37"/>
      <c r="F151" s="37"/>
      <c r="G151" s="37" t="s">
        <v>42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103</v>
      </c>
      <c r="D152" s="37"/>
      <c r="E152" s="37"/>
      <c r="F152" s="37"/>
      <c r="G152" s="37" t="s">
        <v>42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103</v>
      </c>
      <c r="D153" s="37"/>
      <c r="E153" s="37"/>
      <c r="F153" s="37"/>
      <c r="G153" s="37" t="s">
        <v>42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103</v>
      </c>
      <c r="D154" s="37"/>
      <c r="E154" s="37"/>
      <c r="F154" s="37"/>
      <c r="G154" s="37" t="s">
        <v>42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103</v>
      </c>
      <c r="D155" s="37"/>
      <c r="E155" s="37"/>
      <c r="F155" s="37"/>
      <c r="G155" s="37" t="s">
        <v>42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103</v>
      </c>
      <c r="D156" s="37"/>
      <c r="E156" s="37"/>
      <c r="F156" s="37"/>
      <c r="G156" s="37" t="s">
        <v>42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103</v>
      </c>
      <c r="D157" s="37"/>
      <c r="E157" s="37"/>
      <c r="F157" s="37"/>
      <c r="G157" s="37" t="s">
        <v>42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103</v>
      </c>
      <c r="D158" s="37"/>
      <c r="E158" s="37"/>
      <c r="F158" s="37"/>
      <c r="G158" s="37" t="s">
        <v>42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103</v>
      </c>
      <c r="D159" s="37"/>
      <c r="E159" s="37"/>
      <c r="F159" s="37"/>
      <c r="G159" s="37" t="s">
        <v>42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103</v>
      </c>
      <c r="D160" s="37"/>
      <c r="E160" s="37"/>
      <c r="F160" s="37"/>
      <c r="G160" s="37" t="s">
        <v>42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103</v>
      </c>
      <c r="D161" s="37"/>
      <c r="E161" s="37"/>
      <c r="F161" s="37"/>
      <c r="G161" s="37" t="s">
        <v>42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103</v>
      </c>
      <c r="D162" s="37"/>
      <c r="E162" s="37"/>
      <c r="F162" s="37"/>
      <c r="G162" s="37" t="s">
        <v>42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103</v>
      </c>
      <c r="D163" s="37"/>
      <c r="E163" s="37"/>
      <c r="F163" s="37"/>
      <c r="G163" s="37" t="s">
        <v>42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103</v>
      </c>
      <c r="D164" s="37"/>
      <c r="E164" s="37"/>
      <c r="F164" s="37"/>
      <c r="G164" s="37" t="s">
        <v>42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103</v>
      </c>
      <c r="D165" s="37"/>
      <c r="E165" s="37"/>
      <c r="F165" s="37"/>
      <c r="G165" s="37" t="s">
        <v>42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103</v>
      </c>
      <c r="D166" s="37"/>
      <c r="E166" s="37"/>
      <c r="F166" s="37"/>
      <c r="G166" s="37" t="s">
        <v>42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103</v>
      </c>
      <c r="D167" s="37"/>
      <c r="E167" s="37"/>
      <c r="F167" s="37"/>
      <c r="G167" s="37" t="s">
        <v>42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103</v>
      </c>
      <c r="D168" s="37"/>
      <c r="E168" s="37"/>
      <c r="F168" s="37"/>
      <c r="G168" s="37" t="s">
        <v>42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103</v>
      </c>
      <c r="D169" s="37"/>
      <c r="E169" s="37"/>
      <c r="F169" s="37"/>
      <c r="G169" s="37" t="s">
        <v>42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103</v>
      </c>
      <c r="D170" s="37"/>
      <c r="E170" s="37"/>
      <c r="F170" s="37"/>
      <c r="G170" s="37" t="s">
        <v>42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103</v>
      </c>
      <c r="D171" s="37"/>
      <c r="E171" s="37"/>
      <c r="F171" s="37"/>
      <c r="G171" s="37" t="s">
        <v>42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103</v>
      </c>
      <c r="D172" s="37"/>
      <c r="E172" s="37"/>
      <c r="F172" s="37"/>
      <c r="G172" s="37" t="s">
        <v>42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103</v>
      </c>
      <c r="D173" s="37"/>
      <c r="E173" s="37"/>
      <c r="F173" s="37"/>
      <c r="G173" s="37" t="s">
        <v>42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103</v>
      </c>
      <c r="D174" s="37"/>
      <c r="E174" s="37"/>
      <c r="F174" s="37"/>
      <c r="G174" s="37" t="s">
        <v>42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103</v>
      </c>
      <c r="D175" s="37"/>
      <c r="E175" s="37"/>
      <c r="F175" s="37"/>
      <c r="G175" s="37" t="s">
        <v>42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103</v>
      </c>
      <c r="D176" s="37"/>
      <c r="E176" s="37"/>
      <c r="F176" s="37"/>
      <c r="G176" s="37" t="s">
        <v>42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103</v>
      </c>
      <c r="D177" s="37"/>
      <c r="E177" s="37"/>
      <c r="F177" s="37"/>
      <c r="G177" s="37" t="s">
        <v>42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103</v>
      </c>
      <c r="D178" s="37"/>
      <c r="E178" s="37"/>
      <c r="F178" s="37"/>
      <c r="G178" s="37" t="s">
        <v>42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103</v>
      </c>
      <c r="D179" s="37"/>
      <c r="E179" s="37"/>
      <c r="F179" s="37"/>
      <c r="G179" s="37" t="s">
        <v>42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103</v>
      </c>
      <c r="D180" s="37"/>
      <c r="E180" s="37"/>
      <c r="F180" s="37"/>
      <c r="G180" s="37" t="s">
        <v>42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103</v>
      </c>
      <c r="D181" s="37"/>
      <c r="E181" s="37"/>
      <c r="F181" s="37"/>
      <c r="G181" s="37" t="s">
        <v>42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103</v>
      </c>
      <c r="D182" s="37"/>
      <c r="E182" s="37"/>
      <c r="F182" s="37"/>
      <c r="G182" s="37" t="s">
        <v>42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103</v>
      </c>
      <c r="D183" s="37"/>
      <c r="E183" s="37"/>
      <c r="F183" s="37"/>
      <c r="G183" s="37" t="s">
        <v>42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103</v>
      </c>
      <c r="D184" s="37"/>
      <c r="E184" s="37"/>
      <c r="F184" s="37"/>
      <c r="G184" s="37" t="s">
        <v>42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103</v>
      </c>
      <c r="D185" s="37"/>
      <c r="E185" s="37"/>
      <c r="F185" s="37"/>
      <c r="G185" s="37" t="s">
        <v>42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103</v>
      </c>
      <c r="D186" s="37"/>
      <c r="E186" s="37"/>
      <c r="F186" s="37"/>
      <c r="G186" s="37" t="s">
        <v>42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103</v>
      </c>
      <c r="D187" s="37"/>
      <c r="E187" s="37"/>
      <c r="F187" s="37"/>
      <c r="G187" s="37" t="s">
        <v>42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103</v>
      </c>
      <c r="D188" s="37"/>
      <c r="E188" s="37"/>
      <c r="F188" s="37"/>
      <c r="G188" s="37" t="s">
        <v>42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103</v>
      </c>
      <c r="D189" s="37"/>
      <c r="E189" s="37"/>
      <c r="F189" s="37"/>
      <c r="G189" s="37" t="s">
        <v>42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103</v>
      </c>
      <c r="D190" s="37"/>
      <c r="E190" s="37"/>
      <c r="F190" s="37"/>
      <c r="G190" s="37" t="s">
        <v>42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103</v>
      </c>
      <c r="D191" s="37"/>
      <c r="E191" s="37"/>
      <c r="F191" s="37"/>
      <c r="G191" s="37" t="s">
        <v>42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103</v>
      </c>
      <c r="D192" s="37"/>
      <c r="E192" s="37"/>
      <c r="F192" s="37"/>
      <c r="G192" s="37" t="s">
        <v>42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103</v>
      </c>
      <c r="D193" s="37"/>
      <c r="E193" s="37"/>
      <c r="F193" s="37"/>
      <c r="G193" s="37" t="s">
        <v>42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103</v>
      </c>
      <c r="D194" s="37"/>
      <c r="E194" s="37"/>
      <c r="F194" s="37"/>
      <c r="G194" s="37" t="s">
        <v>42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103</v>
      </c>
      <c r="D195" s="37"/>
      <c r="E195" s="37"/>
      <c r="F195" s="37"/>
      <c r="G195" s="37" t="s">
        <v>42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103</v>
      </c>
      <c r="D196" s="37"/>
      <c r="E196" s="37"/>
      <c r="F196" s="37"/>
      <c r="G196" s="37" t="s">
        <v>42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103</v>
      </c>
      <c r="D197" s="37"/>
      <c r="E197" s="37"/>
      <c r="F197" s="37"/>
      <c r="G197" s="37" t="s">
        <v>42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103</v>
      </c>
      <c r="D198" s="37"/>
      <c r="E198" s="37"/>
      <c r="F198" s="37"/>
      <c r="G198" s="37" t="s">
        <v>42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103</v>
      </c>
      <c r="D199" s="37"/>
      <c r="E199" s="37"/>
      <c r="F199" s="37"/>
      <c r="G199" s="37" t="s">
        <v>42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103</v>
      </c>
      <c r="D200" s="37"/>
      <c r="E200" s="37"/>
      <c r="F200" s="37"/>
      <c r="G200" s="37" t="s">
        <v>42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5" t="s">
        <v>201</v>
      </c>
      <c r="B1" s="60"/>
      <c r="C1" s="60"/>
      <c r="D1" s="60"/>
      <c r="E1" s="60"/>
      <c r="F1" s="60"/>
      <c r="G1" s="60"/>
      <c r="H1" s="60"/>
      <c r="I1" s="60"/>
      <c r="J1" s="60"/>
    </row>
    <row r="2" spans="1:10" ht="27" customHeight="1">
      <c r="A2" s="8" t="s">
        <v>0</v>
      </c>
      <c r="B2" s="8" t="s">
        <v>202</v>
      </c>
      <c r="C2" s="8" t="s">
        <v>1</v>
      </c>
      <c r="D2" s="8" t="s">
        <v>203</v>
      </c>
      <c r="E2" s="8" t="s">
        <v>204</v>
      </c>
      <c r="F2" s="8" t="s">
        <v>9</v>
      </c>
      <c r="G2" s="8" t="s">
        <v>5</v>
      </c>
      <c r="H2" s="8" t="s">
        <v>205</v>
      </c>
      <c r="I2" s="8" t="s">
        <v>206</v>
      </c>
      <c r="J2" s="8" t="s">
        <v>207</v>
      </c>
    </row>
    <row r="3" spans="1:10" ht="14.25" customHeight="1">
      <c r="A3" s="9" t="s">
        <v>31</v>
      </c>
      <c r="B3" s="9" t="s">
        <v>117</v>
      </c>
      <c r="C3" s="9" t="s">
        <v>32</v>
      </c>
      <c r="D3" s="9" t="s">
        <v>34</v>
      </c>
      <c r="E3" s="9" t="s">
        <v>35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31</v>
      </c>
      <c r="B4" s="9" t="s">
        <v>110</v>
      </c>
      <c r="C4" s="9" t="s">
        <v>32</v>
      </c>
      <c r="D4" s="9" t="s">
        <v>34</v>
      </c>
      <c r="E4" s="9" t="s">
        <v>35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31</v>
      </c>
      <c r="B5" s="9" t="s">
        <v>103</v>
      </c>
      <c r="C5" s="9" t="s">
        <v>32</v>
      </c>
      <c r="D5" s="9" t="s">
        <v>34</v>
      </c>
      <c r="E5" s="9" t="s">
        <v>35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31</v>
      </c>
      <c r="B6" s="9" t="s">
        <v>208</v>
      </c>
      <c r="C6" s="9" t="s">
        <v>32</v>
      </c>
      <c r="D6" s="9" t="s">
        <v>34</v>
      </c>
      <c r="E6" s="9" t="s">
        <v>35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31</v>
      </c>
      <c r="B7" s="9" t="s">
        <v>33</v>
      </c>
      <c r="C7" s="9" t="s">
        <v>32</v>
      </c>
      <c r="D7" s="9" t="s">
        <v>34</v>
      </c>
      <c r="E7" s="9" t="s">
        <v>35</v>
      </c>
      <c r="F7" s="9"/>
      <c r="G7" s="9"/>
      <c r="H7" s="9"/>
      <c r="I7" s="10"/>
      <c r="J7" s="10"/>
    </row>
    <row r="8" spans="1:10" ht="14.25" customHeight="1">
      <c r="A8" s="9" t="s">
        <v>31</v>
      </c>
      <c r="B8" s="9" t="s">
        <v>117</v>
      </c>
      <c r="C8" s="9" t="s">
        <v>44</v>
      </c>
      <c r="D8" s="9" t="s">
        <v>34</v>
      </c>
      <c r="E8" s="9" t="s">
        <v>35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31</v>
      </c>
      <c r="B9" s="9" t="s">
        <v>110</v>
      </c>
      <c r="C9" s="9" t="s">
        <v>44</v>
      </c>
      <c r="D9" s="9" t="s">
        <v>34</v>
      </c>
      <c r="E9" s="9" t="s">
        <v>35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31</v>
      </c>
      <c r="B10" s="9" t="s">
        <v>103</v>
      </c>
      <c r="C10" s="9" t="s">
        <v>44</v>
      </c>
      <c r="D10" s="9" t="s">
        <v>34</v>
      </c>
      <c r="E10" s="9" t="s">
        <v>35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31</v>
      </c>
      <c r="B11" s="9" t="s">
        <v>208</v>
      </c>
      <c r="C11" s="9" t="s">
        <v>44</v>
      </c>
      <c r="D11" s="9" t="s">
        <v>34</v>
      </c>
      <c r="E11" s="9" t="s">
        <v>35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31</v>
      </c>
      <c r="B12" s="9" t="s">
        <v>33</v>
      </c>
      <c r="C12" s="9" t="s">
        <v>44</v>
      </c>
      <c r="D12" s="9" t="s">
        <v>34</v>
      </c>
      <c r="E12" s="9" t="s">
        <v>35</v>
      </c>
      <c r="F12" s="9"/>
      <c r="G12" s="9"/>
      <c r="H12" s="10"/>
      <c r="I12" s="10"/>
      <c r="J12" s="10"/>
    </row>
    <row r="13" spans="1:10" ht="14.25" customHeight="1">
      <c r="A13" s="9" t="s">
        <v>31</v>
      </c>
      <c r="B13" s="9" t="s">
        <v>117</v>
      </c>
      <c r="C13" s="9" t="s">
        <v>47</v>
      </c>
      <c r="D13" s="9" t="s">
        <v>48</v>
      </c>
      <c r="E13" s="9" t="s">
        <v>35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31</v>
      </c>
      <c r="B14" s="9" t="s">
        <v>110</v>
      </c>
      <c r="C14" s="9" t="s">
        <v>47</v>
      </c>
      <c r="D14" s="9" t="s">
        <v>48</v>
      </c>
      <c r="E14" s="9" t="s">
        <v>35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31</v>
      </c>
      <c r="B15" s="9" t="s">
        <v>103</v>
      </c>
      <c r="C15" s="9" t="s">
        <v>47</v>
      </c>
      <c r="D15" s="9" t="s">
        <v>48</v>
      </c>
      <c r="E15" s="9" t="s">
        <v>35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31</v>
      </c>
      <c r="B16" s="9" t="s">
        <v>208</v>
      </c>
      <c r="C16" s="9" t="s">
        <v>47</v>
      </c>
      <c r="D16" s="9" t="s">
        <v>48</v>
      </c>
      <c r="E16" s="9" t="s">
        <v>35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31</v>
      </c>
      <c r="B17" s="9" t="s">
        <v>33</v>
      </c>
      <c r="C17" s="9" t="s">
        <v>47</v>
      </c>
      <c r="D17" s="9" t="s">
        <v>48</v>
      </c>
      <c r="E17" s="9" t="s">
        <v>35</v>
      </c>
      <c r="F17" s="9"/>
      <c r="G17" s="9"/>
      <c r="H17" s="10"/>
      <c r="I17" s="10"/>
      <c r="J17" s="10"/>
    </row>
    <row r="18" spans="1:10" ht="14.25" customHeight="1">
      <c r="A18" s="9" t="s">
        <v>31</v>
      </c>
      <c r="B18" s="9" t="s">
        <v>117</v>
      </c>
      <c r="C18" s="9" t="s">
        <v>49</v>
      </c>
      <c r="D18" s="9" t="s">
        <v>50</v>
      </c>
      <c r="E18" s="9" t="s">
        <v>51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31</v>
      </c>
      <c r="B19" s="9" t="s">
        <v>110</v>
      </c>
      <c r="C19" s="9" t="s">
        <v>49</v>
      </c>
      <c r="D19" s="9" t="s">
        <v>50</v>
      </c>
      <c r="E19" s="9" t="s">
        <v>51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31</v>
      </c>
      <c r="B20" s="9" t="s">
        <v>103</v>
      </c>
      <c r="C20" s="9" t="s">
        <v>49</v>
      </c>
      <c r="D20" s="9" t="s">
        <v>50</v>
      </c>
      <c r="E20" s="9" t="s">
        <v>51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31</v>
      </c>
      <c r="B21" s="9" t="s">
        <v>208</v>
      </c>
      <c r="C21" s="9" t="s">
        <v>49</v>
      </c>
      <c r="D21" s="9" t="s">
        <v>50</v>
      </c>
      <c r="E21" s="9" t="s">
        <v>51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31</v>
      </c>
      <c r="B22" s="9" t="s">
        <v>33</v>
      </c>
      <c r="C22" s="9" t="s">
        <v>49</v>
      </c>
      <c r="D22" s="9" t="s">
        <v>50</v>
      </c>
      <c r="E22" s="9" t="s">
        <v>51</v>
      </c>
      <c r="F22" s="9"/>
      <c r="G22" s="9"/>
      <c r="H22" s="9"/>
      <c r="I22" s="10"/>
      <c r="J22" s="10"/>
    </row>
    <row r="23" spans="1:10" ht="14.25" customHeight="1">
      <c r="A23" s="9" t="s">
        <v>31</v>
      </c>
      <c r="B23" s="9" t="s">
        <v>117</v>
      </c>
      <c r="C23" s="9" t="s">
        <v>55</v>
      </c>
      <c r="D23" s="9" t="s">
        <v>48</v>
      </c>
      <c r="E23" s="9" t="s">
        <v>35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31</v>
      </c>
      <c r="B24" s="9" t="s">
        <v>110</v>
      </c>
      <c r="C24" s="9" t="s">
        <v>55</v>
      </c>
      <c r="D24" s="9" t="s">
        <v>48</v>
      </c>
      <c r="E24" s="9" t="s">
        <v>35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31</v>
      </c>
      <c r="B25" s="9" t="s">
        <v>103</v>
      </c>
      <c r="C25" s="9" t="s">
        <v>55</v>
      </c>
      <c r="D25" s="9" t="s">
        <v>48</v>
      </c>
      <c r="E25" s="9" t="s">
        <v>35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31</v>
      </c>
      <c r="B26" s="9" t="s">
        <v>208</v>
      </c>
      <c r="C26" s="9" t="s">
        <v>55</v>
      </c>
      <c r="D26" s="9" t="s">
        <v>48</v>
      </c>
      <c r="E26" s="9" t="s">
        <v>35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31</v>
      </c>
      <c r="B27" s="9" t="s">
        <v>33</v>
      </c>
      <c r="C27" s="9" t="s">
        <v>55</v>
      </c>
      <c r="D27" s="9" t="s">
        <v>48</v>
      </c>
      <c r="E27" s="9" t="s">
        <v>35</v>
      </c>
      <c r="F27" s="9"/>
      <c r="G27" s="9"/>
      <c r="H27" s="10"/>
      <c r="I27" s="10"/>
      <c r="J27" s="10"/>
    </row>
    <row r="28" spans="1:10" ht="14.25" customHeight="1">
      <c r="A28" s="9" t="s">
        <v>31</v>
      </c>
      <c r="B28" s="9" t="s">
        <v>117</v>
      </c>
      <c r="C28" s="9" t="s">
        <v>209</v>
      </c>
      <c r="D28" s="9" t="s">
        <v>60</v>
      </c>
      <c r="E28" s="9" t="s">
        <v>51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31</v>
      </c>
      <c r="B29" s="9" t="s">
        <v>110</v>
      </c>
      <c r="C29" s="9" t="s">
        <v>209</v>
      </c>
      <c r="D29" s="9" t="s">
        <v>60</v>
      </c>
      <c r="E29" s="9" t="s">
        <v>51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31</v>
      </c>
      <c r="B30" s="9" t="s">
        <v>103</v>
      </c>
      <c r="C30" s="9" t="s">
        <v>209</v>
      </c>
      <c r="D30" s="9" t="s">
        <v>60</v>
      </c>
      <c r="E30" s="9" t="s">
        <v>51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31</v>
      </c>
      <c r="B31" s="9" t="s">
        <v>208</v>
      </c>
      <c r="C31" s="9" t="s">
        <v>209</v>
      </c>
      <c r="D31" s="9" t="s">
        <v>60</v>
      </c>
      <c r="E31" s="9" t="s">
        <v>51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31</v>
      </c>
      <c r="B32" s="9" t="s">
        <v>33</v>
      </c>
      <c r="C32" s="9" t="s">
        <v>209</v>
      </c>
      <c r="D32" s="9" t="s">
        <v>60</v>
      </c>
      <c r="E32" s="9" t="s">
        <v>51</v>
      </c>
      <c r="F32" s="9"/>
      <c r="G32" s="9"/>
      <c r="H32" s="10"/>
      <c r="I32" s="10"/>
      <c r="J32" s="10"/>
    </row>
    <row r="33" spans="1:10" ht="14.25" customHeight="1">
      <c r="A33" s="9" t="s">
        <v>31</v>
      </c>
      <c r="B33" s="9" t="s">
        <v>117</v>
      </c>
      <c r="C33" s="9" t="s">
        <v>210</v>
      </c>
      <c r="D33" s="9" t="s">
        <v>48</v>
      </c>
      <c r="E33" s="9" t="s">
        <v>51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31</v>
      </c>
      <c r="B34" s="9" t="s">
        <v>110</v>
      </c>
      <c r="C34" s="9" t="s">
        <v>210</v>
      </c>
      <c r="D34" s="9" t="s">
        <v>48</v>
      </c>
      <c r="E34" s="9" t="s">
        <v>51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31</v>
      </c>
      <c r="B35" s="9" t="s">
        <v>103</v>
      </c>
      <c r="C35" s="9" t="s">
        <v>210</v>
      </c>
      <c r="D35" s="9" t="s">
        <v>48</v>
      </c>
      <c r="E35" s="9" t="s">
        <v>51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31</v>
      </c>
      <c r="B36" s="9" t="s">
        <v>208</v>
      </c>
      <c r="C36" s="9" t="s">
        <v>210</v>
      </c>
      <c r="D36" s="9" t="s">
        <v>48</v>
      </c>
      <c r="E36" s="9" t="s">
        <v>51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31</v>
      </c>
      <c r="B37" s="9" t="s">
        <v>33</v>
      </c>
      <c r="C37" s="9" t="s">
        <v>210</v>
      </c>
      <c r="D37" s="9" t="s">
        <v>48</v>
      </c>
      <c r="E37" s="9" t="s">
        <v>51</v>
      </c>
      <c r="F37" s="9"/>
      <c r="G37" s="9"/>
      <c r="H37" s="10"/>
      <c r="I37" s="10"/>
      <c r="J37" s="10"/>
    </row>
    <row r="38" spans="1:10" ht="14.25" customHeight="1">
      <c r="A38" s="9" t="s">
        <v>31</v>
      </c>
      <c r="B38" s="9" t="s">
        <v>117</v>
      </c>
      <c r="C38" s="9" t="s">
        <v>211</v>
      </c>
      <c r="D38" s="9" t="s">
        <v>69</v>
      </c>
      <c r="E38" s="9" t="s">
        <v>51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31</v>
      </c>
      <c r="B39" s="9" t="s">
        <v>110</v>
      </c>
      <c r="C39" s="9" t="s">
        <v>211</v>
      </c>
      <c r="D39" s="9" t="s">
        <v>69</v>
      </c>
      <c r="E39" s="9" t="s">
        <v>51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31</v>
      </c>
      <c r="B40" s="9" t="s">
        <v>103</v>
      </c>
      <c r="C40" s="9" t="s">
        <v>211</v>
      </c>
      <c r="D40" s="9" t="s">
        <v>69</v>
      </c>
      <c r="E40" s="9" t="s">
        <v>51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31</v>
      </c>
      <c r="B41" s="9" t="s">
        <v>208</v>
      </c>
      <c r="C41" s="9" t="s">
        <v>211</v>
      </c>
      <c r="D41" s="9" t="s">
        <v>69</v>
      </c>
      <c r="E41" s="9" t="s">
        <v>51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31</v>
      </c>
      <c r="B42" s="9" t="s">
        <v>33</v>
      </c>
      <c r="C42" s="9" t="s">
        <v>211</v>
      </c>
      <c r="D42" s="9" t="s">
        <v>69</v>
      </c>
      <c r="E42" s="9" t="s">
        <v>51</v>
      </c>
      <c r="F42" s="9"/>
      <c r="G42" s="9"/>
      <c r="H42" s="9"/>
      <c r="I42" s="10"/>
      <c r="J42" s="10"/>
    </row>
    <row r="43" spans="1:10" ht="14.25" customHeight="1">
      <c r="A43" s="9" t="s">
        <v>31</v>
      </c>
      <c r="B43" s="9" t="s">
        <v>117</v>
      </c>
      <c r="C43" s="9" t="s">
        <v>212</v>
      </c>
      <c r="D43" s="9" t="s">
        <v>50</v>
      </c>
      <c r="E43" s="9" t="s">
        <v>51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31</v>
      </c>
      <c r="B44" s="9" t="s">
        <v>110</v>
      </c>
      <c r="C44" s="9" t="s">
        <v>212</v>
      </c>
      <c r="D44" s="9" t="s">
        <v>50</v>
      </c>
      <c r="E44" s="9" t="s">
        <v>51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31</v>
      </c>
      <c r="B45" s="9" t="s">
        <v>103</v>
      </c>
      <c r="C45" s="9" t="s">
        <v>212</v>
      </c>
      <c r="D45" s="9" t="s">
        <v>50</v>
      </c>
      <c r="E45" s="9" t="s">
        <v>51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31</v>
      </c>
      <c r="B46" s="9" t="s">
        <v>208</v>
      </c>
      <c r="C46" s="9" t="s">
        <v>212</v>
      </c>
      <c r="D46" s="9" t="s">
        <v>50</v>
      </c>
      <c r="E46" s="9" t="s">
        <v>51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31</v>
      </c>
      <c r="B47" s="9" t="s">
        <v>33</v>
      </c>
      <c r="C47" s="9" t="s">
        <v>212</v>
      </c>
      <c r="D47" s="9" t="s">
        <v>50</v>
      </c>
      <c r="E47" s="9" t="s">
        <v>51</v>
      </c>
      <c r="F47" s="9"/>
      <c r="G47" s="9"/>
      <c r="H47" s="10"/>
      <c r="I47" s="10"/>
      <c r="J47" s="10"/>
    </row>
    <row r="48" spans="1:10" ht="14.25" customHeight="1">
      <c r="A48" s="9" t="s">
        <v>31</v>
      </c>
      <c r="B48" s="9" t="s">
        <v>117</v>
      </c>
      <c r="C48" s="9" t="s">
        <v>213</v>
      </c>
      <c r="D48" s="9" t="s">
        <v>48</v>
      </c>
      <c r="E48" s="9" t="s">
        <v>51</v>
      </c>
      <c r="F48" s="9"/>
      <c r="G48" s="9"/>
      <c r="H48" s="10"/>
      <c r="I48" s="10"/>
      <c r="J48" s="10"/>
    </row>
    <row r="49" spans="1:10" ht="14.25" customHeight="1">
      <c r="A49" s="9" t="s">
        <v>31</v>
      </c>
      <c r="B49" s="9" t="s">
        <v>110</v>
      </c>
      <c r="C49" s="9" t="s">
        <v>213</v>
      </c>
      <c r="D49" s="9" t="s">
        <v>48</v>
      </c>
      <c r="E49" s="9" t="s">
        <v>51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31</v>
      </c>
      <c r="B50" s="9" t="s">
        <v>103</v>
      </c>
      <c r="C50" s="9" t="s">
        <v>213</v>
      </c>
      <c r="D50" s="9" t="s">
        <v>48</v>
      </c>
      <c r="E50" s="9" t="s">
        <v>51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31</v>
      </c>
      <c r="B51" s="9" t="s">
        <v>208</v>
      </c>
      <c r="C51" s="9" t="s">
        <v>213</v>
      </c>
      <c r="D51" s="9" t="s">
        <v>48</v>
      </c>
      <c r="E51" s="9" t="s">
        <v>51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31</v>
      </c>
      <c r="B52" s="9" t="s">
        <v>33</v>
      </c>
      <c r="C52" s="9" t="s">
        <v>213</v>
      </c>
      <c r="D52" s="9" t="s">
        <v>48</v>
      </c>
      <c r="E52" s="9" t="s">
        <v>51</v>
      </c>
      <c r="F52" s="9"/>
      <c r="G52" s="9"/>
      <c r="H52" s="10"/>
      <c r="I52" s="10"/>
      <c r="J52" s="10"/>
    </row>
    <row r="53" spans="1:10" ht="14.25" customHeight="1">
      <c r="A53" s="9" t="s">
        <v>31</v>
      </c>
      <c r="B53" s="9" t="s">
        <v>117</v>
      </c>
      <c r="C53" s="9" t="s">
        <v>214</v>
      </c>
      <c r="D53" s="9" t="s">
        <v>48</v>
      </c>
      <c r="E53" s="9" t="s">
        <v>51</v>
      </c>
      <c r="F53" s="9"/>
      <c r="G53" s="9"/>
      <c r="H53" s="10"/>
      <c r="I53" s="10"/>
      <c r="J53" s="10"/>
    </row>
    <row r="54" spans="1:10" ht="14.25" customHeight="1">
      <c r="A54" s="9" t="s">
        <v>31</v>
      </c>
      <c r="B54" s="9" t="s">
        <v>110</v>
      </c>
      <c r="C54" s="9" t="s">
        <v>214</v>
      </c>
      <c r="D54" s="9" t="s">
        <v>48</v>
      </c>
      <c r="E54" s="9" t="s">
        <v>51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31</v>
      </c>
      <c r="B55" s="9" t="s">
        <v>103</v>
      </c>
      <c r="C55" s="9" t="s">
        <v>214</v>
      </c>
      <c r="D55" s="9" t="s">
        <v>48</v>
      </c>
      <c r="E55" s="9" t="s">
        <v>51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31</v>
      </c>
      <c r="B56" s="9" t="s">
        <v>208</v>
      </c>
      <c r="C56" s="9" t="s">
        <v>214</v>
      </c>
      <c r="D56" s="9" t="s">
        <v>48</v>
      </c>
      <c r="E56" s="9" t="s">
        <v>51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31</v>
      </c>
      <c r="B57" s="9" t="s">
        <v>33</v>
      </c>
      <c r="C57" s="9" t="s">
        <v>214</v>
      </c>
      <c r="D57" s="9" t="s">
        <v>48</v>
      </c>
      <c r="E57" s="9" t="s">
        <v>51</v>
      </c>
      <c r="F57" s="9"/>
      <c r="G57" s="9"/>
      <c r="H57" s="10"/>
      <c r="I57" s="10"/>
      <c r="J57" s="10"/>
    </row>
    <row r="58" spans="1:10" ht="14.25" customHeight="1">
      <c r="A58" s="9" t="s">
        <v>31</v>
      </c>
      <c r="B58" s="9" t="s">
        <v>117</v>
      </c>
      <c r="C58" s="9" t="s">
        <v>215</v>
      </c>
      <c r="D58" s="9" t="s">
        <v>48</v>
      </c>
      <c r="E58" s="9" t="s">
        <v>35</v>
      </c>
      <c r="F58" s="9"/>
      <c r="G58" s="9"/>
      <c r="H58" s="9"/>
      <c r="I58" s="10"/>
      <c r="J58" s="10"/>
    </row>
    <row r="59" spans="1:10" ht="14.25" customHeight="1">
      <c r="A59" s="9" t="s">
        <v>31</v>
      </c>
      <c r="B59" s="9" t="s">
        <v>110</v>
      </c>
      <c r="C59" s="9" t="s">
        <v>215</v>
      </c>
      <c r="D59" s="9" t="s">
        <v>48</v>
      </c>
      <c r="E59" s="9" t="s">
        <v>35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31</v>
      </c>
      <c r="B60" s="9" t="s">
        <v>103</v>
      </c>
      <c r="C60" s="9" t="s">
        <v>215</v>
      </c>
      <c r="D60" s="9" t="s">
        <v>48</v>
      </c>
      <c r="E60" s="9" t="s">
        <v>35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31</v>
      </c>
      <c r="B61" s="9" t="s">
        <v>208</v>
      </c>
      <c r="C61" s="9" t="s">
        <v>215</v>
      </c>
      <c r="D61" s="9" t="s">
        <v>48</v>
      </c>
      <c r="E61" s="9" t="s">
        <v>35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31</v>
      </c>
      <c r="B62" s="9" t="s">
        <v>33</v>
      </c>
      <c r="C62" s="9" t="s">
        <v>215</v>
      </c>
      <c r="D62" s="9" t="s">
        <v>48</v>
      </c>
      <c r="E62" s="9" t="s">
        <v>35</v>
      </c>
      <c r="F62" s="9"/>
      <c r="G62" s="9"/>
      <c r="H62" s="9"/>
      <c r="I62" s="10"/>
      <c r="J62" s="10"/>
    </row>
    <row r="63" spans="1:10" ht="14.25" customHeight="1">
      <c r="A63" s="9" t="s">
        <v>31</v>
      </c>
      <c r="B63" s="9" t="s">
        <v>117</v>
      </c>
      <c r="C63" s="9" t="s">
        <v>216</v>
      </c>
      <c r="D63" s="9" t="s">
        <v>82</v>
      </c>
      <c r="E63" s="9" t="s">
        <v>35</v>
      </c>
      <c r="F63" s="9"/>
      <c r="G63" s="9"/>
      <c r="H63" s="10"/>
      <c r="I63" s="10"/>
      <c r="J63" s="10"/>
    </row>
    <row r="64" spans="1:10" ht="14.25" customHeight="1">
      <c r="A64" s="9" t="s">
        <v>31</v>
      </c>
      <c r="B64" s="9" t="s">
        <v>110</v>
      </c>
      <c r="C64" s="9" t="s">
        <v>216</v>
      </c>
      <c r="D64" s="9" t="s">
        <v>82</v>
      </c>
      <c r="E64" s="9" t="s">
        <v>35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31</v>
      </c>
      <c r="B65" s="9" t="s">
        <v>103</v>
      </c>
      <c r="C65" s="9" t="s">
        <v>216</v>
      </c>
      <c r="D65" s="9" t="s">
        <v>82</v>
      </c>
      <c r="E65" s="9" t="s">
        <v>35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31</v>
      </c>
      <c r="B66" s="9" t="s">
        <v>208</v>
      </c>
      <c r="C66" s="9" t="s">
        <v>216</v>
      </c>
      <c r="D66" s="9" t="s">
        <v>82</v>
      </c>
      <c r="E66" s="9" t="s">
        <v>35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31</v>
      </c>
      <c r="B67" s="9" t="s">
        <v>33</v>
      </c>
      <c r="C67" s="9" t="s">
        <v>216</v>
      </c>
      <c r="D67" s="9" t="s">
        <v>82</v>
      </c>
      <c r="E67" s="9" t="s">
        <v>35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31</v>
      </c>
      <c r="B68" s="9" t="s">
        <v>117</v>
      </c>
      <c r="C68" s="9" t="s">
        <v>59</v>
      </c>
      <c r="D68" s="9" t="s">
        <v>60</v>
      </c>
      <c r="E68" s="9" t="s">
        <v>61</v>
      </c>
      <c r="F68" s="9"/>
      <c r="G68" s="9"/>
      <c r="H68" s="10"/>
      <c r="I68" s="10"/>
      <c r="J68" s="9"/>
    </row>
    <row r="69" spans="1:10" ht="14.25" customHeight="1">
      <c r="A69" s="9" t="s">
        <v>31</v>
      </c>
      <c r="B69" s="9" t="s">
        <v>110</v>
      </c>
      <c r="C69" s="9" t="s">
        <v>59</v>
      </c>
      <c r="D69" s="9" t="s">
        <v>60</v>
      </c>
      <c r="E69" s="9" t="s">
        <v>61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31</v>
      </c>
      <c r="B70" s="9" t="s">
        <v>103</v>
      </c>
      <c r="C70" s="9" t="s">
        <v>59</v>
      </c>
      <c r="D70" s="9" t="s">
        <v>60</v>
      </c>
      <c r="E70" s="9" t="s">
        <v>61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31</v>
      </c>
      <c r="B71" s="9" t="s">
        <v>208</v>
      </c>
      <c r="C71" s="9" t="s">
        <v>59</v>
      </c>
      <c r="D71" s="9" t="s">
        <v>60</v>
      </c>
      <c r="E71" s="9" t="s">
        <v>61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31</v>
      </c>
      <c r="B72" s="9" t="s">
        <v>33</v>
      </c>
      <c r="C72" s="9" t="s">
        <v>59</v>
      </c>
      <c r="D72" s="9" t="s">
        <v>60</v>
      </c>
      <c r="E72" s="9" t="s">
        <v>61</v>
      </c>
      <c r="F72" s="9"/>
      <c r="G72" s="9"/>
      <c r="H72" s="10"/>
      <c r="I72" s="10"/>
      <c r="J72" s="10"/>
    </row>
    <row r="73" spans="1:10" ht="14.25" customHeight="1">
      <c r="A73" s="9" t="s">
        <v>31</v>
      </c>
      <c r="B73" s="9" t="s">
        <v>117</v>
      </c>
      <c r="C73" s="9" t="s">
        <v>65</v>
      </c>
      <c r="D73" s="9" t="s">
        <v>50</v>
      </c>
      <c r="E73" s="9" t="s">
        <v>61</v>
      </c>
      <c r="F73" s="9"/>
      <c r="G73" s="9"/>
      <c r="H73" s="9"/>
      <c r="I73" s="10"/>
      <c r="J73" s="10"/>
    </row>
    <row r="74" spans="1:10" ht="14.25" customHeight="1">
      <c r="A74" s="9" t="s">
        <v>31</v>
      </c>
      <c r="B74" s="9" t="s">
        <v>110</v>
      </c>
      <c r="C74" s="9" t="s">
        <v>65</v>
      </c>
      <c r="D74" s="9" t="s">
        <v>50</v>
      </c>
      <c r="E74" s="9" t="s">
        <v>61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31</v>
      </c>
      <c r="B75" s="9" t="s">
        <v>103</v>
      </c>
      <c r="C75" s="9" t="s">
        <v>65</v>
      </c>
      <c r="D75" s="9" t="s">
        <v>50</v>
      </c>
      <c r="E75" s="9" t="s">
        <v>61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31</v>
      </c>
      <c r="B76" s="9" t="s">
        <v>208</v>
      </c>
      <c r="C76" s="9" t="s">
        <v>65</v>
      </c>
      <c r="D76" s="9" t="s">
        <v>50</v>
      </c>
      <c r="E76" s="9" t="s">
        <v>61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31</v>
      </c>
      <c r="B77" s="9" t="s">
        <v>33</v>
      </c>
      <c r="C77" s="9" t="s">
        <v>65</v>
      </c>
      <c r="D77" s="9" t="s">
        <v>50</v>
      </c>
      <c r="E77" s="9" t="s">
        <v>61</v>
      </c>
      <c r="F77" s="9"/>
      <c r="G77" s="9"/>
      <c r="H77" s="9"/>
      <c r="I77" s="10"/>
      <c r="J77" s="10"/>
    </row>
    <row r="78" spans="1:10" ht="14.25" customHeight="1">
      <c r="A78" s="9" t="s">
        <v>31</v>
      </c>
      <c r="B78" s="9" t="s">
        <v>117</v>
      </c>
      <c r="C78" s="9" t="s">
        <v>68</v>
      </c>
      <c r="D78" s="9" t="s">
        <v>69</v>
      </c>
      <c r="E78" s="9" t="s">
        <v>51</v>
      </c>
      <c r="F78" s="9"/>
      <c r="G78" s="9"/>
      <c r="H78" s="10"/>
      <c r="I78" s="10"/>
      <c r="J78" s="9"/>
    </row>
    <row r="79" spans="1:10" ht="14.25" customHeight="1">
      <c r="A79" s="9" t="s">
        <v>31</v>
      </c>
      <c r="B79" s="9" t="s">
        <v>110</v>
      </c>
      <c r="C79" s="9" t="s">
        <v>68</v>
      </c>
      <c r="D79" s="9" t="s">
        <v>69</v>
      </c>
      <c r="E79" s="9" t="s">
        <v>51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31</v>
      </c>
      <c r="B80" s="9" t="s">
        <v>103</v>
      </c>
      <c r="C80" s="9" t="s">
        <v>68</v>
      </c>
      <c r="D80" s="9" t="s">
        <v>69</v>
      </c>
      <c r="E80" s="9" t="s">
        <v>51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31</v>
      </c>
      <c r="B81" s="9" t="s">
        <v>208</v>
      </c>
      <c r="C81" s="9" t="s">
        <v>68</v>
      </c>
      <c r="D81" s="9" t="s">
        <v>69</v>
      </c>
      <c r="E81" s="9" t="s">
        <v>51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31</v>
      </c>
      <c r="B82" s="9" t="s">
        <v>33</v>
      </c>
      <c r="C82" s="9" t="s">
        <v>68</v>
      </c>
      <c r="D82" s="9" t="s">
        <v>69</v>
      </c>
      <c r="E82" s="9" t="s">
        <v>51</v>
      </c>
      <c r="F82" s="9"/>
      <c r="G82" s="9"/>
      <c r="H82" s="10"/>
      <c r="I82" s="10"/>
      <c r="J82" s="9"/>
    </row>
    <row r="83" spans="1:10" ht="14.25" customHeight="1">
      <c r="A83" s="9" t="s">
        <v>31</v>
      </c>
      <c r="B83" s="9" t="s">
        <v>117</v>
      </c>
      <c r="C83" s="9" t="s">
        <v>72</v>
      </c>
      <c r="D83" s="9" t="s">
        <v>69</v>
      </c>
      <c r="E83" s="9" t="s">
        <v>35</v>
      </c>
      <c r="F83" s="9"/>
      <c r="G83" s="9"/>
      <c r="H83" s="9"/>
      <c r="I83" s="10"/>
      <c r="J83" s="10"/>
    </row>
    <row r="84" spans="1:10" ht="14.25" customHeight="1">
      <c r="A84" s="9" t="s">
        <v>31</v>
      </c>
      <c r="B84" s="9" t="s">
        <v>110</v>
      </c>
      <c r="C84" s="9" t="s">
        <v>72</v>
      </c>
      <c r="D84" s="9" t="s">
        <v>69</v>
      </c>
      <c r="E84" s="9" t="s">
        <v>35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31</v>
      </c>
      <c r="B85" s="9" t="s">
        <v>103</v>
      </c>
      <c r="C85" s="9" t="s">
        <v>72</v>
      </c>
      <c r="D85" s="9" t="s">
        <v>69</v>
      </c>
      <c r="E85" s="9" t="s">
        <v>35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31</v>
      </c>
      <c r="B86" s="9" t="s">
        <v>208</v>
      </c>
      <c r="C86" s="9" t="s">
        <v>72</v>
      </c>
      <c r="D86" s="9" t="s">
        <v>69</v>
      </c>
      <c r="E86" s="9" t="s">
        <v>35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31</v>
      </c>
      <c r="B87" s="9" t="s">
        <v>33</v>
      </c>
      <c r="C87" s="9" t="s">
        <v>72</v>
      </c>
      <c r="D87" s="9" t="s">
        <v>69</v>
      </c>
      <c r="E87" s="9" t="s">
        <v>35</v>
      </c>
      <c r="F87" s="9"/>
      <c r="G87" s="9"/>
      <c r="H87" s="9"/>
      <c r="I87" s="10"/>
      <c r="J87" s="10"/>
    </row>
    <row r="88" spans="1:10" ht="14.25" customHeight="1">
      <c r="A88" s="9" t="s">
        <v>31</v>
      </c>
      <c r="B88" s="9" t="s">
        <v>117</v>
      </c>
      <c r="C88" s="9" t="s">
        <v>75</v>
      </c>
      <c r="D88" s="9" t="s">
        <v>34</v>
      </c>
      <c r="E88" s="9" t="s">
        <v>51</v>
      </c>
      <c r="F88" s="9"/>
      <c r="G88" s="9"/>
      <c r="H88" s="10"/>
      <c r="I88" s="10"/>
      <c r="J88" s="9"/>
    </row>
    <row r="89" spans="1:10" ht="14.25" customHeight="1">
      <c r="A89" s="9" t="s">
        <v>31</v>
      </c>
      <c r="B89" s="9" t="s">
        <v>110</v>
      </c>
      <c r="C89" s="9" t="s">
        <v>75</v>
      </c>
      <c r="D89" s="9" t="s">
        <v>34</v>
      </c>
      <c r="E89" s="9" t="s">
        <v>51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31</v>
      </c>
      <c r="B90" s="9" t="s">
        <v>103</v>
      </c>
      <c r="C90" s="9" t="s">
        <v>75</v>
      </c>
      <c r="D90" s="9" t="s">
        <v>34</v>
      </c>
      <c r="E90" s="9" t="s">
        <v>51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31</v>
      </c>
      <c r="B91" s="9" t="s">
        <v>208</v>
      </c>
      <c r="C91" s="9" t="s">
        <v>75</v>
      </c>
      <c r="D91" s="9" t="s">
        <v>34</v>
      </c>
      <c r="E91" s="9" t="s">
        <v>51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31</v>
      </c>
      <c r="B92" s="9" t="s">
        <v>33</v>
      </c>
      <c r="C92" s="9" t="s">
        <v>75</v>
      </c>
      <c r="D92" s="9" t="s">
        <v>34</v>
      </c>
      <c r="E92" s="9" t="s">
        <v>51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31</v>
      </c>
      <c r="B93" s="9" t="s">
        <v>117</v>
      </c>
      <c r="C93" s="9" t="s">
        <v>78</v>
      </c>
      <c r="D93" s="9" t="s">
        <v>34</v>
      </c>
      <c r="E93" s="9" t="s">
        <v>61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31</v>
      </c>
      <c r="B94" s="9" t="s">
        <v>110</v>
      </c>
      <c r="C94" s="9" t="s">
        <v>78</v>
      </c>
      <c r="D94" s="9" t="s">
        <v>34</v>
      </c>
      <c r="E94" s="9" t="s">
        <v>61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31</v>
      </c>
      <c r="B95" s="9" t="s">
        <v>103</v>
      </c>
      <c r="C95" s="9" t="s">
        <v>78</v>
      </c>
      <c r="D95" s="9" t="s">
        <v>34</v>
      </c>
      <c r="E95" s="9" t="s">
        <v>61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31</v>
      </c>
      <c r="B96" s="9" t="s">
        <v>208</v>
      </c>
      <c r="C96" s="9" t="s">
        <v>78</v>
      </c>
      <c r="D96" s="9" t="s">
        <v>34</v>
      </c>
      <c r="E96" s="9" t="s">
        <v>61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31</v>
      </c>
      <c r="B97" s="9" t="s">
        <v>33</v>
      </c>
      <c r="C97" s="9" t="s">
        <v>78</v>
      </c>
      <c r="D97" s="9" t="s">
        <v>34</v>
      </c>
      <c r="E97" s="9" t="s">
        <v>61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31</v>
      </c>
      <c r="B98" s="9" t="s">
        <v>117</v>
      </c>
      <c r="C98" s="9" t="s">
        <v>81</v>
      </c>
      <c r="D98" s="9" t="s">
        <v>82</v>
      </c>
      <c r="E98" s="9" t="s">
        <v>51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31</v>
      </c>
      <c r="B99" s="9" t="s">
        <v>110</v>
      </c>
      <c r="C99" s="9" t="s">
        <v>81</v>
      </c>
      <c r="D99" s="9" t="s">
        <v>82</v>
      </c>
      <c r="E99" s="9" t="s">
        <v>51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31</v>
      </c>
      <c r="B100" s="9" t="s">
        <v>103</v>
      </c>
      <c r="C100" s="9" t="s">
        <v>81</v>
      </c>
      <c r="D100" s="9" t="s">
        <v>82</v>
      </c>
      <c r="E100" s="9" t="s">
        <v>51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31</v>
      </c>
      <c r="B101" s="9" t="s">
        <v>208</v>
      </c>
      <c r="C101" s="9" t="s">
        <v>81</v>
      </c>
      <c r="D101" s="9" t="s">
        <v>82</v>
      </c>
      <c r="E101" s="9" t="s">
        <v>51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31</v>
      </c>
      <c r="B102" s="9" t="s">
        <v>33</v>
      </c>
      <c r="C102" s="9" t="s">
        <v>81</v>
      </c>
      <c r="D102" s="9" t="s">
        <v>82</v>
      </c>
      <c r="E102" s="9" t="s">
        <v>51</v>
      </c>
      <c r="F102" s="9"/>
      <c r="G102" s="9"/>
      <c r="H102" s="10"/>
      <c r="I102" s="10"/>
      <c r="J102" s="9"/>
    </row>
    <row r="103" spans="1:10" ht="14.25" customHeight="1">
      <c r="A103" s="9" t="s">
        <v>31</v>
      </c>
      <c r="B103" s="9" t="s">
        <v>117</v>
      </c>
      <c r="C103" s="9" t="s">
        <v>84</v>
      </c>
      <c r="D103" s="9" t="s">
        <v>82</v>
      </c>
      <c r="E103" s="9" t="s">
        <v>61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31</v>
      </c>
      <c r="B104" s="9" t="s">
        <v>110</v>
      </c>
      <c r="C104" s="9" t="s">
        <v>84</v>
      </c>
      <c r="D104" s="9" t="s">
        <v>82</v>
      </c>
      <c r="E104" s="9" t="s">
        <v>61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31</v>
      </c>
      <c r="B105" s="9" t="s">
        <v>103</v>
      </c>
      <c r="C105" s="9" t="s">
        <v>84</v>
      </c>
      <c r="D105" s="9" t="s">
        <v>82</v>
      </c>
      <c r="E105" s="9" t="s">
        <v>61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31</v>
      </c>
      <c r="B106" s="9" t="s">
        <v>208</v>
      </c>
      <c r="C106" s="9" t="s">
        <v>84</v>
      </c>
      <c r="D106" s="9" t="s">
        <v>82</v>
      </c>
      <c r="E106" s="9" t="s">
        <v>61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31</v>
      </c>
      <c r="B107" s="9" t="s">
        <v>33</v>
      </c>
      <c r="C107" s="9" t="s">
        <v>84</v>
      </c>
      <c r="D107" s="9" t="s">
        <v>82</v>
      </c>
      <c r="E107" s="9" t="s">
        <v>61</v>
      </c>
      <c r="F107" s="9"/>
      <c r="G107" s="9"/>
      <c r="H107" s="9"/>
      <c r="I107" s="10"/>
      <c r="J107" s="10"/>
    </row>
    <row r="108" spans="1:10" ht="14.25" customHeight="1">
      <c r="A108" s="9" t="s">
        <v>31</v>
      </c>
      <c r="B108" s="9" t="s">
        <v>117</v>
      </c>
      <c r="C108" s="9" t="s">
        <v>86</v>
      </c>
      <c r="D108" s="9" t="s">
        <v>34</v>
      </c>
      <c r="E108" s="9" t="s">
        <v>51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31</v>
      </c>
      <c r="B109" s="9" t="s">
        <v>110</v>
      </c>
      <c r="C109" s="9" t="s">
        <v>86</v>
      </c>
      <c r="D109" s="9" t="s">
        <v>34</v>
      </c>
      <c r="E109" s="9" t="s">
        <v>51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31</v>
      </c>
      <c r="B110" s="9" t="s">
        <v>103</v>
      </c>
      <c r="C110" s="9" t="s">
        <v>86</v>
      </c>
      <c r="D110" s="9" t="s">
        <v>34</v>
      </c>
      <c r="E110" s="9" t="s">
        <v>51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31</v>
      </c>
      <c r="B111" s="9" t="s">
        <v>208</v>
      </c>
      <c r="C111" s="9" t="s">
        <v>86</v>
      </c>
      <c r="D111" s="9" t="s">
        <v>34</v>
      </c>
      <c r="E111" s="9" t="s">
        <v>51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31</v>
      </c>
      <c r="B112" s="9" t="s">
        <v>33</v>
      </c>
      <c r="C112" s="9" t="s">
        <v>86</v>
      </c>
      <c r="D112" s="9" t="s">
        <v>34</v>
      </c>
      <c r="E112" s="9" t="s">
        <v>51</v>
      </c>
      <c r="F112" s="9"/>
      <c r="G112" s="9"/>
      <c r="H112" s="10"/>
      <c r="I112" s="10"/>
      <c r="J112" s="9"/>
    </row>
    <row r="113" spans="1:10" ht="14.25" customHeight="1">
      <c r="A113" s="9" t="s">
        <v>31</v>
      </c>
      <c r="B113" s="9" t="s">
        <v>117</v>
      </c>
      <c r="C113" s="9" t="s">
        <v>87</v>
      </c>
      <c r="D113" s="9" t="s">
        <v>34</v>
      </c>
      <c r="E113" s="9" t="s">
        <v>51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31</v>
      </c>
      <c r="B114" s="9" t="s">
        <v>110</v>
      </c>
      <c r="C114" s="9" t="s">
        <v>87</v>
      </c>
      <c r="D114" s="9" t="s">
        <v>34</v>
      </c>
      <c r="E114" s="9" t="s">
        <v>51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31</v>
      </c>
      <c r="B115" s="9" t="s">
        <v>103</v>
      </c>
      <c r="C115" s="9" t="s">
        <v>87</v>
      </c>
      <c r="D115" s="9" t="s">
        <v>34</v>
      </c>
      <c r="E115" s="9" t="s">
        <v>51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31</v>
      </c>
      <c r="B116" s="9" t="s">
        <v>208</v>
      </c>
      <c r="C116" s="9" t="s">
        <v>87</v>
      </c>
      <c r="D116" s="9" t="s">
        <v>34</v>
      </c>
      <c r="E116" s="9" t="s">
        <v>51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31</v>
      </c>
      <c r="B117" s="9" t="s">
        <v>33</v>
      </c>
      <c r="C117" s="9" t="s">
        <v>87</v>
      </c>
      <c r="D117" s="9" t="s">
        <v>34</v>
      </c>
      <c r="E117" s="9" t="s">
        <v>51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31</v>
      </c>
      <c r="B118" s="9" t="s">
        <v>117</v>
      </c>
      <c r="C118" s="9" t="s">
        <v>90</v>
      </c>
      <c r="D118" s="9" t="s">
        <v>50</v>
      </c>
      <c r="E118" s="9" t="s">
        <v>35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31</v>
      </c>
      <c r="B119" s="9" t="s">
        <v>110</v>
      </c>
      <c r="C119" s="9" t="s">
        <v>90</v>
      </c>
      <c r="D119" s="9" t="s">
        <v>50</v>
      </c>
      <c r="E119" s="9" t="s">
        <v>35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31</v>
      </c>
      <c r="B120" s="9" t="s">
        <v>103</v>
      </c>
      <c r="C120" s="9" t="s">
        <v>90</v>
      </c>
      <c r="D120" s="9" t="s">
        <v>50</v>
      </c>
      <c r="E120" s="9" t="s">
        <v>35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31</v>
      </c>
      <c r="B121" s="9" t="s">
        <v>117</v>
      </c>
      <c r="C121" s="9" t="s">
        <v>92</v>
      </c>
      <c r="D121" s="9" t="s">
        <v>50</v>
      </c>
      <c r="E121" s="9" t="s">
        <v>61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31</v>
      </c>
      <c r="B122" s="9" t="s">
        <v>110</v>
      </c>
      <c r="C122" s="9" t="s">
        <v>92</v>
      </c>
      <c r="D122" s="9" t="s">
        <v>50</v>
      </c>
      <c r="E122" s="9" t="s">
        <v>61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31</v>
      </c>
      <c r="B123" s="9" t="s">
        <v>103</v>
      </c>
      <c r="C123" s="9" t="s">
        <v>92</v>
      </c>
      <c r="D123" s="9" t="s">
        <v>50</v>
      </c>
      <c r="E123" s="9" t="s">
        <v>61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31</v>
      </c>
      <c r="B124" s="9" t="s">
        <v>208</v>
      </c>
      <c r="C124" s="9" t="s">
        <v>92</v>
      </c>
      <c r="D124" s="9" t="s">
        <v>50</v>
      </c>
      <c r="E124" s="9" t="s">
        <v>61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31</v>
      </c>
      <c r="B125" s="9" t="s">
        <v>33</v>
      </c>
      <c r="C125" s="9" t="s">
        <v>92</v>
      </c>
      <c r="D125" s="9" t="s">
        <v>50</v>
      </c>
      <c r="E125" s="9" t="s">
        <v>61</v>
      </c>
      <c r="F125" s="9"/>
      <c r="G125" s="9"/>
      <c r="H125" s="9"/>
      <c r="I125" s="10"/>
      <c r="J125" s="10"/>
    </row>
    <row r="126" spans="1:10" ht="14.25" customHeight="1">
      <c r="A126" s="9" t="s">
        <v>31</v>
      </c>
      <c r="B126" s="9" t="s">
        <v>117</v>
      </c>
      <c r="C126" s="9" t="s">
        <v>93</v>
      </c>
      <c r="D126" s="9" t="s">
        <v>94</v>
      </c>
      <c r="E126" s="9" t="s">
        <v>51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31</v>
      </c>
      <c r="B127" s="9" t="s">
        <v>110</v>
      </c>
      <c r="C127" s="9" t="s">
        <v>93</v>
      </c>
      <c r="D127" s="9" t="s">
        <v>94</v>
      </c>
      <c r="E127" s="9" t="s">
        <v>51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31</v>
      </c>
      <c r="B128" s="9" t="s">
        <v>103</v>
      </c>
      <c r="C128" s="9" t="s">
        <v>93</v>
      </c>
      <c r="D128" s="9" t="s">
        <v>94</v>
      </c>
      <c r="E128" s="9" t="s">
        <v>51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31</v>
      </c>
      <c r="B129" s="9" t="s">
        <v>208</v>
      </c>
      <c r="C129" s="9" t="s">
        <v>93</v>
      </c>
      <c r="D129" s="9" t="s">
        <v>94</v>
      </c>
      <c r="E129" s="9" t="s">
        <v>51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31</v>
      </c>
      <c r="B130" s="9" t="s">
        <v>33</v>
      </c>
      <c r="C130" s="9" t="s">
        <v>93</v>
      </c>
      <c r="D130" s="9" t="s">
        <v>94</v>
      </c>
      <c r="E130" s="9" t="s">
        <v>51</v>
      </c>
      <c r="F130" s="9"/>
      <c r="G130" s="9"/>
      <c r="H130" s="9"/>
      <c r="I130" s="10"/>
      <c r="J130" s="9"/>
    </row>
    <row r="131" spans="1:10" ht="14.25" customHeight="1">
      <c r="A131" s="9" t="s">
        <v>31</v>
      </c>
      <c r="B131" s="9" t="s">
        <v>117</v>
      </c>
      <c r="C131" s="9" t="s">
        <v>97</v>
      </c>
      <c r="D131" s="9" t="s">
        <v>82</v>
      </c>
      <c r="E131" s="9" t="s">
        <v>61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31</v>
      </c>
      <c r="B132" s="9" t="s">
        <v>110</v>
      </c>
      <c r="C132" s="9" t="s">
        <v>97</v>
      </c>
      <c r="D132" s="9" t="s">
        <v>82</v>
      </c>
      <c r="E132" s="9" t="s">
        <v>61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31</v>
      </c>
      <c r="B133" s="9" t="s">
        <v>103</v>
      </c>
      <c r="C133" s="9" t="s">
        <v>97</v>
      </c>
      <c r="D133" s="9" t="s">
        <v>82</v>
      </c>
      <c r="E133" s="9" t="s">
        <v>61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31</v>
      </c>
      <c r="B134" s="9" t="s">
        <v>208</v>
      </c>
      <c r="C134" s="9" t="s">
        <v>97</v>
      </c>
      <c r="D134" s="9" t="s">
        <v>82</v>
      </c>
      <c r="E134" s="9" t="s">
        <v>61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31</v>
      </c>
      <c r="B135" s="9" t="s">
        <v>33</v>
      </c>
      <c r="C135" s="9" t="s">
        <v>97</v>
      </c>
      <c r="D135" s="9" t="s">
        <v>82</v>
      </c>
      <c r="E135" s="9" t="s">
        <v>61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31</v>
      </c>
      <c r="B136" s="9" t="s">
        <v>117</v>
      </c>
      <c r="C136" s="9" t="s">
        <v>99</v>
      </c>
      <c r="D136" s="9" t="s">
        <v>69</v>
      </c>
      <c r="E136" s="9" t="s">
        <v>61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31</v>
      </c>
      <c r="B137" s="9" t="s">
        <v>110</v>
      </c>
      <c r="C137" s="9" t="s">
        <v>99</v>
      </c>
      <c r="D137" s="9" t="s">
        <v>69</v>
      </c>
      <c r="E137" s="9" t="s">
        <v>61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31</v>
      </c>
      <c r="B138" s="9" t="s">
        <v>103</v>
      </c>
      <c r="C138" s="9" t="s">
        <v>99</v>
      </c>
      <c r="D138" s="9" t="s">
        <v>69</v>
      </c>
      <c r="E138" s="9" t="s">
        <v>61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31</v>
      </c>
      <c r="B139" s="9" t="s">
        <v>208</v>
      </c>
      <c r="C139" s="9" t="s">
        <v>99</v>
      </c>
      <c r="D139" s="9" t="s">
        <v>69</v>
      </c>
      <c r="E139" s="9" t="s">
        <v>61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31</v>
      </c>
      <c r="B140" s="9" t="s">
        <v>33</v>
      </c>
      <c r="C140" s="9" t="s">
        <v>99</v>
      </c>
      <c r="D140" s="9" t="s">
        <v>69</v>
      </c>
      <c r="E140" s="9" t="s">
        <v>61</v>
      </c>
      <c r="F140" s="9"/>
      <c r="G140" s="9"/>
      <c r="H140" s="9"/>
      <c r="I140" s="9"/>
      <c r="J140" s="9"/>
    </row>
    <row r="141" spans="1:10" ht="14.25" customHeight="1">
      <c r="A141" s="9" t="s">
        <v>101</v>
      </c>
      <c r="B141" s="9" t="s">
        <v>117</v>
      </c>
      <c r="C141" s="9" t="s">
        <v>102</v>
      </c>
      <c r="D141" s="9" t="s">
        <v>60</v>
      </c>
      <c r="E141" s="9" t="s">
        <v>51</v>
      </c>
      <c r="F141" s="9"/>
      <c r="G141" s="9" t="s">
        <v>104</v>
      </c>
      <c r="H141" s="9"/>
      <c r="I141" s="9"/>
      <c r="J141" s="9"/>
    </row>
    <row r="142" spans="1:10" ht="14.25" customHeight="1">
      <c r="A142" s="9" t="s">
        <v>101</v>
      </c>
      <c r="B142" s="9" t="s">
        <v>110</v>
      </c>
      <c r="C142" s="9" t="s">
        <v>102</v>
      </c>
      <c r="D142" s="9" t="s">
        <v>60</v>
      </c>
      <c r="E142" s="9" t="s">
        <v>51</v>
      </c>
      <c r="F142" s="9"/>
      <c r="G142" s="9" t="s">
        <v>104</v>
      </c>
      <c r="H142" s="9"/>
      <c r="I142" s="10">
        <v>46213</v>
      </c>
      <c r="J142" s="10">
        <v>46213</v>
      </c>
    </row>
    <row r="143" spans="1:10" ht="14.25" customHeight="1">
      <c r="A143" s="9" t="s">
        <v>101</v>
      </c>
      <c r="B143" s="9" t="s">
        <v>103</v>
      </c>
      <c r="C143" s="9" t="s">
        <v>102</v>
      </c>
      <c r="D143" s="9" t="s">
        <v>60</v>
      </c>
      <c r="E143" s="9" t="s">
        <v>51</v>
      </c>
      <c r="F143" s="9"/>
      <c r="G143" s="9" t="s">
        <v>104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101</v>
      </c>
      <c r="B144" s="9" t="s">
        <v>117</v>
      </c>
      <c r="C144" s="9" t="s">
        <v>107</v>
      </c>
      <c r="D144" s="9" t="s">
        <v>94</v>
      </c>
      <c r="E144" s="9" t="s">
        <v>61</v>
      </c>
      <c r="F144" s="9"/>
      <c r="G144" s="9" t="s">
        <v>104</v>
      </c>
      <c r="H144" s="9"/>
      <c r="I144" s="9"/>
      <c r="J144" s="9"/>
    </row>
    <row r="145" spans="1:10" ht="14.25" customHeight="1">
      <c r="A145" s="9" t="s">
        <v>101</v>
      </c>
      <c r="B145" s="9" t="s">
        <v>110</v>
      </c>
      <c r="C145" s="9" t="s">
        <v>107</v>
      </c>
      <c r="D145" s="9" t="s">
        <v>94</v>
      </c>
      <c r="E145" s="9" t="s">
        <v>61</v>
      </c>
      <c r="F145" s="9"/>
      <c r="G145" s="9" t="s">
        <v>104</v>
      </c>
      <c r="H145" s="9"/>
      <c r="I145" s="10">
        <v>46218</v>
      </c>
      <c r="J145" s="10">
        <v>46218</v>
      </c>
    </row>
    <row r="146" spans="1:10" ht="14.25" customHeight="1">
      <c r="A146" s="9" t="s">
        <v>101</v>
      </c>
      <c r="B146" s="9" t="s">
        <v>103</v>
      </c>
      <c r="C146" s="9" t="s">
        <v>107</v>
      </c>
      <c r="D146" s="9" t="s">
        <v>94</v>
      </c>
      <c r="E146" s="9" t="s">
        <v>61</v>
      </c>
      <c r="F146" s="9"/>
      <c r="G146" s="9" t="s">
        <v>104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101</v>
      </c>
      <c r="B147" s="9" t="s">
        <v>117</v>
      </c>
      <c r="C147" s="9" t="s">
        <v>109</v>
      </c>
      <c r="D147" s="9" t="s">
        <v>94</v>
      </c>
      <c r="E147" s="9" t="s">
        <v>61</v>
      </c>
      <c r="F147" s="9"/>
      <c r="G147" s="9" t="s">
        <v>104</v>
      </c>
      <c r="H147" s="9"/>
      <c r="I147" s="9"/>
      <c r="J147" s="9"/>
    </row>
    <row r="148" spans="1:10" ht="14.25" customHeight="1">
      <c r="A148" s="9" t="s">
        <v>101</v>
      </c>
      <c r="B148" s="9" t="s">
        <v>110</v>
      </c>
      <c r="C148" s="9" t="s">
        <v>109</v>
      </c>
      <c r="D148" s="9" t="s">
        <v>94</v>
      </c>
      <c r="E148" s="9" t="s">
        <v>61</v>
      </c>
      <c r="F148" s="9"/>
      <c r="G148" s="9" t="s">
        <v>104</v>
      </c>
      <c r="H148" s="9"/>
      <c r="I148" s="10">
        <v>46225</v>
      </c>
      <c r="J148" s="10">
        <v>46225</v>
      </c>
    </row>
    <row r="149" spans="1:10" ht="14.25" customHeight="1">
      <c r="A149" s="9" t="s">
        <v>101</v>
      </c>
      <c r="B149" s="9" t="s">
        <v>103</v>
      </c>
      <c r="C149" s="9" t="s">
        <v>109</v>
      </c>
      <c r="D149" s="9" t="s">
        <v>94</v>
      </c>
      <c r="E149" s="9" t="s">
        <v>61</v>
      </c>
      <c r="F149" s="9"/>
      <c r="G149" s="9" t="s">
        <v>104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101</v>
      </c>
      <c r="B150" s="9" t="s">
        <v>117</v>
      </c>
      <c r="C150" s="9" t="s">
        <v>112</v>
      </c>
      <c r="D150" s="9" t="s">
        <v>50</v>
      </c>
      <c r="E150" s="9" t="s">
        <v>35</v>
      </c>
      <c r="F150" s="9"/>
      <c r="G150" s="9" t="s">
        <v>104</v>
      </c>
      <c r="H150" s="9"/>
      <c r="I150" s="9"/>
      <c r="J150" s="9"/>
    </row>
    <row r="151" spans="1:10" ht="14.25" customHeight="1">
      <c r="A151" s="9" t="s">
        <v>101</v>
      </c>
      <c r="B151" s="9" t="s">
        <v>110</v>
      </c>
      <c r="C151" s="9" t="s">
        <v>112</v>
      </c>
      <c r="D151" s="9" t="s">
        <v>50</v>
      </c>
      <c r="E151" s="9" t="s">
        <v>35</v>
      </c>
      <c r="F151" s="9"/>
      <c r="G151" s="9" t="s">
        <v>104</v>
      </c>
      <c r="H151" s="9"/>
      <c r="I151" s="10">
        <v>46227</v>
      </c>
      <c r="J151" s="10">
        <v>46227</v>
      </c>
    </row>
    <row r="152" spans="1:10" ht="14.25" customHeight="1">
      <c r="A152" s="9" t="s">
        <v>101</v>
      </c>
      <c r="B152" s="9" t="s">
        <v>103</v>
      </c>
      <c r="C152" s="9" t="s">
        <v>112</v>
      </c>
      <c r="D152" s="9" t="s">
        <v>50</v>
      </c>
      <c r="E152" s="9" t="s">
        <v>35</v>
      </c>
      <c r="F152" s="9"/>
      <c r="G152" s="9" t="s">
        <v>104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101</v>
      </c>
      <c r="B153" s="9" t="s">
        <v>117</v>
      </c>
      <c r="C153" s="9" t="s">
        <v>114</v>
      </c>
      <c r="D153" s="9" t="s">
        <v>82</v>
      </c>
      <c r="E153" s="9" t="s">
        <v>61</v>
      </c>
      <c r="F153" s="9"/>
      <c r="G153" s="9" t="s">
        <v>104</v>
      </c>
      <c r="H153" s="9"/>
      <c r="I153" s="9"/>
      <c r="J153" s="9"/>
    </row>
    <row r="154" spans="1:10" ht="14.25" customHeight="1">
      <c r="A154" s="9" t="s">
        <v>101</v>
      </c>
      <c r="B154" s="9" t="s">
        <v>110</v>
      </c>
      <c r="C154" s="9" t="s">
        <v>114</v>
      </c>
      <c r="D154" s="9" t="s">
        <v>82</v>
      </c>
      <c r="E154" s="9" t="s">
        <v>61</v>
      </c>
      <c r="F154" s="9"/>
      <c r="G154" s="9" t="s">
        <v>104</v>
      </c>
      <c r="H154" s="9"/>
      <c r="I154" s="10">
        <v>46216</v>
      </c>
      <c r="J154" s="10">
        <v>46216</v>
      </c>
    </row>
    <row r="155" spans="1:10" ht="14.25" customHeight="1">
      <c r="A155" s="9" t="s">
        <v>101</v>
      </c>
      <c r="B155" s="9" t="s">
        <v>103</v>
      </c>
      <c r="C155" s="9" t="s">
        <v>114</v>
      </c>
      <c r="D155" s="9" t="s">
        <v>82</v>
      </c>
      <c r="E155" s="9" t="s">
        <v>61</v>
      </c>
      <c r="F155" s="9"/>
      <c r="G155" s="9" t="s">
        <v>104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101</v>
      </c>
      <c r="B156" s="9" t="s">
        <v>117</v>
      </c>
      <c r="C156" s="9" t="s">
        <v>116</v>
      </c>
      <c r="D156" s="9" t="s">
        <v>69</v>
      </c>
      <c r="E156" s="9" t="s">
        <v>51</v>
      </c>
      <c r="F156" s="9"/>
      <c r="G156" s="9" t="s">
        <v>118</v>
      </c>
      <c r="H156" s="9"/>
      <c r="I156" s="9"/>
      <c r="J156" s="9"/>
    </row>
    <row r="157" spans="1:10">
      <c r="A157" s="3" t="s">
        <v>101</v>
      </c>
      <c r="B157" s="3" t="s">
        <v>117</v>
      </c>
      <c r="C157" s="3" t="s">
        <v>120</v>
      </c>
      <c r="D157" s="3" t="s">
        <v>94</v>
      </c>
      <c r="E157" s="3" t="s">
        <v>35</v>
      </c>
      <c r="F157" s="3"/>
      <c r="G157" s="3" t="s">
        <v>118</v>
      </c>
      <c r="H157" s="3"/>
      <c r="I157" s="3"/>
      <c r="J157" s="3"/>
    </row>
    <row r="158" spans="1:10">
      <c r="A158" s="3" t="s">
        <v>101</v>
      </c>
      <c r="B158" s="3" t="s">
        <v>117</v>
      </c>
      <c r="C158" s="3" t="s">
        <v>123</v>
      </c>
      <c r="D158" s="3" t="s">
        <v>94</v>
      </c>
      <c r="E158" s="3" t="s">
        <v>35</v>
      </c>
      <c r="F158" s="3"/>
      <c r="G158" s="3" t="s">
        <v>118</v>
      </c>
      <c r="H158" s="3"/>
      <c r="I158" s="3"/>
      <c r="J158" s="3"/>
    </row>
    <row r="159" spans="1:10">
      <c r="A159" s="3" t="s">
        <v>101</v>
      </c>
      <c r="B159" s="3" t="s">
        <v>110</v>
      </c>
      <c r="C159" s="3" t="s">
        <v>123</v>
      </c>
      <c r="D159" s="3" t="s">
        <v>94</v>
      </c>
      <c r="E159" s="3" t="s">
        <v>35</v>
      </c>
      <c r="F159" s="3"/>
      <c r="G159" s="3" t="s">
        <v>118</v>
      </c>
      <c r="H159" s="3"/>
      <c r="I159" s="4">
        <v>46221</v>
      </c>
      <c r="J159" s="4">
        <v>46221</v>
      </c>
    </row>
    <row r="160" spans="1:10">
      <c r="A160" s="3" t="s">
        <v>101</v>
      </c>
      <c r="B160" s="3" t="s">
        <v>103</v>
      </c>
      <c r="C160" s="3" t="s">
        <v>123</v>
      </c>
      <c r="D160" s="3" t="s">
        <v>94</v>
      </c>
      <c r="E160" s="3" t="s">
        <v>35</v>
      </c>
      <c r="F160" s="3"/>
      <c r="G160" s="3" t="s">
        <v>118</v>
      </c>
      <c r="H160" s="4">
        <v>46221</v>
      </c>
      <c r="I160" s="4">
        <v>46223</v>
      </c>
      <c r="J160" s="4">
        <v>46223</v>
      </c>
    </row>
    <row r="161" spans="1:10">
      <c r="A161" s="3" t="s">
        <v>101</v>
      </c>
      <c r="B161" s="3" t="s">
        <v>117</v>
      </c>
      <c r="C161" s="3" t="s">
        <v>125</v>
      </c>
      <c r="D161" s="3" t="s">
        <v>69</v>
      </c>
      <c r="E161" s="3" t="s">
        <v>51</v>
      </c>
      <c r="F161" s="3"/>
      <c r="G161" s="3" t="s">
        <v>118</v>
      </c>
      <c r="H161" s="3"/>
      <c r="I161" s="3"/>
      <c r="J161" s="3"/>
    </row>
    <row r="162" spans="1:10">
      <c r="A162" s="3" t="s">
        <v>101</v>
      </c>
      <c r="B162" s="3" t="s">
        <v>110</v>
      </c>
      <c r="C162" s="3" t="s">
        <v>125</v>
      </c>
      <c r="D162" s="3" t="s">
        <v>69</v>
      </c>
      <c r="E162" s="3" t="s">
        <v>51</v>
      </c>
      <c r="F162" s="3"/>
      <c r="G162" s="3" t="s">
        <v>118</v>
      </c>
      <c r="H162" s="3"/>
      <c r="I162" s="4">
        <v>46220</v>
      </c>
      <c r="J162" s="4">
        <v>46220</v>
      </c>
    </row>
    <row r="163" spans="1:10">
      <c r="A163" s="3" t="s">
        <v>101</v>
      </c>
      <c r="B163" s="3" t="s">
        <v>103</v>
      </c>
      <c r="C163" s="3" t="s">
        <v>125</v>
      </c>
      <c r="D163" s="3" t="s">
        <v>69</v>
      </c>
      <c r="E163" s="3" t="s">
        <v>51</v>
      </c>
      <c r="F163" s="3"/>
      <c r="G163" s="3" t="s">
        <v>118</v>
      </c>
      <c r="H163" s="4">
        <v>46220</v>
      </c>
      <c r="I163" s="4">
        <v>46223</v>
      </c>
      <c r="J163" s="4">
        <v>46223</v>
      </c>
    </row>
    <row r="164" spans="1:10">
      <c r="A164" s="3" t="s">
        <v>101</v>
      </c>
      <c r="B164" s="3" t="s">
        <v>117</v>
      </c>
      <c r="C164" s="3" t="s">
        <v>127</v>
      </c>
      <c r="D164" s="3" t="s">
        <v>129</v>
      </c>
      <c r="E164" s="3" t="s">
        <v>51</v>
      </c>
      <c r="F164" s="3"/>
      <c r="G164" s="3" t="s">
        <v>118</v>
      </c>
      <c r="H164" s="3"/>
      <c r="I164" s="3"/>
      <c r="J164" s="3"/>
    </row>
    <row r="165" spans="1:10">
      <c r="A165" s="3" t="s">
        <v>101</v>
      </c>
      <c r="B165" s="3" t="s">
        <v>110</v>
      </c>
      <c r="C165" s="3" t="s">
        <v>127</v>
      </c>
      <c r="D165" s="3" t="s">
        <v>129</v>
      </c>
      <c r="E165" s="3" t="s">
        <v>51</v>
      </c>
      <c r="F165" s="3"/>
      <c r="G165" s="3" t="s">
        <v>118</v>
      </c>
      <c r="H165" s="3"/>
      <c r="I165" s="4">
        <v>46224</v>
      </c>
      <c r="J165" s="4">
        <v>46224</v>
      </c>
    </row>
    <row r="166" spans="1:10">
      <c r="A166" s="3" t="s">
        <v>101</v>
      </c>
      <c r="B166" s="3" t="s">
        <v>103</v>
      </c>
      <c r="C166" s="3" t="s">
        <v>127</v>
      </c>
      <c r="D166" s="3" t="s">
        <v>129</v>
      </c>
      <c r="E166" s="3" t="s">
        <v>51</v>
      </c>
      <c r="F166" s="3"/>
      <c r="G166" s="3" t="s">
        <v>118</v>
      </c>
      <c r="H166" s="4">
        <v>46224</v>
      </c>
      <c r="I166" s="4">
        <v>46223</v>
      </c>
      <c r="J166" s="4">
        <v>46223</v>
      </c>
    </row>
    <row r="167" spans="1:10">
      <c r="A167" s="3" t="s">
        <v>101</v>
      </c>
      <c r="B167" s="3" t="s">
        <v>117</v>
      </c>
      <c r="C167" s="3" t="s">
        <v>130</v>
      </c>
      <c r="D167" s="3" t="s">
        <v>129</v>
      </c>
      <c r="E167" s="3" t="s">
        <v>61</v>
      </c>
      <c r="F167" s="3"/>
      <c r="G167" s="3" t="s">
        <v>118</v>
      </c>
      <c r="H167" s="3"/>
      <c r="I167" s="3"/>
      <c r="J167" s="3"/>
    </row>
    <row r="168" spans="1:10">
      <c r="A168" s="3" t="s">
        <v>101</v>
      </c>
      <c r="B168" s="3" t="s">
        <v>110</v>
      </c>
      <c r="C168" s="3" t="s">
        <v>130</v>
      </c>
      <c r="D168" s="3" t="s">
        <v>129</v>
      </c>
      <c r="E168" s="3" t="s">
        <v>61</v>
      </c>
      <c r="F168" s="3"/>
      <c r="G168" s="3" t="s">
        <v>118</v>
      </c>
      <c r="H168" s="3"/>
      <c r="I168" s="4">
        <v>46225</v>
      </c>
      <c r="J168" s="4">
        <v>46225</v>
      </c>
    </row>
    <row r="169" spans="1:10">
      <c r="A169" s="3" t="s">
        <v>101</v>
      </c>
      <c r="B169" s="3" t="s">
        <v>103</v>
      </c>
      <c r="C169" s="3" t="s">
        <v>130</v>
      </c>
      <c r="D169" s="3" t="s">
        <v>129</v>
      </c>
      <c r="E169" s="3" t="s">
        <v>61</v>
      </c>
      <c r="F169" s="3"/>
      <c r="G169" s="3" t="s">
        <v>118</v>
      </c>
      <c r="H169" s="4">
        <v>46225</v>
      </c>
      <c r="I169" s="4">
        <v>46223</v>
      </c>
      <c r="J169" s="4">
        <v>46223</v>
      </c>
    </row>
    <row r="170" spans="1:10">
      <c r="A170" s="3" t="s">
        <v>101</v>
      </c>
      <c r="B170" s="3" t="s">
        <v>117</v>
      </c>
      <c r="C170" s="3" t="s">
        <v>132</v>
      </c>
      <c r="D170" s="3" t="s">
        <v>60</v>
      </c>
      <c r="E170" s="3" t="s">
        <v>35</v>
      </c>
      <c r="F170" s="3"/>
      <c r="G170" s="3" t="s">
        <v>104</v>
      </c>
      <c r="H170" s="3"/>
      <c r="I170" s="3"/>
      <c r="J170" s="3"/>
    </row>
    <row r="171" spans="1:10">
      <c r="A171" s="3" t="s">
        <v>101</v>
      </c>
      <c r="B171" s="3" t="s">
        <v>110</v>
      </c>
      <c r="C171" s="3" t="s">
        <v>132</v>
      </c>
      <c r="D171" s="3" t="s">
        <v>60</v>
      </c>
      <c r="E171" s="3" t="s">
        <v>35</v>
      </c>
      <c r="F171" s="3"/>
      <c r="G171" s="3" t="s">
        <v>104</v>
      </c>
      <c r="H171" s="3"/>
      <c r="I171" s="4">
        <v>46226</v>
      </c>
      <c r="J171" s="4">
        <v>46226</v>
      </c>
    </row>
    <row r="172" spans="1:10">
      <c r="A172" s="3" t="s">
        <v>101</v>
      </c>
      <c r="B172" s="3" t="s">
        <v>103</v>
      </c>
      <c r="C172" s="3" t="s">
        <v>132</v>
      </c>
      <c r="D172" s="3" t="s">
        <v>60</v>
      </c>
      <c r="E172" s="3" t="s">
        <v>35</v>
      </c>
      <c r="F172" s="3"/>
      <c r="G172" s="3" t="s">
        <v>104</v>
      </c>
      <c r="H172" s="4">
        <v>46226</v>
      </c>
      <c r="I172" s="4">
        <v>46223</v>
      </c>
      <c r="J172" s="4">
        <v>46223</v>
      </c>
    </row>
    <row r="173" spans="1:10">
      <c r="A173" s="3" t="s">
        <v>101</v>
      </c>
      <c r="B173" s="3" t="s">
        <v>117</v>
      </c>
      <c r="C173" s="3" t="s">
        <v>133</v>
      </c>
      <c r="D173" s="3" t="s">
        <v>50</v>
      </c>
      <c r="E173" s="3" t="s">
        <v>51</v>
      </c>
      <c r="F173" s="3"/>
      <c r="G173" s="3" t="s">
        <v>104</v>
      </c>
      <c r="H173" s="3"/>
      <c r="I173" s="3"/>
      <c r="J173" s="3"/>
    </row>
    <row r="174" spans="1:10">
      <c r="A174" s="3" t="s">
        <v>101</v>
      </c>
      <c r="B174" s="3" t="s">
        <v>110</v>
      </c>
      <c r="C174" s="3" t="s">
        <v>133</v>
      </c>
      <c r="D174" s="3" t="s">
        <v>50</v>
      </c>
      <c r="E174" s="3" t="s">
        <v>51</v>
      </c>
      <c r="F174" s="3"/>
      <c r="G174" s="3" t="s">
        <v>104</v>
      </c>
      <c r="H174" s="3"/>
      <c r="I174" s="4">
        <v>46225</v>
      </c>
      <c r="J174" s="4">
        <v>46225</v>
      </c>
    </row>
    <row r="175" spans="1:10">
      <c r="A175" s="3" t="s">
        <v>101</v>
      </c>
      <c r="B175" s="3" t="s">
        <v>103</v>
      </c>
      <c r="C175" s="3" t="s">
        <v>133</v>
      </c>
      <c r="D175" s="3" t="s">
        <v>50</v>
      </c>
      <c r="E175" s="3" t="s">
        <v>51</v>
      </c>
      <c r="F175" s="3"/>
      <c r="G175" s="3" t="s">
        <v>104</v>
      </c>
      <c r="H175" s="4">
        <v>46225</v>
      </c>
      <c r="I175" s="4">
        <v>46223</v>
      </c>
      <c r="J175" s="4">
        <v>46223</v>
      </c>
    </row>
    <row r="176" spans="1:10">
      <c r="A176" s="3" t="s">
        <v>101</v>
      </c>
      <c r="B176" s="3" t="s">
        <v>117</v>
      </c>
      <c r="C176" s="3" t="s">
        <v>134</v>
      </c>
      <c r="D176" s="3" t="s">
        <v>60</v>
      </c>
      <c r="E176" s="3" t="s">
        <v>61</v>
      </c>
      <c r="F176" s="3"/>
      <c r="G176" s="3" t="s">
        <v>118</v>
      </c>
      <c r="H176" s="3"/>
      <c r="I176" s="3"/>
      <c r="J176" s="3"/>
    </row>
    <row r="177" spans="1:10">
      <c r="A177" s="3" t="s">
        <v>101</v>
      </c>
      <c r="B177" s="3" t="s">
        <v>110</v>
      </c>
      <c r="C177" s="3" t="s">
        <v>134</v>
      </c>
      <c r="D177" s="3" t="s">
        <v>60</v>
      </c>
      <c r="E177" s="3" t="s">
        <v>61</v>
      </c>
      <c r="F177" s="3"/>
      <c r="G177" s="3" t="s">
        <v>118</v>
      </c>
      <c r="H177" s="3"/>
      <c r="I177" s="4">
        <v>46225</v>
      </c>
      <c r="J177" s="4">
        <v>46225</v>
      </c>
    </row>
    <row r="178" spans="1:10">
      <c r="A178" s="3" t="s">
        <v>101</v>
      </c>
      <c r="B178" s="3" t="s">
        <v>103</v>
      </c>
      <c r="C178" s="3" t="s">
        <v>134</v>
      </c>
      <c r="D178" s="3" t="s">
        <v>60</v>
      </c>
      <c r="E178" s="3" t="s">
        <v>61</v>
      </c>
      <c r="F178" s="3"/>
      <c r="G178" s="3" t="s">
        <v>118</v>
      </c>
      <c r="H178" s="4">
        <v>46225</v>
      </c>
      <c r="I178" s="4">
        <v>46230</v>
      </c>
      <c r="J178" s="4">
        <v>46230</v>
      </c>
    </row>
    <row r="179" spans="1:10">
      <c r="A179" s="3" t="s">
        <v>101</v>
      </c>
      <c r="B179" s="3" t="s">
        <v>117</v>
      </c>
      <c r="C179" s="3" t="s">
        <v>135</v>
      </c>
      <c r="D179" s="3" t="s">
        <v>82</v>
      </c>
      <c r="E179" s="3"/>
      <c r="F179" s="3"/>
      <c r="G179" s="3"/>
      <c r="H179" s="3"/>
      <c r="I179" s="3"/>
      <c r="J179" s="3"/>
    </row>
    <row r="180" spans="1:10">
      <c r="A180" s="3" t="s">
        <v>101</v>
      </c>
      <c r="B180" s="3" t="s">
        <v>110</v>
      </c>
      <c r="C180" s="3" t="s">
        <v>135</v>
      </c>
      <c r="D180" s="3" t="s">
        <v>82</v>
      </c>
      <c r="E180" s="3"/>
      <c r="F180" s="3"/>
      <c r="G180" s="3"/>
      <c r="H180" s="3"/>
      <c r="I180" s="3"/>
      <c r="J180" s="3"/>
    </row>
    <row r="181" spans="1:10">
      <c r="A181" s="3" t="s">
        <v>101</v>
      </c>
      <c r="B181" s="3" t="s">
        <v>103</v>
      </c>
      <c r="C181" s="3" t="s">
        <v>135</v>
      </c>
      <c r="D181" s="3" t="s">
        <v>82</v>
      </c>
      <c r="E181" s="3"/>
      <c r="F181" s="3"/>
      <c r="G181" s="3"/>
      <c r="H181" s="3"/>
      <c r="I181" s="3"/>
      <c r="J181" s="3"/>
    </row>
    <row r="182" spans="1:10">
      <c r="A182" s="3" t="s">
        <v>101</v>
      </c>
      <c r="B182" s="3" t="s">
        <v>117</v>
      </c>
      <c r="C182" s="3" t="s">
        <v>141</v>
      </c>
      <c r="D182" s="3" t="s">
        <v>69</v>
      </c>
      <c r="E182" s="3"/>
      <c r="F182" s="3"/>
      <c r="G182" s="3"/>
      <c r="H182" s="3"/>
      <c r="I182" s="3"/>
      <c r="J182" s="3"/>
    </row>
    <row r="183" spans="1:10">
      <c r="A183" s="3" t="s">
        <v>101</v>
      </c>
      <c r="B183" s="3" t="s">
        <v>110</v>
      </c>
      <c r="C183" s="3" t="s">
        <v>141</v>
      </c>
      <c r="D183" s="3" t="s">
        <v>69</v>
      </c>
      <c r="E183" s="3"/>
      <c r="F183" s="3"/>
      <c r="G183" s="3"/>
      <c r="H183" s="3"/>
      <c r="I183" s="3"/>
      <c r="J183" s="3"/>
    </row>
    <row r="184" spans="1:10">
      <c r="A184" s="3" t="s">
        <v>101</v>
      </c>
      <c r="B184" s="3" t="s">
        <v>103</v>
      </c>
      <c r="C184" s="3" t="s">
        <v>141</v>
      </c>
      <c r="D184" s="3" t="s">
        <v>69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6" t="s">
        <v>217</v>
      </c>
      <c r="B1" s="60"/>
      <c r="C1" s="60"/>
    </row>
    <row r="2" spans="1:3" ht="14.25" customHeight="1">
      <c r="A2" s="8" t="s">
        <v>0</v>
      </c>
      <c r="B2" s="8" t="s">
        <v>218</v>
      </c>
      <c r="C2" s="8" t="s">
        <v>206</v>
      </c>
    </row>
    <row r="3" spans="1:3" ht="14.25" customHeight="1">
      <c r="A3" s="11" t="s">
        <v>31</v>
      </c>
      <c r="B3" s="11">
        <v>8</v>
      </c>
      <c r="C3" s="12">
        <v>46142</v>
      </c>
    </row>
    <row r="4" spans="1:3" ht="14.25" customHeight="1">
      <c r="A4" s="11" t="s">
        <v>31</v>
      </c>
      <c r="B4" s="11">
        <v>10</v>
      </c>
      <c r="C4" s="12">
        <v>46172</v>
      </c>
    </row>
    <row r="5" spans="1:3" ht="14.25" customHeight="1">
      <c r="A5" s="11" t="s">
        <v>31</v>
      </c>
      <c r="B5" s="11">
        <v>9</v>
      </c>
      <c r="C5" s="12">
        <v>46203</v>
      </c>
    </row>
    <row r="6" spans="1:3" ht="14.25" customHeight="1">
      <c r="A6" s="11" t="s">
        <v>101</v>
      </c>
      <c r="B6" s="11">
        <v>15</v>
      </c>
      <c r="C6" s="12">
        <v>46233</v>
      </c>
    </row>
    <row r="7" spans="1:3" ht="14.25" customHeight="1">
      <c r="A7" s="11" t="s">
        <v>101</v>
      </c>
      <c r="B7" s="11">
        <v>15</v>
      </c>
      <c r="C7" s="12">
        <v>46264</v>
      </c>
    </row>
    <row r="8" spans="1:3" ht="14.25" customHeight="1">
      <c r="A8" s="11" t="s">
        <v>101</v>
      </c>
      <c r="B8" s="11">
        <v>17</v>
      </c>
      <c r="C8" s="12">
        <v>46295</v>
      </c>
    </row>
    <row r="9" spans="1:3" ht="14.25" customHeight="1">
      <c r="A9" s="11" t="s">
        <v>101</v>
      </c>
      <c r="B9" s="11">
        <v>20</v>
      </c>
      <c r="C9" s="12">
        <v>46325</v>
      </c>
    </row>
    <row r="10" spans="1:3" ht="14.25" customHeight="1">
      <c r="A10" s="11" t="s">
        <v>101</v>
      </c>
      <c r="B10" s="11">
        <v>20</v>
      </c>
      <c r="C10" s="12">
        <v>46356</v>
      </c>
    </row>
    <row r="11" spans="1:3" ht="14.25" customHeight="1">
      <c r="A11" s="11" t="s">
        <v>219</v>
      </c>
      <c r="B11" s="11">
        <v>18</v>
      </c>
      <c r="C11" s="12">
        <v>46386</v>
      </c>
    </row>
    <row r="12" spans="1:3" ht="14.25" customHeight="1">
      <c r="A12" s="11" t="s">
        <v>219</v>
      </c>
      <c r="B12" s="11">
        <v>18</v>
      </c>
      <c r="C12" s="12">
        <v>46417</v>
      </c>
    </row>
    <row r="13" spans="1:3" ht="14.25" customHeight="1">
      <c r="A13" s="11" t="s">
        <v>219</v>
      </c>
      <c r="B13" s="11">
        <v>19</v>
      </c>
      <c r="C13" s="12">
        <v>46446</v>
      </c>
    </row>
    <row r="14" spans="1:3" ht="14.25" customHeight="1">
      <c r="A14" s="11" t="s">
        <v>220</v>
      </c>
      <c r="B14" s="11">
        <v>9</v>
      </c>
      <c r="C14" s="12">
        <v>46476</v>
      </c>
    </row>
    <row r="15" spans="1:3" ht="14.25" customHeight="1">
      <c r="A15" s="11" t="s">
        <v>221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7"/>
  <sheetViews>
    <sheetView zoomScaleNormal="100" workbookViewId="0">
      <selection activeCell="D19" sqref="D19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222</v>
      </c>
      <c r="F1" s="1" t="s">
        <v>2</v>
      </c>
      <c r="G1" s="5" t="s">
        <v>223</v>
      </c>
      <c r="H1" s="5" t="s">
        <v>8</v>
      </c>
      <c r="I1" t="s">
        <v>28</v>
      </c>
      <c r="J1" s="5" t="s">
        <v>224</v>
      </c>
      <c r="K1" s="5" t="s">
        <v>208</v>
      </c>
      <c r="L1" s="5" t="s">
        <v>191</v>
      </c>
      <c r="M1" s="1" t="s">
        <v>225</v>
      </c>
      <c r="N1" s="1" t="s">
        <v>226</v>
      </c>
    </row>
    <row r="2" spans="1:14" ht="13.5" customHeight="1">
      <c r="A2" s="2" t="s">
        <v>227</v>
      </c>
      <c r="B2" s="2" t="s">
        <v>228</v>
      </c>
      <c r="C2" s="2" t="s">
        <v>229</v>
      </c>
      <c r="D2" s="2" t="s">
        <v>230</v>
      </c>
      <c r="E2" s="2" t="s">
        <v>231</v>
      </c>
      <c r="F2" s="2" t="s">
        <v>232</v>
      </c>
      <c r="G2" t="s">
        <v>233</v>
      </c>
      <c r="H2" t="s">
        <v>234</v>
      </c>
      <c r="I2" t="s">
        <v>235</v>
      </c>
      <c r="J2" s="35" t="s">
        <v>236</v>
      </c>
      <c r="K2" s="35" t="s">
        <v>237</v>
      </c>
      <c r="L2" s="35" t="s">
        <v>238</v>
      </c>
      <c r="M2" t="s">
        <v>118</v>
      </c>
      <c r="N2" t="s">
        <v>239</v>
      </c>
    </row>
    <row r="3" spans="1:14" ht="15" customHeight="1">
      <c r="A3" t="s">
        <v>31</v>
      </c>
      <c r="B3" t="s">
        <v>34</v>
      </c>
      <c r="C3" t="s">
        <v>51</v>
      </c>
      <c r="D3" t="s">
        <v>104</v>
      </c>
      <c r="E3" t="s">
        <v>39</v>
      </c>
      <c r="F3" t="s">
        <v>139</v>
      </c>
      <c r="G3" t="s">
        <v>34</v>
      </c>
      <c r="H3" t="s">
        <v>36</v>
      </c>
      <c r="I3" t="s">
        <v>42</v>
      </c>
      <c r="J3" t="s">
        <v>117</v>
      </c>
      <c r="K3" t="s">
        <v>38</v>
      </c>
      <c r="L3" t="s">
        <v>42</v>
      </c>
      <c r="M3" t="s">
        <v>34</v>
      </c>
      <c r="N3" t="s">
        <v>239</v>
      </c>
    </row>
    <row r="4" spans="1:14" ht="15" customHeight="1">
      <c r="A4" t="s">
        <v>101</v>
      </c>
      <c r="B4" t="s">
        <v>50</v>
      </c>
      <c r="C4" t="s">
        <v>35</v>
      </c>
      <c r="D4" t="s">
        <v>118</v>
      </c>
      <c r="E4" t="s">
        <v>42</v>
      </c>
      <c r="F4" t="s">
        <v>117</v>
      </c>
      <c r="G4" t="s">
        <v>50</v>
      </c>
      <c r="H4" t="s">
        <v>73</v>
      </c>
      <c r="I4" t="s">
        <v>240</v>
      </c>
      <c r="J4" t="s">
        <v>110</v>
      </c>
      <c r="L4" t="s">
        <v>39</v>
      </c>
      <c r="M4" t="s">
        <v>82</v>
      </c>
      <c r="N4" t="s">
        <v>239</v>
      </c>
    </row>
    <row r="5" spans="1:14" ht="15" customHeight="1">
      <c r="A5" t="s">
        <v>219</v>
      </c>
      <c r="B5" t="s">
        <v>48</v>
      </c>
      <c r="C5" t="s">
        <v>61</v>
      </c>
      <c r="F5" t="s">
        <v>110</v>
      </c>
      <c r="G5" t="s">
        <v>48</v>
      </c>
      <c r="H5" t="s">
        <v>104</v>
      </c>
      <c r="I5" t="s">
        <v>241</v>
      </c>
      <c r="J5" t="s">
        <v>103</v>
      </c>
      <c r="L5" t="s">
        <v>200</v>
      </c>
      <c r="M5" t="s">
        <v>73</v>
      </c>
      <c r="N5" t="s">
        <v>239</v>
      </c>
    </row>
    <row r="6" spans="1:14" ht="15" customHeight="1">
      <c r="A6" t="s">
        <v>220</v>
      </c>
      <c r="B6" t="s">
        <v>69</v>
      </c>
      <c r="F6" t="s">
        <v>103</v>
      </c>
      <c r="G6" t="s">
        <v>69</v>
      </c>
      <c r="H6" t="s">
        <v>118</v>
      </c>
      <c r="I6" t="s">
        <v>121</v>
      </c>
      <c r="J6" t="s">
        <v>208</v>
      </c>
      <c r="M6" t="s">
        <v>38</v>
      </c>
      <c r="N6" t="s">
        <v>239</v>
      </c>
    </row>
    <row r="7" spans="1:14" ht="15" customHeight="1">
      <c r="A7" t="s">
        <v>221</v>
      </c>
      <c r="B7" t="s">
        <v>94</v>
      </c>
      <c r="F7" t="s">
        <v>208</v>
      </c>
      <c r="G7" t="s">
        <v>94</v>
      </c>
      <c r="I7" t="s">
        <v>242</v>
      </c>
      <c r="M7" t="s">
        <v>104</v>
      </c>
      <c r="N7" t="s">
        <v>239</v>
      </c>
    </row>
    <row r="8" spans="1:14" ht="15" customHeight="1">
      <c r="B8" t="s">
        <v>60</v>
      </c>
      <c r="F8" t="s">
        <v>33</v>
      </c>
      <c r="G8" t="s">
        <v>60</v>
      </c>
      <c r="I8" t="s">
        <v>243</v>
      </c>
      <c r="M8" t="s">
        <v>51</v>
      </c>
      <c r="N8" t="s">
        <v>239</v>
      </c>
    </row>
    <row r="9" spans="1:14" ht="15" customHeight="1">
      <c r="B9" t="s">
        <v>82</v>
      </c>
      <c r="G9" t="s">
        <v>82</v>
      </c>
      <c r="M9" t="s">
        <v>129</v>
      </c>
      <c r="N9" t="s">
        <v>239</v>
      </c>
    </row>
    <row r="10" spans="1:14" ht="15" customHeight="1">
      <c r="B10" t="s">
        <v>129</v>
      </c>
      <c r="G10" t="s">
        <v>129</v>
      </c>
      <c r="M10" t="s">
        <v>36</v>
      </c>
      <c r="N10" t="s">
        <v>239</v>
      </c>
    </row>
    <row r="11" spans="1:14">
      <c r="G11" t="s">
        <v>51</v>
      </c>
      <c r="M11" t="s">
        <v>60</v>
      </c>
      <c r="N11" t="s">
        <v>239</v>
      </c>
    </row>
    <row r="12" spans="1:14">
      <c r="G12" t="s">
        <v>35</v>
      </c>
      <c r="M12" t="s">
        <v>35</v>
      </c>
      <c r="N12" t="s">
        <v>239</v>
      </c>
    </row>
    <row r="13" spans="1:14">
      <c r="G13" t="s">
        <v>61</v>
      </c>
      <c r="M13" t="s">
        <v>61</v>
      </c>
      <c r="N13" t="s">
        <v>239</v>
      </c>
    </row>
    <row r="14" spans="1:14">
      <c r="M14" t="s">
        <v>69</v>
      </c>
      <c r="N14" t="s">
        <v>239</v>
      </c>
    </row>
    <row r="15" spans="1:14">
      <c r="M15" t="s">
        <v>50</v>
      </c>
      <c r="N15" t="s">
        <v>239</v>
      </c>
    </row>
    <row r="16" spans="1:14">
      <c r="M16" t="s">
        <v>94</v>
      </c>
      <c r="N16" t="s">
        <v>239</v>
      </c>
    </row>
    <row r="17" spans="13:14">
      <c r="M17" t="s">
        <v>48</v>
      </c>
      <c r="N17" t="s">
        <v>239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2026-08-03T13:09:23Z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