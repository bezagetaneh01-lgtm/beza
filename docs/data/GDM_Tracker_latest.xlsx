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202" documentId="13_ncr:1_{52745E9B-3AA1-4770-AAD3-E6166BFC13AE}" xr6:coauthVersionLast="47" xr6:coauthVersionMax="47" xr10:uidLastSave="{65A31014-0044-4950-A10E-0FC52F6BE0BC}"/>
  <bookViews>
    <workbookView xWindow="28680" yWindow="-120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<sst xmlns="http://schemas.openxmlformats.org/spreadsheetml/2006/main" count="2960" uniqueCount="419">
  <si>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</si>
  <si>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</si>
  <si>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</si>
  <si>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</si>
  <si>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</si>
  <si>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</si>
  <si>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</si>
  <si>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</si>
  <si>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</si>
  <si>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</si>
  <si>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</si>
  <si>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</si>
  <si>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</si>
  <si>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</si>
  <si>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</si>
  <si>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</si>
  <si>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</si>
  <si>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</si>
  <si>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</si>
  <si>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</si>
  <si>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</si>
  <si>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</si>
  <si>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</si>
  <si>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</si>
  <si>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</si>
  <si>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</si>
  <si>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</si>
  <si>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</si>
  <si>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</si>
  <si>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</si>
  <si>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</si>
  <si>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</si>
  <si>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</si>
  <si>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</si>
  <si>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</si>
  <si>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</si>
  <si>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</si>
  <si>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</si>
  <si>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</si>
  <si>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</si>
  <si>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</si>
  <si>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</si>
  <si>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</si>
  <si>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</si>
  <si>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</si>
  <si>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</si>
  <si>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</si>
  <si>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</si>
  <si>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</si>
  <si>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</si>
  <si>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</si>
  <si>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</si>
  <si>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</si>
  <si>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</si>
  <si>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</si>
  <si>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</si>
  <si>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</si>
  <si>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</si>
  <si>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</si>
  <si>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</si>
  <si>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</si>
  <si>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</si>
  <si>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</si>
  <si>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</si>
  <si>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</si>
  <si>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</si>
  <si>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</si>
  <si>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</si>
  <si>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</si>
  <si>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</si>
  <si>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</si>
  <si>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</si>
  <si>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</si>
  <si>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</si>
  <si>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</si>
  <si>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</si>
  <si>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</si>
  <si>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</si>
  <si>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</si>
  <si>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</si>
  <si>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</si>
  <si>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</si>
  <si>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</si>
  <si>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</si>
  <si>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</si>
  <si>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</si>
  <si>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</si>
  <si>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</si>
  <si>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</si>
  <si>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</si>
  <si>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</si>
  <si>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</si>
  <si>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</si>
  <si>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</si>
  <si>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</si>
  <si>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</si>
  <si>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</si>
  <si>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</si>
  <si>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</si>
  <si>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</si>
  <si>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</si>
  <si>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</si>
  <si>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</si>
  <si>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</si>
  <si>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</si>
  <si>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</si>
  <si>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</si>
  <si>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</si>
  <si>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</si>
  <si>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</si>
  <si>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</si>
  <si>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</si>
  <si>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</si>
  <si>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</si>
  <si>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</si>
  <si>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</si>
  <si>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</si>
  <si>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</si>
  <si>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</si>
  <si>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</si>
  <si>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</si>
  <si>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</si>
  <si>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</si>
  <si>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</si>
  <si>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</si>
  <si>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</si>
  <si>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</si>
  <si>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</si>
  <si>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</si>
  <si>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</si>
  <si>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</si>
  <si>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</si>
  <si>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</si>
  <si>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</si>
  <si>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</si>
  <si>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</si>
  <si>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</si>
  <si>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</si>
  <si>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</si>
  <si>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</si>
  <si>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</si>
  <si>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Jeanne Waldron, Anthony Massimino, Shaunna Peters</t>
  </si>
  <si>
    <t>Yes – needs DB Dev to fix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</si>
  <si>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</si>
  <si>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</si>
  <si>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</si>
  <si>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</si>
  <si>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</si>
  <si>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</si>
  <si>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</si>
  <si>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</si>
  <si>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</si>
  <si>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</si>
  <si>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</si>
  <si>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</si>
  <si>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</si>
  <si>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</si>
  <si>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</si>
  <si>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</si>
  <si>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</si>
  <si>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</si>
  <si>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</si>
  <si>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</si>
  <si>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</si>
  <si>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</si>
  <si>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</si>
  <si>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</si>
  <si>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</si>
  <si>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</si>
  <si>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</si>
  <si>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QA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</si>
  <si>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</si>
  <si>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</si>
  <si>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</si>
  <si>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</si>
  <si>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</si>
  <si>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</si>
  <si>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</si>
  <si>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</si>
  <si>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</si>
  <si>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</si>
  <si>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</si>
  <si>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</si>
  <si>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</si>
  <si>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</si>
  <si>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</si>
  <si>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</si>
  <si>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</si>
  <si>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</si>
  <si>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</si>
  <si>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</si>
  <si>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</si>
  <si>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</si>
  <si>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</si>
  <si>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</si>
  <si>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</si>
  <si>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</si>
  <si>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</si>
  <si>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</si>
  <si>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</si>
  <si>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</si>
  <si>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</si>
  <si>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</si>
  <si>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</si>
  <si>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</si>
  <si>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</si>
  <si>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</si>
  <si>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</si>
  <si>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</si>
  <si>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</si>
  <si>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</si>
  <si>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</si>
  <si>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</si>
  <si>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</si>
  <si>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</si>
  <si>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</si>
  <si>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</si>
  <si>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</si>
  <si>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</si>
  <si>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</si>
  <si>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</si>
  <si>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</si>
  <si>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</si>
  <si>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</si>
  <si>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</si>
  <si>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</si>
  <si>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</si>
  <si>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</si>
  <si>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</si>
  <si>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</si>
  <si>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</si>
  <si>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</si>
  <si>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</si>
  <si>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</si>
  <si>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</si>
  <si>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</si>
  <si>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</si>
  <si>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</si>
  <si>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</si>
  <si>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</si>
  <si>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</si>
  <si>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</si>
  <si>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</si>
  <si>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</si>
  <si>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</si>
  <si>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</si>
  <si>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</si>
  <si>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</si>
  <si>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</si>
  <si>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</si>
  <si>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</si>
  <si>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</si>
  <si>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</si>
  <si>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</si>
  <si>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</si>
  <si>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</si>
  <si>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</si>
  <si>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</si>
  <si>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</si>
  <si>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</si>
  <si>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</si>
  <si>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</si>
  <si>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</si>
  <si>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</si>
  <si>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</si>
  <si>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</si>
  <si>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</si>
  <si>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</si>
  <si>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</si>
  <si>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</si>
  <si>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</si>
  <si>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</si>
  <si>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</si>
  <si>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</si>
  <si>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</si>
  <si>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</si>
  <si>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</si>
  <si>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</si>
  <si>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</si>
  <si>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</si>
  <si>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</si>
  <si>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</si>
  <si>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</si>
  <si>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</si>
  <si>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</si>
  <si>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</si>
  <si>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</si>
  <si>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</si>
  <si>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</si>
  <si>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</si>
  <si>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</si>
  <si>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</si>
  <si>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</si>
  <si>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</si>
  <si>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</si>
  <si>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</si>
  <si>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</si>
  <si>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</si>
  <si>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</si>
  <si>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</si>
  <si>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</si>
  <si>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</si>
  <si>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</si>
  <si>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</si>
  <si>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</si>
  <si>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</si>
  <si>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</si>
  <si>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</si>
  <si>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</si>
  <si>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</si>
  <si>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</si>
  <si>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</si>
  <si>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</si>
  <si>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</si>
  <si>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</si>
  <si>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</si>
  <si>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</si>
  <si>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</si>
  <si>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</si>
  <si>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</si>
  <si>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</si>
  <si>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</si>
  <si>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</si>
  <si>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</si>
  <si>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</si>
  <si>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</si>
  <si>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</si>
  <si>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</si>
  <si>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</si>
  <si>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</si>
  <si>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</si>
  <si>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</si>
  <si>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</si>
  <si>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</si>
  <si>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</si>
  <si>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</si>
  <si>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</si>
  <si>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</si>
  <si>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</si>
  <si>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</si>
  <si>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</si>
  <si>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</si>
  <si>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</si>
  <si>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</si>
  <si>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</si>
  <si>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</si>
  <si>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</si>
  <si>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</si>
  <si>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</si>
  <si>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</si>
  <si>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</si>
  <si>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</si>
  <si>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</si>
  <si>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</si>
  <si>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</si>
  <si>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</si>
  <si>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</si>
  <si>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</si>
  <si>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</si>
  <si>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</si>
  <si>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</si>
  <si>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</si>
  <si>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</si>
  <si>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</si>
  <si>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</si>
  <si>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</si>
  <si>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</si>
  <si>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</si>
  <si>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</si>
  <si>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</si>
  <si>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</si>
  <si>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</si>
  <si>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</si>
  <si>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</si>
  <si>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</si>
  <si>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Perfomance issue and data not loading </t>
  </si>
  <si>
    <t xml:space="preserve">ASsigned Tech difference </t>
  </si>
  <si>
    <t>Count mismatch between ODS and GDM</t>
  </si>
  <si>
    <t>Mismatches found in LEAK_FOUND in GDM reports when compared to ODS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</si>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</sst>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8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6">
  <autoFilter ref="A1:AM115" xr:uid="{00000000-0009-0000-0100-000001000000}">
    <filterColumn colId="5">
      <filters>
        <filter val="Bardia"/>
        <filter val="Kushal"/>
      </filters>
    </filterColumn>
    <filterColumn colId="8">
      <filters>
        <filter val="August"/>
        <filter val="July"/>
      </filters>
    </filterColumn>
  </autoFilter>
  <tableColumns count="39">
    <tableColumn id="1" xr3:uid="{00000000-0010-0000-0000-000001000000}" name="Domain" dataDxfId="55"/>
    <tableColumn id="2" xr3:uid="{00000000-0010-0000-0000-000002000000}" name="Report Name" dataDxfId="54"/>
    <tableColumn id="3" xr3:uid="{00000000-0010-0000-0000-000003000000}" name="Current Status  (Update next stage after completion date)" dataDxfId="53"/>
    <tableColumn id="4" xr3:uid="{00000000-0010-0000-0000-000004000000}" name="Status Flag" dataDxfId="52"/>
    <tableColumn id="5" xr3:uid="{00000000-0010-0000-0000-000005000000}" name="Business Value Rank" dataDxfId="51"/>
    <tableColumn id="6" xr3:uid="{00000000-0010-0000-0000-000006000000}" name="PO" dataDxfId="50"/>
    <tableColumn id="10" xr3:uid="{00000000-0010-0000-0000-00000A000000}" name="Schema" dataDxfId="49"/>
    <tableColumn id="11" xr3:uid="{00000000-0010-0000-0000-00000B000000}" name="Plan Delivery Date" dataDxfId="48"/>
    <tableColumn id="12" xr3:uid="{00000000-0010-0000-0000-00000C000000}" name="Plan Delivery Month" dataDxfId="47"/>
    <tableColumn id="7" xr3:uid="{00000000-0010-0000-0000-000007000000}" name="DB Developer" dataDxfId="46"/>
    <tableColumn id="13" xr3:uid="{00000000-0010-0000-0000-00000D000000}" name="DB Dev Baseline Completion Date" dataDxfId="45"/>
    <tableColumn id="30" xr3:uid="{00000000-0010-0000-0000-00001E000000}" name="DB Dev Reforecast Completion Date" dataDxfId="44"/>
    <tableColumn id="14" xr3:uid="{00000000-0010-0000-0000-00000E000000}" name="DB Dev Actual Completion Date" dataDxfId="43"/>
    <tableColumn id="35" xr3:uid="{1A518B0C-8D73-4DAB-8F10-7B4DFF037343}" name="Build Source" dataDxfId="42"/>
    <tableColumn id="28" xr3:uid="{EFCDFAEE-1B00-42CE-9649-7541F5DDC136}" name="Sprint DB" dataDxfId="41"/>
    <tableColumn id="8" xr3:uid="{00000000-0010-0000-0000-000008000000}" name="PBI Developer" dataDxfId="40"/>
    <tableColumn id="15" xr3:uid="{00000000-0010-0000-0000-00000F000000}" name="PBI Dev Baseline Completion Date" dataDxfId="39"/>
    <tableColumn id="31" xr3:uid="{00000000-0010-0000-0000-00001F000000}" name="PBI Dev Reforecast Completion Date" dataDxfId="38"/>
    <tableColumn id="16" xr3:uid="{00000000-0010-0000-0000-000010000000}" name="PBI Dev Actual Completion Date" dataDxfId="37"/>
    <tableColumn id="29" xr3:uid="{4630D178-9B47-4360-A40B-22C7384DB9C9}" name="Sprint PBI" dataDxfId="36"/>
    <tableColumn id="9" xr3:uid="{00000000-0010-0000-0000-000009000000}" name="QA Tester" dataDxfId="35"/>
    <tableColumn id="17" xr3:uid="{00000000-0010-0000-0000-000011000000}" name="QA Baseline Completion Date" dataDxfId="34"/>
    <tableColumn id="32" xr3:uid="{00000000-0010-0000-0000-000020000000}" name="QA Reforecast Completion Date" dataDxfId="33"/>
    <tableColumn id="18" xr3:uid="{00000000-0010-0000-0000-000012000000}" name="QA Actual Completion Date" dataDxfId="32"/>
    <tableColumn id="34" xr3:uid="{70C5E8CB-08B0-4A84-9B68-89630FC3C5C7}" name="Sprint QA" dataDxfId="31"/>
    <tableColumn id="19" xr3:uid="{00000000-0010-0000-0000-000013000000}" name="DPO Approval Baseline Completion Date" dataDxfId="30"/>
    <tableColumn id="33" xr3:uid="{00000000-0010-0000-0000-000021000000}" name="DPO Approval Reforecast Completion Date" dataDxfId="29"/>
    <tableColumn id="36" xr3:uid="{86D482BF-E7A4-45A2-B2F5-CA0223EBDDD1}" name="DPO Approval Completion Date" dataDxfId="28"/>
    <tableColumn id="20" xr3:uid="{00000000-0010-0000-0000-000014000000}" name="DPO Approval Reviewer" dataDxfId="27"/>
    <tableColumn id="39" xr3:uid="{D4F67DF1-1A6D-469A-AA66-A681F9EBF81F}" name="Report Type" dataDxfId="26"/>
    <tableColumn id="21" xr3:uid="{00000000-0010-0000-0000-000015000000}" name="Confirmed Deployed?" dataDxfId="25"/>
    <tableColumn id="22" xr3:uid="{00000000-0010-0000-0000-000016000000}" name="Confirmed Deployed Date" dataDxfId="24"/>
    <tableColumn id="23" xr3:uid="{00000000-0010-0000-0000-000017000000}" name="UAT Report URL" dataDxfId="23"/>
    <tableColumn id="24" xr3:uid="{00000000-0010-0000-0000-000018000000}" name="Production URL" dataDxfId="22"/>
    <tableColumn id="25" xr3:uid="{00000000-0010-0000-0000-000019000000}" name="Blocked?" dataDxfId="21"/>
    <tableColumn id="26" xr3:uid="{00000000-0010-0000-0000-00001A000000}" name="Data Check" dataDxfId="20"/>
    <tableColumn id="27" xr3:uid="{00000000-0010-0000-0000-00001B000000}" name="Comments" dataDxfId="19"/>
    <tableColumn id="37" xr3:uid="{80A8E094-8F50-434A-A9E3-195269D50436}" name="QA Rework Due_x0009_DPO Rework Due" dataDxfId="18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7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C1" activePane="topRight" state="frozen"/>
      <selection pane="topRight" activeCell="C44" sqref="C44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5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 ht="14.45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 ht="14.45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 ht="14.45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 ht="14.45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 ht="14.45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 ht="14.45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 ht="14.45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 ht="14.45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 ht="14.45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 ht="14.45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 ht="14.45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 ht="14.45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 ht="14.45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 ht="14.45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 ht="14.45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 ht="14.45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 ht="14.45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 ht="14.45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 ht="14.45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 ht="14.45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 ht="14.45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 ht="14.45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 ht="14.45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 ht="14.45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 ht="14.45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 ht="14.45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Overdue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142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/>
      </c>
      <c r="AK32" s="41" t="s">
        <v>143</v>
      </c>
      <c r="AL32" s="32" t="str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144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Overdue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145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146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147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148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149</v>
      </c>
      <c r="C35" s="33" t="s">
        <v>150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147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147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151</v>
      </c>
      <c r="AD35" s="33" t="s">
        <v>48</v>
      </c>
      <c r="AE35" s="38"/>
      <c r="AF35" s="36"/>
      <c r="AG35" s="39"/>
      <c r="AH35" s="33"/>
      <c r="AI35" s="40" t="s">
        <v>152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153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154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Blocked - needs DB Dev to fix - unclaimed</v>
      </c>
      <c r="E36" s="33">
        <v>8</v>
      </c>
      <c r="F36" s="34" t="s">
        <v>147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147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142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/>
      </c>
      <c r="AK36" s="41" t="s">
        <v>153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155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147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156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157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158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Overdue</v>
      </c>
      <c r="E38" s="33" t="s">
        <v>159</v>
      </c>
      <c r="F38" s="34" t="s">
        <v>147</v>
      </c>
      <c r="G38" s="33"/>
      <c r="H38" s="50">
        <v>46234</v>
      </c>
      <c r="I38" s="62" t="s">
        <v>130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147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156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161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2" t="s">
        <v>130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156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153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162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Overdue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163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164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165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166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167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156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168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169</v>
      </c>
      <c r="C43" s="33" t="s">
        <v>170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171</v>
      </c>
      <c r="F43" s="34" t="s">
        <v>147</v>
      </c>
      <c r="G43" s="33"/>
      <c r="H43" s="50">
        <v>46265</v>
      </c>
      <c r="I43" s="62" t="s">
        <v>172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173</v>
      </c>
      <c r="O43" s="36" t="s">
        <v>174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175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176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147</v>
      </c>
      <c r="G44" s="33"/>
      <c r="H44" s="50">
        <v>46265</v>
      </c>
      <c r="I44" s="62" t="s">
        <v>172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174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177</v>
      </c>
      <c r="AD44" s="33" t="s">
        <v>48</v>
      </c>
      <c r="AE44" s="38"/>
      <c r="AF44" s="36"/>
      <c r="AG44" s="39"/>
      <c r="AH44" s="33"/>
      <c r="AI44" s="40" t="s">
        <v>142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178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179</v>
      </c>
      <c r="C45" s="33" t="s">
        <v>128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172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174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46268</v>
      </c>
      <c r="X45" s="36">
        <v>46265</v>
      </c>
      <c r="Y45" s="36"/>
      <c r="Z45" s="53">
        <v>46260</v>
      </c>
      <c r="AA45" s="36">
        <v>46275</v>
      </c>
      <c r="AB45" s="36"/>
      <c r="AC45" s="33" t="s">
        <v>177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180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181</v>
      </c>
      <c r="C46" s="33" t="s">
        <v>170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172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46266</v>
      </c>
      <c r="X46" s="36">
        <v>46266</v>
      </c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180</v>
      </c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183</v>
      </c>
      <c r="C47" s="33" t="s">
        <v>128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172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180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185</v>
      </c>
      <c r="C48" s="33" t="s">
        <v>170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147</v>
      </c>
      <c r="G48" s="33"/>
      <c r="H48" s="50">
        <v>46265</v>
      </c>
      <c r="I48" s="62" t="s">
        <v>172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147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177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186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187</v>
      </c>
      <c r="C49" s="33" t="s">
        <v>140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Blocked - needs PBI Dev to fix - unclaimed</v>
      </c>
      <c r="E49" s="33">
        <v>23</v>
      </c>
      <c r="F49" s="34" t="s">
        <v>129</v>
      </c>
      <c r="G49" s="33"/>
      <c r="H49" s="50">
        <v>46265</v>
      </c>
      <c r="I49" s="62" t="s">
        <v>172</v>
      </c>
      <c r="J49" s="33" t="s">
        <v>160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/>
      <c r="X49" s="36"/>
      <c r="Y49" s="36"/>
      <c r="Z49" s="53">
        <v>46260</v>
      </c>
      <c r="AA49" s="36">
        <v>46274</v>
      </c>
      <c r="AB49" s="36"/>
      <c r="AC49" s="33" t="s">
        <v>156</v>
      </c>
      <c r="AD49" s="33" t="s">
        <v>71</v>
      </c>
      <c r="AE49" s="38"/>
      <c r="AF49" s="36"/>
      <c r="AG49" s="39"/>
      <c r="AH49" s="33"/>
      <c r="AI49" s="40" t="s">
        <v>152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/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188</v>
      </c>
      <c r="C50" s="33" t="s">
        <v>170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147</v>
      </c>
      <c r="G50" s="33"/>
      <c r="H50" s="50">
        <v>46265</v>
      </c>
      <c r="I50" s="62" t="s">
        <v>172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184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147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177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189</v>
      </c>
      <c r="C51" s="33" t="s">
        <v>170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147</v>
      </c>
      <c r="G51" s="33"/>
      <c r="H51" s="50">
        <v>46265</v>
      </c>
      <c r="I51" s="62" t="s">
        <v>172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184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147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190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186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 ht="45.75">
      <c r="A52" s="33" t="s">
        <v>126</v>
      </c>
      <c r="B52" s="33" t="s">
        <v>191</v>
      </c>
      <c r="C52" s="33" t="s">
        <v>150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172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6" t="s">
        <v>45</v>
      </c>
      <c r="Q52" s="4">
        <v>46241</v>
      </c>
      <c r="R52" s="36">
        <v>46266</v>
      </c>
      <c r="S52" s="36">
        <v>46266</v>
      </c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192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99" t="s">
        <v>193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194</v>
      </c>
      <c r="C53" s="33" t="s">
        <v>170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147</v>
      </c>
      <c r="G53" s="33"/>
      <c r="H53" s="50">
        <v>46265</v>
      </c>
      <c r="I53" s="62" t="s">
        <v>172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147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195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196</v>
      </c>
      <c r="C54" s="33" t="s">
        <v>150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172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197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 ht="14.45" hidden="1">
      <c r="A55" s="33" t="s">
        <v>126</v>
      </c>
      <c r="B55" s="33" t="s">
        <v>198</v>
      </c>
      <c r="C55" s="33" t="s">
        <v>150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6" t="s">
        <v>199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200</v>
      </c>
      <c r="P55" s="64" t="s">
        <v>76</v>
      </c>
      <c r="Q55" s="4">
        <v>46269</v>
      </c>
      <c r="R55" s="36">
        <v>46267</v>
      </c>
      <c r="S55" s="36"/>
      <c r="T55" s="70" t="s">
        <v>201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202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 ht="14.45" hidden="1">
      <c r="A56" s="33" t="s">
        <v>126</v>
      </c>
      <c r="B56" s="33" t="s">
        <v>203</v>
      </c>
      <c r="C56" s="33" t="s">
        <v>150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199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173</v>
      </c>
      <c r="O56" s="36" t="s">
        <v>200</v>
      </c>
      <c r="P56" s="64" t="s">
        <v>59</v>
      </c>
      <c r="Q56" s="4">
        <v>46269</v>
      </c>
      <c r="R56" s="36"/>
      <c r="S56" s="36"/>
      <c r="T56" s="70" t="s">
        <v>201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204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205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 ht="14.45" hidden="1">
      <c r="A57" s="33" t="s">
        <v>126</v>
      </c>
      <c r="B57" s="33" t="s">
        <v>206</v>
      </c>
      <c r="C57" s="33" t="s">
        <v>207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6" t="s">
        <v>199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200</v>
      </c>
      <c r="P57" s="64" t="s">
        <v>45</v>
      </c>
      <c r="Q57" s="4">
        <v>46269</v>
      </c>
      <c r="R57" s="36">
        <v>46268</v>
      </c>
      <c r="S57" s="36"/>
      <c r="T57" s="70" t="s">
        <v>201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195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205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 ht="14.45" hidden="1">
      <c r="A58" s="33" t="s">
        <v>126</v>
      </c>
      <c r="B58" s="33" t="s">
        <v>208</v>
      </c>
      <c r="C58" s="33" t="s">
        <v>207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199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200</v>
      </c>
      <c r="P58" s="64" t="s">
        <v>76</v>
      </c>
      <c r="Q58" s="4">
        <v>46269</v>
      </c>
      <c r="R58" s="36"/>
      <c r="S58" s="36"/>
      <c r="T58" s="70" t="s">
        <v>201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 ht="14.45" hidden="1">
      <c r="A59" s="33" t="s">
        <v>126</v>
      </c>
      <c r="B59" s="33" t="s">
        <v>209</v>
      </c>
      <c r="C59" s="33" t="s">
        <v>150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Overdue</v>
      </c>
      <c r="E59" s="33">
        <v>35</v>
      </c>
      <c r="F59" s="34" t="s">
        <v>147</v>
      </c>
      <c r="G59" s="33"/>
      <c r="H59" s="50">
        <v>46295</v>
      </c>
      <c r="I59" s="56" t="s">
        <v>199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200</v>
      </c>
      <c r="P59" s="64" t="s">
        <v>59</v>
      </c>
      <c r="Q59" s="4">
        <v>46269</v>
      </c>
      <c r="R59" s="36">
        <v>46265</v>
      </c>
      <c r="S59" s="36"/>
      <c r="T59" s="70" t="s">
        <v>201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195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 ht="14.45" hidden="1">
      <c r="A60" s="33" t="s">
        <v>126</v>
      </c>
      <c r="B60" s="33" t="s">
        <v>210</v>
      </c>
      <c r="C60" s="33" t="s">
        <v>150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6" t="s">
        <v>199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200</v>
      </c>
      <c r="P60" s="64" t="s">
        <v>45</v>
      </c>
      <c r="Q60" s="4">
        <v>46269</v>
      </c>
      <c r="R60" s="36"/>
      <c r="S60" s="36"/>
      <c r="T60" s="70" t="s">
        <v>201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211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 ht="14.45" hidden="1">
      <c r="A61" s="33" t="s">
        <v>126</v>
      </c>
      <c r="B61" s="33" t="s">
        <v>212</v>
      </c>
      <c r="C61" s="33" t="s">
        <v>207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199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200</v>
      </c>
      <c r="P61" s="64" t="s">
        <v>59</v>
      </c>
      <c r="Q61" s="4">
        <v>46269</v>
      </c>
      <c r="R61" s="36"/>
      <c r="S61" s="36"/>
      <c r="T61" s="70" t="s">
        <v>201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213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 ht="14.45" hidden="1">
      <c r="A62" s="33" t="s">
        <v>126</v>
      </c>
      <c r="B62" s="33" t="s">
        <v>214</v>
      </c>
      <c r="C62" s="33" t="s">
        <v>207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6" t="s">
        <v>199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200</v>
      </c>
      <c r="P62" s="64" t="s">
        <v>76</v>
      </c>
      <c r="Q62" s="4">
        <v>46269</v>
      </c>
      <c r="R62" s="36"/>
      <c r="S62" s="36"/>
      <c r="T62" s="70" t="s">
        <v>201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215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 ht="14.45" hidden="1">
      <c r="A63" s="33" t="s">
        <v>126</v>
      </c>
      <c r="B63" s="33" t="s">
        <v>216</v>
      </c>
      <c r="C63" s="33" t="s">
        <v>207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6" t="s">
        <v>199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200</v>
      </c>
      <c r="P63" s="64" t="s">
        <v>45</v>
      </c>
      <c r="Q63" s="4">
        <v>46286</v>
      </c>
      <c r="R63" s="36"/>
      <c r="S63" s="36"/>
      <c r="T63" s="70" t="s">
        <v>201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217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 ht="14.45" hidden="1">
      <c r="A64" s="33" t="s">
        <v>126</v>
      </c>
      <c r="B64" s="33" t="s">
        <v>218</v>
      </c>
      <c r="C64" s="33" t="s">
        <v>207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199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200</v>
      </c>
      <c r="P64" s="64" t="s">
        <v>59</v>
      </c>
      <c r="Q64" s="4">
        <v>46286</v>
      </c>
      <c r="R64" s="36"/>
      <c r="S64" s="36"/>
      <c r="T64" s="70" t="s">
        <v>201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219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 ht="14.45" hidden="1">
      <c r="A65" s="33" t="s">
        <v>126</v>
      </c>
      <c r="B65" s="33" t="s">
        <v>220</v>
      </c>
      <c r="C65" s="33" t="s">
        <v>140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199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200</v>
      </c>
      <c r="P65" s="64" t="s">
        <v>76</v>
      </c>
      <c r="Q65" s="4">
        <v>46286</v>
      </c>
      <c r="R65" s="36"/>
      <c r="S65" s="36"/>
      <c r="T65" s="70" t="s">
        <v>201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 ht="14.45" hidden="1">
      <c r="A66" s="33" t="s">
        <v>126</v>
      </c>
      <c r="B66" s="33" t="s">
        <v>221</v>
      </c>
      <c r="C66" s="33" t="s">
        <v>207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199</v>
      </c>
      <c r="J66" s="33" t="s">
        <v>43</v>
      </c>
      <c r="K66" s="4">
        <v>46276</v>
      </c>
      <c r="L66" s="36"/>
      <c r="M66" s="36"/>
      <c r="N66" s="36"/>
      <c r="O66" s="36" t="s">
        <v>200</v>
      </c>
      <c r="P66" s="64" t="s">
        <v>45</v>
      </c>
      <c r="Q66" s="4">
        <v>46286</v>
      </c>
      <c r="R66" s="36"/>
      <c r="S66" s="36"/>
      <c r="T66" s="70" t="s">
        <v>201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219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 ht="14.45" hidden="1">
      <c r="A67" s="33" t="s">
        <v>126</v>
      </c>
      <c r="B67" s="33" t="s">
        <v>222</v>
      </c>
      <c r="C67" s="33" t="s">
        <v>207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199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200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201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223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 s="83" customFormat="1" ht="14.45" hidden="1">
      <c r="A68" s="82" t="s">
        <v>126</v>
      </c>
      <c r="B68" s="80" t="s">
        <v>224</v>
      </c>
      <c r="C68" s="82" t="s">
        <v>150</v>
      </c>
      <c r="D68" s="83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199</v>
      </c>
      <c r="J68" s="82" t="s">
        <v>225</v>
      </c>
      <c r="K68" s="87">
        <v>46276</v>
      </c>
      <c r="L68" s="88">
        <v>46258</v>
      </c>
      <c r="M68" s="88">
        <v>46258</v>
      </c>
      <c r="N68" s="88"/>
      <c r="O68" s="88" t="s">
        <v>200</v>
      </c>
      <c r="P68" s="89" t="s">
        <v>76</v>
      </c>
      <c r="Q68" s="87">
        <v>46286</v>
      </c>
      <c r="R68" s="88"/>
      <c r="S68" s="88"/>
      <c r="T68" s="90" t="s">
        <v>226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227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228</v>
      </c>
      <c r="AL68" s="98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 ht="14.45" hidden="1">
      <c r="A69" s="33" t="s">
        <v>126</v>
      </c>
      <c r="B69" s="81" t="s">
        <v>229</v>
      </c>
      <c r="C69" s="33" t="s">
        <v>207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147</v>
      </c>
      <c r="G69" s="33"/>
      <c r="H69" s="50">
        <v>46295</v>
      </c>
      <c r="I69" s="56" t="s">
        <v>199</v>
      </c>
      <c r="J69" s="33" t="s">
        <v>58</v>
      </c>
      <c r="K69" s="4">
        <v>46276</v>
      </c>
      <c r="L69" s="36"/>
      <c r="M69" s="36"/>
      <c r="N69" s="36"/>
      <c r="O69" s="36" t="s">
        <v>200</v>
      </c>
      <c r="P69" s="64" t="s">
        <v>45</v>
      </c>
      <c r="Q69" s="4">
        <v>46286</v>
      </c>
      <c r="R69" s="36"/>
      <c r="S69" s="36"/>
      <c r="T69" s="70" t="s">
        <v>226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230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231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 ht="14.45" hidden="1">
      <c r="A70" s="33" t="s">
        <v>126</v>
      </c>
      <c r="B70" s="33" t="s">
        <v>232</v>
      </c>
      <c r="C70" s="33" t="s">
        <v>207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6" t="s">
        <v>199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200</v>
      </c>
      <c r="P70" s="64" t="s">
        <v>45</v>
      </c>
      <c r="Q70" s="4">
        <v>46286</v>
      </c>
      <c r="R70" s="36"/>
      <c r="S70" s="36"/>
      <c r="T70" s="70" t="s">
        <v>226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195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 ht="14.45" hidden="1">
      <c r="A71" s="33" t="s">
        <v>126</v>
      </c>
      <c r="B71" s="33" t="s">
        <v>233</v>
      </c>
      <c r="C71" s="33" t="s">
        <v>207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147</v>
      </c>
      <c r="G71" s="33"/>
      <c r="H71" s="50">
        <v>46295</v>
      </c>
      <c r="I71" s="56" t="s">
        <v>199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200</v>
      </c>
      <c r="P71" s="64" t="s">
        <v>59</v>
      </c>
      <c r="Q71" s="4">
        <v>46286</v>
      </c>
      <c r="R71" s="36"/>
      <c r="S71" s="36"/>
      <c r="T71" s="70" t="s">
        <v>226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234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 ht="14.45" hidden="1">
      <c r="A72" s="33" t="s">
        <v>126</v>
      </c>
      <c r="B72" s="33" t="s">
        <v>235</v>
      </c>
      <c r="C72" s="33" t="s">
        <v>150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199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200</v>
      </c>
      <c r="P72" s="64" t="s">
        <v>76</v>
      </c>
      <c r="Q72" s="4">
        <v>46286</v>
      </c>
      <c r="R72" s="36"/>
      <c r="S72" s="36"/>
      <c r="T72" s="70" t="s">
        <v>226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177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 ht="14.45" hidden="1">
      <c r="A73" s="79" t="s">
        <v>126</v>
      </c>
      <c r="B73" s="31" t="s">
        <v>236</v>
      </c>
      <c r="C73" s="31" t="s">
        <v>150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237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200</v>
      </c>
      <c r="P73" s="67"/>
      <c r="Q73" s="51"/>
      <c r="R73" s="43"/>
      <c r="S73" s="44"/>
      <c r="T73" s="71" t="s">
        <v>238</v>
      </c>
      <c r="U73" s="31"/>
      <c r="W73" s="43"/>
      <c r="X73" s="31"/>
      <c r="Y73" s="31"/>
      <c r="AA73" s="43"/>
      <c r="AB73" s="43"/>
      <c r="AC73" s="31" t="s">
        <v>202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 ht="14.45" hidden="1">
      <c r="A74" s="31" t="s">
        <v>126</v>
      </c>
      <c r="B74" s="31" t="s">
        <v>239</v>
      </c>
      <c r="C74" s="31" t="s">
        <v>207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237</v>
      </c>
      <c r="J74" s="55" t="s">
        <v>225</v>
      </c>
      <c r="K74" s="51"/>
      <c r="L74" s="43"/>
      <c r="M74" s="44"/>
      <c r="N74" s="44"/>
      <c r="O74" s="44" t="s">
        <v>200</v>
      </c>
      <c r="P74" s="76"/>
      <c r="Q74" s="51"/>
      <c r="R74" s="43"/>
      <c r="S74" s="44"/>
      <c r="T74" s="71" t="s">
        <v>238</v>
      </c>
      <c r="U74" s="47"/>
      <c r="W74" s="43"/>
      <c r="X74" s="31"/>
      <c r="Y74" s="36"/>
      <c r="AA74" s="43"/>
      <c r="AB74" s="43"/>
      <c r="AC74" s="31" t="s">
        <v>177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 ht="14.45" hidden="1">
      <c r="A75" s="31" t="s">
        <v>126</v>
      </c>
      <c r="B75" s="31" t="s">
        <v>240</v>
      </c>
      <c r="C75" s="31" t="s">
        <v>207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237</v>
      </c>
      <c r="J75" s="55" t="s">
        <v>58</v>
      </c>
      <c r="K75" s="51"/>
      <c r="L75" s="43"/>
      <c r="M75" s="44"/>
      <c r="N75" s="44"/>
      <c r="O75" s="44" t="s">
        <v>200</v>
      </c>
      <c r="P75" s="76"/>
      <c r="Q75" s="51"/>
      <c r="R75" s="43"/>
      <c r="S75" s="44"/>
      <c r="T75" s="71" t="s">
        <v>238</v>
      </c>
      <c r="U75" s="47"/>
      <c r="W75" s="43"/>
      <c r="X75" s="31"/>
      <c r="Y75" s="36"/>
      <c r="AA75" s="43"/>
      <c r="AB75" s="43"/>
      <c r="AC75" s="31" t="s">
        <v>241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 ht="14.45" hidden="1">
      <c r="A76" s="31" t="s">
        <v>126</v>
      </c>
      <c r="B76" s="31" t="s">
        <v>242</v>
      </c>
      <c r="C76" s="31" t="s">
        <v>207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237</v>
      </c>
      <c r="J76" s="55" t="s">
        <v>58</v>
      </c>
      <c r="K76" s="51"/>
      <c r="L76" s="43"/>
      <c r="M76" s="44"/>
      <c r="N76" s="44"/>
      <c r="O76" s="44" t="s">
        <v>200</v>
      </c>
      <c r="P76" s="76"/>
      <c r="Q76" s="51"/>
      <c r="R76" s="43"/>
      <c r="S76" s="44"/>
      <c r="T76" s="71" t="s">
        <v>238</v>
      </c>
      <c r="U76" s="47"/>
      <c r="W76" s="43"/>
      <c r="X76" s="31"/>
      <c r="Y76" s="36"/>
      <c r="AA76" s="43"/>
      <c r="AB76" s="43"/>
      <c r="AC76" s="31" t="s">
        <v>241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 ht="14.45" hidden="1">
      <c r="A77" s="31" t="s">
        <v>126</v>
      </c>
      <c r="B77" s="31" t="s">
        <v>243</v>
      </c>
      <c r="C77" s="31" t="s">
        <v>207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237</v>
      </c>
      <c r="J77" s="55" t="s">
        <v>160</v>
      </c>
      <c r="K77" s="51"/>
      <c r="L77" s="43"/>
      <c r="M77" s="44"/>
      <c r="N77" s="44"/>
      <c r="O77" s="44" t="s">
        <v>200</v>
      </c>
      <c r="P77" s="76"/>
      <c r="Q77" s="51"/>
      <c r="R77" s="43"/>
      <c r="S77" s="44"/>
      <c r="T77" s="71" t="s">
        <v>238</v>
      </c>
      <c r="U77" s="47"/>
      <c r="W77" s="43"/>
      <c r="X77" s="31"/>
      <c r="Y77" s="36"/>
      <c r="AA77" s="43"/>
      <c r="AB77" s="43"/>
      <c r="AC77" s="31" t="s">
        <v>241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 ht="14.45" hidden="1">
      <c r="A78" s="31" t="s">
        <v>126</v>
      </c>
      <c r="B78" s="31" t="s">
        <v>244</v>
      </c>
      <c r="C78" s="31" t="s">
        <v>207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237</v>
      </c>
      <c r="J78" s="55" t="s">
        <v>43</v>
      </c>
      <c r="K78" s="51"/>
      <c r="L78" s="43"/>
      <c r="M78" s="44"/>
      <c r="N78" s="44"/>
      <c r="O78" s="44" t="s">
        <v>245</v>
      </c>
      <c r="P78" s="76"/>
      <c r="Q78" s="51"/>
      <c r="R78" s="43"/>
      <c r="S78" s="44"/>
      <c r="T78" s="71" t="s">
        <v>238</v>
      </c>
      <c r="U78" s="47"/>
      <c r="W78" s="43"/>
      <c r="X78" s="31"/>
      <c r="Y78" s="36"/>
      <c r="AA78" s="43"/>
      <c r="AB78" s="43"/>
      <c r="AC78" s="31" t="s">
        <v>192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 ht="14.45" hidden="1">
      <c r="A79" s="31" t="s">
        <v>126</v>
      </c>
      <c r="B79" s="31" t="s">
        <v>246</v>
      </c>
      <c r="C79" s="31" t="s">
        <v>207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237</v>
      </c>
      <c r="J79" s="55" t="s">
        <v>75</v>
      </c>
      <c r="K79" s="51"/>
      <c r="L79" s="43"/>
      <c r="M79" s="44"/>
      <c r="N79" s="44"/>
      <c r="O79" s="44" t="s">
        <v>200</v>
      </c>
      <c r="P79" s="76"/>
      <c r="Q79" s="51"/>
      <c r="R79" s="43"/>
      <c r="S79" s="44"/>
      <c r="T79" s="71" t="s">
        <v>238</v>
      </c>
      <c r="U79" s="47"/>
      <c r="W79" s="43"/>
      <c r="X79" s="31"/>
      <c r="Y79" s="36"/>
      <c r="AA79" s="43"/>
      <c r="AB79" s="43"/>
      <c r="AC79" s="31" t="s">
        <v>247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 ht="14.45" hidden="1">
      <c r="A80" s="31" t="s">
        <v>126</v>
      </c>
      <c r="B80" s="31" t="s">
        <v>248</v>
      </c>
      <c r="C80" s="31" t="s">
        <v>207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237</v>
      </c>
      <c r="J80" s="55" t="s">
        <v>249</v>
      </c>
      <c r="K80" s="51"/>
      <c r="L80" s="43"/>
      <c r="M80" s="44"/>
      <c r="N80" s="44"/>
      <c r="O80" s="44" t="s">
        <v>245</v>
      </c>
      <c r="P80" s="76"/>
      <c r="Q80" s="51"/>
      <c r="R80" s="43"/>
      <c r="S80" s="44"/>
      <c r="T80" s="71" t="s">
        <v>238</v>
      </c>
      <c r="U80" s="47"/>
      <c r="W80" s="43"/>
      <c r="X80" s="31"/>
      <c r="Y80" s="36"/>
      <c r="AA80" s="43"/>
      <c r="AB80" s="43"/>
      <c r="AC80" s="31" t="s">
        <v>211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 ht="14.45" hidden="1">
      <c r="A81" s="31" t="s">
        <v>126</v>
      </c>
      <c r="B81" s="31" t="s">
        <v>250</v>
      </c>
      <c r="C81" s="31" t="s">
        <v>207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237</v>
      </c>
      <c r="J81" s="55" t="s">
        <v>249</v>
      </c>
      <c r="K81" s="51"/>
      <c r="L81" s="43"/>
      <c r="M81" s="44"/>
      <c r="N81" s="44"/>
      <c r="O81" s="44" t="s">
        <v>245</v>
      </c>
      <c r="P81" s="76"/>
      <c r="Q81" s="51"/>
      <c r="R81" s="43"/>
      <c r="S81" s="44"/>
      <c r="T81" s="70" t="s">
        <v>251</v>
      </c>
      <c r="U81" s="47"/>
      <c r="W81" s="43"/>
      <c r="X81" s="31"/>
      <c r="Y81" s="36"/>
      <c r="AA81" s="43"/>
      <c r="AB81" s="43"/>
      <c r="AC81" s="31" t="s">
        <v>219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 ht="14.45" hidden="1">
      <c r="A82" s="31" t="s">
        <v>126</v>
      </c>
      <c r="B82" s="31" t="s">
        <v>252</v>
      </c>
      <c r="C82" s="31" t="s">
        <v>207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237</v>
      </c>
      <c r="J82" s="55"/>
      <c r="K82" s="51"/>
      <c r="L82" s="43"/>
      <c r="M82" s="44"/>
      <c r="N82" s="44"/>
      <c r="O82" s="36" t="s">
        <v>253</v>
      </c>
      <c r="P82" s="76"/>
      <c r="Q82" s="51"/>
      <c r="R82" s="43"/>
      <c r="S82" s="44"/>
      <c r="T82" s="70" t="s">
        <v>251</v>
      </c>
      <c r="U82" s="47"/>
      <c r="W82" s="43"/>
      <c r="X82" s="31"/>
      <c r="Y82" s="36"/>
      <c r="AA82" s="43"/>
      <c r="AB82" s="43"/>
      <c r="AC82" s="31" t="s">
        <v>254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 ht="14.45" hidden="1">
      <c r="A83" s="31" t="s">
        <v>126</v>
      </c>
      <c r="B83" s="31" t="s">
        <v>255</v>
      </c>
      <c r="C83" s="31" t="s">
        <v>207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237</v>
      </c>
      <c r="J83" s="55"/>
      <c r="K83" s="51"/>
      <c r="L83" s="43"/>
      <c r="M83" s="44"/>
      <c r="N83" s="44"/>
      <c r="O83" s="36" t="s">
        <v>253</v>
      </c>
      <c r="P83" s="76"/>
      <c r="Q83" s="51"/>
      <c r="R83" s="43"/>
      <c r="S83" s="44"/>
      <c r="T83" s="70" t="s">
        <v>251</v>
      </c>
      <c r="U83" s="47"/>
      <c r="W83" s="43"/>
      <c r="X83" s="31"/>
      <c r="Y83" s="36"/>
      <c r="AA83" s="43"/>
      <c r="AB83" s="43"/>
      <c r="AC83" s="31" t="s">
        <v>256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 ht="14.45" hidden="1">
      <c r="A84" s="31" t="s">
        <v>126</v>
      </c>
      <c r="B84" s="31" t="s">
        <v>257</v>
      </c>
      <c r="C84" s="31" t="s">
        <v>207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237</v>
      </c>
      <c r="J84" s="55"/>
      <c r="K84" s="51"/>
      <c r="L84" s="43"/>
      <c r="M84" s="44"/>
      <c r="N84" s="44"/>
      <c r="O84" s="36" t="s">
        <v>253</v>
      </c>
      <c r="P84" s="76"/>
      <c r="Q84" s="51"/>
      <c r="R84" s="43"/>
      <c r="S84" s="44"/>
      <c r="T84" s="70" t="s">
        <v>251</v>
      </c>
      <c r="U84" s="47"/>
      <c r="W84" s="43"/>
      <c r="X84" s="31"/>
      <c r="Y84" s="36"/>
      <c r="AA84" s="43"/>
      <c r="AB84" s="43"/>
      <c r="AC84" s="31" t="s">
        <v>195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 ht="14.45" hidden="1">
      <c r="A85" s="31" t="s">
        <v>126</v>
      </c>
      <c r="B85" s="31" t="s">
        <v>258</v>
      </c>
      <c r="C85" s="31" t="s">
        <v>207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259</v>
      </c>
      <c r="F85" s="31"/>
      <c r="G85" s="31"/>
      <c r="H85" s="50">
        <v>46325</v>
      </c>
      <c r="I85" s="57" t="s">
        <v>237</v>
      </c>
      <c r="J85" s="55"/>
      <c r="K85" s="51"/>
      <c r="L85" s="43"/>
      <c r="M85" s="44"/>
      <c r="N85" s="44"/>
      <c r="O85" s="36" t="s">
        <v>260</v>
      </c>
      <c r="P85" s="76"/>
      <c r="Q85" s="51"/>
      <c r="R85" s="43"/>
      <c r="S85" s="44"/>
      <c r="T85" s="70" t="s">
        <v>251</v>
      </c>
      <c r="U85" s="47"/>
      <c r="W85" s="43"/>
      <c r="X85" s="31"/>
      <c r="Y85" s="36"/>
      <c r="AA85" s="43"/>
      <c r="AB85" s="43"/>
      <c r="AC85" s="31" t="s">
        <v>192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 ht="14.45" hidden="1">
      <c r="A86" s="31" t="s">
        <v>126</v>
      </c>
      <c r="B86" s="31" t="s">
        <v>261</v>
      </c>
      <c r="C86" s="31" t="s">
        <v>207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262</v>
      </c>
      <c r="J86" s="55"/>
      <c r="K86" s="51"/>
      <c r="L86" s="43"/>
      <c r="M86" s="44"/>
      <c r="N86" s="44"/>
      <c r="O86" s="36" t="s">
        <v>260</v>
      </c>
      <c r="P86" s="76"/>
      <c r="Q86" s="51"/>
      <c r="R86" s="43"/>
      <c r="S86" s="44"/>
      <c r="T86" s="70" t="s">
        <v>251</v>
      </c>
      <c r="U86" s="47"/>
      <c r="W86" s="43"/>
      <c r="X86" s="31"/>
      <c r="Y86" s="36"/>
      <c r="AA86" s="43"/>
      <c r="AB86" s="43"/>
      <c r="AC86" s="31" t="s">
        <v>263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 ht="14.45" hidden="1">
      <c r="A87" s="31" t="s">
        <v>126</v>
      </c>
      <c r="B87" s="31" t="s">
        <v>264</v>
      </c>
      <c r="C87" s="31" t="s">
        <v>207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262</v>
      </c>
      <c r="J87" s="55"/>
      <c r="K87" s="51"/>
      <c r="L87" s="43"/>
      <c r="M87" s="44"/>
      <c r="N87" s="44"/>
      <c r="O87" s="36" t="s">
        <v>260</v>
      </c>
      <c r="P87" s="76"/>
      <c r="Q87" s="51"/>
      <c r="R87" s="43"/>
      <c r="S87" s="44"/>
      <c r="T87" s="70" t="s">
        <v>251</v>
      </c>
      <c r="U87" s="47"/>
      <c r="W87" s="43"/>
      <c r="X87" s="31"/>
      <c r="Y87" s="36"/>
      <c r="AA87" s="43"/>
      <c r="AB87" s="43"/>
      <c r="AC87" s="31" t="s">
        <v>177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 ht="14.45" hidden="1">
      <c r="A88" s="31" t="s">
        <v>126</v>
      </c>
      <c r="B88" s="31" t="s">
        <v>265</v>
      </c>
      <c r="C88" s="31" t="s">
        <v>207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262</v>
      </c>
      <c r="J88" s="55"/>
      <c r="K88" s="51"/>
      <c r="L88" s="43"/>
      <c r="M88" s="44"/>
      <c r="N88" s="44"/>
      <c r="O88" s="36" t="s">
        <v>260</v>
      </c>
      <c r="P88" s="76"/>
      <c r="Q88" s="51"/>
      <c r="R88" s="43"/>
      <c r="S88" s="44"/>
      <c r="T88" s="70" t="s">
        <v>266</v>
      </c>
      <c r="U88" s="47"/>
      <c r="W88" s="43"/>
      <c r="X88" s="31"/>
      <c r="Y88" s="36"/>
      <c r="AA88" s="43"/>
      <c r="AB88" s="43"/>
      <c r="AC88" s="31" t="s">
        <v>177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 ht="14.45" hidden="1">
      <c r="A89" s="31" t="s">
        <v>126</v>
      </c>
      <c r="B89" s="31" t="s">
        <v>267</v>
      </c>
      <c r="C89" s="31" t="s">
        <v>207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262</v>
      </c>
      <c r="J89" s="55"/>
      <c r="K89" s="51"/>
      <c r="L89" s="43"/>
      <c r="M89" s="44"/>
      <c r="N89" s="44"/>
      <c r="O89" s="36" t="s">
        <v>260</v>
      </c>
      <c r="P89" s="76"/>
      <c r="Q89" s="51"/>
      <c r="R89" s="43"/>
      <c r="S89" s="44"/>
      <c r="T89" s="70" t="s">
        <v>266</v>
      </c>
      <c r="U89" s="47"/>
      <c r="W89" s="43"/>
      <c r="X89" s="31"/>
      <c r="Y89" s="36"/>
      <c r="AA89" s="43"/>
      <c r="AB89" s="43"/>
      <c r="AC89" s="31" t="s">
        <v>177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 ht="14.45" hidden="1">
      <c r="A90" s="31" t="s">
        <v>126</v>
      </c>
      <c r="B90" s="31" t="s">
        <v>268</v>
      </c>
      <c r="C90" s="31" t="s">
        <v>207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262</v>
      </c>
      <c r="J90" s="55"/>
      <c r="K90" s="51"/>
      <c r="L90" s="43"/>
      <c r="M90" s="44"/>
      <c r="N90" s="44"/>
      <c r="O90" s="36" t="s">
        <v>260</v>
      </c>
      <c r="P90" s="76"/>
      <c r="Q90" s="51"/>
      <c r="R90" s="43"/>
      <c r="S90" s="44"/>
      <c r="T90" s="70" t="s">
        <v>266</v>
      </c>
      <c r="U90" s="47"/>
      <c r="W90" s="43"/>
      <c r="X90" s="31"/>
      <c r="Y90" s="36"/>
      <c r="AA90" s="43"/>
      <c r="AB90" s="43"/>
      <c r="AC90" s="31" t="s">
        <v>177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 ht="14.45" hidden="1">
      <c r="A91" s="31" t="s">
        <v>126</v>
      </c>
      <c r="B91" s="31" t="s">
        <v>269</v>
      </c>
      <c r="C91" s="31" t="s">
        <v>207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262</v>
      </c>
      <c r="J91" s="55"/>
      <c r="K91" s="51"/>
      <c r="L91" s="43"/>
      <c r="M91" s="44"/>
      <c r="N91" s="44"/>
      <c r="O91" s="36" t="s">
        <v>260</v>
      </c>
      <c r="P91" s="76"/>
      <c r="Q91" s="51"/>
      <c r="R91" s="43"/>
      <c r="S91" s="44"/>
      <c r="T91" s="70" t="s">
        <v>266</v>
      </c>
      <c r="U91" s="47"/>
      <c r="W91" s="43"/>
      <c r="X91" s="31"/>
      <c r="Y91" s="36"/>
      <c r="AA91" s="43"/>
      <c r="AB91" s="43"/>
      <c r="AC91" s="31" t="s">
        <v>270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 ht="14.45" hidden="1">
      <c r="A92" s="31" t="s">
        <v>126</v>
      </c>
      <c r="B92" s="31" t="s">
        <v>271</v>
      </c>
      <c r="C92" s="31" t="s">
        <v>207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262</v>
      </c>
      <c r="J92" s="55"/>
      <c r="K92" s="51"/>
      <c r="L92" s="43"/>
      <c r="M92" s="44"/>
      <c r="N92" s="44"/>
      <c r="O92" s="36" t="s">
        <v>272</v>
      </c>
      <c r="P92" s="76"/>
      <c r="Q92" s="51"/>
      <c r="R92" s="43"/>
      <c r="S92" s="44"/>
      <c r="T92" s="70" t="s">
        <v>266</v>
      </c>
      <c r="U92" s="47"/>
      <c r="W92" s="43"/>
      <c r="X92" s="31"/>
      <c r="Y92" s="36"/>
      <c r="AA92" s="43"/>
      <c r="AB92" s="43"/>
      <c r="AC92" s="31" t="s">
        <v>177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 ht="14.45" hidden="1">
      <c r="A93" s="31" t="s">
        <v>126</v>
      </c>
      <c r="B93" s="31" t="s">
        <v>273</v>
      </c>
      <c r="C93" s="31" t="s">
        <v>207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262</v>
      </c>
      <c r="J93" s="55"/>
      <c r="K93" s="51"/>
      <c r="L93" s="43"/>
      <c r="M93" s="44"/>
      <c r="N93" s="44"/>
      <c r="O93" s="36" t="s">
        <v>272</v>
      </c>
      <c r="P93" s="76"/>
      <c r="Q93" s="51"/>
      <c r="R93" s="43"/>
      <c r="S93" s="44"/>
      <c r="T93" s="70" t="s">
        <v>266</v>
      </c>
      <c r="U93" s="47"/>
      <c r="W93" s="43"/>
      <c r="X93" s="31"/>
      <c r="Y93" s="36"/>
      <c r="AA93" s="43"/>
      <c r="AB93" s="43"/>
      <c r="AC93" s="31" t="s">
        <v>197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 ht="14.45" hidden="1">
      <c r="A94" s="31" t="s">
        <v>126</v>
      </c>
      <c r="B94" s="31" t="s">
        <v>274</v>
      </c>
      <c r="C94" s="31" t="s">
        <v>207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262</v>
      </c>
      <c r="J94" s="55"/>
      <c r="K94" s="51"/>
      <c r="L94" s="43"/>
      <c r="M94" s="44"/>
      <c r="N94" s="44"/>
      <c r="O94" s="36" t="s">
        <v>272</v>
      </c>
      <c r="P94" s="76"/>
      <c r="Q94" s="51"/>
      <c r="R94" s="43"/>
      <c r="S94" s="44"/>
      <c r="T94" s="70" t="s">
        <v>266</v>
      </c>
      <c r="U94" s="47"/>
      <c r="W94" s="43"/>
      <c r="X94" s="31"/>
      <c r="Y94" s="36"/>
      <c r="AA94" s="43"/>
      <c r="AB94" s="43"/>
      <c r="AC94" s="31" t="s">
        <v>275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 ht="14.45" hidden="1">
      <c r="A95" s="31" t="s">
        <v>126</v>
      </c>
      <c r="B95" s="31" t="s">
        <v>276</v>
      </c>
      <c r="C95" s="31" t="s">
        <v>207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262</v>
      </c>
      <c r="J95" s="55"/>
      <c r="K95" s="51"/>
      <c r="L95" s="43"/>
      <c r="M95" s="44"/>
      <c r="N95" s="44"/>
      <c r="O95" s="36" t="s">
        <v>272</v>
      </c>
      <c r="P95" s="76"/>
      <c r="Q95" s="51"/>
      <c r="R95" s="43"/>
      <c r="S95" s="44"/>
      <c r="T95" s="70" t="s">
        <v>277</v>
      </c>
      <c r="U95" s="47"/>
      <c r="W95" s="43"/>
      <c r="X95" s="31"/>
      <c r="Y95" s="36"/>
      <c r="AA95" s="43"/>
      <c r="AB95" s="43"/>
      <c r="AC95" s="31" t="s">
        <v>278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 ht="14.45" hidden="1">
      <c r="A96" s="31" t="s">
        <v>126</v>
      </c>
      <c r="B96" s="31" t="s">
        <v>279</v>
      </c>
      <c r="C96" s="31" t="s">
        <v>207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262</v>
      </c>
      <c r="J96" s="55"/>
      <c r="K96" s="51"/>
      <c r="L96" s="43"/>
      <c r="M96" s="44"/>
      <c r="N96" s="44"/>
      <c r="O96" s="36" t="s">
        <v>272</v>
      </c>
      <c r="P96" s="76"/>
      <c r="Q96" s="51"/>
      <c r="R96" s="43"/>
      <c r="S96" s="44"/>
      <c r="T96" s="70" t="s">
        <v>277</v>
      </c>
      <c r="U96" s="47"/>
      <c r="W96" s="43"/>
      <c r="X96" s="31"/>
      <c r="Y96" s="36"/>
      <c r="AA96" s="43"/>
      <c r="AB96" s="43"/>
      <c r="AC96" s="31" t="s">
        <v>280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 ht="14.45" hidden="1">
      <c r="A97" s="31" t="s">
        <v>126</v>
      </c>
      <c r="B97" s="31" t="s">
        <v>281</v>
      </c>
      <c r="C97" s="31" t="s">
        <v>207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262</v>
      </c>
      <c r="J97" s="55"/>
      <c r="K97" s="51"/>
      <c r="L97" s="43"/>
      <c r="M97" s="44"/>
      <c r="N97" s="44"/>
      <c r="O97" s="36" t="s">
        <v>272</v>
      </c>
      <c r="P97" s="76"/>
      <c r="Q97" s="51"/>
      <c r="R97" s="43"/>
      <c r="S97" s="44"/>
      <c r="T97" s="70" t="s">
        <v>277</v>
      </c>
      <c r="U97" s="47"/>
      <c r="W97" s="43"/>
      <c r="X97" s="31"/>
      <c r="Y97" s="36"/>
      <c r="AA97" s="43"/>
      <c r="AB97" s="43"/>
      <c r="AC97" s="31" t="s">
        <v>282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 ht="14.45" hidden="1">
      <c r="A98" s="31" t="s">
        <v>126</v>
      </c>
      <c r="B98" s="31" t="s">
        <v>283</v>
      </c>
      <c r="C98" s="31" t="s">
        <v>207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262</v>
      </c>
      <c r="J98" s="55"/>
      <c r="K98" s="51"/>
      <c r="L98" s="43"/>
      <c r="M98" s="44"/>
      <c r="N98" s="44"/>
      <c r="O98" s="36" t="s">
        <v>272</v>
      </c>
      <c r="P98" s="76"/>
      <c r="Q98" s="51"/>
      <c r="R98" s="43"/>
      <c r="S98" s="44"/>
      <c r="T98" s="70" t="s">
        <v>277</v>
      </c>
      <c r="U98" s="47"/>
      <c r="W98" s="43"/>
      <c r="X98" s="31"/>
      <c r="Y98" s="36"/>
      <c r="AA98" s="43"/>
      <c r="AB98" s="43"/>
      <c r="AC98" s="31" t="s">
        <v>177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 ht="14.45" hidden="1">
      <c r="A99" s="31" t="s">
        <v>126</v>
      </c>
      <c r="B99" s="31" t="s">
        <v>284</v>
      </c>
      <c r="C99" s="31" t="s">
        <v>207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285</v>
      </c>
      <c r="F99" s="31"/>
      <c r="G99" s="31"/>
      <c r="H99" s="50">
        <v>46356</v>
      </c>
      <c r="I99" s="57" t="s">
        <v>262</v>
      </c>
      <c r="J99" s="55"/>
      <c r="K99" s="51"/>
      <c r="L99" s="43"/>
      <c r="M99" s="44"/>
      <c r="N99" s="44"/>
      <c r="O99" s="36" t="s">
        <v>272</v>
      </c>
      <c r="P99" s="76"/>
      <c r="Q99" s="51"/>
      <c r="R99" s="43"/>
      <c r="S99" s="44"/>
      <c r="T99" s="70" t="s">
        <v>277</v>
      </c>
      <c r="U99" s="47"/>
      <c r="W99" s="43"/>
      <c r="X99" s="31"/>
      <c r="Y99" s="36"/>
      <c r="AA99" s="43"/>
      <c r="AB99" s="43"/>
      <c r="AC99" s="31" t="s">
        <v>286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 ht="14.45" hidden="1">
      <c r="A100" s="31" t="s">
        <v>126</v>
      </c>
      <c r="B100" s="31" t="s">
        <v>287</v>
      </c>
      <c r="C100" s="31" t="s">
        <v>207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262</v>
      </c>
      <c r="J100" s="55"/>
      <c r="K100" s="51"/>
      <c r="L100" s="43"/>
      <c r="M100" s="44"/>
      <c r="N100" s="44"/>
      <c r="O100" s="36" t="s">
        <v>272</v>
      </c>
      <c r="P100" s="76"/>
      <c r="Q100" s="51"/>
      <c r="R100" s="43"/>
      <c r="S100" s="44"/>
      <c r="T100" s="70" t="s">
        <v>277</v>
      </c>
      <c r="U100" s="47"/>
      <c r="W100" s="43"/>
      <c r="X100" s="31"/>
      <c r="Y100" s="36"/>
      <c r="AA100" s="43"/>
      <c r="AB100" s="43"/>
      <c r="AC100" s="31" t="s">
        <v>288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 ht="14.45" hidden="1">
      <c r="A101" s="31" t="s">
        <v>289</v>
      </c>
      <c r="B101" s="31" t="s">
        <v>290</v>
      </c>
      <c r="C101" s="31" t="s">
        <v>207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291</v>
      </c>
      <c r="J101" s="55"/>
      <c r="L101" s="43"/>
      <c r="M101" s="31"/>
      <c r="N101" s="31"/>
      <c r="O101" s="36" t="s">
        <v>292</v>
      </c>
      <c r="P101" s="76"/>
      <c r="R101" s="43"/>
      <c r="S101" s="31"/>
      <c r="T101" s="70" t="s">
        <v>277</v>
      </c>
      <c r="U101" s="47"/>
      <c r="W101" s="43"/>
      <c r="X101" s="31"/>
      <c r="Y101" s="36"/>
      <c r="AA101" s="43"/>
      <c r="AB101" s="43"/>
      <c r="AC101" s="31" t="s">
        <v>293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 ht="14.45" hidden="1">
      <c r="A102" s="31" t="s">
        <v>289</v>
      </c>
      <c r="B102" s="31" t="s">
        <v>294</v>
      </c>
      <c r="C102" s="31" t="s">
        <v>207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291</v>
      </c>
      <c r="J102" s="55"/>
      <c r="L102" s="43"/>
      <c r="M102" s="31"/>
      <c r="N102" s="31"/>
      <c r="O102" s="36" t="s">
        <v>292</v>
      </c>
      <c r="P102" s="76"/>
      <c r="R102" s="43"/>
      <c r="S102" s="31"/>
      <c r="T102" s="70" t="s">
        <v>295</v>
      </c>
      <c r="U102" s="47"/>
      <c r="W102" s="43"/>
      <c r="X102" s="31"/>
      <c r="Y102" s="36"/>
      <c r="AA102" s="43"/>
      <c r="AB102" s="43"/>
      <c r="AC102" s="31" t="s">
        <v>296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 ht="14.45" hidden="1">
      <c r="A103" s="31" t="s">
        <v>289</v>
      </c>
      <c r="B103" s="31" t="s">
        <v>297</v>
      </c>
      <c r="C103" s="31" t="s">
        <v>207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291</v>
      </c>
      <c r="J103" s="55"/>
      <c r="L103" s="43"/>
      <c r="M103" s="31"/>
      <c r="N103" s="31"/>
      <c r="O103" s="36" t="s">
        <v>292</v>
      </c>
      <c r="P103" s="76"/>
      <c r="R103" s="43"/>
      <c r="S103" s="31"/>
      <c r="T103" s="70" t="s">
        <v>295</v>
      </c>
      <c r="U103" s="47"/>
      <c r="W103" s="43"/>
      <c r="X103" s="31"/>
      <c r="Y103" s="36"/>
      <c r="AA103" s="43"/>
      <c r="AB103" s="43"/>
      <c r="AC103" s="31" t="s">
        <v>298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 ht="14.45" hidden="1">
      <c r="A104" s="31" t="s">
        <v>299</v>
      </c>
      <c r="B104" s="31" t="s">
        <v>300</v>
      </c>
      <c r="C104" s="31" t="s">
        <v>207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7" t="s">
        <v>291</v>
      </c>
      <c r="J104" s="55"/>
      <c r="L104" s="43"/>
      <c r="M104" s="31"/>
      <c r="N104" s="31"/>
      <c r="O104" s="36" t="s">
        <v>292</v>
      </c>
      <c r="P104" s="76"/>
      <c r="R104" s="43"/>
      <c r="S104" s="31"/>
      <c r="T104" s="70" t="s">
        <v>295</v>
      </c>
      <c r="U104" s="47"/>
      <c r="W104" s="43"/>
      <c r="X104" s="31"/>
      <c r="Y104" s="36"/>
      <c r="AA104" s="43"/>
      <c r="AB104" s="43"/>
      <c r="AC104" s="31" t="s">
        <v>301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 ht="14.45" hidden="1">
      <c r="A105" s="31" t="s">
        <v>289</v>
      </c>
      <c r="B105" s="31" t="s">
        <v>302</v>
      </c>
      <c r="C105" s="31" t="s">
        <v>207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291</v>
      </c>
      <c r="J105" s="55"/>
      <c r="L105" s="43"/>
      <c r="M105" s="31"/>
      <c r="N105" s="31"/>
      <c r="O105" s="36" t="s">
        <v>292</v>
      </c>
      <c r="P105" s="76"/>
      <c r="R105" s="43"/>
      <c r="S105" s="31"/>
      <c r="T105" s="70" t="s">
        <v>295</v>
      </c>
      <c r="U105" s="47"/>
      <c r="W105" s="43"/>
      <c r="X105" s="31"/>
      <c r="Y105" s="36"/>
      <c r="AA105" s="43"/>
      <c r="AB105" s="43"/>
      <c r="AC105" s="31" t="s">
        <v>303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 ht="14.45" hidden="1">
      <c r="A106" s="31" t="s">
        <v>289</v>
      </c>
      <c r="B106" s="31" t="s">
        <v>304</v>
      </c>
      <c r="C106" s="31" t="s">
        <v>207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291</v>
      </c>
      <c r="J106" s="55"/>
      <c r="L106" s="43"/>
      <c r="M106" s="31"/>
      <c r="N106" s="31"/>
      <c r="O106" s="36" t="s">
        <v>292</v>
      </c>
      <c r="P106" s="76"/>
      <c r="R106" s="43"/>
      <c r="S106" s="31"/>
      <c r="T106" s="70" t="s">
        <v>295</v>
      </c>
      <c r="U106" s="47"/>
      <c r="W106" s="43"/>
      <c r="X106" s="31"/>
      <c r="Y106" s="36"/>
      <c r="AA106" s="43"/>
      <c r="AB106" s="43"/>
      <c r="AC106" s="31" t="s">
        <v>305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 ht="14.45" hidden="1">
      <c r="A107" s="31" t="s">
        <v>289</v>
      </c>
      <c r="B107" s="31" t="s">
        <v>306</v>
      </c>
      <c r="C107" s="31" t="s">
        <v>207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291</v>
      </c>
      <c r="J107" s="55"/>
      <c r="L107" s="43"/>
      <c r="M107" s="31"/>
      <c r="N107" s="31"/>
      <c r="O107" s="36" t="s">
        <v>292</v>
      </c>
      <c r="P107" s="76"/>
      <c r="R107" s="43"/>
      <c r="S107" s="31"/>
      <c r="T107" s="70" t="s">
        <v>295</v>
      </c>
      <c r="U107" s="47"/>
      <c r="W107" s="43"/>
      <c r="X107" s="31"/>
      <c r="Y107" s="36"/>
      <c r="AA107" s="43"/>
      <c r="AB107" s="43"/>
      <c r="AC107" s="31" t="s">
        <v>307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 ht="14.45" hidden="1">
      <c r="A108" s="31" t="s">
        <v>289</v>
      </c>
      <c r="B108" s="31" t="s">
        <v>308</v>
      </c>
      <c r="C108" s="31" t="s">
        <v>207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291</v>
      </c>
      <c r="J108" s="55"/>
      <c r="L108" s="43"/>
      <c r="M108" s="31"/>
      <c r="N108" s="31"/>
      <c r="O108" s="36" t="s">
        <v>309</v>
      </c>
      <c r="P108" s="76"/>
      <c r="R108" s="43"/>
      <c r="S108" s="31"/>
      <c r="T108" s="70" t="s">
        <v>295</v>
      </c>
      <c r="U108" s="47"/>
      <c r="W108" s="43"/>
      <c r="X108" s="31"/>
      <c r="Y108" s="36"/>
      <c r="AA108" s="43"/>
      <c r="AB108" s="43"/>
      <c r="AC108" s="31" t="s">
        <v>310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 ht="14.45" hidden="1">
      <c r="A109" s="31" t="s">
        <v>299</v>
      </c>
      <c r="B109" s="31" t="s">
        <v>311</v>
      </c>
      <c r="C109" s="31" t="s">
        <v>207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7" t="s">
        <v>291</v>
      </c>
      <c r="J109" s="55"/>
      <c r="L109" s="43"/>
      <c r="M109" s="31"/>
      <c r="N109" s="31"/>
      <c r="O109" s="36" t="s">
        <v>309</v>
      </c>
      <c r="P109" s="76"/>
      <c r="R109" s="43"/>
      <c r="S109" s="31"/>
      <c r="T109" s="70" t="s">
        <v>312</v>
      </c>
      <c r="U109" s="47"/>
      <c r="W109" s="43"/>
      <c r="X109" s="31"/>
      <c r="Y109" s="36"/>
      <c r="AA109" s="43"/>
      <c r="AB109" s="43"/>
      <c r="AC109" s="31" t="s">
        <v>313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 ht="14.45" hidden="1">
      <c r="A110" s="31" t="s">
        <v>289</v>
      </c>
      <c r="B110" s="31" t="s">
        <v>314</v>
      </c>
      <c r="C110" s="31" t="s">
        <v>207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291</v>
      </c>
      <c r="J110" s="55"/>
      <c r="L110" s="43"/>
      <c r="M110" s="31"/>
      <c r="N110" s="31"/>
      <c r="O110" s="36" t="s">
        <v>309</v>
      </c>
      <c r="P110" s="76"/>
      <c r="R110" s="43"/>
      <c r="S110" s="31"/>
      <c r="T110" s="70" t="s">
        <v>312</v>
      </c>
      <c r="U110" s="47"/>
      <c r="W110" s="43"/>
      <c r="X110" s="31"/>
      <c r="Y110" s="36"/>
      <c r="AA110" s="43"/>
      <c r="AB110" s="43"/>
      <c r="AC110" s="31" t="s">
        <v>315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 ht="14.45" hidden="1">
      <c r="A111" s="31" t="s">
        <v>299</v>
      </c>
      <c r="B111" s="31" t="s">
        <v>316</v>
      </c>
      <c r="C111" s="31" t="s">
        <v>207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7" t="s">
        <v>291</v>
      </c>
      <c r="J111" s="55"/>
      <c r="L111" s="43"/>
      <c r="M111" s="31"/>
      <c r="N111" s="31"/>
      <c r="O111" s="36" t="s">
        <v>309</v>
      </c>
      <c r="P111" s="76"/>
      <c r="R111" s="43"/>
      <c r="S111" s="31"/>
      <c r="T111" s="70" t="s">
        <v>312</v>
      </c>
      <c r="U111" s="47"/>
      <c r="W111" s="43"/>
      <c r="X111" s="31"/>
      <c r="Y111" s="36"/>
      <c r="AA111" s="43"/>
      <c r="AB111" s="43"/>
      <c r="AC111" s="31" t="s">
        <v>317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 ht="14.45" hidden="1">
      <c r="A112" s="31" t="s">
        <v>299</v>
      </c>
      <c r="B112" s="31" t="s">
        <v>318</v>
      </c>
      <c r="C112" s="31" t="s">
        <v>207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7" t="s">
        <v>291</v>
      </c>
      <c r="J112" s="55"/>
      <c r="L112" s="43"/>
      <c r="M112" s="31"/>
      <c r="N112" s="31"/>
      <c r="O112" s="36" t="s">
        <v>309</v>
      </c>
      <c r="P112" s="76"/>
      <c r="R112" s="43"/>
      <c r="S112" s="31"/>
      <c r="T112" s="70" t="s">
        <v>312</v>
      </c>
      <c r="U112" s="47"/>
      <c r="W112" s="43"/>
      <c r="X112" s="31"/>
      <c r="Y112" s="36"/>
      <c r="AA112" s="43"/>
      <c r="AB112" s="43"/>
      <c r="AC112" s="31" t="s">
        <v>313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 ht="14.45" hidden="1">
      <c r="A113" s="31" t="s">
        <v>299</v>
      </c>
      <c r="B113" s="31" t="s">
        <v>319</v>
      </c>
      <c r="C113" s="31" t="s">
        <v>207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7" t="s">
        <v>291</v>
      </c>
      <c r="J113" s="55"/>
      <c r="L113" s="43"/>
      <c r="M113" s="31"/>
      <c r="N113" s="31"/>
      <c r="O113" s="36" t="s">
        <v>309</v>
      </c>
      <c r="P113" s="76"/>
      <c r="R113" s="43"/>
      <c r="S113" s="31"/>
      <c r="T113" s="70" t="s">
        <v>312</v>
      </c>
      <c r="U113" s="47"/>
      <c r="W113" s="43"/>
      <c r="X113" s="31"/>
      <c r="Y113" s="36"/>
      <c r="AA113" s="43"/>
      <c r="AB113" s="43"/>
      <c r="AC113" s="31" t="s">
        <v>313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 ht="14.45" hidden="1">
      <c r="A114" s="31" t="s">
        <v>299</v>
      </c>
      <c r="B114" s="31" t="s">
        <v>320</v>
      </c>
      <c r="C114" s="31" t="s">
        <v>207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7" t="s">
        <v>291</v>
      </c>
      <c r="J114" s="55"/>
      <c r="L114" s="43"/>
      <c r="M114" s="31"/>
      <c r="N114" s="31"/>
      <c r="O114" s="36" t="s">
        <v>321</v>
      </c>
      <c r="P114" s="76"/>
      <c r="R114" s="43"/>
      <c r="S114" s="31"/>
      <c r="T114" s="70" t="s">
        <v>312</v>
      </c>
      <c r="U114" s="47"/>
      <c r="W114" s="43"/>
      <c r="X114" s="31"/>
      <c r="Y114" s="36"/>
      <c r="AA114" s="43"/>
      <c r="AB114" s="43"/>
      <c r="AC114" s="31" t="s">
        <v>317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 ht="14.45" hidden="1">
      <c r="A115" s="31" t="s">
        <v>299</v>
      </c>
      <c r="B115" s="31" t="s">
        <v>322</v>
      </c>
      <c r="C115" s="31" t="s">
        <v>207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7" t="s">
        <v>291</v>
      </c>
      <c r="J115" s="55"/>
      <c r="L115" s="43"/>
      <c r="M115" s="31"/>
      <c r="N115" s="31"/>
      <c r="O115" s="36" t="s">
        <v>321</v>
      </c>
      <c r="P115" s="76"/>
      <c r="R115" s="43"/>
      <c r="S115" s="31"/>
      <c r="T115" s="70" t="s">
        <v>312</v>
      </c>
      <c r="U115" s="47"/>
      <c r="W115" s="43"/>
      <c r="X115" s="31"/>
      <c r="Y115" s="36"/>
      <c r="AA115" s="43"/>
      <c r="AB115" s="43"/>
      <c r="AC115" s="31" t="s">
        <v>263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A101:AD526 T96:T101 A2:F115 A74:AG100 G2:V40 N3:N44 L41:V42 G41:J42 W2:AK2 W3:Y3 AA3:AK3 W4:AK41 W42:AJ42 W43:AK44 W45:AJ47 W48:AK72 W73:AG73 G43:V73">
    <cfRule type="expression" dxfId="107" priority="37">
      <formula>AND($B2&lt;&gt;"",MOD(ROW(),2)=0)</formula>
    </cfRule>
  </conditionalFormatting>
  <conditionalFormatting sqref="D2:D526">
    <cfRule type="expression" dxfId="106" priority="21">
      <formula>ISNUMBER(SEARCH("Blocked",$D2))</formula>
    </cfRule>
    <cfRule type="expression" dxfId="105" priority="22">
      <formula>ISNUMBER(SEARCH("overdue",$D2))</formula>
    </cfRule>
    <cfRule type="expression" dxfId="104" priority="23">
      <formula>ISNUMBER(SEARCH("no target",$D2))</formula>
    </cfRule>
    <cfRule type="expression" dxfId="103" priority="24">
      <formula>ISNUMBER(SEARCH("Review",$D2))</formula>
    </cfRule>
    <cfRule type="expression" dxfId="102" priority="25">
      <formula>OR($D2="On track",$D2="Delivered")</formula>
    </cfRule>
  </conditionalFormatting>
  <conditionalFormatting sqref="J2:O191">
    <cfRule type="expression" dxfId="101" priority="4">
      <formula>$AI2="Yes – needs DB Dev to fix"</formula>
    </cfRule>
  </conditionalFormatting>
  <conditionalFormatting sqref="K41">
    <cfRule type="expression" dxfId="100" priority="287">
      <formula>AND($B41&lt;&gt;"",MOD(ROW(),2)=0)</formula>
    </cfRule>
    <cfRule type="expression" dxfId="99" priority="288">
      <formula>$AI41="Yes – needs DB Dev to fix"</formula>
    </cfRule>
  </conditionalFormatting>
  <conditionalFormatting sqref="K42">
    <cfRule type="expression" dxfId="98" priority="289">
      <formula>AND($B41&lt;&gt;"",MOD(ROW(),2)=0)</formula>
    </cfRule>
    <cfRule type="expression" dxfId="97" priority="290">
      <formula>$AI41="Yes – needs DB Dev to fix"</formula>
    </cfRule>
  </conditionalFormatting>
  <conditionalFormatting sqref="K73:L100">
    <cfRule type="expression" dxfId="96" priority="96">
      <formula>$AE73="Yes – needs DB Dev to fix"</formula>
    </cfRule>
  </conditionalFormatting>
  <conditionalFormatting sqref="K101:L526">
    <cfRule type="expression" dxfId="95" priority="30">
      <formula>$Z101="Yes – needs DB Dev to fix"</formula>
    </cfRule>
  </conditionalFormatting>
  <conditionalFormatting sqref="M73">
    <cfRule type="expression" dxfId="94" priority="3">
      <formula>$AE73="Yes – needs DB Dev to fix"</formula>
    </cfRule>
  </conditionalFormatting>
  <conditionalFormatting sqref="M73:P100">
    <cfRule type="expression" dxfId="93" priority="281">
      <formula>$AC73="Yes – needs PBI Dev to fix"</formula>
    </cfRule>
  </conditionalFormatting>
  <conditionalFormatting sqref="M101:P526">
    <cfRule type="expression" dxfId="92" priority="283">
      <formula>$Z101="Yes – needs PBI Dev to fix"</formula>
    </cfRule>
  </conditionalFormatting>
  <conditionalFormatting sqref="O101:O113">
    <cfRule type="expression" dxfId="91" priority="2">
      <formula>$AC101="Yes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J29 M29:P29 J32:J33 M32:P33 K40:K41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ISNUMBER(SEARCH("Open rework",$AA101))</formula>
    </cfRule>
    <cfRule type="expression" dxfId="75" priority="34">
      <formula>ISNUMBER(SEARCH("Move old",$AA101))</formula>
    </cfRule>
    <cfRule type="expression" dxfId="74" priority="34">
      <formula>ISNUMBER(SEARCH("log it",$AA101))</formula>
    </cfRule>
    <cfRule type="expression" dxfId="73" priority="36">
      <formula>$AA101&lt;&gt;""</formula>
    </cfRule>
    <cfRule type="expression" dxfId="72" priority="35">
      <formula>ISNUMBER(SEARCH("Duplicate",$AA101))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6">
      <formula>ISNUMBER(SEARCH("log it",$AF73))</formula>
    </cfRule>
    <cfRule type="expression" dxfId="67" priority="117">
      <formula>ISNUMBER(SEARCH("Duplicate",$AF73))</formula>
    </cfRule>
    <cfRule type="expression" dxfId="66" priority="118">
      <formula>$AF73&lt;&gt;""</formula>
    </cfRule>
    <cfRule type="expression" dxfId="65" priority="115">
      <formula>ISNUMBER(SEARCH("Move old",$AF73))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62">
      <formula>$AJ2&lt;&gt;""</formula>
    </cfRule>
    <cfRule type="expression" dxfId="62" priority="58">
      <formula>ISNUMBER(SEARCH("log it",$AJ2))</formula>
    </cfRule>
    <cfRule type="expression" dxfId="61" priority="59">
      <formula>ISNUMBER(SEARCH("Open rework",$AJ2))</formula>
    </cfRule>
    <cfRule type="expression" dxfId="60" priority="60">
      <formula>ISNUMBER(SEARCH("Move old",$AJ2))</formula>
    </cfRule>
    <cfRule type="expression" dxfId="59" priority="61">
      <formula>ISNUMBER(SEARCH("Duplicate",$AJ2))</formula>
    </cfRule>
  </conditionalFormatting>
  <conditionalFormatting sqref="AK45:AK46">
    <cfRule type="expression" dxfId="58" priority="1">
      <formula>AND($B49&lt;&gt;"",MOD(ROW(),2)=0)</formula>
    </cfRule>
  </conditionalFormatting>
  <conditionalFormatting sqref="AK47">
    <cfRule type="expression" dxfId="57" priority="294">
      <formula>AND($B51&lt;&gt;"",MOD(ROW(),2)=0)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K2:M526 H2:H526 AB5:AB72 S2:S28 S30:S73 Z2:Z100 W2:X72 U2:V100 Q74:S526 AA2:AA72 AB2:AB3 Q2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323</v>
      </c>
    </row>
    <row r="2" spans="1:5">
      <c r="A2" s="6" t="s">
        <v>324</v>
      </c>
    </row>
    <row r="4" spans="1:5" ht="21.95" customHeight="1">
      <c r="A4" s="5" t="s">
        <v>325</v>
      </c>
      <c r="B4" s="103"/>
      <c r="C4" s="104"/>
      <c r="D4" s="104"/>
      <c r="E4" s="104"/>
    </row>
    <row r="6" spans="1:5">
      <c r="A6" s="42" t="s">
        <v>0</v>
      </c>
      <c r="B6" s="101" t="str">
        <f>IF($B$4="","",IFERROR(INDEX('Combined Delivery Data'!$A:$A,MATCH($B$4,'Combined Delivery Data'!$B:$B,0)),""))</f>
        <v/>
      </c>
      <c r="C6" s="105"/>
      <c r="D6" s="105"/>
      <c r="E6" s="106"/>
    </row>
    <row r="7" spans="1:5">
      <c r="A7" s="42" t="s">
        <v>326</v>
      </c>
      <c r="B7" s="101" t="str">
        <f>IF($B$4="","",IFERROR(INDEX('Combined Delivery Data'!$C:$C,MATCH($B$4,'Combined Delivery Data'!$B:$B,0)),""))</f>
        <v/>
      </c>
      <c r="C7" s="105"/>
      <c r="D7" s="105"/>
      <c r="E7" s="106"/>
    </row>
    <row r="8" spans="1:5">
      <c r="A8" s="42" t="s">
        <v>3</v>
      </c>
      <c r="B8" s="101" t="str">
        <f>IF($B$4="","",IFERROR(INDEX('Combined Delivery Data'!$D:$D,MATCH($B$4,'Combined Delivery Data'!$B:$B,0)),""))</f>
        <v/>
      </c>
      <c r="C8" s="105"/>
      <c r="D8" s="105"/>
      <c r="E8" s="106"/>
    </row>
    <row r="9" spans="1:5">
      <c r="A9" s="42" t="s">
        <v>4</v>
      </c>
      <c r="B9" s="101" t="str">
        <f>IF($B$4="","",IFERROR(INDEX('Combined Delivery Data'!$E:$E,MATCH($B$4,'Combined Delivery Data'!$B:$B,0)),""))</f>
        <v/>
      </c>
      <c r="C9" s="105"/>
      <c r="D9" s="105"/>
      <c r="E9" s="106"/>
    </row>
    <row r="10" spans="1:5">
      <c r="A10" s="42" t="s">
        <v>5</v>
      </c>
      <c r="B10" s="101" t="str">
        <f>IF($B$4="","",IFERROR(INDEX('Combined Delivery Data'!$F:$F,MATCH($B$4,'Combined Delivery Data'!$B:$B,0)),""))</f>
        <v/>
      </c>
      <c r="C10" s="105"/>
      <c r="D10" s="105"/>
      <c r="E10" s="106"/>
    </row>
    <row r="11" spans="1:5">
      <c r="A11" s="42" t="s">
        <v>9</v>
      </c>
      <c r="B11" s="101" t="str">
        <f>IF($B$4="","",IFERROR(INDEX('Combined Delivery Data'!$J:$J,MATCH($B$4,'Combined Delivery Data'!$B:$B,0)),""))</f>
        <v/>
      </c>
      <c r="C11" s="105"/>
      <c r="D11" s="105"/>
      <c r="E11" s="106"/>
    </row>
    <row r="12" spans="1:5">
      <c r="A12" s="42" t="s">
        <v>15</v>
      </c>
      <c r="B12" s="101" t="str">
        <f>IF($B$4="","",IFERROR(INDEX('Combined Delivery Data'!$P:$P,MATCH($B$4,'Combined Delivery Data'!$B:$B,0)),""))</f>
        <v/>
      </c>
      <c r="C12" s="105"/>
      <c r="D12" s="105"/>
      <c r="E12" s="106"/>
    </row>
    <row r="13" spans="1:5">
      <c r="A13" s="42" t="s">
        <v>20</v>
      </c>
      <c r="B13" s="101" t="str">
        <f>IF($B$4="","",IFERROR(INDEX('Combined Delivery Data'!$U:$U,MATCH($B$4,'Combined Delivery Data'!$B:$B,0)),""))</f>
        <v/>
      </c>
      <c r="C13" s="105"/>
      <c r="D13" s="105"/>
      <c r="E13" s="106"/>
    </row>
    <row r="14" spans="1:5">
      <c r="A14" s="42" t="s">
        <v>327</v>
      </c>
      <c r="B14" s="100" t="str">
        <f>IF($B$4="","",IFERROR(INDEX('Combined Delivery Data'!$K:$K,MATCH($B$4,'Combined Delivery Data'!$B:$B,0)),""))</f>
        <v/>
      </c>
      <c r="C14" s="105"/>
      <c r="D14" s="105"/>
      <c r="E14" s="106"/>
    </row>
    <row r="15" spans="1:5">
      <c r="A15" s="42" t="s">
        <v>328</v>
      </c>
      <c r="B15" s="100" t="str">
        <f>IF($B$4="","",IFERROR(INDEX('Combined Delivery Data'!$L:$L,MATCH($B$4,'Combined Delivery Data'!$B:$B,0)),""))</f>
        <v/>
      </c>
      <c r="C15" s="105"/>
      <c r="D15" s="105"/>
      <c r="E15" s="106"/>
    </row>
    <row r="16" spans="1:5">
      <c r="A16" s="42" t="s">
        <v>329</v>
      </c>
      <c r="B16" s="100" t="str">
        <f>IF($B$4="","",IFERROR(INDEX('Combined Delivery Data'!$M:$M,MATCH($B$4,'Combined Delivery Data'!$B:$B,0)),""))</f>
        <v/>
      </c>
      <c r="C16" s="105"/>
      <c r="D16" s="105"/>
      <c r="E16" s="106"/>
    </row>
    <row r="17" spans="1:5">
      <c r="A17" s="42" t="s">
        <v>330</v>
      </c>
      <c r="B17" s="100" t="str">
        <f>IF($B$4="","",IFERROR(INDEX('Combined Delivery Data'!$O:$O,MATCH($B$4,'Combined Delivery Data'!$B:$B,0)),""))</f>
        <v/>
      </c>
      <c r="C17" s="105"/>
      <c r="D17" s="105"/>
      <c r="E17" s="106"/>
    </row>
    <row r="18" spans="1:5">
      <c r="A18" s="42" t="s">
        <v>331</v>
      </c>
      <c r="B18" s="100" t="str">
        <f>IF($B$4="","",IFERROR(INDEX('Combined Delivery Data'!$Q:$Q,MATCH($B$4,'Combined Delivery Data'!$B:$B,0)),""))</f>
        <v/>
      </c>
      <c r="C18" s="105"/>
      <c r="D18" s="105"/>
      <c r="E18" s="106"/>
    </row>
    <row r="19" spans="1:5">
      <c r="A19" s="42" t="s">
        <v>332</v>
      </c>
      <c r="B19" s="100" t="str">
        <f>IF($B$4="","",IFERROR(INDEX('Combined Delivery Data'!$R:$R,MATCH($B$4,'Combined Delivery Data'!$B:$B,0)),""))</f>
        <v/>
      </c>
      <c r="C19" s="105"/>
      <c r="D19" s="105"/>
      <c r="E19" s="106"/>
    </row>
    <row r="20" spans="1:5">
      <c r="A20" s="42" t="s">
        <v>333</v>
      </c>
      <c r="B20" s="100" t="str">
        <f>IF($B$4="","",IFERROR(INDEX('Combined Delivery Data'!$S:$S,MATCH($B$4,'Combined Delivery Data'!$B:$B,0)),""))</f>
        <v/>
      </c>
      <c r="C20" s="105"/>
      <c r="D20" s="105"/>
      <c r="E20" s="106"/>
    </row>
    <row r="21" spans="1:5">
      <c r="A21" s="42" t="s">
        <v>28</v>
      </c>
      <c r="B21" s="101" t="str">
        <f>IF($B$4="","",IFERROR(INDEX('Combined Delivery Data'!$T:$T,MATCH($B$4,'Combined Delivery Data'!$B:$B,0)),""))</f>
        <v/>
      </c>
      <c r="C21" s="105"/>
      <c r="D21" s="105"/>
      <c r="E21" s="106"/>
    </row>
    <row r="22" spans="1:5">
      <c r="A22" s="42" t="s">
        <v>30</v>
      </c>
      <c r="B22" s="101" t="str">
        <f>IF($B$4="","",IFERROR(INDEX('Combined Delivery Data'!$V:$V,MATCH($B$4,'Combined Delivery Data'!$B:$B,0)),""))</f>
        <v/>
      </c>
      <c r="C22" s="105"/>
      <c r="D22" s="105"/>
      <c r="E22" s="106"/>
    </row>
    <row r="23" spans="1:5">
      <c r="A23" s="42" t="s">
        <v>31</v>
      </c>
      <c r="B23" s="100" t="str">
        <f>IF($B$4="","",IFERROR(INDEX('Combined Delivery Data'!$W:$W,MATCH($B$4,'Combined Delivery Data'!$B:$B,0)),""))</f>
        <v/>
      </c>
      <c r="C23" s="105"/>
      <c r="D23" s="105"/>
      <c r="E23" s="106"/>
    </row>
    <row r="24" spans="1:5">
      <c r="A24" s="42" t="s">
        <v>34</v>
      </c>
      <c r="B24" s="101" t="str">
        <f>IF($B$4="","",IFERROR(INDEX('Combined Delivery Data'!$Z:$Z,MATCH($B$4,'Combined Delivery Data'!$B:$B,0)),""))</f>
        <v/>
      </c>
      <c r="C24" s="105"/>
      <c r="D24" s="105"/>
      <c r="E24" s="106"/>
    </row>
    <row r="25" spans="1:5">
      <c r="A25" s="42" t="s">
        <v>35</v>
      </c>
      <c r="B25" s="101" t="str">
        <f>IF($B$4="","",IFERROR(INDEX('Combined Delivery Data'!$AA:$AA,MATCH($B$4,'Combined Delivery Data'!$B:$B,0)),""))</f>
        <v/>
      </c>
      <c r="C25" s="105"/>
      <c r="D25" s="105"/>
      <c r="E25" s="106"/>
    </row>
    <row r="26" spans="1:5">
      <c r="A26" s="42" t="s">
        <v>334</v>
      </c>
      <c r="B26" s="101" t="str">
        <f>IF($B$4="","",IFERROR(INDEX('Rework Log'!$Q:$Q,MATCH($B$4,'Rework Log'!$P:$P,0)),""))</f>
        <v/>
      </c>
      <c r="C26" s="105"/>
      <c r="D26" s="105"/>
      <c r="E26" s="106"/>
    </row>
    <row r="27" spans="1:5">
      <c r="A27" s="42" t="s">
        <v>335</v>
      </c>
      <c r="B27" s="101" t="str">
        <f>IF($B$4="","",IFERROR(INDEX('Rework Log'!$R:$R,MATCH($B$4,'Rework Log'!$P:$P,0)),""))</f>
        <v/>
      </c>
      <c r="C27" s="105"/>
      <c r="D27" s="105"/>
      <c r="E27" s="106"/>
    </row>
    <row r="28" spans="1:5">
      <c r="A28" s="42" t="s">
        <v>336</v>
      </c>
      <c r="B28" s="101" t="str">
        <f>IF($B$4="","",IFERROR(INDEX('Rework Log'!$S:$S,MATCH($B$4,'Rework Log'!$P:$P,0)),""))</f>
        <v/>
      </c>
      <c r="C28" s="105"/>
      <c r="D28" s="105"/>
      <c r="E28" s="106"/>
    </row>
    <row r="29" spans="1:5">
      <c r="A29" s="42" t="s">
        <v>337</v>
      </c>
      <c r="B29" s="101" t="str">
        <f>IF($B$4="","",IFERROR(INDEX('Rework Log'!$T:$T,MATCH($B$4,'Rework Log'!$P:$P,0)),""))</f>
        <v/>
      </c>
      <c r="C29" s="105"/>
      <c r="D29" s="105"/>
      <c r="E29" s="106"/>
    </row>
    <row r="30" spans="1:5" ht="15.6" customHeight="1">
      <c r="A30" s="42"/>
      <c r="B30" s="101"/>
      <c r="C30" s="105"/>
      <c r="D30" s="105"/>
      <c r="E30" s="106"/>
    </row>
    <row r="31" spans="1:5" ht="15.6" customHeight="1">
      <c r="A31" s="5" t="s">
        <v>36</v>
      </c>
      <c r="B31" s="107" t="str">
        <f>IF($B$4="","",IFERROR(INDEX('Combined Delivery Data'!$AC:$AC,MATCH($B$4,'Combined Delivery Data'!$B:$B,0)),""))</f>
        <v/>
      </c>
      <c r="C31" s="104"/>
      <c r="D31" s="104"/>
      <c r="E31" s="10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13" activePane="bottomLeft" state="frozen"/>
      <selection pane="bottomLeft" activeCell="A20" sqref="A20:XFD20"/>
    </sheetView>
  </sheetViews>
  <sheetFormatPr defaultRowHeight="1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2" t="s">
        <v>338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P1" s="108" t="s">
        <v>339</v>
      </c>
      <c r="Q1" s="108"/>
      <c r="R1" s="108"/>
      <c r="S1" s="108"/>
      <c r="T1" s="108"/>
    </row>
    <row r="2" spans="1:20" ht="30" customHeight="1">
      <c r="A2" s="17" t="s">
        <v>1</v>
      </c>
      <c r="B2" s="17" t="s">
        <v>340</v>
      </c>
      <c r="C2" s="17" t="s">
        <v>341</v>
      </c>
      <c r="D2" s="17" t="s">
        <v>342</v>
      </c>
      <c r="E2" s="17" t="s">
        <v>343</v>
      </c>
      <c r="F2" s="17" t="s">
        <v>344</v>
      </c>
      <c r="G2" s="17" t="s">
        <v>345</v>
      </c>
      <c r="H2" s="30" t="s">
        <v>346</v>
      </c>
      <c r="I2" s="30" t="s">
        <v>347</v>
      </c>
      <c r="J2" s="30" t="s">
        <v>348</v>
      </c>
      <c r="K2" s="30" t="s">
        <v>349</v>
      </c>
      <c r="L2" s="30" t="s">
        <v>350</v>
      </c>
      <c r="M2" s="21" t="s">
        <v>351</v>
      </c>
      <c r="N2" s="21" t="s">
        <v>352</v>
      </c>
      <c r="P2" s="13" t="s">
        <v>1</v>
      </c>
      <c r="Q2" s="13" t="s">
        <v>334</v>
      </c>
      <c r="R2" s="13" t="s">
        <v>335</v>
      </c>
      <c r="S2" s="13" t="s">
        <v>336</v>
      </c>
      <c r="T2" s="13" t="s">
        <v>337</v>
      </c>
    </row>
    <row r="3" spans="1:20" hidden="1">
      <c r="A3" s="33" t="s">
        <v>146</v>
      </c>
      <c r="B3" s="36">
        <v>46230</v>
      </c>
      <c r="C3" s="33" t="s">
        <v>170</v>
      </c>
      <c r="D3" s="33" t="s">
        <v>140</v>
      </c>
      <c r="E3" s="33" t="s">
        <v>147</v>
      </c>
      <c r="F3" s="33" t="s">
        <v>353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36 d</v>
      </c>
      <c r="N3" t="s">
        <v>49</v>
      </c>
      <c r="P3" t="str">
        <f>'Combined Delivery Data'!B2</f>
        <v>RPT_04_Active Leaks</v>
      </c>
      <c r="Q3">
        <f t="shared" ref="Q3:Q16" si="0">IF($P3="","",COUNTIF($A$3:$A$500,$P3))</f>
        <v>0</v>
      </c>
      <c r="R3">
        <f t="shared" ref="R3:R16" si="1">IF($P3="","",SUMPRODUCT(($A$3:$A$500=$P3)*($G$3:$G$500&lt;&gt;"Yes")*($G$3:$G$500&lt;&gt;"Did not pass re-test")))</f>
        <v>0</v>
      </c>
      <c r="S3" s="28" t="str">
        <f t="shared" ref="S3:S16" si="2">IF($P3="","",IF(SUMPRODUCT(MAX(($A$3:$A$500=$P3)*ROW($A$3:$A$500)))=0,"",INDEX($B:$B,SUMPRODUCT(MAX(($A$3:$A$500=$P3)*ROW($A$3:$A$500))))))</f>
        <v/>
      </c>
      <c r="T3" t="str">
        <f t="shared" ref="T3:T1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idden="1">
      <c r="A4" s="31" t="s">
        <v>158</v>
      </c>
      <c r="B4" s="32">
        <v>46237</v>
      </c>
      <c r="C4" s="31" t="s">
        <v>170</v>
      </c>
      <c r="D4" s="31" t="s">
        <v>140</v>
      </c>
      <c r="E4" s="31" t="s">
        <v>147</v>
      </c>
      <c r="F4" s="31" t="s">
        <v>354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355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 hidden="1">
      <c r="A5" s="55" t="s">
        <v>127</v>
      </c>
      <c r="B5" s="32">
        <v>46238</v>
      </c>
      <c r="C5" s="31" t="s">
        <v>170</v>
      </c>
      <c r="D5" s="31" t="s">
        <v>140</v>
      </c>
      <c r="E5" s="31" t="s">
        <v>129</v>
      </c>
      <c r="F5" s="31" t="s">
        <v>356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4"/>
        <v>Fixed</v>
      </c>
      <c r="N5" t="s">
        <v>49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 hidden="1">
      <c r="A6" s="55" t="s">
        <v>144</v>
      </c>
      <c r="B6" s="32">
        <v>46234</v>
      </c>
      <c r="C6" s="31" t="s">
        <v>170</v>
      </c>
      <c r="D6" s="31" t="s">
        <v>140</v>
      </c>
      <c r="E6" s="31" t="s">
        <v>129</v>
      </c>
      <c r="F6" s="31" t="s">
        <v>357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4"/>
        <v>Fixed</v>
      </c>
      <c r="N6" t="s">
        <v>49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 hidden="1">
      <c r="A7" s="55" t="s">
        <v>134</v>
      </c>
      <c r="B7" s="32">
        <v>46239</v>
      </c>
      <c r="C7" s="31" t="s">
        <v>170</v>
      </c>
      <c r="D7" s="31" t="s">
        <v>140</v>
      </c>
      <c r="E7" s="31" t="s">
        <v>129</v>
      </c>
      <c r="F7" s="31" t="s">
        <v>358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4"/>
        <v>Fixed</v>
      </c>
      <c r="N7" t="s">
        <v>49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 hidden="1">
      <c r="A8" s="55" t="s">
        <v>134</v>
      </c>
      <c r="B8" s="32">
        <v>46246</v>
      </c>
      <c r="C8" s="31" t="s">
        <v>170</v>
      </c>
      <c r="D8" s="31" t="s">
        <v>140</v>
      </c>
      <c r="E8" s="31" t="s">
        <v>129</v>
      </c>
      <c r="F8" s="31" t="s">
        <v>359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4"/>
        <v>Fixed</v>
      </c>
      <c r="N8" t="s">
        <v>360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idden="1">
      <c r="A9" s="31" t="s">
        <v>158</v>
      </c>
      <c r="B9" s="32">
        <v>46251</v>
      </c>
      <c r="C9" s="31" t="s">
        <v>170</v>
      </c>
      <c r="D9" s="31" t="s">
        <v>140</v>
      </c>
      <c r="E9" s="31" t="s">
        <v>147</v>
      </c>
      <c r="F9" s="31" t="s">
        <v>361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4"/>
        <v>Fixed</v>
      </c>
      <c r="N9" t="s">
        <v>360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 hidden="1">
      <c r="A10" s="31" t="s">
        <v>146</v>
      </c>
      <c r="B10" s="32">
        <v>46237</v>
      </c>
      <c r="C10" s="31" t="s">
        <v>170</v>
      </c>
      <c r="D10" s="31" t="s">
        <v>140</v>
      </c>
      <c r="E10" s="31" t="s">
        <v>147</v>
      </c>
      <c r="F10" s="31" t="s">
        <v>354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4"/>
        <v>Fixed</v>
      </c>
      <c r="N10" t="s">
        <v>360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idden="1">
      <c r="A11" s="55" t="s">
        <v>134</v>
      </c>
      <c r="B11" s="32">
        <v>46254</v>
      </c>
      <c r="C11" s="31" t="s">
        <v>170</v>
      </c>
      <c r="D11" s="31" t="s">
        <v>140</v>
      </c>
      <c r="E11" s="31" t="s">
        <v>129</v>
      </c>
      <c r="F11" s="31" t="s">
        <v>356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idden="1">
      <c r="A12" s="55" t="s">
        <v>155</v>
      </c>
      <c r="B12" s="32">
        <v>46254</v>
      </c>
      <c r="C12" s="31" t="s">
        <v>170</v>
      </c>
      <c r="D12" s="31" t="s">
        <v>140</v>
      </c>
      <c r="E12" s="31" t="s">
        <v>147</v>
      </c>
      <c r="F12" s="31" t="s">
        <v>362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363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55" t="s">
        <v>139</v>
      </c>
      <c r="B13" s="32">
        <v>46258</v>
      </c>
      <c r="C13" s="31" t="s">
        <v>170</v>
      </c>
      <c r="D13" s="31" t="s">
        <v>140</v>
      </c>
      <c r="E13" s="31" t="s">
        <v>129</v>
      </c>
      <c r="F13" s="31" t="s">
        <v>364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149</v>
      </c>
      <c r="B14" s="32">
        <v>46258</v>
      </c>
      <c r="C14" s="31" t="s">
        <v>170</v>
      </c>
      <c r="D14" s="31" t="s">
        <v>150</v>
      </c>
      <c r="E14" s="31" t="s">
        <v>147</v>
      </c>
      <c r="F14" s="31" t="s">
        <v>365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4"/>
        <v>Fixed</v>
      </c>
      <c r="N14" t="s">
        <v>49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 hidden="1">
      <c r="A15" s="31" t="s">
        <v>161</v>
      </c>
      <c r="B15" s="32">
        <v>46258</v>
      </c>
      <c r="C15" s="31" t="s">
        <v>170</v>
      </c>
      <c r="D15" s="31" t="s">
        <v>150</v>
      </c>
      <c r="E15" s="31" t="s">
        <v>147</v>
      </c>
      <c r="F15" s="31" t="s">
        <v>366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4"/>
        <v>Fixed</v>
      </c>
      <c r="N15" t="s">
        <v>363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154</v>
      </c>
      <c r="B16" s="32">
        <v>46258</v>
      </c>
      <c r="C16" s="31" t="s">
        <v>170</v>
      </c>
      <c r="D16" s="31" t="s">
        <v>140</v>
      </c>
      <c r="E16" s="31" t="s">
        <v>147</v>
      </c>
      <c r="F16" s="31" t="s">
        <v>367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4"/>
        <v>Fixed</v>
      </c>
      <c r="N16" t="s">
        <v>363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 hidden="1">
      <c r="A17" s="31" t="s">
        <v>149</v>
      </c>
      <c r="B17" s="32">
        <v>46260</v>
      </c>
      <c r="C17" s="31" t="s">
        <v>170</v>
      </c>
      <c r="D17" s="31" t="s">
        <v>150</v>
      </c>
      <c r="E17" s="31" t="s">
        <v>147</v>
      </c>
      <c r="F17" s="31" t="s">
        <v>368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170</v>
      </c>
      <c r="D18" s="31" t="s">
        <v>140</v>
      </c>
      <c r="E18" s="31" t="s">
        <v>129</v>
      </c>
      <c r="F18" s="31" t="s">
        <v>369</v>
      </c>
      <c r="G18" s="31" t="s">
        <v>52</v>
      </c>
      <c r="H18" s="32"/>
      <c r="I18" s="32"/>
      <c r="J18" s="32"/>
      <c r="K18" s="31"/>
      <c r="L18" s="31"/>
      <c r="M18" s="3" t="str">
        <f t="shared" ca="1" si="4"/>
        <v>UNCLAIMED 5 d</v>
      </c>
      <c r="N18" t="s">
        <v>49</v>
      </c>
      <c r="P18" t="str">
        <f>'Combined Delivery Data'!B12</f>
        <v>RPT_04_CMS Leak Productivity</v>
      </c>
      <c r="Q18">
        <f t="shared" ref="Q18:Q81" si="5">IF($P18="","",COUNTIF($A$3:$A$500,$P18))</f>
        <v>0</v>
      </c>
      <c r="R18">
        <f t="shared" ref="R18:R81" si="6">IF($P18="","",SUMPRODUCT(($A$3:$A$500=$P18)*($G$3:$G$500&lt;&gt;"Yes")*($G$3:$G$500&lt;&gt;"Did not pass re-test")))</f>
        <v>0</v>
      </c>
      <c r="S18" s="28" t="str">
        <f t="shared" ref="S18:S81" si="7">IF($P18="","",IF(SUMPRODUCT(MAX(($A$3:$A$500=$P18)*ROW($A$3:$A$500)))=0,"",INDEX($B:$B,SUMPRODUCT(MAX(($A$3:$A$500=$P18)*ROW($A$3:$A$500))))))</f>
        <v/>
      </c>
      <c r="T18" t="str">
        <f t="shared" ref="T18:T81" si="8"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 t="s">
        <v>149</v>
      </c>
      <c r="B19" s="32">
        <v>46262</v>
      </c>
      <c r="C19" s="31" t="s">
        <v>170</v>
      </c>
      <c r="D19" s="31" t="s">
        <v>150</v>
      </c>
      <c r="E19" s="31" t="s">
        <v>147</v>
      </c>
      <c r="F19" s="31" t="s">
        <v>370</v>
      </c>
      <c r="G19" s="31" t="s">
        <v>52</v>
      </c>
      <c r="H19" s="32"/>
      <c r="I19" s="32"/>
      <c r="J19" s="32"/>
      <c r="K19" s="31"/>
      <c r="L19" s="31"/>
      <c r="M19" s="3" t="str">
        <f t="shared" ca="1" si="4"/>
        <v>UNCLAIMED 4 d</v>
      </c>
      <c r="N19" t="s">
        <v>360</v>
      </c>
      <c r="P19" t="str">
        <f>'Combined Delivery Data'!B13</f>
        <v>RPT_04_Main Break Corrosion and Leak Cluster</v>
      </c>
      <c r="Q19">
        <f t="shared" si="5"/>
        <v>0</v>
      </c>
      <c r="R19">
        <f t="shared" si="6"/>
        <v>0</v>
      </c>
      <c r="S19" s="28" t="str">
        <f t="shared" si="7"/>
        <v/>
      </c>
      <c r="T19" t="str">
        <f t="shared" si="8"/>
        <v/>
      </c>
    </row>
    <row r="20" spans="1:20">
      <c r="A20" s="31" t="s">
        <v>371</v>
      </c>
      <c r="B20" s="32">
        <v>46265</v>
      </c>
      <c r="C20" s="31" t="s">
        <v>170</v>
      </c>
      <c r="D20" s="31" t="s">
        <v>150</v>
      </c>
      <c r="E20" s="31" t="s">
        <v>46</v>
      </c>
      <c r="F20" s="31" t="s">
        <v>372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373</v>
      </c>
      <c r="M20" s="3" t="str">
        <f t="shared" ca="1" si="4"/>
        <v>Fixed</v>
      </c>
      <c r="N20" t="s">
        <v>363</v>
      </c>
      <c r="P20" t="str">
        <f>'Combined Delivery Data'!B14</f>
        <v>RPT_04_Leak Summary Status</v>
      </c>
      <c r="Q20">
        <f t="shared" si="5"/>
        <v>0</v>
      </c>
      <c r="R20">
        <f t="shared" si="6"/>
        <v>0</v>
      </c>
      <c r="S20" s="28" t="str">
        <f t="shared" si="7"/>
        <v/>
      </c>
      <c r="T20" t="str">
        <f t="shared" si="8"/>
        <v/>
      </c>
    </row>
    <row r="21" spans="1:20">
      <c r="A21" s="31" t="s">
        <v>181</v>
      </c>
      <c r="B21" s="32">
        <v>46265</v>
      </c>
      <c r="C21" s="31" t="s">
        <v>170</v>
      </c>
      <c r="D21" s="31" t="s">
        <v>140</v>
      </c>
      <c r="E21" s="31" t="s">
        <v>46</v>
      </c>
      <c r="F21" s="31" t="s">
        <v>374</v>
      </c>
      <c r="G21" s="31" t="s">
        <v>49</v>
      </c>
      <c r="H21" s="32"/>
      <c r="I21" s="32"/>
      <c r="J21" s="32"/>
      <c r="K21" s="31"/>
      <c r="L21" s="31"/>
      <c r="M21" s="3" t="str">
        <f t="shared" ca="1" si="4"/>
        <v>UNCLAIMED 1 d</v>
      </c>
      <c r="N21" t="s">
        <v>49</v>
      </c>
      <c r="P21" t="str">
        <f>'Combined Delivery Data'!B15</f>
        <v>RPT_04_PSC Leak Printout</v>
      </c>
      <c r="Q21">
        <f t="shared" si="5"/>
        <v>0</v>
      </c>
      <c r="R21">
        <f t="shared" si="6"/>
        <v>0</v>
      </c>
      <c r="S21" s="28" t="str">
        <f t="shared" si="7"/>
        <v/>
      </c>
      <c r="T21" t="str">
        <f t="shared" si="8"/>
        <v/>
      </c>
    </row>
    <row r="22" spans="1:20">
      <c r="A22" s="55" t="s">
        <v>187</v>
      </c>
      <c r="B22" s="32">
        <v>46265</v>
      </c>
      <c r="C22" s="31" t="s">
        <v>170</v>
      </c>
      <c r="D22" s="31" t="s">
        <v>150</v>
      </c>
      <c r="E22" s="31" t="s">
        <v>129</v>
      </c>
      <c r="F22" s="31" t="s">
        <v>375</v>
      </c>
      <c r="G22" s="31" t="s">
        <v>52</v>
      </c>
      <c r="H22" s="32"/>
      <c r="I22" s="32"/>
      <c r="J22" s="32"/>
      <c r="K22" s="31"/>
      <c r="L22" s="31"/>
      <c r="M22" s="3" t="str">
        <f t="shared" ca="1" si="4"/>
        <v>UNCLAIMED 1 d</v>
      </c>
      <c r="P22" t="str">
        <f>'Combined Delivery Data'!B20</f>
        <v>RPT_04_Leak Control Report</v>
      </c>
      <c r="Q22">
        <f t="shared" si="5"/>
        <v>0</v>
      </c>
      <c r="R22">
        <f t="shared" si="6"/>
        <v>0</v>
      </c>
      <c r="S22" s="28" t="str">
        <f t="shared" si="7"/>
        <v/>
      </c>
      <c r="T22" t="str">
        <f t="shared" si="8"/>
        <v/>
      </c>
    </row>
    <row r="23" spans="1:20">
      <c r="A23" s="55" t="s">
        <v>139</v>
      </c>
      <c r="B23" s="32">
        <v>46265</v>
      </c>
      <c r="C23" s="31" t="s">
        <v>170</v>
      </c>
      <c r="D23" s="31" t="s">
        <v>140</v>
      </c>
      <c r="E23" s="31" t="s">
        <v>129</v>
      </c>
      <c r="F23" s="31" t="s">
        <v>376</v>
      </c>
      <c r="G23" s="31" t="s">
        <v>52</v>
      </c>
      <c r="H23" s="32"/>
      <c r="I23" s="32"/>
      <c r="J23" s="32"/>
      <c r="K23" s="31"/>
      <c r="L23" s="31"/>
      <c r="M23" s="3" t="str">
        <f t="shared" ca="1" si="4"/>
        <v>UNCLAIMED 1 d</v>
      </c>
      <c r="P23" t="str">
        <f>'Combined Delivery Data'!B21</f>
        <v>RPT_04_Leak Life Cycle</v>
      </c>
      <c r="Q23">
        <f t="shared" si="5"/>
        <v>0</v>
      </c>
      <c r="R23">
        <f t="shared" si="6"/>
        <v>0</v>
      </c>
      <c r="S23" s="28" t="str">
        <f t="shared" si="7"/>
        <v/>
      </c>
      <c r="T23" t="str">
        <f t="shared" si="8"/>
        <v/>
      </c>
    </row>
    <row r="24" spans="1:20">
      <c r="A24" s="31" t="s">
        <v>176</v>
      </c>
      <c r="B24" s="32">
        <v>46266</v>
      </c>
      <c r="C24" s="31" t="s">
        <v>170</v>
      </c>
      <c r="D24" s="31" t="s">
        <v>140</v>
      </c>
      <c r="E24" s="31" t="s">
        <v>46</v>
      </c>
      <c r="F24" s="31" t="s">
        <v>377</v>
      </c>
      <c r="G24" s="31" t="s">
        <v>52</v>
      </c>
      <c r="H24" s="32"/>
      <c r="I24" s="32"/>
      <c r="J24" s="32"/>
      <c r="K24" s="31"/>
      <c r="L24" s="31"/>
      <c r="M24" s="3" t="str">
        <f t="shared" ca="1" si="4"/>
        <v>UNCLAIMED 0 d</v>
      </c>
      <c r="N24" t="s">
        <v>49</v>
      </c>
      <c r="P24" t="str">
        <f>'Combined Delivery Data'!B22</f>
        <v>RPT_04_Leak Life Cycle Legacy LMS LI</v>
      </c>
      <c r="Q24">
        <f t="shared" si="5"/>
        <v>0</v>
      </c>
      <c r="R24">
        <f t="shared" si="6"/>
        <v>0</v>
      </c>
      <c r="S24" s="28" t="str">
        <f t="shared" si="7"/>
        <v/>
      </c>
      <c r="T24" t="str">
        <f t="shared" si="8"/>
        <v/>
      </c>
    </row>
    <row r="25" spans="1:20">
      <c r="A25" s="31" t="s">
        <v>176</v>
      </c>
      <c r="B25" s="32">
        <v>46266</v>
      </c>
      <c r="C25" s="31" t="s">
        <v>170</v>
      </c>
      <c r="D25" s="31" t="s">
        <v>140</v>
      </c>
      <c r="E25" s="31" t="s">
        <v>46</v>
      </c>
      <c r="F25" s="31" t="s">
        <v>378</v>
      </c>
      <c r="G25" s="31" t="s">
        <v>52</v>
      </c>
      <c r="H25" s="32"/>
      <c r="I25" s="32"/>
      <c r="J25" s="32"/>
      <c r="K25" s="31"/>
      <c r="L25" s="31"/>
      <c r="M25" s="3" t="str">
        <f t="shared" ca="1" si="4"/>
        <v>UNCLAIMED 0 d</v>
      </c>
      <c r="P25" t="str">
        <f>'Combined Delivery Data'!B23</f>
        <v>RPT_04_Leak Increase Reads</v>
      </c>
      <c r="Q25">
        <f t="shared" si="5"/>
        <v>0</v>
      </c>
      <c r="R25">
        <f t="shared" si="6"/>
        <v>0</v>
      </c>
      <c r="S25" s="28" t="str">
        <f t="shared" si="7"/>
        <v/>
      </c>
      <c r="T25" t="str">
        <f t="shared" si="8"/>
        <v/>
      </c>
    </row>
    <row r="26" spans="1:20">
      <c r="A26" s="31"/>
      <c r="B26" s="32"/>
      <c r="C26" s="31" t="s">
        <v>170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5"/>
        <v>0</v>
      </c>
      <c r="R26">
        <f t="shared" si="6"/>
        <v>0</v>
      </c>
      <c r="S26" s="28" t="str">
        <f t="shared" si="7"/>
        <v/>
      </c>
      <c r="T26" t="str">
        <f t="shared" si="8"/>
        <v/>
      </c>
    </row>
    <row r="27" spans="1:20">
      <c r="A27" s="31"/>
      <c r="B27" s="32"/>
      <c r="C27" s="31" t="s">
        <v>170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5"/>
        <v>0</v>
      </c>
      <c r="R27">
        <f t="shared" si="6"/>
        <v>0</v>
      </c>
      <c r="S27" s="28" t="str">
        <f t="shared" si="7"/>
        <v/>
      </c>
      <c r="T27" t="str">
        <f t="shared" si="8"/>
        <v/>
      </c>
    </row>
    <row r="28" spans="1:20">
      <c r="A28" s="31"/>
      <c r="B28" s="32"/>
      <c r="C28" s="31" t="s">
        <v>170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5"/>
        <v>0</v>
      </c>
      <c r="R28">
        <f t="shared" si="6"/>
        <v>0</v>
      </c>
      <c r="S28" s="28" t="str">
        <f t="shared" si="7"/>
        <v/>
      </c>
      <c r="T28" t="str">
        <f t="shared" si="8"/>
        <v/>
      </c>
    </row>
    <row r="29" spans="1:20">
      <c r="A29" s="31"/>
      <c r="B29" s="32"/>
      <c r="C29" s="31" t="s">
        <v>170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5"/>
        <v>0</v>
      </c>
      <c r="R29">
        <f t="shared" si="6"/>
        <v>0</v>
      </c>
      <c r="S29" s="28" t="str">
        <f t="shared" si="7"/>
        <v/>
      </c>
      <c r="T29" t="str">
        <f t="shared" si="8"/>
        <v/>
      </c>
    </row>
    <row r="30" spans="1:20">
      <c r="A30" s="31"/>
      <c r="B30" s="32"/>
      <c r="C30" s="31" t="s">
        <v>170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5"/>
        <v>0</v>
      </c>
      <c r="R30">
        <f t="shared" si="6"/>
        <v>0</v>
      </c>
      <c r="S30" s="28" t="str">
        <f t="shared" si="7"/>
        <v/>
      </c>
      <c r="T30" t="str">
        <f t="shared" si="8"/>
        <v/>
      </c>
    </row>
    <row r="31" spans="1:20">
      <c r="A31" s="31"/>
      <c r="B31" s="32"/>
      <c r="C31" s="31" t="s">
        <v>170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5"/>
        <v>1</v>
      </c>
      <c r="R31">
        <f t="shared" si="6"/>
        <v>0</v>
      </c>
      <c r="S31" s="28">
        <f t="shared" si="7"/>
        <v>46238</v>
      </c>
      <c r="T31" t="str">
        <f t="shared" si="8"/>
        <v>QA -&gt; DB Dev</v>
      </c>
    </row>
    <row r="32" spans="1:20">
      <c r="A32" s="31"/>
      <c r="B32" s="32"/>
      <c r="C32" s="31" t="s">
        <v>170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5"/>
        <v>3</v>
      </c>
      <c r="R32">
        <f t="shared" si="6"/>
        <v>0</v>
      </c>
      <c r="S32" s="28">
        <f t="shared" si="7"/>
        <v>46254</v>
      </c>
      <c r="T32" t="str">
        <f t="shared" si="8"/>
        <v>QA -&gt; DB Dev</v>
      </c>
    </row>
    <row r="33" spans="1:20">
      <c r="A33" s="31"/>
      <c r="B33" s="32"/>
      <c r="C33" s="31" t="s">
        <v>170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5"/>
        <v>0</v>
      </c>
      <c r="R33">
        <f t="shared" si="6"/>
        <v>0</v>
      </c>
      <c r="S33" s="28" t="str">
        <f t="shared" si="7"/>
        <v/>
      </c>
      <c r="T33" t="str">
        <f t="shared" si="8"/>
        <v/>
      </c>
    </row>
    <row r="34" spans="1:20">
      <c r="A34" s="31"/>
      <c r="B34" s="32"/>
      <c r="C34" s="31" t="s">
        <v>170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5"/>
        <v>2</v>
      </c>
      <c r="R34">
        <f t="shared" si="6"/>
        <v>2</v>
      </c>
      <c r="S34" s="28">
        <f t="shared" si="7"/>
        <v>46265</v>
      </c>
      <c r="T34" t="str">
        <f t="shared" si="8"/>
        <v>QA -&gt; DB Dev</v>
      </c>
    </row>
    <row r="35" spans="1:20">
      <c r="A35" s="31"/>
      <c r="B35" s="32"/>
      <c r="C35" s="31" t="s">
        <v>170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5"/>
        <v>1</v>
      </c>
      <c r="R35">
        <f t="shared" si="6"/>
        <v>0</v>
      </c>
      <c r="S35" s="28">
        <f t="shared" si="7"/>
        <v>46234</v>
      </c>
      <c r="T35" t="str">
        <f t="shared" si="8"/>
        <v>QA -&gt; DB Dev</v>
      </c>
    </row>
    <row r="36" spans="1:20">
      <c r="A36" s="31"/>
      <c r="B36" s="32"/>
      <c r="C36" s="31" t="s">
        <v>170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5"/>
        <v>2</v>
      </c>
      <c r="R36">
        <f t="shared" si="6"/>
        <v>0</v>
      </c>
      <c r="S36" s="28">
        <f t="shared" si="7"/>
        <v>46237</v>
      </c>
      <c r="T36" t="str">
        <f t="shared" si="8"/>
        <v>QA -&gt; DB Dev</v>
      </c>
    </row>
    <row r="37" spans="1:20">
      <c r="A37" s="31"/>
      <c r="B37" s="32"/>
      <c r="C37" s="31" t="s">
        <v>170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5"/>
        <v>3</v>
      </c>
      <c r="R37">
        <f t="shared" si="6"/>
        <v>2</v>
      </c>
      <c r="S37" s="28">
        <f t="shared" si="7"/>
        <v>46262</v>
      </c>
      <c r="T37" t="str">
        <f t="shared" si="8"/>
        <v>QA -&gt; PBI Dev</v>
      </c>
    </row>
    <row r="38" spans="1:20">
      <c r="A38" s="31"/>
      <c r="B38" s="32"/>
      <c r="C38" s="31" t="s">
        <v>170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5"/>
        <v>1</v>
      </c>
      <c r="R38">
        <f t="shared" si="6"/>
        <v>1</v>
      </c>
      <c r="S38" s="28">
        <f t="shared" si="7"/>
        <v>46258</v>
      </c>
      <c r="T38" t="str">
        <f t="shared" si="8"/>
        <v>QA -&gt; DB Dev</v>
      </c>
    </row>
    <row r="39" spans="1:20">
      <c r="A39" s="31"/>
      <c r="B39" s="32"/>
      <c r="C39" s="31" t="s">
        <v>170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5"/>
        <v>1</v>
      </c>
      <c r="R39">
        <f t="shared" si="6"/>
        <v>0</v>
      </c>
      <c r="S39" s="28">
        <f t="shared" si="7"/>
        <v>46254</v>
      </c>
      <c r="T39" t="str">
        <f t="shared" si="8"/>
        <v>QA -&gt; DB Dev</v>
      </c>
    </row>
    <row r="40" spans="1:20">
      <c r="A40" s="31"/>
      <c r="B40" s="32"/>
      <c r="C40" s="31" t="s">
        <v>170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5"/>
        <v>2</v>
      </c>
      <c r="R40">
        <f t="shared" si="6"/>
        <v>0</v>
      </c>
      <c r="S40" s="28">
        <f t="shared" si="7"/>
        <v>46251</v>
      </c>
      <c r="T40" t="str">
        <f t="shared" si="8"/>
        <v>QA -&gt; DB Dev</v>
      </c>
    </row>
    <row r="41" spans="1:20">
      <c r="A41" s="31"/>
      <c r="B41" s="32"/>
      <c r="C41" s="31" t="s">
        <v>170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5"/>
        <v>1</v>
      </c>
      <c r="R41">
        <f t="shared" si="6"/>
        <v>0</v>
      </c>
      <c r="S41" s="28">
        <f t="shared" si="7"/>
        <v>46258</v>
      </c>
      <c r="T41" t="str">
        <f t="shared" si="8"/>
        <v>QA -&gt; PBI Dev</v>
      </c>
    </row>
    <row r="42" spans="1:20">
      <c r="A42" s="31"/>
      <c r="B42" s="32"/>
      <c r="C42" s="31" t="s">
        <v>170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5"/>
        <v>0</v>
      </c>
      <c r="R42">
        <f t="shared" si="6"/>
        <v>0</v>
      </c>
      <c r="S42" s="28" t="str">
        <f t="shared" si="7"/>
        <v/>
      </c>
      <c r="T42" t="str">
        <f t="shared" si="8"/>
        <v/>
      </c>
    </row>
    <row r="43" spans="1:20">
      <c r="A43" s="31"/>
      <c r="B43" s="32"/>
      <c r="C43" s="31" t="s">
        <v>170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5"/>
        <v>0</v>
      </c>
      <c r="R43">
        <f t="shared" si="6"/>
        <v>0</v>
      </c>
      <c r="S43" s="28" t="str">
        <f t="shared" si="7"/>
        <v/>
      </c>
      <c r="T43" t="str">
        <f t="shared" si="8"/>
        <v/>
      </c>
    </row>
    <row r="44" spans="1:20">
      <c r="A44" s="31"/>
      <c r="B44" s="32"/>
      <c r="C44" s="31" t="s">
        <v>170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5"/>
        <v>0</v>
      </c>
      <c r="R44">
        <f t="shared" si="6"/>
        <v>0</v>
      </c>
      <c r="S44" s="28" t="str">
        <f t="shared" si="7"/>
        <v/>
      </c>
      <c r="T44" t="str">
        <f t="shared" si="8"/>
        <v/>
      </c>
    </row>
    <row r="45" spans="1:20">
      <c r="A45" s="31"/>
      <c r="B45" s="32"/>
      <c r="C45" s="31" t="s">
        <v>170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5"/>
        <v>0</v>
      </c>
      <c r="R45">
        <f t="shared" si="6"/>
        <v>0</v>
      </c>
      <c r="S45" s="28" t="str">
        <f t="shared" si="7"/>
        <v/>
      </c>
      <c r="T45" t="str">
        <f t="shared" si="8"/>
        <v/>
      </c>
    </row>
    <row r="46" spans="1:20">
      <c r="A46" s="31"/>
      <c r="B46" s="32"/>
      <c r="C46" s="31" t="s">
        <v>170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5"/>
        <v>2</v>
      </c>
      <c r="R46">
        <f t="shared" si="6"/>
        <v>2</v>
      </c>
      <c r="S46" s="28">
        <f t="shared" si="7"/>
        <v>46266</v>
      </c>
      <c r="T46" t="str">
        <f t="shared" si="8"/>
        <v>QA -&gt; DB Dev</v>
      </c>
    </row>
    <row r="47" spans="1:20">
      <c r="A47" s="31"/>
      <c r="B47" s="32"/>
      <c r="C47" s="31" t="s">
        <v>170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5"/>
        <v>0</v>
      </c>
      <c r="R47">
        <f t="shared" si="6"/>
        <v>0</v>
      </c>
      <c r="S47" s="28" t="str">
        <f t="shared" si="7"/>
        <v/>
      </c>
      <c r="T47" t="str">
        <f t="shared" si="8"/>
        <v/>
      </c>
    </row>
    <row r="48" spans="1:20">
      <c r="A48" s="31"/>
      <c r="B48" s="32"/>
      <c r="C48" s="31" t="s">
        <v>170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5"/>
        <v>1</v>
      </c>
      <c r="R48">
        <f t="shared" si="6"/>
        <v>0</v>
      </c>
      <c r="S48" s="28">
        <f t="shared" si="7"/>
        <v>46265</v>
      </c>
      <c r="T48" t="str">
        <f t="shared" si="8"/>
        <v>QA -&gt; DB Dev</v>
      </c>
    </row>
    <row r="49" spans="1:20">
      <c r="A49" s="31"/>
      <c r="B49" s="32"/>
      <c r="C49" s="31" t="s">
        <v>170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5"/>
        <v>0</v>
      </c>
      <c r="R49">
        <f t="shared" si="6"/>
        <v>0</v>
      </c>
      <c r="S49" s="28" t="str">
        <f t="shared" si="7"/>
        <v/>
      </c>
      <c r="T49" t="str">
        <f t="shared" si="8"/>
        <v/>
      </c>
    </row>
    <row r="50" spans="1:20">
      <c r="A50" s="31"/>
      <c r="B50" s="32"/>
      <c r="C50" s="31" t="s">
        <v>170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5"/>
        <v>0</v>
      </c>
      <c r="R50">
        <f t="shared" si="6"/>
        <v>0</v>
      </c>
      <c r="S50" s="28" t="str">
        <f t="shared" si="7"/>
        <v/>
      </c>
      <c r="T50" t="str">
        <f t="shared" si="8"/>
        <v/>
      </c>
    </row>
    <row r="51" spans="1:20">
      <c r="A51" s="31"/>
      <c r="B51" s="32"/>
      <c r="C51" s="31" t="s">
        <v>170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5"/>
        <v>2</v>
      </c>
      <c r="R51">
        <f t="shared" si="6"/>
        <v>2</v>
      </c>
      <c r="S51" s="28">
        <f t="shared" si="7"/>
        <v>46265</v>
      </c>
      <c r="T51" t="str">
        <f t="shared" si="8"/>
        <v>QA -&gt; PBI Dev</v>
      </c>
    </row>
    <row r="52" spans="1:20">
      <c r="A52" s="31"/>
      <c r="B52" s="32"/>
      <c r="C52" s="31" t="s">
        <v>170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5"/>
        <v>0</v>
      </c>
      <c r="R52">
        <f t="shared" si="6"/>
        <v>0</v>
      </c>
      <c r="S52" s="28" t="str">
        <f t="shared" si="7"/>
        <v/>
      </c>
      <c r="T52" t="str">
        <f t="shared" si="8"/>
        <v/>
      </c>
    </row>
    <row r="53" spans="1:20">
      <c r="A53" s="31"/>
      <c r="B53" s="32"/>
      <c r="C53" s="31" t="s">
        <v>170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5"/>
        <v>0</v>
      </c>
      <c r="R53">
        <f t="shared" si="6"/>
        <v>0</v>
      </c>
      <c r="S53" s="28" t="str">
        <f t="shared" si="7"/>
        <v/>
      </c>
      <c r="T53" t="str">
        <f t="shared" si="8"/>
        <v/>
      </c>
    </row>
    <row r="54" spans="1:20">
      <c r="A54" s="31"/>
      <c r="B54" s="32"/>
      <c r="C54" s="31" t="s">
        <v>170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5"/>
        <v>0</v>
      </c>
      <c r="R54">
        <f t="shared" si="6"/>
        <v>0</v>
      </c>
      <c r="S54" s="28" t="str">
        <f t="shared" si="7"/>
        <v/>
      </c>
      <c r="T54" t="str">
        <f t="shared" si="8"/>
        <v/>
      </c>
    </row>
    <row r="55" spans="1:20">
      <c r="A55" s="31"/>
      <c r="B55" s="32"/>
      <c r="C55" s="31" t="s">
        <v>170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5"/>
        <v>0</v>
      </c>
      <c r="R55">
        <f t="shared" si="6"/>
        <v>0</v>
      </c>
      <c r="S55" s="28" t="str">
        <f t="shared" si="7"/>
        <v/>
      </c>
      <c r="T55" t="str">
        <f t="shared" si="8"/>
        <v/>
      </c>
    </row>
    <row r="56" spans="1:20">
      <c r="A56" s="31"/>
      <c r="B56" s="32"/>
      <c r="C56" s="31" t="s">
        <v>170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5"/>
        <v>0</v>
      </c>
      <c r="R56">
        <f t="shared" si="6"/>
        <v>0</v>
      </c>
      <c r="S56" s="28" t="str">
        <f t="shared" si="7"/>
        <v/>
      </c>
      <c r="T56" t="str">
        <f t="shared" si="8"/>
        <v/>
      </c>
    </row>
    <row r="57" spans="1:20">
      <c r="A57" s="31"/>
      <c r="B57" s="32"/>
      <c r="C57" s="31" t="s">
        <v>170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5"/>
        <v>0</v>
      </c>
      <c r="R57">
        <f t="shared" si="6"/>
        <v>0</v>
      </c>
      <c r="S57" s="28" t="str">
        <f t="shared" si="7"/>
        <v/>
      </c>
      <c r="T57" t="str">
        <f t="shared" si="8"/>
        <v/>
      </c>
    </row>
    <row r="58" spans="1:20">
      <c r="A58" s="31"/>
      <c r="B58" s="32"/>
      <c r="C58" s="31" t="s">
        <v>170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5"/>
        <v>0</v>
      </c>
      <c r="R58">
        <f t="shared" si="6"/>
        <v>0</v>
      </c>
      <c r="S58" s="28" t="str">
        <f t="shared" si="7"/>
        <v/>
      </c>
      <c r="T58" t="str">
        <f t="shared" si="8"/>
        <v/>
      </c>
    </row>
    <row r="59" spans="1:20">
      <c r="A59" s="31"/>
      <c r="B59" s="32"/>
      <c r="C59" s="31" t="s">
        <v>170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5"/>
        <v>0</v>
      </c>
      <c r="R59">
        <f t="shared" si="6"/>
        <v>0</v>
      </c>
      <c r="S59" s="28" t="str">
        <f t="shared" si="7"/>
        <v/>
      </c>
      <c r="T59" t="str">
        <f t="shared" si="8"/>
        <v/>
      </c>
    </row>
    <row r="60" spans="1:20">
      <c r="A60" s="31"/>
      <c r="B60" s="32"/>
      <c r="C60" s="31" t="s">
        <v>170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5"/>
        <v>0</v>
      </c>
      <c r="R60">
        <f t="shared" si="6"/>
        <v>0</v>
      </c>
      <c r="S60" s="28" t="str">
        <f t="shared" si="7"/>
        <v/>
      </c>
      <c r="T60" t="str">
        <f t="shared" si="8"/>
        <v/>
      </c>
    </row>
    <row r="61" spans="1:20">
      <c r="A61" s="31"/>
      <c r="B61" s="32"/>
      <c r="C61" s="31" t="s">
        <v>170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5"/>
        <v>0</v>
      </c>
      <c r="R61">
        <f t="shared" si="6"/>
        <v>0</v>
      </c>
      <c r="S61" s="28" t="str">
        <f t="shared" si="7"/>
        <v/>
      </c>
      <c r="T61" t="str">
        <f t="shared" si="8"/>
        <v/>
      </c>
    </row>
    <row r="62" spans="1:20">
      <c r="A62" s="31"/>
      <c r="B62" s="32"/>
      <c r="C62" s="31" t="s">
        <v>170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5"/>
        <v>0</v>
      </c>
      <c r="R62">
        <f t="shared" si="6"/>
        <v>0</v>
      </c>
      <c r="S62" s="28" t="str">
        <f t="shared" si="7"/>
        <v/>
      </c>
      <c r="T62" t="str">
        <f t="shared" si="8"/>
        <v/>
      </c>
    </row>
    <row r="63" spans="1:20">
      <c r="A63" s="31"/>
      <c r="B63" s="32"/>
      <c r="C63" s="31" t="s">
        <v>170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5"/>
        <v>0</v>
      </c>
      <c r="R63">
        <f t="shared" si="6"/>
        <v>0</v>
      </c>
      <c r="S63" s="28" t="str">
        <f t="shared" si="7"/>
        <v/>
      </c>
      <c r="T63" t="str">
        <f t="shared" si="8"/>
        <v/>
      </c>
    </row>
    <row r="64" spans="1:20">
      <c r="A64" s="31"/>
      <c r="B64" s="32"/>
      <c r="C64" s="31" t="s">
        <v>170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5"/>
        <v>0</v>
      </c>
      <c r="R64">
        <f t="shared" si="6"/>
        <v>0</v>
      </c>
      <c r="S64" s="28" t="str">
        <f t="shared" si="7"/>
        <v/>
      </c>
      <c r="T64" t="str">
        <f t="shared" si="8"/>
        <v/>
      </c>
    </row>
    <row r="65" spans="1:20">
      <c r="A65" s="31"/>
      <c r="B65" s="32"/>
      <c r="C65" s="31" t="s">
        <v>170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5"/>
        <v>0</v>
      </c>
      <c r="R65">
        <f t="shared" si="6"/>
        <v>0</v>
      </c>
      <c r="S65" s="28" t="str">
        <f t="shared" si="7"/>
        <v/>
      </c>
      <c r="T65" t="str">
        <f t="shared" si="8"/>
        <v/>
      </c>
    </row>
    <row r="66" spans="1:20">
      <c r="A66" s="31"/>
      <c r="B66" s="32"/>
      <c r="C66" s="31" t="s">
        <v>170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5"/>
        <v>0</v>
      </c>
      <c r="R66">
        <f t="shared" si="6"/>
        <v>0</v>
      </c>
      <c r="S66" s="28" t="str">
        <f t="shared" si="7"/>
        <v/>
      </c>
      <c r="T66" t="str">
        <f t="shared" si="8"/>
        <v/>
      </c>
    </row>
    <row r="67" spans="1:20">
      <c r="A67" s="31"/>
      <c r="B67" s="32"/>
      <c r="C67" s="31" t="s">
        <v>170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si="5"/>
        <v>0</v>
      </c>
      <c r="R67">
        <f t="shared" si="6"/>
        <v>0</v>
      </c>
      <c r="S67" s="28" t="str">
        <f t="shared" si="7"/>
        <v/>
      </c>
      <c r="T67" t="str">
        <f t="shared" si="8"/>
        <v/>
      </c>
    </row>
    <row r="68" spans="1:20">
      <c r="A68" s="31"/>
      <c r="B68" s="32"/>
      <c r="C68" s="31" t="s">
        <v>170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170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170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170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170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170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170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170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170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170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170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170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170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170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170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ref="Q82:Q145" si="11">IF($P82="","",COUNTIF($A$3:$A$500,$P82))</f>
        <v>0</v>
      </c>
      <c r="R82">
        <f t="shared" ref="R82:R145" si="12">IF($P82="","",SUMPRODUCT(($A$3:$A$500=$P82)*($G$3:$G$500&lt;&gt;"Yes")*($G$3:$G$500&lt;&gt;"Did not pass re-test")))</f>
        <v>0</v>
      </c>
      <c r="S82" s="28" t="str">
        <f t="shared" ref="S82:S145" si="13">IF($P82="","",IF(SUMPRODUCT(MAX(($A$3:$A$500=$P82)*ROW($A$3:$A$500)))=0,"",INDEX($B:$B,SUMPRODUCT(MAX(($A$3:$A$500=$P82)*ROW($A$3:$A$500))))))</f>
        <v/>
      </c>
      <c r="T82" t="str">
        <f t="shared" ref="T82:T145" si="14"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170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11"/>
        <v>0</v>
      </c>
      <c r="R83">
        <f t="shared" si="12"/>
        <v>0</v>
      </c>
      <c r="S83" s="28" t="str">
        <f t="shared" si="13"/>
        <v/>
      </c>
      <c r="T83" t="str">
        <f t="shared" si="14"/>
        <v/>
      </c>
    </row>
    <row r="84" spans="1:20">
      <c r="A84" s="31"/>
      <c r="B84" s="32"/>
      <c r="C84" s="31" t="s">
        <v>170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11"/>
        <v>0</v>
      </c>
      <c r="R84">
        <f t="shared" si="12"/>
        <v>0</v>
      </c>
      <c r="S84" s="28" t="str">
        <f t="shared" si="13"/>
        <v/>
      </c>
      <c r="T84" t="str">
        <f t="shared" si="14"/>
        <v/>
      </c>
    </row>
    <row r="85" spans="1:20">
      <c r="A85" s="31"/>
      <c r="B85" s="32"/>
      <c r="C85" s="31" t="s">
        <v>170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11"/>
        <v>0</v>
      </c>
      <c r="R85">
        <f t="shared" si="12"/>
        <v>0</v>
      </c>
      <c r="S85" s="28" t="str">
        <f t="shared" si="13"/>
        <v/>
      </c>
      <c r="T85" t="str">
        <f t="shared" si="14"/>
        <v/>
      </c>
    </row>
    <row r="86" spans="1:20">
      <c r="A86" s="31"/>
      <c r="B86" s="32"/>
      <c r="C86" s="31" t="s">
        <v>170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11"/>
        <v>0</v>
      </c>
      <c r="R86">
        <f t="shared" si="12"/>
        <v>0</v>
      </c>
      <c r="S86" s="28" t="str">
        <f t="shared" si="13"/>
        <v/>
      </c>
      <c r="T86" t="str">
        <f t="shared" si="14"/>
        <v/>
      </c>
    </row>
    <row r="87" spans="1:20">
      <c r="A87" s="31"/>
      <c r="B87" s="32"/>
      <c r="C87" s="31" t="s">
        <v>170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11"/>
        <v>0</v>
      </c>
      <c r="R87">
        <f t="shared" si="12"/>
        <v>0</v>
      </c>
      <c r="S87" s="28" t="str">
        <f t="shared" si="13"/>
        <v/>
      </c>
      <c r="T87" t="str">
        <f t="shared" si="14"/>
        <v/>
      </c>
    </row>
    <row r="88" spans="1:20">
      <c r="A88" s="31"/>
      <c r="B88" s="32"/>
      <c r="C88" s="31" t="s">
        <v>170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11"/>
        <v>0</v>
      </c>
      <c r="R88">
        <f t="shared" si="12"/>
        <v>0</v>
      </c>
      <c r="S88" s="28" t="str">
        <f t="shared" si="13"/>
        <v/>
      </c>
      <c r="T88" t="str">
        <f t="shared" si="14"/>
        <v/>
      </c>
    </row>
    <row r="89" spans="1:20">
      <c r="A89" s="31"/>
      <c r="B89" s="32"/>
      <c r="C89" s="31" t="s">
        <v>170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11"/>
        <v>0</v>
      </c>
      <c r="R89">
        <f t="shared" si="12"/>
        <v>0</v>
      </c>
      <c r="S89" s="28" t="str">
        <f t="shared" si="13"/>
        <v/>
      </c>
      <c r="T89" t="str">
        <f t="shared" si="14"/>
        <v/>
      </c>
    </row>
    <row r="90" spans="1:20">
      <c r="A90" s="31"/>
      <c r="B90" s="32"/>
      <c r="C90" s="31" t="s">
        <v>170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11"/>
        <v>0</v>
      </c>
      <c r="R90">
        <f t="shared" si="12"/>
        <v>0</v>
      </c>
      <c r="S90" s="28" t="str">
        <f t="shared" si="13"/>
        <v/>
      </c>
      <c r="T90" t="str">
        <f t="shared" si="14"/>
        <v/>
      </c>
    </row>
    <row r="91" spans="1:20">
      <c r="A91" s="31"/>
      <c r="B91" s="32"/>
      <c r="C91" s="31" t="s">
        <v>170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11"/>
        <v>0</v>
      </c>
      <c r="R91">
        <f t="shared" si="12"/>
        <v>475</v>
      </c>
      <c r="S91" s="28">
        <f t="shared" si="13"/>
        <v>0</v>
      </c>
      <c r="T91" t="str">
        <f t="shared" si="14"/>
        <v xml:space="preserve"> -&gt; </v>
      </c>
    </row>
    <row r="92" spans="1:20">
      <c r="A92" s="31"/>
      <c r="B92" s="32"/>
      <c r="C92" s="31" t="s">
        <v>170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11"/>
        <v>0</v>
      </c>
      <c r="R92">
        <f t="shared" si="12"/>
        <v>475</v>
      </c>
      <c r="S92" s="28">
        <f t="shared" si="13"/>
        <v>0</v>
      </c>
      <c r="T92" t="str">
        <f t="shared" si="14"/>
        <v xml:space="preserve"> -&gt; </v>
      </c>
    </row>
    <row r="93" spans="1:20">
      <c r="A93" s="31"/>
      <c r="B93" s="32"/>
      <c r="C93" s="31" t="s">
        <v>170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11"/>
        <v>0</v>
      </c>
      <c r="R93">
        <f t="shared" si="12"/>
        <v>475</v>
      </c>
      <c r="S93" s="28">
        <f t="shared" si="13"/>
        <v>0</v>
      </c>
      <c r="T93" t="str">
        <f t="shared" si="14"/>
        <v xml:space="preserve"> -&gt; </v>
      </c>
    </row>
    <row r="94" spans="1:20">
      <c r="A94" s="31"/>
      <c r="B94" s="32"/>
      <c r="C94" s="31" t="s">
        <v>170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11"/>
        <v>0</v>
      </c>
      <c r="R94">
        <f t="shared" si="12"/>
        <v>475</v>
      </c>
      <c r="S94" s="28">
        <f t="shared" si="13"/>
        <v>0</v>
      </c>
      <c r="T94" t="str">
        <f t="shared" si="14"/>
        <v xml:space="preserve"> -&gt; </v>
      </c>
    </row>
    <row r="95" spans="1:20">
      <c r="A95" s="31"/>
      <c r="B95" s="32"/>
      <c r="C95" s="31" t="s">
        <v>170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11"/>
        <v>0</v>
      </c>
      <c r="R95">
        <f t="shared" si="12"/>
        <v>475</v>
      </c>
      <c r="S95" s="28">
        <f t="shared" si="13"/>
        <v>0</v>
      </c>
      <c r="T95" t="str">
        <f t="shared" si="14"/>
        <v xml:space="preserve"> -&gt; </v>
      </c>
    </row>
    <row r="96" spans="1:20">
      <c r="A96" s="31"/>
      <c r="B96" s="32"/>
      <c r="C96" s="31" t="s">
        <v>170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11"/>
        <v>0</v>
      </c>
      <c r="R96">
        <f t="shared" si="12"/>
        <v>475</v>
      </c>
      <c r="S96" s="28">
        <f t="shared" si="13"/>
        <v>0</v>
      </c>
      <c r="T96" t="str">
        <f t="shared" si="14"/>
        <v xml:space="preserve"> -&gt; </v>
      </c>
    </row>
    <row r="97" spans="1:20">
      <c r="A97" s="31"/>
      <c r="B97" s="32"/>
      <c r="C97" s="31" t="s">
        <v>170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11"/>
        <v>0</v>
      </c>
      <c r="R97">
        <f t="shared" si="12"/>
        <v>475</v>
      </c>
      <c r="S97" s="28">
        <f t="shared" si="13"/>
        <v>0</v>
      </c>
      <c r="T97" t="str">
        <f t="shared" si="14"/>
        <v xml:space="preserve"> -&gt; </v>
      </c>
    </row>
    <row r="98" spans="1:20">
      <c r="A98" s="31"/>
      <c r="B98" s="32"/>
      <c r="C98" s="31" t="s">
        <v>170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11"/>
        <v>0</v>
      </c>
      <c r="R98">
        <f t="shared" si="12"/>
        <v>475</v>
      </c>
      <c r="S98" s="28">
        <f t="shared" si="13"/>
        <v>0</v>
      </c>
      <c r="T98" t="str">
        <f t="shared" si="14"/>
        <v xml:space="preserve"> -&gt; </v>
      </c>
    </row>
    <row r="99" spans="1:20">
      <c r="A99" s="31"/>
      <c r="B99" s="32"/>
      <c r="C99" s="31" t="s">
        <v>170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11"/>
        <v>0</v>
      </c>
      <c r="R99">
        <f t="shared" si="12"/>
        <v>475</v>
      </c>
      <c r="S99" s="28">
        <f t="shared" si="13"/>
        <v>0</v>
      </c>
      <c r="T99" t="str">
        <f t="shared" si="14"/>
        <v xml:space="preserve"> -&gt; </v>
      </c>
    </row>
    <row r="100" spans="1:20">
      <c r="A100" s="31"/>
      <c r="B100" s="32"/>
      <c r="C100" s="31" t="s">
        <v>170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11"/>
        <v>0</v>
      </c>
      <c r="R100">
        <f t="shared" si="12"/>
        <v>475</v>
      </c>
      <c r="S100" s="28">
        <f t="shared" si="13"/>
        <v>0</v>
      </c>
      <c r="T100" t="str">
        <f t="shared" si="14"/>
        <v xml:space="preserve"> -&gt; </v>
      </c>
    </row>
    <row r="101" spans="1:20">
      <c r="A101" s="31"/>
      <c r="B101" s="32"/>
      <c r="C101" s="31" t="s">
        <v>170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11"/>
        <v>0</v>
      </c>
      <c r="R101">
        <f t="shared" si="12"/>
        <v>475</v>
      </c>
      <c r="S101" s="28">
        <f t="shared" si="13"/>
        <v>0</v>
      </c>
      <c r="T101" t="str">
        <f t="shared" si="14"/>
        <v xml:space="preserve"> -&gt; </v>
      </c>
    </row>
    <row r="102" spans="1:20">
      <c r="A102" s="31"/>
      <c r="B102" s="32"/>
      <c r="C102" s="31" t="s">
        <v>170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11"/>
        <v>0</v>
      </c>
      <c r="R102">
        <f t="shared" si="12"/>
        <v>475</v>
      </c>
      <c r="S102" s="28">
        <f t="shared" si="13"/>
        <v>0</v>
      </c>
      <c r="T102" t="str">
        <f t="shared" si="14"/>
        <v xml:space="preserve"> -&gt; </v>
      </c>
    </row>
    <row r="103" spans="1:20">
      <c r="A103" s="31"/>
      <c r="B103" s="32"/>
      <c r="C103" s="31" t="s">
        <v>170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11"/>
        <v>0</v>
      </c>
      <c r="R103">
        <f t="shared" si="12"/>
        <v>475</v>
      </c>
      <c r="S103" s="28">
        <f t="shared" si="13"/>
        <v>0</v>
      </c>
      <c r="T103" t="str">
        <f t="shared" si="14"/>
        <v xml:space="preserve"> -&gt; </v>
      </c>
    </row>
    <row r="104" spans="1:20">
      <c r="A104" s="31"/>
      <c r="B104" s="32"/>
      <c r="C104" s="31" t="s">
        <v>170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11"/>
        <v>0</v>
      </c>
      <c r="R104">
        <f t="shared" si="12"/>
        <v>475</v>
      </c>
      <c r="S104" s="28">
        <f t="shared" si="13"/>
        <v>0</v>
      </c>
      <c r="T104" t="str">
        <f t="shared" si="14"/>
        <v xml:space="preserve"> -&gt; </v>
      </c>
    </row>
    <row r="105" spans="1:20">
      <c r="A105" s="31"/>
      <c r="B105" s="32"/>
      <c r="C105" s="31" t="s">
        <v>170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11"/>
        <v>0</v>
      </c>
      <c r="R105">
        <f t="shared" si="12"/>
        <v>475</v>
      </c>
      <c r="S105" s="28">
        <f t="shared" si="13"/>
        <v>0</v>
      </c>
      <c r="T105" t="str">
        <f t="shared" si="14"/>
        <v xml:space="preserve"> -&gt; </v>
      </c>
    </row>
    <row r="106" spans="1:20">
      <c r="A106" s="31"/>
      <c r="B106" s="32"/>
      <c r="C106" s="31" t="s">
        <v>170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11"/>
        <v>0</v>
      </c>
      <c r="R106">
        <f t="shared" si="12"/>
        <v>475</v>
      </c>
      <c r="S106" s="28">
        <f t="shared" si="13"/>
        <v>0</v>
      </c>
      <c r="T106" t="str">
        <f t="shared" si="14"/>
        <v xml:space="preserve"> -&gt; </v>
      </c>
    </row>
    <row r="107" spans="1:20">
      <c r="A107" s="31"/>
      <c r="B107" s="32"/>
      <c r="C107" s="31" t="s">
        <v>170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11"/>
        <v>0</v>
      </c>
      <c r="R107">
        <f t="shared" si="12"/>
        <v>475</v>
      </c>
      <c r="S107" s="28">
        <f t="shared" si="13"/>
        <v>0</v>
      </c>
      <c r="T107" t="str">
        <f t="shared" si="14"/>
        <v xml:space="preserve"> -&gt; </v>
      </c>
    </row>
    <row r="108" spans="1:20">
      <c r="A108" s="31"/>
      <c r="B108" s="32"/>
      <c r="C108" s="31" t="s">
        <v>170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11"/>
        <v>0</v>
      </c>
      <c r="R108">
        <f t="shared" si="12"/>
        <v>475</v>
      </c>
      <c r="S108" s="28">
        <f t="shared" si="13"/>
        <v>0</v>
      </c>
      <c r="T108" t="str">
        <f t="shared" si="14"/>
        <v xml:space="preserve"> -&gt; </v>
      </c>
    </row>
    <row r="109" spans="1:20">
      <c r="A109" s="31"/>
      <c r="B109" s="32"/>
      <c r="C109" s="31" t="s">
        <v>170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11"/>
        <v>0</v>
      </c>
      <c r="R109">
        <f t="shared" si="12"/>
        <v>475</v>
      </c>
      <c r="S109" s="28">
        <f t="shared" si="13"/>
        <v>0</v>
      </c>
      <c r="T109" t="str">
        <f t="shared" si="14"/>
        <v xml:space="preserve"> -&gt; </v>
      </c>
    </row>
    <row r="110" spans="1:20">
      <c r="A110" s="31"/>
      <c r="B110" s="32"/>
      <c r="C110" s="31" t="s">
        <v>170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11"/>
        <v>0</v>
      </c>
      <c r="R110">
        <f t="shared" si="12"/>
        <v>475</v>
      </c>
      <c r="S110" s="28">
        <f t="shared" si="13"/>
        <v>0</v>
      </c>
      <c r="T110" t="str">
        <f t="shared" si="14"/>
        <v xml:space="preserve"> -&gt; </v>
      </c>
    </row>
    <row r="111" spans="1:20">
      <c r="A111" s="31"/>
      <c r="B111" s="32"/>
      <c r="C111" s="31" t="s">
        <v>170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11"/>
        <v>0</v>
      </c>
      <c r="R111">
        <f t="shared" si="12"/>
        <v>475</v>
      </c>
      <c r="S111" s="28">
        <f t="shared" si="13"/>
        <v>0</v>
      </c>
      <c r="T111" t="str">
        <f t="shared" si="14"/>
        <v xml:space="preserve"> -&gt; </v>
      </c>
    </row>
    <row r="112" spans="1:20">
      <c r="A112" s="31"/>
      <c r="B112" s="32"/>
      <c r="C112" s="31" t="s">
        <v>170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11"/>
        <v>0</v>
      </c>
      <c r="R112">
        <f t="shared" si="12"/>
        <v>475</v>
      </c>
      <c r="S112" s="28">
        <f t="shared" si="13"/>
        <v>0</v>
      </c>
      <c r="T112" t="str">
        <f t="shared" si="14"/>
        <v xml:space="preserve"> -&gt; </v>
      </c>
    </row>
    <row r="113" spans="1:20">
      <c r="A113" s="31"/>
      <c r="B113" s="32"/>
      <c r="C113" s="31" t="s">
        <v>170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11"/>
        <v>0</v>
      </c>
      <c r="R113">
        <f t="shared" si="12"/>
        <v>475</v>
      </c>
      <c r="S113" s="28">
        <f t="shared" si="13"/>
        <v>0</v>
      </c>
      <c r="T113" t="str">
        <f t="shared" si="14"/>
        <v xml:space="preserve"> -&gt; </v>
      </c>
    </row>
    <row r="114" spans="1:20">
      <c r="A114" s="31"/>
      <c r="B114" s="32"/>
      <c r="C114" s="31" t="s">
        <v>170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11"/>
        <v>0</v>
      </c>
      <c r="R114">
        <f t="shared" si="12"/>
        <v>475</v>
      </c>
      <c r="S114" s="28">
        <f t="shared" si="13"/>
        <v>0</v>
      </c>
      <c r="T114" t="str">
        <f t="shared" si="14"/>
        <v xml:space="preserve"> -&gt; </v>
      </c>
    </row>
    <row r="115" spans="1:20">
      <c r="A115" s="31"/>
      <c r="B115" s="32"/>
      <c r="C115" s="31" t="s">
        <v>170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11"/>
        <v>0</v>
      </c>
      <c r="R115">
        <f t="shared" si="12"/>
        <v>475</v>
      </c>
      <c r="S115" s="28">
        <f t="shared" si="13"/>
        <v>0</v>
      </c>
      <c r="T115" t="str">
        <f t="shared" si="14"/>
        <v xml:space="preserve"> -&gt; </v>
      </c>
    </row>
    <row r="116" spans="1:20">
      <c r="A116" s="31"/>
      <c r="B116" s="32"/>
      <c r="C116" s="31" t="s">
        <v>170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11"/>
        <v>0</v>
      </c>
      <c r="R116">
        <f t="shared" si="12"/>
        <v>475</v>
      </c>
      <c r="S116" s="28">
        <f t="shared" si="13"/>
        <v>0</v>
      </c>
      <c r="T116" t="str">
        <f t="shared" si="14"/>
        <v xml:space="preserve"> -&gt; </v>
      </c>
    </row>
    <row r="117" spans="1:20">
      <c r="A117" s="31"/>
      <c r="B117" s="32"/>
      <c r="C117" s="31" t="s">
        <v>170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11"/>
        <v>0</v>
      </c>
      <c r="R117">
        <f t="shared" si="12"/>
        <v>475</v>
      </c>
      <c r="S117" s="28">
        <f t="shared" si="13"/>
        <v>0</v>
      </c>
      <c r="T117" t="str">
        <f t="shared" si="14"/>
        <v xml:space="preserve"> -&gt; </v>
      </c>
    </row>
    <row r="118" spans="1:20">
      <c r="A118" s="31"/>
      <c r="B118" s="32"/>
      <c r="C118" s="31" t="s">
        <v>170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11"/>
        <v>0</v>
      </c>
      <c r="R118">
        <f t="shared" si="12"/>
        <v>475</v>
      </c>
      <c r="S118" s="28">
        <f t="shared" si="13"/>
        <v>0</v>
      </c>
      <c r="T118" t="str">
        <f t="shared" si="14"/>
        <v xml:space="preserve"> -&gt; </v>
      </c>
    </row>
    <row r="119" spans="1:20">
      <c r="A119" s="31"/>
      <c r="B119" s="32"/>
      <c r="C119" s="31" t="s">
        <v>170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11"/>
        <v>0</v>
      </c>
      <c r="R119">
        <f t="shared" si="12"/>
        <v>475</v>
      </c>
      <c r="S119" s="28">
        <f t="shared" si="13"/>
        <v>0</v>
      </c>
      <c r="T119" t="str">
        <f t="shared" si="14"/>
        <v xml:space="preserve"> -&gt; </v>
      </c>
    </row>
    <row r="120" spans="1:20">
      <c r="A120" s="31"/>
      <c r="B120" s="32"/>
      <c r="C120" s="31" t="s">
        <v>170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11"/>
        <v>0</v>
      </c>
      <c r="R120">
        <f t="shared" si="12"/>
        <v>475</v>
      </c>
      <c r="S120" s="28">
        <f t="shared" si="13"/>
        <v>0</v>
      </c>
      <c r="T120" t="str">
        <f t="shared" si="14"/>
        <v xml:space="preserve"> -&gt; </v>
      </c>
    </row>
    <row r="121" spans="1:20">
      <c r="A121" s="31"/>
      <c r="B121" s="32"/>
      <c r="C121" s="31" t="s">
        <v>170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11"/>
        <v>0</v>
      </c>
      <c r="R121">
        <f t="shared" si="12"/>
        <v>475</v>
      </c>
      <c r="S121" s="28">
        <f t="shared" si="13"/>
        <v>0</v>
      </c>
      <c r="T121" t="str">
        <f t="shared" si="14"/>
        <v xml:space="preserve"> -&gt; </v>
      </c>
    </row>
    <row r="122" spans="1:20">
      <c r="A122" s="31"/>
      <c r="B122" s="32"/>
      <c r="C122" s="31" t="s">
        <v>170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11"/>
        <v>0</v>
      </c>
      <c r="R122">
        <f t="shared" si="12"/>
        <v>475</v>
      </c>
      <c r="S122" s="28">
        <f t="shared" si="13"/>
        <v>0</v>
      </c>
      <c r="T122" t="str">
        <f t="shared" si="14"/>
        <v xml:space="preserve"> -&gt; </v>
      </c>
    </row>
    <row r="123" spans="1:20">
      <c r="A123" s="31"/>
      <c r="B123" s="32"/>
      <c r="C123" s="31" t="s">
        <v>170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11"/>
        <v>0</v>
      </c>
      <c r="R123">
        <f t="shared" si="12"/>
        <v>475</v>
      </c>
      <c r="S123" s="28">
        <f t="shared" si="13"/>
        <v>0</v>
      </c>
      <c r="T123" t="str">
        <f t="shared" si="14"/>
        <v xml:space="preserve"> -&gt; </v>
      </c>
    </row>
    <row r="124" spans="1:20">
      <c r="A124" s="31"/>
      <c r="B124" s="32"/>
      <c r="C124" s="31" t="s">
        <v>170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11"/>
        <v>0</v>
      </c>
      <c r="R124">
        <f t="shared" si="12"/>
        <v>475</v>
      </c>
      <c r="S124" s="28">
        <f t="shared" si="13"/>
        <v>0</v>
      </c>
      <c r="T124" t="str">
        <f t="shared" si="14"/>
        <v xml:space="preserve"> -&gt; </v>
      </c>
    </row>
    <row r="125" spans="1:20">
      <c r="A125" s="31"/>
      <c r="B125" s="32"/>
      <c r="C125" s="31" t="s">
        <v>170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11"/>
        <v>0</v>
      </c>
      <c r="R125">
        <f t="shared" si="12"/>
        <v>475</v>
      </c>
      <c r="S125" s="28">
        <f t="shared" si="13"/>
        <v>0</v>
      </c>
      <c r="T125" t="str">
        <f t="shared" si="14"/>
        <v xml:space="preserve"> -&gt; </v>
      </c>
    </row>
    <row r="126" spans="1:20">
      <c r="A126" s="31"/>
      <c r="B126" s="32"/>
      <c r="C126" s="31" t="s">
        <v>170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11"/>
        <v>0</v>
      </c>
      <c r="R126">
        <f t="shared" si="12"/>
        <v>475</v>
      </c>
      <c r="S126" s="28">
        <f t="shared" si="13"/>
        <v>0</v>
      </c>
      <c r="T126" t="str">
        <f t="shared" si="14"/>
        <v xml:space="preserve"> -&gt; </v>
      </c>
    </row>
    <row r="127" spans="1:20">
      <c r="A127" s="31"/>
      <c r="B127" s="32"/>
      <c r="C127" s="31" t="s">
        <v>170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11"/>
        <v>0</v>
      </c>
      <c r="R127">
        <f t="shared" si="12"/>
        <v>475</v>
      </c>
      <c r="S127" s="28">
        <f t="shared" si="13"/>
        <v>0</v>
      </c>
      <c r="T127" t="str">
        <f t="shared" si="14"/>
        <v xml:space="preserve"> -&gt; </v>
      </c>
    </row>
    <row r="128" spans="1:20">
      <c r="A128" s="31"/>
      <c r="B128" s="32"/>
      <c r="C128" s="31" t="s">
        <v>170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11"/>
        <v>0</v>
      </c>
      <c r="R128">
        <f t="shared" si="12"/>
        <v>475</v>
      </c>
      <c r="S128" s="28">
        <f t="shared" si="13"/>
        <v>0</v>
      </c>
      <c r="T128" t="str">
        <f t="shared" si="14"/>
        <v xml:space="preserve"> -&gt; </v>
      </c>
    </row>
    <row r="129" spans="1:20">
      <c r="A129" s="31"/>
      <c r="B129" s="32"/>
      <c r="C129" s="31" t="s">
        <v>170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11"/>
        <v>0</v>
      </c>
      <c r="R129">
        <f t="shared" si="12"/>
        <v>475</v>
      </c>
      <c r="S129" s="28">
        <f t="shared" si="13"/>
        <v>0</v>
      </c>
      <c r="T129" t="str">
        <f t="shared" si="14"/>
        <v xml:space="preserve"> -&gt; </v>
      </c>
    </row>
    <row r="130" spans="1:20">
      <c r="A130" s="31"/>
      <c r="B130" s="32"/>
      <c r="C130" s="31" t="s">
        <v>170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11"/>
        <v>0</v>
      </c>
      <c r="R130">
        <f t="shared" si="12"/>
        <v>475</v>
      </c>
      <c r="S130" s="28">
        <f t="shared" si="13"/>
        <v>0</v>
      </c>
      <c r="T130" t="str">
        <f t="shared" si="14"/>
        <v xml:space="preserve"> -&gt; </v>
      </c>
    </row>
    <row r="131" spans="1:20">
      <c r="A131" s="31"/>
      <c r="B131" s="32"/>
      <c r="C131" s="31" t="s">
        <v>170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15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si="11"/>
        <v>0</v>
      </c>
      <c r="R131">
        <f t="shared" si="12"/>
        <v>475</v>
      </c>
      <c r="S131" s="28">
        <f t="shared" si="13"/>
        <v>0</v>
      </c>
      <c r="T131" t="str">
        <f t="shared" si="14"/>
        <v xml:space="preserve"> -&gt; </v>
      </c>
    </row>
    <row r="132" spans="1:20">
      <c r="A132" s="31"/>
      <c r="B132" s="32"/>
      <c r="C132" s="31" t="s">
        <v>170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15"/>
        <v/>
      </c>
      <c r="P132">
        <f>'Combined Delivery Data'!B157</f>
        <v>0</v>
      </c>
      <c r="Q132">
        <f t="shared" si="11"/>
        <v>0</v>
      </c>
      <c r="R132">
        <f t="shared" si="12"/>
        <v>475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170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15"/>
        <v/>
      </c>
      <c r="P133">
        <f>'Combined Delivery Data'!B158</f>
        <v>0</v>
      </c>
      <c r="Q133">
        <f t="shared" si="11"/>
        <v>0</v>
      </c>
      <c r="R133">
        <f t="shared" si="12"/>
        <v>475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170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15"/>
        <v/>
      </c>
      <c r="P134">
        <f>'Combined Delivery Data'!B159</f>
        <v>0</v>
      </c>
      <c r="Q134">
        <f t="shared" si="11"/>
        <v>0</v>
      </c>
      <c r="R134">
        <f t="shared" si="12"/>
        <v>475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170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15"/>
        <v/>
      </c>
      <c r="P135">
        <f>'Combined Delivery Data'!B160</f>
        <v>0</v>
      </c>
      <c r="Q135">
        <f t="shared" si="11"/>
        <v>0</v>
      </c>
      <c r="R135">
        <f t="shared" si="12"/>
        <v>475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170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15"/>
        <v/>
      </c>
      <c r="P136">
        <f>'Combined Delivery Data'!B161</f>
        <v>0</v>
      </c>
      <c r="Q136">
        <f t="shared" si="11"/>
        <v>0</v>
      </c>
      <c r="R136">
        <f t="shared" si="12"/>
        <v>475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170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15"/>
        <v/>
      </c>
      <c r="P137">
        <f>'Combined Delivery Data'!B162</f>
        <v>0</v>
      </c>
      <c r="Q137">
        <f t="shared" si="11"/>
        <v>0</v>
      </c>
      <c r="R137">
        <f t="shared" si="12"/>
        <v>475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170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15"/>
        <v/>
      </c>
      <c r="P138">
        <f>'Combined Delivery Data'!B163</f>
        <v>0</v>
      </c>
      <c r="Q138">
        <f t="shared" si="11"/>
        <v>0</v>
      </c>
      <c r="R138">
        <f t="shared" si="12"/>
        <v>475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170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15"/>
        <v/>
      </c>
      <c r="P139">
        <f>'Combined Delivery Data'!B164</f>
        <v>0</v>
      </c>
      <c r="Q139">
        <f t="shared" si="11"/>
        <v>0</v>
      </c>
      <c r="R139">
        <f t="shared" si="12"/>
        <v>475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170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15"/>
        <v/>
      </c>
      <c r="P140">
        <f>'Combined Delivery Data'!B165</f>
        <v>0</v>
      </c>
      <c r="Q140">
        <f t="shared" si="11"/>
        <v>0</v>
      </c>
      <c r="R140">
        <f t="shared" si="12"/>
        <v>475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170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15"/>
        <v/>
      </c>
      <c r="P141">
        <f>'Combined Delivery Data'!B166</f>
        <v>0</v>
      </c>
      <c r="Q141">
        <f t="shared" si="11"/>
        <v>0</v>
      </c>
      <c r="R141">
        <f t="shared" si="12"/>
        <v>475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170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15"/>
        <v/>
      </c>
      <c r="P142">
        <f>'Combined Delivery Data'!B167</f>
        <v>0</v>
      </c>
      <c r="Q142">
        <f t="shared" si="11"/>
        <v>0</v>
      </c>
      <c r="R142">
        <f t="shared" si="12"/>
        <v>475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170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15"/>
        <v/>
      </c>
      <c r="P143">
        <f>'Combined Delivery Data'!B168</f>
        <v>0</v>
      </c>
      <c r="Q143">
        <f t="shared" si="11"/>
        <v>0</v>
      </c>
      <c r="R143">
        <f t="shared" si="12"/>
        <v>475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170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15"/>
        <v/>
      </c>
      <c r="P144">
        <f>'Combined Delivery Data'!B169</f>
        <v>0</v>
      </c>
      <c r="Q144">
        <f t="shared" si="11"/>
        <v>0</v>
      </c>
      <c r="R144">
        <f t="shared" si="12"/>
        <v>475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170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15"/>
        <v/>
      </c>
      <c r="P145">
        <f>'Combined Delivery Data'!B170</f>
        <v>0</v>
      </c>
      <c r="Q145">
        <f t="shared" si="11"/>
        <v>0</v>
      </c>
      <c r="R145">
        <f t="shared" si="12"/>
        <v>475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170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15"/>
        <v/>
      </c>
      <c r="P146">
        <f>'Combined Delivery Data'!B171</f>
        <v>0</v>
      </c>
      <c r="Q146">
        <f t="shared" ref="Q146:Q209" si="16">IF($P146="","",COUNTIF($A$3:$A$500,$P146))</f>
        <v>0</v>
      </c>
      <c r="R146">
        <f t="shared" ref="R146:R209" si="17">IF($P146="","",SUMPRODUCT(($A$3:$A$500=$P146)*($G$3:$G$500&lt;&gt;"Yes")*($G$3:$G$500&lt;&gt;"Did not pass re-test")))</f>
        <v>475</v>
      </c>
      <c r="S146" s="28">
        <f t="shared" ref="S146:S209" si="18">IF($P146="","",IF(SUMPRODUCT(MAX(($A$3:$A$500=$P146)*ROW($A$3:$A$500)))=0,"",INDEX($B:$B,SUMPRODUCT(MAX(($A$3:$A$500=$P146)*ROW($A$3:$A$500))))))</f>
        <v>0</v>
      </c>
      <c r="T146" t="str">
        <f t="shared" ref="T146:T209" si="19"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170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15"/>
        <v/>
      </c>
      <c r="P147">
        <f>'Combined Delivery Data'!B172</f>
        <v>0</v>
      </c>
      <c r="Q147">
        <f t="shared" si="16"/>
        <v>0</v>
      </c>
      <c r="R147">
        <f t="shared" si="17"/>
        <v>475</v>
      </c>
      <c r="S147" s="28">
        <f t="shared" si="18"/>
        <v>0</v>
      </c>
      <c r="T147" t="str">
        <f t="shared" si="19"/>
        <v xml:space="preserve"> -&gt; </v>
      </c>
    </row>
    <row r="148" spans="1:20">
      <c r="A148" s="31"/>
      <c r="B148" s="32"/>
      <c r="C148" s="31" t="s">
        <v>170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15"/>
        <v/>
      </c>
      <c r="P148">
        <f>'Combined Delivery Data'!B173</f>
        <v>0</v>
      </c>
      <c r="Q148">
        <f t="shared" si="16"/>
        <v>0</v>
      </c>
      <c r="R148">
        <f t="shared" si="17"/>
        <v>475</v>
      </c>
      <c r="S148" s="28">
        <f t="shared" si="18"/>
        <v>0</v>
      </c>
      <c r="T148" t="str">
        <f t="shared" si="19"/>
        <v xml:space="preserve"> -&gt; </v>
      </c>
    </row>
    <row r="149" spans="1:20">
      <c r="A149" s="31"/>
      <c r="B149" s="32"/>
      <c r="C149" s="31" t="s">
        <v>170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15"/>
        <v/>
      </c>
      <c r="P149">
        <f>'Combined Delivery Data'!B174</f>
        <v>0</v>
      </c>
      <c r="Q149">
        <f t="shared" si="16"/>
        <v>0</v>
      </c>
      <c r="R149">
        <f t="shared" si="17"/>
        <v>475</v>
      </c>
      <c r="S149" s="28">
        <f t="shared" si="18"/>
        <v>0</v>
      </c>
      <c r="T149" t="str">
        <f t="shared" si="19"/>
        <v xml:space="preserve"> -&gt; </v>
      </c>
    </row>
    <row r="150" spans="1:20">
      <c r="A150" s="31"/>
      <c r="B150" s="32"/>
      <c r="C150" s="31" t="s">
        <v>170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15"/>
        <v/>
      </c>
      <c r="P150">
        <f>'Combined Delivery Data'!B175</f>
        <v>0</v>
      </c>
      <c r="Q150">
        <f t="shared" si="16"/>
        <v>0</v>
      </c>
      <c r="R150">
        <f t="shared" si="17"/>
        <v>475</v>
      </c>
      <c r="S150" s="28">
        <f t="shared" si="18"/>
        <v>0</v>
      </c>
      <c r="T150" t="str">
        <f t="shared" si="19"/>
        <v xml:space="preserve"> -&gt; </v>
      </c>
    </row>
    <row r="151" spans="1:20">
      <c r="A151" s="31"/>
      <c r="B151" s="32"/>
      <c r="C151" s="31" t="s">
        <v>170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15"/>
        <v/>
      </c>
      <c r="P151">
        <f>'Combined Delivery Data'!B176</f>
        <v>0</v>
      </c>
      <c r="Q151">
        <f t="shared" si="16"/>
        <v>0</v>
      </c>
      <c r="R151">
        <f t="shared" si="17"/>
        <v>475</v>
      </c>
      <c r="S151" s="28">
        <f t="shared" si="18"/>
        <v>0</v>
      </c>
      <c r="T151" t="str">
        <f t="shared" si="19"/>
        <v xml:space="preserve"> -&gt; </v>
      </c>
    </row>
    <row r="152" spans="1:20">
      <c r="A152" s="31"/>
      <c r="B152" s="32"/>
      <c r="C152" s="31" t="s">
        <v>170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15"/>
        <v/>
      </c>
      <c r="P152">
        <f>'Combined Delivery Data'!B177</f>
        <v>0</v>
      </c>
      <c r="Q152">
        <f t="shared" si="16"/>
        <v>0</v>
      </c>
      <c r="R152">
        <f t="shared" si="17"/>
        <v>475</v>
      </c>
      <c r="S152" s="28">
        <f t="shared" si="18"/>
        <v>0</v>
      </c>
      <c r="T152" t="str">
        <f t="shared" si="19"/>
        <v xml:space="preserve"> -&gt; </v>
      </c>
    </row>
    <row r="153" spans="1:20">
      <c r="A153" s="31"/>
      <c r="B153" s="32"/>
      <c r="C153" s="31" t="s">
        <v>170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15"/>
        <v/>
      </c>
      <c r="P153">
        <f>'Combined Delivery Data'!B178</f>
        <v>0</v>
      </c>
      <c r="Q153">
        <f t="shared" si="16"/>
        <v>0</v>
      </c>
      <c r="R153">
        <f t="shared" si="17"/>
        <v>475</v>
      </c>
      <c r="S153" s="28">
        <f t="shared" si="18"/>
        <v>0</v>
      </c>
      <c r="T153" t="str">
        <f t="shared" si="19"/>
        <v xml:space="preserve"> -&gt; </v>
      </c>
    </row>
    <row r="154" spans="1:20">
      <c r="A154" s="31"/>
      <c r="B154" s="32"/>
      <c r="C154" s="31" t="s">
        <v>170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15"/>
        <v/>
      </c>
      <c r="P154">
        <f>'Combined Delivery Data'!B179</f>
        <v>0</v>
      </c>
      <c r="Q154">
        <f t="shared" si="16"/>
        <v>0</v>
      </c>
      <c r="R154">
        <f t="shared" si="17"/>
        <v>475</v>
      </c>
      <c r="S154" s="28">
        <f t="shared" si="18"/>
        <v>0</v>
      </c>
      <c r="T154" t="str">
        <f t="shared" si="19"/>
        <v xml:space="preserve"> -&gt; </v>
      </c>
    </row>
    <row r="155" spans="1:20">
      <c r="A155" s="31"/>
      <c r="B155" s="32"/>
      <c r="C155" s="31" t="s">
        <v>170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15"/>
        <v/>
      </c>
      <c r="P155">
        <f>'Combined Delivery Data'!B180</f>
        <v>0</v>
      </c>
      <c r="Q155">
        <f t="shared" si="16"/>
        <v>0</v>
      </c>
      <c r="R155">
        <f t="shared" si="17"/>
        <v>475</v>
      </c>
      <c r="S155" s="28">
        <f t="shared" si="18"/>
        <v>0</v>
      </c>
      <c r="T155" t="str">
        <f t="shared" si="19"/>
        <v xml:space="preserve"> -&gt; </v>
      </c>
    </row>
    <row r="156" spans="1:20">
      <c r="A156" s="31"/>
      <c r="B156" s="32"/>
      <c r="C156" s="31" t="s">
        <v>170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15"/>
        <v/>
      </c>
      <c r="P156">
        <f>'Combined Delivery Data'!B181</f>
        <v>0</v>
      </c>
      <c r="Q156">
        <f t="shared" si="16"/>
        <v>0</v>
      </c>
      <c r="R156">
        <f t="shared" si="17"/>
        <v>475</v>
      </c>
      <c r="S156" s="28">
        <f t="shared" si="18"/>
        <v>0</v>
      </c>
      <c r="T156" t="str">
        <f t="shared" si="19"/>
        <v xml:space="preserve"> -&gt; </v>
      </c>
    </row>
    <row r="157" spans="1:20">
      <c r="A157" s="31"/>
      <c r="B157" s="32"/>
      <c r="C157" s="31" t="s">
        <v>170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15"/>
        <v/>
      </c>
      <c r="P157">
        <f>'Combined Delivery Data'!B182</f>
        <v>0</v>
      </c>
      <c r="Q157">
        <f t="shared" si="16"/>
        <v>0</v>
      </c>
      <c r="R157">
        <f t="shared" si="17"/>
        <v>475</v>
      </c>
      <c r="S157" s="28">
        <f t="shared" si="18"/>
        <v>0</v>
      </c>
      <c r="T157" t="str">
        <f t="shared" si="19"/>
        <v xml:space="preserve"> -&gt; </v>
      </c>
    </row>
    <row r="158" spans="1:20">
      <c r="A158" s="31"/>
      <c r="B158" s="32"/>
      <c r="C158" s="31" t="s">
        <v>170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15"/>
        <v/>
      </c>
      <c r="P158">
        <f>'Combined Delivery Data'!B183</f>
        <v>0</v>
      </c>
      <c r="Q158">
        <f t="shared" si="16"/>
        <v>0</v>
      </c>
      <c r="R158">
        <f t="shared" si="17"/>
        <v>475</v>
      </c>
      <c r="S158" s="28">
        <f t="shared" si="18"/>
        <v>0</v>
      </c>
      <c r="T158" t="str">
        <f t="shared" si="19"/>
        <v xml:space="preserve"> -&gt; </v>
      </c>
    </row>
    <row r="159" spans="1:20">
      <c r="A159" s="31"/>
      <c r="B159" s="32"/>
      <c r="C159" s="31" t="s">
        <v>170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15"/>
        <v/>
      </c>
      <c r="P159">
        <f>'Combined Delivery Data'!B184</f>
        <v>0</v>
      </c>
      <c r="Q159">
        <f t="shared" si="16"/>
        <v>0</v>
      </c>
      <c r="R159">
        <f t="shared" si="17"/>
        <v>475</v>
      </c>
      <c r="S159" s="28">
        <f t="shared" si="18"/>
        <v>0</v>
      </c>
      <c r="T159" t="str">
        <f t="shared" si="19"/>
        <v xml:space="preserve"> -&gt; </v>
      </c>
    </row>
    <row r="160" spans="1:20">
      <c r="A160" s="31"/>
      <c r="B160" s="32"/>
      <c r="C160" s="31" t="s">
        <v>170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15"/>
        <v/>
      </c>
      <c r="P160">
        <f>'Combined Delivery Data'!B185</f>
        <v>0</v>
      </c>
      <c r="Q160">
        <f t="shared" si="16"/>
        <v>0</v>
      </c>
      <c r="R160">
        <f t="shared" si="17"/>
        <v>475</v>
      </c>
      <c r="S160" s="28">
        <f t="shared" si="18"/>
        <v>0</v>
      </c>
      <c r="T160" t="str">
        <f t="shared" si="19"/>
        <v xml:space="preserve"> -&gt; </v>
      </c>
    </row>
    <row r="161" spans="1:20">
      <c r="A161" s="31"/>
      <c r="B161" s="32"/>
      <c r="C161" s="31" t="s">
        <v>170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15"/>
        <v/>
      </c>
      <c r="P161">
        <f>'Combined Delivery Data'!B186</f>
        <v>0</v>
      </c>
      <c r="Q161">
        <f t="shared" si="16"/>
        <v>0</v>
      </c>
      <c r="R161">
        <f t="shared" si="17"/>
        <v>475</v>
      </c>
      <c r="S161" s="28">
        <f t="shared" si="18"/>
        <v>0</v>
      </c>
      <c r="T161" t="str">
        <f t="shared" si="19"/>
        <v xml:space="preserve"> -&gt; </v>
      </c>
    </row>
    <row r="162" spans="1:20">
      <c r="A162" s="31"/>
      <c r="B162" s="32"/>
      <c r="C162" s="31" t="s">
        <v>170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15"/>
        <v/>
      </c>
      <c r="P162">
        <f>'Combined Delivery Data'!B187</f>
        <v>0</v>
      </c>
      <c r="Q162">
        <f t="shared" si="16"/>
        <v>0</v>
      </c>
      <c r="R162">
        <f t="shared" si="17"/>
        <v>475</v>
      </c>
      <c r="S162" s="28">
        <f t="shared" si="18"/>
        <v>0</v>
      </c>
      <c r="T162" t="str">
        <f t="shared" si="19"/>
        <v xml:space="preserve"> -&gt; </v>
      </c>
    </row>
    <row r="163" spans="1:20">
      <c r="A163" s="31"/>
      <c r="B163" s="32"/>
      <c r="C163" s="31" t="s">
        <v>170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15"/>
        <v/>
      </c>
      <c r="P163">
        <f>'Combined Delivery Data'!B188</f>
        <v>0</v>
      </c>
      <c r="Q163">
        <f t="shared" si="16"/>
        <v>0</v>
      </c>
      <c r="R163">
        <f t="shared" si="17"/>
        <v>475</v>
      </c>
      <c r="S163" s="28">
        <f t="shared" si="18"/>
        <v>0</v>
      </c>
      <c r="T163" t="str">
        <f t="shared" si="19"/>
        <v xml:space="preserve"> -&gt; </v>
      </c>
    </row>
    <row r="164" spans="1:20">
      <c r="A164" s="31"/>
      <c r="B164" s="32"/>
      <c r="C164" s="31" t="s">
        <v>170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15"/>
        <v/>
      </c>
      <c r="P164">
        <f>'Combined Delivery Data'!B189</f>
        <v>0</v>
      </c>
      <c r="Q164">
        <f t="shared" si="16"/>
        <v>0</v>
      </c>
      <c r="R164">
        <f t="shared" si="17"/>
        <v>475</v>
      </c>
      <c r="S164" s="28">
        <f t="shared" si="18"/>
        <v>0</v>
      </c>
      <c r="T164" t="str">
        <f t="shared" si="19"/>
        <v xml:space="preserve"> -&gt; </v>
      </c>
    </row>
    <row r="165" spans="1:20">
      <c r="A165" s="31"/>
      <c r="B165" s="32"/>
      <c r="C165" s="31" t="s">
        <v>170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15"/>
        <v/>
      </c>
      <c r="P165">
        <f>'Combined Delivery Data'!B190</f>
        <v>0</v>
      </c>
      <c r="Q165">
        <f t="shared" si="16"/>
        <v>0</v>
      </c>
      <c r="R165">
        <f t="shared" si="17"/>
        <v>475</v>
      </c>
      <c r="S165" s="28">
        <f t="shared" si="18"/>
        <v>0</v>
      </c>
      <c r="T165" t="str">
        <f t="shared" si="19"/>
        <v xml:space="preserve"> -&gt; </v>
      </c>
    </row>
    <row r="166" spans="1:20">
      <c r="A166" s="31"/>
      <c r="B166" s="32"/>
      <c r="C166" s="31" t="s">
        <v>170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15"/>
        <v/>
      </c>
      <c r="P166">
        <f>'Combined Delivery Data'!B191</f>
        <v>0</v>
      </c>
      <c r="Q166">
        <f t="shared" si="16"/>
        <v>0</v>
      </c>
      <c r="R166">
        <f t="shared" si="17"/>
        <v>475</v>
      </c>
      <c r="S166" s="28">
        <f t="shared" si="18"/>
        <v>0</v>
      </c>
      <c r="T166" t="str">
        <f t="shared" si="19"/>
        <v xml:space="preserve"> -&gt; </v>
      </c>
    </row>
    <row r="167" spans="1:20">
      <c r="A167" s="31"/>
      <c r="B167" s="32"/>
      <c r="C167" s="31" t="s">
        <v>170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15"/>
        <v/>
      </c>
      <c r="P167">
        <f>'Combined Delivery Data'!B192</f>
        <v>0</v>
      </c>
      <c r="Q167">
        <f t="shared" si="16"/>
        <v>0</v>
      </c>
      <c r="R167">
        <f t="shared" si="17"/>
        <v>475</v>
      </c>
      <c r="S167" s="28">
        <f t="shared" si="18"/>
        <v>0</v>
      </c>
      <c r="T167" t="str">
        <f t="shared" si="19"/>
        <v xml:space="preserve"> -&gt; </v>
      </c>
    </row>
    <row r="168" spans="1:20">
      <c r="A168" s="31"/>
      <c r="B168" s="32"/>
      <c r="C168" s="31" t="s">
        <v>170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15"/>
        <v/>
      </c>
      <c r="P168">
        <f>'Combined Delivery Data'!B193</f>
        <v>0</v>
      </c>
      <c r="Q168">
        <f t="shared" si="16"/>
        <v>0</v>
      </c>
      <c r="R168">
        <f t="shared" si="17"/>
        <v>475</v>
      </c>
      <c r="S168" s="28">
        <f t="shared" si="18"/>
        <v>0</v>
      </c>
      <c r="T168" t="str">
        <f t="shared" si="19"/>
        <v xml:space="preserve"> -&gt; </v>
      </c>
    </row>
    <row r="169" spans="1:20">
      <c r="A169" s="31"/>
      <c r="B169" s="32"/>
      <c r="C169" s="31" t="s">
        <v>170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15"/>
        <v/>
      </c>
      <c r="P169">
        <f>'Combined Delivery Data'!B194</f>
        <v>0</v>
      </c>
      <c r="Q169">
        <f t="shared" si="16"/>
        <v>0</v>
      </c>
      <c r="R169">
        <f t="shared" si="17"/>
        <v>475</v>
      </c>
      <c r="S169" s="28">
        <f t="shared" si="18"/>
        <v>0</v>
      </c>
      <c r="T169" t="str">
        <f t="shared" si="19"/>
        <v xml:space="preserve"> -&gt; </v>
      </c>
    </row>
    <row r="170" spans="1:20">
      <c r="A170" s="31"/>
      <c r="B170" s="32"/>
      <c r="C170" s="31" t="s">
        <v>170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15"/>
        <v/>
      </c>
      <c r="P170">
        <f>'Combined Delivery Data'!B195</f>
        <v>0</v>
      </c>
      <c r="Q170">
        <f t="shared" si="16"/>
        <v>0</v>
      </c>
      <c r="R170">
        <f t="shared" si="17"/>
        <v>475</v>
      </c>
      <c r="S170" s="28">
        <f t="shared" si="18"/>
        <v>0</v>
      </c>
      <c r="T170" t="str">
        <f t="shared" si="19"/>
        <v xml:space="preserve"> -&gt; </v>
      </c>
    </row>
    <row r="171" spans="1:20">
      <c r="A171" s="31"/>
      <c r="B171" s="32"/>
      <c r="C171" s="31" t="s">
        <v>170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15"/>
        <v/>
      </c>
      <c r="P171">
        <f>'Combined Delivery Data'!B196</f>
        <v>0</v>
      </c>
      <c r="Q171">
        <f t="shared" si="16"/>
        <v>0</v>
      </c>
      <c r="R171">
        <f t="shared" si="17"/>
        <v>475</v>
      </c>
      <c r="S171" s="28">
        <f t="shared" si="18"/>
        <v>0</v>
      </c>
      <c r="T171" t="str">
        <f t="shared" si="19"/>
        <v xml:space="preserve"> -&gt; </v>
      </c>
    </row>
    <row r="172" spans="1:20">
      <c r="A172" s="31"/>
      <c r="B172" s="32"/>
      <c r="C172" s="31" t="s">
        <v>170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15"/>
        <v/>
      </c>
      <c r="P172">
        <f>'Combined Delivery Data'!B197</f>
        <v>0</v>
      </c>
      <c r="Q172">
        <f t="shared" si="16"/>
        <v>0</v>
      </c>
      <c r="R172">
        <f t="shared" si="17"/>
        <v>475</v>
      </c>
      <c r="S172" s="28">
        <f t="shared" si="18"/>
        <v>0</v>
      </c>
      <c r="T172" t="str">
        <f t="shared" si="19"/>
        <v xml:space="preserve"> -&gt; </v>
      </c>
    </row>
    <row r="173" spans="1:20">
      <c r="A173" s="31"/>
      <c r="B173" s="32"/>
      <c r="C173" s="31" t="s">
        <v>170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15"/>
        <v/>
      </c>
      <c r="P173">
        <f>'Combined Delivery Data'!B198</f>
        <v>0</v>
      </c>
      <c r="Q173">
        <f t="shared" si="16"/>
        <v>0</v>
      </c>
      <c r="R173">
        <f t="shared" si="17"/>
        <v>475</v>
      </c>
      <c r="S173" s="28">
        <f t="shared" si="18"/>
        <v>0</v>
      </c>
      <c r="T173" t="str">
        <f t="shared" si="19"/>
        <v xml:space="preserve"> -&gt; </v>
      </c>
    </row>
    <row r="174" spans="1:20">
      <c r="A174" s="31"/>
      <c r="B174" s="32"/>
      <c r="C174" s="31" t="s">
        <v>170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15"/>
        <v/>
      </c>
      <c r="P174">
        <f>'Combined Delivery Data'!B199</f>
        <v>0</v>
      </c>
      <c r="Q174">
        <f t="shared" si="16"/>
        <v>0</v>
      </c>
      <c r="R174">
        <f t="shared" si="17"/>
        <v>475</v>
      </c>
      <c r="S174" s="28">
        <f t="shared" si="18"/>
        <v>0</v>
      </c>
      <c r="T174" t="str">
        <f t="shared" si="19"/>
        <v xml:space="preserve"> -&gt; </v>
      </c>
    </row>
    <row r="175" spans="1:20">
      <c r="A175" s="31"/>
      <c r="B175" s="32"/>
      <c r="C175" s="31" t="s">
        <v>170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15"/>
        <v/>
      </c>
      <c r="P175">
        <f>'Combined Delivery Data'!B200</f>
        <v>0</v>
      </c>
      <c r="Q175">
        <f t="shared" si="16"/>
        <v>0</v>
      </c>
      <c r="R175">
        <f t="shared" si="17"/>
        <v>475</v>
      </c>
      <c r="S175" s="28">
        <f t="shared" si="18"/>
        <v>0</v>
      </c>
      <c r="T175" t="str">
        <f t="shared" si="19"/>
        <v xml:space="preserve"> -&gt; </v>
      </c>
    </row>
    <row r="176" spans="1:20">
      <c r="A176" s="31"/>
      <c r="B176" s="32"/>
      <c r="C176" s="31" t="s">
        <v>170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15"/>
        <v/>
      </c>
      <c r="P176">
        <f>'Combined Delivery Data'!B201</f>
        <v>0</v>
      </c>
      <c r="Q176">
        <f t="shared" si="16"/>
        <v>0</v>
      </c>
      <c r="R176">
        <f t="shared" si="17"/>
        <v>475</v>
      </c>
      <c r="S176" s="28">
        <f t="shared" si="18"/>
        <v>0</v>
      </c>
      <c r="T176" t="str">
        <f t="shared" si="19"/>
        <v xml:space="preserve"> -&gt; </v>
      </c>
    </row>
    <row r="177" spans="1:20">
      <c r="A177" s="31"/>
      <c r="B177" s="32"/>
      <c r="C177" s="31" t="s">
        <v>170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15"/>
        <v/>
      </c>
      <c r="P177">
        <f>'Combined Delivery Data'!B202</f>
        <v>0</v>
      </c>
      <c r="Q177">
        <f t="shared" si="16"/>
        <v>0</v>
      </c>
      <c r="R177">
        <f t="shared" si="17"/>
        <v>475</v>
      </c>
      <c r="S177" s="28">
        <f t="shared" si="18"/>
        <v>0</v>
      </c>
      <c r="T177" t="str">
        <f t="shared" si="19"/>
        <v xml:space="preserve"> -&gt; </v>
      </c>
    </row>
    <row r="178" spans="1:20">
      <c r="A178" s="31"/>
      <c r="B178" s="32"/>
      <c r="C178" s="31" t="s">
        <v>170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15"/>
        <v/>
      </c>
      <c r="P178">
        <f>'Combined Delivery Data'!B203</f>
        <v>0</v>
      </c>
      <c r="Q178">
        <f t="shared" si="16"/>
        <v>0</v>
      </c>
      <c r="R178">
        <f t="shared" si="17"/>
        <v>475</v>
      </c>
      <c r="S178" s="28">
        <f t="shared" si="18"/>
        <v>0</v>
      </c>
      <c r="T178" t="str">
        <f t="shared" si="19"/>
        <v xml:space="preserve"> -&gt; </v>
      </c>
    </row>
    <row r="179" spans="1:20">
      <c r="A179" s="31"/>
      <c r="B179" s="32"/>
      <c r="C179" s="31" t="s">
        <v>170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15"/>
        <v/>
      </c>
      <c r="P179">
        <f>'Combined Delivery Data'!B204</f>
        <v>0</v>
      </c>
      <c r="Q179">
        <f t="shared" si="16"/>
        <v>0</v>
      </c>
      <c r="R179">
        <f t="shared" si="17"/>
        <v>475</v>
      </c>
      <c r="S179" s="28">
        <f t="shared" si="18"/>
        <v>0</v>
      </c>
      <c r="T179" t="str">
        <f t="shared" si="19"/>
        <v xml:space="preserve"> -&gt; </v>
      </c>
    </row>
    <row r="180" spans="1:20">
      <c r="A180" s="31"/>
      <c r="B180" s="32"/>
      <c r="C180" s="31" t="s">
        <v>170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15"/>
        <v/>
      </c>
      <c r="P180">
        <f>'Combined Delivery Data'!B205</f>
        <v>0</v>
      </c>
      <c r="Q180">
        <f t="shared" si="16"/>
        <v>0</v>
      </c>
      <c r="R180">
        <f t="shared" si="17"/>
        <v>475</v>
      </c>
      <c r="S180" s="28">
        <f t="shared" si="18"/>
        <v>0</v>
      </c>
      <c r="T180" t="str">
        <f t="shared" si="19"/>
        <v xml:space="preserve"> -&gt; </v>
      </c>
    </row>
    <row r="181" spans="1:20">
      <c r="A181" s="31"/>
      <c r="B181" s="32"/>
      <c r="C181" s="31" t="s">
        <v>170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15"/>
        <v/>
      </c>
      <c r="P181">
        <f>'Combined Delivery Data'!B206</f>
        <v>0</v>
      </c>
      <c r="Q181">
        <f t="shared" si="16"/>
        <v>0</v>
      </c>
      <c r="R181">
        <f t="shared" si="17"/>
        <v>475</v>
      </c>
      <c r="S181" s="28">
        <f t="shared" si="18"/>
        <v>0</v>
      </c>
      <c r="T181" t="str">
        <f t="shared" si="19"/>
        <v xml:space="preserve"> -&gt; </v>
      </c>
    </row>
    <row r="182" spans="1:20">
      <c r="A182" s="31"/>
      <c r="B182" s="32"/>
      <c r="C182" s="31" t="s">
        <v>170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15"/>
        <v/>
      </c>
      <c r="P182">
        <f>'Combined Delivery Data'!B207</f>
        <v>0</v>
      </c>
      <c r="Q182">
        <f t="shared" si="16"/>
        <v>0</v>
      </c>
      <c r="R182">
        <f t="shared" si="17"/>
        <v>475</v>
      </c>
      <c r="S182" s="28">
        <f t="shared" si="18"/>
        <v>0</v>
      </c>
      <c r="T182" t="str">
        <f t="shared" si="19"/>
        <v xml:space="preserve"> -&gt; </v>
      </c>
    </row>
    <row r="183" spans="1:20">
      <c r="A183" s="31"/>
      <c r="B183" s="32"/>
      <c r="C183" s="31" t="s">
        <v>170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15"/>
        <v/>
      </c>
      <c r="P183">
        <f>'Combined Delivery Data'!B208</f>
        <v>0</v>
      </c>
      <c r="Q183">
        <f t="shared" si="16"/>
        <v>0</v>
      </c>
      <c r="R183">
        <f t="shared" si="17"/>
        <v>475</v>
      </c>
      <c r="S183" s="28">
        <f t="shared" si="18"/>
        <v>0</v>
      </c>
      <c r="T183" t="str">
        <f t="shared" si="19"/>
        <v xml:space="preserve"> -&gt; </v>
      </c>
    </row>
    <row r="184" spans="1:20">
      <c r="A184" s="31"/>
      <c r="B184" s="32"/>
      <c r="C184" s="31" t="s">
        <v>170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15"/>
        <v/>
      </c>
      <c r="P184">
        <f>'Combined Delivery Data'!B209</f>
        <v>0</v>
      </c>
      <c r="Q184">
        <f t="shared" si="16"/>
        <v>0</v>
      </c>
      <c r="R184">
        <f t="shared" si="17"/>
        <v>475</v>
      </c>
      <c r="S184" s="28">
        <f t="shared" si="18"/>
        <v>0</v>
      </c>
      <c r="T184" t="str">
        <f t="shared" si="19"/>
        <v xml:space="preserve"> -&gt; </v>
      </c>
    </row>
    <row r="185" spans="1:20">
      <c r="A185" s="31"/>
      <c r="B185" s="32"/>
      <c r="C185" s="31" t="s">
        <v>170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15"/>
        <v/>
      </c>
      <c r="P185">
        <f>'Combined Delivery Data'!B210</f>
        <v>0</v>
      </c>
      <c r="Q185">
        <f t="shared" si="16"/>
        <v>0</v>
      </c>
      <c r="R185">
        <f t="shared" si="17"/>
        <v>475</v>
      </c>
      <c r="S185" s="28">
        <f t="shared" si="18"/>
        <v>0</v>
      </c>
      <c r="T185" t="str">
        <f t="shared" si="19"/>
        <v xml:space="preserve"> -&gt; </v>
      </c>
    </row>
    <row r="186" spans="1:20">
      <c r="A186" s="31"/>
      <c r="B186" s="32"/>
      <c r="C186" s="31" t="s">
        <v>170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15"/>
        <v/>
      </c>
      <c r="P186">
        <f>'Combined Delivery Data'!B211</f>
        <v>0</v>
      </c>
      <c r="Q186">
        <f t="shared" si="16"/>
        <v>0</v>
      </c>
      <c r="R186">
        <f t="shared" si="17"/>
        <v>475</v>
      </c>
      <c r="S186" s="28">
        <f t="shared" si="18"/>
        <v>0</v>
      </c>
      <c r="T186" t="str">
        <f t="shared" si="19"/>
        <v xml:space="preserve"> -&gt; </v>
      </c>
    </row>
    <row r="187" spans="1:20">
      <c r="A187" s="31"/>
      <c r="B187" s="32"/>
      <c r="C187" s="31" t="s">
        <v>170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15"/>
        <v/>
      </c>
      <c r="P187">
        <f>'Combined Delivery Data'!B212</f>
        <v>0</v>
      </c>
      <c r="Q187">
        <f t="shared" si="16"/>
        <v>0</v>
      </c>
      <c r="R187">
        <f t="shared" si="17"/>
        <v>475</v>
      </c>
      <c r="S187" s="28">
        <f t="shared" si="18"/>
        <v>0</v>
      </c>
      <c r="T187" t="str">
        <f t="shared" si="19"/>
        <v xml:space="preserve"> -&gt; </v>
      </c>
    </row>
    <row r="188" spans="1:20">
      <c r="A188" s="31"/>
      <c r="B188" s="32"/>
      <c r="C188" s="31" t="s">
        <v>170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15"/>
        <v/>
      </c>
      <c r="P188">
        <f>'Combined Delivery Data'!B213</f>
        <v>0</v>
      </c>
      <c r="Q188">
        <f t="shared" si="16"/>
        <v>0</v>
      </c>
      <c r="R188">
        <f t="shared" si="17"/>
        <v>475</v>
      </c>
      <c r="S188" s="28">
        <f t="shared" si="18"/>
        <v>0</v>
      </c>
      <c r="T188" t="str">
        <f t="shared" si="19"/>
        <v xml:space="preserve"> -&gt; </v>
      </c>
    </row>
    <row r="189" spans="1:20">
      <c r="A189" s="31"/>
      <c r="B189" s="32"/>
      <c r="C189" s="31" t="s">
        <v>170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15"/>
        <v/>
      </c>
      <c r="P189">
        <f>'Combined Delivery Data'!B214</f>
        <v>0</v>
      </c>
      <c r="Q189">
        <f t="shared" si="16"/>
        <v>0</v>
      </c>
      <c r="R189">
        <f t="shared" si="17"/>
        <v>475</v>
      </c>
      <c r="S189" s="28">
        <f t="shared" si="18"/>
        <v>0</v>
      </c>
      <c r="T189" t="str">
        <f t="shared" si="19"/>
        <v xml:space="preserve"> -&gt; </v>
      </c>
    </row>
    <row r="190" spans="1:20">
      <c r="A190" s="31"/>
      <c r="B190" s="32"/>
      <c r="C190" s="31" t="s">
        <v>170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15"/>
        <v/>
      </c>
      <c r="P190">
        <f>'Combined Delivery Data'!B215</f>
        <v>0</v>
      </c>
      <c r="Q190">
        <f t="shared" si="16"/>
        <v>0</v>
      </c>
      <c r="R190">
        <f t="shared" si="17"/>
        <v>475</v>
      </c>
      <c r="S190" s="28">
        <f t="shared" si="18"/>
        <v>0</v>
      </c>
      <c r="T190" t="str">
        <f t="shared" si="19"/>
        <v xml:space="preserve"> -&gt; </v>
      </c>
    </row>
    <row r="191" spans="1:20">
      <c r="A191" s="31"/>
      <c r="B191" s="32"/>
      <c r="C191" s="31" t="s">
        <v>170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15"/>
        <v/>
      </c>
      <c r="P191">
        <f>'Combined Delivery Data'!B216</f>
        <v>0</v>
      </c>
      <c r="Q191">
        <f t="shared" si="16"/>
        <v>0</v>
      </c>
      <c r="R191">
        <f t="shared" si="17"/>
        <v>475</v>
      </c>
      <c r="S191" s="28">
        <f t="shared" si="18"/>
        <v>0</v>
      </c>
      <c r="T191" t="str">
        <f t="shared" si="19"/>
        <v xml:space="preserve"> -&gt; </v>
      </c>
    </row>
    <row r="192" spans="1:20">
      <c r="A192" s="31"/>
      <c r="B192" s="32"/>
      <c r="C192" s="31" t="s">
        <v>170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15"/>
        <v/>
      </c>
      <c r="P192">
        <f>'Combined Delivery Data'!B217</f>
        <v>0</v>
      </c>
      <c r="Q192">
        <f t="shared" si="16"/>
        <v>0</v>
      </c>
      <c r="R192">
        <f t="shared" si="17"/>
        <v>475</v>
      </c>
      <c r="S192" s="28">
        <f t="shared" si="18"/>
        <v>0</v>
      </c>
      <c r="T192" t="str">
        <f t="shared" si="19"/>
        <v xml:space="preserve"> -&gt; </v>
      </c>
    </row>
    <row r="193" spans="1:20">
      <c r="A193" s="31"/>
      <c r="B193" s="32"/>
      <c r="C193" s="31" t="s">
        <v>170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15"/>
        <v/>
      </c>
      <c r="P193">
        <f>'Combined Delivery Data'!B218</f>
        <v>0</v>
      </c>
      <c r="Q193">
        <f t="shared" si="16"/>
        <v>0</v>
      </c>
      <c r="R193">
        <f t="shared" si="17"/>
        <v>475</v>
      </c>
      <c r="S193" s="28">
        <f t="shared" si="18"/>
        <v>0</v>
      </c>
      <c r="T193" t="str">
        <f t="shared" si="19"/>
        <v xml:space="preserve"> -&gt; </v>
      </c>
    </row>
    <row r="194" spans="1:20">
      <c r="A194" s="31"/>
      <c r="B194" s="32"/>
      <c r="C194" s="31" t="s">
        <v>170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15"/>
        <v/>
      </c>
      <c r="P194">
        <f>'Combined Delivery Data'!B219</f>
        <v>0</v>
      </c>
      <c r="Q194">
        <f t="shared" si="16"/>
        <v>0</v>
      </c>
      <c r="R194">
        <f t="shared" si="17"/>
        <v>475</v>
      </c>
      <c r="S194" s="28">
        <f t="shared" si="18"/>
        <v>0</v>
      </c>
      <c r="T194" t="str">
        <f t="shared" si="19"/>
        <v xml:space="preserve"> -&gt; </v>
      </c>
    </row>
    <row r="195" spans="1:20">
      <c r="A195" s="31"/>
      <c r="B195" s="32"/>
      <c r="C195" s="31" t="s">
        <v>170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20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si="16"/>
        <v>0</v>
      </c>
      <c r="R195">
        <f t="shared" si="17"/>
        <v>475</v>
      </c>
      <c r="S195" s="28">
        <f t="shared" si="18"/>
        <v>0</v>
      </c>
      <c r="T195" t="str">
        <f t="shared" si="19"/>
        <v xml:space="preserve"> -&gt; </v>
      </c>
    </row>
    <row r="196" spans="1:20">
      <c r="A196" s="31"/>
      <c r="B196" s="32"/>
      <c r="C196" s="31" t="s">
        <v>170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20"/>
        <v/>
      </c>
      <c r="P196">
        <f>'Combined Delivery Data'!B221</f>
        <v>0</v>
      </c>
      <c r="Q196">
        <f t="shared" si="16"/>
        <v>0</v>
      </c>
      <c r="R196">
        <f t="shared" si="17"/>
        <v>475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170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20"/>
        <v/>
      </c>
      <c r="P197">
        <f>'Combined Delivery Data'!B222</f>
        <v>0</v>
      </c>
      <c r="Q197">
        <f t="shared" si="16"/>
        <v>0</v>
      </c>
      <c r="R197">
        <f t="shared" si="17"/>
        <v>475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170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20"/>
        <v/>
      </c>
      <c r="P198">
        <f>'Combined Delivery Data'!B223</f>
        <v>0</v>
      </c>
      <c r="Q198">
        <f t="shared" si="16"/>
        <v>0</v>
      </c>
      <c r="R198">
        <f t="shared" si="17"/>
        <v>475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170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20"/>
        <v/>
      </c>
      <c r="P199">
        <f>'Combined Delivery Data'!B224</f>
        <v>0</v>
      </c>
      <c r="Q199">
        <f t="shared" si="16"/>
        <v>0</v>
      </c>
      <c r="R199">
        <f t="shared" si="17"/>
        <v>475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170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20"/>
        <v/>
      </c>
      <c r="P200">
        <f>'Combined Delivery Data'!B225</f>
        <v>0</v>
      </c>
      <c r="Q200">
        <f t="shared" si="16"/>
        <v>0</v>
      </c>
      <c r="R200">
        <f t="shared" si="17"/>
        <v>475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20"/>
        <v/>
      </c>
      <c r="P201">
        <f>'Combined Delivery Data'!B226</f>
        <v>0</v>
      </c>
      <c r="Q201">
        <f t="shared" si="16"/>
        <v>0</v>
      </c>
      <c r="R201">
        <f t="shared" si="17"/>
        <v>475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20"/>
        <v/>
      </c>
      <c r="P202">
        <f>'Combined Delivery Data'!B227</f>
        <v>0</v>
      </c>
      <c r="Q202">
        <f t="shared" si="16"/>
        <v>0</v>
      </c>
      <c r="R202">
        <f t="shared" si="17"/>
        <v>475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20"/>
        <v/>
      </c>
      <c r="P203">
        <f>'Combined Delivery Data'!B228</f>
        <v>0</v>
      </c>
      <c r="Q203">
        <f t="shared" si="16"/>
        <v>0</v>
      </c>
      <c r="R203">
        <f t="shared" si="17"/>
        <v>475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20"/>
        <v/>
      </c>
      <c r="P204">
        <f>'Combined Delivery Data'!B229</f>
        <v>0</v>
      </c>
      <c r="Q204">
        <f t="shared" si="16"/>
        <v>0</v>
      </c>
      <c r="R204">
        <f t="shared" si="17"/>
        <v>475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20"/>
        <v/>
      </c>
      <c r="P205">
        <f>'Combined Delivery Data'!B230</f>
        <v>0</v>
      </c>
      <c r="Q205">
        <f t="shared" si="16"/>
        <v>0</v>
      </c>
      <c r="R205">
        <f t="shared" si="17"/>
        <v>475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20"/>
        <v/>
      </c>
      <c r="P206">
        <f>'Combined Delivery Data'!B231</f>
        <v>0</v>
      </c>
      <c r="Q206">
        <f t="shared" si="16"/>
        <v>0</v>
      </c>
      <c r="R206">
        <f t="shared" si="17"/>
        <v>475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20"/>
        <v/>
      </c>
      <c r="P207">
        <f>'Combined Delivery Data'!B232</f>
        <v>0</v>
      </c>
      <c r="Q207">
        <f t="shared" si="16"/>
        <v>0</v>
      </c>
      <c r="R207">
        <f t="shared" si="17"/>
        <v>475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20"/>
        <v/>
      </c>
      <c r="P208">
        <f>'Combined Delivery Data'!B233</f>
        <v>0</v>
      </c>
      <c r="Q208">
        <f t="shared" si="16"/>
        <v>0</v>
      </c>
      <c r="R208">
        <f t="shared" si="17"/>
        <v>475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20"/>
        <v/>
      </c>
      <c r="P209">
        <f>'Combined Delivery Data'!B234</f>
        <v>0</v>
      </c>
      <c r="Q209">
        <f t="shared" si="16"/>
        <v>0</v>
      </c>
      <c r="R209">
        <f t="shared" si="17"/>
        <v>475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20"/>
        <v/>
      </c>
      <c r="P210">
        <f>'Combined Delivery Data'!B235</f>
        <v>0</v>
      </c>
      <c r="Q210">
        <f t="shared" ref="Q210:Q273" si="21">IF($P210="","",COUNTIF($A$3:$A$500,$P210))</f>
        <v>0</v>
      </c>
      <c r="R210">
        <f t="shared" ref="R210:R273" si="22">IF($P210="","",SUMPRODUCT(($A$3:$A$500=$P210)*($G$3:$G$500&lt;&gt;"Yes")*($G$3:$G$500&lt;&gt;"Did not pass re-test")))</f>
        <v>475</v>
      </c>
      <c r="S210" s="28">
        <f t="shared" ref="S210:S273" si="23">IF($P210="","",IF(SUMPRODUCT(MAX(($A$3:$A$500=$P210)*ROW($A$3:$A$500)))=0,"",INDEX($B:$B,SUMPRODUCT(MAX(($A$3:$A$500=$P210)*ROW($A$3:$A$500))))))</f>
        <v>0</v>
      </c>
      <c r="T210" t="str">
        <f t="shared" ref="T210:T273" si="24"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20"/>
        <v/>
      </c>
      <c r="P211">
        <f>'Combined Delivery Data'!B236</f>
        <v>0</v>
      </c>
      <c r="Q211">
        <f t="shared" si="21"/>
        <v>0</v>
      </c>
      <c r="R211">
        <f t="shared" si="22"/>
        <v>475</v>
      </c>
      <c r="S211" s="28">
        <f t="shared" si="23"/>
        <v>0</v>
      </c>
      <c r="T211" t="str">
        <f t="shared" si="24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20"/>
        <v/>
      </c>
      <c r="P212">
        <f>'Combined Delivery Data'!B237</f>
        <v>0</v>
      </c>
      <c r="Q212">
        <f t="shared" si="21"/>
        <v>0</v>
      </c>
      <c r="R212">
        <f t="shared" si="22"/>
        <v>475</v>
      </c>
      <c r="S212" s="28">
        <f t="shared" si="23"/>
        <v>0</v>
      </c>
      <c r="T212" t="str">
        <f t="shared" si="24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20"/>
        <v/>
      </c>
      <c r="P213">
        <f>'Combined Delivery Data'!B238</f>
        <v>0</v>
      </c>
      <c r="Q213">
        <f t="shared" si="21"/>
        <v>0</v>
      </c>
      <c r="R213">
        <f t="shared" si="22"/>
        <v>475</v>
      </c>
      <c r="S213" s="28">
        <f t="shared" si="23"/>
        <v>0</v>
      </c>
      <c r="T213" t="str">
        <f t="shared" si="24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20"/>
        <v/>
      </c>
      <c r="P214">
        <f>'Combined Delivery Data'!B239</f>
        <v>0</v>
      </c>
      <c r="Q214">
        <f t="shared" si="21"/>
        <v>0</v>
      </c>
      <c r="R214">
        <f t="shared" si="22"/>
        <v>475</v>
      </c>
      <c r="S214" s="28">
        <f t="shared" si="23"/>
        <v>0</v>
      </c>
      <c r="T214" t="str">
        <f t="shared" si="24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20"/>
        <v/>
      </c>
      <c r="P215">
        <f>'Combined Delivery Data'!B240</f>
        <v>0</v>
      </c>
      <c r="Q215">
        <f t="shared" si="21"/>
        <v>0</v>
      </c>
      <c r="R215">
        <f t="shared" si="22"/>
        <v>475</v>
      </c>
      <c r="S215" s="28">
        <f t="shared" si="23"/>
        <v>0</v>
      </c>
      <c r="T215" t="str">
        <f t="shared" si="24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20"/>
        <v/>
      </c>
      <c r="P216">
        <f>'Combined Delivery Data'!B241</f>
        <v>0</v>
      </c>
      <c r="Q216">
        <f t="shared" si="21"/>
        <v>0</v>
      </c>
      <c r="R216">
        <f t="shared" si="22"/>
        <v>475</v>
      </c>
      <c r="S216" s="28">
        <f t="shared" si="23"/>
        <v>0</v>
      </c>
      <c r="T216" t="str">
        <f t="shared" si="24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20"/>
        <v/>
      </c>
      <c r="P217">
        <f>'Combined Delivery Data'!B242</f>
        <v>0</v>
      </c>
      <c r="Q217">
        <f t="shared" si="21"/>
        <v>0</v>
      </c>
      <c r="R217">
        <f t="shared" si="22"/>
        <v>475</v>
      </c>
      <c r="S217" s="28">
        <f t="shared" si="23"/>
        <v>0</v>
      </c>
      <c r="T217" t="str">
        <f t="shared" si="24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20"/>
        <v/>
      </c>
      <c r="P218">
        <f>'Combined Delivery Data'!B243</f>
        <v>0</v>
      </c>
      <c r="Q218">
        <f t="shared" si="21"/>
        <v>0</v>
      </c>
      <c r="R218">
        <f t="shared" si="22"/>
        <v>475</v>
      </c>
      <c r="S218" s="28">
        <f t="shared" si="23"/>
        <v>0</v>
      </c>
      <c r="T218" t="str">
        <f t="shared" si="24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20"/>
        <v/>
      </c>
      <c r="P219">
        <f>'Combined Delivery Data'!B244</f>
        <v>0</v>
      </c>
      <c r="Q219">
        <f t="shared" si="21"/>
        <v>0</v>
      </c>
      <c r="R219">
        <f t="shared" si="22"/>
        <v>475</v>
      </c>
      <c r="S219" s="28">
        <f t="shared" si="23"/>
        <v>0</v>
      </c>
      <c r="T219" t="str">
        <f t="shared" si="24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20"/>
        <v/>
      </c>
      <c r="P220">
        <f>'Combined Delivery Data'!B245</f>
        <v>0</v>
      </c>
      <c r="Q220">
        <f t="shared" si="21"/>
        <v>0</v>
      </c>
      <c r="R220">
        <f t="shared" si="22"/>
        <v>475</v>
      </c>
      <c r="S220" s="28">
        <f t="shared" si="23"/>
        <v>0</v>
      </c>
      <c r="T220" t="str">
        <f t="shared" si="24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20"/>
        <v/>
      </c>
      <c r="P221">
        <f>'Combined Delivery Data'!B246</f>
        <v>0</v>
      </c>
      <c r="Q221">
        <f t="shared" si="21"/>
        <v>0</v>
      </c>
      <c r="R221">
        <f t="shared" si="22"/>
        <v>475</v>
      </c>
      <c r="S221" s="28">
        <f t="shared" si="23"/>
        <v>0</v>
      </c>
      <c r="T221" t="str">
        <f t="shared" si="24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20"/>
        <v/>
      </c>
      <c r="P222">
        <f>'Combined Delivery Data'!B247</f>
        <v>0</v>
      </c>
      <c r="Q222">
        <f t="shared" si="21"/>
        <v>0</v>
      </c>
      <c r="R222">
        <f t="shared" si="22"/>
        <v>475</v>
      </c>
      <c r="S222" s="28">
        <f t="shared" si="23"/>
        <v>0</v>
      </c>
      <c r="T222" t="str">
        <f t="shared" si="24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20"/>
        <v/>
      </c>
      <c r="P223">
        <f>'Combined Delivery Data'!B248</f>
        <v>0</v>
      </c>
      <c r="Q223">
        <f t="shared" si="21"/>
        <v>0</v>
      </c>
      <c r="R223">
        <f t="shared" si="22"/>
        <v>475</v>
      </c>
      <c r="S223" s="28">
        <f t="shared" si="23"/>
        <v>0</v>
      </c>
      <c r="T223" t="str">
        <f t="shared" si="24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20"/>
        <v/>
      </c>
      <c r="P224">
        <f>'Combined Delivery Data'!B249</f>
        <v>0</v>
      </c>
      <c r="Q224">
        <f t="shared" si="21"/>
        <v>0</v>
      </c>
      <c r="R224">
        <f t="shared" si="22"/>
        <v>475</v>
      </c>
      <c r="S224" s="28">
        <f t="shared" si="23"/>
        <v>0</v>
      </c>
      <c r="T224" t="str">
        <f t="shared" si="24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20"/>
        <v/>
      </c>
      <c r="P225">
        <f>'Combined Delivery Data'!B250</f>
        <v>0</v>
      </c>
      <c r="Q225">
        <f t="shared" si="21"/>
        <v>0</v>
      </c>
      <c r="R225">
        <f t="shared" si="22"/>
        <v>475</v>
      </c>
      <c r="S225" s="28">
        <f t="shared" si="23"/>
        <v>0</v>
      </c>
      <c r="T225" t="str">
        <f t="shared" si="24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20"/>
        <v/>
      </c>
      <c r="P226">
        <f>'Combined Delivery Data'!B251</f>
        <v>0</v>
      </c>
      <c r="Q226">
        <f t="shared" si="21"/>
        <v>0</v>
      </c>
      <c r="R226">
        <f t="shared" si="22"/>
        <v>475</v>
      </c>
      <c r="S226" s="28">
        <f t="shared" si="23"/>
        <v>0</v>
      </c>
      <c r="T226" t="str">
        <f t="shared" si="24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20"/>
        <v/>
      </c>
      <c r="P227">
        <f>'Combined Delivery Data'!B252</f>
        <v>0</v>
      </c>
      <c r="Q227">
        <f t="shared" si="21"/>
        <v>0</v>
      </c>
      <c r="R227">
        <f t="shared" si="22"/>
        <v>475</v>
      </c>
      <c r="S227" s="28">
        <f t="shared" si="23"/>
        <v>0</v>
      </c>
      <c r="T227" t="str">
        <f t="shared" si="24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20"/>
        <v/>
      </c>
      <c r="P228">
        <f>'Combined Delivery Data'!B253</f>
        <v>0</v>
      </c>
      <c r="Q228">
        <f t="shared" si="21"/>
        <v>0</v>
      </c>
      <c r="R228">
        <f t="shared" si="22"/>
        <v>475</v>
      </c>
      <c r="S228" s="28">
        <f t="shared" si="23"/>
        <v>0</v>
      </c>
      <c r="T228" t="str">
        <f t="shared" si="24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20"/>
        <v/>
      </c>
      <c r="P229">
        <f>'Combined Delivery Data'!B254</f>
        <v>0</v>
      </c>
      <c r="Q229">
        <f t="shared" si="21"/>
        <v>0</v>
      </c>
      <c r="R229">
        <f t="shared" si="22"/>
        <v>475</v>
      </c>
      <c r="S229" s="28">
        <f t="shared" si="23"/>
        <v>0</v>
      </c>
      <c r="T229" t="str">
        <f t="shared" si="24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20"/>
        <v/>
      </c>
      <c r="P230">
        <f>'Combined Delivery Data'!B255</f>
        <v>0</v>
      </c>
      <c r="Q230">
        <f t="shared" si="21"/>
        <v>0</v>
      </c>
      <c r="R230">
        <f t="shared" si="22"/>
        <v>475</v>
      </c>
      <c r="S230" s="28">
        <f t="shared" si="23"/>
        <v>0</v>
      </c>
      <c r="T230" t="str">
        <f t="shared" si="24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20"/>
        <v/>
      </c>
      <c r="P231">
        <f>'Combined Delivery Data'!B256</f>
        <v>0</v>
      </c>
      <c r="Q231">
        <f t="shared" si="21"/>
        <v>0</v>
      </c>
      <c r="R231">
        <f t="shared" si="22"/>
        <v>475</v>
      </c>
      <c r="S231" s="28">
        <f t="shared" si="23"/>
        <v>0</v>
      </c>
      <c r="T231" t="str">
        <f t="shared" si="24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20"/>
        <v/>
      </c>
      <c r="P232">
        <f>'Combined Delivery Data'!B257</f>
        <v>0</v>
      </c>
      <c r="Q232">
        <f t="shared" si="21"/>
        <v>0</v>
      </c>
      <c r="R232">
        <f t="shared" si="22"/>
        <v>475</v>
      </c>
      <c r="S232" s="28">
        <f t="shared" si="23"/>
        <v>0</v>
      </c>
      <c r="T232" t="str">
        <f t="shared" si="24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20"/>
        <v/>
      </c>
      <c r="P233">
        <f>'Combined Delivery Data'!B258</f>
        <v>0</v>
      </c>
      <c r="Q233">
        <f t="shared" si="21"/>
        <v>0</v>
      </c>
      <c r="R233">
        <f t="shared" si="22"/>
        <v>475</v>
      </c>
      <c r="S233" s="28">
        <f t="shared" si="23"/>
        <v>0</v>
      </c>
      <c r="T233" t="str">
        <f t="shared" si="24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20"/>
        <v/>
      </c>
      <c r="P234">
        <f>'Combined Delivery Data'!B259</f>
        <v>0</v>
      </c>
      <c r="Q234">
        <f t="shared" si="21"/>
        <v>0</v>
      </c>
      <c r="R234">
        <f t="shared" si="22"/>
        <v>475</v>
      </c>
      <c r="S234" s="28">
        <f t="shared" si="23"/>
        <v>0</v>
      </c>
      <c r="T234" t="str">
        <f t="shared" si="24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20"/>
        <v/>
      </c>
      <c r="P235">
        <f>'Combined Delivery Data'!B260</f>
        <v>0</v>
      </c>
      <c r="Q235">
        <f t="shared" si="21"/>
        <v>0</v>
      </c>
      <c r="R235">
        <f t="shared" si="22"/>
        <v>475</v>
      </c>
      <c r="S235" s="28">
        <f t="shared" si="23"/>
        <v>0</v>
      </c>
      <c r="T235" t="str">
        <f t="shared" si="24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20"/>
        <v/>
      </c>
      <c r="P236">
        <f>'Combined Delivery Data'!B261</f>
        <v>0</v>
      </c>
      <c r="Q236">
        <f t="shared" si="21"/>
        <v>0</v>
      </c>
      <c r="R236">
        <f t="shared" si="22"/>
        <v>475</v>
      </c>
      <c r="S236" s="28">
        <f t="shared" si="23"/>
        <v>0</v>
      </c>
      <c r="T236" t="str">
        <f t="shared" si="24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20"/>
        <v/>
      </c>
      <c r="P237">
        <f>'Combined Delivery Data'!B262</f>
        <v>0</v>
      </c>
      <c r="Q237">
        <f t="shared" si="21"/>
        <v>0</v>
      </c>
      <c r="R237">
        <f t="shared" si="22"/>
        <v>475</v>
      </c>
      <c r="S237" s="28">
        <f t="shared" si="23"/>
        <v>0</v>
      </c>
      <c r="T237" t="str">
        <f t="shared" si="24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20"/>
        <v/>
      </c>
      <c r="P238">
        <f>'Combined Delivery Data'!B263</f>
        <v>0</v>
      </c>
      <c r="Q238">
        <f t="shared" si="21"/>
        <v>0</v>
      </c>
      <c r="R238">
        <f t="shared" si="22"/>
        <v>475</v>
      </c>
      <c r="S238" s="28">
        <f t="shared" si="23"/>
        <v>0</v>
      </c>
      <c r="T238" t="str">
        <f t="shared" si="24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20"/>
        <v/>
      </c>
      <c r="P239">
        <f>'Combined Delivery Data'!B264</f>
        <v>0</v>
      </c>
      <c r="Q239">
        <f t="shared" si="21"/>
        <v>0</v>
      </c>
      <c r="R239">
        <f t="shared" si="22"/>
        <v>475</v>
      </c>
      <c r="S239" s="28">
        <f t="shared" si="23"/>
        <v>0</v>
      </c>
      <c r="T239" t="str">
        <f t="shared" si="24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20"/>
        <v/>
      </c>
      <c r="P240">
        <f>'Combined Delivery Data'!B265</f>
        <v>0</v>
      </c>
      <c r="Q240">
        <f t="shared" si="21"/>
        <v>0</v>
      </c>
      <c r="R240">
        <f t="shared" si="22"/>
        <v>475</v>
      </c>
      <c r="S240" s="28">
        <f t="shared" si="23"/>
        <v>0</v>
      </c>
      <c r="T240" t="str">
        <f t="shared" si="24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20"/>
        <v/>
      </c>
      <c r="P241">
        <f>'Combined Delivery Data'!B266</f>
        <v>0</v>
      </c>
      <c r="Q241">
        <f t="shared" si="21"/>
        <v>0</v>
      </c>
      <c r="R241">
        <f t="shared" si="22"/>
        <v>475</v>
      </c>
      <c r="S241" s="28">
        <f t="shared" si="23"/>
        <v>0</v>
      </c>
      <c r="T241" t="str">
        <f t="shared" si="24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20"/>
        <v/>
      </c>
      <c r="P242">
        <f>'Combined Delivery Data'!B267</f>
        <v>0</v>
      </c>
      <c r="Q242">
        <f t="shared" si="21"/>
        <v>0</v>
      </c>
      <c r="R242">
        <f t="shared" si="22"/>
        <v>475</v>
      </c>
      <c r="S242" s="28">
        <f t="shared" si="23"/>
        <v>0</v>
      </c>
      <c r="T242" t="str">
        <f t="shared" si="24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20"/>
        <v/>
      </c>
      <c r="P243">
        <f>'Combined Delivery Data'!B268</f>
        <v>0</v>
      </c>
      <c r="Q243">
        <f t="shared" si="21"/>
        <v>0</v>
      </c>
      <c r="R243">
        <f t="shared" si="22"/>
        <v>475</v>
      </c>
      <c r="S243" s="28">
        <f t="shared" si="23"/>
        <v>0</v>
      </c>
      <c r="T243" t="str">
        <f t="shared" si="24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20"/>
        <v/>
      </c>
      <c r="P244">
        <f>'Combined Delivery Data'!B269</f>
        <v>0</v>
      </c>
      <c r="Q244">
        <f t="shared" si="21"/>
        <v>0</v>
      </c>
      <c r="R244">
        <f t="shared" si="22"/>
        <v>475</v>
      </c>
      <c r="S244" s="28">
        <f t="shared" si="23"/>
        <v>0</v>
      </c>
      <c r="T244" t="str">
        <f t="shared" si="24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20"/>
        <v/>
      </c>
      <c r="P245">
        <f>'Combined Delivery Data'!B270</f>
        <v>0</v>
      </c>
      <c r="Q245">
        <f t="shared" si="21"/>
        <v>0</v>
      </c>
      <c r="R245">
        <f t="shared" si="22"/>
        <v>475</v>
      </c>
      <c r="S245" s="28">
        <f t="shared" si="23"/>
        <v>0</v>
      </c>
      <c r="T245" t="str">
        <f t="shared" si="24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20"/>
        <v/>
      </c>
      <c r="P246">
        <f>'Combined Delivery Data'!B271</f>
        <v>0</v>
      </c>
      <c r="Q246">
        <f t="shared" si="21"/>
        <v>0</v>
      </c>
      <c r="R246">
        <f t="shared" si="22"/>
        <v>475</v>
      </c>
      <c r="S246" s="28">
        <f t="shared" si="23"/>
        <v>0</v>
      </c>
      <c r="T246" t="str">
        <f t="shared" si="24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20"/>
        <v/>
      </c>
      <c r="P247">
        <f>'Combined Delivery Data'!B272</f>
        <v>0</v>
      </c>
      <c r="Q247">
        <f t="shared" si="21"/>
        <v>0</v>
      </c>
      <c r="R247">
        <f t="shared" si="22"/>
        <v>475</v>
      </c>
      <c r="S247" s="28">
        <f t="shared" si="23"/>
        <v>0</v>
      </c>
      <c r="T247" t="str">
        <f t="shared" si="24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20"/>
        <v/>
      </c>
      <c r="P248">
        <f>'Combined Delivery Data'!B273</f>
        <v>0</v>
      </c>
      <c r="Q248">
        <f t="shared" si="21"/>
        <v>0</v>
      </c>
      <c r="R248">
        <f t="shared" si="22"/>
        <v>475</v>
      </c>
      <c r="S248" s="28">
        <f t="shared" si="23"/>
        <v>0</v>
      </c>
      <c r="T248" t="str">
        <f t="shared" si="24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20"/>
        <v/>
      </c>
      <c r="P249">
        <f>'Combined Delivery Data'!B274</f>
        <v>0</v>
      </c>
      <c r="Q249">
        <f t="shared" si="21"/>
        <v>0</v>
      </c>
      <c r="R249">
        <f t="shared" si="22"/>
        <v>475</v>
      </c>
      <c r="S249" s="28">
        <f t="shared" si="23"/>
        <v>0</v>
      </c>
      <c r="T249" t="str">
        <f t="shared" si="24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20"/>
        <v/>
      </c>
      <c r="P250">
        <f>'Combined Delivery Data'!B275</f>
        <v>0</v>
      </c>
      <c r="Q250">
        <f t="shared" si="21"/>
        <v>0</v>
      </c>
      <c r="R250">
        <f t="shared" si="22"/>
        <v>475</v>
      </c>
      <c r="S250" s="28">
        <f t="shared" si="23"/>
        <v>0</v>
      </c>
      <c r="T250" t="str">
        <f t="shared" si="24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20"/>
        <v/>
      </c>
      <c r="P251">
        <f>'Combined Delivery Data'!B276</f>
        <v>0</v>
      </c>
      <c r="Q251">
        <f t="shared" si="21"/>
        <v>0</v>
      </c>
      <c r="R251">
        <f t="shared" si="22"/>
        <v>475</v>
      </c>
      <c r="S251" s="28">
        <f t="shared" si="23"/>
        <v>0</v>
      </c>
      <c r="T251" t="str">
        <f t="shared" si="24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20"/>
        <v/>
      </c>
      <c r="P252">
        <f>'Combined Delivery Data'!B277</f>
        <v>0</v>
      </c>
      <c r="Q252">
        <f t="shared" si="21"/>
        <v>0</v>
      </c>
      <c r="R252">
        <f t="shared" si="22"/>
        <v>475</v>
      </c>
      <c r="S252" s="28">
        <f t="shared" si="23"/>
        <v>0</v>
      </c>
      <c r="T252" t="str">
        <f t="shared" si="24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20"/>
        <v/>
      </c>
      <c r="P253">
        <f>'Combined Delivery Data'!B278</f>
        <v>0</v>
      </c>
      <c r="Q253">
        <f t="shared" si="21"/>
        <v>0</v>
      </c>
      <c r="R253">
        <f t="shared" si="22"/>
        <v>475</v>
      </c>
      <c r="S253" s="28">
        <f t="shared" si="23"/>
        <v>0</v>
      </c>
      <c r="T253" t="str">
        <f t="shared" si="24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20"/>
        <v/>
      </c>
      <c r="P254">
        <f>'Combined Delivery Data'!B279</f>
        <v>0</v>
      </c>
      <c r="Q254">
        <f t="shared" si="21"/>
        <v>0</v>
      </c>
      <c r="R254">
        <f t="shared" si="22"/>
        <v>475</v>
      </c>
      <c r="S254" s="28">
        <f t="shared" si="23"/>
        <v>0</v>
      </c>
      <c r="T254" t="str">
        <f t="shared" si="24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20"/>
        <v/>
      </c>
      <c r="P255">
        <f>'Combined Delivery Data'!B280</f>
        <v>0</v>
      </c>
      <c r="Q255">
        <f t="shared" si="21"/>
        <v>0</v>
      </c>
      <c r="R255">
        <f t="shared" si="22"/>
        <v>475</v>
      </c>
      <c r="S255" s="28">
        <f t="shared" si="23"/>
        <v>0</v>
      </c>
      <c r="T255" t="str">
        <f t="shared" si="24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20"/>
        <v/>
      </c>
      <c r="P256">
        <f>'Combined Delivery Data'!B281</f>
        <v>0</v>
      </c>
      <c r="Q256">
        <f t="shared" si="21"/>
        <v>0</v>
      </c>
      <c r="R256">
        <f t="shared" si="22"/>
        <v>475</v>
      </c>
      <c r="S256" s="28">
        <f t="shared" si="23"/>
        <v>0</v>
      </c>
      <c r="T256" t="str">
        <f t="shared" si="24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20"/>
        <v/>
      </c>
      <c r="P257">
        <f>'Combined Delivery Data'!B282</f>
        <v>0</v>
      </c>
      <c r="Q257">
        <f t="shared" si="21"/>
        <v>0</v>
      </c>
      <c r="R257">
        <f t="shared" si="22"/>
        <v>475</v>
      </c>
      <c r="S257" s="28">
        <f t="shared" si="23"/>
        <v>0</v>
      </c>
      <c r="T257" t="str">
        <f t="shared" si="24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20"/>
        <v/>
      </c>
      <c r="P258">
        <f>'Combined Delivery Data'!B283</f>
        <v>0</v>
      </c>
      <c r="Q258">
        <f t="shared" si="21"/>
        <v>0</v>
      </c>
      <c r="R258">
        <f t="shared" si="22"/>
        <v>475</v>
      </c>
      <c r="S258" s="28">
        <f t="shared" si="23"/>
        <v>0</v>
      </c>
      <c r="T258" t="str">
        <f t="shared" si="24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si="21"/>
        <v>0</v>
      </c>
      <c r="R259">
        <f t="shared" si="22"/>
        <v>475</v>
      </c>
      <c r="S259" s="28">
        <f t="shared" si="23"/>
        <v>0</v>
      </c>
      <c r="T259" t="str">
        <f t="shared" si="24"/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5"/>
        <v/>
      </c>
      <c r="P260">
        <f>'Combined Delivery Data'!B285</f>
        <v>0</v>
      </c>
      <c r="Q260">
        <f t="shared" si="21"/>
        <v>0</v>
      </c>
      <c r="R260">
        <f t="shared" si="22"/>
        <v>475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5"/>
        <v/>
      </c>
      <c r="P261">
        <f>'Combined Delivery Data'!B286</f>
        <v>0</v>
      </c>
      <c r="Q261">
        <f t="shared" si="21"/>
        <v>0</v>
      </c>
      <c r="R261">
        <f t="shared" si="22"/>
        <v>475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5"/>
        <v/>
      </c>
      <c r="P262">
        <f>'Combined Delivery Data'!B287</f>
        <v>0</v>
      </c>
      <c r="Q262">
        <f t="shared" si="21"/>
        <v>0</v>
      </c>
      <c r="R262">
        <f t="shared" si="22"/>
        <v>475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5"/>
        <v/>
      </c>
      <c r="P263">
        <f>'Combined Delivery Data'!B288</f>
        <v>0</v>
      </c>
      <c r="Q263">
        <f t="shared" si="21"/>
        <v>0</v>
      </c>
      <c r="R263">
        <f t="shared" si="22"/>
        <v>475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5"/>
        <v/>
      </c>
      <c r="P264">
        <f>'Combined Delivery Data'!B289</f>
        <v>0</v>
      </c>
      <c r="Q264">
        <f t="shared" si="21"/>
        <v>0</v>
      </c>
      <c r="R264">
        <f t="shared" si="22"/>
        <v>475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5"/>
        <v/>
      </c>
      <c r="P265">
        <f>'Combined Delivery Data'!B290</f>
        <v>0</v>
      </c>
      <c r="Q265">
        <f t="shared" si="21"/>
        <v>0</v>
      </c>
      <c r="R265">
        <f t="shared" si="22"/>
        <v>475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5"/>
        <v/>
      </c>
      <c r="P266">
        <f>'Combined Delivery Data'!B291</f>
        <v>0</v>
      </c>
      <c r="Q266">
        <f t="shared" si="21"/>
        <v>0</v>
      </c>
      <c r="R266">
        <f t="shared" si="22"/>
        <v>475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5"/>
        <v/>
      </c>
      <c r="P267">
        <f>'Combined Delivery Data'!B292</f>
        <v>0</v>
      </c>
      <c r="Q267">
        <f t="shared" si="21"/>
        <v>0</v>
      </c>
      <c r="R267">
        <f t="shared" si="22"/>
        <v>475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5"/>
        <v/>
      </c>
      <c r="P268">
        <f>'Combined Delivery Data'!B293</f>
        <v>0</v>
      </c>
      <c r="Q268">
        <f t="shared" si="21"/>
        <v>0</v>
      </c>
      <c r="R268">
        <f t="shared" si="22"/>
        <v>475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5"/>
        <v/>
      </c>
      <c r="P269">
        <f>'Combined Delivery Data'!B294</f>
        <v>0</v>
      </c>
      <c r="Q269">
        <f t="shared" si="21"/>
        <v>0</v>
      </c>
      <c r="R269">
        <f t="shared" si="22"/>
        <v>475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5"/>
        <v/>
      </c>
      <c r="P270">
        <f>'Combined Delivery Data'!B295</f>
        <v>0</v>
      </c>
      <c r="Q270">
        <f t="shared" si="21"/>
        <v>0</v>
      </c>
      <c r="R270">
        <f t="shared" si="22"/>
        <v>475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5"/>
        <v/>
      </c>
      <c r="P271">
        <f>'Combined Delivery Data'!B296</f>
        <v>0</v>
      </c>
      <c r="Q271">
        <f t="shared" si="21"/>
        <v>0</v>
      </c>
      <c r="R271">
        <f t="shared" si="22"/>
        <v>475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5"/>
        <v/>
      </c>
      <c r="P272">
        <f>'Combined Delivery Data'!B297</f>
        <v>0</v>
      </c>
      <c r="Q272">
        <f t="shared" si="21"/>
        <v>0</v>
      </c>
      <c r="R272">
        <f t="shared" si="22"/>
        <v>475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5"/>
        <v/>
      </c>
      <c r="P273">
        <f>'Combined Delivery Data'!B298</f>
        <v>0</v>
      </c>
      <c r="Q273">
        <f t="shared" si="21"/>
        <v>0</v>
      </c>
      <c r="R273">
        <f t="shared" si="22"/>
        <v>475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5"/>
        <v/>
      </c>
      <c r="P274">
        <f>'Combined Delivery Data'!B299</f>
        <v>0</v>
      </c>
      <c r="Q274">
        <f t="shared" ref="Q274:Q337" si="26">IF($P274="","",COUNTIF($A$3:$A$500,$P274))</f>
        <v>0</v>
      </c>
      <c r="R274">
        <f t="shared" ref="R274:R337" si="27">IF($P274="","",SUMPRODUCT(($A$3:$A$500=$P274)*($G$3:$G$500&lt;&gt;"Yes")*($G$3:$G$500&lt;&gt;"Did not pass re-test")))</f>
        <v>475</v>
      </c>
      <c r="S274" s="28">
        <f t="shared" ref="S274:S337" si="28">IF($P274="","",IF(SUMPRODUCT(MAX(($A$3:$A$500=$P274)*ROW($A$3:$A$500)))=0,"",INDEX($B:$B,SUMPRODUCT(MAX(($A$3:$A$500=$P274)*ROW($A$3:$A$500))))))</f>
        <v>0</v>
      </c>
      <c r="T274" t="str">
        <f t="shared" ref="T274:T337" si="29"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5"/>
        <v/>
      </c>
      <c r="P275">
        <f>'Combined Delivery Data'!B300</f>
        <v>0</v>
      </c>
      <c r="Q275">
        <f t="shared" si="26"/>
        <v>0</v>
      </c>
      <c r="R275">
        <f t="shared" si="27"/>
        <v>475</v>
      </c>
      <c r="S275" s="28">
        <f t="shared" si="28"/>
        <v>0</v>
      </c>
      <c r="T275" t="str">
        <f t="shared" si="29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5"/>
        <v/>
      </c>
      <c r="P276">
        <f>'Combined Delivery Data'!B301</f>
        <v>0</v>
      </c>
      <c r="Q276">
        <f t="shared" si="26"/>
        <v>0</v>
      </c>
      <c r="R276">
        <f t="shared" si="27"/>
        <v>475</v>
      </c>
      <c r="S276" s="28">
        <f t="shared" si="28"/>
        <v>0</v>
      </c>
      <c r="T276" t="str">
        <f t="shared" si="29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5"/>
        <v/>
      </c>
      <c r="P277">
        <f>'Combined Delivery Data'!B302</f>
        <v>0</v>
      </c>
      <c r="Q277">
        <f t="shared" si="26"/>
        <v>0</v>
      </c>
      <c r="R277">
        <f t="shared" si="27"/>
        <v>475</v>
      </c>
      <c r="S277" s="28">
        <f t="shared" si="28"/>
        <v>0</v>
      </c>
      <c r="T277" t="str">
        <f t="shared" si="29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5"/>
        <v/>
      </c>
      <c r="P278">
        <f>'Combined Delivery Data'!B303</f>
        <v>0</v>
      </c>
      <c r="Q278">
        <f t="shared" si="26"/>
        <v>0</v>
      </c>
      <c r="R278">
        <f t="shared" si="27"/>
        <v>475</v>
      </c>
      <c r="S278" s="28">
        <f t="shared" si="28"/>
        <v>0</v>
      </c>
      <c r="T278" t="str">
        <f t="shared" si="29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5"/>
        <v/>
      </c>
      <c r="P279">
        <f>'Combined Delivery Data'!B304</f>
        <v>0</v>
      </c>
      <c r="Q279">
        <f t="shared" si="26"/>
        <v>0</v>
      </c>
      <c r="R279">
        <f t="shared" si="27"/>
        <v>475</v>
      </c>
      <c r="S279" s="28">
        <f t="shared" si="28"/>
        <v>0</v>
      </c>
      <c r="T279" t="str">
        <f t="shared" si="29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5"/>
        <v/>
      </c>
      <c r="P280">
        <f>'Combined Delivery Data'!B305</f>
        <v>0</v>
      </c>
      <c r="Q280">
        <f t="shared" si="26"/>
        <v>0</v>
      </c>
      <c r="R280">
        <f t="shared" si="27"/>
        <v>475</v>
      </c>
      <c r="S280" s="28">
        <f t="shared" si="28"/>
        <v>0</v>
      </c>
      <c r="T280" t="str">
        <f t="shared" si="29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5"/>
        <v/>
      </c>
      <c r="P281">
        <f>'Combined Delivery Data'!B306</f>
        <v>0</v>
      </c>
      <c r="Q281">
        <f t="shared" si="26"/>
        <v>0</v>
      </c>
      <c r="R281">
        <f t="shared" si="27"/>
        <v>475</v>
      </c>
      <c r="S281" s="28">
        <f t="shared" si="28"/>
        <v>0</v>
      </c>
      <c r="T281" t="str">
        <f t="shared" si="29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5"/>
        <v/>
      </c>
      <c r="P282">
        <f>'Combined Delivery Data'!B307</f>
        <v>0</v>
      </c>
      <c r="Q282">
        <f t="shared" si="26"/>
        <v>0</v>
      </c>
      <c r="R282">
        <f t="shared" si="27"/>
        <v>475</v>
      </c>
      <c r="S282" s="28">
        <f t="shared" si="28"/>
        <v>0</v>
      </c>
      <c r="T282" t="str">
        <f t="shared" si="29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5"/>
        <v/>
      </c>
      <c r="P283">
        <f>'Combined Delivery Data'!B308</f>
        <v>0</v>
      </c>
      <c r="Q283">
        <f t="shared" si="26"/>
        <v>0</v>
      </c>
      <c r="R283">
        <f t="shared" si="27"/>
        <v>475</v>
      </c>
      <c r="S283" s="28">
        <f t="shared" si="28"/>
        <v>0</v>
      </c>
      <c r="T283" t="str">
        <f t="shared" si="29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5"/>
        <v/>
      </c>
      <c r="P284">
        <f>'Combined Delivery Data'!B309</f>
        <v>0</v>
      </c>
      <c r="Q284">
        <f t="shared" si="26"/>
        <v>0</v>
      </c>
      <c r="R284">
        <f t="shared" si="27"/>
        <v>475</v>
      </c>
      <c r="S284" s="28">
        <f t="shared" si="28"/>
        <v>0</v>
      </c>
      <c r="T284" t="str">
        <f t="shared" si="29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5"/>
        <v/>
      </c>
      <c r="P285">
        <f>'Combined Delivery Data'!B310</f>
        <v>0</v>
      </c>
      <c r="Q285">
        <f t="shared" si="26"/>
        <v>0</v>
      </c>
      <c r="R285">
        <f t="shared" si="27"/>
        <v>475</v>
      </c>
      <c r="S285" s="28">
        <f t="shared" si="28"/>
        <v>0</v>
      </c>
      <c r="T285" t="str">
        <f t="shared" si="29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5"/>
        <v/>
      </c>
      <c r="P286">
        <f>'Combined Delivery Data'!B311</f>
        <v>0</v>
      </c>
      <c r="Q286">
        <f t="shared" si="26"/>
        <v>0</v>
      </c>
      <c r="R286">
        <f t="shared" si="27"/>
        <v>475</v>
      </c>
      <c r="S286" s="28">
        <f t="shared" si="28"/>
        <v>0</v>
      </c>
      <c r="T286" t="str">
        <f t="shared" si="29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5"/>
        <v/>
      </c>
      <c r="P287">
        <f>'Combined Delivery Data'!B312</f>
        <v>0</v>
      </c>
      <c r="Q287">
        <f t="shared" si="26"/>
        <v>0</v>
      </c>
      <c r="R287">
        <f t="shared" si="27"/>
        <v>475</v>
      </c>
      <c r="S287" s="28">
        <f t="shared" si="28"/>
        <v>0</v>
      </c>
      <c r="T287" t="str">
        <f t="shared" si="29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5"/>
        <v/>
      </c>
      <c r="P288">
        <f>'Combined Delivery Data'!B313</f>
        <v>0</v>
      </c>
      <c r="Q288">
        <f t="shared" si="26"/>
        <v>0</v>
      </c>
      <c r="R288">
        <f t="shared" si="27"/>
        <v>475</v>
      </c>
      <c r="S288" s="28">
        <f t="shared" si="28"/>
        <v>0</v>
      </c>
      <c r="T288" t="str">
        <f t="shared" si="29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5"/>
        <v/>
      </c>
      <c r="P289">
        <f>'Combined Delivery Data'!B314</f>
        <v>0</v>
      </c>
      <c r="Q289">
        <f t="shared" si="26"/>
        <v>0</v>
      </c>
      <c r="R289">
        <f t="shared" si="27"/>
        <v>475</v>
      </c>
      <c r="S289" s="28">
        <f t="shared" si="28"/>
        <v>0</v>
      </c>
      <c r="T289" t="str">
        <f t="shared" si="29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5"/>
        <v/>
      </c>
      <c r="P290">
        <f>'Combined Delivery Data'!B315</f>
        <v>0</v>
      </c>
      <c r="Q290">
        <f t="shared" si="26"/>
        <v>0</v>
      </c>
      <c r="R290">
        <f t="shared" si="27"/>
        <v>475</v>
      </c>
      <c r="S290" s="28">
        <f t="shared" si="28"/>
        <v>0</v>
      </c>
      <c r="T290" t="str">
        <f t="shared" si="29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5"/>
        <v/>
      </c>
      <c r="P291">
        <f>'Combined Delivery Data'!B316</f>
        <v>0</v>
      </c>
      <c r="Q291">
        <f t="shared" si="26"/>
        <v>0</v>
      </c>
      <c r="R291">
        <f t="shared" si="27"/>
        <v>475</v>
      </c>
      <c r="S291" s="28">
        <f t="shared" si="28"/>
        <v>0</v>
      </c>
      <c r="T291" t="str">
        <f t="shared" si="29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5"/>
        <v/>
      </c>
      <c r="P292">
        <f>'Combined Delivery Data'!B317</f>
        <v>0</v>
      </c>
      <c r="Q292">
        <f t="shared" si="26"/>
        <v>0</v>
      </c>
      <c r="R292">
        <f t="shared" si="27"/>
        <v>475</v>
      </c>
      <c r="S292" s="28">
        <f t="shared" si="28"/>
        <v>0</v>
      </c>
      <c r="T292" t="str">
        <f t="shared" si="29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5"/>
        <v/>
      </c>
      <c r="P293">
        <f>'Combined Delivery Data'!B318</f>
        <v>0</v>
      </c>
      <c r="Q293">
        <f t="shared" si="26"/>
        <v>0</v>
      </c>
      <c r="R293">
        <f t="shared" si="27"/>
        <v>475</v>
      </c>
      <c r="S293" s="28">
        <f t="shared" si="28"/>
        <v>0</v>
      </c>
      <c r="T293" t="str">
        <f t="shared" si="29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5"/>
        <v/>
      </c>
      <c r="P294">
        <f>'Combined Delivery Data'!B319</f>
        <v>0</v>
      </c>
      <c r="Q294">
        <f t="shared" si="26"/>
        <v>0</v>
      </c>
      <c r="R294">
        <f t="shared" si="27"/>
        <v>475</v>
      </c>
      <c r="S294" s="28">
        <f t="shared" si="28"/>
        <v>0</v>
      </c>
      <c r="T294" t="str">
        <f t="shared" si="29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5"/>
        <v/>
      </c>
      <c r="P295">
        <f>'Combined Delivery Data'!B320</f>
        <v>0</v>
      </c>
      <c r="Q295">
        <f t="shared" si="26"/>
        <v>0</v>
      </c>
      <c r="R295">
        <f t="shared" si="27"/>
        <v>475</v>
      </c>
      <c r="S295" s="28">
        <f t="shared" si="28"/>
        <v>0</v>
      </c>
      <c r="T295" t="str">
        <f t="shared" si="29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5"/>
        <v/>
      </c>
      <c r="P296">
        <f>'Combined Delivery Data'!B321</f>
        <v>0</v>
      </c>
      <c r="Q296">
        <f t="shared" si="26"/>
        <v>0</v>
      </c>
      <c r="R296">
        <f t="shared" si="27"/>
        <v>475</v>
      </c>
      <c r="S296" s="28">
        <f t="shared" si="28"/>
        <v>0</v>
      </c>
      <c r="T296" t="str">
        <f t="shared" si="29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5"/>
        <v/>
      </c>
      <c r="P297">
        <f>'Combined Delivery Data'!B322</f>
        <v>0</v>
      </c>
      <c r="Q297">
        <f t="shared" si="26"/>
        <v>0</v>
      </c>
      <c r="R297">
        <f t="shared" si="27"/>
        <v>475</v>
      </c>
      <c r="S297" s="28">
        <f t="shared" si="28"/>
        <v>0</v>
      </c>
      <c r="T297" t="str">
        <f t="shared" si="29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5"/>
        <v/>
      </c>
      <c r="P298">
        <f>'Combined Delivery Data'!B323</f>
        <v>0</v>
      </c>
      <c r="Q298">
        <f t="shared" si="26"/>
        <v>0</v>
      </c>
      <c r="R298">
        <f t="shared" si="27"/>
        <v>475</v>
      </c>
      <c r="S298" s="28">
        <f t="shared" si="28"/>
        <v>0</v>
      </c>
      <c r="T298" t="str">
        <f t="shared" si="29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5"/>
        <v/>
      </c>
      <c r="P299">
        <f>'Combined Delivery Data'!B324</f>
        <v>0</v>
      </c>
      <c r="Q299">
        <f t="shared" si="26"/>
        <v>0</v>
      </c>
      <c r="R299">
        <f t="shared" si="27"/>
        <v>475</v>
      </c>
      <c r="S299" s="28">
        <f t="shared" si="28"/>
        <v>0</v>
      </c>
      <c r="T299" t="str">
        <f t="shared" si="29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5"/>
        <v/>
      </c>
      <c r="P300">
        <f>'Combined Delivery Data'!B325</f>
        <v>0</v>
      </c>
      <c r="Q300">
        <f t="shared" si="26"/>
        <v>0</v>
      </c>
      <c r="R300">
        <f t="shared" si="27"/>
        <v>475</v>
      </c>
      <c r="S300" s="28">
        <f t="shared" si="28"/>
        <v>0</v>
      </c>
      <c r="T300" t="str">
        <f t="shared" si="29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5"/>
        <v/>
      </c>
      <c r="P301">
        <f>'Combined Delivery Data'!B326</f>
        <v>0</v>
      </c>
      <c r="Q301">
        <f t="shared" si="26"/>
        <v>0</v>
      </c>
      <c r="R301">
        <f t="shared" si="27"/>
        <v>475</v>
      </c>
      <c r="S301" s="28">
        <f t="shared" si="28"/>
        <v>0</v>
      </c>
      <c r="T301" t="str">
        <f t="shared" si="29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5"/>
        <v/>
      </c>
      <c r="P302">
        <f>'Combined Delivery Data'!B327</f>
        <v>0</v>
      </c>
      <c r="Q302">
        <f t="shared" si="26"/>
        <v>0</v>
      </c>
      <c r="R302">
        <f t="shared" si="27"/>
        <v>475</v>
      </c>
      <c r="S302" s="28">
        <f t="shared" si="28"/>
        <v>0</v>
      </c>
      <c r="T302" t="str">
        <f t="shared" si="29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5"/>
        <v/>
      </c>
      <c r="P303">
        <f>'Combined Delivery Data'!B328</f>
        <v>0</v>
      </c>
      <c r="Q303">
        <f t="shared" si="26"/>
        <v>0</v>
      </c>
      <c r="R303">
        <f t="shared" si="27"/>
        <v>475</v>
      </c>
      <c r="S303" s="28">
        <f t="shared" si="28"/>
        <v>0</v>
      </c>
      <c r="T303" t="str">
        <f t="shared" si="29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5"/>
        <v/>
      </c>
      <c r="P304">
        <f>'Combined Delivery Data'!B329</f>
        <v>0</v>
      </c>
      <c r="Q304">
        <f t="shared" si="26"/>
        <v>0</v>
      </c>
      <c r="R304">
        <f t="shared" si="27"/>
        <v>475</v>
      </c>
      <c r="S304" s="28">
        <f t="shared" si="28"/>
        <v>0</v>
      </c>
      <c r="T304" t="str">
        <f t="shared" si="29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5"/>
        <v/>
      </c>
      <c r="P305">
        <f>'Combined Delivery Data'!B330</f>
        <v>0</v>
      </c>
      <c r="Q305">
        <f t="shared" si="26"/>
        <v>0</v>
      </c>
      <c r="R305">
        <f t="shared" si="27"/>
        <v>475</v>
      </c>
      <c r="S305" s="28">
        <f t="shared" si="28"/>
        <v>0</v>
      </c>
      <c r="T305" t="str">
        <f t="shared" si="29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5"/>
        <v/>
      </c>
      <c r="P306">
        <f>'Combined Delivery Data'!B331</f>
        <v>0</v>
      </c>
      <c r="Q306">
        <f t="shared" si="26"/>
        <v>0</v>
      </c>
      <c r="R306">
        <f t="shared" si="27"/>
        <v>475</v>
      </c>
      <c r="S306" s="28">
        <f t="shared" si="28"/>
        <v>0</v>
      </c>
      <c r="T306" t="str">
        <f t="shared" si="29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5"/>
        <v/>
      </c>
      <c r="P307">
        <f>'Combined Delivery Data'!B332</f>
        <v>0</v>
      </c>
      <c r="Q307">
        <f t="shared" si="26"/>
        <v>0</v>
      </c>
      <c r="R307">
        <f t="shared" si="27"/>
        <v>475</v>
      </c>
      <c r="S307" s="28">
        <f t="shared" si="28"/>
        <v>0</v>
      </c>
      <c r="T307" t="str">
        <f t="shared" si="29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5"/>
        <v/>
      </c>
      <c r="P308">
        <f>'Combined Delivery Data'!B333</f>
        <v>0</v>
      </c>
      <c r="Q308">
        <f t="shared" si="26"/>
        <v>0</v>
      </c>
      <c r="R308">
        <f t="shared" si="27"/>
        <v>475</v>
      </c>
      <c r="S308" s="28">
        <f t="shared" si="28"/>
        <v>0</v>
      </c>
      <c r="T308" t="str">
        <f t="shared" si="29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5"/>
        <v/>
      </c>
      <c r="P309">
        <f>'Combined Delivery Data'!B334</f>
        <v>0</v>
      </c>
      <c r="Q309">
        <f t="shared" si="26"/>
        <v>0</v>
      </c>
      <c r="R309">
        <f t="shared" si="27"/>
        <v>475</v>
      </c>
      <c r="S309" s="28">
        <f t="shared" si="28"/>
        <v>0</v>
      </c>
      <c r="T309" t="str">
        <f t="shared" si="29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5"/>
        <v/>
      </c>
      <c r="P310">
        <f>'Combined Delivery Data'!B335</f>
        <v>0</v>
      </c>
      <c r="Q310">
        <f t="shared" si="26"/>
        <v>0</v>
      </c>
      <c r="R310">
        <f t="shared" si="27"/>
        <v>475</v>
      </c>
      <c r="S310" s="28">
        <f t="shared" si="28"/>
        <v>0</v>
      </c>
      <c r="T310" t="str">
        <f t="shared" si="29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5"/>
        <v/>
      </c>
      <c r="P311">
        <f>'Combined Delivery Data'!B336</f>
        <v>0</v>
      </c>
      <c r="Q311">
        <f t="shared" si="26"/>
        <v>0</v>
      </c>
      <c r="R311">
        <f t="shared" si="27"/>
        <v>475</v>
      </c>
      <c r="S311" s="28">
        <f t="shared" si="28"/>
        <v>0</v>
      </c>
      <c r="T311" t="str">
        <f t="shared" si="29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5"/>
        <v/>
      </c>
      <c r="P312">
        <f>'Combined Delivery Data'!B337</f>
        <v>0</v>
      </c>
      <c r="Q312">
        <f t="shared" si="26"/>
        <v>0</v>
      </c>
      <c r="R312">
        <f t="shared" si="27"/>
        <v>475</v>
      </c>
      <c r="S312" s="28">
        <f t="shared" si="28"/>
        <v>0</v>
      </c>
      <c r="T312" t="str">
        <f t="shared" si="29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5"/>
        <v/>
      </c>
      <c r="P313">
        <f>'Combined Delivery Data'!B338</f>
        <v>0</v>
      </c>
      <c r="Q313">
        <f t="shared" si="26"/>
        <v>0</v>
      </c>
      <c r="R313">
        <f t="shared" si="27"/>
        <v>475</v>
      </c>
      <c r="S313" s="28">
        <f t="shared" si="28"/>
        <v>0</v>
      </c>
      <c r="T313" t="str">
        <f t="shared" si="29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5"/>
        <v/>
      </c>
      <c r="P314">
        <f>'Combined Delivery Data'!B339</f>
        <v>0</v>
      </c>
      <c r="Q314">
        <f t="shared" si="26"/>
        <v>0</v>
      </c>
      <c r="R314">
        <f t="shared" si="27"/>
        <v>475</v>
      </c>
      <c r="S314" s="28">
        <f t="shared" si="28"/>
        <v>0</v>
      </c>
      <c r="T314" t="str">
        <f t="shared" si="29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5"/>
        <v/>
      </c>
      <c r="P315">
        <f>'Combined Delivery Data'!B340</f>
        <v>0</v>
      </c>
      <c r="Q315">
        <f t="shared" si="26"/>
        <v>0</v>
      </c>
      <c r="R315">
        <f t="shared" si="27"/>
        <v>475</v>
      </c>
      <c r="S315" s="28">
        <f t="shared" si="28"/>
        <v>0</v>
      </c>
      <c r="T315" t="str">
        <f t="shared" si="29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5"/>
        <v/>
      </c>
      <c r="P316">
        <f>'Combined Delivery Data'!B341</f>
        <v>0</v>
      </c>
      <c r="Q316">
        <f t="shared" si="26"/>
        <v>0</v>
      </c>
      <c r="R316">
        <f t="shared" si="27"/>
        <v>475</v>
      </c>
      <c r="S316" s="28">
        <f t="shared" si="28"/>
        <v>0</v>
      </c>
      <c r="T316" t="str">
        <f t="shared" si="29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5"/>
        <v/>
      </c>
      <c r="P317">
        <f>'Combined Delivery Data'!B342</f>
        <v>0</v>
      </c>
      <c r="Q317">
        <f t="shared" si="26"/>
        <v>0</v>
      </c>
      <c r="R317">
        <f t="shared" si="27"/>
        <v>475</v>
      </c>
      <c r="S317" s="28">
        <f t="shared" si="28"/>
        <v>0</v>
      </c>
      <c r="T317" t="str">
        <f t="shared" si="29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5"/>
        <v/>
      </c>
      <c r="P318">
        <f>'Combined Delivery Data'!B343</f>
        <v>0</v>
      </c>
      <c r="Q318">
        <f t="shared" si="26"/>
        <v>0</v>
      </c>
      <c r="R318">
        <f t="shared" si="27"/>
        <v>475</v>
      </c>
      <c r="S318" s="28">
        <f t="shared" si="28"/>
        <v>0</v>
      </c>
      <c r="T318" t="str">
        <f t="shared" si="29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5"/>
        <v/>
      </c>
      <c r="P319">
        <f>'Combined Delivery Data'!B344</f>
        <v>0</v>
      </c>
      <c r="Q319">
        <f t="shared" si="26"/>
        <v>0</v>
      </c>
      <c r="R319">
        <f t="shared" si="27"/>
        <v>475</v>
      </c>
      <c r="S319" s="28">
        <f t="shared" si="28"/>
        <v>0</v>
      </c>
      <c r="T319" t="str">
        <f t="shared" si="29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5"/>
        <v/>
      </c>
      <c r="P320">
        <f>'Combined Delivery Data'!B345</f>
        <v>0</v>
      </c>
      <c r="Q320">
        <f t="shared" si="26"/>
        <v>0</v>
      </c>
      <c r="R320">
        <f t="shared" si="27"/>
        <v>475</v>
      </c>
      <c r="S320" s="28">
        <f t="shared" si="28"/>
        <v>0</v>
      </c>
      <c r="T320" t="str">
        <f t="shared" si="29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5"/>
        <v/>
      </c>
      <c r="P321">
        <f>'Combined Delivery Data'!B346</f>
        <v>0</v>
      </c>
      <c r="Q321">
        <f t="shared" si="26"/>
        <v>0</v>
      </c>
      <c r="R321">
        <f t="shared" si="27"/>
        <v>475</v>
      </c>
      <c r="S321" s="28">
        <f t="shared" si="28"/>
        <v>0</v>
      </c>
      <c r="T321" t="str">
        <f t="shared" si="29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5"/>
        <v/>
      </c>
      <c r="P322">
        <f>'Combined Delivery Data'!B347</f>
        <v>0</v>
      </c>
      <c r="Q322">
        <f t="shared" si="26"/>
        <v>0</v>
      </c>
      <c r="R322">
        <f t="shared" si="27"/>
        <v>475</v>
      </c>
      <c r="S322" s="28">
        <f t="shared" si="28"/>
        <v>0</v>
      </c>
      <c r="T322" t="str">
        <f t="shared" si="29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30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si="26"/>
        <v>0</v>
      </c>
      <c r="R323">
        <f t="shared" si="27"/>
        <v>475</v>
      </c>
      <c r="S323" s="28">
        <f t="shared" si="28"/>
        <v>0</v>
      </c>
      <c r="T323" t="str">
        <f t="shared" si="29"/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30"/>
        <v/>
      </c>
      <c r="P324">
        <f>'Combined Delivery Data'!B349</f>
        <v>0</v>
      </c>
      <c r="Q324">
        <f t="shared" si="26"/>
        <v>0</v>
      </c>
      <c r="R324">
        <f t="shared" si="27"/>
        <v>475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30"/>
        <v/>
      </c>
      <c r="P325">
        <f>'Combined Delivery Data'!B350</f>
        <v>0</v>
      </c>
      <c r="Q325">
        <f t="shared" si="26"/>
        <v>0</v>
      </c>
      <c r="R325">
        <f t="shared" si="27"/>
        <v>475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30"/>
        <v/>
      </c>
      <c r="P326">
        <f>'Combined Delivery Data'!B351</f>
        <v>0</v>
      </c>
      <c r="Q326">
        <f t="shared" si="26"/>
        <v>0</v>
      </c>
      <c r="R326">
        <f t="shared" si="27"/>
        <v>475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30"/>
        <v/>
      </c>
      <c r="P327">
        <f>'Combined Delivery Data'!B352</f>
        <v>0</v>
      </c>
      <c r="Q327">
        <f t="shared" si="26"/>
        <v>0</v>
      </c>
      <c r="R327">
        <f t="shared" si="27"/>
        <v>475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30"/>
        <v/>
      </c>
      <c r="P328">
        <f>'Combined Delivery Data'!B353</f>
        <v>0</v>
      </c>
      <c r="Q328">
        <f t="shared" si="26"/>
        <v>0</v>
      </c>
      <c r="R328">
        <f t="shared" si="27"/>
        <v>475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30"/>
        <v/>
      </c>
      <c r="P329">
        <f>'Combined Delivery Data'!B354</f>
        <v>0</v>
      </c>
      <c r="Q329">
        <f t="shared" si="26"/>
        <v>0</v>
      </c>
      <c r="R329">
        <f t="shared" si="27"/>
        <v>475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30"/>
        <v/>
      </c>
      <c r="P330">
        <f>'Combined Delivery Data'!B355</f>
        <v>0</v>
      </c>
      <c r="Q330">
        <f t="shared" si="26"/>
        <v>0</v>
      </c>
      <c r="R330">
        <f t="shared" si="27"/>
        <v>475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30"/>
        <v/>
      </c>
      <c r="P331">
        <f>'Combined Delivery Data'!B356</f>
        <v>0</v>
      </c>
      <c r="Q331">
        <f t="shared" si="26"/>
        <v>0</v>
      </c>
      <c r="R331">
        <f t="shared" si="27"/>
        <v>475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30"/>
        <v/>
      </c>
      <c r="P332">
        <f>'Combined Delivery Data'!B357</f>
        <v>0</v>
      </c>
      <c r="Q332">
        <f t="shared" si="26"/>
        <v>0</v>
      </c>
      <c r="R332">
        <f t="shared" si="27"/>
        <v>475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30"/>
        <v/>
      </c>
      <c r="P333">
        <f>'Combined Delivery Data'!B358</f>
        <v>0</v>
      </c>
      <c r="Q333">
        <f t="shared" si="26"/>
        <v>0</v>
      </c>
      <c r="R333">
        <f t="shared" si="27"/>
        <v>475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30"/>
        <v/>
      </c>
      <c r="P334">
        <f>'Combined Delivery Data'!B359</f>
        <v>0</v>
      </c>
      <c r="Q334">
        <f t="shared" si="26"/>
        <v>0</v>
      </c>
      <c r="R334">
        <f t="shared" si="27"/>
        <v>475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30"/>
        <v/>
      </c>
      <c r="P335">
        <f>'Combined Delivery Data'!B360</f>
        <v>0</v>
      </c>
      <c r="Q335">
        <f t="shared" si="26"/>
        <v>0</v>
      </c>
      <c r="R335">
        <f t="shared" si="27"/>
        <v>475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30"/>
        <v/>
      </c>
      <c r="P336">
        <f>'Combined Delivery Data'!B361</f>
        <v>0</v>
      </c>
      <c r="Q336">
        <f t="shared" si="26"/>
        <v>0</v>
      </c>
      <c r="R336">
        <f t="shared" si="27"/>
        <v>475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30"/>
        <v/>
      </c>
      <c r="P337">
        <f>'Combined Delivery Data'!B362</f>
        <v>0</v>
      </c>
      <c r="Q337">
        <f t="shared" si="26"/>
        <v>0</v>
      </c>
      <c r="R337">
        <f t="shared" si="27"/>
        <v>475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30"/>
        <v/>
      </c>
      <c r="P338">
        <f>'Combined Delivery Data'!B363</f>
        <v>0</v>
      </c>
      <c r="Q338">
        <f t="shared" ref="Q338:Q401" si="31">IF($P338="","",COUNTIF($A$3:$A$500,$P338))</f>
        <v>0</v>
      </c>
      <c r="R338">
        <f t="shared" ref="R338:R401" si="32">IF($P338="","",SUMPRODUCT(($A$3:$A$500=$P338)*($G$3:$G$500&lt;&gt;"Yes")*($G$3:$G$500&lt;&gt;"Did not pass re-test")))</f>
        <v>475</v>
      </c>
      <c r="S338" s="28">
        <f t="shared" ref="S338:S401" si="33">IF($P338="","",IF(SUMPRODUCT(MAX(($A$3:$A$500=$P338)*ROW($A$3:$A$500)))=0,"",INDEX($B:$B,SUMPRODUCT(MAX(($A$3:$A$500=$P338)*ROW($A$3:$A$500))))))</f>
        <v>0</v>
      </c>
      <c r="T338" t="str">
        <f t="shared" ref="T338:T401" si="34"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30"/>
        <v/>
      </c>
      <c r="P339">
        <f>'Combined Delivery Data'!B364</f>
        <v>0</v>
      </c>
      <c r="Q339">
        <f t="shared" si="31"/>
        <v>0</v>
      </c>
      <c r="R339">
        <f t="shared" si="32"/>
        <v>475</v>
      </c>
      <c r="S339" s="28">
        <f t="shared" si="33"/>
        <v>0</v>
      </c>
      <c r="T339" t="str">
        <f t="shared" si="34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30"/>
        <v/>
      </c>
      <c r="P340">
        <f>'Combined Delivery Data'!B365</f>
        <v>0</v>
      </c>
      <c r="Q340">
        <f t="shared" si="31"/>
        <v>0</v>
      </c>
      <c r="R340">
        <f t="shared" si="32"/>
        <v>475</v>
      </c>
      <c r="S340" s="28">
        <f t="shared" si="33"/>
        <v>0</v>
      </c>
      <c r="T340" t="str">
        <f t="shared" si="34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30"/>
        <v/>
      </c>
      <c r="P341">
        <f>'Combined Delivery Data'!B366</f>
        <v>0</v>
      </c>
      <c r="Q341">
        <f t="shared" si="31"/>
        <v>0</v>
      </c>
      <c r="R341">
        <f t="shared" si="32"/>
        <v>475</v>
      </c>
      <c r="S341" s="28">
        <f t="shared" si="33"/>
        <v>0</v>
      </c>
      <c r="T341" t="str">
        <f t="shared" si="34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30"/>
        <v/>
      </c>
      <c r="P342">
        <f>'Combined Delivery Data'!B367</f>
        <v>0</v>
      </c>
      <c r="Q342">
        <f t="shared" si="31"/>
        <v>0</v>
      </c>
      <c r="R342">
        <f t="shared" si="32"/>
        <v>475</v>
      </c>
      <c r="S342" s="28">
        <f t="shared" si="33"/>
        <v>0</v>
      </c>
      <c r="T342" t="str">
        <f t="shared" si="34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30"/>
        <v/>
      </c>
      <c r="P343">
        <f>'Combined Delivery Data'!B368</f>
        <v>0</v>
      </c>
      <c r="Q343">
        <f t="shared" si="31"/>
        <v>0</v>
      </c>
      <c r="R343">
        <f t="shared" si="32"/>
        <v>475</v>
      </c>
      <c r="S343" s="28">
        <f t="shared" si="33"/>
        <v>0</v>
      </c>
      <c r="T343" t="str">
        <f t="shared" si="34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30"/>
        <v/>
      </c>
      <c r="P344">
        <f>'Combined Delivery Data'!B369</f>
        <v>0</v>
      </c>
      <c r="Q344">
        <f t="shared" si="31"/>
        <v>0</v>
      </c>
      <c r="R344">
        <f t="shared" si="32"/>
        <v>475</v>
      </c>
      <c r="S344" s="28">
        <f t="shared" si="33"/>
        <v>0</v>
      </c>
      <c r="T344" t="str">
        <f t="shared" si="34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30"/>
        <v/>
      </c>
      <c r="P345">
        <f>'Combined Delivery Data'!B370</f>
        <v>0</v>
      </c>
      <c r="Q345">
        <f t="shared" si="31"/>
        <v>0</v>
      </c>
      <c r="R345">
        <f t="shared" si="32"/>
        <v>475</v>
      </c>
      <c r="S345" s="28">
        <f t="shared" si="33"/>
        <v>0</v>
      </c>
      <c r="T345" t="str">
        <f t="shared" si="34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30"/>
        <v/>
      </c>
      <c r="P346">
        <f>'Combined Delivery Data'!B371</f>
        <v>0</v>
      </c>
      <c r="Q346">
        <f t="shared" si="31"/>
        <v>0</v>
      </c>
      <c r="R346">
        <f t="shared" si="32"/>
        <v>475</v>
      </c>
      <c r="S346" s="28">
        <f t="shared" si="33"/>
        <v>0</v>
      </c>
      <c r="T346" t="str">
        <f t="shared" si="34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30"/>
        <v/>
      </c>
      <c r="P347">
        <f>'Combined Delivery Data'!B372</f>
        <v>0</v>
      </c>
      <c r="Q347">
        <f t="shared" si="31"/>
        <v>0</v>
      </c>
      <c r="R347">
        <f t="shared" si="32"/>
        <v>475</v>
      </c>
      <c r="S347" s="28">
        <f t="shared" si="33"/>
        <v>0</v>
      </c>
      <c r="T347" t="str">
        <f t="shared" si="34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30"/>
        <v/>
      </c>
      <c r="P348">
        <f>'Combined Delivery Data'!B373</f>
        <v>0</v>
      </c>
      <c r="Q348">
        <f t="shared" si="31"/>
        <v>0</v>
      </c>
      <c r="R348">
        <f t="shared" si="32"/>
        <v>475</v>
      </c>
      <c r="S348" s="28">
        <f t="shared" si="33"/>
        <v>0</v>
      </c>
      <c r="T348" t="str">
        <f t="shared" si="34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30"/>
        <v/>
      </c>
      <c r="P349">
        <f>'Combined Delivery Data'!B374</f>
        <v>0</v>
      </c>
      <c r="Q349">
        <f t="shared" si="31"/>
        <v>0</v>
      </c>
      <c r="R349">
        <f t="shared" si="32"/>
        <v>475</v>
      </c>
      <c r="S349" s="28">
        <f t="shared" si="33"/>
        <v>0</v>
      </c>
      <c r="T349" t="str">
        <f t="shared" si="34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30"/>
        <v/>
      </c>
      <c r="P350">
        <f>'Combined Delivery Data'!B375</f>
        <v>0</v>
      </c>
      <c r="Q350">
        <f t="shared" si="31"/>
        <v>0</v>
      </c>
      <c r="R350">
        <f t="shared" si="32"/>
        <v>475</v>
      </c>
      <c r="S350" s="28">
        <f t="shared" si="33"/>
        <v>0</v>
      </c>
      <c r="T350" t="str">
        <f t="shared" si="34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30"/>
        <v/>
      </c>
      <c r="P351">
        <f>'Combined Delivery Data'!B376</f>
        <v>0</v>
      </c>
      <c r="Q351">
        <f t="shared" si="31"/>
        <v>0</v>
      </c>
      <c r="R351">
        <f t="shared" si="32"/>
        <v>475</v>
      </c>
      <c r="S351" s="28">
        <f t="shared" si="33"/>
        <v>0</v>
      </c>
      <c r="T351" t="str">
        <f t="shared" si="34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30"/>
        <v/>
      </c>
      <c r="P352">
        <f>'Combined Delivery Data'!B377</f>
        <v>0</v>
      </c>
      <c r="Q352">
        <f t="shared" si="31"/>
        <v>0</v>
      </c>
      <c r="R352">
        <f t="shared" si="32"/>
        <v>475</v>
      </c>
      <c r="S352" s="28">
        <f t="shared" si="33"/>
        <v>0</v>
      </c>
      <c r="T352" t="str">
        <f t="shared" si="34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30"/>
        <v/>
      </c>
      <c r="P353">
        <f>'Combined Delivery Data'!B378</f>
        <v>0</v>
      </c>
      <c r="Q353">
        <f t="shared" si="31"/>
        <v>0</v>
      </c>
      <c r="R353">
        <f t="shared" si="32"/>
        <v>475</v>
      </c>
      <c r="S353" s="28">
        <f t="shared" si="33"/>
        <v>0</v>
      </c>
      <c r="T353" t="str">
        <f t="shared" si="34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30"/>
        <v/>
      </c>
      <c r="P354">
        <f>'Combined Delivery Data'!B379</f>
        <v>0</v>
      </c>
      <c r="Q354">
        <f t="shared" si="31"/>
        <v>0</v>
      </c>
      <c r="R354">
        <f t="shared" si="32"/>
        <v>475</v>
      </c>
      <c r="S354" s="28">
        <f t="shared" si="33"/>
        <v>0</v>
      </c>
      <c r="T354" t="str">
        <f t="shared" si="34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30"/>
        <v/>
      </c>
      <c r="P355">
        <f>'Combined Delivery Data'!B380</f>
        <v>0</v>
      </c>
      <c r="Q355">
        <f t="shared" si="31"/>
        <v>0</v>
      </c>
      <c r="R355">
        <f t="shared" si="32"/>
        <v>475</v>
      </c>
      <c r="S355" s="28">
        <f t="shared" si="33"/>
        <v>0</v>
      </c>
      <c r="T355" t="str">
        <f t="shared" si="34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30"/>
        <v/>
      </c>
      <c r="P356">
        <f>'Combined Delivery Data'!B381</f>
        <v>0</v>
      </c>
      <c r="Q356">
        <f t="shared" si="31"/>
        <v>0</v>
      </c>
      <c r="R356">
        <f t="shared" si="32"/>
        <v>475</v>
      </c>
      <c r="S356" s="28">
        <f t="shared" si="33"/>
        <v>0</v>
      </c>
      <c r="T356" t="str">
        <f t="shared" si="34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30"/>
        <v/>
      </c>
      <c r="P357">
        <f>'Combined Delivery Data'!B382</f>
        <v>0</v>
      </c>
      <c r="Q357">
        <f t="shared" si="31"/>
        <v>0</v>
      </c>
      <c r="R357">
        <f t="shared" si="32"/>
        <v>475</v>
      </c>
      <c r="S357" s="28">
        <f t="shared" si="33"/>
        <v>0</v>
      </c>
      <c r="T357" t="str">
        <f t="shared" si="34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30"/>
        <v/>
      </c>
      <c r="P358">
        <f>'Combined Delivery Data'!B383</f>
        <v>0</v>
      </c>
      <c r="Q358">
        <f t="shared" si="31"/>
        <v>0</v>
      </c>
      <c r="R358">
        <f t="shared" si="32"/>
        <v>475</v>
      </c>
      <c r="S358" s="28">
        <f t="shared" si="33"/>
        <v>0</v>
      </c>
      <c r="T358" t="str">
        <f t="shared" si="34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30"/>
        <v/>
      </c>
      <c r="P359">
        <f>'Combined Delivery Data'!B384</f>
        <v>0</v>
      </c>
      <c r="Q359">
        <f t="shared" si="31"/>
        <v>0</v>
      </c>
      <c r="R359">
        <f t="shared" si="32"/>
        <v>475</v>
      </c>
      <c r="S359" s="28">
        <f t="shared" si="33"/>
        <v>0</v>
      </c>
      <c r="T359" t="str">
        <f t="shared" si="34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30"/>
        <v/>
      </c>
      <c r="P360">
        <f>'Combined Delivery Data'!B385</f>
        <v>0</v>
      </c>
      <c r="Q360">
        <f t="shared" si="31"/>
        <v>0</v>
      </c>
      <c r="R360">
        <f t="shared" si="32"/>
        <v>475</v>
      </c>
      <c r="S360" s="28">
        <f t="shared" si="33"/>
        <v>0</v>
      </c>
      <c r="T360" t="str">
        <f t="shared" si="34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30"/>
        <v/>
      </c>
      <c r="P361">
        <f>'Combined Delivery Data'!B386</f>
        <v>0</v>
      </c>
      <c r="Q361">
        <f t="shared" si="31"/>
        <v>0</v>
      </c>
      <c r="R361">
        <f t="shared" si="32"/>
        <v>475</v>
      </c>
      <c r="S361" s="28">
        <f t="shared" si="33"/>
        <v>0</v>
      </c>
      <c r="T361" t="str">
        <f t="shared" si="34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30"/>
        <v/>
      </c>
      <c r="P362">
        <f>'Combined Delivery Data'!B387</f>
        <v>0</v>
      </c>
      <c r="Q362">
        <f t="shared" si="31"/>
        <v>0</v>
      </c>
      <c r="R362">
        <f t="shared" si="32"/>
        <v>475</v>
      </c>
      <c r="S362" s="28">
        <f t="shared" si="33"/>
        <v>0</v>
      </c>
      <c r="T362" t="str">
        <f t="shared" si="34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30"/>
        <v/>
      </c>
      <c r="P363">
        <f>'Combined Delivery Data'!B388</f>
        <v>0</v>
      </c>
      <c r="Q363">
        <f t="shared" si="31"/>
        <v>0</v>
      </c>
      <c r="R363">
        <f t="shared" si="32"/>
        <v>475</v>
      </c>
      <c r="S363" s="28">
        <f t="shared" si="33"/>
        <v>0</v>
      </c>
      <c r="T363" t="str">
        <f t="shared" si="34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30"/>
        <v/>
      </c>
      <c r="P364">
        <f>'Combined Delivery Data'!B389</f>
        <v>0</v>
      </c>
      <c r="Q364">
        <f t="shared" si="31"/>
        <v>0</v>
      </c>
      <c r="R364">
        <f t="shared" si="32"/>
        <v>475</v>
      </c>
      <c r="S364" s="28">
        <f t="shared" si="33"/>
        <v>0</v>
      </c>
      <c r="T364" t="str">
        <f t="shared" si="34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30"/>
        <v/>
      </c>
      <c r="P365">
        <f>'Combined Delivery Data'!B390</f>
        <v>0</v>
      </c>
      <c r="Q365">
        <f t="shared" si="31"/>
        <v>0</v>
      </c>
      <c r="R365">
        <f t="shared" si="32"/>
        <v>475</v>
      </c>
      <c r="S365" s="28">
        <f t="shared" si="33"/>
        <v>0</v>
      </c>
      <c r="T365" t="str">
        <f t="shared" si="34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30"/>
        <v/>
      </c>
      <c r="P366">
        <f>'Combined Delivery Data'!B391</f>
        <v>0</v>
      </c>
      <c r="Q366">
        <f t="shared" si="31"/>
        <v>0</v>
      </c>
      <c r="R366">
        <f t="shared" si="32"/>
        <v>475</v>
      </c>
      <c r="S366" s="28">
        <f t="shared" si="33"/>
        <v>0</v>
      </c>
      <c r="T366" t="str">
        <f t="shared" si="34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30"/>
        <v/>
      </c>
      <c r="P367">
        <f>'Combined Delivery Data'!B392</f>
        <v>0</v>
      </c>
      <c r="Q367">
        <f t="shared" si="31"/>
        <v>0</v>
      </c>
      <c r="R367">
        <f t="shared" si="32"/>
        <v>475</v>
      </c>
      <c r="S367" s="28">
        <f t="shared" si="33"/>
        <v>0</v>
      </c>
      <c r="T367" t="str">
        <f t="shared" si="34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30"/>
        <v/>
      </c>
      <c r="P368">
        <f>'Combined Delivery Data'!B393</f>
        <v>0</v>
      </c>
      <c r="Q368">
        <f t="shared" si="31"/>
        <v>0</v>
      </c>
      <c r="R368">
        <f t="shared" si="32"/>
        <v>475</v>
      </c>
      <c r="S368" s="28">
        <f t="shared" si="33"/>
        <v>0</v>
      </c>
      <c r="T368" t="str">
        <f t="shared" si="34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30"/>
        <v/>
      </c>
      <c r="P369">
        <f>'Combined Delivery Data'!B394</f>
        <v>0</v>
      </c>
      <c r="Q369">
        <f t="shared" si="31"/>
        <v>0</v>
      </c>
      <c r="R369">
        <f t="shared" si="32"/>
        <v>475</v>
      </c>
      <c r="S369" s="28">
        <f t="shared" si="33"/>
        <v>0</v>
      </c>
      <c r="T369" t="str">
        <f t="shared" si="34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30"/>
        <v/>
      </c>
      <c r="P370">
        <f>'Combined Delivery Data'!B395</f>
        <v>0</v>
      </c>
      <c r="Q370">
        <f t="shared" si="31"/>
        <v>0</v>
      </c>
      <c r="R370">
        <f t="shared" si="32"/>
        <v>475</v>
      </c>
      <c r="S370" s="28">
        <f t="shared" si="33"/>
        <v>0</v>
      </c>
      <c r="T370" t="str">
        <f t="shared" si="34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30"/>
        <v/>
      </c>
      <c r="P371">
        <f>'Combined Delivery Data'!B396</f>
        <v>0</v>
      </c>
      <c r="Q371">
        <f t="shared" si="31"/>
        <v>0</v>
      </c>
      <c r="R371">
        <f t="shared" si="32"/>
        <v>475</v>
      </c>
      <c r="S371" s="28">
        <f t="shared" si="33"/>
        <v>0</v>
      </c>
      <c r="T371" t="str">
        <f t="shared" si="34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30"/>
        <v/>
      </c>
      <c r="P372">
        <f>'Combined Delivery Data'!B397</f>
        <v>0</v>
      </c>
      <c r="Q372">
        <f t="shared" si="31"/>
        <v>0</v>
      </c>
      <c r="R372">
        <f t="shared" si="32"/>
        <v>475</v>
      </c>
      <c r="S372" s="28">
        <f t="shared" si="33"/>
        <v>0</v>
      </c>
      <c r="T372" t="str">
        <f t="shared" si="34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30"/>
        <v/>
      </c>
      <c r="P373">
        <f>'Combined Delivery Data'!B398</f>
        <v>0</v>
      </c>
      <c r="Q373">
        <f t="shared" si="31"/>
        <v>0</v>
      </c>
      <c r="R373">
        <f t="shared" si="32"/>
        <v>475</v>
      </c>
      <c r="S373" s="28">
        <f t="shared" si="33"/>
        <v>0</v>
      </c>
      <c r="T373" t="str">
        <f t="shared" si="34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30"/>
        <v/>
      </c>
      <c r="P374">
        <f>'Combined Delivery Data'!B399</f>
        <v>0</v>
      </c>
      <c r="Q374">
        <f t="shared" si="31"/>
        <v>0</v>
      </c>
      <c r="R374">
        <f t="shared" si="32"/>
        <v>475</v>
      </c>
      <c r="S374" s="28">
        <f t="shared" si="33"/>
        <v>0</v>
      </c>
      <c r="T374" t="str">
        <f t="shared" si="34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30"/>
        <v/>
      </c>
      <c r="P375">
        <f>'Combined Delivery Data'!B400</f>
        <v>0</v>
      </c>
      <c r="Q375">
        <f t="shared" si="31"/>
        <v>0</v>
      </c>
      <c r="R375">
        <f t="shared" si="32"/>
        <v>475</v>
      </c>
      <c r="S375" s="28">
        <f t="shared" si="33"/>
        <v>0</v>
      </c>
      <c r="T375" t="str">
        <f t="shared" si="34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30"/>
        <v/>
      </c>
      <c r="P376">
        <f>'Combined Delivery Data'!B401</f>
        <v>0</v>
      </c>
      <c r="Q376">
        <f t="shared" si="31"/>
        <v>0</v>
      </c>
      <c r="R376">
        <f t="shared" si="32"/>
        <v>475</v>
      </c>
      <c r="S376" s="28">
        <f t="shared" si="33"/>
        <v>0</v>
      </c>
      <c r="T376" t="str">
        <f t="shared" si="34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30"/>
        <v/>
      </c>
      <c r="P377">
        <f>'Combined Delivery Data'!B402</f>
        <v>0</v>
      </c>
      <c r="Q377">
        <f t="shared" si="31"/>
        <v>0</v>
      </c>
      <c r="R377">
        <f t="shared" si="32"/>
        <v>475</v>
      </c>
      <c r="S377" s="28">
        <f t="shared" si="33"/>
        <v>0</v>
      </c>
      <c r="T377" t="str">
        <f t="shared" si="34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30"/>
        <v/>
      </c>
      <c r="P378">
        <f>'Combined Delivery Data'!B403</f>
        <v>0</v>
      </c>
      <c r="Q378">
        <f t="shared" si="31"/>
        <v>0</v>
      </c>
      <c r="R378">
        <f t="shared" si="32"/>
        <v>475</v>
      </c>
      <c r="S378" s="28">
        <f t="shared" si="33"/>
        <v>0</v>
      </c>
      <c r="T378" t="str">
        <f t="shared" si="34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30"/>
        <v/>
      </c>
      <c r="P379">
        <f>'Combined Delivery Data'!B404</f>
        <v>0</v>
      </c>
      <c r="Q379">
        <f t="shared" si="31"/>
        <v>0</v>
      </c>
      <c r="R379">
        <f t="shared" si="32"/>
        <v>475</v>
      </c>
      <c r="S379" s="28">
        <f t="shared" si="33"/>
        <v>0</v>
      </c>
      <c r="T379" t="str">
        <f t="shared" si="34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30"/>
        <v/>
      </c>
      <c r="P380">
        <f>'Combined Delivery Data'!B405</f>
        <v>0</v>
      </c>
      <c r="Q380">
        <f t="shared" si="31"/>
        <v>0</v>
      </c>
      <c r="R380">
        <f t="shared" si="32"/>
        <v>475</v>
      </c>
      <c r="S380" s="28">
        <f t="shared" si="33"/>
        <v>0</v>
      </c>
      <c r="T380" t="str">
        <f t="shared" si="34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30"/>
        <v/>
      </c>
      <c r="P381">
        <f>'Combined Delivery Data'!B406</f>
        <v>0</v>
      </c>
      <c r="Q381">
        <f t="shared" si="31"/>
        <v>0</v>
      </c>
      <c r="R381">
        <f t="shared" si="32"/>
        <v>475</v>
      </c>
      <c r="S381" s="28">
        <f t="shared" si="33"/>
        <v>0</v>
      </c>
      <c r="T381" t="str">
        <f t="shared" si="34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30"/>
        <v/>
      </c>
      <c r="P382">
        <f>'Combined Delivery Data'!B407</f>
        <v>0</v>
      </c>
      <c r="Q382">
        <f t="shared" si="31"/>
        <v>0</v>
      </c>
      <c r="R382">
        <f t="shared" si="32"/>
        <v>475</v>
      </c>
      <c r="S382" s="28">
        <f t="shared" si="33"/>
        <v>0</v>
      </c>
      <c r="T382" t="str">
        <f t="shared" si="34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30"/>
        <v/>
      </c>
      <c r="P383">
        <f>'Combined Delivery Data'!B408</f>
        <v>0</v>
      </c>
      <c r="Q383">
        <f t="shared" si="31"/>
        <v>0</v>
      </c>
      <c r="R383">
        <f t="shared" si="32"/>
        <v>475</v>
      </c>
      <c r="S383" s="28">
        <f t="shared" si="33"/>
        <v>0</v>
      </c>
      <c r="T383" t="str">
        <f t="shared" si="34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30"/>
        <v/>
      </c>
      <c r="P384">
        <f>'Combined Delivery Data'!B409</f>
        <v>0</v>
      </c>
      <c r="Q384">
        <f t="shared" si="31"/>
        <v>0</v>
      </c>
      <c r="R384">
        <f t="shared" si="32"/>
        <v>475</v>
      </c>
      <c r="S384" s="28">
        <f t="shared" si="33"/>
        <v>0</v>
      </c>
      <c r="T384" t="str">
        <f t="shared" si="34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30"/>
        <v/>
      </c>
      <c r="P385">
        <f>'Combined Delivery Data'!B410</f>
        <v>0</v>
      </c>
      <c r="Q385">
        <f t="shared" si="31"/>
        <v>0</v>
      </c>
      <c r="R385">
        <f t="shared" si="32"/>
        <v>475</v>
      </c>
      <c r="S385" s="28">
        <f t="shared" si="33"/>
        <v>0</v>
      </c>
      <c r="T385" t="str">
        <f t="shared" si="34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30"/>
        <v/>
      </c>
      <c r="P386">
        <f>'Combined Delivery Data'!B411</f>
        <v>0</v>
      </c>
      <c r="Q386">
        <f t="shared" si="31"/>
        <v>0</v>
      </c>
      <c r="R386">
        <f t="shared" si="32"/>
        <v>475</v>
      </c>
      <c r="S386" s="28">
        <f t="shared" si="33"/>
        <v>0</v>
      </c>
      <c r="T386" t="str">
        <f t="shared" si="34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5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si="31"/>
        <v>0</v>
      </c>
      <c r="R387">
        <f t="shared" si="32"/>
        <v>475</v>
      </c>
      <c r="S387" s="28">
        <f t="shared" si="33"/>
        <v>0</v>
      </c>
      <c r="T387" t="str">
        <f t="shared" si="34"/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5"/>
        <v/>
      </c>
      <c r="P388">
        <f>'Combined Delivery Data'!B413</f>
        <v>0</v>
      </c>
      <c r="Q388">
        <f t="shared" si="31"/>
        <v>0</v>
      </c>
      <c r="R388">
        <f t="shared" si="32"/>
        <v>475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5"/>
        <v/>
      </c>
      <c r="P389">
        <f>'Combined Delivery Data'!B414</f>
        <v>0</v>
      </c>
      <c r="Q389">
        <f t="shared" si="31"/>
        <v>0</v>
      </c>
      <c r="R389">
        <f t="shared" si="32"/>
        <v>475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5"/>
        <v/>
      </c>
      <c r="P390">
        <f>'Combined Delivery Data'!B415</f>
        <v>0</v>
      </c>
      <c r="Q390">
        <f t="shared" si="31"/>
        <v>0</v>
      </c>
      <c r="R390">
        <f t="shared" si="32"/>
        <v>475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5"/>
        <v/>
      </c>
      <c r="P391">
        <f>'Combined Delivery Data'!B416</f>
        <v>0</v>
      </c>
      <c r="Q391">
        <f t="shared" si="31"/>
        <v>0</v>
      </c>
      <c r="R391">
        <f t="shared" si="32"/>
        <v>475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5"/>
        <v/>
      </c>
      <c r="P392">
        <f>'Combined Delivery Data'!B417</f>
        <v>0</v>
      </c>
      <c r="Q392">
        <f t="shared" si="31"/>
        <v>0</v>
      </c>
      <c r="R392">
        <f t="shared" si="32"/>
        <v>475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5"/>
        <v/>
      </c>
      <c r="P393">
        <f>'Combined Delivery Data'!B418</f>
        <v>0</v>
      </c>
      <c r="Q393">
        <f t="shared" si="31"/>
        <v>0</v>
      </c>
      <c r="R393">
        <f t="shared" si="32"/>
        <v>475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5"/>
        <v/>
      </c>
      <c r="P394">
        <f>'Combined Delivery Data'!B419</f>
        <v>0</v>
      </c>
      <c r="Q394">
        <f t="shared" si="31"/>
        <v>0</v>
      </c>
      <c r="R394">
        <f t="shared" si="32"/>
        <v>475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5"/>
        <v/>
      </c>
      <c r="P395">
        <f>'Combined Delivery Data'!B420</f>
        <v>0</v>
      </c>
      <c r="Q395">
        <f t="shared" si="31"/>
        <v>0</v>
      </c>
      <c r="R395">
        <f t="shared" si="32"/>
        <v>475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5"/>
        <v/>
      </c>
      <c r="P396">
        <f>'Combined Delivery Data'!B421</f>
        <v>0</v>
      </c>
      <c r="Q396">
        <f t="shared" si="31"/>
        <v>0</v>
      </c>
      <c r="R396">
        <f t="shared" si="32"/>
        <v>475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5"/>
        <v/>
      </c>
      <c r="P397">
        <f>'Combined Delivery Data'!B422</f>
        <v>0</v>
      </c>
      <c r="Q397">
        <f t="shared" si="31"/>
        <v>0</v>
      </c>
      <c r="R397">
        <f t="shared" si="32"/>
        <v>475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5"/>
        <v/>
      </c>
      <c r="P398">
        <f>'Combined Delivery Data'!B423</f>
        <v>0</v>
      </c>
      <c r="Q398">
        <f t="shared" si="31"/>
        <v>0</v>
      </c>
      <c r="R398">
        <f t="shared" si="32"/>
        <v>475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5"/>
        <v/>
      </c>
      <c r="P399">
        <f>'Combined Delivery Data'!B424</f>
        <v>0</v>
      </c>
      <c r="Q399">
        <f t="shared" si="31"/>
        <v>0</v>
      </c>
      <c r="R399">
        <f t="shared" si="32"/>
        <v>475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5"/>
        <v/>
      </c>
      <c r="P400">
        <f>'Combined Delivery Data'!B425</f>
        <v>0</v>
      </c>
      <c r="Q400">
        <f t="shared" si="31"/>
        <v>0</v>
      </c>
      <c r="R400">
        <f t="shared" si="32"/>
        <v>475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5"/>
        <v/>
      </c>
      <c r="P401">
        <f>'Combined Delivery Data'!B426</f>
        <v>0</v>
      </c>
      <c r="Q401">
        <f t="shared" si="31"/>
        <v>0</v>
      </c>
      <c r="R401">
        <f t="shared" si="32"/>
        <v>475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5"/>
        <v/>
      </c>
      <c r="P402">
        <f>'Combined Delivery Data'!B427</f>
        <v>0</v>
      </c>
      <c r="Q402">
        <f t="shared" ref="Q402:Q465" si="36">IF($P402="","",COUNTIF($A$3:$A$500,$P402))</f>
        <v>0</v>
      </c>
      <c r="R402">
        <f t="shared" ref="R402:R465" si="37">IF($P402="","",SUMPRODUCT(($A$3:$A$500=$P402)*($G$3:$G$500&lt;&gt;"Yes")*($G$3:$G$500&lt;&gt;"Did not pass re-test")))</f>
        <v>475</v>
      </c>
      <c r="S402" s="28">
        <f t="shared" ref="S402:S465" si="38">IF($P402="","",IF(SUMPRODUCT(MAX(($A$3:$A$500=$P402)*ROW($A$3:$A$500)))=0,"",INDEX($B:$B,SUMPRODUCT(MAX(($A$3:$A$500=$P402)*ROW($A$3:$A$500))))))</f>
        <v>0</v>
      </c>
      <c r="T402" t="str">
        <f t="shared" ref="T402:T465" si="39"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5"/>
        <v/>
      </c>
      <c r="P403">
        <f>'Combined Delivery Data'!B428</f>
        <v>0</v>
      </c>
      <c r="Q403">
        <f t="shared" si="36"/>
        <v>0</v>
      </c>
      <c r="R403">
        <f t="shared" si="37"/>
        <v>475</v>
      </c>
      <c r="S403" s="28">
        <f t="shared" si="38"/>
        <v>0</v>
      </c>
      <c r="T403" t="str">
        <f t="shared" si="39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5"/>
        <v/>
      </c>
      <c r="P404">
        <f>'Combined Delivery Data'!B429</f>
        <v>0</v>
      </c>
      <c r="Q404">
        <f t="shared" si="36"/>
        <v>0</v>
      </c>
      <c r="R404">
        <f t="shared" si="37"/>
        <v>475</v>
      </c>
      <c r="S404" s="28">
        <f t="shared" si="38"/>
        <v>0</v>
      </c>
      <c r="T404" t="str">
        <f t="shared" si="39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5"/>
        <v/>
      </c>
      <c r="P405">
        <f>'Combined Delivery Data'!B430</f>
        <v>0</v>
      </c>
      <c r="Q405">
        <f t="shared" si="36"/>
        <v>0</v>
      </c>
      <c r="R405">
        <f t="shared" si="37"/>
        <v>475</v>
      </c>
      <c r="S405" s="28">
        <f t="shared" si="38"/>
        <v>0</v>
      </c>
      <c r="T405" t="str">
        <f t="shared" si="39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5"/>
        <v/>
      </c>
      <c r="P406">
        <f>'Combined Delivery Data'!B431</f>
        <v>0</v>
      </c>
      <c r="Q406">
        <f t="shared" si="36"/>
        <v>0</v>
      </c>
      <c r="R406">
        <f t="shared" si="37"/>
        <v>475</v>
      </c>
      <c r="S406" s="28">
        <f t="shared" si="38"/>
        <v>0</v>
      </c>
      <c r="T406" t="str">
        <f t="shared" si="39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5"/>
        <v/>
      </c>
      <c r="P407">
        <f>'Combined Delivery Data'!B432</f>
        <v>0</v>
      </c>
      <c r="Q407">
        <f t="shared" si="36"/>
        <v>0</v>
      </c>
      <c r="R407">
        <f t="shared" si="37"/>
        <v>475</v>
      </c>
      <c r="S407" s="28">
        <f t="shared" si="38"/>
        <v>0</v>
      </c>
      <c r="T407" t="str">
        <f t="shared" si="39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5"/>
        <v/>
      </c>
      <c r="P408">
        <f>'Combined Delivery Data'!B433</f>
        <v>0</v>
      </c>
      <c r="Q408">
        <f t="shared" si="36"/>
        <v>0</v>
      </c>
      <c r="R408">
        <f t="shared" si="37"/>
        <v>475</v>
      </c>
      <c r="S408" s="28">
        <f t="shared" si="38"/>
        <v>0</v>
      </c>
      <c r="T408" t="str">
        <f t="shared" si="39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5"/>
        <v/>
      </c>
      <c r="P409">
        <f>'Combined Delivery Data'!B434</f>
        <v>0</v>
      </c>
      <c r="Q409">
        <f t="shared" si="36"/>
        <v>0</v>
      </c>
      <c r="R409">
        <f t="shared" si="37"/>
        <v>475</v>
      </c>
      <c r="S409" s="28">
        <f t="shared" si="38"/>
        <v>0</v>
      </c>
      <c r="T409" t="str">
        <f t="shared" si="39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5"/>
        <v/>
      </c>
      <c r="P410">
        <f>'Combined Delivery Data'!B435</f>
        <v>0</v>
      </c>
      <c r="Q410">
        <f t="shared" si="36"/>
        <v>0</v>
      </c>
      <c r="R410">
        <f t="shared" si="37"/>
        <v>475</v>
      </c>
      <c r="S410" s="28">
        <f t="shared" si="38"/>
        <v>0</v>
      </c>
      <c r="T410" t="str">
        <f t="shared" si="39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5"/>
        <v/>
      </c>
      <c r="P411">
        <f>'Combined Delivery Data'!B436</f>
        <v>0</v>
      </c>
      <c r="Q411">
        <f t="shared" si="36"/>
        <v>0</v>
      </c>
      <c r="R411">
        <f t="shared" si="37"/>
        <v>475</v>
      </c>
      <c r="S411" s="28">
        <f t="shared" si="38"/>
        <v>0</v>
      </c>
      <c r="T411" t="str">
        <f t="shared" si="39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5"/>
        <v/>
      </c>
      <c r="P412">
        <f>'Combined Delivery Data'!B437</f>
        <v>0</v>
      </c>
      <c r="Q412">
        <f t="shared" si="36"/>
        <v>0</v>
      </c>
      <c r="R412">
        <f t="shared" si="37"/>
        <v>475</v>
      </c>
      <c r="S412" s="28">
        <f t="shared" si="38"/>
        <v>0</v>
      </c>
      <c r="T412" t="str">
        <f t="shared" si="39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5"/>
        <v/>
      </c>
      <c r="P413">
        <f>'Combined Delivery Data'!B438</f>
        <v>0</v>
      </c>
      <c r="Q413">
        <f t="shared" si="36"/>
        <v>0</v>
      </c>
      <c r="R413">
        <f t="shared" si="37"/>
        <v>475</v>
      </c>
      <c r="S413" s="28">
        <f t="shared" si="38"/>
        <v>0</v>
      </c>
      <c r="T413" t="str">
        <f t="shared" si="39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5"/>
        <v/>
      </c>
      <c r="P414">
        <f>'Combined Delivery Data'!B439</f>
        <v>0</v>
      </c>
      <c r="Q414">
        <f t="shared" si="36"/>
        <v>0</v>
      </c>
      <c r="R414">
        <f t="shared" si="37"/>
        <v>475</v>
      </c>
      <c r="S414" s="28">
        <f t="shared" si="38"/>
        <v>0</v>
      </c>
      <c r="T414" t="str">
        <f t="shared" si="39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5"/>
        <v/>
      </c>
      <c r="P415">
        <f>'Combined Delivery Data'!B440</f>
        <v>0</v>
      </c>
      <c r="Q415">
        <f t="shared" si="36"/>
        <v>0</v>
      </c>
      <c r="R415">
        <f t="shared" si="37"/>
        <v>475</v>
      </c>
      <c r="S415" s="28">
        <f t="shared" si="38"/>
        <v>0</v>
      </c>
      <c r="T415" t="str">
        <f t="shared" si="39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5"/>
        <v/>
      </c>
      <c r="P416">
        <f>'Combined Delivery Data'!B441</f>
        <v>0</v>
      </c>
      <c r="Q416">
        <f t="shared" si="36"/>
        <v>0</v>
      </c>
      <c r="R416">
        <f t="shared" si="37"/>
        <v>475</v>
      </c>
      <c r="S416" s="28">
        <f t="shared" si="38"/>
        <v>0</v>
      </c>
      <c r="T416" t="str">
        <f t="shared" si="39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5"/>
        <v/>
      </c>
      <c r="P417">
        <f>'Combined Delivery Data'!B442</f>
        <v>0</v>
      </c>
      <c r="Q417">
        <f t="shared" si="36"/>
        <v>0</v>
      </c>
      <c r="R417">
        <f t="shared" si="37"/>
        <v>475</v>
      </c>
      <c r="S417" s="28">
        <f t="shared" si="38"/>
        <v>0</v>
      </c>
      <c r="T417" t="str">
        <f t="shared" si="39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5"/>
        <v/>
      </c>
      <c r="P418">
        <f>'Combined Delivery Data'!B443</f>
        <v>0</v>
      </c>
      <c r="Q418">
        <f t="shared" si="36"/>
        <v>0</v>
      </c>
      <c r="R418">
        <f t="shared" si="37"/>
        <v>475</v>
      </c>
      <c r="S418" s="28">
        <f t="shared" si="38"/>
        <v>0</v>
      </c>
      <c r="T418" t="str">
        <f t="shared" si="39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5"/>
        <v/>
      </c>
      <c r="P419">
        <f>'Combined Delivery Data'!B444</f>
        <v>0</v>
      </c>
      <c r="Q419">
        <f t="shared" si="36"/>
        <v>0</v>
      </c>
      <c r="R419">
        <f t="shared" si="37"/>
        <v>475</v>
      </c>
      <c r="S419" s="28">
        <f t="shared" si="38"/>
        <v>0</v>
      </c>
      <c r="T419" t="str">
        <f t="shared" si="39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5"/>
        <v/>
      </c>
      <c r="P420">
        <f>'Combined Delivery Data'!B445</f>
        <v>0</v>
      </c>
      <c r="Q420">
        <f t="shared" si="36"/>
        <v>0</v>
      </c>
      <c r="R420">
        <f t="shared" si="37"/>
        <v>475</v>
      </c>
      <c r="S420" s="28">
        <f t="shared" si="38"/>
        <v>0</v>
      </c>
      <c r="T420" t="str">
        <f t="shared" si="39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5"/>
        <v/>
      </c>
      <c r="P421">
        <f>'Combined Delivery Data'!B446</f>
        <v>0</v>
      </c>
      <c r="Q421">
        <f t="shared" si="36"/>
        <v>0</v>
      </c>
      <c r="R421">
        <f t="shared" si="37"/>
        <v>475</v>
      </c>
      <c r="S421" s="28">
        <f t="shared" si="38"/>
        <v>0</v>
      </c>
      <c r="T421" t="str">
        <f t="shared" si="39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5"/>
        <v/>
      </c>
      <c r="P422">
        <f>'Combined Delivery Data'!B447</f>
        <v>0</v>
      </c>
      <c r="Q422">
        <f t="shared" si="36"/>
        <v>0</v>
      </c>
      <c r="R422">
        <f t="shared" si="37"/>
        <v>475</v>
      </c>
      <c r="S422" s="28">
        <f t="shared" si="38"/>
        <v>0</v>
      </c>
      <c r="T422" t="str">
        <f t="shared" si="39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5"/>
        <v/>
      </c>
      <c r="P423">
        <f>'Combined Delivery Data'!B448</f>
        <v>0</v>
      </c>
      <c r="Q423">
        <f t="shared" si="36"/>
        <v>0</v>
      </c>
      <c r="R423">
        <f t="shared" si="37"/>
        <v>475</v>
      </c>
      <c r="S423" s="28">
        <f t="shared" si="38"/>
        <v>0</v>
      </c>
      <c r="T423" t="str">
        <f t="shared" si="39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5"/>
        <v/>
      </c>
      <c r="P424">
        <f>'Combined Delivery Data'!B449</f>
        <v>0</v>
      </c>
      <c r="Q424">
        <f t="shared" si="36"/>
        <v>0</v>
      </c>
      <c r="R424">
        <f t="shared" si="37"/>
        <v>475</v>
      </c>
      <c r="S424" s="28">
        <f t="shared" si="38"/>
        <v>0</v>
      </c>
      <c r="T424" t="str">
        <f t="shared" si="39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5"/>
        <v/>
      </c>
      <c r="P425">
        <f>'Combined Delivery Data'!B450</f>
        <v>0</v>
      </c>
      <c r="Q425">
        <f t="shared" si="36"/>
        <v>0</v>
      </c>
      <c r="R425">
        <f t="shared" si="37"/>
        <v>475</v>
      </c>
      <c r="S425" s="28">
        <f t="shared" si="38"/>
        <v>0</v>
      </c>
      <c r="T425" t="str">
        <f t="shared" si="39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5"/>
        <v/>
      </c>
      <c r="P426">
        <f>'Combined Delivery Data'!B451</f>
        <v>0</v>
      </c>
      <c r="Q426">
        <f t="shared" si="36"/>
        <v>0</v>
      </c>
      <c r="R426">
        <f t="shared" si="37"/>
        <v>475</v>
      </c>
      <c r="S426" s="28">
        <f t="shared" si="38"/>
        <v>0</v>
      </c>
      <c r="T426" t="str">
        <f t="shared" si="39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5"/>
        <v/>
      </c>
      <c r="P427">
        <f>'Combined Delivery Data'!B452</f>
        <v>0</v>
      </c>
      <c r="Q427">
        <f t="shared" si="36"/>
        <v>0</v>
      </c>
      <c r="R427">
        <f t="shared" si="37"/>
        <v>475</v>
      </c>
      <c r="S427" s="28">
        <f t="shared" si="38"/>
        <v>0</v>
      </c>
      <c r="T427" t="str">
        <f t="shared" si="39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5"/>
        <v/>
      </c>
      <c r="P428">
        <f>'Combined Delivery Data'!B453</f>
        <v>0</v>
      </c>
      <c r="Q428">
        <f t="shared" si="36"/>
        <v>0</v>
      </c>
      <c r="R428">
        <f t="shared" si="37"/>
        <v>475</v>
      </c>
      <c r="S428" s="28">
        <f t="shared" si="38"/>
        <v>0</v>
      </c>
      <c r="T428" t="str">
        <f t="shared" si="39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5"/>
        <v/>
      </c>
      <c r="P429">
        <f>'Combined Delivery Data'!B454</f>
        <v>0</v>
      </c>
      <c r="Q429">
        <f t="shared" si="36"/>
        <v>0</v>
      </c>
      <c r="R429">
        <f t="shared" si="37"/>
        <v>475</v>
      </c>
      <c r="S429" s="28">
        <f t="shared" si="38"/>
        <v>0</v>
      </c>
      <c r="T429" t="str">
        <f t="shared" si="39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5"/>
        <v/>
      </c>
      <c r="P430">
        <f>'Combined Delivery Data'!B455</f>
        <v>0</v>
      </c>
      <c r="Q430">
        <f t="shared" si="36"/>
        <v>0</v>
      </c>
      <c r="R430">
        <f t="shared" si="37"/>
        <v>475</v>
      </c>
      <c r="S430" s="28">
        <f t="shared" si="38"/>
        <v>0</v>
      </c>
      <c r="T430" t="str">
        <f t="shared" si="39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5"/>
        <v/>
      </c>
      <c r="P431">
        <f>'Combined Delivery Data'!B456</f>
        <v>0</v>
      </c>
      <c r="Q431">
        <f t="shared" si="36"/>
        <v>0</v>
      </c>
      <c r="R431">
        <f t="shared" si="37"/>
        <v>475</v>
      </c>
      <c r="S431" s="28">
        <f t="shared" si="38"/>
        <v>0</v>
      </c>
      <c r="T431" t="str">
        <f t="shared" si="39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5"/>
        <v/>
      </c>
      <c r="P432">
        <f>'Combined Delivery Data'!B457</f>
        <v>0</v>
      </c>
      <c r="Q432">
        <f t="shared" si="36"/>
        <v>0</v>
      </c>
      <c r="R432">
        <f t="shared" si="37"/>
        <v>475</v>
      </c>
      <c r="S432" s="28">
        <f t="shared" si="38"/>
        <v>0</v>
      </c>
      <c r="T432" t="str">
        <f t="shared" si="39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5"/>
        <v/>
      </c>
      <c r="P433">
        <f>'Combined Delivery Data'!B458</f>
        <v>0</v>
      </c>
      <c r="Q433">
        <f t="shared" si="36"/>
        <v>0</v>
      </c>
      <c r="R433">
        <f t="shared" si="37"/>
        <v>475</v>
      </c>
      <c r="S433" s="28">
        <f t="shared" si="38"/>
        <v>0</v>
      </c>
      <c r="T433" t="str">
        <f t="shared" si="39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5"/>
        <v/>
      </c>
      <c r="P434">
        <f>'Combined Delivery Data'!B459</f>
        <v>0</v>
      </c>
      <c r="Q434">
        <f t="shared" si="36"/>
        <v>0</v>
      </c>
      <c r="R434">
        <f t="shared" si="37"/>
        <v>475</v>
      </c>
      <c r="S434" s="28">
        <f t="shared" si="38"/>
        <v>0</v>
      </c>
      <c r="T434" t="str">
        <f t="shared" si="39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5"/>
        <v/>
      </c>
      <c r="P435">
        <f>'Combined Delivery Data'!B460</f>
        <v>0</v>
      </c>
      <c r="Q435">
        <f t="shared" si="36"/>
        <v>0</v>
      </c>
      <c r="R435">
        <f t="shared" si="37"/>
        <v>475</v>
      </c>
      <c r="S435" s="28">
        <f t="shared" si="38"/>
        <v>0</v>
      </c>
      <c r="T435" t="str">
        <f t="shared" si="39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5"/>
        <v/>
      </c>
      <c r="P436">
        <f>'Combined Delivery Data'!B461</f>
        <v>0</v>
      </c>
      <c r="Q436">
        <f t="shared" si="36"/>
        <v>0</v>
      </c>
      <c r="R436">
        <f t="shared" si="37"/>
        <v>475</v>
      </c>
      <c r="S436" s="28">
        <f t="shared" si="38"/>
        <v>0</v>
      </c>
      <c r="T436" t="str">
        <f t="shared" si="39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5"/>
        <v/>
      </c>
      <c r="P437">
        <f>'Combined Delivery Data'!B462</f>
        <v>0</v>
      </c>
      <c r="Q437">
        <f t="shared" si="36"/>
        <v>0</v>
      </c>
      <c r="R437">
        <f t="shared" si="37"/>
        <v>475</v>
      </c>
      <c r="S437" s="28">
        <f t="shared" si="38"/>
        <v>0</v>
      </c>
      <c r="T437" t="str">
        <f t="shared" si="39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5"/>
        <v/>
      </c>
      <c r="P438">
        <f>'Combined Delivery Data'!B463</f>
        <v>0</v>
      </c>
      <c r="Q438">
        <f t="shared" si="36"/>
        <v>0</v>
      </c>
      <c r="R438">
        <f t="shared" si="37"/>
        <v>475</v>
      </c>
      <c r="S438" s="28">
        <f t="shared" si="38"/>
        <v>0</v>
      </c>
      <c r="T438" t="str">
        <f t="shared" si="39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5"/>
        <v/>
      </c>
      <c r="P439">
        <f>'Combined Delivery Data'!B464</f>
        <v>0</v>
      </c>
      <c r="Q439">
        <f t="shared" si="36"/>
        <v>0</v>
      </c>
      <c r="R439">
        <f t="shared" si="37"/>
        <v>475</v>
      </c>
      <c r="S439" s="28">
        <f t="shared" si="38"/>
        <v>0</v>
      </c>
      <c r="T439" t="str">
        <f t="shared" si="39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5"/>
        <v/>
      </c>
      <c r="P440">
        <f>'Combined Delivery Data'!B465</f>
        <v>0</v>
      </c>
      <c r="Q440">
        <f t="shared" si="36"/>
        <v>0</v>
      </c>
      <c r="R440">
        <f t="shared" si="37"/>
        <v>475</v>
      </c>
      <c r="S440" s="28">
        <f t="shared" si="38"/>
        <v>0</v>
      </c>
      <c r="T440" t="str">
        <f t="shared" si="39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5"/>
        <v/>
      </c>
      <c r="P441">
        <f>'Combined Delivery Data'!B466</f>
        <v>0</v>
      </c>
      <c r="Q441">
        <f t="shared" si="36"/>
        <v>0</v>
      </c>
      <c r="R441">
        <f t="shared" si="37"/>
        <v>475</v>
      </c>
      <c r="S441" s="28">
        <f t="shared" si="38"/>
        <v>0</v>
      </c>
      <c r="T441" t="str">
        <f t="shared" si="39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5"/>
        <v/>
      </c>
      <c r="P442">
        <f>'Combined Delivery Data'!B467</f>
        <v>0</v>
      </c>
      <c r="Q442">
        <f t="shared" si="36"/>
        <v>0</v>
      </c>
      <c r="R442">
        <f t="shared" si="37"/>
        <v>475</v>
      </c>
      <c r="S442" s="28">
        <f t="shared" si="38"/>
        <v>0</v>
      </c>
      <c r="T442" t="str">
        <f t="shared" si="39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5"/>
        <v/>
      </c>
      <c r="P443">
        <f>'Combined Delivery Data'!B468</f>
        <v>0</v>
      </c>
      <c r="Q443">
        <f t="shared" si="36"/>
        <v>0</v>
      </c>
      <c r="R443">
        <f t="shared" si="37"/>
        <v>475</v>
      </c>
      <c r="S443" s="28">
        <f t="shared" si="38"/>
        <v>0</v>
      </c>
      <c r="T443" t="str">
        <f t="shared" si="39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5"/>
        <v/>
      </c>
      <c r="P444">
        <f>'Combined Delivery Data'!B469</f>
        <v>0</v>
      </c>
      <c r="Q444">
        <f t="shared" si="36"/>
        <v>0</v>
      </c>
      <c r="R444">
        <f t="shared" si="37"/>
        <v>475</v>
      </c>
      <c r="S444" s="28">
        <f t="shared" si="38"/>
        <v>0</v>
      </c>
      <c r="T444" t="str">
        <f t="shared" si="39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5"/>
        <v/>
      </c>
      <c r="P445">
        <f>'Combined Delivery Data'!B470</f>
        <v>0</v>
      </c>
      <c r="Q445">
        <f t="shared" si="36"/>
        <v>0</v>
      </c>
      <c r="R445">
        <f t="shared" si="37"/>
        <v>475</v>
      </c>
      <c r="S445" s="28">
        <f t="shared" si="38"/>
        <v>0</v>
      </c>
      <c r="T445" t="str">
        <f t="shared" si="39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5"/>
        <v/>
      </c>
      <c r="P446">
        <f>'Combined Delivery Data'!B471</f>
        <v>0</v>
      </c>
      <c r="Q446">
        <f t="shared" si="36"/>
        <v>0</v>
      </c>
      <c r="R446">
        <f t="shared" si="37"/>
        <v>475</v>
      </c>
      <c r="S446" s="28">
        <f t="shared" si="38"/>
        <v>0</v>
      </c>
      <c r="T446" t="str">
        <f t="shared" si="39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5"/>
        <v/>
      </c>
      <c r="P447">
        <f>'Combined Delivery Data'!B472</f>
        <v>0</v>
      </c>
      <c r="Q447">
        <f t="shared" si="36"/>
        <v>0</v>
      </c>
      <c r="R447">
        <f t="shared" si="37"/>
        <v>475</v>
      </c>
      <c r="S447" s="28">
        <f t="shared" si="38"/>
        <v>0</v>
      </c>
      <c r="T447" t="str">
        <f t="shared" si="39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5"/>
        <v/>
      </c>
      <c r="P448">
        <f>'Combined Delivery Data'!B473</f>
        <v>0</v>
      </c>
      <c r="Q448">
        <f t="shared" si="36"/>
        <v>0</v>
      </c>
      <c r="R448">
        <f t="shared" si="37"/>
        <v>475</v>
      </c>
      <c r="S448" s="28">
        <f t="shared" si="38"/>
        <v>0</v>
      </c>
      <c r="T448" t="str">
        <f t="shared" si="39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5"/>
        <v/>
      </c>
      <c r="P449">
        <f>'Combined Delivery Data'!B474</f>
        <v>0</v>
      </c>
      <c r="Q449">
        <f t="shared" si="36"/>
        <v>0</v>
      </c>
      <c r="R449">
        <f t="shared" si="37"/>
        <v>475</v>
      </c>
      <c r="S449" s="28">
        <f t="shared" si="38"/>
        <v>0</v>
      </c>
      <c r="T449" t="str">
        <f t="shared" si="39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5"/>
        <v/>
      </c>
      <c r="P450">
        <f>'Combined Delivery Data'!B475</f>
        <v>0</v>
      </c>
      <c r="Q450">
        <f t="shared" si="36"/>
        <v>0</v>
      </c>
      <c r="R450">
        <f t="shared" si="37"/>
        <v>475</v>
      </c>
      <c r="S450" s="28">
        <f t="shared" si="38"/>
        <v>0</v>
      </c>
      <c r="T450" t="str">
        <f t="shared" si="39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40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si="36"/>
        <v>0</v>
      </c>
      <c r="R451">
        <f t="shared" si="37"/>
        <v>475</v>
      </c>
      <c r="S451" s="28">
        <f t="shared" si="38"/>
        <v>0</v>
      </c>
      <c r="T451" t="str">
        <f t="shared" si="39"/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40"/>
        <v/>
      </c>
      <c r="P452">
        <f>'Combined Delivery Data'!B477</f>
        <v>0</v>
      </c>
      <c r="Q452">
        <f t="shared" si="36"/>
        <v>0</v>
      </c>
      <c r="R452">
        <f t="shared" si="37"/>
        <v>475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40"/>
        <v/>
      </c>
      <c r="P453">
        <f>'Combined Delivery Data'!B478</f>
        <v>0</v>
      </c>
      <c r="Q453">
        <f t="shared" si="36"/>
        <v>0</v>
      </c>
      <c r="R453">
        <f t="shared" si="37"/>
        <v>475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40"/>
        <v/>
      </c>
      <c r="P454">
        <f>'Combined Delivery Data'!B479</f>
        <v>0</v>
      </c>
      <c r="Q454">
        <f t="shared" si="36"/>
        <v>0</v>
      </c>
      <c r="R454">
        <f t="shared" si="37"/>
        <v>475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40"/>
        <v/>
      </c>
      <c r="P455">
        <f>'Combined Delivery Data'!B480</f>
        <v>0</v>
      </c>
      <c r="Q455">
        <f t="shared" si="36"/>
        <v>0</v>
      </c>
      <c r="R455">
        <f t="shared" si="37"/>
        <v>475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40"/>
        <v/>
      </c>
      <c r="P456">
        <f>'Combined Delivery Data'!B481</f>
        <v>0</v>
      </c>
      <c r="Q456">
        <f t="shared" si="36"/>
        <v>0</v>
      </c>
      <c r="R456">
        <f t="shared" si="37"/>
        <v>475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40"/>
        <v/>
      </c>
      <c r="P457">
        <f>'Combined Delivery Data'!B482</f>
        <v>0</v>
      </c>
      <c r="Q457">
        <f t="shared" si="36"/>
        <v>0</v>
      </c>
      <c r="R457">
        <f t="shared" si="37"/>
        <v>475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40"/>
        <v/>
      </c>
      <c r="P458">
        <f>'Combined Delivery Data'!B483</f>
        <v>0</v>
      </c>
      <c r="Q458">
        <f t="shared" si="36"/>
        <v>0</v>
      </c>
      <c r="R458">
        <f t="shared" si="37"/>
        <v>475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40"/>
        <v/>
      </c>
      <c r="P459">
        <f>'Combined Delivery Data'!B484</f>
        <v>0</v>
      </c>
      <c r="Q459">
        <f t="shared" si="36"/>
        <v>0</v>
      </c>
      <c r="R459">
        <f t="shared" si="37"/>
        <v>475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40"/>
        <v/>
      </c>
      <c r="P460">
        <f>'Combined Delivery Data'!B485</f>
        <v>0</v>
      </c>
      <c r="Q460">
        <f t="shared" si="36"/>
        <v>0</v>
      </c>
      <c r="R460">
        <f t="shared" si="37"/>
        <v>475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40"/>
        <v/>
      </c>
      <c r="P461">
        <f>'Combined Delivery Data'!B486</f>
        <v>0</v>
      </c>
      <c r="Q461">
        <f t="shared" si="36"/>
        <v>0</v>
      </c>
      <c r="R461">
        <f t="shared" si="37"/>
        <v>475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40"/>
        <v/>
      </c>
      <c r="P462">
        <f>'Combined Delivery Data'!B487</f>
        <v>0</v>
      </c>
      <c r="Q462">
        <f t="shared" si="36"/>
        <v>0</v>
      </c>
      <c r="R462">
        <f t="shared" si="37"/>
        <v>475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40"/>
        <v/>
      </c>
      <c r="P463">
        <f>'Combined Delivery Data'!B488</f>
        <v>0</v>
      </c>
      <c r="Q463">
        <f t="shared" si="36"/>
        <v>0</v>
      </c>
      <c r="R463">
        <f t="shared" si="37"/>
        <v>475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40"/>
        <v/>
      </c>
      <c r="P464">
        <f>'Combined Delivery Data'!B489</f>
        <v>0</v>
      </c>
      <c r="Q464">
        <f t="shared" si="36"/>
        <v>0</v>
      </c>
      <c r="R464">
        <f t="shared" si="37"/>
        <v>475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40"/>
        <v/>
      </c>
      <c r="P465">
        <f>'Combined Delivery Data'!B490</f>
        <v>0</v>
      </c>
      <c r="Q465">
        <f t="shared" si="36"/>
        <v>0</v>
      </c>
      <c r="R465">
        <f t="shared" si="37"/>
        <v>475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40"/>
        <v/>
      </c>
      <c r="P466">
        <f>'Combined Delivery Data'!B491</f>
        <v>0</v>
      </c>
      <c r="Q466">
        <f t="shared" ref="Q466:Q500" si="41">IF($P466="","",COUNTIF($A$3:$A$500,$P466))</f>
        <v>0</v>
      </c>
      <c r="R466">
        <f t="shared" ref="R466:R500" si="42">IF($P466="","",SUMPRODUCT(($A$3:$A$500=$P466)*($G$3:$G$500&lt;&gt;"Yes")*($G$3:$G$500&lt;&gt;"Did not pass re-test")))</f>
        <v>475</v>
      </c>
      <c r="S466" s="28">
        <f t="shared" ref="S466:S500" si="43">IF($P466="","",IF(SUMPRODUCT(MAX(($A$3:$A$500=$P466)*ROW($A$3:$A$500)))=0,"",INDEX($B:$B,SUMPRODUCT(MAX(($A$3:$A$500=$P466)*ROW($A$3:$A$500))))))</f>
        <v>0</v>
      </c>
      <c r="T466" t="str">
        <f t="shared" ref="T466:T500" si="44"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40"/>
        <v/>
      </c>
      <c r="P467">
        <f>'Combined Delivery Data'!B492</f>
        <v>0</v>
      </c>
      <c r="Q467">
        <f t="shared" si="41"/>
        <v>0</v>
      </c>
      <c r="R467">
        <f t="shared" si="42"/>
        <v>475</v>
      </c>
      <c r="S467" s="28">
        <f t="shared" si="43"/>
        <v>0</v>
      </c>
      <c r="T467" t="str">
        <f t="shared" si="44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40"/>
        <v/>
      </c>
      <c r="P468">
        <f>'Combined Delivery Data'!B493</f>
        <v>0</v>
      </c>
      <c r="Q468">
        <f t="shared" si="41"/>
        <v>0</v>
      </c>
      <c r="R468">
        <f t="shared" si="42"/>
        <v>475</v>
      </c>
      <c r="S468" s="28">
        <f t="shared" si="43"/>
        <v>0</v>
      </c>
      <c r="T468" t="str">
        <f t="shared" si="44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40"/>
        <v/>
      </c>
      <c r="P469">
        <f>'Combined Delivery Data'!B494</f>
        <v>0</v>
      </c>
      <c r="Q469">
        <f t="shared" si="41"/>
        <v>0</v>
      </c>
      <c r="R469">
        <f t="shared" si="42"/>
        <v>475</v>
      </c>
      <c r="S469" s="28">
        <f t="shared" si="43"/>
        <v>0</v>
      </c>
      <c r="T469" t="str">
        <f t="shared" si="44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40"/>
        <v/>
      </c>
      <c r="P470">
        <f>'Combined Delivery Data'!B495</f>
        <v>0</v>
      </c>
      <c r="Q470">
        <f t="shared" si="41"/>
        <v>0</v>
      </c>
      <c r="R470">
        <f t="shared" si="42"/>
        <v>475</v>
      </c>
      <c r="S470" s="28">
        <f t="shared" si="43"/>
        <v>0</v>
      </c>
      <c r="T470" t="str">
        <f t="shared" si="44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40"/>
        <v/>
      </c>
      <c r="P471">
        <f>'Combined Delivery Data'!B496</f>
        <v>0</v>
      </c>
      <c r="Q471">
        <f t="shared" si="41"/>
        <v>0</v>
      </c>
      <c r="R471">
        <f t="shared" si="42"/>
        <v>475</v>
      </c>
      <c r="S471" s="28">
        <f t="shared" si="43"/>
        <v>0</v>
      </c>
      <c r="T471" t="str">
        <f t="shared" si="44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40"/>
        <v/>
      </c>
      <c r="P472">
        <f>'Combined Delivery Data'!B497</f>
        <v>0</v>
      </c>
      <c r="Q472">
        <f t="shared" si="41"/>
        <v>0</v>
      </c>
      <c r="R472">
        <f t="shared" si="42"/>
        <v>475</v>
      </c>
      <c r="S472" s="28">
        <f t="shared" si="43"/>
        <v>0</v>
      </c>
      <c r="T472" t="str">
        <f t="shared" si="44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40"/>
        <v/>
      </c>
      <c r="P473">
        <f>'Combined Delivery Data'!B498</f>
        <v>0</v>
      </c>
      <c r="Q473">
        <f t="shared" si="41"/>
        <v>0</v>
      </c>
      <c r="R473">
        <f t="shared" si="42"/>
        <v>475</v>
      </c>
      <c r="S473" s="28">
        <f t="shared" si="43"/>
        <v>0</v>
      </c>
      <c r="T473" t="str">
        <f t="shared" si="44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40"/>
        <v/>
      </c>
      <c r="P474">
        <f>'Combined Delivery Data'!B499</f>
        <v>0</v>
      </c>
      <c r="Q474">
        <f t="shared" si="41"/>
        <v>0</v>
      </c>
      <c r="R474">
        <f t="shared" si="42"/>
        <v>475</v>
      </c>
      <c r="S474" s="28">
        <f t="shared" si="43"/>
        <v>0</v>
      </c>
      <c r="T474" t="str">
        <f t="shared" si="44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40"/>
        <v/>
      </c>
      <c r="P475">
        <f>'Combined Delivery Data'!B500</f>
        <v>0</v>
      </c>
      <c r="Q475">
        <f t="shared" si="41"/>
        <v>0</v>
      </c>
      <c r="R475">
        <f t="shared" si="42"/>
        <v>475</v>
      </c>
      <c r="S475" s="28">
        <f t="shared" si="43"/>
        <v>0</v>
      </c>
      <c r="T475" t="str">
        <f t="shared" si="44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40"/>
        <v/>
      </c>
      <c r="P476">
        <f>'Combined Delivery Data'!B501</f>
        <v>0</v>
      </c>
      <c r="Q476">
        <f t="shared" si="41"/>
        <v>0</v>
      </c>
      <c r="R476">
        <f t="shared" si="42"/>
        <v>475</v>
      </c>
      <c r="S476" s="28">
        <f t="shared" si="43"/>
        <v>0</v>
      </c>
      <c r="T476" t="str">
        <f t="shared" si="44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40"/>
        <v/>
      </c>
      <c r="P477">
        <f>'Combined Delivery Data'!B502</f>
        <v>0</v>
      </c>
      <c r="Q477">
        <f t="shared" si="41"/>
        <v>0</v>
      </c>
      <c r="R477">
        <f t="shared" si="42"/>
        <v>475</v>
      </c>
      <c r="S477" s="28">
        <f t="shared" si="43"/>
        <v>0</v>
      </c>
      <c r="T477" t="str">
        <f t="shared" si="44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40"/>
        <v/>
      </c>
      <c r="P478">
        <f>'Combined Delivery Data'!B503</f>
        <v>0</v>
      </c>
      <c r="Q478">
        <f t="shared" si="41"/>
        <v>0</v>
      </c>
      <c r="R478">
        <f t="shared" si="42"/>
        <v>475</v>
      </c>
      <c r="S478" s="28">
        <f t="shared" si="43"/>
        <v>0</v>
      </c>
      <c r="T478" t="str">
        <f t="shared" si="44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40"/>
        <v/>
      </c>
      <c r="P479">
        <f>'Combined Delivery Data'!B504</f>
        <v>0</v>
      </c>
      <c r="Q479">
        <f t="shared" si="41"/>
        <v>0</v>
      </c>
      <c r="R479">
        <f t="shared" si="42"/>
        <v>475</v>
      </c>
      <c r="S479" s="28">
        <f t="shared" si="43"/>
        <v>0</v>
      </c>
      <c r="T479" t="str">
        <f t="shared" si="44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40"/>
        <v/>
      </c>
      <c r="P480">
        <f>'Combined Delivery Data'!B505</f>
        <v>0</v>
      </c>
      <c r="Q480">
        <f t="shared" si="41"/>
        <v>0</v>
      </c>
      <c r="R480">
        <f t="shared" si="42"/>
        <v>475</v>
      </c>
      <c r="S480" s="28">
        <f t="shared" si="43"/>
        <v>0</v>
      </c>
      <c r="T480" t="str">
        <f t="shared" si="44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40"/>
        <v/>
      </c>
      <c r="P481">
        <f>'Combined Delivery Data'!B506</f>
        <v>0</v>
      </c>
      <c r="Q481">
        <f t="shared" si="41"/>
        <v>0</v>
      </c>
      <c r="R481">
        <f t="shared" si="42"/>
        <v>475</v>
      </c>
      <c r="S481" s="28">
        <f t="shared" si="43"/>
        <v>0</v>
      </c>
      <c r="T481" t="str">
        <f t="shared" si="44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40"/>
        <v/>
      </c>
      <c r="P482">
        <f>'Combined Delivery Data'!B507</f>
        <v>0</v>
      </c>
      <c r="Q482">
        <f t="shared" si="41"/>
        <v>0</v>
      </c>
      <c r="R482">
        <f t="shared" si="42"/>
        <v>475</v>
      </c>
      <c r="S482" s="28">
        <f t="shared" si="43"/>
        <v>0</v>
      </c>
      <c r="T482" t="str">
        <f t="shared" si="44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40"/>
        <v/>
      </c>
      <c r="P483">
        <f>'Combined Delivery Data'!B508</f>
        <v>0</v>
      </c>
      <c r="Q483">
        <f t="shared" si="41"/>
        <v>0</v>
      </c>
      <c r="R483">
        <f t="shared" si="42"/>
        <v>475</v>
      </c>
      <c r="S483" s="28">
        <f t="shared" si="43"/>
        <v>0</v>
      </c>
      <c r="T483" t="str">
        <f t="shared" si="44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40"/>
        <v/>
      </c>
      <c r="P484">
        <f>'Combined Delivery Data'!B509</f>
        <v>0</v>
      </c>
      <c r="Q484">
        <f t="shared" si="41"/>
        <v>0</v>
      </c>
      <c r="R484">
        <f t="shared" si="42"/>
        <v>475</v>
      </c>
      <c r="S484" s="28">
        <f t="shared" si="43"/>
        <v>0</v>
      </c>
      <c r="T484" t="str">
        <f t="shared" si="44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40"/>
        <v/>
      </c>
      <c r="P485">
        <f>'Combined Delivery Data'!B510</f>
        <v>0</v>
      </c>
      <c r="Q485">
        <f t="shared" si="41"/>
        <v>0</v>
      </c>
      <c r="R485">
        <f t="shared" si="42"/>
        <v>475</v>
      </c>
      <c r="S485" s="28">
        <f t="shared" si="43"/>
        <v>0</v>
      </c>
      <c r="T485" t="str">
        <f t="shared" si="44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40"/>
        <v/>
      </c>
      <c r="P486">
        <f>'Combined Delivery Data'!B511</f>
        <v>0</v>
      </c>
      <c r="Q486">
        <f t="shared" si="41"/>
        <v>0</v>
      </c>
      <c r="R486">
        <f t="shared" si="42"/>
        <v>475</v>
      </c>
      <c r="S486" s="28">
        <f t="shared" si="43"/>
        <v>0</v>
      </c>
      <c r="T486" t="str">
        <f t="shared" si="44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40"/>
        <v/>
      </c>
      <c r="P487">
        <f>'Combined Delivery Data'!B512</f>
        <v>0</v>
      </c>
      <c r="Q487">
        <f t="shared" si="41"/>
        <v>0</v>
      </c>
      <c r="R487">
        <f t="shared" si="42"/>
        <v>475</v>
      </c>
      <c r="S487" s="28">
        <f t="shared" si="43"/>
        <v>0</v>
      </c>
      <c r="T487" t="str">
        <f t="shared" si="44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40"/>
        <v/>
      </c>
      <c r="P488">
        <f>'Combined Delivery Data'!B513</f>
        <v>0</v>
      </c>
      <c r="Q488">
        <f t="shared" si="41"/>
        <v>0</v>
      </c>
      <c r="R488">
        <f t="shared" si="42"/>
        <v>475</v>
      </c>
      <c r="S488" s="28">
        <f t="shared" si="43"/>
        <v>0</v>
      </c>
      <c r="T488" t="str">
        <f t="shared" si="44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40"/>
        <v/>
      </c>
      <c r="P489">
        <f>'Combined Delivery Data'!B514</f>
        <v>0</v>
      </c>
      <c r="Q489">
        <f t="shared" si="41"/>
        <v>0</v>
      </c>
      <c r="R489">
        <f t="shared" si="42"/>
        <v>475</v>
      </c>
      <c r="S489" s="28">
        <f t="shared" si="43"/>
        <v>0</v>
      </c>
      <c r="T489" t="str">
        <f t="shared" si="44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40"/>
        <v/>
      </c>
      <c r="P490">
        <f>'Combined Delivery Data'!B515</f>
        <v>0</v>
      </c>
      <c r="Q490">
        <f t="shared" si="41"/>
        <v>0</v>
      </c>
      <c r="R490">
        <f t="shared" si="42"/>
        <v>475</v>
      </c>
      <c r="S490" s="28">
        <f t="shared" si="43"/>
        <v>0</v>
      </c>
      <c r="T490" t="str">
        <f t="shared" si="44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40"/>
        <v/>
      </c>
      <c r="P491">
        <f>'Combined Delivery Data'!B516</f>
        <v>0</v>
      </c>
      <c r="Q491">
        <f t="shared" si="41"/>
        <v>0</v>
      </c>
      <c r="R491">
        <f t="shared" si="42"/>
        <v>475</v>
      </c>
      <c r="S491" s="28">
        <f t="shared" si="43"/>
        <v>0</v>
      </c>
      <c r="T491" t="str">
        <f t="shared" si="44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40"/>
        <v/>
      </c>
      <c r="P492">
        <f>'Combined Delivery Data'!B517</f>
        <v>0</v>
      </c>
      <c r="Q492">
        <f t="shared" si="41"/>
        <v>0</v>
      </c>
      <c r="R492">
        <f t="shared" si="42"/>
        <v>475</v>
      </c>
      <c r="S492" s="28">
        <f t="shared" si="43"/>
        <v>0</v>
      </c>
      <c r="T492" t="str">
        <f t="shared" si="44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40"/>
        <v/>
      </c>
      <c r="P493">
        <f>'Combined Delivery Data'!B518</f>
        <v>0</v>
      </c>
      <c r="Q493">
        <f t="shared" si="41"/>
        <v>0</v>
      </c>
      <c r="R493">
        <f t="shared" si="42"/>
        <v>475</v>
      </c>
      <c r="S493" s="28">
        <f t="shared" si="43"/>
        <v>0</v>
      </c>
      <c r="T493" t="str">
        <f t="shared" si="44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40"/>
        <v/>
      </c>
      <c r="P494">
        <f>'Combined Delivery Data'!B519</f>
        <v>0</v>
      </c>
      <c r="Q494">
        <f t="shared" si="41"/>
        <v>0</v>
      </c>
      <c r="R494">
        <f t="shared" si="42"/>
        <v>475</v>
      </c>
      <c r="S494" s="28">
        <f t="shared" si="43"/>
        <v>0</v>
      </c>
      <c r="T494" t="str">
        <f t="shared" si="44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40"/>
        <v/>
      </c>
      <c r="P495">
        <f>'Combined Delivery Data'!B520</f>
        <v>0</v>
      </c>
      <c r="Q495">
        <f t="shared" si="41"/>
        <v>0</v>
      </c>
      <c r="R495">
        <f t="shared" si="42"/>
        <v>475</v>
      </c>
      <c r="S495" s="28">
        <f t="shared" si="43"/>
        <v>0</v>
      </c>
      <c r="T495" t="str">
        <f t="shared" si="44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40"/>
        <v/>
      </c>
      <c r="P496">
        <f>'Combined Delivery Data'!B521</f>
        <v>0</v>
      </c>
      <c r="Q496">
        <f t="shared" si="41"/>
        <v>0</v>
      </c>
      <c r="R496">
        <f t="shared" si="42"/>
        <v>475</v>
      </c>
      <c r="S496" s="28">
        <f t="shared" si="43"/>
        <v>0</v>
      </c>
      <c r="T496" t="str">
        <f t="shared" si="44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40"/>
        <v/>
      </c>
      <c r="P497">
        <f>'Combined Delivery Data'!B522</f>
        <v>0</v>
      </c>
      <c r="Q497">
        <f t="shared" si="41"/>
        <v>0</v>
      </c>
      <c r="R497">
        <f t="shared" si="42"/>
        <v>475</v>
      </c>
      <c r="S497" s="28">
        <f t="shared" si="43"/>
        <v>0</v>
      </c>
      <c r="T497" t="str">
        <f t="shared" si="44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40"/>
        <v/>
      </c>
      <c r="P498">
        <f>'Combined Delivery Data'!B523</f>
        <v>0</v>
      </c>
      <c r="Q498">
        <f t="shared" si="41"/>
        <v>0</v>
      </c>
      <c r="R498">
        <f t="shared" si="42"/>
        <v>475</v>
      </c>
      <c r="S498" s="28">
        <f t="shared" si="43"/>
        <v>0</v>
      </c>
      <c r="T498" t="str">
        <f t="shared" si="44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40"/>
        <v/>
      </c>
      <c r="P499">
        <f>'Combined Delivery Data'!B524</f>
        <v>0</v>
      </c>
      <c r="Q499">
        <f t="shared" si="41"/>
        <v>0</v>
      </c>
      <c r="R499">
        <f t="shared" si="42"/>
        <v>475</v>
      </c>
      <c r="S499" s="28">
        <f t="shared" si="43"/>
        <v>0</v>
      </c>
      <c r="T499" t="str">
        <f t="shared" si="44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40"/>
        <v/>
      </c>
      <c r="P500">
        <f>'Combined Delivery Data'!B525</f>
        <v>0</v>
      </c>
      <c r="Q500">
        <f t="shared" si="41"/>
        <v>0</v>
      </c>
      <c r="R500">
        <f t="shared" si="42"/>
        <v>475</v>
      </c>
      <c r="S500" s="28">
        <f t="shared" si="43"/>
        <v>0</v>
      </c>
      <c r="T500" t="str">
        <f t="shared" si="44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6" priority="7">
      <formula>AND($B5&lt;&gt;"",MOD(ROW(),2)=0)</formula>
    </cfRule>
  </conditionalFormatting>
  <conditionalFormatting sqref="A11:A13">
    <cfRule type="expression" dxfId="15" priority="4">
      <formula>AND($B11&lt;&gt;"",MOD(ROW(),2)=0)</formula>
    </cfRule>
  </conditionalFormatting>
  <conditionalFormatting sqref="A3:H3 K3:M3 A4:M4 M4:M11 B5:M8 A9:M10 B11:M13 A14:M17 A19:M21 B18:M18 B22:M23 A24:M500">
    <cfRule type="expression" dxfId="14" priority="17">
      <formula>AND($A3&lt;&gt;"",$G3="Yes")</formula>
    </cfRule>
    <cfRule type="expression" dxfId="13" priority="18">
      <formula>AND($A3&lt;&gt;"",$J3&lt;&gt;"")</formula>
    </cfRule>
    <cfRule type="expression" dxfId="12" priority="19">
      <formula>$A3&lt;&gt;""</formula>
    </cfRule>
  </conditionalFormatting>
  <conditionalFormatting sqref="C3:C200">
    <cfRule type="expression" dxfId="11" priority="20">
      <formula>$A3=""</formula>
    </cfRule>
  </conditionalFormatting>
  <conditionalFormatting sqref="G3:G200">
    <cfRule type="expression" dxfId="10" priority="21">
      <formula>$A3=""</formula>
    </cfRule>
  </conditionalFormatting>
  <conditionalFormatting sqref="K3:M3 A4:M4 M4:M11 B5:M8 A9:M10 B11:M13 A14:M17 A3:H3 A19:M21 B18:M18 B22:M23 A24:M500">
    <cfRule type="expression" dxfId="9" priority="16">
      <formula>AND($A3&lt;&gt;"",$G3="Did not pass re-test")</formula>
    </cfRule>
  </conditionalFormatting>
  <conditionalFormatting sqref="M3:M500">
    <cfRule type="expression" dxfId="8" priority="10">
      <formula>ISNUMBER(SEARCH("Sent back again",$M3))</formula>
    </cfRule>
    <cfRule type="expression" dxfId="7" priority="11">
      <formula>ISNUMBER(SEARCH("LATE",$M3))</formula>
    </cfRule>
    <cfRule type="expression" dxfId="6" priority="12">
      <formula>ISNUMBER(SEARCH("UNCLAIMED",$M3))</formula>
    </cfRule>
    <cfRule type="expression" dxfId="5" priority="13">
      <formula>ISNUMBER(SEARCH("Missing",$M3))</formula>
    </cfRule>
    <cfRule type="expression" dxfId="4" priority="14">
      <formula>ISNUMBER(SEARCH("Fixed in",$M3))</formula>
    </cfRule>
    <cfRule type="expression" dxfId="3" priority="15">
      <formula>ISNUMBER(SEARCH("Open",$M3))</formula>
    </cfRule>
  </conditionalFormatting>
  <conditionalFormatting sqref="A18">
    <cfRule type="expression" dxfId="2" priority="3">
      <formula>AND($B18&lt;&gt;"",MOD(ROW(),2)=0)</formula>
    </cfRule>
  </conditionalFormatting>
  <conditionalFormatting sqref="A22">
    <cfRule type="expression" dxfId="1" priority="2">
      <formula>AND($B22&lt;&gt;"",MOD(ROW(),2)=0)</formula>
    </cfRule>
  </conditionalFormatting>
  <conditionalFormatting sqref="A23">
    <cfRule type="expression" dxfId="0" priority="1">
      <formula>AND($B23&lt;&gt;"",MOD(ROW(),2)=0)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A19:A21 A24:A500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9" t="s">
        <v>379</v>
      </c>
      <c r="B1" s="104"/>
      <c r="C1" s="104"/>
      <c r="D1" s="104"/>
      <c r="E1" s="104"/>
      <c r="F1" s="104"/>
      <c r="G1" s="104"/>
      <c r="H1" s="104"/>
      <c r="I1" s="104"/>
      <c r="J1" s="104"/>
    </row>
    <row r="2" spans="1:10" ht="27" customHeight="1">
      <c r="A2" s="8" t="s">
        <v>0</v>
      </c>
      <c r="B2" s="8" t="s">
        <v>380</v>
      </c>
      <c r="C2" s="8" t="s">
        <v>1</v>
      </c>
      <c r="D2" s="8" t="s">
        <v>381</v>
      </c>
      <c r="E2" s="8" t="s">
        <v>382</v>
      </c>
      <c r="F2" s="8" t="s">
        <v>6</v>
      </c>
      <c r="G2" s="8" t="s">
        <v>5</v>
      </c>
      <c r="H2" s="8" t="s">
        <v>383</v>
      </c>
      <c r="I2" s="8" t="s">
        <v>384</v>
      </c>
      <c r="J2" s="8" t="s">
        <v>385</v>
      </c>
    </row>
    <row r="3" spans="1:10" ht="14.25" customHeight="1">
      <c r="A3" s="9" t="s">
        <v>39</v>
      </c>
      <c r="B3" s="9" t="s">
        <v>140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150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170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140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150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170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140</v>
      </c>
      <c r="C13" s="9" t="s">
        <v>386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150</v>
      </c>
      <c r="C14" s="9" t="s">
        <v>386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170</v>
      </c>
      <c r="C15" s="9" t="s">
        <v>386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386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386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140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150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170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140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150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170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140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150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170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140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150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170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140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150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170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140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150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170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140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150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170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140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150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170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140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150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170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140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150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170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140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150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170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140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150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170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140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150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170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140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150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170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140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150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170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140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150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170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140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150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170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140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150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170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140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150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170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140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150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170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140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150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170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140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150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170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140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150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170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140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150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170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140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150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170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140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150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170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140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150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170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140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150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170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140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150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170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140</v>
      </c>
      <c r="C153" s="9" t="s">
        <v>144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150</v>
      </c>
      <c r="C154" s="9" t="s">
        <v>144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170</v>
      </c>
      <c r="C155" s="9" t="s">
        <v>144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140</v>
      </c>
      <c r="C156" s="9" t="s">
        <v>146</v>
      </c>
      <c r="D156" s="9" t="s">
        <v>83</v>
      </c>
      <c r="E156" s="9" t="s">
        <v>59</v>
      </c>
      <c r="F156" s="9"/>
      <c r="G156" s="9" t="s">
        <v>147</v>
      </c>
      <c r="H156" s="9"/>
      <c r="I156" s="9"/>
      <c r="J156" s="9"/>
    </row>
    <row r="157" spans="1:10">
      <c r="A157" s="3" t="s">
        <v>126</v>
      </c>
      <c r="B157" s="3" t="s">
        <v>140</v>
      </c>
      <c r="C157" s="3" t="s">
        <v>149</v>
      </c>
      <c r="D157" s="3" t="s">
        <v>117</v>
      </c>
      <c r="E157" s="3" t="s">
        <v>45</v>
      </c>
      <c r="F157" s="3"/>
      <c r="G157" s="3" t="s">
        <v>147</v>
      </c>
      <c r="H157" s="3"/>
      <c r="I157" s="3"/>
      <c r="J157" s="3"/>
    </row>
    <row r="158" spans="1:10">
      <c r="A158" s="3" t="s">
        <v>126</v>
      </c>
      <c r="B158" s="3" t="s">
        <v>140</v>
      </c>
      <c r="C158" s="3" t="s">
        <v>154</v>
      </c>
      <c r="D158" s="3" t="s">
        <v>117</v>
      </c>
      <c r="E158" s="3" t="s">
        <v>45</v>
      </c>
      <c r="F158" s="3"/>
      <c r="G158" s="3" t="s">
        <v>147</v>
      </c>
      <c r="H158" s="3"/>
      <c r="I158" s="3"/>
      <c r="J158" s="3"/>
    </row>
    <row r="159" spans="1:10">
      <c r="A159" s="3" t="s">
        <v>126</v>
      </c>
      <c r="B159" s="3" t="s">
        <v>150</v>
      </c>
      <c r="C159" s="3" t="s">
        <v>154</v>
      </c>
      <c r="D159" s="3" t="s">
        <v>117</v>
      </c>
      <c r="E159" s="3" t="s">
        <v>45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170</v>
      </c>
      <c r="C160" s="3" t="s">
        <v>154</v>
      </c>
      <c r="D160" s="3" t="s">
        <v>117</v>
      </c>
      <c r="E160" s="3" t="s">
        <v>45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140</v>
      </c>
      <c r="C161" s="3" t="s">
        <v>155</v>
      </c>
      <c r="D161" s="3" t="s">
        <v>83</v>
      </c>
      <c r="E161" s="3" t="s">
        <v>59</v>
      </c>
      <c r="F161" s="3"/>
      <c r="G161" s="3" t="s">
        <v>147</v>
      </c>
      <c r="H161" s="3"/>
      <c r="I161" s="3"/>
      <c r="J161" s="3"/>
    </row>
    <row r="162" spans="1:10">
      <c r="A162" s="3" t="s">
        <v>126</v>
      </c>
      <c r="B162" s="3" t="s">
        <v>150</v>
      </c>
      <c r="C162" s="3" t="s">
        <v>155</v>
      </c>
      <c r="D162" s="3" t="s">
        <v>83</v>
      </c>
      <c r="E162" s="3" t="s">
        <v>59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170</v>
      </c>
      <c r="C163" s="3" t="s">
        <v>155</v>
      </c>
      <c r="D163" s="3" t="s">
        <v>83</v>
      </c>
      <c r="E163" s="3" t="s">
        <v>59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140</v>
      </c>
      <c r="C164" s="3" t="s">
        <v>158</v>
      </c>
      <c r="D164" s="3" t="s">
        <v>160</v>
      </c>
      <c r="E164" s="3" t="s">
        <v>59</v>
      </c>
      <c r="F164" s="3"/>
      <c r="G164" s="3" t="s">
        <v>147</v>
      </c>
      <c r="H164" s="3"/>
      <c r="I164" s="3"/>
      <c r="J164" s="3"/>
    </row>
    <row r="165" spans="1:10">
      <c r="A165" s="3" t="s">
        <v>126</v>
      </c>
      <c r="B165" s="3" t="s">
        <v>150</v>
      </c>
      <c r="C165" s="3" t="s">
        <v>158</v>
      </c>
      <c r="D165" s="3" t="s">
        <v>160</v>
      </c>
      <c r="E165" s="3" t="s">
        <v>59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170</v>
      </c>
      <c r="C166" s="3" t="s">
        <v>158</v>
      </c>
      <c r="D166" s="3" t="s">
        <v>160</v>
      </c>
      <c r="E166" s="3" t="s">
        <v>59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140</v>
      </c>
      <c r="C167" s="3" t="s">
        <v>161</v>
      </c>
      <c r="D167" s="3" t="s">
        <v>160</v>
      </c>
      <c r="E167" s="3" t="s">
        <v>76</v>
      </c>
      <c r="F167" s="3"/>
      <c r="G167" s="3" t="s">
        <v>147</v>
      </c>
      <c r="H167" s="3"/>
      <c r="I167" s="3"/>
      <c r="J167" s="3"/>
    </row>
    <row r="168" spans="1:10">
      <c r="A168" s="3" t="s">
        <v>126</v>
      </c>
      <c r="B168" s="3" t="s">
        <v>150</v>
      </c>
      <c r="C168" s="3" t="s">
        <v>161</v>
      </c>
      <c r="D168" s="3" t="s">
        <v>160</v>
      </c>
      <c r="E168" s="3" t="s">
        <v>76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170</v>
      </c>
      <c r="C169" s="3" t="s">
        <v>161</v>
      </c>
      <c r="D169" s="3" t="s">
        <v>160</v>
      </c>
      <c r="E169" s="3" t="s">
        <v>76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140</v>
      </c>
      <c r="C170" s="3" t="s">
        <v>162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150</v>
      </c>
      <c r="C171" s="3" t="s">
        <v>162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170</v>
      </c>
      <c r="C172" s="3" t="s">
        <v>162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140</v>
      </c>
      <c r="C173" s="3" t="s">
        <v>164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150</v>
      </c>
      <c r="C174" s="3" t="s">
        <v>164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170</v>
      </c>
      <c r="C175" s="3" t="s">
        <v>164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140</v>
      </c>
      <c r="C176" s="3" t="s">
        <v>166</v>
      </c>
      <c r="D176" s="3" t="s">
        <v>75</v>
      </c>
      <c r="E176" s="3" t="s">
        <v>76</v>
      </c>
      <c r="F176" s="3"/>
      <c r="G176" s="3" t="s">
        <v>147</v>
      </c>
      <c r="H176" s="3"/>
      <c r="I176" s="3"/>
      <c r="J176" s="3"/>
    </row>
    <row r="177" spans="1:10">
      <c r="A177" s="3" t="s">
        <v>126</v>
      </c>
      <c r="B177" s="3" t="s">
        <v>150</v>
      </c>
      <c r="C177" s="3" t="s">
        <v>166</v>
      </c>
      <c r="D177" s="3" t="s">
        <v>75</v>
      </c>
      <c r="E177" s="3" t="s">
        <v>76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170</v>
      </c>
      <c r="C178" s="3" t="s">
        <v>166</v>
      </c>
      <c r="D178" s="3" t="s">
        <v>75</v>
      </c>
      <c r="E178" s="3" t="s">
        <v>76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140</v>
      </c>
      <c r="C179" s="3" t="s">
        <v>169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150</v>
      </c>
      <c r="C180" s="3" t="s">
        <v>169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170</v>
      </c>
      <c r="C181" s="3" t="s">
        <v>169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140</v>
      </c>
      <c r="C182" s="3" t="s">
        <v>181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150</v>
      </c>
      <c r="C183" s="3" t="s">
        <v>181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170</v>
      </c>
      <c r="C184" s="3" t="s">
        <v>181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110" t="s">
        <v>387</v>
      </c>
      <c r="B1" s="104"/>
      <c r="C1" s="104"/>
    </row>
    <row r="2" spans="1:3" ht="14.25" customHeight="1">
      <c r="A2" s="8" t="s">
        <v>0</v>
      </c>
      <c r="B2" s="8" t="s">
        <v>388</v>
      </c>
      <c r="C2" s="8" t="s">
        <v>384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389</v>
      </c>
      <c r="B11" s="11">
        <v>18</v>
      </c>
      <c r="C11" s="12">
        <v>46386</v>
      </c>
    </row>
    <row r="12" spans="1:3" ht="14.25" customHeight="1">
      <c r="A12" s="11" t="s">
        <v>389</v>
      </c>
      <c r="B12" s="11">
        <v>18</v>
      </c>
      <c r="C12" s="12">
        <v>46417</v>
      </c>
    </row>
    <row r="13" spans="1:3" ht="14.25" customHeight="1">
      <c r="A13" s="11" t="s">
        <v>389</v>
      </c>
      <c r="B13" s="11">
        <v>19</v>
      </c>
      <c r="C13" s="12">
        <v>46446</v>
      </c>
    </row>
    <row r="14" spans="1:3" ht="14.25" customHeight="1">
      <c r="A14" s="11" t="s">
        <v>299</v>
      </c>
      <c r="B14" s="11">
        <v>9</v>
      </c>
      <c r="C14" s="12">
        <v>46476</v>
      </c>
    </row>
    <row r="15" spans="1:3" ht="14.25" customHeight="1">
      <c r="A15" s="11" t="s">
        <v>289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390</v>
      </c>
      <c r="F1" s="1" t="s">
        <v>326</v>
      </c>
      <c r="G1" s="5" t="s">
        <v>391</v>
      </c>
      <c r="H1" s="5" t="s">
        <v>20</v>
      </c>
      <c r="I1" t="s">
        <v>34</v>
      </c>
      <c r="J1" s="5" t="s">
        <v>392</v>
      </c>
      <c r="K1" s="5" t="s">
        <v>128</v>
      </c>
      <c r="L1" s="5" t="s">
        <v>345</v>
      </c>
      <c r="M1" s="1" t="s">
        <v>393</v>
      </c>
      <c r="N1" s="1" t="s">
        <v>394</v>
      </c>
      <c r="R1" t="s">
        <v>13</v>
      </c>
      <c r="T1" t="s">
        <v>395</v>
      </c>
    </row>
    <row r="2" spans="1:20" ht="13.5" customHeight="1">
      <c r="A2" s="2" t="s">
        <v>396</v>
      </c>
      <c r="B2" s="2" t="s">
        <v>397</v>
      </c>
      <c r="C2" s="2" t="s">
        <v>398</v>
      </c>
      <c r="D2" s="2" t="s">
        <v>399</v>
      </c>
      <c r="E2" s="2" t="s">
        <v>400</v>
      </c>
      <c r="F2" s="2" t="s">
        <v>401</v>
      </c>
      <c r="G2" t="s">
        <v>402</v>
      </c>
      <c r="H2" t="s">
        <v>403</v>
      </c>
      <c r="I2" t="s">
        <v>404</v>
      </c>
      <c r="J2" s="29" t="s">
        <v>405</v>
      </c>
      <c r="K2" s="29" t="s">
        <v>406</v>
      </c>
      <c r="L2" s="29" t="s">
        <v>407</v>
      </c>
      <c r="M2" t="s">
        <v>147</v>
      </c>
      <c r="N2" s="45" t="s">
        <v>408</v>
      </c>
      <c r="R2" t="s">
        <v>409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207</v>
      </c>
      <c r="G3" t="s">
        <v>43</v>
      </c>
      <c r="H3" t="s">
        <v>46</v>
      </c>
      <c r="I3" t="s">
        <v>52</v>
      </c>
      <c r="J3" t="s">
        <v>140</v>
      </c>
      <c r="K3" t="s">
        <v>47</v>
      </c>
      <c r="L3" t="s">
        <v>52</v>
      </c>
      <c r="M3" t="s">
        <v>43</v>
      </c>
      <c r="N3" s="45" t="s">
        <v>410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147</v>
      </c>
      <c r="E4" t="s">
        <v>52</v>
      </c>
      <c r="F4" t="s">
        <v>140</v>
      </c>
      <c r="G4" t="s">
        <v>58</v>
      </c>
      <c r="H4" t="s">
        <v>87</v>
      </c>
      <c r="I4" t="s">
        <v>411</v>
      </c>
      <c r="J4" t="s">
        <v>150</v>
      </c>
      <c r="L4" t="s">
        <v>49</v>
      </c>
      <c r="M4" t="s">
        <v>102</v>
      </c>
      <c r="N4" s="45" t="s">
        <v>410</v>
      </c>
      <c r="R4" t="s">
        <v>173</v>
      </c>
      <c r="T4" t="s">
        <v>71</v>
      </c>
    </row>
    <row r="5" spans="1:20" ht="15" customHeight="1">
      <c r="A5" t="s">
        <v>389</v>
      </c>
      <c r="B5" t="s">
        <v>64</v>
      </c>
      <c r="C5" t="s">
        <v>76</v>
      </c>
      <c r="F5" t="s">
        <v>150</v>
      </c>
      <c r="G5" t="s">
        <v>64</v>
      </c>
      <c r="H5" t="s">
        <v>129</v>
      </c>
      <c r="I5" t="s">
        <v>142</v>
      </c>
      <c r="J5" t="s">
        <v>170</v>
      </c>
      <c r="L5" t="s">
        <v>412</v>
      </c>
      <c r="M5" t="s">
        <v>87</v>
      </c>
      <c r="N5" s="45" t="s">
        <v>410</v>
      </c>
    </row>
    <row r="6" spans="1:20" ht="15" customHeight="1">
      <c r="A6" t="s">
        <v>299</v>
      </c>
      <c r="B6" t="s">
        <v>83</v>
      </c>
      <c r="F6" t="s">
        <v>170</v>
      </c>
      <c r="G6" t="s">
        <v>83</v>
      </c>
      <c r="H6" t="s">
        <v>147</v>
      </c>
      <c r="I6" t="s">
        <v>152</v>
      </c>
      <c r="J6" t="s">
        <v>128</v>
      </c>
      <c r="M6" t="s">
        <v>47</v>
      </c>
      <c r="N6" s="45" t="s">
        <v>410</v>
      </c>
    </row>
    <row r="7" spans="1:20" ht="15" customHeight="1">
      <c r="A7" t="s">
        <v>289</v>
      </c>
      <c r="B7" t="s">
        <v>117</v>
      </c>
      <c r="F7" t="s">
        <v>128</v>
      </c>
      <c r="G7" t="s">
        <v>117</v>
      </c>
      <c r="I7" t="s">
        <v>413</v>
      </c>
      <c r="M7" t="s">
        <v>129</v>
      </c>
      <c r="N7" s="45" t="s">
        <v>410</v>
      </c>
    </row>
    <row r="8" spans="1:20" ht="15" customHeight="1">
      <c r="B8" t="s">
        <v>75</v>
      </c>
      <c r="F8" t="s">
        <v>41</v>
      </c>
      <c r="G8" t="s">
        <v>75</v>
      </c>
      <c r="I8" t="s">
        <v>414</v>
      </c>
      <c r="M8" t="s">
        <v>59</v>
      </c>
      <c r="N8" s="45" t="s">
        <v>410</v>
      </c>
    </row>
    <row r="9" spans="1:20" ht="15" customHeight="1">
      <c r="B9" t="s">
        <v>102</v>
      </c>
      <c r="G9" t="s">
        <v>102</v>
      </c>
      <c r="I9" t="s">
        <v>415</v>
      </c>
      <c r="M9" t="s">
        <v>160</v>
      </c>
      <c r="N9" s="45" t="s">
        <v>410</v>
      </c>
    </row>
    <row r="10" spans="1:20" ht="15" customHeight="1">
      <c r="B10" t="s">
        <v>160</v>
      </c>
      <c r="G10" t="s">
        <v>160</v>
      </c>
      <c r="M10" t="s">
        <v>46</v>
      </c>
      <c r="N10" s="45" t="s">
        <v>410</v>
      </c>
    </row>
    <row r="11" spans="1:20">
      <c r="B11" t="s">
        <v>416</v>
      </c>
      <c r="G11" t="s">
        <v>59</v>
      </c>
      <c r="M11" t="s">
        <v>75</v>
      </c>
      <c r="N11" s="45" t="s">
        <v>410</v>
      </c>
    </row>
    <row r="12" spans="1:20">
      <c r="B12" t="s">
        <v>417</v>
      </c>
      <c r="G12" t="s">
        <v>45</v>
      </c>
      <c r="M12" t="s">
        <v>45</v>
      </c>
      <c r="N12" s="45" t="s">
        <v>410</v>
      </c>
    </row>
    <row r="13" spans="1:20">
      <c r="G13" t="s">
        <v>76</v>
      </c>
      <c r="M13" t="s">
        <v>76</v>
      </c>
      <c r="N13" s="45" t="s">
        <v>410</v>
      </c>
    </row>
    <row r="14" spans="1:20">
      <c r="M14" t="s">
        <v>83</v>
      </c>
      <c r="N14" s="45" t="s">
        <v>418</v>
      </c>
    </row>
    <row r="15" spans="1:20">
      <c r="M15" t="s">
        <v>58</v>
      </c>
      <c r="N15" s="45" t="s">
        <v>410</v>
      </c>
    </row>
    <row r="16" spans="1:20">
      <c r="M16" t="s">
        <v>117</v>
      </c>
      <c r="N16" s="45" t="s">
        <v>410</v>
      </c>
    </row>
    <row r="17" spans="13:14">
      <c r="M17" t="s">
        <v>64</v>
      </c>
      <c r="N17" s="45" t="s">
        <v>410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2026-09-01T16:45:23Z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