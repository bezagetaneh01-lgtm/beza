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545" documentId="13_ncr:1_{52745E9B-3AA1-4770-AAD3-E6166BFC13AE}" xr6:coauthVersionLast="47" xr6:coauthVersionMax="47" xr10:uidLastSave="{05A8EBDD-F75D-4E7D-9307-29A7B615971B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<sst xmlns="http://schemas.openxmlformats.org/spreadsheetml/2006/main" count="3010" uniqueCount="425">
  <si>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</si>
  <si>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</si>
  <si>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</si>
  <si>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</si>
  <si>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</si>
  <si>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</si>
  <si>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</si>
  <si>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</si>
  <si>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</si>
  <si>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</si>
  <si>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</si>
  <si>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</si>
  <si>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</si>
  <si>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</si>
  <si>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</si>
  <si>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</si>
  <si>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</si>
  <si>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</si>
  <si>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</si>
  <si>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</si>
  <si>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</si>
  <si>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</si>
  <si>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</si>
  <si>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</si>
  <si>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</si>
  <si>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</si>
  <si>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</si>
  <si>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</si>
  <si>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</si>
  <si>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</si>
  <si>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</si>
  <si>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</si>
  <si>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</si>
  <si>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</si>
  <si>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</si>
  <si>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</si>
  <si>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</si>
  <si>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</si>
  <si>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</si>
  <si>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</si>
  <si>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</si>
  <si>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</si>
  <si>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</si>
  <si>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</si>
  <si>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</si>
  <si>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</si>
  <si>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</si>
  <si>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</si>
  <si>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</si>
  <si>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</si>
  <si>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</si>
  <si>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</si>
  <si>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</si>
  <si>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</si>
  <si>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</si>
  <si>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</si>
  <si>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</si>
  <si>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</si>
  <si>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</si>
  <si>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</si>
  <si>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</si>
  <si>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</si>
  <si>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</si>
  <si>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</si>
  <si>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</si>
  <si>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</si>
  <si>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</si>
  <si>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</si>
  <si>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</si>
  <si>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</si>
  <si>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</si>
  <si>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</si>
  <si>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</si>
  <si>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</si>
  <si>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</si>
  <si>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</si>
  <si>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</si>
  <si>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</si>
  <si>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</si>
  <si>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</si>
  <si>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</si>
  <si>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</si>
  <si>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</si>
  <si>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</si>
  <si>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</si>
  <si>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</si>
  <si>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</si>
  <si>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</si>
  <si>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</si>
  <si>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</si>
  <si>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</si>
  <si>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</si>
  <si>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</si>
  <si>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</si>
  <si>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</si>
  <si>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</si>
  <si>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</si>
  <si>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</si>
  <si>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</si>
  <si>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</si>
  <si>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</si>
  <si>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</si>
  <si>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</si>
  <si>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</si>
  <si>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</si>
  <si>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</si>
  <si>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</si>
  <si>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</si>
  <si>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</si>
  <si>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</si>
  <si>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</si>
  <si>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</si>
  <si>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</si>
  <si>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</si>
  <si>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</si>
  <si>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</si>
  <si>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</si>
  <si>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</si>
  <si>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</si>
  <si>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</si>
  <si>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</si>
  <si>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</si>
  <si>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</si>
  <si>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</si>
  <si>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</si>
  <si>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</si>
  <si>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</si>
  <si>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</si>
  <si>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</si>
  <si>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</si>
  <si>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</si>
  <si>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</si>
  <si>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</si>
  <si>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</si>
  <si>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</si>
  <si>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</si>
  <si>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</si>
  <si>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</si>
  <si>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</si>
  <si>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</si>
  <si>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</si>
  <si>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</si>
  <si>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</si>
  <si>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</si>
  <si>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</si>
  <si>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</si>
  <si>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</si>
  <si>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</si>
  <si>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</si>
  <si>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</si>
  <si>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</si>
  <si>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</si>
  <si>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</si>
  <si>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</si>
  <si>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</si>
  <si>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</si>
  <si>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</si>
  <si>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</si>
  <si>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</si>
  <si>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</si>
  <si>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</si>
  <si>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</si>
  <si>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</si>
  <si>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</si>
  <si>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</si>
  <si>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</si>
  <si>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</si>
  <si>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</si>
  <si>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</si>
  <si>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</si>
  <si>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</si>
  <si>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</si>
  <si>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</si>
  <si>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</si>
  <si>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</si>
  <si>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</si>
  <si>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</si>
  <si>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</si>
  <si>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</si>
  <si>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</si>
  <si>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</si>
  <si>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</si>
  <si>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</si>
  <si>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</si>
  <si>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</si>
  <si>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</si>
  <si>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</si>
  <si>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</si>
  <si>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</si>
  <si>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</si>
  <si>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</si>
  <si>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</si>
  <si>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</si>
  <si>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</si>
  <si>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</si>
  <si>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</si>
  <si>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</si>
  <si>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</si>
  <si>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</si>
  <si>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</si>
  <si>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</si>
  <si>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</si>
  <si>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</si>
  <si>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</si>
  <si>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</si>
  <si>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</si>
  <si>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</si>
  <si>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</si>
  <si>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</si>
  <si>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</si>
  <si>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</si>
  <si>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</si>
  <si>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</si>
  <si>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</si>
  <si>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</si>
  <si>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</si>
  <si>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</si>
  <si>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</si>
  <si>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</si>
  <si>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</si>
  <si>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</si>
  <si>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</si>
  <si>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</si>
  <si>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</si>
  <si>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</si>
  <si>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</si>
  <si>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</si>
  <si>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</si>
  <si>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</si>
  <si>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</si>
  <si>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</si>
  <si>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</si>
  <si>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</si>
  <si>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</si>
  <si>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</si>
  <si>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</si>
  <si>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</si>
  <si>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</si>
  <si>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</si>
  <si>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</si>
  <si>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</si>
  <si>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</si>
  <si>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</si>
  <si>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</si>
  <si>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</si>
  <si>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</si>
  <si>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</si>
  <si>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</si>
  <si>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</si>
  <si>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</si>
  <si>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</si>
  <si>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</si>
  <si>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</si>
  <si>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</si>
  <si>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</si>
  <si>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</si>
  <si>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</si>
  <si>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</si>
  <si>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</si>
  <si>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</si>
  <si>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</si>
  <si>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</si>
  <si>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</si>
  <si>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</si>
  <si>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</si>
  <si>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</si>
  <si>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</si>
  <si>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</si>
  <si>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</si>
  <si>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</si>
  <si>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</si>
  <si>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</si>
  <si>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</si>
  <si>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</si>
  <si>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</si>
  <si>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</si>
  <si>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</si>
  <si>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</si>
  <si>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</si>
  <si>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</si>
  <si>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</si>
  <si>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</si>
  <si>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</si>
  <si>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</si>
  <si>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</si>
  <si>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</si>
  <si>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</si>
  <si>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</si>
  <si>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</si>
  <si>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</si>
  <si>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</si>
  <si>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</si>
  <si>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</si>
  <si>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</si>
  <si>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</si>
  <si>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</si>
  <si>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</si>
  <si>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</si>
  <si>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</si>
  <si>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</si>
  <si>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</si>
  <si>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</si>
  <si>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</si>
  <si>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</si>
  <si>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</si>
  <si>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</si>
  <si>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</si>
  <si>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</si>
  <si>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</si>
  <si>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</si>
  <si>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</si>
  <si>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</si>
  <si>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</si>
  <si>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</si>
  <si>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</si>
  <si>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</si>
  <si>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</si>
  <si>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</si>
  <si>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</si>
  <si>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</si>
  <si>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</si>
  <si>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</si>
  <si>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</si>
  <si>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</si>
  <si>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</si>
  <si>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</si>
  <si>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</si>
  <si>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</si>
  <si>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</si>
  <si>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</si>
  <si>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</si>
  <si>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</si>
  <si>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</si>
  <si>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</si>
  <si>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</si>
  <si>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</si>
  <si>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</si>
  <si>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</si>
  <si>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</si>
  <si>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</si>
  <si>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</si>
  <si>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</si>
  <si>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</si>
  <si>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</si>
  <si>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</si>
  <si>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</si>
  <si>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</si>
  <si>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</si>
  <si>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</si>
  <si>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</si>
  <si>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</si>
  <si>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</si>
  <si>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</si>
  <si>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</si>
  <si>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</si>
  <si>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</si>
  <si>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</si>
  <si>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</si>
  <si>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</si>
  <si>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</si>
  <si>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</si>
  <si>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</si>
  <si>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</si>
  <si>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</si>
  <si>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</si>
  <si>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</si>
  <si>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</si>
  <si>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</si>
  <si>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</si>
  <si>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</si>
  <si>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</si>
  <si>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</si>
  <si>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</si>
  <si>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</si>
  <si>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</si>
  <si>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</si>
  <si>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</si>
  <si>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</si>
  <si>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</si>
  <si>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</si>
  <si>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</si>
  <si>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</si>
  <si>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</si>
  <si>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</si>
  <si>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</si>
  <si>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</si>
  <si>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</si>
  <si>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</si>
  <si>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</si>
  <si>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</si>
  <si>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</si>
  <si>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</si>
  <si>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</si>
  <si>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</si>
  <si>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</si>
  <si>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</si>
  <si>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</si>
  <si>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</si>
  <si>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</si>
  <si>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</si>
  <si>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</si>
  <si>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</si>
  <si>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</si>
  <si>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</si>
  <si>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</si>
  <si>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</si>
  <si>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</si>
  <si>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</si>
  <si>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</si>
  <si>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</si>
  <si>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</si>
  <si>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</si>
  <si>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</si>
  <si>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</si>
  <si>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</si>
  <si>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</si>
  <si>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</si>
  <si>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</si>
  <si>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Olu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</si>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</sst>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7">
  <autoFilter ref="A1:AN115" xr:uid="{00000000-0009-0000-0100-000001000000}"/>
  <tableColumns count="40">
    <tableColumn id="1" xr3:uid="{00000000-0010-0000-0000-000001000000}" name="Domain" dataDxfId="56"/>
    <tableColumn id="2" xr3:uid="{00000000-0010-0000-0000-000002000000}" name="Report Name" dataDxfId="55"/>
    <tableColumn id="3" xr3:uid="{00000000-0010-0000-0000-000003000000}" name="Current Status  (Update next stage after completion date)" dataDxfId="54"/>
    <tableColumn id="4" xr3:uid="{00000000-0010-0000-0000-000004000000}" name="Status Flag" dataDxfId="53"/>
    <tableColumn id="5" xr3:uid="{00000000-0010-0000-0000-000005000000}" name="Business Value Rank" dataDxfId="52"/>
    <tableColumn id="6" xr3:uid="{00000000-0010-0000-0000-000006000000}" name="PO" dataDxfId="51"/>
    <tableColumn id="10" xr3:uid="{00000000-0010-0000-0000-00000A000000}" name="Schema" dataDxfId="50"/>
    <tableColumn id="11" xr3:uid="{00000000-0010-0000-0000-00000B000000}" name="Plan Delivery Date" dataDxfId="49"/>
    <tableColumn id="12" xr3:uid="{00000000-0010-0000-0000-00000C000000}" name="Plan Delivery Month" dataDxfId="48"/>
    <tableColumn id="7" xr3:uid="{00000000-0010-0000-0000-000007000000}" name="DB Developer" dataDxfId="47"/>
    <tableColumn id="13" xr3:uid="{00000000-0010-0000-0000-00000D000000}" name="DB Dev Baseline Completion Date" dataDxfId="46"/>
    <tableColumn id="30" xr3:uid="{00000000-0010-0000-0000-00001E000000}" name="DB Dev Reforecast Completion Date" dataDxfId="45"/>
    <tableColumn id="14" xr3:uid="{00000000-0010-0000-0000-00000E000000}" name="DB Dev Actual Completion Date" dataDxfId="44"/>
    <tableColumn id="35" xr3:uid="{1A518B0C-8D73-4DAB-8F10-7B4DFF037343}" name="Build Source" dataDxfId="43"/>
    <tableColumn id="28" xr3:uid="{EFCDFAEE-1B00-42CE-9649-7541F5DDC136}" name="Sprint DB" dataDxfId="42"/>
    <tableColumn id="8" xr3:uid="{00000000-0010-0000-0000-000008000000}" name="PBI Developer" dataDxfId="41"/>
    <tableColumn id="15" xr3:uid="{00000000-0010-0000-0000-00000F000000}" name="PBI Dev Baseline Completion Date" dataDxfId="40"/>
    <tableColumn id="31" xr3:uid="{00000000-0010-0000-0000-00001F000000}" name="PBI Dev Reforecast Completion Date" dataDxfId="39"/>
    <tableColumn id="16" xr3:uid="{00000000-0010-0000-0000-000010000000}" name="PBI Dev Actual Completion Date" dataDxfId="38"/>
    <tableColumn id="29" xr3:uid="{4630D178-9B47-4360-A40B-22C7384DB9C9}" name="Sprint PBI" dataDxfId="37"/>
    <tableColumn id="9" xr3:uid="{00000000-0010-0000-0000-000009000000}" name="QA Tester" dataDxfId="36"/>
    <tableColumn id="17" xr3:uid="{00000000-0010-0000-0000-000011000000}" name="QA Baseline Completion Date" dataDxfId="35"/>
    <tableColumn id="32" xr3:uid="{00000000-0010-0000-0000-000020000000}" name="QA Reforecast Completion Date" dataDxfId="34"/>
    <tableColumn id="43" xr3:uid="{4636FA56-7728-4236-AC33-8557B12CD9BB}" name="preety Initial QA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7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zoomScaleNormal="100" workbookViewId="0">
      <pane xSplit="2" topLeftCell="K48" activePane="topRight" state="frozen"/>
      <selection pane="topRight" activeCell="Q52" sqref="Q52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28.42578125" customWidth="1"/>
    <col min="5" max="5" width="10" customWidth="1"/>
    <col min="6" max="6" width="11" customWidth="1"/>
    <col min="7" max="7" width="7.7109375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24.5703125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 ht="14.45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 ht="14.45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 ht="14.45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 ht="14.45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 ht="14.45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 ht="14.45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 ht="14.45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46274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 ht="14.45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46269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 ht="14.45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 ht="14.45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 ht="14.45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 ht="14.45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 ht="14.45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 ht="14.45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 ht="14.45">
      <c r="A43" s="33" t="s">
        <v>127</v>
      </c>
      <c r="B43" s="33" t="s">
        <v>169</v>
      </c>
      <c r="C43" s="33" t="s">
        <v>141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Overdue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53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174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 ht="152.25">
      <c r="A44" s="33" t="s">
        <v>127</v>
      </c>
      <c r="B44" s="33" t="s">
        <v>175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>
        <v>46268</v>
      </c>
      <c r="Z44" s="36"/>
      <c r="AA44" s="52">
        <v>46260</v>
      </c>
      <c r="AB44" s="36">
        <v>46273</v>
      </c>
      <c r="AC44" s="36"/>
      <c r="AD44" s="33" t="s">
        <v>176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177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 ht="14.45">
      <c r="A45" s="33" t="s">
        <v>127</v>
      </c>
      <c r="B45" s="33" t="s">
        <v>178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176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179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 ht="14.45">
      <c r="A46" s="33" t="s">
        <v>127</v>
      </c>
      <c r="B46" s="33" t="s">
        <v>180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181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179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 ht="14.45">
      <c r="A47" s="33" t="s">
        <v>127</v>
      </c>
      <c r="B47" s="33" t="s">
        <v>182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183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179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 ht="14.45">
      <c r="A48" s="33" t="s">
        <v>127</v>
      </c>
      <c r="B48" s="33" t="s">
        <v>184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183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176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185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 ht="14.45">
      <c r="A49" s="33" t="s">
        <v>127</v>
      </c>
      <c r="B49" s="33" t="s">
        <v>186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187</v>
      </c>
      <c r="C50" s="33" t="s">
        <v>141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4">
        <v>46234</v>
      </c>
      <c r="L50" s="36">
        <v>46249</v>
      </c>
      <c r="M50" s="36">
        <v>46245</v>
      </c>
      <c r="N50" s="36"/>
      <c r="O50" s="36" t="s">
        <v>183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176</v>
      </c>
      <c r="AE50" s="33" t="s">
        <v>72</v>
      </c>
      <c r="AF50" s="38"/>
      <c r="AG50" s="36"/>
      <c r="AH50" s="39"/>
      <c r="AI50" s="33"/>
      <c r="AJ50" s="40" t="s">
        <v>53</v>
      </c>
      <c r="AK50" s="73" t="str">
        <f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 ht="14.45">
      <c r="A51" s="33" t="s">
        <v>127</v>
      </c>
      <c r="B51" s="33" t="s">
        <v>188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183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189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185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190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183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191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192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 ht="14.45">
      <c r="A53" s="33" t="s">
        <v>127</v>
      </c>
      <c r="B53" s="33" t="s">
        <v>193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194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 ht="14.45">
      <c r="A54" s="33" t="s">
        <v>127</v>
      </c>
      <c r="B54" s="33" t="s">
        <v>195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196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 ht="14.45">
      <c r="A55" s="33" t="s">
        <v>127</v>
      </c>
      <c r="B55" s="33" t="s">
        <v>197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198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200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201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 ht="14.45">
      <c r="A56" s="33" t="s">
        <v>127</v>
      </c>
      <c r="B56" s="33" t="s">
        <v>202</v>
      </c>
      <c r="C56" s="33" t="s">
        <v>150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198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199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200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203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204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 ht="14.45">
      <c r="A57" s="33" t="s">
        <v>127</v>
      </c>
      <c r="B57" s="33" t="s">
        <v>205</v>
      </c>
      <c r="C57" s="33" t="s">
        <v>206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198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199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200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194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204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 ht="14.45">
      <c r="A58" s="33" t="s">
        <v>127</v>
      </c>
      <c r="B58" s="33" t="s">
        <v>207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198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199</v>
      </c>
      <c r="P58" s="63" t="s">
        <v>77</v>
      </c>
      <c r="Q58" s="4">
        <v>46269</v>
      </c>
      <c r="R58" s="36">
        <v>46272</v>
      </c>
      <c r="S58" s="36"/>
      <c r="T58" s="69" t="s">
        <v>200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 ht="14.45">
      <c r="A59" s="33" t="s">
        <v>127</v>
      </c>
      <c r="B59" s="33" t="s">
        <v>208</v>
      </c>
      <c r="C59" s="33" t="s">
        <v>150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198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200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194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 ht="14.45">
      <c r="A60" s="33" t="s">
        <v>127</v>
      </c>
      <c r="B60" s="33" t="s">
        <v>209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198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3" t="s">
        <v>46</v>
      </c>
      <c r="Q60" s="4">
        <v>46269</v>
      </c>
      <c r="R60" s="36"/>
      <c r="S60" s="36"/>
      <c r="T60" s="69" t="s">
        <v>200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210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 ht="14.45">
      <c r="A61" s="33" t="s">
        <v>127</v>
      </c>
      <c r="B61" s="33" t="s">
        <v>211</v>
      </c>
      <c r="C61" s="33" t="s">
        <v>206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198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199</v>
      </c>
      <c r="P61" s="63" t="s">
        <v>60</v>
      </c>
      <c r="Q61" s="4">
        <v>46269</v>
      </c>
      <c r="R61" s="36">
        <v>46268</v>
      </c>
      <c r="S61" s="36"/>
      <c r="T61" s="69" t="s">
        <v>200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212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 ht="14.45">
      <c r="A62" s="33" t="s">
        <v>127</v>
      </c>
      <c r="B62" s="33" t="s">
        <v>213</v>
      </c>
      <c r="C62" s="33" t="s">
        <v>206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198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3" t="s">
        <v>77</v>
      </c>
      <c r="Q62" s="4">
        <v>46269</v>
      </c>
      <c r="R62" s="36"/>
      <c r="S62" s="36"/>
      <c r="T62" s="69" t="s">
        <v>200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214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 ht="14.45">
      <c r="A63" s="33" t="s">
        <v>127</v>
      </c>
      <c r="B63" s="33" t="s">
        <v>215</v>
      </c>
      <c r="C63" s="33" t="s">
        <v>206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198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199</v>
      </c>
      <c r="P63" s="63" t="s">
        <v>46</v>
      </c>
      <c r="Q63" s="4">
        <v>46286</v>
      </c>
      <c r="R63" s="36"/>
      <c r="S63" s="36"/>
      <c r="T63" s="69" t="s">
        <v>200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216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ht="14.45">
      <c r="A64" s="33" t="s">
        <v>127</v>
      </c>
      <c r="B64" s="33" t="s">
        <v>217</v>
      </c>
      <c r="C64" s="33" t="s">
        <v>206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130</v>
      </c>
      <c r="G64" s="33"/>
      <c r="H64" s="50">
        <v>46295</v>
      </c>
      <c r="I64" s="55" t="s">
        <v>198</v>
      </c>
      <c r="J64" s="33" t="s">
        <v>103</v>
      </c>
      <c r="K64" s="4">
        <v>46276</v>
      </c>
      <c r="L64" s="36">
        <v>46265</v>
      </c>
      <c r="M64" s="36">
        <v>46266</v>
      </c>
      <c r="N64" s="36"/>
      <c r="O64" s="36" t="s">
        <v>199</v>
      </c>
      <c r="P64" s="63" t="s">
        <v>60</v>
      </c>
      <c r="Q64" s="4">
        <v>46286</v>
      </c>
      <c r="R64" s="36"/>
      <c r="S64" s="36"/>
      <c r="T64" s="69" t="s">
        <v>200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218</v>
      </c>
      <c r="AE64" s="33" t="s">
        <v>72</v>
      </c>
      <c r="AF64" s="38"/>
      <c r="AG64" s="36"/>
      <c r="AH64" s="39"/>
      <c r="AI64" s="33"/>
      <c r="AJ64" s="40" t="s">
        <v>53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 ht="14.45">
      <c r="A65" s="33" t="s">
        <v>127</v>
      </c>
      <c r="B65" s="33" t="s">
        <v>219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198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3" t="s">
        <v>77</v>
      </c>
      <c r="Q65" s="4">
        <v>46286</v>
      </c>
      <c r="R65" s="43"/>
      <c r="S65" s="31"/>
      <c r="T65" s="69" t="s">
        <v>200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ht="14.45">
      <c r="A66" s="33" t="s">
        <v>127</v>
      </c>
      <c r="B66" s="33" t="s">
        <v>220</v>
      </c>
      <c r="C66" s="33" t="s">
        <v>206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130</v>
      </c>
      <c r="G66" s="33"/>
      <c r="H66" s="50">
        <v>46295</v>
      </c>
      <c r="I66" s="55" t="s">
        <v>198</v>
      </c>
      <c r="J66" s="33" t="s">
        <v>44</v>
      </c>
      <c r="K66" s="4">
        <v>46276</v>
      </c>
      <c r="L66" s="36"/>
      <c r="M66" s="36"/>
      <c r="N66" s="36"/>
      <c r="O66" s="36" t="s">
        <v>199</v>
      </c>
      <c r="P66" s="63" t="s">
        <v>46</v>
      </c>
      <c r="Q66" s="4">
        <v>46286</v>
      </c>
      <c r="R66" s="36">
        <v>46273</v>
      </c>
      <c r="S66" s="36"/>
      <c r="T66" s="69" t="s">
        <v>200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218</v>
      </c>
      <c r="AE66" s="33" t="s">
        <v>94</v>
      </c>
      <c r="AF66" s="38"/>
      <c r="AG66" s="36"/>
      <c r="AH66" s="39"/>
      <c r="AI66" s="33"/>
      <c r="AJ66" s="40" t="s">
        <v>53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 ht="14.45">
      <c r="A67" s="33" t="s">
        <v>127</v>
      </c>
      <c r="B67" s="33" t="s">
        <v>221</v>
      </c>
      <c r="C67" s="33" t="s">
        <v>206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198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200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222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 ht="14.45">
      <c r="A68" s="81" t="s">
        <v>127</v>
      </c>
      <c r="B68" s="78" t="s">
        <v>223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198</v>
      </c>
      <c r="J68" s="81" t="s">
        <v>224</v>
      </c>
      <c r="K68" s="86">
        <v>46276</v>
      </c>
      <c r="L68" s="87">
        <v>46258</v>
      </c>
      <c r="M68" s="87">
        <v>46258</v>
      </c>
      <c r="N68" s="87"/>
      <c r="O68" s="87" t="s">
        <v>199</v>
      </c>
      <c r="P68" s="88" t="s">
        <v>77</v>
      </c>
      <c r="Q68" s="86">
        <v>46286</v>
      </c>
      <c r="R68" s="87"/>
      <c r="S68" s="87"/>
      <c r="T68" s="89" t="s">
        <v>225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226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227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 ht="14.45">
      <c r="A69" s="98" t="s">
        <v>127</v>
      </c>
      <c r="B69" s="79" t="s">
        <v>228</v>
      </c>
      <c r="C69" s="98" t="s">
        <v>206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198</v>
      </c>
      <c r="J69" s="98" t="s">
        <v>59</v>
      </c>
      <c r="K69" s="103">
        <v>46276</v>
      </c>
      <c r="L69" s="104"/>
      <c r="M69" s="104"/>
      <c r="N69" s="104"/>
      <c r="O69" s="104" t="s">
        <v>199</v>
      </c>
      <c r="P69" s="105" t="s">
        <v>46</v>
      </c>
      <c r="Q69" s="103">
        <v>46286</v>
      </c>
      <c r="R69" s="104"/>
      <c r="S69" s="104"/>
      <c r="T69" s="106" t="s">
        <v>225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229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230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 ht="14.45">
      <c r="A70" s="33" t="s">
        <v>127</v>
      </c>
      <c r="B70" s="33" t="s">
        <v>231</v>
      </c>
      <c r="C70" s="33" t="s">
        <v>206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198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199</v>
      </c>
      <c r="P70" s="63" t="s">
        <v>46</v>
      </c>
      <c r="Q70" s="4">
        <v>46286</v>
      </c>
      <c r="R70" s="36"/>
      <c r="S70" s="36"/>
      <c r="T70" s="69" t="s">
        <v>225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194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 ht="14.45">
      <c r="A71" s="33" t="s">
        <v>127</v>
      </c>
      <c r="B71" s="33" t="s">
        <v>232</v>
      </c>
      <c r="C71" s="33" t="s">
        <v>206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5" t="s">
        <v>198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3" t="s">
        <v>60</v>
      </c>
      <c r="Q71" s="4">
        <v>46286</v>
      </c>
      <c r="R71" s="36"/>
      <c r="S71" s="36"/>
      <c r="T71" s="69" t="s">
        <v>225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233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 ht="14.45">
      <c r="A72" s="33" t="s">
        <v>127</v>
      </c>
      <c r="B72" s="33" t="s">
        <v>234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198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199</v>
      </c>
      <c r="P72" s="63" t="s">
        <v>77</v>
      </c>
      <c r="Q72" s="4">
        <v>46286</v>
      </c>
      <c r="R72" s="36"/>
      <c r="S72" s="36"/>
      <c r="T72" s="69" t="s">
        <v>225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176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7" t="s">
        <v>127</v>
      </c>
      <c r="B73" s="31" t="s">
        <v>235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236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199</v>
      </c>
      <c r="P73" s="66"/>
      <c r="Q73" s="43">
        <v>46313</v>
      </c>
      <c r="R73" s="43"/>
      <c r="S73" s="44"/>
      <c r="T73" s="70" t="s">
        <v>237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201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238</v>
      </c>
      <c r="C74" s="31" t="s">
        <v>206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236</v>
      </c>
      <c r="J74" s="54" t="s">
        <v>224</v>
      </c>
      <c r="K74" s="43">
        <v>46304</v>
      </c>
      <c r="L74" s="43"/>
      <c r="M74" s="44"/>
      <c r="N74" s="44"/>
      <c r="O74" s="44" t="s">
        <v>199</v>
      </c>
      <c r="P74" s="75"/>
      <c r="Q74" s="43">
        <v>46313</v>
      </c>
      <c r="R74" s="43"/>
      <c r="S74" s="44"/>
      <c r="T74" s="70" t="s">
        <v>237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176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ht="14.45" hidden="1">
      <c r="A75" s="31" t="s">
        <v>127</v>
      </c>
      <c r="B75" s="31" t="s">
        <v>239</v>
      </c>
      <c r="C75" s="31" t="s">
        <v>206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236</v>
      </c>
      <c r="J75" s="54" t="s">
        <v>59</v>
      </c>
      <c r="K75" s="43">
        <v>46304</v>
      </c>
      <c r="L75" s="43"/>
      <c r="M75" s="44"/>
      <c r="N75" s="44"/>
      <c r="O75" s="44" t="s">
        <v>199</v>
      </c>
      <c r="P75" s="75"/>
      <c r="Q75" s="43">
        <v>46313</v>
      </c>
      <c r="R75" s="43"/>
      <c r="S75" s="44"/>
      <c r="T75" s="70" t="s">
        <v>237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240</v>
      </c>
      <c r="AE75" s="31" t="s">
        <v>94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ht="14.45" hidden="1">
      <c r="A76" s="31" t="s">
        <v>127</v>
      </c>
      <c r="B76" s="31" t="s">
        <v>241</v>
      </c>
      <c r="C76" s="31" t="s">
        <v>206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236</v>
      </c>
      <c r="J76" s="54" t="s">
        <v>59</v>
      </c>
      <c r="K76" s="43">
        <v>46304</v>
      </c>
      <c r="L76" s="43"/>
      <c r="M76" s="44"/>
      <c r="N76" s="44"/>
      <c r="O76" s="44" t="s">
        <v>199</v>
      </c>
      <c r="P76" s="75"/>
      <c r="Q76" s="43">
        <v>46313</v>
      </c>
      <c r="R76" s="43"/>
      <c r="S76" s="44"/>
      <c r="T76" s="70" t="s">
        <v>237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240</v>
      </c>
      <c r="AE76" s="31" t="s">
        <v>94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ht="14.45" hidden="1">
      <c r="A77" s="31" t="s">
        <v>127</v>
      </c>
      <c r="B77" s="31" t="s">
        <v>242</v>
      </c>
      <c r="C77" s="31" t="s">
        <v>206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236</v>
      </c>
      <c r="J77" s="54" t="s">
        <v>160</v>
      </c>
      <c r="K77" s="43">
        <v>46304</v>
      </c>
      <c r="L77" s="43"/>
      <c r="M77" s="44"/>
      <c r="N77" s="44"/>
      <c r="O77" s="44" t="s">
        <v>199</v>
      </c>
      <c r="P77" s="75"/>
      <c r="Q77" s="43">
        <v>46313</v>
      </c>
      <c r="R77" s="43"/>
      <c r="S77" s="44"/>
      <c r="T77" s="70" t="s">
        <v>237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240</v>
      </c>
      <c r="AE77" s="31" t="s">
        <v>94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ht="14.45" hidden="1">
      <c r="A78" s="31" t="s">
        <v>127</v>
      </c>
      <c r="B78" s="31" t="s">
        <v>243</v>
      </c>
      <c r="C78" s="31" t="s">
        <v>206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236</v>
      </c>
      <c r="J78" s="54" t="s">
        <v>44</v>
      </c>
      <c r="K78" s="43">
        <v>46304</v>
      </c>
      <c r="L78" s="43"/>
      <c r="M78" s="44"/>
      <c r="N78" s="44"/>
      <c r="O78" s="44" t="s">
        <v>244</v>
      </c>
      <c r="P78" s="75"/>
      <c r="Q78" s="43">
        <v>46313</v>
      </c>
      <c r="R78" s="43"/>
      <c r="S78" s="44"/>
      <c r="T78" s="70" t="s">
        <v>237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191</v>
      </c>
      <c r="AE78" s="31" t="s">
        <v>94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245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236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246</v>
      </c>
      <c r="O79" s="44" t="s">
        <v>199</v>
      </c>
      <c r="P79" s="75"/>
      <c r="Q79" s="43">
        <v>46313</v>
      </c>
      <c r="R79" s="43"/>
      <c r="S79" s="44"/>
      <c r="T79" s="70" t="s">
        <v>237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247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248</v>
      </c>
      <c r="C80" s="31" t="s">
        <v>206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236</v>
      </c>
      <c r="J80" s="54" t="s">
        <v>249</v>
      </c>
      <c r="K80" s="43">
        <v>46304</v>
      </c>
      <c r="L80" s="43"/>
      <c r="M80" s="44"/>
      <c r="N80" s="44"/>
      <c r="O80" s="44" t="s">
        <v>244</v>
      </c>
      <c r="P80" s="75"/>
      <c r="Q80" s="43">
        <v>46313</v>
      </c>
      <c r="R80" s="43"/>
      <c r="S80" s="44"/>
      <c r="T80" s="70" t="s">
        <v>237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210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ht="14.45" hidden="1">
      <c r="A81" s="31" t="s">
        <v>127</v>
      </c>
      <c r="B81" s="31" t="s">
        <v>250</v>
      </c>
      <c r="C81" s="31" t="s">
        <v>206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236</v>
      </c>
      <c r="J81" s="54" t="s">
        <v>249</v>
      </c>
      <c r="K81" s="43">
        <v>46304</v>
      </c>
      <c r="L81" s="43"/>
      <c r="M81" s="44"/>
      <c r="N81" s="44"/>
      <c r="O81" s="44" t="s">
        <v>244</v>
      </c>
      <c r="P81" s="75"/>
      <c r="Q81" s="43">
        <v>46313</v>
      </c>
      <c r="R81" s="43"/>
      <c r="S81" s="44"/>
      <c r="T81" s="69" t="s">
        <v>251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218</v>
      </c>
      <c r="AE81" s="31" t="s">
        <v>94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252</v>
      </c>
      <c r="C82" s="31" t="s">
        <v>206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236</v>
      </c>
      <c r="J82" s="54" t="s">
        <v>160</v>
      </c>
      <c r="K82" s="43">
        <v>46304</v>
      </c>
      <c r="L82" s="43"/>
      <c r="M82" s="44"/>
      <c r="N82" s="44"/>
      <c r="O82" s="44" t="s">
        <v>244</v>
      </c>
      <c r="P82" s="75"/>
      <c r="Q82" s="43">
        <v>46313</v>
      </c>
      <c r="R82" s="43"/>
      <c r="S82" s="44"/>
      <c r="T82" s="69" t="s">
        <v>251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253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254</v>
      </c>
      <c r="C83" s="31" t="s">
        <v>206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236</v>
      </c>
      <c r="J83" s="54" t="s">
        <v>76</v>
      </c>
      <c r="K83" s="43">
        <v>46304</v>
      </c>
      <c r="L83" s="43"/>
      <c r="M83" s="44"/>
      <c r="N83" s="44"/>
      <c r="O83" s="44" t="s">
        <v>244</v>
      </c>
      <c r="P83" s="75"/>
      <c r="Q83" s="43">
        <v>46313</v>
      </c>
      <c r="R83" s="43"/>
      <c r="S83" s="44"/>
      <c r="T83" s="69" t="s">
        <v>251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255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256</v>
      </c>
      <c r="C84" s="31" t="s">
        <v>206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236</v>
      </c>
      <c r="J84" s="54" t="s">
        <v>76</v>
      </c>
      <c r="K84" s="43">
        <v>46304</v>
      </c>
      <c r="L84" s="43"/>
      <c r="M84" s="44"/>
      <c r="N84" s="44"/>
      <c r="O84" s="44" t="s">
        <v>244</v>
      </c>
      <c r="P84" s="75"/>
      <c r="Q84" s="43">
        <v>46313</v>
      </c>
      <c r="R84" s="43"/>
      <c r="S84" s="44"/>
      <c r="T84" s="69" t="s">
        <v>251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194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257</v>
      </c>
      <c r="C85" s="31" t="s">
        <v>206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258</v>
      </c>
      <c r="F85" s="31"/>
      <c r="G85" s="31"/>
      <c r="H85" s="50">
        <v>46325</v>
      </c>
      <c r="I85" s="56" t="s">
        <v>236</v>
      </c>
      <c r="J85" s="54" t="s">
        <v>44</v>
      </c>
      <c r="K85" s="43">
        <v>46304</v>
      </c>
      <c r="L85" s="43"/>
      <c r="M85" s="44"/>
      <c r="N85" s="44"/>
      <c r="O85" s="44" t="s">
        <v>244</v>
      </c>
      <c r="P85" s="75"/>
      <c r="Q85" s="43">
        <v>46313</v>
      </c>
      <c r="R85" s="43"/>
      <c r="S85" s="44"/>
      <c r="T85" s="69" t="s">
        <v>251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191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259</v>
      </c>
      <c r="C86" s="31" t="s">
        <v>206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260</v>
      </c>
      <c r="J86" s="54" t="s">
        <v>84</v>
      </c>
      <c r="K86" s="50">
        <v>46332</v>
      </c>
      <c r="L86" s="43"/>
      <c r="M86" s="44"/>
      <c r="N86" s="44"/>
      <c r="O86" s="44" t="s">
        <v>244</v>
      </c>
      <c r="P86" s="75"/>
      <c r="Q86" s="50">
        <v>46339</v>
      </c>
      <c r="R86" s="43"/>
      <c r="S86" s="44"/>
      <c r="T86" s="69" t="s">
        <v>251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261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262</v>
      </c>
      <c r="C87" s="31" t="s">
        <v>206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260</v>
      </c>
      <c r="J87" s="54" t="s">
        <v>59</v>
      </c>
      <c r="K87" s="50">
        <v>46332</v>
      </c>
      <c r="L87" s="43"/>
      <c r="M87" s="44"/>
      <c r="N87" s="44"/>
      <c r="O87" s="44" t="s">
        <v>244</v>
      </c>
      <c r="P87" s="75"/>
      <c r="Q87" s="50">
        <v>46339</v>
      </c>
      <c r="R87" s="43"/>
      <c r="S87" s="44"/>
      <c r="T87" s="69" t="s">
        <v>251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176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263</v>
      </c>
      <c r="C88" s="31" t="s">
        <v>206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Log'!$C$3:$C$499,"QA"),_xlpm.act,IF(AND(Y88&lt;&gt;"",Y88&gt;_xlpm.sent),Y88,""),IF(_xlpm.tgt="","No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260</v>
      </c>
      <c r="J88" s="54" t="s">
        <v>59</v>
      </c>
      <c r="K88" s="50">
        <v>46332</v>
      </c>
      <c r="L88" s="43"/>
      <c r="M88" s="44"/>
      <c r="N88" s="44"/>
      <c r="O88" s="44" t="s">
        <v>244</v>
      </c>
      <c r="P88" s="75"/>
      <c r="Q88" s="50">
        <v>46339</v>
      </c>
      <c r="R88" s="43"/>
      <c r="S88" s="44"/>
      <c r="T88" s="69" t="s">
        <v>264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176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265</v>
      </c>
      <c r="C89" s="31" t="s">
        <v>206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260</v>
      </c>
      <c r="J89" s="54"/>
      <c r="K89" s="50">
        <v>46332</v>
      </c>
      <c r="L89" s="43"/>
      <c r="M89" s="44"/>
      <c r="N89" s="44"/>
      <c r="O89" s="36" t="s">
        <v>266</v>
      </c>
      <c r="P89" s="75"/>
      <c r="Q89" s="50">
        <v>46339</v>
      </c>
      <c r="R89" s="43"/>
      <c r="S89" s="44"/>
      <c r="T89" s="69" t="s">
        <v>264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176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267</v>
      </c>
      <c r="C90" s="31" t="s">
        <v>206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260</v>
      </c>
      <c r="J90" s="54"/>
      <c r="K90" s="50">
        <v>46332</v>
      </c>
      <c r="L90" s="43"/>
      <c r="M90" s="44"/>
      <c r="N90" s="44"/>
      <c r="O90" s="36" t="s">
        <v>266</v>
      </c>
      <c r="P90" s="75"/>
      <c r="Q90" s="50">
        <v>46339</v>
      </c>
      <c r="R90" s="43"/>
      <c r="S90" s="44"/>
      <c r="T90" s="69" t="s">
        <v>264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176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268</v>
      </c>
      <c r="C91" s="31" t="s">
        <v>206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260</v>
      </c>
      <c r="J91" s="54" t="s">
        <v>269</v>
      </c>
      <c r="K91" s="50">
        <v>46332</v>
      </c>
      <c r="L91" s="43"/>
      <c r="M91" s="44"/>
      <c r="N91" s="44"/>
      <c r="O91" s="44" t="s">
        <v>244</v>
      </c>
      <c r="P91" s="75"/>
      <c r="Q91" s="50">
        <v>46339</v>
      </c>
      <c r="R91" s="43"/>
      <c r="S91" s="44"/>
      <c r="T91" s="69" t="s">
        <v>264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270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271</v>
      </c>
      <c r="C92" s="31" t="s">
        <v>206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260</v>
      </c>
      <c r="J92" s="54" t="s">
        <v>84</v>
      </c>
      <c r="K92" s="50">
        <v>46332</v>
      </c>
      <c r="L92" s="43"/>
      <c r="M92" s="44"/>
      <c r="N92" s="44"/>
      <c r="O92" s="44" t="s">
        <v>244</v>
      </c>
      <c r="P92" s="75"/>
      <c r="Q92" s="50">
        <v>46339</v>
      </c>
      <c r="R92" s="43"/>
      <c r="S92" s="44"/>
      <c r="T92" s="69" t="s">
        <v>264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176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272</v>
      </c>
      <c r="C93" s="31" t="s">
        <v>206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260</v>
      </c>
      <c r="J93" s="54"/>
      <c r="K93" s="50">
        <v>46332</v>
      </c>
      <c r="L93" s="43"/>
      <c r="M93" s="44"/>
      <c r="N93" s="44"/>
      <c r="O93" s="36" t="s">
        <v>273</v>
      </c>
      <c r="P93" s="75"/>
      <c r="Q93" s="50">
        <v>46339</v>
      </c>
      <c r="R93" s="43"/>
      <c r="S93" s="44"/>
      <c r="T93" s="69" t="s">
        <v>264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196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274</v>
      </c>
      <c r="C94" s="31" t="s">
        <v>206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260</v>
      </c>
      <c r="J94" s="54"/>
      <c r="K94" s="50">
        <v>46332</v>
      </c>
      <c r="L94" s="43"/>
      <c r="M94" s="44"/>
      <c r="N94" s="44"/>
      <c r="O94" s="36" t="s">
        <v>273</v>
      </c>
      <c r="P94" s="75"/>
      <c r="Q94" s="50">
        <v>46339</v>
      </c>
      <c r="R94" s="43"/>
      <c r="S94" s="44"/>
      <c r="T94" s="69" t="s">
        <v>264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275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276</v>
      </c>
      <c r="C95" s="31" t="s">
        <v>206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260</v>
      </c>
      <c r="J95" s="54"/>
      <c r="K95" s="50">
        <v>46332</v>
      </c>
      <c r="L95" s="43"/>
      <c r="M95" s="44"/>
      <c r="N95" s="44"/>
      <c r="O95" s="36" t="s">
        <v>273</v>
      </c>
      <c r="P95" s="75"/>
      <c r="Q95" s="50">
        <v>46339</v>
      </c>
      <c r="R95" s="43"/>
      <c r="S95" s="44"/>
      <c r="T95" s="69" t="s">
        <v>277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278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279</v>
      </c>
      <c r="C96" s="31" t="s">
        <v>206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260</v>
      </c>
      <c r="J96" s="54"/>
      <c r="K96" s="50">
        <v>46332</v>
      </c>
      <c r="L96" s="43"/>
      <c r="M96" s="44"/>
      <c r="N96" s="44"/>
      <c r="O96" s="36" t="s">
        <v>273</v>
      </c>
      <c r="P96" s="75"/>
      <c r="Q96" s="50">
        <v>46339</v>
      </c>
      <c r="R96" s="43"/>
      <c r="S96" s="44"/>
      <c r="T96" s="69" t="s">
        <v>277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280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281</v>
      </c>
      <c r="C97" s="31" t="s">
        <v>206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260</v>
      </c>
      <c r="J97" s="54"/>
      <c r="K97" s="50">
        <v>46332</v>
      </c>
      <c r="L97" s="43"/>
      <c r="M97" s="44"/>
      <c r="N97" s="44"/>
      <c r="O97" s="36" t="s">
        <v>273</v>
      </c>
      <c r="P97" s="75"/>
      <c r="Q97" s="50">
        <v>46339</v>
      </c>
      <c r="R97" s="43"/>
      <c r="S97" s="44"/>
      <c r="T97" s="69" t="s">
        <v>277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282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283</v>
      </c>
      <c r="C98" s="31" t="s">
        <v>206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260</v>
      </c>
      <c r="J98" s="54"/>
      <c r="K98" s="50">
        <v>46332</v>
      </c>
      <c r="L98" s="43"/>
      <c r="M98" s="44"/>
      <c r="N98" s="44"/>
      <c r="O98" s="36" t="s">
        <v>273</v>
      </c>
      <c r="P98" s="75"/>
      <c r="Q98" s="50">
        <v>46339</v>
      </c>
      <c r="R98" s="43"/>
      <c r="S98" s="44"/>
      <c r="T98" s="69" t="s">
        <v>277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176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284</v>
      </c>
      <c r="C99" s="31" t="s">
        <v>206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6" t="s">
        <v>260</v>
      </c>
      <c r="J99" s="54" t="s">
        <v>118</v>
      </c>
      <c r="K99" s="50">
        <v>46332</v>
      </c>
      <c r="L99" s="43"/>
      <c r="M99" s="44"/>
      <c r="N99" s="44"/>
      <c r="O99" s="44" t="s">
        <v>244</v>
      </c>
      <c r="P99" s="75"/>
      <c r="Q99" s="50">
        <v>46339</v>
      </c>
      <c r="R99" s="43"/>
      <c r="S99" s="44"/>
      <c r="T99" s="69" t="s">
        <v>277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286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287</v>
      </c>
      <c r="C100" s="31" t="s">
        <v>206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260</v>
      </c>
      <c r="J100" s="54"/>
      <c r="K100" s="50">
        <v>46332</v>
      </c>
      <c r="L100" s="43"/>
      <c r="M100" s="44"/>
      <c r="N100" s="44"/>
      <c r="O100" s="36" t="s">
        <v>273</v>
      </c>
      <c r="P100" s="75"/>
      <c r="Q100" s="50">
        <v>46339</v>
      </c>
      <c r="R100" s="43"/>
      <c r="S100" s="44"/>
      <c r="T100" s="69" t="s">
        <v>277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288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289</v>
      </c>
      <c r="B101" s="31" t="s">
        <v>290</v>
      </c>
      <c r="C101" s="31" t="s">
        <v>206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291</v>
      </c>
      <c r="J101" s="54"/>
      <c r="K101" s="28">
        <v>46363</v>
      </c>
      <c r="L101" s="43"/>
      <c r="M101" s="31"/>
      <c r="N101" s="31"/>
      <c r="O101" s="36" t="s">
        <v>292</v>
      </c>
      <c r="P101" s="75"/>
      <c r="Q101" s="28">
        <v>46370</v>
      </c>
      <c r="R101" s="43"/>
      <c r="S101" s="31"/>
      <c r="T101" s="69" t="s">
        <v>277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293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289</v>
      </c>
      <c r="B102" s="31" t="s">
        <v>294</v>
      </c>
      <c r="C102" s="31" t="s">
        <v>206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291</v>
      </c>
      <c r="J102" s="54"/>
      <c r="K102" s="28">
        <v>46363</v>
      </c>
      <c r="L102" s="43"/>
      <c r="M102" s="31"/>
      <c r="N102" s="31"/>
      <c r="O102" s="36" t="s">
        <v>292</v>
      </c>
      <c r="P102" s="75"/>
      <c r="Q102" s="28">
        <v>46370</v>
      </c>
      <c r="R102" s="43"/>
      <c r="S102" s="31"/>
      <c r="T102" s="69" t="s">
        <v>295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296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289</v>
      </c>
      <c r="B103" s="31" t="s">
        <v>297</v>
      </c>
      <c r="C103" s="31" t="s">
        <v>206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291</v>
      </c>
      <c r="J103" s="54"/>
      <c r="K103" s="28">
        <v>46363</v>
      </c>
      <c r="L103" s="43"/>
      <c r="M103" s="31"/>
      <c r="N103" s="31"/>
      <c r="O103" s="36" t="s">
        <v>292</v>
      </c>
      <c r="P103" s="75"/>
      <c r="Q103" s="28">
        <v>46370</v>
      </c>
      <c r="R103" s="43"/>
      <c r="S103" s="31"/>
      <c r="T103" s="69" t="s">
        <v>295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298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299</v>
      </c>
      <c r="B104" s="31" t="s">
        <v>300</v>
      </c>
      <c r="C104" s="31" t="s">
        <v>206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291</v>
      </c>
      <c r="J104" s="54"/>
      <c r="K104" s="28">
        <v>46363</v>
      </c>
      <c r="L104" s="43"/>
      <c r="M104" s="31"/>
      <c r="N104" s="31"/>
      <c r="O104" s="36" t="s">
        <v>292</v>
      </c>
      <c r="P104" s="75"/>
      <c r="Q104" s="28">
        <v>46370</v>
      </c>
      <c r="R104" s="43"/>
      <c r="S104" s="31"/>
      <c r="T104" s="69" t="s">
        <v>295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301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289</v>
      </c>
      <c r="B105" s="31" t="s">
        <v>302</v>
      </c>
      <c r="C105" s="31" t="s">
        <v>206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291</v>
      </c>
      <c r="J105" s="54"/>
      <c r="K105" s="28">
        <v>46363</v>
      </c>
      <c r="L105" s="43"/>
      <c r="M105" s="31"/>
      <c r="N105" s="31"/>
      <c r="O105" s="36" t="s">
        <v>292</v>
      </c>
      <c r="P105" s="75"/>
      <c r="Q105" s="28">
        <v>46370</v>
      </c>
      <c r="R105" s="43"/>
      <c r="S105" s="31"/>
      <c r="T105" s="69" t="s">
        <v>295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303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289</v>
      </c>
      <c r="B106" s="31" t="s">
        <v>304</v>
      </c>
      <c r="C106" s="31" t="s">
        <v>206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291</v>
      </c>
      <c r="J106" s="54"/>
      <c r="K106" s="28">
        <v>46363</v>
      </c>
      <c r="L106" s="43"/>
      <c r="M106" s="31"/>
      <c r="N106" s="31"/>
      <c r="O106" s="36" t="s">
        <v>292</v>
      </c>
      <c r="P106" s="75"/>
      <c r="Q106" s="28">
        <v>46370</v>
      </c>
      <c r="R106" s="43"/>
      <c r="S106" s="31"/>
      <c r="T106" s="69" t="s">
        <v>295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305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289</v>
      </c>
      <c r="B107" s="31" t="s">
        <v>306</v>
      </c>
      <c r="C107" s="31" t="s">
        <v>206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291</v>
      </c>
      <c r="J107" s="54"/>
      <c r="K107" s="28">
        <v>46363</v>
      </c>
      <c r="L107" s="43"/>
      <c r="M107" s="31"/>
      <c r="N107" s="31"/>
      <c r="O107" s="36" t="s">
        <v>292</v>
      </c>
      <c r="P107" s="75"/>
      <c r="Q107" s="28">
        <v>46370</v>
      </c>
      <c r="R107" s="43"/>
      <c r="S107" s="31"/>
      <c r="T107" s="69" t="s">
        <v>295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307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289</v>
      </c>
      <c r="B108" s="31" t="s">
        <v>308</v>
      </c>
      <c r="C108" s="31" t="s">
        <v>206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291</v>
      </c>
      <c r="J108" s="54"/>
      <c r="K108" s="28">
        <v>46363</v>
      </c>
      <c r="L108" s="43"/>
      <c r="M108" s="31"/>
      <c r="N108" s="31"/>
      <c r="O108" s="36" t="s">
        <v>309</v>
      </c>
      <c r="P108" s="75"/>
      <c r="Q108" s="28">
        <v>46370</v>
      </c>
      <c r="R108" s="43"/>
      <c r="S108" s="31"/>
      <c r="T108" s="69" t="s">
        <v>295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310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299</v>
      </c>
      <c r="B109" s="31" t="s">
        <v>311</v>
      </c>
      <c r="C109" s="31" t="s">
        <v>206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291</v>
      </c>
      <c r="J109" s="54"/>
      <c r="K109" s="28">
        <v>46363</v>
      </c>
      <c r="L109" s="43"/>
      <c r="M109" s="31"/>
      <c r="N109" s="31"/>
      <c r="O109" s="36" t="s">
        <v>309</v>
      </c>
      <c r="P109" s="75"/>
      <c r="Q109" s="28">
        <v>46370</v>
      </c>
      <c r="R109" s="43"/>
      <c r="S109" s="31"/>
      <c r="T109" s="69" t="s">
        <v>312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313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289</v>
      </c>
      <c r="B110" s="31" t="s">
        <v>314</v>
      </c>
      <c r="C110" s="31" t="s">
        <v>206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291</v>
      </c>
      <c r="J110" s="54"/>
      <c r="K110" s="28">
        <v>46363</v>
      </c>
      <c r="L110" s="43"/>
      <c r="M110" s="31"/>
      <c r="N110" s="31"/>
      <c r="O110" s="36" t="s">
        <v>309</v>
      </c>
      <c r="P110" s="75"/>
      <c r="Q110" s="28">
        <v>46370</v>
      </c>
      <c r="R110" s="43"/>
      <c r="S110" s="31"/>
      <c r="T110" s="69" t="s">
        <v>312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315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299</v>
      </c>
      <c r="B111" s="31" t="s">
        <v>316</v>
      </c>
      <c r="C111" s="31" t="s">
        <v>206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291</v>
      </c>
      <c r="J111" s="54"/>
      <c r="K111" s="28">
        <v>46363</v>
      </c>
      <c r="L111" s="43"/>
      <c r="M111" s="31"/>
      <c r="N111" s="31"/>
      <c r="O111" s="36" t="s">
        <v>309</v>
      </c>
      <c r="P111" s="75"/>
      <c r="Q111" s="28">
        <v>46370</v>
      </c>
      <c r="R111" s="43"/>
      <c r="S111" s="31"/>
      <c r="T111" s="69" t="s">
        <v>312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317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299</v>
      </c>
      <c r="B112" s="31" t="s">
        <v>318</v>
      </c>
      <c r="C112" s="31" t="s">
        <v>206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291</v>
      </c>
      <c r="J112" s="54"/>
      <c r="K112" s="28">
        <v>46363</v>
      </c>
      <c r="L112" s="43"/>
      <c r="M112" s="31"/>
      <c r="N112" s="31"/>
      <c r="O112" s="36" t="s">
        <v>309</v>
      </c>
      <c r="P112" s="75"/>
      <c r="Q112" s="28">
        <v>46370</v>
      </c>
      <c r="R112" s="43"/>
      <c r="S112" s="31"/>
      <c r="T112" s="69" t="s">
        <v>312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313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299</v>
      </c>
      <c r="B113" s="31" t="s">
        <v>319</v>
      </c>
      <c r="C113" s="31" t="s">
        <v>206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291</v>
      </c>
      <c r="J113" s="54"/>
      <c r="K113" s="28">
        <v>46363</v>
      </c>
      <c r="L113" s="43"/>
      <c r="M113" s="31"/>
      <c r="N113" s="31"/>
      <c r="O113" s="36" t="s">
        <v>309</v>
      </c>
      <c r="P113" s="75"/>
      <c r="Q113" s="28">
        <v>46370</v>
      </c>
      <c r="R113" s="43"/>
      <c r="S113" s="31"/>
      <c r="T113" s="69" t="s">
        <v>312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313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299</v>
      </c>
      <c r="B114" s="31" t="s">
        <v>320</v>
      </c>
      <c r="C114" s="31" t="s">
        <v>206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291</v>
      </c>
      <c r="J114" s="54"/>
      <c r="K114" s="28">
        <v>46363</v>
      </c>
      <c r="L114" s="43"/>
      <c r="M114" s="31"/>
      <c r="N114" s="31"/>
      <c r="O114" s="36" t="s">
        <v>321</v>
      </c>
      <c r="P114" s="75"/>
      <c r="Q114" s="28">
        <v>46370</v>
      </c>
      <c r="R114" s="43"/>
      <c r="S114" s="31"/>
      <c r="T114" s="69" t="s">
        <v>312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317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 hidden="1">
      <c r="A115" s="31" t="s">
        <v>299</v>
      </c>
      <c r="B115" s="31" t="s">
        <v>322</v>
      </c>
      <c r="C115" s="31" t="s">
        <v>206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291</v>
      </c>
      <c r="J115" s="54"/>
      <c r="K115" s="28">
        <v>46363</v>
      </c>
      <c r="L115" s="43"/>
      <c r="M115" s="31"/>
      <c r="N115" s="31"/>
      <c r="O115" s="36" t="s">
        <v>321</v>
      </c>
      <c r="P115" s="75"/>
      <c r="Q115" s="28">
        <v>46370</v>
      </c>
      <c r="R115" s="43"/>
      <c r="S115" s="31"/>
      <c r="T115" s="69" t="s">
        <v>312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261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 ht="14.45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5" priority="33">
      <formula>ISNUMBER(SEARCH("overdue",$D2))</formula>
    </cfRule>
    <cfRule type="expression" dxfId="124" priority="34">
      <formula>ISNUMBER(SEARCH("no target",$D2))</formula>
    </cfRule>
    <cfRule type="expression" dxfId="123" priority="35">
      <formula>ISNUMBER(SEARCH("Review",$D2))</formula>
    </cfRule>
    <cfRule type="expression" dxfId="122" priority="36">
      <formula>OR($D2="On track",$D2="Delivered")</formula>
    </cfRule>
    <cfRule type="expression" dxfId="121" priority="32">
      <formula>ISNUMBER(SEARCH("Blocked",$D2))</formula>
    </cfRule>
  </conditionalFormatting>
  <conditionalFormatting sqref="J2:O115">
    <cfRule type="expression" dxfId="120" priority="10">
      <formula>$AJ2="Yes – needs DB Dev to fix"</formula>
    </cfRule>
  </conditionalFormatting>
  <conditionalFormatting sqref="J116:O192">
    <cfRule type="expression" dxfId="119" priority="15">
      <formula>$AH116="Yes – needs DB Dev to fix"</formula>
    </cfRule>
  </conditionalFormatting>
  <conditionalFormatting sqref="K41">
    <cfRule type="expression" dxfId="118" priority="591">
      <formula>AND($B41&lt;&gt;"",MOD(ROW(),2)=0)</formula>
    </cfRule>
    <cfRule type="expression" dxfId="117" priority="592">
      <formula>$AJ41="Yes – needs DB Dev to fix"</formula>
    </cfRule>
  </conditionalFormatting>
  <conditionalFormatting sqref="K42">
    <cfRule type="expression" dxfId="116" priority="593">
      <formula>AND($B41&lt;&gt;"",MOD(ROW(),2)=0)</formula>
    </cfRule>
    <cfRule type="expression" dxfId="115" priority="594">
      <formula>$AJ41="Yes – needs DB Dev to fix"</formula>
    </cfRule>
  </conditionalFormatting>
  <conditionalFormatting sqref="K73:L100">
    <cfRule type="expression" dxfId="114" priority="107">
      <formula>$AF73="Yes – needs DB Dev to fix"</formula>
    </cfRule>
  </conditionalFormatting>
  <conditionalFormatting sqref="K101:L115">
    <cfRule type="expression" dxfId="113" priority="337">
      <formula>$AA101="Yes – needs DB Dev to fix"</formula>
    </cfRule>
  </conditionalFormatting>
  <conditionalFormatting sqref="K116:L527">
    <cfRule type="expression" dxfId="112" priority="564">
      <formula>$X116="Yes – needs DB Dev to fix"</formula>
    </cfRule>
  </conditionalFormatting>
  <conditionalFormatting sqref="M73">
    <cfRule type="expression" dxfId="111" priority="14">
      <formula>$AF73="Yes – needs DB Dev to fix"</formula>
    </cfRule>
  </conditionalFormatting>
  <conditionalFormatting sqref="M79">
    <cfRule type="expression" dxfId="110" priority="1">
      <formula>$AF79="Yes – needs DB Dev to fix"</formula>
    </cfRule>
  </conditionalFormatting>
  <conditionalFormatting sqref="M73:P100">
    <cfRule type="expression" dxfId="109" priority="292">
      <formula>$AD73="Yes – needs PBI Dev to fix"</formula>
    </cfRule>
  </conditionalFormatting>
  <conditionalFormatting sqref="M101:P115">
    <cfRule type="expression" dxfId="108" priority="339">
      <formula>$AA101="Yes – needs PBI Dev to fix"</formula>
    </cfRule>
  </conditionalFormatting>
  <conditionalFormatting sqref="M116:P527">
    <cfRule type="expression" dxfId="107" priority="565">
      <formula>$X116="Yes – needs PBI Dev to fix"</formula>
    </cfRule>
  </conditionalFormatting>
  <conditionalFormatting sqref="O101:O113">
    <cfRule type="expression" dxfId="106" priority="13">
      <formula>$AD101="Yes – needs PBI Dev to fix"</formula>
    </cfRule>
  </conditionalFormatting>
  <conditionalFormatting sqref="Q73:Q100">
    <cfRule type="expression" dxfId="105" priority="8">
      <formula>$AJ73="Yes – needs DB Dev to fix"</formula>
    </cfRule>
    <cfRule type="expression" dxfId="104" priority="9">
      <formula>$AF73="Yes – needs DB Dev to fix"</formula>
    </cfRule>
    <cfRule type="expression" dxfId="103" priority="111">
      <formula>$AF73="Yes – needs PBI Dev to fix"</formula>
    </cfRule>
  </conditionalFormatting>
  <conditionalFormatting sqref="Q101:R115 V101:V115 X101:X115">
    <cfRule type="expression" dxfId="102" priority="7">
      <formula>$AA101="Yes – needs QA to fix"</formula>
    </cfRule>
  </conditionalFormatting>
  <conditionalFormatting sqref="Q116:R527">
    <cfRule type="expression" dxfId="101" priority="566">
      <formula>$X116="Yes – needs QA to fix"</formula>
    </cfRule>
  </conditionalFormatting>
  <conditionalFormatting sqref="U10:V19 X10:X19 J29 M29:P29 J32:J33 M32:P33 K40:K41 M40:P41 Q65 T65:U65 V101:V115 X101:X115 Q2:U64 Q66:U115">
    <cfRule type="expression" dxfId="100" priority="22">
      <formula>$AJ2="Yes – needs PBI Dev to fix"</formula>
    </cfRule>
  </conditionalFormatting>
  <conditionalFormatting sqref="R58">
    <cfRule type="expression" dxfId="99" priority="309">
      <formula>$AJ65="Yes – needs PBI Dev to fix"</formula>
    </cfRule>
    <cfRule type="expression" dxfId="98" priority="307">
      <formula>AND($B65&lt;&gt;"",MOD(ROW(),2)=0)</formula>
    </cfRule>
  </conditionalFormatting>
  <conditionalFormatting sqref="R73:U100 T96:T101">
    <cfRule type="expression" dxfId="97" priority="113">
      <formula>$AF73="Yes – needs QA to fix"</formula>
    </cfRule>
  </conditionalFormatting>
  <conditionalFormatting sqref="S101:U115">
    <cfRule type="expression" dxfId="96" priority="353">
      <formula>$AA101="Yes – needs DPO Approval to fix"</formula>
    </cfRule>
  </conditionalFormatting>
  <conditionalFormatting sqref="S116:U527">
    <cfRule type="expression" dxfId="95" priority="567">
      <formula>$X116="Yes – needs DPO Approval to fix"</formula>
    </cfRule>
  </conditionalFormatting>
  <conditionalFormatting sqref="U101:V527 X101:X527">
    <cfRule type="expression" dxfId="94" priority="40">
      <formula>$V101="Yes"</formula>
    </cfRule>
  </conditionalFormatting>
  <conditionalFormatting sqref="U73:Y100">
    <cfRule type="expression" dxfId="93" priority="115">
      <formula>$AF73="Yes – needs DPO Approval to fix"</formula>
    </cfRule>
  </conditionalFormatting>
  <conditionalFormatting sqref="X116:X527">
    <cfRule type="expression" dxfId="92" priority="568">
      <formula>LEFT($X116,3)="Yes"</formula>
    </cfRule>
  </conditionalFormatting>
  <conditionalFormatting sqref="X73:Z100">
    <cfRule type="expression" dxfId="91" priority="467">
      <formula>$Y73="Yes"</formula>
    </cfRule>
  </conditionalFormatting>
  <conditionalFormatting sqref="Z116:AA527">
    <cfRule type="expression" dxfId="90" priority="45">
      <formula>ISNUMBER(SEARCH("Move old",$Z116))</formula>
    </cfRule>
    <cfRule type="expression" dxfId="89" priority="45">
      <formula>ISNUMBER(SEARCH("log it",$Z116))</formula>
    </cfRule>
    <cfRule type="expression" dxfId="88" priority="46">
      <formula>ISNUMBER(SEARCH("Duplicate",$Z116))</formula>
    </cfRule>
    <cfRule type="expression" dxfId="87" priority="47">
      <formula>$Z116&lt;&gt;""</formula>
    </cfRule>
    <cfRule type="expression" dxfId="86" priority="45">
      <formula>ISNUMBER(SEARCH("Open rework",$Z116))</formula>
    </cfRule>
  </conditionalFormatting>
  <conditionalFormatting sqref="Z116:AC527 W2:Y527 A74:V527 A2:F115 G2:V40 N3:N44 L41:V42 G65:Q65 T65:V65 G41:J42 Z2:AL2 Z3 Z4:AL41 Z42:AK42 Z43:AL44 Z45:AK47 Z48:AL72 Z73:AH100 Z101:AE115 AB3:AL3 G43:V64 G66:V73">
    <cfRule type="expression" dxfId="85" priority="48">
      <formula>AND($B2&lt;&gt;"",MOD(ROW(),2)=0)</formula>
    </cfRule>
  </conditionalFormatting>
  <conditionalFormatting sqref="AA3">
    <cfRule type="expression" dxfId="84" priority="596">
      <formula>$AJ3="Yes – needs DPO Approval to fix"</formula>
    </cfRule>
    <cfRule type="expression" dxfId="83" priority="595">
      <formula>AND($B3&lt;&gt;"",MOD(ROW(),2)=0)</formula>
    </cfRule>
  </conditionalFormatting>
  <conditionalFormatting sqref="AA101:AA115 U2:Z115">
    <cfRule type="expression" dxfId="82" priority="5">
      <formula>$AJ2="Yes – needs QA to fix"</formula>
    </cfRule>
  </conditionalFormatting>
  <conditionalFormatting sqref="AA101:AA115">
    <cfRule type="expression" dxfId="81" priority="361">
      <formula>LEFT($AA101,3)="Yes"</formula>
    </cfRule>
    <cfRule type="expression" dxfId="80" priority="4">
      <formula>$V101="Yes"</formula>
    </cfRule>
    <cfRule type="expression" dxfId="79" priority="3">
      <formula>$AA101="Yes – needs QA to fix"</formula>
    </cfRule>
    <cfRule type="expression" dxfId="78" priority="2">
      <formula>$AJ101="Yes – needs PBI Dev to fix"</formula>
    </cfRule>
  </conditionalFormatting>
  <conditionalFormatting sqref="AA2:AE2 AB3:AE3 AA4:AE100">
    <cfRule type="expression" dxfId="77" priority="89">
      <formula>$AJ2="Yes – needs DPO Approval to fix"</formula>
    </cfRule>
  </conditionalFormatting>
  <conditionalFormatting sqref="AB101:AC115">
    <cfRule type="expression" dxfId="76" priority="370">
      <formula>ISNUMBER(SEARCH("Move old",$AB101))</formula>
    </cfRule>
    <cfRule type="expression" dxfId="75" priority="371">
      <formula>ISNUMBER(SEARCH("log it",$AB101))</formula>
    </cfRule>
    <cfRule type="expression" dxfId="74" priority="372">
      <formula>ISNUMBER(SEARCH("Duplicate",$AB101))</formula>
    </cfRule>
    <cfRule type="expression" dxfId="73" priority="373">
      <formula>$AB101&lt;&gt;""</formula>
    </cfRule>
    <cfRule type="expression" dxfId="72" priority="369">
      <formula>ISNUMBER(SEARCH("Open rework",$AB101))</formula>
    </cfRule>
  </conditionalFormatting>
  <conditionalFormatting sqref="AF2:AF115">
    <cfRule type="expression" dxfId="71" priority="61">
      <formula>$AF2="Yes"</formula>
    </cfRule>
  </conditionalFormatting>
  <conditionalFormatting sqref="AF73:AF100">
    <cfRule type="expression" dxfId="70" priority="119">
      <formula>LEFT($AF73,3)="Yes"</formula>
    </cfRule>
  </conditionalFormatting>
  <conditionalFormatting sqref="AG73:AG100">
    <cfRule type="expression" dxfId="69" priority="128">
      <formula>ISNUMBER(SEARCH("Duplicate",$AG73))</formula>
    </cfRule>
    <cfRule type="expression" dxfId="68" priority="129">
      <formula>$AG73&lt;&gt;""</formula>
    </cfRule>
    <cfRule type="expression" dxfId="67" priority="125">
      <formula>ISNUMBER(SEARCH("Open rework",$AG73))</formula>
    </cfRule>
    <cfRule type="expression" dxfId="66" priority="126">
      <formula>ISNUMBER(SEARCH("Move old",$AG73))</formula>
    </cfRule>
    <cfRule type="expression" dxfId="65" priority="127">
      <formula>ISNUMBER(SEARCH("log it",$AG73))</formula>
    </cfRule>
  </conditionalFormatting>
  <conditionalFormatting sqref="AJ2:AJ115">
    <cfRule type="expression" dxfId="64" priority="63">
      <formula>LEFT($AJ2,3)="Yes"</formula>
    </cfRule>
  </conditionalFormatting>
  <conditionalFormatting sqref="AK2:AK115">
    <cfRule type="expression" dxfId="63" priority="71">
      <formula>ISNUMBER(SEARCH("Move old",$AK2))</formula>
    </cfRule>
    <cfRule type="expression" dxfId="62" priority="70">
      <formula>ISNUMBER(SEARCH("Open rework",$AK2))</formula>
    </cfRule>
    <cfRule type="expression" dxfId="61" priority="69">
      <formula>ISNUMBER(SEARCH("log it",$AK2))</formula>
    </cfRule>
    <cfRule type="expression" dxfId="60" priority="73">
      <formula>$AK2&lt;&gt;""</formula>
    </cfRule>
    <cfRule type="expression" dxfId="59" priority="72">
      <formula>ISNUMBER(SEARCH("Duplicate",$AK2))</formula>
    </cfRule>
  </conditionalFormatting>
  <conditionalFormatting sqref="AL45:AL47">
    <cfRule type="expression" dxfId="58" priority="12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K2:M527 Q65 S30:S64 H2:H527 W2:W72 Y2:Y72 X2:X115 Q66:S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20"/>
      <c r="C4" s="121"/>
      <c r="D4" s="121"/>
      <c r="E4" s="121"/>
    </row>
    <row r="6" spans="1:5">
      <c r="A6" s="42" t="s">
        <v>0</v>
      </c>
      <c r="B6" s="118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326</v>
      </c>
      <c r="B7" s="118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118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118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118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118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118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118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327</v>
      </c>
      <c r="B14" s="117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328</v>
      </c>
      <c r="B15" s="117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329</v>
      </c>
      <c r="B16" s="117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330</v>
      </c>
      <c r="B17" s="117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331</v>
      </c>
      <c r="B18" s="117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332</v>
      </c>
      <c r="B19" s="117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333</v>
      </c>
      <c r="B20" s="117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29</v>
      </c>
      <c r="B21" s="118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31</v>
      </c>
      <c r="B22" s="118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32</v>
      </c>
      <c r="B23" s="117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35</v>
      </c>
      <c r="B24" s="118" t="str">
        <f>IF($B$4="","",IFERROR(INDEX('Combined Delivery Data'!$X:$X,MATCH($B$4,'Combined Delivery Data'!$B:$B,0)),""))</f>
        <v/>
      </c>
      <c r="C24" s="122"/>
      <c r="D24" s="122"/>
      <c r="E24" s="123"/>
    </row>
    <row r="25" spans="1:5">
      <c r="A25" s="42" t="s">
        <v>36</v>
      </c>
      <c r="B25" s="118" t="str">
        <f>IF($B$4="","",IFERROR(INDEX('Combined Delivery Data'!$Z:$Z,MATCH($B$4,'Combined Delivery Data'!$B:$B,0)),""))</f>
        <v/>
      </c>
      <c r="C25" s="122"/>
      <c r="D25" s="122"/>
      <c r="E25" s="123"/>
    </row>
    <row r="26" spans="1:5">
      <c r="A26" s="42" t="s">
        <v>334</v>
      </c>
      <c r="B26" s="118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335</v>
      </c>
      <c r="B27" s="118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336</v>
      </c>
      <c r="B28" s="118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337</v>
      </c>
      <c r="B29" s="118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118"/>
      <c r="C30" s="122"/>
      <c r="D30" s="122"/>
      <c r="E30" s="123"/>
    </row>
    <row r="31" spans="1:5" ht="15.6" customHeight="1">
      <c r="A31" s="5" t="s">
        <v>37</v>
      </c>
      <c r="B31" s="124" t="str">
        <f>IF($B$4="","",IFERROR(INDEX('Combined Delivery Data'!$AB:$AB,MATCH($B$4,'Combined Delivery Data'!$B:$B,0)),""))</f>
        <v/>
      </c>
      <c r="C31" s="121"/>
      <c r="D31" s="121"/>
      <c r="E31" s="121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12" activePane="bottomLeft" state="frozen"/>
      <selection pane="bottomLeft" activeCell="F31" sqref="F3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9" t="s">
        <v>338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P1" s="125" t="s">
        <v>339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353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38 d</v>
      </c>
      <c r="N3" t="s">
        <v>50</v>
      </c>
      <c r="P3" t="str">
        <f>'Combined Delivery Data'!B2</f>
        <v>RPT_04_Active Leaks</v>
      </c>
      <c r="Q3">
        <f t="shared" ref="Q3:Q16" si="0">IF($P3="","",COUNTIF($A$3:$A$499,$P3))</f>
        <v>0</v>
      </c>
      <c r="R3">
        <f t="shared" ref="R3:R16" si="1">IF($P3="","",SUMPRODUCT(($A$3:$A$499=$P3)*($G$3:$G$499&lt;&gt;"Yes")*($G$3:$G$499&lt;&gt;"Did not pass re-test")))</f>
        <v>0</v>
      </c>
      <c r="S3" s="28" t="str">
        <f t="shared" ref="S3:S16" si="2">IF($P3="","",IF(SUMPRODUCT(MAX(($A$3:$A$499=$P3)*ROW($A$3:$A$499)))=0,"",INDEX($B:$B,SUMPRODUCT(MAX(($A$3:$A$499=$P3)*ROW($A$3:$A$499))))))</f>
        <v/>
      </c>
      <c r="T3" t="str">
        <f t="shared" ref="T3:T16" si="3"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354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355</v>
      </c>
      <c r="M4" s="3" t="str">
        <f t="shared" ref="M4:M66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356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4"/>
        <v>Fixed</v>
      </c>
      <c r="N5" t="s">
        <v>50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357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4"/>
        <v>Fixed</v>
      </c>
      <c r="N6" t="s">
        <v>50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358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4"/>
        <v>Fixed</v>
      </c>
      <c r="N7" t="s">
        <v>50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359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4"/>
        <v>Fixed</v>
      </c>
      <c r="N8" t="s">
        <v>360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361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4"/>
        <v>Fixed</v>
      </c>
      <c r="N9" t="s">
        <v>360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354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4"/>
        <v>Fixed</v>
      </c>
      <c r="N10" t="s">
        <v>360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356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362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364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365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4"/>
        <v>Fixed</v>
      </c>
      <c r="N14" t="s">
        <v>50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366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4"/>
        <v>Fixed</v>
      </c>
      <c r="N15" t="s">
        <v>50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367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4"/>
        <v>Fixed</v>
      </c>
      <c r="N16" t="s">
        <v>363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368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186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369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4"/>
        <v>Fixed</v>
      </c>
      <c r="N18" t="s">
        <v>50</v>
      </c>
      <c r="P18" t="str">
        <f>'Combined Delivery Data'!B12</f>
        <v>RPT_04_CMS Leak Productivity</v>
      </c>
      <c r="Q18">
        <f t="shared" ref="Q18:Q81" si="5">IF($P18="","",COUNTIF($A$3:$A$499,$P18))</f>
        <v>0</v>
      </c>
      <c r="R18">
        <f t="shared" ref="R18:R81" si="6">IF($P18="","",SUMPRODUCT(($A$3:$A$499=$P18)*($G$3:$G$499&lt;&gt;"Yes")*($G$3:$G$499&lt;&gt;"Did not pass re-test")))</f>
        <v>0</v>
      </c>
      <c r="S18" s="28" t="str">
        <f t="shared" ref="S18:S81" si="7">IF($P18="","",IF(SUMPRODUCT(MAX(($A$3:$A$499=$P18)*ROW($A$3:$A$499)))=0,"",INDEX($B:$B,SUMPRODUCT(MAX(($A$3:$A$499=$P18)*ROW($A$3:$A$499))))))</f>
        <v/>
      </c>
      <c r="T18" t="str">
        <f t="shared" ref="T18:T81" si="8"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370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4"/>
        <v>Fixed</v>
      </c>
      <c r="N19" t="s">
        <v>360</v>
      </c>
      <c r="P19" t="str">
        <f>'Combined Delivery Data'!B13</f>
        <v>RPT_04_Main Break Corrosion and Leak Cluster</v>
      </c>
      <c r="Q19">
        <f t="shared" si="5"/>
        <v>0</v>
      </c>
      <c r="R19">
        <f t="shared" si="6"/>
        <v>0</v>
      </c>
      <c r="S19" s="28" t="str">
        <f t="shared" si="7"/>
        <v/>
      </c>
      <c r="T19" t="str">
        <f t="shared" si="8"/>
        <v/>
      </c>
    </row>
    <row r="20" spans="1:20">
      <c r="A20" s="31" t="s">
        <v>371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372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373</v>
      </c>
      <c r="M20" s="3" t="str">
        <f t="shared" ca="1" si="4"/>
        <v>Fixed</v>
      </c>
      <c r="N20" t="s">
        <v>363</v>
      </c>
      <c r="P20" t="str">
        <f>'Combined Delivery Data'!B14</f>
        <v>RPT_04_Leak Summary Status</v>
      </c>
      <c r="Q20">
        <f t="shared" si="5"/>
        <v>0</v>
      </c>
      <c r="R20">
        <f t="shared" si="6"/>
        <v>0</v>
      </c>
      <c r="S20" s="28" t="str">
        <f t="shared" si="7"/>
        <v/>
      </c>
      <c r="T20" t="str">
        <f t="shared" si="8"/>
        <v/>
      </c>
    </row>
    <row r="21" spans="1:20">
      <c r="A21" s="31" t="s">
        <v>180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374</v>
      </c>
      <c r="G21" s="31" t="s">
        <v>50</v>
      </c>
      <c r="H21" s="32"/>
      <c r="I21" s="32"/>
      <c r="J21" s="32"/>
      <c r="K21" s="31"/>
      <c r="L21" s="31"/>
      <c r="M21" s="3" t="str">
        <f t="shared" ca="1" si="4"/>
        <v>UNCLAIMED 3 d</v>
      </c>
      <c r="N21" t="s">
        <v>50</v>
      </c>
      <c r="P21" t="str">
        <f>'Combined Delivery Data'!B15</f>
        <v>RPT_04_PSC Leak Printout</v>
      </c>
      <c r="Q21">
        <f t="shared" si="5"/>
        <v>0</v>
      </c>
      <c r="R21">
        <f t="shared" si="6"/>
        <v>0</v>
      </c>
      <c r="S21" s="28" t="str">
        <f t="shared" si="7"/>
        <v/>
      </c>
      <c r="T21" t="str">
        <f t="shared" si="8"/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375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4"/>
        <v>Fixed</v>
      </c>
      <c r="P22" t="str">
        <f>'Combined Delivery Data'!B21</f>
        <v>RPT_04_Leak Life Cycle</v>
      </c>
      <c r="Q22">
        <f t="shared" si="5"/>
        <v>0</v>
      </c>
      <c r="R22">
        <f t="shared" si="6"/>
        <v>0</v>
      </c>
      <c r="S22" s="28" t="str">
        <f t="shared" si="7"/>
        <v/>
      </c>
      <c r="T22" t="str">
        <f t="shared" si="8"/>
        <v/>
      </c>
    </row>
    <row r="23" spans="1:20">
      <c r="A23" s="31" t="s">
        <v>175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376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4"/>
        <v>UNCLAIMED 2 d</v>
      </c>
      <c r="N23" t="s">
        <v>50</v>
      </c>
      <c r="P23" t="str">
        <f>'Combined Delivery Data'!B22</f>
        <v>RPT_04_Leak Life Cycle Legacy LMS LI</v>
      </c>
      <c r="Q23">
        <f t="shared" si="5"/>
        <v>0</v>
      </c>
      <c r="R23">
        <f t="shared" si="6"/>
        <v>0</v>
      </c>
      <c r="S23" s="28" t="str">
        <f t="shared" si="7"/>
        <v/>
      </c>
      <c r="T23" t="str">
        <f t="shared" si="8"/>
        <v/>
      </c>
    </row>
    <row r="24" spans="1:20">
      <c r="A24" s="31" t="s">
        <v>175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377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4"/>
        <v>UNCLAIMED 2 d</v>
      </c>
      <c r="P24" t="str">
        <f>'Combined Delivery Data'!B23</f>
        <v>RPT_04_Leak Increase Reads</v>
      </c>
      <c r="Q24">
        <f t="shared" si="5"/>
        <v>0</v>
      </c>
      <c r="R24">
        <f t="shared" si="6"/>
        <v>0</v>
      </c>
      <c r="S24" s="28" t="str">
        <f t="shared" si="7"/>
        <v/>
      </c>
      <c r="T24" t="str">
        <f t="shared" si="8"/>
        <v/>
      </c>
    </row>
    <row r="25" spans="1:20" ht="30" customHeight="1">
      <c r="A25" s="31" t="s">
        <v>175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378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4"/>
        <v>UNCLAIMED 1 d</v>
      </c>
      <c r="P25" t="str">
        <f>'Combined Delivery Data'!B24</f>
        <v>Leak 360 Dashboard</v>
      </c>
      <c r="Q25">
        <f t="shared" si="5"/>
        <v>0</v>
      </c>
      <c r="R25">
        <f t="shared" si="6"/>
        <v>0</v>
      </c>
      <c r="S25" s="28" t="str">
        <f t="shared" si="7"/>
        <v/>
      </c>
      <c r="T25" t="str">
        <f t="shared" si="8"/>
        <v/>
      </c>
    </row>
    <row r="26" spans="1:20">
      <c r="A26" s="54" t="s">
        <v>190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379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1 d</v>
      </c>
      <c r="N26" t="s">
        <v>50</v>
      </c>
      <c r="P26" t="str">
        <f>'Combined Delivery Data'!B25</f>
        <v>RPT_04_Leak Recheck Control</v>
      </c>
      <c r="Q26">
        <f t="shared" si="5"/>
        <v>0</v>
      </c>
      <c r="R26">
        <f t="shared" si="6"/>
        <v>0</v>
      </c>
      <c r="S26" s="28" t="str">
        <f t="shared" si="7"/>
        <v/>
      </c>
      <c r="T26" t="str">
        <f t="shared" si="8"/>
        <v/>
      </c>
    </row>
    <row r="27" spans="1:20">
      <c r="A27" s="54" t="s">
        <v>186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369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 t="shared" si="5"/>
        <v>0</v>
      </c>
      <c r="R27">
        <f t="shared" si="6"/>
        <v>0</v>
      </c>
      <c r="S27" s="28" t="str">
        <f t="shared" si="7"/>
        <v/>
      </c>
      <c r="T27" t="str">
        <f t="shared" si="8"/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380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381</v>
      </c>
      <c r="M28" s="3" t="str">
        <f t="shared" ca="1" si="4"/>
        <v>Fixed</v>
      </c>
      <c r="P28" t="str">
        <f>'Combined Delivery Data'!B27</f>
        <v>New Report: Leak Repair Exception</v>
      </c>
      <c r="Q28">
        <f t="shared" si="5"/>
        <v>0</v>
      </c>
      <c r="R28">
        <f t="shared" si="6"/>
        <v>0</v>
      </c>
      <c r="S28" s="28" t="str">
        <f t="shared" si="7"/>
        <v/>
      </c>
      <c r="T28" t="str">
        <f t="shared" si="8"/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380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381</v>
      </c>
      <c r="M29" s="3" t="str">
        <f t="shared" ca="1" si="4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 t="shared" si="5"/>
        <v>0</v>
      </c>
      <c r="R29">
        <f t="shared" si="6"/>
        <v>0</v>
      </c>
      <c r="S29" s="28" t="str">
        <f t="shared" si="7"/>
        <v/>
      </c>
      <c r="T29" t="str">
        <f t="shared" si="8"/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380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381</v>
      </c>
      <c r="M30" s="3" t="str">
        <f t="shared" ca="1" si="4"/>
        <v>Fixed</v>
      </c>
      <c r="N30" t="s">
        <v>50</v>
      </c>
      <c r="P30" t="str">
        <f>'Combined Delivery Data'!B29</f>
        <v>RPT_02_CO Flue Warning Tag Control</v>
      </c>
      <c r="Q30">
        <f t="shared" si="5"/>
        <v>1</v>
      </c>
      <c r="R30">
        <f t="shared" si="6"/>
        <v>0</v>
      </c>
      <c r="S30" s="28">
        <f t="shared" si="7"/>
        <v>46238</v>
      </c>
      <c r="T30" t="str">
        <f t="shared" si="8"/>
        <v>QA -&gt; DB Dev</v>
      </c>
    </row>
    <row r="31" spans="1:20">
      <c r="A31" s="54" t="s">
        <v>186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382</v>
      </c>
      <c r="G31" s="31" t="s">
        <v>53</v>
      </c>
      <c r="H31" s="32"/>
      <c r="I31" s="32"/>
      <c r="J31" s="32"/>
      <c r="K31" s="31"/>
      <c r="L31" s="31"/>
      <c r="M31" s="3" t="str">
        <f t="shared" ca="1" si="4"/>
        <v>UNCLAIMED 1 d</v>
      </c>
      <c r="P31" t="str">
        <f>'Combined Delivery Data'!B30</f>
        <v>RPT_02_Warning Tag HEFPA</v>
      </c>
      <c r="Q31">
        <f t="shared" si="5"/>
        <v>3</v>
      </c>
      <c r="R31">
        <f t="shared" si="6"/>
        <v>0</v>
      </c>
      <c r="S31" s="28">
        <f t="shared" si="7"/>
        <v>46254</v>
      </c>
      <c r="T31" t="str">
        <f t="shared" si="8"/>
        <v>QA -&gt; DB Dev</v>
      </c>
    </row>
    <row r="32" spans="1:20">
      <c r="A32" s="31"/>
      <c r="B32" s="32"/>
      <c r="C32" s="31" t="s">
        <v>141</v>
      </c>
      <c r="D32" s="31"/>
      <c r="E32" s="31"/>
      <c r="F32" s="31"/>
      <c r="G32" s="31" t="s">
        <v>53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Data'!B31</f>
        <v>RPT_02_Warning tag Printout</v>
      </c>
      <c r="Q32">
        <f t="shared" si="5"/>
        <v>1</v>
      </c>
      <c r="R32">
        <f t="shared" si="6"/>
        <v>0</v>
      </c>
      <c r="S32" s="28">
        <f t="shared" si="7"/>
        <v>46267</v>
      </c>
      <c r="T32" t="str">
        <f t="shared" si="8"/>
        <v>QA -&gt; PBI Dev</v>
      </c>
    </row>
    <row r="33" spans="1:20">
      <c r="A33" s="31"/>
      <c r="B33" s="32"/>
      <c r="C33" s="31" t="s">
        <v>141</v>
      </c>
      <c r="D33" s="31"/>
      <c r="E33" s="31"/>
      <c r="F33" s="31"/>
      <c r="G33" s="31" t="s">
        <v>53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Data'!B32</f>
        <v>RPT_02_Corrosion</v>
      </c>
      <c r="Q33">
        <f t="shared" si="5"/>
        <v>2</v>
      </c>
      <c r="R33">
        <f t="shared" si="6"/>
        <v>0</v>
      </c>
      <c r="S33" s="28">
        <f t="shared" si="7"/>
        <v>46265</v>
      </c>
      <c r="T33" t="str">
        <f t="shared" si="8"/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Data'!B33</f>
        <v>RPT_02_House Pipe Test Comment Control</v>
      </c>
      <c r="Q34">
        <f t="shared" si="5"/>
        <v>1</v>
      </c>
      <c r="R34">
        <f t="shared" si="6"/>
        <v>0</v>
      </c>
      <c r="S34" s="28">
        <f t="shared" si="7"/>
        <v>46234</v>
      </c>
      <c r="T34" t="str">
        <f t="shared" si="8"/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Data'!B34</f>
        <v>RPT_02_Required Regulator Inspection Performed Control</v>
      </c>
      <c r="Q35">
        <f t="shared" si="5"/>
        <v>2</v>
      </c>
      <c r="R35">
        <f t="shared" si="6"/>
        <v>0</v>
      </c>
      <c r="S35" s="28">
        <f t="shared" si="7"/>
        <v>46237</v>
      </c>
      <c r="T35" t="str">
        <f t="shared" si="8"/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Data'!B35</f>
        <v>RPT_02_Service Regulator Inspections</v>
      </c>
      <c r="Q36">
        <f t="shared" si="5"/>
        <v>3</v>
      </c>
      <c r="R36">
        <f t="shared" si="6"/>
        <v>0</v>
      </c>
      <c r="S36" s="28">
        <f t="shared" si="7"/>
        <v>46262</v>
      </c>
      <c r="T36" t="str">
        <f t="shared" si="8"/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Data'!B36</f>
        <v>RPT_02_Service Regulator Inspection Printout</v>
      </c>
      <c r="Q37">
        <f t="shared" si="5"/>
        <v>1</v>
      </c>
      <c r="R37">
        <f t="shared" si="6"/>
        <v>0</v>
      </c>
      <c r="S37" s="28">
        <f t="shared" si="7"/>
        <v>46258</v>
      </c>
      <c r="T37" t="str">
        <f t="shared" si="8"/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Data'!B37</f>
        <v>RPT_02_20 Year Regulator Inspection</v>
      </c>
      <c r="Q38">
        <f t="shared" si="5"/>
        <v>1</v>
      </c>
      <c r="R38">
        <f t="shared" si="6"/>
        <v>0</v>
      </c>
      <c r="S38" s="28">
        <f t="shared" si="7"/>
        <v>46254</v>
      </c>
      <c r="T38" t="str">
        <f t="shared" si="8"/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Data'!B38</f>
        <v>RPT_02_Fixed Factor</v>
      </c>
      <c r="Q39">
        <f t="shared" si="5"/>
        <v>2</v>
      </c>
      <c r="R39">
        <f t="shared" si="6"/>
        <v>0</v>
      </c>
      <c r="S39" s="28">
        <f t="shared" si="7"/>
        <v>46251</v>
      </c>
      <c r="T39" t="str">
        <f t="shared" si="8"/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Data'!B39</f>
        <v>RPT_02_Fixed Factor Printout</v>
      </c>
      <c r="Q40">
        <f t="shared" si="5"/>
        <v>2</v>
      </c>
      <c r="R40">
        <f t="shared" si="6"/>
        <v>0</v>
      </c>
      <c r="S40" s="28">
        <f t="shared" si="7"/>
        <v>46267</v>
      </c>
      <c r="T40" t="str">
        <f t="shared" si="8"/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Data'!B40</f>
        <v>RPT_02_Work Order Completion Printout</v>
      </c>
      <c r="Q41">
        <f t="shared" si="5"/>
        <v>1</v>
      </c>
      <c r="R41">
        <f t="shared" si="6"/>
        <v>0</v>
      </c>
      <c r="S41" s="28">
        <f t="shared" si="7"/>
        <v>46267</v>
      </c>
      <c r="T41" t="str">
        <f t="shared" si="8"/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Data'!B41</f>
        <v>RPT_02_GRO Control</v>
      </c>
      <c r="Q42">
        <f t="shared" si="5"/>
        <v>0</v>
      </c>
      <c r="R42">
        <f t="shared" si="6"/>
        <v>0</v>
      </c>
      <c r="S42" s="28" t="str">
        <f t="shared" si="7"/>
        <v/>
      </c>
      <c r="T42" t="str">
        <f t="shared" si="8"/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Data'!B42</f>
        <v>RPT_02_GRO Monitor</v>
      </c>
      <c r="Q43">
        <f t="shared" si="5"/>
        <v>0</v>
      </c>
      <c r="R43">
        <f t="shared" si="6"/>
        <v>0</v>
      </c>
      <c r="S43" s="28" t="str">
        <f t="shared" si="7"/>
        <v/>
      </c>
      <c r="T43" t="str">
        <f t="shared" si="8"/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Data'!B43</f>
        <v>RPT_02_Public Buildings Inspection</v>
      </c>
      <c r="Q44">
        <f t="shared" si="5"/>
        <v>0</v>
      </c>
      <c r="R44">
        <f t="shared" si="6"/>
        <v>0</v>
      </c>
      <c r="S44" s="28" t="str">
        <f t="shared" si="7"/>
        <v/>
      </c>
      <c r="T44" t="str">
        <f t="shared" si="8"/>
        <v/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Data'!B44</f>
        <v>RPT_02_Investigate Wall Check and Service Check</v>
      </c>
      <c r="Q45">
        <f t="shared" si="5"/>
        <v>3</v>
      </c>
      <c r="R45">
        <f t="shared" si="6"/>
        <v>0</v>
      </c>
      <c r="S45" s="28">
        <f t="shared" si="7"/>
        <v>46267</v>
      </c>
      <c r="T45" t="str">
        <f t="shared" si="8"/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Data'!B45</f>
        <v>RPT_02_Cut Out Orders</v>
      </c>
      <c r="Q46">
        <f t="shared" si="5"/>
        <v>0</v>
      </c>
      <c r="R46">
        <f t="shared" si="6"/>
        <v>0</v>
      </c>
      <c r="S46" s="28" t="str">
        <f t="shared" si="7"/>
        <v/>
      </c>
      <c r="T46" t="str">
        <f t="shared" si="8"/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Data'!B46</f>
        <v>RPT_02_Gas Trouble</v>
      </c>
      <c r="Q47">
        <f t="shared" si="5"/>
        <v>1</v>
      </c>
      <c r="R47">
        <f t="shared" si="6"/>
        <v>0</v>
      </c>
      <c r="S47" s="28">
        <f t="shared" si="7"/>
        <v>46265</v>
      </c>
      <c r="T47" t="str">
        <f t="shared" si="8"/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Data'!B47</f>
        <v>RPT_02_Wall Check Control</v>
      </c>
      <c r="Q48">
        <f t="shared" si="5"/>
        <v>0</v>
      </c>
      <c r="R48">
        <f t="shared" si="6"/>
        <v>0</v>
      </c>
      <c r="S48" s="28" t="str">
        <f t="shared" si="7"/>
        <v/>
      </c>
      <c r="T48" t="str">
        <f t="shared" si="8"/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Data'!B48</f>
        <v>RPT_02_High Pressure Steel Inside Inspection</v>
      </c>
      <c r="Q49">
        <f t="shared" si="5"/>
        <v>0</v>
      </c>
      <c r="R49">
        <f t="shared" si="6"/>
        <v>0</v>
      </c>
      <c r="S49" s="28" t="str">
        <f t="shared" si="7"/>
        <v/>
      </c>
      <c r="T49" t="str">
        <f t="shared" si="8"/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Data'!B49</f>
        <v>RPT_02_Large Gas Outage</v>
      </c>
      <c r="Q50">
        <f t="shared" si="5"/>
        <v>3</v>
      </c>
      <c r="R50">
        <f t="shared" si="6"/>
        <v>1</v>
      </c>
      <c r="S50" s="28">
        <f t="shared" si="7"/>
        <v>46267</v>
      </c>
      <c r="T50" t="str">
        <f t="shared" si="8"/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Data'!B50</f>
        <v>RPT_02_Fitting Work</v>
      </c>
      <c r="Q51">
        <f t="shared" si="5"/>
        <v>0</v>
      </c>
      <c r="R51">
        <f t="shared" si="6"/>
        <v>0</v>
      </c>
      <c r="S51" s="28" t="str">
        <f t="shared" si="7"/>
        <v/>
      </c>
      <c r="T51" t="str">
        <f t="shared" si="8"/>
        <v/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Data'!B51</f>
        <v>RPT_02_Field Collector Report</v>
      </c>
      <c r="Q52">
        <f t="shared" si="5"/>
        <v>0</v>
      </c>
      <c r="R52">
        <f t="shared" si="6"/>
        <v>0</v>
      </c>
      <c r="S52" s="28" t="str">
        <f t="shared" si="7"/>
        <v/>
      </c>
      <c r="T52" t="str">
        <f t="shared" si="8"/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Data'!B52</f>
        <v>RPT_02_Turn On for Non-Payment</v>
      </c>
      <c r="Q53">
        <f t="shared" si="5"/>
        <v>1</v>
      </c>
      <c r="R53">
        <f t="shared" si="6"/>
        <v>0</v>
      </c>
      <c r="S53" s="28">
        <f t="shared" si="7"/>
        <v>46267</v>
      </c>
      <c r="T53" t="str">
        <f t="shared" si="8"/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Data'!B53</f>
        <v>RPT_02_Collector Payment Recap</v>
      </c>
      <c r="Q54">
        <f t="shared" si="5"/>
        <v>0</v>
      </c>
      <c r="R54">
        <f t="shared" si="6"/>
        <v>0</v>
      </c>
      <c r="S54" s="28" t="str">
        <f t="shared" si="7"/>
        <v/>
      </c>
      <c r="T54" t="str">
        <f t="shared" si="8"/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Data'!B54</f>
        <v>RPT_02_Incentive Management</v>
      </c>
      <c r="Q55">
        <f t="shared" si="5"/>
        <v>0</v>
      </c>
      <c r="R55">
        <f t="shared" si="6"/>
        <v>0</v>
      </c>
      <c r="S55" s="28" t="str">
        <f t="shared" si="7"/>
        <v/>
      </c>
      <c r="T55" t="str">
        <f t="shared" si="8"/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Data'!B55</f>
        <v>RPT_02_UTC Report</v>
      </c>
      <c r="Q56">
        <f t="shared" si="5"/>
        <v>0</v>
      </c>
      <c r="R56">
        <f t="shared" si="6"/>
        <v>0</v>
      </c>
      <c r="S56" s="28" t="str">
        <f t="shared" si="7"/>
        <v/>
      </c>
      <c r="T56" t="str">
        <f t="shared" si="8"/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Data'!B56</f>
        <v>RPT_02_Adjacent Property Checks</v>
      </c>
      <c r="Q57">
        <f t="shared" si="5"/>
        <v>0</v>
      </c>
      <c r="R57">
        <f t="shared" si="6"/>
        <v>0</v>
      </c>
      <c r="S57" s="28" t="str">
        <f t="shared" si="7"/>
        <v/>
      </c>
      <c r="T57" t="str">
        <f t="shared" si="8"/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Data'!B57</f>
        <v>RPT_02_High Bill Investigations</v>
      </c>
      <c r="Q58">
        <f t="shared" si="5"/>
        <v>0</v>
      </c>
      <c r="R58">
        <f t="shared" si="6"/>
        <v>0</v>
      </c>
      <c r="S58" s="28" t="str">
        <f t="shared" si="7"/>
        <v/>
      </c>
      <c r="T58" t="str">
        <f t="shared" si="8"/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Data'!B58</f>
        <v>RPT_02_Emergency Order Type</v>
      </c>
      <c r="Q59">
        <f t="shared" si="5"/>
        <v>0</v>
      </c>
      <c r="R59">
        <f t="shared" si="6"/>
        <v>0</v>
      </c>
      <c r="S59" s="28" t="str">
        <f t="shared" si="7"/>
        <v/>
      </c>
      <c r="T59" t="str">
        <f t="shared" si="8"/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Data'!B59</f>
        <v>RPT_02_Cut Out Curb Box</v>
      </c>
      <c r="Q60">
        <f t="shared" si="5"/>
        <v>0</v>
      </c>
      <c r="R60">
        <f t="shared" si="6"/>
        <v>0</v>
      </c>
      <c r="S60" s="28" t="str">
        <f t="shared" si="7"/>
        <v/>
      </c>
      <c r="T60" t="str">
        <f t="shared" si="8"/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Data'!B60</f>
        <v>RPT_02_New York Incident</v>
      </c>
      <c r="Q61">
        <f t="shared" si="5"/>
        <v>0</v>
      </c>
      <c r="R61">
        <f t="shared" si="6"/>
        <v>0</v>
      </c>
      <c r="S61" s="28" t="str">
        <f t="shared" si="7"/>
        <v/>
      </c>
      <c r="T61" t="str">
        <f t="shared" si="8"/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Data'!B61</f>
        <v>RPT_02_Outside Repeat Leaks</v>
      </c>
      <c r="Q62">
        <f t="shared" si="5"/>
        <v>0</v>
      </c>
      <c r="R62">
        <f t="shared" si="6"/>
        <v>0</v>
      </c>
      <c r="S62" s="28" t="str">
        <f t="shared" si="7"/>
        <v/>
      </c>
      <c r="T62" t="str">
        <f t="shared" si="8"/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Data'!B62</f>
        <v>RPT_02_Meter Change</v>
      </c>
      <c r="Q63">
        <f t="shared" si="5"/>
        <v>0</v>
      </c>
      <c r="R63">
        <f t="shared" si="6"/>
        <v>0</v>
      </c>
      <c r="S63" s="28" t="str">
        <f t="shared" si="7"/>
        <v/>
      </c>
      <c r="T63" t="str">
        <f t="shared" si="8"/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Data'!B63</f>
        <v>RPT_02_Field Order Value</v>
      </c>
      <c r="Q64">
        <f t="shared" si="5"/>
        <v>0</v>
      </c>
      <c r="R64">
        <f t="shared" si="6"/>
        <v>0</v>
      </c>
      <c r="S64" s="28" t="str">
        <f t="shared" si="7"/>
        <v/>
      </c>
      <c r="T64" t="str">
        <f t="shared" si="8"/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Data'!B64</f>
        <v>RPT_02_Same Day Reconnect</v>
      </c>
      <c r="Q65">
        <f t="shared" si="5"/>
        <v>0</v>
      </c>
      <c r="R65">
        <f t="shared" si="6"/>
        <v>0</v>
      </c>
      <c r="S65" s="28" t="str">
        <f t="shared" si="7"/>
        <v/>
      </c>
      <c r="T65" t="str">
        <f t="shared" si="8"/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Data'!B65</f>
        <v>RPT_02_Site Specific Analysis</v>
      </c>
      <c r="Q66">
        <f t="shared" si="5"/>
        <v>0</v>
      </c>
      <c r="R66">
        <f t="shared" si="6"/>
        <v>0</v>
      </c>
      <c r="S66" s="28" t="str">
        <f t="shared" si="7"/>
        <v/>
      </c>
      <c r="T66" t="str">
        <f t="shared" si="8"/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9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 t="shared" si="5"/>
        <v>0</v>
      </c>
      <c r="R67">
        <f t="shared" si="6"/>
        <v>0</v>
      </c>
      <c r="S67" s="28" t="str">
        <f t="shared" si="7"/>
        <v/>
      </c>
      <c r="T67" t="str">
        <f t="shared" si="8"/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9"/>
        <v/>
      </c>
      <c r="P68" t="str">
        <f>'Combined Delivery Data'!B67</f>
        <v>RPT_02_Hazardous Above Ground Leak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Data'!B68</f>
        <v>RPT_02_AMI Contractor Completion Report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Data'!B69</f>
        <v>RPT_02_Collection Statistic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10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10"/>
        <v/>
      </c>
      <c r="P72" t="str">
        <f>'Combined Delivery Data'!B71</f>
        <v>RPT_02_Rate Class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Data'!B72</f>
        <v>RPT_04_Leak Recheck Times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Data'!B73</f>
        <v>RPT_02_Service Resource Activity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Data'!B101</f>
        <v>RPT_05_Department of Transportation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Data'!B102</f>
        <v>RPT_05_ Inside Meter Relocation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Data'!B103</f>
        <v>RPT_05_Mapped Work Order Information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Data'!B104</f>
        <v>RPT_06_Retired Meters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Data'!B105</f>
        <v>RPT_13_Survey Book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Data'!B106</f>
        <v>RPT_05_Leak Survey Mains Summary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Data'!B107</f>
        <v>RPT_13_Customer Service Point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Data'!B108</f>
        <v>RPT_02_Emergency Operation Checklist</v>
      </c>
      <c r="Q82">
        <f t="shared" ref="Q82:Q145" si="11">IF($P82="","",COUNTIF($A$3:$A$499,$P82))</f>
        <v>0</v>
      </c>
      <c r="R82">
        <f t="shared" ref="R82:R145" si="12">IF($P82="","",SUMPRODUCT(($A$3:$A$499=$P82)*($G$3:$G$499&lt;&gt;"Yes")*($G$3:$G$499&lt;&gt;"Did not pass re-test")))</f>
        <v>0</v>
      </c>
      <c r="S82" s="28" t="str">
        <f t="shared" ref="S82:S145" si="13">IF($P82="","",IF(SUMPRODUCT(MAX(($A$3:$A$499=$P82)*ROW($A$3:$A$499)))=0,"",INDEX($B:$B,SUMPRODUCT(MAX(($A$3:$A$499=$P82)*ROW($A$3:$A$499))))))</f>
        <v/>
      </c>
      <c r="T82" t="str">
        <f t="shared" ref="T82:T145" si="14"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Data'!B109</f>
        <v>RPT_06_ERT List</v>
      </c>
      <c r="Q83">
        <f t="shared" si="11"/>
        <v>0</v>
      </c>
      <c r="R83">
        <f t="shared" si="12"/>
        <v>0</v>
      </c>
      <c r="S83" s="28" t="str">
        <f t="shared" si="13"/>
        <v/>
      </c>
      <c r="T83" t="str">
        <f t="shared" si="14"/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Data'!B110</f>
        <v>RPT_13_Blue Card</v>
      </c>
      <c r="Q84">
        <f t="shared" si="11"/>
        <v>0</v>
      </c>
      <c r="R84">
        <f t="shared" si="12"/>
        <v>0</v>
      </c>
      <c r="S84" s="28" t="str">
        <f t="shared" si="13"/>
        <v/>
      </c>
      <c r="T84" t="str">
        <f t="shared" si="14"/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Data'!B111</f>
        <v>RPT_06_Out of Route Meters Gas</v>
      </c>
      <c r="Q85">
        <f t="shared" si="11"/>
        <v>0</v>
      </c>
      <c r="R85">
        <f t="shared" si="12"/>
        <v>0</v>
      </c>
      <c r="S85" s="28" t="str">
        <f t="shared" si="13"/>
        <v/>
      </c>
      <c r="T85" t="str">
        <f t="shared" si="14"/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Data'!B112</f>
        <v>RPT_06_Yard Meter Inventory</v>
      </c>
      <c r="Q86">
        <f t="shared" si="11"/>
        <v>0</v>
      </c>
      <c r="R86">
        <f t="shared" si="12"/>
        <v>0</v>
      </c>
      <c r="S86" s="28" t="str">
        <f t="shared" si="13"/>
        <v/>
      </c>
      <c r="T86" t="str">
        <f t="shared" si="14"/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Data'!B113</f>
        <v>RPT_06_ERTtoEPSLoadReportbyReceiptNumber</v>
      </c>
      <c r="Q87">
        <f t="shared" si="11"/>
        <v>0</v>
      </c>
      <c r="R87">
        <f t="shared" si="12"/>
        <v>0</v>
      </c>
      <c r="S87" s="28" t="str">
        <f t="shared" si="13"/>
        <v/>
      </c>
      <c r="T87" t="str">
        <f t="shared" si="14"/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Data'!B114</f>
        <v>RPT_06_Out of Route Meters Electric</v>
      </c>
      <c r="Q88">
        <f t="shared" si="11"/>
        <v>0</v>
      </c>
      <c r="R88">
        <f t="shared" si="12"/>
        <v>0</v>
      </c>
      <c r="S88" s="28" t="str">
        <f t="shared" si="13"/>
        <v/>
      </c>
      <c r="T88" t="str">
        <f t="shared" si="14"/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Data'!B115</f>
        <v>RPT_06_Random Meter Sampling Testing Results</v>
      </c>
      <c r="Q89">
        <f t="shared" si="11"/>
        <v>0</v>
      </c>
      <c r="R89">
        <f t="shared" si="12"/>
        <v>0</v>
      </c>
      <c r="S89" s="28" t="str">
        <f t="shared" si="13"/>
        <v/>
      </c>
      <c r="T89" t="str">
        <f t="shared" si="14"/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Data'!B116</f>
        <v>0</v>
      </c>
      <c r="Q90">
        <f t="shared" si="11"/>
        <v>0</v>
      </c>
      <c r="R90">
        <f t="shared" si="12"/>
        <v>468</v>
      </c>
      <c r="S90" s="28">
        <f t="shared" si="13"/>
        <v>0</v>
      </c>
      <c r="T90" t="str">
        <f t="shared" si="14"/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Data'!B117</f>
        <v>0</v>
      </c>
      <c r="Q91">
        <f t="shared" si="11"/>
        <v>0</v>
      </c>
      <c r="R91">
        <f t="shared" si="12"/>
        <v>468</v>
      </c>
      <c r="S91" s="28">
        <f t="shared" si="13"/>
        <v>0</v>
      </c>
      <c r="T91" t="str">
        <f t="shared" si="14"/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Data'!B118</f>
        <v>0</v>
      </c>
      <c r="Q92">
        <f t="shared" si="11"/>
        <v>0</v>
      </c>
      <c r="R92">
        <f t="shared" si="12"/>
        <v>468</v>
      </c>
      <c r="S92" s="28">
        <f t="shared" si="13"/>
        <v>0</v>
      </c>
      <c r="T92" t="str">
        <f t="shared" si="14"/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Data'!B119</f>
        <v>0</v>
      </c>
      <c r="Q93">
        <f t="shared" si="11"/>
        <v>0</v>
      </c>
      <c r="R93">
        <f t="shared" si="12"/>
        <v>468</v>
      </c>
      <c r="S93" s="28">
        <f t="shared" si="13"/>
        <v>0</v>
      </c>
      <c r="T93" t="str">
        <f t="shared" si="14"/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Data'!B120</f>
        <v>0</v>
      </c>
      <c r="Q94">
        <f t="shared" si="11"/>
        <v>0</v>
      </c>
      <c r="R94">
        <f t="shared" si="12"/>
        <v>468</v>
      </c>
      <c r="S94" s="28">
        <f t="shared" si="13"/>
        <v>0</v>
      </c>
      <c r="T94" t="str">
        <f t="shared" si="14"/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Data'!B121</f>
        <v>0</v>
      </c>
      <c r="Q95">
        <f t="shared" si="11"/>
        <v>0</v>
      </c>
      <c r="R95">
        <f t="shared" si="12"/>
        <v>468</v>
      </c>
      <c r="S95" s="28">
        <f t="shared" si="13"/>
        <v>0</v>
      </c>
      <c r="T95" t="str">
        <f t="shared" si="14"/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Data'!B122</f>
        <v>0</v>
      </c>
      <c r="Q96">
        <f t="shared" si="11"/>
        <v>0</v>
      </c>
      <c r="R96">
        <f t="shared" si="12"/>
        <v>468</v>
      </c>
      <c r="S96" s="28">
        <f t="shared" si="13"/>
        <v>0</v>
      </c>
      <c r="T96" t="str">
        <f t="shared" si="14"/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Data'!B123</f>
        <v>0</v>
      </c>
      <c r="Q97">
        <f t="shared" si="11"/>
        <v>0</v>
      </c>
      <c r="R97">
        <f t="shared" si="12"/>
        <v>468</v>
      </c>
      <c r="S97" s="28">
        <f t="shared" si="13"/>
        <v>0</v>
      </c>
      <c r="T97" t="str">
        <f t="shared" si="14"/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Data'!B124</f>
        <v>0</v>
      </c>
      <c r="Q98">
        <f t="shared" si="11"/>
        <v>0</v>
      </c>
      <c r="R98">
        <f t="shared" si="12"/>
        <v>468</v>
      </c>
      <c r="S98" s="28">
        <f t="shared" si="13"/>
        <v>0</v>
      </c>
      <c r="T98" t="str">
        <f t="shared" si="14"/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Data'!B125</f>
        <v>0</v>
      </c>
      <c r="Q99">
        <f t="shared" si="11"/>
        <v>0</v>
      </c>
      <c r="R99">
        <f t="shared" si="12"/>
        <v>468</v>
      </c>
      <c r="S99" s="28">
        <f t="shared" si="13"/>
        <v>0</v>
      </c>
      <c r="T99" t="str">
        <f t="shared" si="14"/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Data'!B126</f>
        <v>0</v>
      </c>
      <c r="Q100">
        <f t="shared" si="11"/>
        <v>0</v>
      </c>
      <c r="R100">
        <f t="shared" si="12"/>
        <v>468</v>
      </c>
      <c r="S100" s="28">
        <f t="shared" si="13"/>
        <v>0</v>
      </c>
      <c r="T100" t="str">
        <f t="shared" si="14"/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Data'!B127</f>
        <v>0</v>
      </c>
      <c r="Q101">
        <f t="shared" si="11"/>
        <v>0</v>
      </c>
      <c r="R101">
        <f t="shared" si="12"/>
        <v>468</v>
      </c>
      <c r="S101" s="28">
        <f t="shared" si="13"/>
        <v>0</v>
      </c>
      <c r="T101" t="str">
        <f t="shared" si="14"/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Data'!B128</f>
        <v>0</v>
      </c>
      <c r="Q102">
        <f t="shared" si="11"/>
        <v>0</v>
      </c>
      <c r="R102">
        <f t="shared" si="12"/>
        <v>468</v>
      </c>
      <c r="S102" s="28">
        <f t="shared" si="13"/>
        <v>0</v>
      </c>
      <c r="T102" t="str">
        <f t="shared" si="14"/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Data'!B129</f>
        <v>0</v>
      </c>
      <c r="Q103">
        <f t="shared" si="11"/>
        <v>0</v>
      </c>
      <c r="R103">
        <f t="shared" si="12"/>
        <v>468</v>
      </c>
      <c r="S103" s="28">
        <f t="shared" si="13"/>
        <v>0</v>
      </c>
      <c r="T103" t="str">
        <f t="shared" si="14"/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Data'!B130</f>
        <v>0</v>
      </c>
      <c r="Q104">
        <f t="shared" si="11"/>
        <v>0</v>
      </c>
      <c r="R104">
        <f t="shared" si="12"/>
        <v>468</v>
      </c>
      <c r="S104" s="28">
        <f t="shared" si="13"/>
        <v>0</v>
      </c>
      <c r="T104" t="str">
        <f t="shared" si="14"/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Data'!B131</f>
        <v>0</v>
      </c>
      <c r="Q105">
        <f t="shared" si="11"/>
        <v>0</v>
      </c>
      <c r="R105">
        <f t="shared" si="12"/>
        <v>468</v>
      </c>
      <c r="S105" s="28">
        <f t="shared" si="13"/>
        <v>0</v>
      </c>
      <c r="T105" t="str">
        <f t="shared" si="14"/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Data'!B133</f>
        <v>0</v>
      </c>
      <c r="Q106">
        <f t="shared" si="11"/>
        <v>0</v>
      </c>
      <c r="R106">
        <f t="shared" si="12"/>
        <v>468</v>
      </c>
      <c r="S106" s="28">
        <f t="shared" si="13"/>
        <v>0</v>
      </c>
      <c r="T106" t="str">
        <f t="shared" si="14"/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Data'!B134</f>
        <v>0</v>
      </c>
      <c r="Q107">
        <f t="shared" si="11"/>
        <v>0</v>
      </c>
      <c r="R107">
        <f t="shared" si="12"/>
        <v>468</v>
      </c>
      <c r="S107" s="28">
        <f t="shared" si="13"/>
        <v>0</v>
      </c>
      <c r="T107" t="str">
        <f t="shared" si="14"/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Data'!B135</f>
        <v>0</v>
      </c>
      <c r="Q108">
        <f t="shared" si="11"/>
        <v>0</v>
      </c>
      <c r="R108">
        <f t="shared" si="12"/>
        <v>468</v>
      </c>
      <c r="S108" s="28">
        <f t="shared" si="13"/>
        <v>0</v>
      </c>
      <c r="T108" t="str">
        <f t="shared" si="14"/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Data'!B136</f>
        <v>0</v>
      </c>
      <c r="Q109">
        <f t="shared" si="11"/>
        <v>0</v>
      </c>
      <c r="R109">
        <f t="shared" si="12"/>
        <v>468</v>
      </c>
      <c r="S109" s="28">
        <f t="shared" si="13"/>
        <v>0</v>
      </c>
      <c r="T109" t="str">
        <f t="shared" si="14"/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Data'!B137</f>
        <v>0</v>
      </c>
      <c r="Q110">
        <f t="shared" si="11"/>
        <v>0</v>
      </c>
      <c r="R110">
        <f t="shared" si="12"/>
        <v>468</v>
      </c>
      <c r="S110" s="28">
        <f t="shared" si="13"/>
        <v>0</v>
      </c>
      <c r="T110" t="str">
        <f t="shared" si="14"/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Data'!B138</f>
        <v>0</v>
      </c>
      <c r="Q111">
        <f t="shared" si="11"/>
        <v>0</v>
      </c>
      <c r="R111">
        <f t="shared" si="12"/>
        <v>468</v>
      </c>
      <c r="S111" s="28">
        <f t="shared" si="13"/>
        <v>0</v>
      </c>
      <c r="T111" t="str">
        <f t="shared" si="14"/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Data'!B139</f>
        <v>0</v>
      </c>
      <c r="Q112">
        <f t="shared" si="11"/>
        <v>0</v>
      </c>
      <c r="R112">
        <f t="shared" si="12"/>
        <v>468</v>
      </c>
      <c r="S112" s="28">
        <f t="shared" si="13"/>
        <v>0</v>
      </c>
      <c r="T112" t="str">
        <f t="shared" si="14"/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Data'!B140</f>
        <v>0</v>
      </c>
      <c r="Q113">
        <f t="shared" si="11"/>
        <v>0</v>
      </c>
      <c r="R113">
        <f t="shared" si="12"/>
        <v>468</v>
      </c>
      <c r="S113" s="28">
        <f t="shared" si="13"/>
        <v>0</v>
      </c>
      <c r="T113" t="str">
        <f t="shared" si="14"/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Data'!B141</f>
        <v>0</v>
      </c>
      <c r="Q114">
        <f t="shared" si="11"/>
        <v>0</v>
      </c>
      <c r="R114">
        <f t="shared" si="12"/>
        <v>468</v>
      </c>
      <c r="S114" s="28">
        <f t="shared" si="13"/>
        <v>0</v>
      </c>
      <c r="T114" t="str">
        <f t="shared" si="14"/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Data'!B142</f>
        <v>0</v>
      </c>
      <c r="Q115">
        <f t="shared" si="11"/>
        <v>0</v>
      </c>
      <c r="R115">
        <f t="shared" si="12"/>
        <v>468</v>
      </c>
      <c r="S115" s="28">
        <f t="shared" si="13"/>
        <v>0</v>
      </c>
      <c r="T115" t="str">
        <f t="shared" si="14"/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Data'!B143</f>
        <v>0</v>
      </c>
      <c r="Q116">
        <f t="shared" si="11"/>
        <v>0</v>
      </c>
      <c r="R116">
        <f t="shared" si="12"/>
        <v>468</v>
      </c>
      <c r="S116" s="28">
        <f t="shared" si="13"/>
        <v>0</v>
      </c>
      <c r="T116" t="str">
        <f t="shared" si="14"/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Data'!B144</f>
        <v>0</v>
      </c>
      <c r="Q117">
        <f t="shared" si="11"/>
        <v>0</v>
      </c>
      <c r="R117">
        <f t="shared" si="12"/>
        <v>468</v>
      </c>
      <c r="S117" s="28">
        <f t="shared" si="13"/>
        <v>0</v>
      </c>
      <c r="T117" t="str">
        <f t="shared" si="14"/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Data'!B145</f>
        <v>0</v>
      </c>
      <c r="Q118">
        <f t="shared" si="11"/>
        <v>0</v>
      </c>
      <c r="R118">
        <f t="shared" si="12"/>
        <v>468</v>
      </c>
      <c r="S118" s="28">
        <f t="shared" si="13"/>
        <v>0</v>
      </c>
      <c r="T118" t="str">
        <f t="shared" si="14"/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Data'!B146</f>
        <v>0</v>
      </c>
      <c r="Q119">
        <f t="shared" si="11"/>
        <v>0</v>
      </c>
      <c r="R119">
        <f t="shared" si="12"/>
        <v>468</v>
      </c>
      <c r="S119" s="28">
        <f t="shared" si="13"/>
        <v>0</v>
      </c>
      <c r="T119" t="str">
        <f t="shared" si="14"/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Data'!B147</f>
        <v>0</v>
      </c>
      <c r="Q120">
        <f t="shared" si="11"/>
        <v>0</v>
      </c>
      <c r="R120">
        <f t="shared" si="12"/>
        <v>468</v>
      </c>
      <c r="S120" s="28">
        <f t="shared" si="13"/>
        <v>0</v>
      </c>
      <c r="T120" t="str">
        <f t="shared" si="14"/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Data'!B148</f>
        <v>0</v>
      </c>
      <c r="Q121">
        <f t="shared" si="11"/>
        <v>0</v>
      </c>
      <c r="R121">
        <f t="shared" si="12"/>
        <v>468</v>
      </c>
      <c r="S121" s="28">
        <f t="shared" si="13"/>
        <v>0</v>
      </c>
      <c r="T121" t="str">
        <f t="shared" si="14"/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Data'!B149</f>
        <v>0</v>
      </c>
      <c r="Q122">
        <f t="shared" si="11"/>
        <v>0</v>
      </c>
      <c r="R122">
        <f t="shared" si="12"/>
        <v>468</v>
      </c>
      <c r="S122" s="28">
        <f t="shared" si="13"/>
        <v>0</v>
      </c>
      <c r="T122" t="str">
        <f t="shared" si="14"/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Data'!B150</f>
        <v>0</v>
      </c>
      <c r="Q123">
        <f t="shared" si="11"/>
        <v>0</v>
      </c>
      <c r="R123">
        <f t="shared" si="12"/>
        <v>468</v>
      </c>
      <c r="S123" s="28">
        <f t="shared" si="13"/>
        <v>0</v>
      </c>
      <c r="T123" t="str">
        <f t="shared" si="14"/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Data'!B151</f>
        <v>0</v>
      </c>
      <c r="Q124">
        <f t="shared" si="11"/>
        <v>0</v>
      </c>
      <c r="R124">
        <f t="shared" si="12"/>
        <v>468</v>
      </c>
      <c r="S124" s="28">
        <f t="shared" si="13"/>
        <v>0</v>
      </c>
      <c r="T124" t="str">
        <f t="shared" si="14"/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Data'!B152</f>
        <v>0</v>
      </c>
      <c r="Q125">
        <f t="shared" si="11"/>
        <v>0</v>
      </c>
      <c r="R125">
        <f t="shared" si="12"/>
        <v>468</v>
      </c>
      <c r="S125" s="28">
        <f t="shared" si="13"/>
        <v>0</v>
      </c>
      <c r="T125" t="str">
        <f t="shared" si="14"/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Data'!B153</f>
        <v>0</v>
      </c>
      <c r="Q126">
        <f t="shared" si="11"/>
        <v>0</v>
      </c>
      <c r="R126">
        <f t="shared" si="12"/>
        <v>468</v>
      </c>
      <c r="S126" s="28">
        <f t="shared" si="13"/>
        <v>0</v>
      </c>
      <c r="T126" t="str">
        <f t="shared" si="14"/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Data'!B154</f>
        <v>0</v>
      </c>
      <c r="Q127">
        <f t="shared" si="11"/>
        <v>0</v>
      </c>
      <c r="R127">
        <f t="shared" si="12"/>
        <v>468</v>
      </c>
      <c r="S127" s="28">
        <f t="shared" si="13"/>
        <v>0</v>
      </c>
      <c r="T127" t="str">
        <f t="shared" si="14"/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Data'!B155</f>
        <v>0</v>
      </c>
      <c r="Q128">
        <f t="shared" si="11"/>
        <v>0</v>
      </c>
      <c r="R128">
        <f t="shared" si="12"/>
        <v>468</v>
      </c>
      <c r="S128" s="28">
        <f t="shared" si="13"/>
        <v>0</v>
      </c>
      <c r="T128" t="str">
        <f t="shared" si="14"/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Data'!B156</f>
        <v>0</v>
      </c>
      <c r="Q129">
        <f t="shared" si="11"/>
        <v>0</v>
      </c>
      <c r="R129">
        <f t="shared" si="12"/>
        <v>468</v>
      </c>
      <c r="S129" s="28">
        <f t="shared" si="13"/>
        <v>0</v>
      </c>
      <c r="T129" t="str">
        <f t="shared" si="14"/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15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 t="shared" si="11"/>
        <v>0</v>
      </c>
      <c r="R130">
        <f t="shared" si="12"/>
        <v>468</v>
      </c>
      <c r="S130" s="28">
        <f t="shared" si="13"/>
        <v>0</v>
      </c>
      <c r="T130" t="str">
        <f t="shared" si="14"/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15"/>
        <v/>
      </c>
      <c r="P131">
        <f>'Combined Delivery Data'!B158</f>
        <v>0</v>
      </c>
      <c r="Q131">
        <f t="shared" si="11"/>
        <v>0</v>
      </c>
      <c r="R131">
        <f t="shared" si="12"/>
        <v>468</v>
      </c>
      <c r="S131" s="28">
        <f t="shared" si="13"/>
        <v>0</v>
      </c>
      <c r="T131" t="str">
        <f t="shared" si="14"/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15"/>
        <v/>
      </c>
      <c r="P132">
        <f>'Combined Delivery Data'!B159</f>
        <v>0</v>
      </c>
      <c r="Q132">
        <f t="shared" si="11"/>
        <v>0</v>
      </c>
      <c r="R132">
        <f t="shared" si="12"/>
        <v>468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15"/>
        <v/>
      </c>
      <c r="P133">
        <f>'Combined Delivery Data'!B160</f>
        <v>0</v>
      </c>
      <c r="Q133">
        <f t="shared" si="11"/>
        <v>0</v>
      </c>
      <c r="R133">
        <f t="shared" si="12"/>
        <v>468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15"/>
        <v/>
      </c>
      <c r="P134">
        <f>'Combined Delivery Data'!B161</f>
        <v>0</v>
      </c>
      <c r="Q134">
        <f t="shared" si="11"/>
        <v>0</v>
      </c>
      <c r="R134">
        <f t="shared" si="12"/>
        <v>468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15"/>
        <v/>
      </c>
      <c r="P135">
        <f>'Combined Delivery Data'!B162</f>
        <v>0</v>
      </c>
      <c r="Q135">
        <f t="shared" si="11"/>
        <v>0</v>
      </c>
      <c r="R135">
        <f t="shared" si="12"/>
        <v>468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15"/>
        <v/>
      </c>
      <c r="P136">
        <f>'Combined Delivery Data'!B163</f>
        <v>0</v>
      </c>
      <c r="Q136">
        <f t="shared" si="11"/>
        <v>0</v>
      </c>
      <c r="R136">
        <f t="shared" si="12"/>
        <v>468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15"/>
        <v/>
      </c>
      <c r="P137">
        <f>'Combined Delivery Data'!B164</f>
        <v>0</v>
      </c>
      <c r="Q137">
        <f t="shared" si="11"/>
        <v>0</v>
      </c>
      <c r="R137">
        <f t="shared" si="12"/>
        <v>468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15"/>
        <v/>
      </c>
      <c r="P138">
        <f>'Combined Delivery Data'!B165</f>
        <v>0</v>
      </c>
      <c r="Q138">
        <f t="shared" si="11"/>
        <v>0</v>
      </c>
      <c r="R138">
        <f t="shared" si="12"/>
        <v>468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15"/>
        <v/>
      </c>
      <c r="P139">
        <f>'Combined Delivery Data'!B166</f>
        <v>0</v>
      </c>
      <c r="Q139">
        <f t="shared" si="11"/>
        <v>0</v>
      </c>
      <c r="R139">
        <f t="shared" si="12"/>
        <v>468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15"/>
        <v/>
      </c>
      <c r="P140">
        <f>'Combined Delivery Data'!B167</f>
        <v>0</v>
      </c>
      <c r="Q140">
        <f t="shared" si="11"/>
        <v>0</v>
      </c>
      <c r="R140">
        <f t="shared" si="12"/>
        <v>468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15"/>
        <v/>
      </c>
      <c r="P141">
        <f>'Combined Delivery Data'!B168</f>
        <v>0</v>
      </c>
      <c r="Q141">
        <f t="shared" si="11"/>
        <v>0</v>
      </c>
      <c r="R141">
        <f t="shared" si="12"/>
        <v>468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15"/>
        <v/>
      </c>
      <c r="P142">
        <f>'Combined Delivery Data'!B169</f>
        <v>0</v>
      </c>
      <c r="Q142">
        <f t="shared" si="11"/>
        <v>0</v>
      </c>
      <c r="R142">
        <f t="shared" si="12"/>
        <v>468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15"/>
        <v/>
      </c>
      <c r="P143">
        <f>'Combined Delivery Data'!B170</f>
        <v>0</v>
      </c>
      <c r="Q143">
        <f t="shared" si="11"/>
        <v>0</v>
      </c>
      <c r="R143">
        <f t="shared" si="12"/>
        <v>468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15"/>
        <v/>
      </c>
      <c r="P144">
        <f>'Combined Delivery Data'!B171</f>
        <v>0</v>
      </c>
      <c r="Q144">
        <f t="shared" si="11"/>
        <v>0</v>
      </c>
      <c r="R144">
        <f t="shared" si="12"/>
        <v>468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15"/>
        <v/>
      </c>
      <c r="P145">
        <f>'Combined Delivery Data'!B172</f>
        <v>0</v>
      </c>
      <c r="Q145">
        <f t="shared" si="11"/>
        <v>0</v>
      </c>
      <c r="R145">
        <f t="shared" si="12"/>
        <v>468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15"/>
        <v/>
      </c>
      <c r="P146">
        <f>'Combined Delivery Data'!B173</f>
        <v>0</v>
      </c>
      <c r="Q146">
        <f t="shared" ref="Q146:Q209" si="16">IF($P146="","",COUNTIF($A$3:$A$499,$P146))</f>
        <v>0</v>
      </c>
      <c r="R146">
        <f t="shared" ref="R146:R209" si="17">IF($P146="","",SUMPRODUCT(($A$3:$A$499=$P146)*($G$3:$G$499&lt;&gt;"Yes")*($G$3:$G$499&lt;&gt;"Did not pass re-test")))</f>
        <v>468</v>
      </c>
      <c r="S146" s="28">
        <f t="shared" ref="S146:S209" si="18">IF($P146="","",IF(SUMPRODUCT(MAX(($A$3:$A$499=$P146)*ROW($A$3:$A$499)))=0,"",INDEX($B:$B,SUMPRODUCT(MAX(($A$3:$A$499=$P146)*ROW($A$3:$A$499))))))</f>
        <v>0</v>
      </c>
      <c r="T146" t="str">
        <f t="shared" ref="T146:T209" si="19"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15"/>
        <v/>
      </c>
      <c r="P147">
        <f>'Combined Delivery Data'!B174</f>
        <v>0</v>
      </c>
      <c r="Q147">
        <f t="shared" si="16"/>
        <v>0</v>
      </c>
      <c r="R147">
        <f t="shared" si="17"/>
        <v>468</v>
      </c>
      <c r="S147" s="28">
        <f t="shared" si="18"/>
        <v>0</v>
      </c>
      <c r="T147" t="str">
        <f t="shared" si="19"/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15"/>
        <v/>
      </c>
      <c r="P148">
        <f>'Combined Delivery Data'!B175</f>
        <v>0</v>
      </c>
      <c r="Q148">
        <f t="shared" si="16"/>
        <v>0</v>
      </c>
      <c r="R148">
        <f t="shared" si="17"/>
        <v>468</v>
      </c>
      <c r="S148" s="28">
        <f t="shared" si="18"/>
        <v>0</v>
      </c>
      <c r="T148" t="str">
        <f t="shared" si="19"/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15"/>
        <v/>
      </c>
      <c r="P149">
        <f>'Combined Delivery Data'!B176</f>
        <v>0</v>
      </c>
      <c r="Q149">
        <f t="shared" si="16"/>
        <v>0</v>
      </c>
      <c r="R149">
        <f t="shared" si="17"/>
        <v>468</v>
      </c>
      <c r="S149" s="28">
        <f t="shared" si="18"/>
        <v>0</v>
      </c>
      <c r="T149" t="str">
        <f t="shared" si="19"/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15"/>
        <v/>
      </c>
      <c r="P150">
        <f>'Combined Delivery Data'!B177</f>
        <v>0</v>
      </c>
      <c r="Q150">
        <f t="shared" si="16"/>
        <v>0</v>
      </c>
      <c r="R150">
        <f t="shared" si="17"/>
        <v>468</v>
      </c>
      <c r="S150" s="28">
        <f t="shared" si="18"/>
        <v>0</v>
      </c>
      <c r="T150" t="str">
        <f t="shared" si="19"/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15"/>
        <v/>
      </c>
      <c r="P151">
        <f>'Combined Delivery Data'!B178</f>
        <v>0</v>
      </c>
      <c r="Q151">
        <f t="shared" si="16"/>
        <v>0</v>
      </c>
      <c r="R151">
        <f t="shared" si="17"/>
        <v>468</v>
      </c>
      <c r="S151" s="28">
        <f t="shared" si="18"/>
        <v>0</v>
      </c>
      <c r="T151" t="str">
        <f t="shared" si="19"/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15"/>
        <v/>
      </c>
      <c r="P152">
        <f>'Combined Delivery Data'!B179</f>
        <v>0</v>
      </c>
      <c r="Q152">
        <f t="shared" si="16"/>
        <v>0</v>
      </c>
      <c r="R152">
        <f t="shared" si="17"/>
        <v>468</v>
      </c>
      <c r="S152" s="28">
        <f t="shared" si="18"/>
        <v>0</v>
      </c>
      <c r="T152" t="str">
        <f t="shared" si="19"/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15"/>
        <v/>
      </c>
      <c r="P153">
        <f>'Combined Delivery Data'!B180</f>
        <v>0</v>
      </c>
      <c r="Q153">
        <f t="shared" si="16"/>
        <v>0</v>
      </c>
      <c r="R153">
        <f t="shared" si="17"/>
        <v>468</v>
      </c>
      <c r="S153" s="28">
        <f t="shared" si="18"/>
        <v>0</v>
      </c>
      <c r="T153" t="str">
        <f t="shared" si="19"/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15"/>
        <v/>
      </c>
      <c r="P154">
        <f>'Combined Delivery Data'!B181</f>
        <v>0</v>
      </c>
      <c r="Q154">
        <f t="shared" si="16"/>
        <v>0</v>
      </c>
      <c r="R154">
        <f t="shared" si="17"/>
        <v>468</v>
      </c>
      <c r="S154" s="28">
        <f t="shared" si="18"/>
        <v>0</v>
      </c>
      <c r="T154" t="str">
        <f t="shared" si="19"/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15"/>
        <v/>
      </c>
      <c r="P155">
        <f>'Combined Delivery Data'!B182</f>
        <v>0</v>
      </c>
      <c r="Q155">
        <f t="shared" si="16"/>
        <v>0</v>
      </c>
      <c r="R155">
        <f t="shared" si="17"/>
        <v>468</v>
      </c>
      <c r="S155" s="28">
        <f t="shared" si="18"/>
        <v>0</v>
      </c>
      <c r="T155" t="str">
        <f t="shared" si="19"/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15"/>
        <v/>
      </c>
      <c r="P156">
        <f>'Combined Delivery Data'!B183</f>
        <v>0</v>
      </c>
      <c r="Q156">
        <f t="shared" si="16"/>
        <v>0</v>
      </c>
      <c r="R156">
        <f t="shared" si="17"/>
        <v>468</v>
      </c>
      <c r="S156" s="28">
        <f t="shared" si="18"/>
        <v>0</v>
      </c>
      <c r="T156" t="str">
        <f t="shared" si="19"/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15"/>
        <v/>
      </c>
      <c r="P157">
        <f>'Combined Delivery Data'!B184</f>
        <v>0</v>
      </c>
      <c r="Q157">
        <f t="shared" si="16"/>
        <v>0</v>
      </c>
      <c r="R157">
        <f t="shared" si="17"/>
        <v>468</v>
      </c>
      <c r="S157" s="28">
        <f t="shared" si="18"/>
        <v>0</v>
      </c>
      <c r="T157" t="str">
        <f t="shared" si="19"/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15"/>
        <v/>
      </c>
      <c r="P158">
        <f>'Combined Delivery Data'!B185</f>
        <v>0</v>
      </c>
      <c r="Q158">
        <f t="shared" si="16"/>
        <v>0</v>
      </c>
      <c r="R158">
        <f t="shared" si="17"/>
        <v>468</v>
      </c>
      <c r="S158" s="28">
        <f t="shared" si="18"/>
        <v>0</v>
      </c>
      <c r="T158" t="str">
        <f t="shared" si="19"/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15"/>
        <v/>
      </c>
      <c r="P159">
        <f>'Combined Delivery Data'!B186</f>
        <v>0</v>
      </c>
      <c r="Q159">
        <f t="shared" si="16"/>
        <v>0</v>
      </c>
      <c r="R159">
        <f t="shared" si="17"/>
        <v>468</v>
      </c>
      <c r="S159" s="28">
        <f t="shared" si="18"/>
        <v>0</v>
      </c>
      <c r="T159" t="str">
        <f t="shared" si="19"/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15"/>
        <v/>
      </c>
      <c r="P160">
        <f>'Combined Delivery Data'!B187</f>
        <v>0</v>
      </c>
      <c r="Q160">
        <f t="shared" si="16"/>
        <v>0</v>
      </c>
      <c r="R160">
        <f t="shared" si="17"/>
        <v>468</v>
      </c>
      <c r="S160" s="28">
        <f t="shared" si="18"/>
        <v>0</v>
      </c>
      <c r="T160" t="str">
        <f t="shared" si="19"/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15"/>
        <v/>
      </c>
      <c r="P161">
        <f>'Combined Delivery Data'!B188</f>
        <v>0</v>
      </c>
      <c r="Q161">
        <f t="shared" si="16"/>
        <v>0</v>
      </c>
      <c r="R161">
        <f t="shared" si="17"/>
        <v>468</v>
      </c>
      <c r="S161" s="28">
        <f t="shared" si="18"/>
        <v>0</v>
      </c>
      <c r="T161" t="str">
        <f t="shared" si="19"/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15"/>
        <v/>
      </c>
      <c r="P162">
        <f>'Combined Delivery Data'!B189</f>
        <v>0</v>
      </c>
      <c r="Q162">
        <f t="shared" si="16"/>
        <v>0</v>
      </c>
      <c r="R162">
        <f t="shared" si="17"/>
        <v>468</v>
      </c>
      <c r="S162" s="28">
        <f t="shared" si="18"/>
        <v>0</v>
      </c>
      <c r="T162" t="str">
        <f t="shared" si="19"/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15"/>
        <v/>
      </c>
      <c r="P163">
        <f>'Combined Delivery Data'!B190</f>
        <v>0</v>
      </c>
      <c r="Q163">
        <f t="shared" si="16"/>
        <v>0</v>
      </c>
      <c r="R163">
        <f t="shared" si="17"/>
        <v>468</v>
      </c>
      <c r="S163" s="28">
        <f t="shared" si="18"/>
        <v>0</v>
      </c>
      <c r="T163" t="str">
        <f t="shared" si="19"/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15"/>
        <v/>
      </c>
      <c r="P164">
        <f>'Combined Delivery Data'!B191</f>
        <v>0</v>
      </c>
      <c r="Q164">
        <f t="shared" si="16"/>
        <v>0</v>
      </c>
      <c r="R164">
        <f t="shared" si="17"/>
        <v>468</v>
      </c>
      <c r="S164" s="28">
        <f t="shared" si="18"/>
        <v>0</v>
      </c>
      <c r="T164" t="str">
        <f t="shared" si="19"/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15"/>
        <v/>
      </c>
      <c r="P165">
        <f>'Combined Delivery Data'!B192</f>
        <v>0</v>
      </c>
      <c r="Q165">
        <f t="shared" si="16"/>
        <v>0</v>
      </c>
      <c r="R165">
        <f t="shared" si="17"/>
        <v>468</v>
      </c>
      <c r="S165" s="28">
        <f t="shared" si="18"/>
        <v>0</v>
      </c>
      <c r="T165" t="str">
        <f t="shared" si="19"/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15"/>
        <v/>
      </c>
      <c r="P166">
        <f>'Combined Delivery Data'!B193</f>
        <v>0</v>
      </c>
      <c r="Q166">
        <f t="shared" si="16"/>
        <v>0</v>
      </c>
      <c r="R166">
        <f t="shared" si="17"/>
        <v>468</v>
      </c>
      <c r="S166" s="28">
        <f t="shared" si="18"/>
        <v>0</v>
      </c>
      <c r="T166" t="str">
        <f t="shared" si="19"/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15"/>
        <v/>
      </c>
      <c r="P167">
        <f>'Combined Delivery Data'!B194</f>
        <v>0</v>
      </c>
      <c r="Q167">
        <f t="shared" si="16"/>
        <v>0</v>
      </c>
      <c r="R167">
        <f t="shared" si="17"/>
        <v>468</v>
      </c>
      <c r="S167" s="28">
        <f t="shared" si="18"/>
        <v>0</v>
      </c>
      <c r="T167" t="str">
        <f t="shared" si="19"/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15"/>
        <v/>
      </c>
      <c r="P168">
        <f>'Combined Delivery Data'!B195</f>
        <v>0</v>
      </c>
      <c r="Q168">
        <f t="shared" si="16"/>
        <v>0</v>
      </c>
      <c r="R168">
        <f t="shared" si="17"/>
        <v>468</v>
      </c>
      <c r="S168" s="28">
        <f t="shared" si="18"/>
        <v>0</v>
      </c>
      <c r="T168" t="str">
        <f t="shared" si="19"/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15"/>
        <v/>
      </c>
      <c r="P169">
        <f>'Combined Delivery Data'!B196</f>
        <v>0</v>
      </c>
      <c r="Q169">
        <f t="shared" si="16"/>
        <v>0</v>
      </c>
      <c r="R169">
        <f t="shared" si="17"/>
        <v>468</v>
      </c>
      <c r="S169" s="28">
        <f t="shared" si="18"/>
        <v>0</v>
      </c>
      <c r="T169" t="str">
        <f t="shared" si="19"/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15"/>
        <v/>
      </c>
      <c r="P170">
        <f>'Combined Delivery Data'!B197</f>
        <v>0</v>
      </c>
      <c r="Q170">
        <f t="shared" si="16"/>
        <v>0</v>
      </c>
      <c r="R170">
        <f t="shared" si="17"/>
        <v>468</v>
      </c>
      <c r="S170" s="28">
        <f t="shared" si="18"/>
        <v>0</v>
      </c>
      <c r="T170" t="str">
        <f t="shared" si="19"/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15"/>
        <v/>
      </c>
      <c r="P171">
        <f>'Combined Delivery Data'!B198</f>
        <v>0</v>
      </c>
      <c r="Q171">
        <f t="shared" si="16"/>
        <v>0</v>
      </c>
      <c r="R171">
        <f t="shared" si="17"/>
        <v>468</v>
      </c>
      <c r="S171" s="28">
        <f t="shared" si="18"/>
        <v>0</v>
      </c>
      <c r="T171" t="str">
        <f t="shared" si="19"/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15"/>
        <v/>
      </c>
      <c r="P172">
        <f>'Combined Delivery Data'!B199</f>
        <v>0</v>
      </c>
      <c r="Q172">
        <f t="shared" si="16"/>
        <v>0</v>
      </c>
      <c r="R172">
        <f t="shared" si="17"/>
        <v>468</v>
      </c>
      <c r="S172" s="28">
        <f t="shared" si="18"/>
        <v>0</v>
      </c>
      <c r="T172" t="str">
        <f t="shared" si="19"/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15"/>
        <v/>
      </c>
      <c r="P173">
        <f>'Combined Delivery Data'!B200</f>
        <v>0</v>
      </c>
      <c r="Q173">
        <f t="shared" si="16"/>
        <v>0</v>
      </c>
      <c r="R173">
        <f t="shared" si="17"/>
        <v>468</v>
      </c>
      <c r="S173" s="28">
        <f t="shared" si="18"/>
        <v>0</v>
      </c>
      <c r="T173" t="str">
        <f t="shared" si="19"/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15"/>
        <v/>
      </c>
      <c r="P174">
        <f>'Combined Delivery Data'!B201</f>
        <v>0</v>
      </c>
      <c r="Q174">
        <f t="shared" si="16"/>
        <v>0</v>
      </c>
      <c r="R174">
        <f t="shared" si="17"/>
        <v>468</v>
      </c>
      <c r="S174" s="28">
        <f t="shared" si="18"/>
        <v>0</v>
      </c>
      <c r="T174" t="str">
        <f t="shared" si="19"/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15"/>
        <v/>
      </c>
      <c r="P175">
        <f>'Combined Delivery Data'!B202</f>
        <v>0</v>
      </c>
      <c r="Q175">
        <f t="shared" si="16"/>
        <v>0</v>
      </c>
      <c r="R175">
        <f t="shared" si="17"/>
        <v>468</v>
      </c>
      <c r="S175" s="28">
        <f t="shared" si="18"/>
        <v>0</v>
      </c>
      <c r="T175" t="str">
        <f t="shared" si="19"/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15"/>
        <v/>
      </c>
      <c r="P176">
        <f>'Combined Delivery Data'!B203</f>
        <v>0</v>
      </c>
      <c r="Q176">
        <f t="shared" si="16"/>
        <v>0</v>
      </c>
      <c r="R176">
        <f t="shared" si="17"/>
        <v>468</v>
      </c>
      <c r="S176" s="28">
        <f t="shared" si="18"/>
        <v>0</v>
      </c>
      <c r="T176" t="str">
        <f t="shared" si="19"/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15"/>
        <v/>
      </c>
      <c r="P177">
        <f>'Combined Delivery Data'!B204</f>
        <v>0</v>
      </c>
      <c r="Q177">
        <f t="shared" si="16"/>
        <v>0</v>
      </c>
      <c r="R177">
        <f t="shared" si="17"/>
        <v>468</v>
      </c>
      <c r="S177" s="28">
        <f t="shared" si="18"/>
        <v>0</v>
      </c>
      <c r="T177" t="str">
        <f t="shared" si="19"/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15"/>
        <v/>
      </c>
      <c r="P178">
        <f>'Combined Delivery Data'!B205</f>
        <v>0</v>
      </c>
      <c r="Q178">
        <f t="shared" si="16"/>
        <v>0</v>
      </c>
      <c r="R178">
        <f t="shared" si="17"/>
        <v>468</v>
      </c>
      <c r="S178" s="28">
        <f t="shared" si="18"/>
        <v>0</v>
      </c>
      <c r="T178" t="str">
        <f t="shared" si="19"/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15"/>
        <v/>
      </c>
      <c r="P179">
        <f>'Combined Delivery Data'!B206</f>
        <v>0</v>
      </c>
      <c r="Q179">
        <f t="shared" si="16"/>
        <v>0</v>
      </c>
      <c r="R179">
        <f t="shared" si="17"/>
        <v>468</v>
      </c>
      <c r="S179" s="28">
        <f t="shared" si="18"/>
        <v>0</v>
      </c>
      <c r="T179" t="str">
        <f t="shared" si="19"/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15"/>
        <v/>
      </c>
      <c r="P180">
        <f>'Combined Delivery Data'!B207</f>
        <v>0</v>
      </c>
      <c r="Q180">
        <f t="shared" si="16"/>
        <v>0</v>
      </c>
      <c r="R180">
        <f t="shared" si="17"/>
        <v>468</v>
      </c>
      <c r="S180" s="28">
        <f t="shared" si="18"/>
        <v>0</v>
      </c>
      <c r="T180" t="str">
        <f t="shared" si="19"/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15"/>
        <v/>
      </c>
      <c r="P181">
        <f>'Combined Delivery Data'!B208</f>
        <v>0</v>
      </c>
      <c r="Q181">
        <f t="shared" si="16"/>
        <v>0</v>
      </c>
      <c r="R181">
        <f t="shared" si="17"/>
        <v>468</v>
      </c>
      <c r="S181" s="28">
        <f t="shared" si="18"/>
        <v>0</v>
      </c>
      <c r="T181" t="str">
        <f t="shared" si="19"/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15"/>
        <v/>
      </c>
      <c r="P182">
        <f>'Combined Delivery Data'!B209</f>
        <v>0</v>
      </c>
      <c r="Q182">
        <f t="shared" si="16"/>
        <v>0</v>
      </c>
      <c r="R182">
        <f t="shared" si="17"/>
        <v>468</v>
      </c>
      <c r="S182" s="28">
        <f t="shared" si="18"/>
        <v>0</v>
      </c>
      <c r="T182" t="str">
        <f t="shared" si="19"/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15"/>
        <v/>
      </c>
      <c r="P183">
        <f>'Combined Delivery Data'!B210</f>
        <v>0</v>
      </c>
      <c r="Q183">
        <f t="shared" si="16"/>
        <v>0</v>
      </c>
      <c r="R183">
        <f t="shared" si="17"/>
        <v>468</v>
      </c>
      <c r="S183" s="28">
        <f t="shared" si="18"/>
        <v>0</v>
      </c>
      <c r="T183" t="str">
        <f t="shared" si="19"/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15"/>
        <v/>
      </c>
      <c r="P184">
        <f>'Combined Delivery Data'!B211</f>
        <v>0</v>
      </c>
      <c r="Q184">
        <f t="shared" si="16"/>
        <v>0</v>
      </c>
      <c r="R184">
        <f t="shared" si="17"/>
        <v>468</v>
      </c>
      <c r="S184" s="28">
        <f t="shared" si="18"/>
        <v>0</v>
      </c>
      <c r="T184" t="str">
        <f t="shared" si="19"/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15"/>
        <v/>
      </c>
      <c r="P185">
        <f>'Combined Delivery Data'!B212</f>
        <v>0</v>
      </c>
      <c r="Q185">
        <f t="shared" si="16"/>
        <v>0</v>
      </c>
      <c r="R185">
        <f t="shared" si="17"/>
        <v>468</v>
      </c>
      <c r="S185" s="28">
        <f t="shared" si="18"/>
        <v>0</v>
      </c>
      <c r="T185" t="str">
        <f t="shared" si="19"/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15"/>
        <v/>
      </c>
      <c r="P186">
        <f>'Combined Delivery Data'!B213</f>
        <v>0</v>
      </c>
      <c r="Q186">
        <f t="shared" si="16"/>
        <v>0</v>
      </c>
      <c r="R186">
        <f t="shared" si="17"/>
        <v>468</v>
      </c>
      <c r="S186" s="28">
        <f t="shared" si="18"/>
        <v>0</v>
      </c>
      <c r="T186" t="str">
        <f t="shared" si="19"/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15"/>
        <v/>
      </c>
      <c r="P187">
        <f>'Combined Delivery Data'!B214</f>
        <v>0</v>
      </c>
      <c r="Q187">
        <f t="shared" si="16"/>
        <v>0</v>
      </c>
      <c r="R187">
        <f t="shared" si="17"/>
        <v>468</v>
      </c>
      <c r="S187" s="28">
        <f t="shared" si="18"/>
        <v>0</v>
      </c>
      <c r="T187" t="str">
        <f t="shared" si="19"/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15"/>
        <v/>
      </c>
      <c r="P188">
        <f>'Combined Delivery Data'!B215</f>
        <v>0</v>
      </c>
      <c r="Q188">
        <f t="shared" si="16"/>
        <v>0</v>
      </c>
      <c r="R188">
        <f t="shared" si="17"/>
        <v>468</v>
      </c>
      <c r="S188" s="28">
        <f t="shared" si="18"/>
        <v>0</v>
      </c>
      <c r="T188" t="str">
        <f t="shared" si="19"/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15"/>
        <v/>
      </c>
      <c r="P189">
        <f>'Combined Delivery Data'!B216</f>
        <v>0</v>
      </c>
      <c r="Q189">
        <f t="shared" si="16"/>
        <v>0</v>
      </c>
      <c r="R189">
        <f t="shared" si="17"/>
        <v>468</v>
      </c>
      <c r="S189" s="28">
        <f t="shared" si="18"/>
        <v>0</v>
      </c>
      <c r="T189" t="str">
        <f t="shared" si="19"/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15"/>
        <v/>
      </c>
      <c r="P190">
        <f>'Combined Delivery Data'!B217</f>
        <v>0</v>
      </c>
      <c r="Q190">
        <f t="shared" si="16"/>
        <v>0</v>
      </c>
      <c r="R190">
        <f t="shared" si="17"/>
        <v>468</v>
      </c>
      <c r="S190" s="28">
        <f t="shared" si="18"/>
        <v>0</v>
      </c>
      <c r="T190" t="str">
        <f t="shared" si="19"/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15"/>
        <v/>
      </c>
      <c r="P191">
        <f>'Combined Delivery Data'!B218</f>
        <v>0</v>
      </c>
      <c r="Q191">
        <f t="shared" si="16"/>
        <v>0</v>
      </c>
      <c r="R191">
        <f t="shared" si="17"/>
        <v>468</v>
      </c>
      <c r="S191" s="28">
        <f t="shared" si="18"/>
        <v>0</v>
      </c>
      <c r="T191" t="str">
        <f t="shared" si="19"/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15"/>
        <v/>
      </c>
      <c r="P192">
        <f>'Combined Delivery Data'!B219</f>
        <v>0</v>
      </c>
      <c r="Q192">
        <f t="shared" si="16"/>
        <v>0</v>
      </c>
      <c r="R192">
        <f t="shared" si="17"/>
        <v>468</v>
      </c>
      <c r="S192" s="28">
        <f t="shared" si="18"/>
        <v>0</v>
      </c>
      <c r="T192" t="str">
        <f t="shared" si="19"/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15"/>
        <v/>
      </c>
      <c r="P193">
        <f>'Combined Delivery Data'!B220</f>
        <v>0</v>
      </c>
      <c r="Q193">
        <f t="shared" si="16"/>
        <v>0</v>
      </c>
      <c r="R193">
        <f t="shared" si="17"/>
        <v>468</v>
      </c>
      <c r="S193" s="28">
        <f t="shared" si="18"/>
        <v>0</v>
      </c>
      <c r="T193" t="str">
        <f t="shared" si="19"/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20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 t="shared" si="16"/>
        <v>0</v>
      </c>
      <c r="R194">
        <f t="shared" si="17"/>
        <v>468</v>
      </c>
      <c r="S194" s="28">
        <f t="shared" si="18"/>
        <v>0</v>
      </c>
      <c r="T194" t="str">
        <f t="shared" si="19"/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20"/>
        <v/>
      </c>
      <c r="P195">
        <f>'Combined Delivery Data'!B222</f>
        <v>0</v>
      </c>
      <c r="Q195">
        <f t="shared" si="16"/>
        <v>0</v>
      </c>
      <c r="R195">
        <f t="shared" si="17"/>
        <v>468</v>
      </c>
      <c r="S195" s="28">
        <f t="shared" si="18"/>
        <v>0</v>
      </c>
      <c r="T195" t="str">
        <f t="shared" si="19"/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20"/>
        <v/>
      </c>
      <c r="P196">
        <f>'Combined Delivery Data'!B223</f>
        <v>0</v>
      </c>
      <c r="Q196">
        <f t="shared" si="16"/>
        <v>0</v>
      </c>
      <c r="R196">
        <f t="shared" si="17"/>
        <v>468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20"/>
        <v/>
      </c>
      <c r="P197">
        <f>'Combined Delivery Data'!B224</f>
        <v>0</v>
      </c>
      <c r="Q197">
        <f t="shared" si="16"/>
        <v>0</v>
      </c>
      <c r="R197">
        <f t="shared" si="17"/>
        <v>468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20"/>
        <v/>
      </c>
      <c r="P198">
        <f>'Combined Delivery Data'!B225</f>
        <v>0</v>
      </c>
      <c r="Q198">
        <f t="shared" si="16"/>
        <v>0</v>
      </c>
      <c r="R198">
        <f t="shared" si="17"/>
        <v>468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20"/>
        <v/>
      </c>
      <c r="P199">
        <f>'Combined Delivery Data'!B226</f>
        <v>0</v>
      </c>
      <c r="Q199">
        <f t="shared" si="16"/>
        <v>0</v>
      </c>
      <c r="R199">
        <f t="shared" si="17"/>
        <v>468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20"/>
        <v/>
      </c>
      <c r="P200">
        <f>'Combined Delivery Data'!B227</f>
        <v>0</v>
      </c>
      <c r="Q200">
        <f t="shared" si="16"/>
        <v>0</v>
      </c>
      <c r="R200">
        <f t="shared" si="17"/>
        <v>468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20"/>
        <v/>
      </c>
      <c r="P201">
        <f>'Combined Delivery Data'!B228</f>
        <v>0</v>
      </c>
      <c r="Q201">
        <f t="shared" si="16"/>
        <v>0</v>
      </c>
      <c r="R201">
        <f t="shared" si="17"/>
        <v>468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20"/>
        <v/>
      </c>
      <c r="P202">
        <f>'Combined Delivery Data'!B229</f>
        <v>0</v>
      </c>
      <c r="Q202">
        <f t="shared" si="16"/>
        <v>0</v>
      </c>
      <c r="R202">
        <f t="shared" si="17"/>
        <v>468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20"/>
        <v/>
      </c>
      <c r="P203">
        <f>'Combined Delivery Data'!B230</f>
        <v>0</v>
      </c>
      <c r="Q203">
        <f t="shared" si="16"/>
        <v>0</v>
      </c>
      <c r="R203">
        <f t="shared" si="17"/>
        <v>468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20"/>
        <v/>
      </c>
      <c r="P204">
        <f>'Combined Delivery Data'!B231</f>
        <v>0</v>
      </c>
      <c r="Q204">
        <f t="shared" si="16"/>
        <v>0</v>
      </c>
      <c r="R204">
        <f t="shared" si="17"/>
        <v>468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20"/>
        <v/>
      </c>
      <c r="P205">
        <f>'Combined Delivery Data'!B232</f>
        <v>0</v>
      </c>
      <c r="Q205">
        <f t="shared" si="16"/>
        <v>0</v>
      </c>
      <c r="R205">
        <f t="shared" si="17"/>
        <v>468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20"/>
        <v/>
      </c>
      <c r="P206">
        <f>'Combined Delivery Data'!B233</f>
        <v>0</v>
      </c>
      <c r="Q206">
        <f t="shared" si="16"/>
        <v>0</v>
      </c>
      <c r="R206">
        <f t="shared" si="17"/>
        <v>468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20"/>
        <v/>
      </c>
      <c r="P207">
        <f>'Combined Delivery Data'!B234</f>
        <v>0</v>
      </c>
      <c r="Q207">
        <f t="shared" si="16"/>
        <v>0</v>
      </c>
      <c r="R207">
        <f t="shared" si="17"/>
        <v>468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20"/>
        <v/>
      </c>
      <c r="P208">
        <f>'Combined Delivery Data'!B235</f>
        <v>0</v>
      </c>
      <c r="Q208">
        <f t="shared" si="16"/>
        <v>0</v>
      </c>
      <c r="R208">
        <f t="shared" si="17"/>
        <v>468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20"/>
        <v/>
      </c>
      <c r="P209">
        <f>'Combined Delivery Data'!B236</f>
        <v>0</v>
      </c>
      <c r="Q209">
        <f t="shared" si="16"/>
        <v>0</v>
      </c>
      <c r="R209">
        <f t="shared" si="17"/>
        <v>468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20"/>
        <v/>
      </c>
      <c r="P210">
        <f>'Combined Delivery Data'!B237</f>
        <v>0</v>
      </c>
      <c r="Q210">
        <f t="shared" ref="Q210:Q273" si="21">IF($P210="","",COUNTIF($A$3:$A$499,$P210))</f>
        <v>0</v>
      </c>
      <c r="R210">
        <f t="shared" ref="R210:R273" si="22">IF($P210="","",SUMPRODUCT(($A$3:$A$499=$P210)*($G$3:$G$499&lt;&gt;"Yes")*($G$3:$G$499&lt;&gt;"Did not pass re-test")))</f>
        <v>468</v>
      </c>
      <c r="S210" s="28">
        <f t="shared" ref="S210:S273" si="23">IF($P210="","",IF(SUMPRODUCT(MAX(($A$3:$A$499=$P210)*ROW($A$3:$A$499)))=0,"",INDEX($B:$B,SUMPRODUCT(MAX(($A$3:$A$499=$P210)*ROW($A$3:$A$499))))))</f>
        <v>0</v>
      </c>
      <c r="T210" t="str">
        <f t="shared" ref="T210:T273" si="24"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20"/>
        <v/>
      </c>
      <c r="P211">
        <f>'Combined Delivery Data'!B238</f>
        <v>0</v>
      </c>
      <c r="Q211">
        <f t="shared" si="21"/>
        <v>0</v>
      </c>
      <c r="R211">
        <f t="shared" si="22"/>
        <v>468</v>
      </c>
      <c r="S211" s="28">
        <f t="shared" si="23"/>
        <v>0</v>
      </c>
      <c r="T211" t="str">
        <f t="shared" si="24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20"/>
        <v/>
      </c>
      <c r="P212">
        <f>'Combined Delivery Data'!B239</f>
        <v>0</v>
      </c>
      <c r="Q212">
        <f t="shared" si="21"/>
        <v>0</v>
      </c>
      <c r="R212">
        <f t="shared" si="22"/>
        <v>468</v>
      </c>
      <c r="S212" s="28">
        <f t="shared" si="23"/>
        <v>0</v>
      </c>
      <c r="T212" t="str">
        <f t="shared" si="24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20"/>
        <v/>
      </c>
      <c r="P213">
        <f>'Combined Delivery Data'!B240</f>
        <v>0</v>
      </c>
      <c r="Q213">
        <f t="shared" si="21"/>
        <v>0</v>
      </c>
      <c r="R213">
        <f t="shared" si="22"/>
        <v>468</v>
      </c>
      <c r="S213" s="28">
        <f t="shared" si="23"/>
        <v>0</v>
      </c>
      <c r="T213" t="str">
        <f t="shared" si="24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20"/>
        <v/>
      </c>
      <c r="P214">
        <f>'Combined Delivery Data'!B241</f>
        <v>0</v>
      </c>
      <c r="Q214">
        <f t="shared" si="21"/>
        <v>0</v>
      </c>
      <c r="R214">
        <f t="shared" si="22"/>
        <v>468</v>
      </c>
      <c r="S214" s="28">
        <f t="shared" si="23"/>
        <v>0</v>
      </c>
      <c r="T214" t="str">
        <f t="shared" si="24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20"/>
        <v/>
      </c>
      <c r="P215">
        <f>'Combined Delivery Data'!B242</f>
        <v>0</v>
      </c>
      <c r="Q215">
        <f t="shared" si="21"/>
        <v>0</v>
      </c>
      <c r="R215">
        <f t="shared" si="22"/>
        <v>468</v>
      </c>
      <c r="S215" s="28">
        <f t="shared" si="23"/>
        <v>0</v>
      </c>
      <c r="T215" t="str">
        <f t="shared" si="24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20"/>
        <v/>
      </c>
      <c r="P216">
        <f>'Combined Delivery Data'!B243</f>
        <v>0</v>
      </c>
      <c r="Q216">
        <f t="shared" si="21"/>
        <v>0</v>
      </c>
      <c r="R216">
        <f t="shared" si="22"/>
        <v>468</v>
      </c>
      <c r="S216" s="28">
        <f t="shared" si="23"/>
        <v>0</v>
      </c>
      <c r="T216" t="str">
        <f t="shared" si="24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20"/>
        <v/>
      </c>
      <c r="P217">
        <f>'Combined Delivery Data'!B244</f>
        <v>0</v>
      </c>
      <c r="Q217">
        <f t="shared" si="21"/>
        <v>0</v>
      </c>
      <c r="R217">
        <f t="shared" si="22"/>
        <v>468</v>
      </c>
      <c r="S217" s="28">
        <f t="shared" si="23"/>
        <v>0</v>
      </c>
      <c r="T217" t="str">
        <f t="shared" si="24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20"/>
        <v/>
      </c>
      <c r="P218">
        <f>'Combined Delivery Data'!B245</f>
        <v>0</v>
      </c>
      <c r="Q218">
        <f t="shared" si="21"/>
        <v>0</v>
      </c>
      <c r="R218">
        <f t="shared" si="22"/>
        <v>468</v>
      </c>
      <c r="S218" s="28">
        <f t="shared" si="23"/>
        <v>0</v>
      </c>
      <c r="T218" t="str">
        <f t="shared" si="24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20"/>
        <v/>
      </c>
      <c r="P219">
        <f>'Combined Delivery Data'!B246</f>
        <v>0</v>
      </c>
      <c r="Q219">
        <f t="shared" si="21"/>
        <v>0</v>
      </c>
      <c r="R219">
        <f t="shared" si="22"/>
        <v>468</v>
      </c>
      <c r="S219" s="28">
        <f t="shared" si="23"/>
        <v>0</v>
      </c>
      <c r="T219" t="str">
        <f t="shared" si="24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20"/>
        <v/>
      </c>
      <c r="P220">
        <f>'Combined Delivery Data'!B247</f>
        <v>0</v>
      </c>
      <c r="Q220">
        <f t="shared" si="21"/>
        <v>0</v>
      </c>
      <c r="R220">
        <f t="shared" si="22"/>
        <v>468</v>
      </c>
      <c r="S220" s="28">
        <f t="shared" si="23"/>
        <v>0</v>
      </c>
      <c r="T220" t="str">
        <f t="shared" si="24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20"/>
        <v/>
      </c>
      <c r="P221">
        <f>'Combined Delivery Data'!B248</f>
        <v>0</v>
      </c>
      <c r="Q221">
        <f t="shared" si="21"/>
        <v>0</v>
      </c>
      <c r="R221">
        <f t="shared" si="22"/>
        <v>468</v>
      </c>
      <c r="S221" s="28">
        <f t="shared" si="23"/>
        <v>0</v>
      </c>
      <c r="T221" t="str">
        <f t="shared" si="24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20"/>
        <v/>
      </c>
      <c r="P222">
        <f>'Combined Delivery Data'!B249</f>
        <v>0</v>
      </c>
      <c r="Q222">
        <f t="shared" si="21"/>
        <v>0</v>
      </c>
      <c r="R222">
        <f t="shared" si="22"/>
        <v>468</v>
      </c>
      <c r="S222" s="28">
        <f t="shared" si="23"/>
        <v>0</v>
      </c>
      <c r="T222" t="str">
        <f t="shared" si="24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20"/>
        <v/>
      </c>
      <c r="P223">
        <f>'Combined Delivery Data'!B250</f>
        <v>0</v>
      </c>
      <c r="Q223">
        <f t="shared" si="21"/>
        <v>0</v>
      </c>
      <c r="R223">
        <f t="shared" si="22"/>
        <v>468</v>
      </c>
      <c r="S223" s="28">
        <f t="shared" si="23"/>
        <v>0</v>
      </c>
      <c r="T223" t="str">
        <f t="shared" si="24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20"/>
        <v/>
      </c>
      <c r="P224">
        <f>'Combined Delivery Data'!B251</f>
        <v>0</v>
      </c>
      <c r="Q224">
        <f t="shared" si="21"/>
        <v>0</v>
      </c>
      <c r="R224">
        <f t="shared" si="22"/>
        <v>468</v>
      </c>
      <c r="S224" s="28">
        <f t="shared" si="23"/>
        <v>0</v>
      </c>
      <c r="T224" t="str">
        <f t="shared" si="24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20"/>
        <v/>
      </c>
      <c r="P225">
        <f>'Combined Delivery Data'!B252</f>
        <v>0</v>
      </c>
      <c r="Q225">
        <f t="shared" si="21"/>
        <v>0</v>
      </c>
      <c r="R225">
        <f t="shared" si="22"/>
        <v>468</v>
      </c>
      <c r="S225" s="28">
        <f t="shared" si="23"/>
        <v>0</v>
      </c>
      <c r="T225" t="str">
        <f t="shared" si="24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20"/>
        <v/>
      </c>
      <c r="P226">
        <f>'Combined Delivery Data'!B253</f>
        <v>0</v>
      </c>
      <c r="Q226">
        <f t="shared" si="21"/>
        <v>0</v>
      </c>
      <c r="R226">
        <f t="shared" si="22"/>
        <v>468</v>
      </c>
      <c r="S226" s="28">
        <f t="shared" si="23"/>
        <v>0</v>
      </c>
      <c r="T226" t="str">
        <f t="shared" si="24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20"/>
        <v/>
      </c>
      <c r="P227">
        <f>'Combined Delivery Data'!B254</f>
        <v>0</v>
      </c>
      <c r="Q227">
        <f t="shared" si="21"/>
        <v>0</v>
      </c>
      <c r="R227">
        <f t="shared" si="22"/>
        <v>468</v>
      </c>
      <c r="S227" s="28">
        <f t="shared" si="23"/>
        <v>0</v>
      </c>
      <c r="T227" t="str">
        <f t="shared" si="24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20"/>
        <v/>
      </c>
      <c r="P228">
        <f>'Combined Delivery Data'!B255</f>
        <v>0</v>
      </c>
      <c r="Q228">
        <f t="shared" si="21"/>
        <v>0</v>
      </c>
      <c r="R228">
        <f t="shared" si="22"/>
        <v>468</v>
      </c>
      <c r="S228" s="28">
        <f t="shared" si="23"/>
        <v>0</v>
      </c>
      <c r="T228" t="str">
        <f t="shared" si="24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20"/>
        <v/>
      </c>
      <c r="P229">
        <f>'Combined Delivery Data'!B256</f>
        <v>0</v>
      </c>
      <c r="Q229">
        <f t="shared" si="21"/>
        <v>0</v>
      </c>
      <c r="R229">
        <f t="shared" si="22"/>
        <v>468</v>
      </c>
      <c r="S229" s="28">
        <f t="shared" si="23"/>
        <v>0</v>
      </c>
      <c r="T229" t="str">
        <f t="shared" si="24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20"/>
        <v/>
      </c>
      <c r="P230">
        <f>'Combined Delivery Data'!B257</f>
        <v>0</v>
      </c>
      <c r="Q230">
        <f t="shared" si="21"/>
        <v>0</v>
      </c>
      <c r="R230">
        <f t="shared" si="22"/>
        <v>468</v>
      </c>
      <c r="S230" s="28">
        <f t="shared" si="23"/>
        <v>0</v>
      </c>
      <c r="T230" t="str">
        <f t="shared" si="24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20"/>
        <v/>
      </c>
      <c r="P231">
        <f>'Combined Delivery Data'!B258</f>
        <v>0</v>
      </c>
      <c r="Q231">
        <f t="shared" si="21"/>
        <v>0</v>
      </c>
      <c r="R231">
        <f t="shared" si="22"/>
        <v>468</v>
      </c>
      <c r="S231" s="28">
        <f t="shared" si="23"/>
        <v>0</v>
      </c>
      <c r="T231" t="str">
        <f t="shared" si="24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20"/>
        <v/>
      </c>
      <c r="P232">
        <f>'Combined Delivery Data'!B259</f>
        <v>0</v>
      </c>
      <c r="Q232">
        <f t="shared" si="21"/>
        <v>0</v>
      </c>
      <c r="R232">
        <f t="shared" si="22"/>
        <v>468</v>
      </c>
      <c r="S232" s="28">
        <f t="shared" si="23"/>
        <v>0</v>
      </c>
      <c r="T232" t="str">
        <f t="shared" si="24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20"/>
        <v/>
      </c>
      <c r="P233">
        <f>'Combined Delivery Data'!B260</f>
        <v>0</v>
      </c>
      <c r="Q233">
        <f t="shared" si="21"/>
        <v>0</v>
      </c>
      <c r="R233">
        <f t="shared" si="22"/>
        <v>468</v>
      </c>
      <c r="S233" s="28">
        <f t="shared" si="23"/>
        <v>0</v>
      </c>
      <c r="T233" t="str">
        <f t="shared" si="24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20"/>
        <v/>
      </c>
      <c r="P234">
        <f>'Combined Delivery Data'!B261</f>
        <v>0</v>
      </c>
      <c r="Q234">
        <f t="shared" si="21"/>
        <v>0</v>
      </c>
      <c r="R234">
        <f t="shared" si="22"/>
        <v>468</v>
      </c>
      <c r="S234" s="28">
        <f t="shared" si="23"/>
        <v>0</v>
      </c>
      <c r="T234" t="str">
        <f t="shared" si="24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20"/>
        <v/>
      </c>
      <c r="P235">
        <f>'Combined Delivery Data'!B262</f>
        <v>0</v>
      </c>
      <c r="Q235">
        <f t="shared" si="21"/>
        <v>0</v>
      </c>
      <c r="R235">
        <f t="shared" si="22"/>
        <v>468</v>
      </c>
      <c r="S235" s="28">
        <f t="shared" si="23"/>
        <v>0</v>
      </c>
      <c r="T235" t="str">
        <f t="shared" si="24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20"/>
        <v/>
      </c>
      <c r="P236">
        <f>'Combined Delivery Data'!B263</f>
        <v>0</v>
      </c>
      <c r="Q236">
        <f t="shared" si="21"/>
        <v>0</v>
      </c>
      <c r="R236">
        <f t="shared" si="22"/>
        <v>468</v>
      </c>
      <c r="S236" s="28">
        <f t="shared" si="23"/>
        <v>0</v>
      </c>
      <c r="T236" t="str">
        <f t="shared" si="24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20"/>
        <v/>
      </c>
      <c r="P237">
        <f>'Combined Delivery Data'!B264</f>
        <v>0</v>
      </c>
      <c r="Q237">
        <f t="shared" si="21"/>
        <v>0</v>
      </c>
      <c r="R237">
        <f t="shared" si="22"/>
        <v>468</v>
      </c>
      <c r="S237" s="28">
        <f t="shared" si="23"/>
        <v>0</v>
      </c>
      <c r="T237" t="str">
        <f t="shared" si="24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20"/>
        <v/>
      </c>
      <c r="P238">
        <f>'Combined Delivery Data'!B265</f>
        <v>0</v>
      </c>
      <c r="Q238">
        <f t="shared" si="21"/>
        <v>0</v>
      </c>
      <c r="R238">
        <f t="shared" si="22"/>
        <v>468</v>
      </c>
      <c r="S238" s="28">
        <f t="shared" si="23"/>
        <v>0</v>
      </c>
      <c r="T238" t="str">
        <f t="shared" si="24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20"/>
        <v/>
      </c>
      <c r="P239">
        <f>'Combined Delivery Data'!B266</f>
        <v>0</v>
      </c>
      <c r="Q239">
        <f t="shared" si="21"/>
        <v>0</v>
      </c>
      <c r="R239">
        <f t="shared" si="22"/>
        <v>468</v>
      </c>
      <c r="S239" s="28">
        <f t="shared" si="23"/>
        <v>0</v>
      </c>
      <c r="T239" t="str">
        <f t="shared" si="24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20"/>
        <v/>
      </c>
      <c r="P240">
        <f>'Combined Delivery Data'!B267</f>
        <v>0</v>
      </c>
      <c r="Q240">
        <f t="shared" si="21"/>
        <v>0</v>
      </c>
      <c r="R240">
        <f t="shared" si="22"/>
        <v>468</v>
      </c>
      <c r="S240" s="28">
        <f t="shared" si="23"/>
        <v>0</v>
      </c>
      <c r="T240" t="str">
        <f t="shared" si="24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20"/>
        <v/>
      </c>
      <c r="P241">
        <f>'Combined Delivery Data'!B268</f>
        <v>0</v>
      </c>
      <c r="Q241">
        <f t="shared" si="21"/>
        <v>0</v>
      </c>
      <c r="R241">
        <f t="shared" si="22"/>
        <v>468</v>
      </c>
      <c r="S241" s="28">
        <f t="shared" si="23"/>
        <v>0</v>
      </c>
      <c r="T241" t="str">
        <f t="shared" si="24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20"/>
        <v/>
      </c>
      <c r="P242">
        <f>'Combined Delivery Data'!B269</f>
        <v>0</v>
      </c>
      <c r="Q242">
        <f t="shared" si="21"/>
        <v>0</v>
      </c>
      <c r="R242">
        <f t="shared" si="22"/>
        <v>468</v>
      </c>
      <c r="S242" s="28">
        <f t="shared" si="23"/>
        <v>0</v>
      </c>
      <c r="T242" t="str">
        <f t="shared" si="24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20"/>
        <v/>
      </c>
      <c r="P243">
        <f>'Combined Delivery Data'!B270</f>
        <v>0</v>
      </c>
      <c r="Q243">
        <f t="shared" si="21"/>
        <v>0</v>
      </c>
      <c r="R243">
        <f t="shared" si="22"/>
        <v>468</v>
      </c>
      <c r="S243" s="28">
        <f t="shared" si="23"/>
        <v>0</v>
      </c>
      <c r="T243" t="str">
        <f t="shared" si="24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20"/>
        <v/>
      </c>
      <c r="P244">
        <f>'Combined Delivery Data'!B271</f>
        <v>0</v>
      </c>
      <c r="Q244">
        <f t="shared" si="21"/>
        <v>0</v>
      </c>
      <c r="R244">
        <f t="shared" si="22"/>
        <v>468</v>
      </c>
      <c r="S244" s="28">
        <f t="shared" si="23"/>
        <v>0</v>
      </c>
      <c r="T244" t="str">
        <f t="shared" si="24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20"/>
        <v/>
      </c>
      <c r="P245">
        <f>'Combined Delivery Data'!B272</f>
        <v>0</v>
      </c>
      <c r="Q245">
        <f t="shared" si="21"/>
        <v>0</v>
      </c>
      <c r="R245">
        <f t="shared" si="22"/>
        <v>468</v>
      </c>
      <c r="S245" s="28">
        <f t="shared" si="23"/>
        <v>0</v>
      </c>
      <c r="T245" t="str">
        <f t="shared" si="24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20"/>
        <v/>
      </c>
      <c r="P246">
        <f>'Combined Delivery Data'!B273</f>
        <v>0</v>
      </c>
      <c r="Q246">
        <f t="shared" si="21"/>
        <v>0</v>
      </c>
      <c r="R246">
        <f t="shared" si="22"/>
        <v>468</v>
      </c>
      <c r="S246" s="28">
        <f t="shared" si="23"/>
        <v>0</v>
      </c>
      <c r="T246" t="str">
        <f t="shared" si="24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20"/>
        <v/>
      </c>
      <c r="P247">
        <f>'Combined Delivery Data'!B274</f>
        <v>0</v>
      </c>
      <c r="Q247">
        <f t="shared" si="21"/>
        <v>0</v>
      </c>
      <c r="R247">
        <f t="shared" si="22"/>
        <v>468</v>
      </c>
      <c r="S247" s="28">
        <f t="shared" si="23"/>
        <v>0</v>
      </c>
      <c r="T247" t="str">
        <f t="shared" si="24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20"/>
        <v/>
      </c>
      <c r="P248">
        <f>'Combined Delivery Data'!B275</f>
        <v>0</v>
      </c>
      <c r="Q248">
        <f t="shared" si="21"/>
        <v>0</v>
      </c>
      <c r="R248">
        <f t="shared" si="22"/>
        <v>468</v>
      </c>
      <c r="S248" s="28">
        <f t="shared" si="23"/>
        <v>0</v>
      </c>
      <c r="T248" t="str">
        <f t="shared" si="24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20"/>
        <v/>
      </c>
      <c r="P249">
        <f>'Combined Delivery Data'!B276</f>
        <v>0</v>
      </c>
      <c r="Q249">
        <f t="shared" si="21"/>
        <v>0</v>
      </c>
      <c r="R249">
        <f t="shared" si="22"/>
        <v>468</v>
      </c>
      <c r="S249" s="28">
        <f t="shared" si="23"/>
        <v>0</v>
      </c>
      <c r="T249" t="str">
        <f t="shared" si="24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20"/>
        <v/>
      </c>
      <c r="P250">
        <f>'Combined Delivery Data'!B277</f>
        <v>0</v>
      </c>
      <c r="Q250">
        <f t="shared" si="21"/>
        <v>0</v>
      </c>
      <c r="R250">
        <f t="shared" si="22"/>
        <v>468</v>
      </c>
      <c r="S250" s="28">
        <f t="shared" si="23"/>
        <v>0</v>
      </c>
      <c r="T250" t="str">
        <f t="shared" si="24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20"/>
        <v/>
      </c>
      <c r="P251">
        <f>'Combined Delivery Data'!B278</f>
        <v>0</v>
      </c>
      <c r="Q251">
        <f t="shared" si="21"/>
        <v>0</v>
      </c>
      <c r="R251">
        <f t="shared" si="22"/>
        <v>468</v>
      </c>
      <c r="S251" s="28">
        <f t="shared" si="23"/>
        <v>0</v>
      </c>
      <c r="T251" t="str">
        <f t="shared" si="24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20"/>
        <v/>
      </c>
      <c r="P252">
        <f>'Combined Delivery Data'!B279</f>
        <v>0</v>
      </c>
      <c r="Q252">
        <f t="shared" si="21"/>
        <v>0</v>
      </c>
      <c r="R252">
        <f t="shared" si="22"/>
        <v>468</v>
      </c>
      <c r="S252" s="28">
        <f t="shared" si="23"/>
        <v>0</v>
      </c>
      <c r="T252" t="str">
        <f t="shared" si="24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20"/>
        <v/>
      </c>
      <c r="P253">
        <f>'Combined Delivery Data'!B280</f>
        <v>0</v>
      </c>
      <c r="Q253">
        <f t="shared" si="21"/>
        <v>0</v>
      </c>
      <c r="R253">
        <f t="shared" si="22"/>
        <v>468</v>
      </c>
      <c r="S253" s="28">
        <f t="shared" si="23"/>
        <v>0</v>
      </c>
      <c r="T253" t="str">
        <f t="shared" si="24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20"/>
        <v/>
      </c>
      <c r="P254">
        <f>'Combined Delivery Data'!B281</f>
        <v>0</v>
      </c>
      <c r="Q254">
        <f t="shared" si="21"/>
        <v>0</v>
      </c>
      <c r="R254">
        <f t="shared" si="22"/>
        <v>468</v>
      </c>
      <c r="S254" s="28">
        <f t="shared" si="23"/>
        <v>0</v>
      </c>
      <c r="T254" t="str">
        <f t="shared" si="24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20"/>
        <v/>
      </c>
      <c r="P255">
        <f>'Combined Delivery Data'!B282</f>
        <v>0</v>
      </c>
      <c r="Q255">
        <f t="shared" si="21"/>
        <v>0</v>
      </c>
      <c r="R255">
        <f t="shared" si="22"/>
        <v>468</v>
      </c>
      <c r="S255" s="28">
        <f t="shared" si="23"/>
        <v>0</v>
      </c>
      <c r="T255" t="str">
        <f t="shared" si="24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20"/>
        <v/>
      </c>
      <c r="P256">
        <f>'Combined Delivery Data'!B283</f>
        <v>0</v>
      </c>
      <c r="Q256">
        <f t="shared" si="21"/>
        <v>0</v>
      </c>
      <c r="R256">
        <f t="shared" si="22"/>
        <v>468</v>
      </c>
      <c r="S256" s="28">
        <f t="shared" si="23"/>
        <v>0</v>
      </c>
      <c r="T256" t="str">
        <f t="shared" si="24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20"/>
        <v/>
      </c>
      <c r="P257">
        <f>'Combined Delivery Data'!B284</f>
        <v>0</v>
      </c>
      <c r="Q257">
        <f t="shared" si="21"/>
        <v>0</v>
      </c>
      <c r="R257">
        <f t="shared" si="22"/>
        <v>468</v>
      </c>
      <c r="S257" s="28">
        <f t="shared" si="23"/>
        <v>0</v>
      </c>
      <c r="T257" t="str">
        <f t="shared" si="24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2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 t="shared" si="21"/>
        <v>0</v>
      </c>
      <c r="R258">
        <f t="shared" si="22"/>
        <v>468</v>
      </c>
      <c r="S258" s="28">
        <f t="shared" si="23"/>
        <v>0</v>
      </c>
      <c r="T258" t="str">
        <f t="shared" si="24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25"/>
        <v/>
      </c>
      <c r="P259">
        <f>'Combined Delivery Data'!B286</f>
        <v>0</v>
      </c>
      <c r="Q259">
        <f t="shared" si="21"/>
        <v>0</v>
      </c>
      <c r="R259">
        <f t="shared" si="22"/>
        <v>468</v>
      </c>
      <c r="S259" s="28">
        <f t="shared" si="23"/>
        <v>0</v>
      </c>
      <c r="T259" t="str">
        <f t="shared" si="24"/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5"/>
        <v/>
      </c>
      <c r="P260">
        <f>'Combined Delivery Data'!B287</f>
        <v>0</v>
      </c>
      <c r="Q260">
        <f t="shared" si="21"/>
        <v>0</v>
      </c>
      <c r="R260">
        <f t="shared" si="22"/>
        <v>468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5"/>
        <v/>
      </c>
      <c r="P261">
        <f>'Combined Delivery Data'!B288</f>
        <v>0</v>
      </c>
      <c r="Q261">
        <f t="shared" si="21"/>
        <v>0</v>
      </c>
      <c r="R261">
        <f t="shared" si="22"/>
        <v>468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5"/>
        <v/>
      </c>
      <c r="P262">
        <f>'Combined Delivery Data'!B289</f>
        <v>0</v>
      </c>
      <c r="Q262">
        <f t="shared" si="21"/>
        <v>0</v>
      </c>
      <c r="R262">
        <f t="shared" si="22"/>
        <v>468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5"/>
        <v/>
      </c>
      <c r="P263">
        <f>'Combined Delivery Data'!B290</f>
        <v>0</v>
      </c>
      <c r="Q263">
        <f t="shared" si="21"/>
        <v>0</v>
      </c>
      <c r="R263">
        <f t="shared" si="22"/>
        <v>468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5"/>
        <v/>
      </c>
      <c r="P264">
        <f>'Combined Delivery Data'!B291</f>
        <v>0</v>
      </c>
      <c r="Q264">
        <f t="shared" si="21"/>
        <v>0</v>
      </c>
      <c r="R264">
        <f t="shared" si="22"/>
        <v>468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5"/>
        <v/>
      </c>
      <c r="P265">
        <f>'Combined Delivery Data'!B292</f>
        <v>0</v>
      </c>
      <c r="Q265">
        <f t="shared" si="21"/>
        <v>0</v>
      </c>
      <c r="R265">
        <f t="shared" si="22"/>
        <v>468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5"/>
        <v/>
      </c>
      <c r="P266">
        <f>'Combined Delivery Data'!B293</f>
        <v>0</v>
      </c>
      <c r="Q266">
        <f t="shared" si="21"/>
        <v>0</v>
      </c>
      <c r="R266">
        <f t="shared" si="22"/>
        <v>468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5"/>
        <v/>
      </c>
      <c r="P267">
        <f>'Combined Delivery Data'!B294</f>
        <v>0</v>
      </c>
      <c r="Q267">
        <f t="shared" si="21"/>
        <v>0</v>
      </c>
      <c r="R267">
        <f t="shared" si="22"/>
        <v>468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5"/>
        <v/>
      </c>
      <c r="P268">
        <f>'Combined Delivery Data'!B295</f>
        <v>0</v>
      </c>
      <c r="Q268">
        <f t="shared" si="21"/>
        <v>0</v>
      </c>
      <c r="R268">
        <f t="shared" si="22"/>
        <v>468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5"/>
        <v/>
      </c>
      <c r="P269">
        <f>'Combined Delivery Data'!B296</f>
        <v>0</v>
      </c>
      <c r="Q269">
        <f t="shared" si="21"/>
        <v>0</v>
      </c>
      <c r="R269">
        <f t="shared" si="22"/>
        <v>468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5"/>
        <v/>
      </c>
      <c r="P270">
        <f>'Combined Delivery Data'!B297</f>
        <v>0</v>
      </c>
      <c r="Q270">
        <f t="shared" si="21"/>
        <v>0</v>
      </c>
      <c r="R270">
        <f t="shared" si="22"/>
        <v>468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5"/>
        <v/>
      </c>
      <c r="P271">
        <f>'Combined Delivery Data'!B298</f>
        <v>0</v>
      </c>
      <c r="Q271">
        <f t="shared" si="21"/>
        <v>0</v>
      </c>
      <c r="R271">
        <f t="shared" si="22"/>
        <v>468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5"/>
        <v/>
      </c>
      <c r="P272">
        <f>'Combined Delivery Data'!B299</f>
        <v>0</v>
      </c>
      <c r="Q272">
        <f t="shared" si="21"/>
        <v>0</v>
      </c>
      <c r="R272">
        <f t="shared" si="22"/>
        <v>468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5"/>
        <v/>
      </c>
      <c r="P273">
        <f>'Combined Delivery Data'!B300</f>
        <v>0</v>
      </c>
      <c r="Q273">
        <f t="shared" si="21"/>
        <v>0</v>
      </c>
      <c r="R273">
        <f t="shared" si="22"/>
        <v>468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5"/>
        <v/>
      </c>
      <c r="P274">
        <f>'Combined Delivery Data'!B301</f>
        <v>0</v>
      </c>
      <c r="Q274">
        <f t="shared" ref="Q274:Q337" si="26">IF($P274="","",COUNTIF($A$3:$A$499,$P274))</f>
        <v>0</v>
      </c>
      <c r="R274">
        <f t="shared" ref="R274:R337" si="27">IF($P274="","",SUMPRODUCT(($A$3:$A$499=$P274)*($G$3:$G$499&lt;&gt;"Yes")*($G$3:$G$499&lt;&gt;"Did not pass re-test")))</f>
        <v>468</v>
      </c>
      <c r="S274" s="28">
        <f t="shared" ref="S274:S337" si="28">IF($P274="","",IF(SUMPRODUCT(MAX(($A$3:$A$499=$P274)*ROW($A$3:$A$499)))=0,"",INDEX($B:$B,SUMPRODUCT(MAX(($A$3:$A$499=$P274)*ROW($A$3:$A$499))))))</f>
        <v>0</v>
      </c>
      <c r="T274" t="str">
        <f t="shared" ref="T274:T337" si="29"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5"/>
        <v/>
      </c>
      <c r="P275">
        <f>'Combined Delivery Data'!B302</f>
        <v>0</v>
      </c>
      <c r="Q275">
        <f t="shared" si="26"/>
        <v>0</v>
      </c>
      <c r="R275">
        <f t="shared" si="27"/>
        <v>468</v>
      </c>
      <c r="S275" s="28">
        <f t="shared" si="28"/>
        <v>0</v>
      </c>
      <c r="T275" t="str">
        <f t="shared" si="29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5"/>
        <v/>
      </c>
      <c r="P276">
        <f>'Combined Delivery Data'!B303</f>
        <v>0</v>
      </c>
      <c r="Q276">
        <f t="shared" si="26"/>
        <v>0</v>
      </c>
      <c r="R276">
        <f t="shared" si="27"/>
        <v>468</v>
      </c>
      <c r="S276" s="28">
        <f t="shared" si="28"/>
        <v>0</v>
      </c>
      <c r="T276" t="str">
        <f t="shared" si="29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5"/>
        <v/>
      </c>
      <c r="P277">
        <f>'Combined Delivery Data'!B304</f>
        <v>0</v>
      </c>
      <c r="Q277">
        <f t="shared" si="26"/>
        <v>0</v>
      </c>
      <c r="R277">
        <f t="shared" si="27"/>
        <v>468</v>
      </c>
      <c r="S277" s="28">
        <f t="shared" si="28"/>
        <v>0</v>
      </c>
      <c r="T277" t="str">
        <f t="shared" si="29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5"/>
        <v/>
      </c>
      <c r="P278">
        <f>'Combined Delivery Data'!B305</f>
        <v>0</v>
      </c>
      <c r="Q278">
        <f t="shared" si="26"/>
        <v>0</v>
      </c>
      <c r="R278">
        <f t="shared" si="27"/>
        <v>468</v>
      </c>
      <c r="S278" s="28">
        <f t="shared" si="28"/>
        <v>0</v>
      </c>
      <c r="T278" t="str">
        <f t="shared" si="29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5"/>
        <v/>
      </c>
      <c r="P279">
        <f>'Combined Delivery Data'!B306</f>
        <v>0</v>
      </c>
      <c r="Q279">
        <f t="shared" si="26"/>
        <v>0</v>
      </c>
      <c r="R279">
        <f t="shared" si="27"/>
        <v>468</v>
      </c>
      <c r="S279" s="28">
        <f t="shared" si="28"/>
        <v>0</v>
      </c>
      <c r="T279" t="str">
        <f t="shared" si="29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5"/>
        <v/>
      </c>
      <c r="P280">
        <f>'Combined Delivery Data'!B307</f>
        <v>0</v>
      </c>
      <c r="Q280">
        <f t="shared" si="26"/>
        <v>0</v>
      </c>
      <c r="R280">
        <f t="shared" si="27"/>
        <v>468</v>
      </c>
      <c r="S280" s="28">
        <f t="shared" si="28"/>
        <v>0</v>
      </c>
      <c r="T280" t="str">
        <f t="shared" si="29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5"/>
        <v/>
      </c>
      <c r="P281">
        <f>'Combined Delivery Data'!B308</f>
        <v>0</v>
      </c>
      <c r="Q281">
        <f t="shared" si="26"/>
        <v>0</v>
      </c>
      <c r="R281">
        <f t="shared" si="27"/>
        <v>468</v>
      </c>
      <c r="S281" s="28">
        <f t="shared" si="28"/>
        <v>0</v>
      </c>
      <c r="T281" t="str">
        <f t="shared" si="29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5"/>
        <v/>
      </c>
      <c r="P282">
        <f>'Combined Delivery Data'!B309</f>
        <v>0</v>
      </c>
      <c r="Q282">
        <f t="shared" si="26"/>
        <v>0</v>
      </c>
      <c r="R282">
        <f t="shared" si="27"/>
        <v>468</v>
      </c>
      <c r="S282" s="28">
        <f t="shared" si="28"/>
        <v>0</v>
      </c>
      <c r="T282" t="str">
        <f t="shared" si="29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5"/>
        <v/>
      </c>
      <c r="P283">
        <f>'Combined Delivery Data'!B310</f>
        <v>0</v>
      </c>
      <c r="Q283">
        <f t="shared" si="26"/>
        <v>0</v>
      </c>
      <c r="R283">
        <f t="shared" si="27"/>
        <v>468</v>
      </c>
      <c r="S283" s="28">
        <f t="shared" si="28"/>
        <v>0</v>
      </c>
      <c r="T283" t="str">
        <f t="shared" si="29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5"/>
        <v/>
      </c>
      <c r="P284">
        <f>'Combined Delivery Data'!B311</f>
        <v>0</v>
      </c>
      <c r="Q284">
        <f t="shared" si="26"/>
        <v>0</v>
      </c>
      <c r="R284">
        <f t="shared" si="27"/>
        <v>468</v>
      </c>
      <c r="S284" s="28">
        <f t="shared" si="28"/>
        <v>0</v>
      </c>
      <c r="T284" t="str">
        <f t="shared" si="29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5"/>
        <v/>
      </c>
      <c r="P285">
        <f>'Combined Delivery Data'!B312</f>
        <v>0</v>
      </c>
      <c r="Q285">
        <f t="shared" si="26"/>
        <v>0</v>
      </c>
      <c r="R285">
        <f t="shared" si="27"/>
        <v>468</v>
      </c>
      <c r="S285" s="28">
        <f t="shared" si="28"/>
        <v>0</v>
      </c>
      <c r="T285" t="str">
        <f t="shared" si="29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5"/>
        <v/>
      </c>
      <c r="P286">
        <f>'Combined Delivery Data'!B313</f>
        <v>0</v>
      </c>
      <c r="Q286">
        <f t="shared" si="26"/>
        <v>0</v>
      </c>
      <c r="R286">
        <f t="shared" si="27"/>
        <v>468</v>
      </c>
      <c r="S286" s="28">
        <f t="shared" si="28"/>
        <v>0</v>
      </c>
      <c r="T286" t="str">
        <f t="shared" si="29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5"/>
        <v/>
      </c>
      <c r="P287">
        <f>'Combined Delivery Data'!B314</f>
        <v>0</v>
      </c>
      <c r="Q287">
        <f t="shared" si="26"/>
        <v>0</v>
      </c>
      <c r="R287">
        <f t="shared" si="27"/>
        <v>468</v>
      </c>
      <c r="S287" s="28">
        <f t="shared" si="28"/>
        <v>0</v>
      </c>
      <c r="T287" t="str">
        <f t="shared" si="29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5"/>
        <v/>
      </c>
      <c r="P288">
        <f>'Combined Delivery Data'!B315</f>
        <v>0</v>
      </c>
      <c r="Q288">
        <f t="shared" si="26"/>
        <v>0</v>
      </c>
      <c r="R288">
        <f t="shared" si="27"/>
        <v>468</v>
      </c>
      <c r="S288" s="28">
        <f t="shared" si="28"/>
        <v>0</v>
      </c>
      <c r="T288" t="str">
        <f t="shared" si="29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5"/>
        <v/>
      </c>
      <c r="P289">
        <f>'Combined Delivery Data'!B316</f>
        <v>0</v>
      </c>
      <c r="Q289">
        <f t="shared" si="26"/>
        <v>0</v>
      </c>
      <c r="R289">
        <f t="shared" si="27"/>
        <v>468</v>
      </c>
      <c r="S289" s="28">
        <f t="shared" si="28"/>
        <v>0</v>
      </c>
      <c r="T289" t="str">
        <f t="shared" si="29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5"/>
        <v/>
      </c>
      <c r="P290">
        <f>'Combined Delivery Data'!B317</f>
        <v>0</v>
      </c>
      <c r="Q290">
        <f t="shared" si="26"/>
        <v>0</v>
      </c>
      <c r="R290">
        <f t="shared" si="27"/>
        <v>468</v>
      </c>
      <c r="S290" s="28">
        <f t="shared" si="28"/>
        <v>0</v>
      </c>
      <c r="T290" t="str">
        <f t="shared" si="29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5"/>
        <v/>
      </c>
      <c r="P291">
        <f>'Combined Delivery Data'!B318</f>
        <v>0</v>
      </c>
      <c r="Q291">
        <f t="shared" si="26"/>
        <v>0</v>
      </c>
      <c r="R291">
        <f t="shared" si="27"/>
        <v>468</v>
      </c>
      <c r="S291" s="28">
        <f t="shared" si="28"/>
        <v>0</v>
      </c>
      <c r="T291" t="str">
        <f t="shared" si="29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5"/>
        <v/>
      </c>
      <c r="P292">
        <f>'Combined Delivery Data'!B319</f>
        <v>0</v>
      </c>
      <c r="Q292">
        <f t="shared" si="26"/>
        <v>0</v>
      </c>
      <c r="R292">
        <f t="shared" si="27"/>
        <v>468</v>
      </c>
      <c r="S292" s="28">
        <f t="shared" si="28"/>
        <v>0</v>
      </c>
      <c r="T292" t="str">
        <f t="shared" si="29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5"/>
        <v/>
      </c>
      <c r="P293">
        <f>'Combined Delivery Data'!B320</f>
        <v>0</v>
      </c>
      <c r="Q293">
        <f t="shared" si="26"/>
        <v>0</v>
      </c>
      <c r="R293">
        <f t="shared" si="27"/>
        <v>468</v>
      </c>
      <c r="S293" s="28">
        <f t="shared" si="28"/>
        <v>0</v>
      </c>
      <c r="T293" t="str">
        <f t="shared" si="29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5"/>
        <v/>
      </c>
      <c r="P294">
        <f>'Combined Delivery Data'!B321</f>
        <v>0</v>
      </c>
      <c r="Q294">
        <f t="shared" si="26"/>
        <v>0</v>
      </c>
      <c r="R294">
        <f t="shared" si="27"/>
        <v>468</v>
      </c>
      <c r="S294" s="28">
        <f t="shared" si="28"/>
        <v>0</v>
      </c>
      <c r="T294" t="str">
        <f t="shared" si="29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5"/>
        <v/>
      </c>
      <c r="P295">
        <f>'Combined Delivery Data'!B322</f>
        <v>0</v>
      </c>
      <c r="Q295">
        <f t="shared" si="26"/>
        <v>0</v>
      </c>
      <c r="R295">
        <f t="shared" si="27"/>
        <v>468</v>
      </c>
      <c r="S295" s="28">
        <f t="shared" si="28"/>
        <v>0</v>
      </c>
      <c r="T295" t="str">
        <f t="shared" si="29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5"/>
        <v/>
      </c>
      <c r="P296">
        <f>'Combined Delivery Data'!B323</f>
        <v>0</v>
      </c>
      <c r="Q296">
        <f t="shared" si="26"/>
        <v>0</v>
      </c>
      <c r="R296">
        <f t="shared" si="27"/>
        <v>468</v>
      </c>
      <c r="S296" s="28">
        <f t="shared" si="28"/>
        <v>0</v>
      </c>
      <c r="T296" t="str">
        <f t="shared" si="29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5"/>
        <v/>
      </c>
      <c r="P297">
        <f>'Combined Delivery Data'!B324</f>
        <v>0</v>
      </c>
      <c r="Q297">
        <f t="shared" si="26"/>
        <v>0</v>
      </c>
      <c r="R297">
        <f t="shared" si="27"/>
        <v>468</v>
      </c>
      <c r="S297" s="28">
        <f t="shared" si="28"/>
        <v>0</v>
      </c>
      <c r="T297" t="str">
        <f t="shared" si="29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5"/>
        <v/>
      </c>
      <c r="P298">
        <f>'Combined Delivery Data'!B325</f>
        <v>0</v>
      </c>
      <c r="Q298">
        <f t="shared" si="26"/>
        <v>0</v>
      </c>
      <c r="R298">
        <f t="shared" si="27"/>
        <v>468</v>
      </c>
      <c r="S298" s="28">
        <f t="shared" si="28"/>
        <v>0</v>
      </c>
      <c r="T298" t="str">
        <f t="shared" si="29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5"/>
        <v/>
      </c>
      <c r="P299">
        <f>'Combined Delivery Data'!B326</f>
        <v>0</v>
      </c>
      <c r="Q299">
        <f t="shared" si="26"/>
        <v>0</v>
      </c>
      <c r="R299">
        <f t="shared" si="27"/>
        <v>468</v>
      </c>
      <c r="S299" s="28">
        <f t="shared" si="28"/>
        <v>0</v>
      </c>
      <c r="T299" t="str">
        <f t="shared" si="29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5"/>
        <v/>
      </c>
      <c r="P300">
        <f>'Combined Delivery Data'!B327</f>
        <v>0</v>
      </c>
      <c r="Q300">
        <f t="shared" si="26"/>
        <v>0</v>
      </c>
      <c r="R300">
        <f t="shared" si="27"/>
        <v>468</v>
      </c>
      <c r="S300" s="28">
        <f t="shared" si="28"/>
        <v>0</v>
      </c>
      <c r="T300" t="str">
        <f t="shared" si="29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5"/>
        <v/>
      </c>
      <c r="P301">
        <f>'Combined Delivery Data'!B328</f>
        <v>0</v>
      </c>
      <c r="Q301">
        <f t="shared" si="26"/>
        <v>0</v>
      </c>
      <c r="R301">
        <f t="shared" si="27"/>
        <v>468</v>
      </c>
      <c r="S301" s="28">
        <f t="shared" si="28"/>
        <v>0</v>
      </c>
      <c r="T301" t="str">
        <f t="shared" si="29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5"/>
        <v/>
      </c>
      <c r="P302">
        <f>'Combined Delivery Data'!B329</f>
        <v>0</v>
      </c>
      <c r="Q302">
        <f t="shared" si="26"/>
        <v>0</v>
      </c>
      <c r="R302">
        <f t="shared" si="27"/>
        <v>468</v>
      </c>
      <c r="S302" s="28">
        <f t="shared" si="28"/>
        <v>0</v>
      </c>
      <c r="T302" t="str">
        <f t="shared" si="29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5"/>
        <v/>
      </c>
      <c r="P303">
        <f>'Combined Delivery Data'!B330</f>
        <v>0</v>
      </c>
      <c r="Q303">
        <f t="shared" si="26"/>
        <v>0</v>
      </c>
      <c r="R303">
        <f t="shared" si="27"/>
        <v>468</v>
      </c>
      <c r="S303" s="28">
        <f t="shared" si="28"/>
        <v>0</v>
      </c>
      <c r="T303" t="str">
        <f t="shared" si="29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5"/>
        <v/>
      </c>
      <c r="P304">
        <f>'Combined Delivery Data'!B331</f>
        <v>0</v>
      </c>
      <c r="Q304">
        <f t="shared" si="26"/>
        <v>0</v>
      </c>
      <c r="R304">
        <f t="shared" si="27"/>
        <v>468</v>
      </c>
      <c r="S304" s="28">
        <f t="shared" si="28"/>
        <v>0</v>
      </c>
      <c r="T304" t="str">
        <f t="shared" si="29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5"/>
        <v/>
      </c>
      <c r="P305">
        <f>'Combined Delivery Data'!B332</f>
        <v>0</v>
      </c>
      <c r="Q305">
        <f t="shared" si="26"/>
        <v>0</v>
      </c>
      <c r="R305">
        <f t="shared" si="27"/>
        <v>468</v>
      </c>
      <c r="S305" s="28">
        <f t="shared" si="28"/>
        <v>0</v>
      </c>
      <c r="T305" t="str">
        <f t="shared" si="29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5"/>
        <v/>
      </c>
      <c r="P306">
        <f>'Combined Delivery Data'!B333</f>
        <v>0</v>
      </c>
      <c r="Q306">
        <f t="shared" si="26"/>
        <v>0</v>
      </c>
      <c r="R306">
        <f t="shared" si="27"/>
        <v>468</v>
      </c>
      <c r="S306" s="28">
        <f t="shared" si="28"/>
        <v>0</v>
      </c>
      <c r="T306" t="str">
        <f t="shared" si="29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5"/>
        <v/>
      </c>
      <c r="P307">
        <f>'Combined Delivery Data'!B334</f>
        <v>0</v>
      </c>
      <c r="Q307">
        <f t="shared" si="26"/>
        <v>0</v>
      </c>
      <c r="R307">
        <f t="shared" si="27"/>
        <v>468</v>
      </c>
      <c r="S307" s="28">
        <f t="shared" si="28"/>
        <v>0</v>
      </c>
      <c r="T307" t="str">
        <f t="shared" si="29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5"/>
        <v/>
      </c>
      <c r="P308">
        <f>'Combined Delivery Data'!B335</f>
        <v>0</v>
      </c>
      <c r="Q308">
        <f t="shared" si="26"/>
        <v>0</v>
      </c>
      <c r="R308">
        <f t="shared" si="27"/>
        <v>468</v>
      </c>
      <c r="S308" s="28">
        <f t="shared" si="28"/>
        <v>0</v>
      </c>
      <c r="T308" t="str">
        <f t="shared" si="29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5"/>
        <v/>
      </c>
      <c r="P309">
        <f>'Combined Delivery Data'!B336</f>
        <v>0</v>
      </c>
      <c r="Q309">
        <f t="shared" si="26"/>
        <v>0</v>
      </c>
      <c r="R309">
        <f t="shared" si="27"/>
        <v>468</v>
      </c>
      <c r="S309" s="28">
        <f t="shared" si="28"/>
        <v>0</v>
      </c>
      <c r="T309" t="str">
        <f t="shared" si="29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5"/>
        <v/>
      </c>
      <c r="P310">
        <f>'Combined Delivery Data'!B337</f>
        <v>0</v>
      </c>
      <c r="Q310">
        <f t="shared" si="26"/>
        <v>0</v>
      </c>
      <c r="R310">
        <f t="shared" si="27"/>
        <v>468</v>
      </c>
      <c r="S310" s="28">
        <f t="shared" si="28"/>
        <v>0</v>
      </c>
      <c r="T310" t="str">
        <f t="shared" si="29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5"/>
        <v/>
      </c>
      <c r="P311">
        <f>'Combined Delivery Data'!B338</f>
        <v>0</v>
      </c>
      <c r="Q311">
        <f t="shared" si="26"/>
        <v>0</v>
      </c>
      <c r="R311">
        <f t="shared" si="27"/>
        <v>468</v>
      </c>
      <c r="S311" s="28">
        <f t="shared" si="28"/>
        <v>0</v>
      </c>
      <c r="T311" t="str">
        <f t="shared" si="29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5"/>
        <v/>
      </c>
      <c r="P312">
        <f>'Combined Delivery Data'!B339</f>
        <v>0</v>
      </c>
      <c r="Q312">
        <f t="shared" si="26"/>
        <v>0</v>
      </c>
      <c r="R312">
        <f t="shared" si="27"/>
        <v>468</v>
      </c>
      <c r="S312" s="28">
        <f t="shared" si="28"/>
        <v>0</v>
      </c>
      <c r="T312" t="str">
        <f t="shared" si="29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5"/>
        <v/>
      </c>
      <c r="P313">
        <f>'Combined Delivery Data'!B340</f>
        <v>0</v>
      </c>
      <c r="Q313">
        <f t="shared" si="26"/>
        <v>0</v>
      </c>
      <c r="R313">
        <f t="shared" si="27"/>
        <v>468</v>
      </c>
      <c r="S313" s="28">
        <f t="shared" si="28"/>
        <v>0</v>
      </c>
      <c r="T313" t="str">
        <f t="shared" si="29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5"/>
        <v/>
      </c>
      <c r="P314">
        <f>'Combined Delivery Data'!B341</f>
        <v>0</v>
      </c>
      <c r="Q314">
        <f t="shared" si="26"/>
        <v>0</v>
      </c>
      <c r="R314">
        <f t="shared" si="27"/>
        <v>468</v>
      </c>
      <c r="S314" s="28">
        <f t="shared" si="28"/>
        <v>0</v>
      </c>
      <c r="T314" t="str">
        <f t="shared" si="29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5"/>
        <v/>
      </c>
      <c r="P315">
        <f>'Combined Delivery Data'!B342</f>
        <v>0</v>
      </c>
      <c r="Q315">
        <f t="shared" si="26"/>
        <v>0</v>
      </c>
      <c r="R315">
        <f t="shared" si="27"/>
        <v>468</v>
      </c>
      <c r="S315" s="28">
        <f t="shared" si="28"/>
        <v>0</v>
      </c>
      <c r="T315" t="str">
        <f t="shared" si="29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5"/>
        <v/>
      </c>
      <c r="P316">
        <f>'Combined Delivery Data'!B343</f>
        <v>0</v>
      </c>
      <c r="Q316">
        <f t="shared" si="26"/>
        <v>0</v>
      </c>
      <c r="R316">
        <f t="shared" si="27"/>
        <v>468</v>
      </c>
      <c r="S316" s="28">
        <f t="shared" si="28"/>
        <v>0</v>
      </c>
      <c r="T316" t="str">
        <f t="shared" si="29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5"/>
        <v/>
      </c>
      <c r="P317">
        <f>'Combined Delivery Data'!B344</f>
        <v>0</v>
      </c>
      <c r="Q317">
        <f t="shared" si="26"/>
        <v>0</v>
      </c>
      <c r="R317">
        <f t="shared" si="27"/>
        <v>468</v>
      </c>
      <c r="S317" s="28">
        <f t="shared" si="28"/>
        <v>0</v>
      </c>
      <c r="T317" t="str">
        <f t="shared" si="29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5"/>
        <v/>
      </c>
      <c r="P318">
        <f>'Combined Delivery Data'!B345</f>
        <v>0</v>
      </c>
      <c r="Q318">
        <f t="shared" si="26"/>
        <v>0</v>
      </c>
      <c r="R318">
        <f t="shared" si="27"/>
        <v>468</v>
      </c>
      <c r="S318" s="28">
        <f t="shared" si="28"/>
        <v>0</v>
      </c>
      <c r="T318" t="str">
        <f t="shared" si="29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5"/>
        <v/>
      </c>
      <c r="P319">
        <f>'Combined Delivery Data'!B346</f>
        <v>0</v>
      </c>
      <c r="Q319">
        <f t="shared" si="26"/>
        <v>0</v>
      </c>
      <c r="R319">
        <f t="shared" si="27"/>
        <v>468</v>
      </c>
      <c r="S319" s="28">
        <f t="shared" si="28"/>
        <v>0</v>
      </c>
      <c r="T319" t="str">
        <f t="shared" si="29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5"/>
        <v/>
      </c>
      <c r="P320">
        <f>'Combined Delivery Data'!B347</f>
        <v>0</v>
      </c>
      <c r="Q320">
        <f t="shared" si="26"/>
        <v>0</v>
      </c>
      <c r="R320">
        <f t="shared" si="27"/>
        <v>468</v>
      </c>
      <c r="S320" s="28">
        <f t="shared" si="28"/>
        <v>0</v>
      </c>
      <c r="T320" t="str">
        <f t="shared" si="29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5"/>
        <v/>
      </c>
      <c r="P321">
        <f>'Combined Delivery Data'!B348</f>
        <v>0</v>
      </c>
      <c r="Q321">
        <f t="shared" si="26"/>
        <v>0</v>
      </c>
      <c r="R321">
        <f t="shared" si="27"/>
        <v>468</v>
      </c>
      <c r="S321" s="28">
        <f t="shared" si="28"/>
        <v>0</v>
      </c>
      <c r="T321" t="str">
        <f t="shared" si="29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30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 t="shared" si="26"/>
        <v>0</v>
      </c>
      <c r="R322">
        <f t="shared" si="27"/>
        <v>468</v>
      </c>
      <c r="S322" s="28">
        <f t="shared" si="28"/>
        <v>0</v>
      </c>
      <c r="T322" t="str">
        <f t="shared" si="29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30"/>
        <v/>
      </c>
      <c r="P323">
        <f>'Combined Delivery Data'!B350</f>
        <v>0</v>
      </c>
      <c r="Q323">
        <f t="shared" si="26"/>
        <v>0</v>
      </c>
      <c r="R323">
        <f t="shared" si="27"/>
        <v>468</v>
      </c>
      <c r="S323" s="28">
        <f t="shared" si="28"/>
        <v>0</v>
      </c>
      <c r="T323" t="str">
        <f t="shared" si="29"/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30"/>
        <v/>
      </c>
      <c r="P324">
        <f>'Combined Delivery Data'!B351</f>
        <v>0</v>
      </c>
      <c r="Q324">
        <f t="shared" si="26"/>
        <v>0</v>
      </c>
      <c r="R324">
        <f t="shared" si="27"/>
        <v>468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30"/>
        <v/>
      </c>
      <c r="P325">
        <f>'Combined Delivery Data'!B352</f>
        <v>0</v>
      </c>
      <c r="Q325">
        <f t="shared" si="26"/>
        <v>0</v>
      </c>
      <c r="R325">
        <f t="shared" si="27"/>
        <v>468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30"/>
        <v/>
      </c>
      <c r="P326">
        <f>'Combined Delivery Data'!B353</f>
        <v>0</v>
      </c>
      <c r="Q326">
        <f t="shared" si="26"/>
        <v>0</v>
      </c>
      <c r="R326">
        <f t="shared" si="27"/>
        <v>468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30"/>
        <v/>
      </c>
      <c r="P327">
        <f>'Combined Delivery Data'!B354</f>
        <v>0</v>
      </c>
      <c r="Q327">
        <f t="shared" si="26"/>
        <v>0</v>
      </c>
      <c r="R327">
        <f t="shared" si="27"/>
        <v>468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30"/>
        <v/>
      </c>
      <c r="P328">
        <f>'Combined Delivery Data'!B355</f>
        <v>0</v>
      </c>
      <c r="Q328">
        <f t="shared" si="26"/>
        <v>0</v>
      </c>
      <c r="R328">
        <f t="shared" si="27"/>
        <v>468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30"/>
        <v/>
      </c>
      <c r="P329">
        <f>'Combined Delivery Data'!B356</f>
        <v>0</v>
      </c>
      <c r="Q329">
        <f t="shared" si="26"/>
        <v>0</v>
      </c>
      <c r="R329">
        <f t="shared" si="27"/>
        <v>468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30"/>
        <v/>
      </c>
      <c r="P330">
        <f>'Combined Delivery Data'!B357</f>
        <v>0</v>
      </c>
      <c r="Q330">
        <f t="shared" si="26"/>
        <v>0</v>
      </c>
      <c r="R330">
        <f t="shared" si="27"/>
        <v>468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30"/>
        <v/>
      </c>
      <c r="P331">
        <f>'Combined Delivery Data'!B358</f>
        <v>0</v>
      </c>
      <c r="Q331">
        <f t="shared" si="26"/>
        <v>0</v>
      </c>
      <c r="R331">
        <f t="shared" si="27"/>
        <v>468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30"/>
        <v/>
      </c>
      <c r="P332">
        <f>'Combined Delivery Data'!B359</f>
        <v>0</v>
      </c>
      <c r="Q332">
        <f t="shared" si="26"/>
        <v>0</v>
      </c>
      <c r="R332">
        <f t="shared" si="27"/>
        <v>468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30"/>
        <v/>
      </c>
      <c r="P333">
        <f>'Combined Delivery Data'!B360</f>
        <v>0</v>
      </c>
      <c r="Q333">
        <f t="shared" si="26"/>
        <v>0</v>
      </c>
      <c r="R333">
        <f t="shared" si="27"/>
        <v>468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30"/>
        <v/>
      </c>
      <c r="P334">
        <f>'Combined Delivery Data'!B361</f>
        <v>0</v>
      </c>
      <c r="Q334">
        <f t="shared" si="26"/>
        <v>0</v>
      </c>
      <c r="R334">
        <f t="shared" si="27"/>
        <v>468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30"/>
        <v/>
      </c>
      <c r="P335">
        <f>'Combined Delivery Data'!B362</f>
        <v>0</v>
      </c>
      <c r="Q335">
        <f t="shared" si="26"/>
        <v>0</v>
      </c>
      <c r="R335">
        <f t="shared" si="27"/>
        <v>468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30"/>
        <v/>
      </c>
      <c r="P336">
        <f>'Combined Delivery Data'!B363</f>
        <v>0</v>
      </c>
      <c r="Q336">
        <f t="shared" si="26"/>
        <v>0</v>
      </c>
      <c r="R336">
        <f t="shared" si="27"/>
        <v>468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30"/>
        <v/>
      </c>
      <c r="P337">
        <f>'Combined Delivery Data'!B364</f>
        <v>0</v>
      </c>
      <c r="Q337">
        <f t="shared" si="26"/>
        <v>0</v>
      </c>
      <c r="R337">
        <f t="shared" si="27"/>
        <v>468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30"/>
        <v/>
      </c>
      <c r="P338">
        <f>'Combined Delivery Data'!B365</f>
        <v>0</v>
      </c>
      <c r="Q338">
        <f t="shared" ref="Q338:Q401" si="31">IF($P338="","",COUNTIF($A$3:$A$499,$P338))</f>
        <v>0</v>
      </c>
      <c r="R338">
        <f t="shared" ref="R338:R401" si="32">IF($P338="","",SUMPRODUCT(($A$3:$A$499=$P338)*($G$3:$G$499&lt;&gt;"Yes")*($G$3:$G$499&lt;&gt;"Did not pass re-test")))</f>
        <v>468</v>
      </c>
      <c r="S338" s="28">
        <f t="shared" ref="S338:S401" si="33">IF($P338="","",IF(SUMPRODUCT(MAX(($A$3:$A$499=$P338)*ROW($A$3:$A$499)))=0,"",INDEX($B:$B,SUMPRODUCT(MAX(($A$3:$A$499=$P338)*ROW($A$3:$A$499))))))</f>
        <v>0</v>
      </c>
      <c r="T338" t="str">
        <f t="shared" ref="T338:T401" si="34"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30"/>
        <v/>
      </c>
      <c r="P339">
        <f>'Combined Delivery Data'!B366</f>
        <v>0</v>
      </c>
      <c r="Q339">
        <f t="shared" si="31"/>
        <v>0</v>
      </c>
      <c r="R339">
        <f t="shared" si="32"/>
        <v>468</v>
      </c>
      <c r="S339" s="28">
        <f t="shared" si="33"/>
        <v>0</v>
      </c>
      <c r="T339" t="str">
        <f t="shared" si="34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30"/>
        <v/>
      </c>
      <c r="P340">
        <f>'Combined Delivery Data'!B367</f>
        <v>0</v>
      </c>
      <c r="Q340">
        <f t="shared" si="31"/>
        <v>0</v>
      </c>
      <c r="R340">
        <f t="shared" si="32"/>
        <v>468</v>
      </c>
      <c r="S340" s="28">
        <f t="shared" si="33"/>
        <v>0</v>
      </c>
      <c r="T340" t="str">
        <f t="shared" si="34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30"/>
        <v/>
      </c>
      <c r="P341">
        <f>'Combined Delivery Data'!B368</f>
        <v>0</v>
      </c>
      <c r="Q341">
        <f t="shared" si="31"/>
        <v>0</v>
      </c>
      <c r="R341">
        <f t="shared" si="32"/>
        <v>468</v>
      </c>
      <c r="S341" s="28">
        <f t="shared" si="33"/>
        <v>0</v>
      </c>
      <c r="T341" t="str">
        <f t="shared" si="34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30"/>
        <v/>
      </c>
      <c r="P342">
        <f>'Combined Delivery Data'!B369</f>
        <v>0</v>
      </c>
      <c r="Q342">
        <f t="shared" si="31"/>
        <v>0</v>
      </c>
      <c r="R342">
        <f t="shared" si="32"/>
        <v>468</v>
      </c>
      <c r="S342" s="28">
        <f t="shared" si="33"/>
        <v>0</v>
      </c>
      <c r="T342" t="str">
        <f t="shared" si="34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30"/>
        <v/>
      </c>
      <c r="P343">
        <f>'Combined Delivery Data'!B370</f>
        <v>0</v>
      </c>
      <c r="Q343">
        <f t="shared" si="31"/>
        <v>0</v>
      </c>
      <c r="R343">
        <f t="shared" si="32"/>
        <v>468</v>
      </c>
      <c r="S343" s="28">
        <f t="shared" si="33"/>
        <v>0</v>
      </c>
      <c r="T343" t="str">
        <f t="shared" si="34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30"/>
        <v/>
      </c>
      <c r="P344">
        <f>'Combined Delivery Data'!B371</f>
        <v>0</v>
      </c>
      <c r="Q344">
        <f t="shared" si="31"/>
        <v>0</v>
      </c>
      <c r="R344">
        <f t="shared" si="32"/>
        <v>468</v>
      </c>
      <c r="S344" s="28">
        <f t="shared" si="33"/>
        <v>0</v>
      </c>
      <c r="T344" t="str">
        <f t="shared" si="34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30"/>
        <v/>
      </c>
      <c r="P345">
        <f>'Combined Delivery Data'!B372</f>
        <v>0</v>
      </c>
      <c r="Q345">
        <f t="shared" si="31"/>
        <v>0</v>
      </c>
      <c r="R345">
        <f t="shared" si="32"/>
        <v>468</v>
      </c>
      <c r="S345" s="28">
        <f t="shared" si="33"/>
        <v>0</v>
      </c>
      <c r="T345" t="str">
        <f t="shared" si="34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30"/>
        <v/>
      </c>
      <c r="P346">
        <f>'Combined Delivery Data'!B373</f>
        <v>0</v>
      </c>
      <c r="Q346">
        <f t="shared" si="31"/>
        <v>0</v>
      </c>
      <c r="R346">
        <f t="shared" si="32"/>
        <v>468</v>
      </c>
      <c r="S346" s="28">
        <f t="shared" si="33"/>
        <v>0</v>
      </c>
      <c r="T346" t="str">
        <f t="shared" si="34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30"/>
        <v/>
      </c>
      <c r="P347">
        <f>'Combined Delivery Data'!B374</f>
        <v>0</v>
      </c>
      <c r="Q347">
        <f t="shared" si="31"/>
        <v>0</v>
      </c>
      <c r="R347">
        <f t="shared" si="32"/>
        <v>468</v>
      </c>
      <c r="S347" s="28">
        <f t="shared" si="33"/>
        <v>0</v>
      </c>
      <c r="T347" t="str">
        <f t="shared" si="34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30"/>
        <v/>
      </c>
      <c r="P348">
        <f>'Combined Delivery Data'!B375</f>
        <v>0</v>
      </c>
      <c r="Q348">
        <f t="shared" si="31"/>
        <v>0</v>
      </c>
      <c r="R348">
        <f t="shared" si="32"/>
        <v>468</v>
      </c>
      <c r="S348" s="28">
        <f t="shared" si="33"/>
        <v>0</v>
      </c>
      <c r="T348" t="str">
        <f t="shared" si="34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30"/>
        <v/>
      </c>
      <c r="P349">
        <f>'Combined Delivery Data'!B376</f>
        <v>0</v>
      </c>
      <c r="Q349">
        <f t="shared" si="31"/>
        <v>0</v>
      </c>
      <c r="R349">
        <f t="shared" si="32"/>
        <v>468</v>
      </c>
      <c r="S349" s="28">
        <f t="shared" si="33"/>
        <v>0</v>
      </c>
      <c r="T349" t="str">
        <f t="shared" si="34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30"/>
        <v/>
      </c>
      <c r="P350">
        <f>'Combined Delivery Data'!B377</f>
        <v>0</v>
      </c>
      <c r="Q350">
        <f t="shared" si="31"/>
        <v>0</v>
      </c>
      <c r="R350">
        <f t="shared" si="32"/>
        <v>468</v>
      </c>
      <c r="S350" s="28">
        <f t="shared" si="33"/>
        <v>0</v>
      </c>
      <c r="T350" t="str">
        <f t="shared" si="34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30"/>
        <v/>
      </c>
      <c r="P351">
        <f>'Combined Delivery Data'!B378</f>
        <v>0</v>
      </c>
      <c r="Q351">
        <f t="shared" si="31"/>
        <v>0</v>
      </c>
      <c r="R351">
        <f t="shared" si="32"/>
        <v>468</v>
      </c>
      <c r="S351" s="28">
        <f t="shared" si="33"/>
        <v>0</v>
      </c>
      <c r="T351" t="str">
        <f t="shared" si="34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30"/>
        <v/>
      </c>
      <c r="P352">
        <f>'Combined Delivery Data'!B379</f>
        <v>0</v>
      </c>
      <c r="Q352">
        <f t="shared" si="31"/>
        <v>0</v>
      </c>
      <c r="R352">
        <f t="shared" si="32"/>
        <v>468</v>
      </c>
      <c r="S352" s="28">
        <f t="shared" si="33"/>
        <v>0</v>
      </c>
      <c r="T352" t="str">
        <f t="shared" si="34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30"/>
        <v/>
      </c>
      <c r="P353">
        <f>'Combined Delivery Data'!B380</f>
        <v>0</v>
      </c>
      <c r="Q353">
        <f t="shared" si="31"/>
        <v>0</v>
      </c>
      <c r="R353">
        <f t="shared" si="32"/>
        <v>468</v>
      </c>
      <c r="S353" s="28">
        <f t="shared" si="33"/>
        <v>0</v>
      </c>
      <c r="T353" t="str">
        <f t="shared" si="34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30"/>
        <v/>
      </c>
      <c r="P354">
        <f>'Combined Delivery Data'!B381</f>
        <v>0</v>
      </c>
      <c r="Q354">
        <f t="shared" si="31"/>
        <v>0</v>
      </c>
      <c r="R354">
        <f t="shared" si="32"/>
        <v>468</v>
      </c>
      <c r="S354" s="28">
        <f t="shared" si="33"/>
        <v>0</v>
      </c>
      <c r="T354" t="str">
        <f t="shared" si="34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30"/>
        <v/>
      </c>
      <c r="P355">
        <f>'Combined Delivery Data'!B382</f>
        <v>0</v>
      </c>
      <c r="Q355">
        <f t="shared" si="31"/>
        <v>0</v>
      </c>
      <c r="R355">
        <f t="shared" si="32"/>
        <v>468</v>
      </c>
      <c r="S355" s="28">
        <f t="shared" si="33"/>
        <v>0</v>
      </c>
      <c r="T355" t="str">
        <f t="shared" si="34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30"/>
        <v/>
      </c>
      <c r="P356">
        <f>'Combined Delivery Data'!B383</f>
        <v>0</v>
      </c>
      <c r="Q356">
        <f t="shared" si="31"/>
        <v>0</v>
      </c>
      <c r="R356">
        <f t="shared" si="32"/>
        <v>468</v>
      </c>
      <c r="S356" s="28">
        <f t="shared" si="33"/>
        <v>0</v>
      </c>
      <c r="T356" t="str">
        <f t="shared" si="34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30"/>
        <v/>
      </c>
      <c r="P357">
        <f>'Combined Delivery Data'!B384</f>
        <v>0</v>
      </c>
      <c r="Q357">
        <f t="shared" si="31"/>
        <v>0</v>
      </c>
      <c r="R357">
        <f t="shared" si="32"/>
        <v>468</v>
      </c>
      <c r="S357" s="28">
        <f t="shared" si="33"/>
        <v>0</v>
      </c>
      <c r="T357" t="str">
        <f t="shared" si="34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30"/>
        <v/>
      </c>
      <c r="P358">
        <f>'Combined Delivery Data'!B385</f>
        <v>0</v>
      </c>
      <c r="Q358">
        <f t="shared" si="31"/>
        <v>0</v>
      </c>
      <c r="R358">
        <f t="shared" si="32"/>
        <v>468</v>
      </c>
      <c r="S358" s="28">
        <f t="shared" si="33"/>
        <v>0</v>
      </c>
      <c r="T358" t="str">
        <f t="shared" si="34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30"/>
        <v/>
      </c>
      <c r="P359">
        <f>'Combined Delivery Data'!B386</f>
        <v>0</v>
      </c>
      <c r="Q359">
        <f t="shared" si="31"/>
        <v>0</v>
      </c>
      <c r="R359">
        <f t="shared" si="32"/>
        <v>468</v>
      </c>
      <c r="S359" s="28">
        <f t="shared" si="33"/>
        <v>0</v>
      </c>
      <c r="T359" t="str">
        <f t="shared" si="34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30"/>
        <v/>
      </c>
      <c r="P360">
        <f>'Combined Delivery Data'!B387</f>
        <v>0</v>
      </c>
      <c r="Q360">
        <f t="shared" si="31"/>
        <v>0</v>
      </c>
      <c r="R360">
        <f t="shared" si="32"/>
        <v>468</v>
      </c>
      <c r="S360" s="28">
        <f t="shared" si="33"/>
        <v>0</v>
      </c>
      <c r="T360" t="str">
        <f t="shared" si="34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30"/>
        <v/>
      </c>
      <c r="P361">
        <f>'Combined Delivery Data'!B388</f>
        <v>0</v>
      </c>
      <c r="Q361">
        <f t="shared" si="31"/>
        <v>0</v>
      </c>
      <c r="R361">
        <f t="shared" si="32"/>
        <v>468</v>
      </c>
      <c r="S361" s="28">
        <f t="shared" si="33"/>
        <v>0</v>
      </c>
      <c r="T361" t="str">
        <f t="shared" si="34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30"/>
        <v/>
      </c>
      <c r="P362">
        <f>'Combined Delivery Data'!B389</f>
        <v>0</v>
      </c>
      <c r="Q362">
        <f t="shared" si="31"/>
        <v>0</v>
      </c>
      <c r="R362">
        <f t="shared" si="32"/>
        <v>468</v>
      </c>
      <c r="S362" s="28">
        <f t="shared" si="33"/>
        <v>0</v>
      </c>
      <c r="T362" t="str">
        <f t="shared" si="34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30"/>
        <v/>
      </c>
      <c r="P363">
        <f>'Combined Delivery Data'!B390</f>
        <v>0</v>
      </c>
      <c r="Q363">
        <f t="shared" si="31"/>
        <v>0</v>
      </c>
      <c r="R363">
        <f t="shared" si="32"/>
        <v>468</v>
      </c>
      <c r="S363" s="28">
        <f t="shared" si="33"/>
        <v>0</v>
      </c>
      <c r="T363" t="str">
        <f t="shared" si="34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30"/>
        <v/>
      </c>
      <c r="P364">
        <f>'Combined Delivery Data'!B391</f>
        <v>0</v>
      </c>
      <c r="Q364">
        <f t="shared" si="31"/>
        <v>0</v>
      </c>
      <c r="R364">
        <f t="shared" si="32"/>
        <v>468</v>
      </c>
      <c r="S364" s="28">
        <f t="shared" si="33"/>
        <v>0</v>
      </c>
      <c r="T364" t="str">
        <f t="shared" si="34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30"/>
        <v/>
      </c>
      <c r="P365">
        <f>'Combined Delivery Data'!B392</f>
        <v>0</v>
      </c>
      <c r="Q365">
        <f t="shared" si="31"/>
        <v>0</v>
      </c>
      <c r="R365">
        <f t="shared" si="32"/>
        <v>468</v>
      </c>
      <c r="S365" s="28">
        <f t="shared" si="33"/>
        <v>0</v>
      </c>
      <c r="T365" t="str">
        <f t="shared" si="34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30"/>
        <v/>
      </c>
      <c r="P366">
        <f>'Combined Delivery Data'!B393</f>
        <v>0</v>
      </c>
      <c r="Q366">
        <f t="shared" si="31"/>
        <v>0</v>
      </c>
      <c r="R366">
        <f t="shared" si="32"/>
        <v>468</v>
      </c>
      <c r="S366" s="28">
        <f t="shared" si="33"/>
        <v>0</v>
      </c>
      <c r="T366" t="str">
        <f t="shared" si="34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30"/>
        <v/>
      </c>
      <c r="P367">
        <f>'Combined Delivery Data'!B394</f>
        <v>0</v>
      </c>
      <c r="Q367">
        <f t="shared" si="31"/>
        <v>0</v>
      </c>
      <c r="R367">
        <f t="shared" si="32"/>
        <v>468</v>
      </c>
      <c r="S367" s="28">
        <f t="shared" si="33"/>
        <v>0</v>
      </c>
      <c r="T367" t="str">
        <f t="shared" si="34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30"/>
        <v/>
      </c>
      <c r="P368">
        <f>'Combined Delivery Data'!B395</f>
        <v>0</v>
      </c>
      <c r="Q368">
        <f t="shared" si="31"/>
        <v>0</v>
      </c>
      <c r="R368">
        <f t="shared" si="32"/>
        <v>468</v>
      </c>
      <c r="S368" s="28">
        <f t="shared" si="33"/>
        <v>0</v>
      </c>
      <c r="T368" t="str">
        <f t="shared" si="34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30"/>
        <v/>
      </c>
      <c r="P369">
        <f>'Combined Delivery Data'!B396</f>
        <v>0</v>
      </c>
      <c r="Q369">
        <f t="shared" si="31"/>
        <v>0</v>
      </c>
      <c r="R369">
        <f t="shared" si="32"/>
        <v>468</v>
      </c>
      <c r="S369" s="28">
        <f t="shared" si="33"/>
        <v>0</v>
      </c>
      <c r="T369" t="str">
        <f t="shared" si="34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30"/>
        <v/>
      </c>
      <c r="P370">
        <f>'Combined Delivery Data'!B397</f>
        <v>0</v>
      </c>
      <c r="Q370">
        <f t="shared" si="31"/>
        <v>0</v>
      </c>
      <c r="R370">
        <f t="shared" si="32"/>
        <v>468</v>
      </c>
      <c r="S370" s="28">
        <f t="shared" si="33"/>
        <v>0</v>
      </c>
      <c r="T370" t="str">
        <f t="shared" si="34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30"/>
        <v/>
      </c>
      <c r="P371">
        <f>'Combined Delivery Data'!B398</f>
        <v>0</v>
      </c>
      <c r="Q371">
        <f t="shared" si="31"/>
        <v>0</v>
      </c>
      <c r="R371">
        <f t="shared" si="32"/>
        <v>468</v>
      </c>
      <c r="S371" s="28">
        <f t="shared" si="33"/>
        <v>0</v>
      </c>
      <c r="T371" t="str">
        <f t="shared" si="34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30"/>
        <v/>
      </c>
      <c r="P372">
        <f>'Combined Delivery Data'!B399</f>
        <v>0</v>
      </c>
      <c r="Q372">
        <f t="shared" si="31"/>
        <v>0</v>
      </c>
      <c r="R372">
        <f t="shared" si="32"/>
        <v>468</v>
      </c>
      <c r="S372" s="28">
        <f t="shared" si="33"/>
        <v>0</v>
      </c>
      <c r="T372" t="str">
        <f t="shared" si="34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30"/>
        <v/>
      </c>
      <c r="P373">
        <f>'Combined Delivery Data'!B400</f>
        <v>0</v>
      </c>
      <c r="Q373">
        <f t="shared" si="31"/>
        <v>0</v>
      </c>
      <c r="R373">
        <f t="shared" si="32"/>
        <v>468</v>
      </c>
      <c r="S373" s="28">
        <f t="shared" si="33"/>
        <v>0</v>
      </c>
      <c r="T373" t="str">
        <f t="shared" si="34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30"/>
        <v/>
      </c>
      <c r="P374">
        <f>'Combined Delivery Data'!B401</f>
        <v>0</v>
      </c>
      <c r="Q374">
        <f t="shared" si="31"/>
        <v>0</v>
      </c>
      <c r="R374">
        <f t="shared" si="32"/>
        <v>468</v>
      </c>
      <c r="S374" s="28">
        <f t="shared" si="33"/>
        <v>0</v>
      </c>
      <c r="T374" t="str">
        <f t="shared" si="34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30"/>
        <v/>
      </c>
      <c r="P375">
        <f>'Combined Delivery Data'!B402</f>
        <v>0</v>
      </c>
      <c r="Q375">
        <f t="shared" si="31"/>
        <v>0</v>
      </c>
      <c r="R375">
        <f t="shared" si="32"/>
        <v>468</v>
      </c>
      <c r="S375" s="28">
        <f t="shared" si="33"/>
        <v>0</v>
      </c>
      <c r="T375" t="str">
        <f t="shared" si="34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30"/>
        <v/>
      </c>
      <c r="P376">
        <f>'Combined Delivery Data'!B403</f>
        <v>0</v>
      </c>
      <c r="Q376">
        <f t="shared" si="31"/>
        <v>0</v>
      </c>
      <c r="R376">
        <f t="shared" si="32"/>
        <v>468</v>
      </c>
      <c r="S376" s="28">
        <f t="shared" si="33"/>
        <v>0</v>
      </c>
      <c r="T376" t="str">
        <f t="shared" si="34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30"/>
        <v/>
      </c>
      <c r="P377">
        <f>'Combined Delivery Data'!B404</f>
        <v>0</v>
      </c>
      <c r="Q377">
        <f t="shared" si="31"/>
        <v>0</v>
      </c>
      <c r="R377">
        <f t="shared" si="32"/>
        <v>468</v>
      </c>
      <c r="S377" s="28">
        <f t="shared" si="33"/>
        <v>0</v>
      </c>
      <c r="T377" t="str">
        <f t="shared" si="34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30"/>
        <v/>
      </c>
      <c r="P378">
        <f>'Combined Delivery Data'!B405</f>
        <v>0</v>
      </c>
      <c r="Q378">
        <f t="shared" si="31"/>
        <v>0</v>
      </c>
      <c r="R378">
        <f t="shared" si="32"/>
        <v>468</v>
      </c>
      <c r="S378" s="28">
        <f t="shared" si="33"/>
        <v>0</v>
      </c>
      <c r="T378" t="str">
        <f t="shared" si="34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30"/>
        <v/>
      </c>
      <c r="P379">
        <f>'Combined Delivery Data'!B406</f>
        <v>0</v>
      </c>
      <c r="Q379">
        <f t="shared" si="31"/>
        <v>0</v>
      </c>
      <c r="R379">
        <f t="shared" si="32"/>
        <v>468</v>
      </c>
      <c r="S379" s="28">
        <f t="shared" si="33"/>
        <v>0</v>
      </c>
      <c r="T379" t="str">
        <f t="shared" si="34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30"/>
        <v/>
      </c>
      <c r="P380">
        <f>'Combined Delivery Data'!B407</f>
        <v>0</v>
      </c>
      <c r="Q380">
        <f t="shared" si="31"/>
        <v>0</v>
      </c>
      <c r="R380">
        <f t="shared" si="32"/>
        <v>468</v>
      </c>
      <c r="S380" s="28">
        <f t="shared" si="33"/>
        <v>0</v>
      </c>
      <c r="T380" t="str">
        <f t="shared" si="34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30"/>
        <v/>
      </c>
      <c r="P381">
        <f>'Combined Delivery Data'!B408</f>
        <v>0</v>
      </c>
      <c r="Q381">
        <f t="shared" si="31"/>
        <v>0</v>
      </c>
      <c r="R381">
        <f t="shared" si="32"/>
        <v>468</v>
      </c>
      <c r="S381" s="28">
        <f t="shared" si="33"/>
        <v>0</v>
      </c>
      <c r="T381" t="str">
        <f t="shared" si="34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30"/>
        <v/>
      </c>
      <c r="P382">
        <f>'Combined Delivery Data'!B409</f>
        <v>0</v>
      </c>
      <c r="Q382">
        <f t="shared" si="31"/>
        <v>0</v>
      </c>
      <c r="R382">
        <f t="shared" si="32"/>
        <v>468</v>
      </c>
      <c r="S382" s="28">
        <f t="shared" si="33"/>
        <v>0</v>
      </c>
      <c r="T382" t="str">
        <f t="shared" si="34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30"/>
        <v/>
      </c>
      <c r="P383">
        <f>'Combined Delivery Data'!B410</f>
        <v>0</v>
      </c>
      <c r="Q383">
        <f t="shared" si="31"/>
        <v>0</v>
      </c>
      <c r="R383">
        <f t="shared" si="32"/>
        <v>468</v>
      </c>
      <c r="S383" s="28">
        <f t="shared" si="33"/>
        <v>0</v>
      </c>
      <c r="T383" t="str">
        <f t="shared" si="34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30"/>
        <v/>
      </c>
      <c r="P384">
        <f>'Combined Delivery Data'!B411</f>
        <v>0</v>
      </c>
      <c r="Q384">
        <f t="shared" si="31"/>
        <v>0</v>
      </c>
      <c r="R384">
        <f t="shared" si="32"/>
        <v>468</v>
      </c>
      <c r="S384" s="28">
        <f t="shared" si="33"/>
        <v>0</v>
      </c>
      <c r="T384" t="str">
        <f t="shared" si="34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30"/>
        <v/>
      </c>
      <c r="P385">
        <f>'Combined Delivery Data'!B412</f>
        <v>0</v>
      </c>
      <c r="Q385">
        <f t="shared" si="31"/>
        <v>0</v>
      </c>
      <c r="R385">
        <f t="shared" si="32"/>
        <v>468</v>
      </c>
      <c r="S385" s="28">
        <f t="shared" si="33"/>
        <v>0</v>
      </c>
      <c r="T385" t="str">
        <f t="shared" si="34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35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 t="shared" si="31"/>
        <v>0</v>
      </c>
      <c r="R386">
        <f t="shared" si="32"/>
        <v>468</v>
      </c>
      <c r="S386" s="28">
        <f t="shared" si="33"/>
        <v>0</v>
      </c>
      <c r="T386" t="str">
        <f t="shared" si="34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35"/>
        <v/>
      </c>
      <c r="P387">
        <f>'Combined Delivery Data'!B414</f>
        <v>0</v>
      </c>
      <c r="Q387">
        <f t="shared" si="31"/>
        <v>0</v>
      </c>
      <c r="R387">
        <f t="shared" si="32"/>
        <v>468</v>
      </c>
      <c r="S387" s="28">
        <f t="shared" si="33"/>
        <v>0</v>
      </c>
      <c r="T387" t="str">
        <f t="shared" si="34"/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5"/>
        <v/>
      </c>
      <c r="P388">
        <f>'Combined Delivery Data'!B415</f>
        <v>0</v>
      </c>
      <c r="Q388">
        <f t="shared" si="31"/>
        <v>0</v>
      </c>
      <c r="R388">
        <f t="shared" si="32"/>
        <v>468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5"/>
        <v/>
      </c>
      <c r="P389">
        <f>'Combined Delivery Data'!B416</f>
        <v>0</v>
      </c>
      <c r="Q389">
        <f t="shared" si="31"/>
        <v>0</v>
      </c>
      <c r="R389">
        <f t="shared" si="32"/>
        <v>468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5"/>
        <v/>
      </c>
      <c r="P390">
        <f>'Combined Delivery Data'!B417</f>
        <v>0</v>
      </c>
      <c r="Q390">
        <f t="shared" si="31"/>
        <v>0</v>
      </c>
      <c r="R390">
        <f t="shared" si="32"/>
        <v>468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5"/>
        <v/>
      </c>
      <c r="P391">
        <f>'Combined Delivery Data'!B418</f>
        <v>0</v>
      </c>
      <c r="Q391">
        <f t="shared" si="31"/>
        <v>0</v>
      </c>
      <c r="R391">
        <f t="shared" si="32"/>
        <v>468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5"/>
        <v/>
      </c>
      <c r="P392">
        <f>'Combined Delivery Data'!B419</f>
        <v>0</v>
      </c>
      <c r="Q392">
        <f t="shared" si="31"/>
        <v>0</v>
      </c>
      <c r="R392">
        <f t="shared" si="32"/>
        <v>468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5"/>
        <v/>
      </c>
      <c r="P393">
        <f>'Combined Delivery Data'!B420</f>
        <v>0</v>
      </c>
      <c r="Q393">
        <f t="shared" si="31"/>
        <v>0</v>
      </c>
      <c r="R393">
        <f t="shared" si="32"/>
        <v>468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5"/>
        <v/>
      </c>
      <c r="P394">
        <f>'Combined Delivery Data'!B421</f>
        <v>0</v>
      </c>
      <c r="Q394">
        <f t="shared" si="31"/>
        <v>0</v>
      </c>
      <c r="R394">
        <f t="shared" si="32"/>
        <v>468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5"/>
        <v/>
      </c>
      <c r="P395">
        <f>'Combined Delivery Data'!B422</f>
        <v>0</v>
      </c>
      <c r="Q395">
        <f t="shared" si="31"/>
        <v>0</v>
      </c>
      <c r="R395">
        <f t="shared" si="32"/>
        <v>468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5"/>
        <v/>
      </c>
      <c r="P396">
        <f>'Combined Delivery Data'!B423</f>
        <v>0</v>
      </c>
      <c r="Q396">
        <f t="shared" si="31"/>
        <v>0</v>
      </c>
      <c r="R396">
        <f t="shared" si="32"/>
        <v>468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5"/>
        <v/>
      </c>
      <c r="P397">
        <f>'Combined Delivery Data'!B424</f>
        <v>0</v>
      </c>
      <c r="Q397">
        <f t="shared" si="31"/>
        <v>0</v>
      </c>
      <c r="R397">
        <f t="shared" si="32"/>
        <v>468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5"/>
        <v/>
      </c>
      <c r="P398">
        <f>'Combined Delivery Data'!B425</f>
        <v>0</v>
      </c>
      <c r="Q398">
        <f t="shared" si="31"/>
        <v>0</v>
      </c>
      <c r="R398">
        <f t="shared" si="32"/>
        <v>468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5"/>
        <v/>
      </c>
      <c r="P399">
        <f>'Combined Delivery Data'!B426</f>
        <v>0</v>
      </c>
      <c r="Q399">
        <f t="shared" si="31"/>
        <v>0</v>
      </c>
      <c r="R399">
        <f t="shared" si="32"/>
        <v>468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5"/>
        <v/>
      </c>
      <c r="P400">
        <f>'Combined Delivery Data'!B427</f>
        <v>0</v>
      </c>
      <c r="Q400">
        <f t="shared" si="31"/>
        <v>0</v>
      </c>
      <c r="R400">
        <f t="shared" si="32"/>
        <v>468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5"/>
        <v/>
      </c>
      <c r="P401">
        <f>'Combined Delivery Data'!B428</f>
        <v>0</v>
      </c>
      <c r="Q401">
        <f t="shared" si="31"/>
        <v>0</v>
      </c>
      <c r="R401">
        <f t="shared" si="32"/>
        <v>468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5"/>
        <v/>
      </c>
      <c r="P402">
        <f>'Combined Delivery Data'!B429</f>
        <v>0</v>
      </c>
      <c r="Q402">
        <f t="shared" ref="Q402:Q465" si="36">IF($P402="","",COUNTIF($A$3:$A$499,$P402))</f>
        <v>0</v>
      </c>
      <c r="R402">
        <f t="shared" ref="R402:R465" si="37">IF($P402="","",SUMPRODUCT(($A$3:$A$499=$P402)*($G$3:$G$499&lt;&gt;"Yes")*($G$3:$G$499&lt;&gt;"Did not pass re-test")))</f>
        <v>468</v>
      </c>
      <c r="S402" s="28">
        <f t="shared" ref="S402:S465" si="38">IF($P402="","",IF(SUMPRODUCT(MAX(($A$3:$A$499=$P402)*ROW($A$3:$A$499)))=0,"",INDEX($B:$B,SUMPRODUCT(MAX(($A$3:$A$499=$P402)*ROW($A$3:$A$499))))))</f>
        <v>0</v>
      </c>
      <c r="T402" t="str">
        <f t="shared" ref="T402:T465" si="39"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5"/>
        <v/>
      </c>
      <c r="P403">
        <f>'Combined Delivery Data'!B430</f>
        <v>0</v>
      </c>
      <c r="Q403">
        <f t="shared" si="36"/>
        <v>0</v>
      </c>
      <c r="R403">
        <f t="shared" si="37"/>
        <v>468</v>
      </c>
      <c r="S403" s="28">
        <f t="shared" si="38"/>
        <v>0</v>
      </c>
      <c r="T403" t="str">
        <f t="shared" si="39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5"/>
        <v/>
      </c>
      <c r="P404">
        <f>'Combined Delivery Data'!B431</f>
        <v>0</v>
      </c>
      <c r="Q404">
        <f t="shared" si="36"/>
        <v>0</v>
      </c>
      <c r="R404">
        <f t="shared" si="37"/>
        <v>468</v>
      </c>
      <c r="S404" s="28">
        <f t="shared" si="38"/>
        <v>0</v>
      </c>
      <c r="T404" t="str">
        <f t="shared" si="39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5"/>
        <v/>
      </c>
      <c r="P405">
        <f>'Combined Delivery Data'!B432</f>
        <v>0</v>
      </c>
      <c r="Q405">
        <f t="shared" si="36"/>
        <v>0</v>
      </c>
      <c r="R405">
        <f t="shared" si="37"/>
        <v>468</v>
      </c>
      <c r="S405" s="28">
        <f t="shared" si="38"/>
        <v>0</v>
      </c>
      <c r="T405" t="str">
        <f t="shared" si="39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5"/>
        <v/>
      </c>
      <c r="P406">
        <f>'Combined Delivery Data'!B433</f>
        <v>0</v>
      </c>
      <c r="Q406">
        <f t="shared" si="36"/>
        <v>0</v>
      </c>
      <c r="R406">
        <f t="shared" si="37"/>
        <v>468</v>
      </c>
      <c r="S406" s="28">
        <f t="shared" si="38"/>
        <v>0</v>
      </c>
      <c r="T406" t="str">
        <f t="shared" si="39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5"/>
        <v/>
      </c>
      <c r="P407">
        <f>'Combined Delivery Data'!B434</f>
        <v>0</v>
      </c>
      <c r="Q407">
        <f t="shared" si="36"/>
        <v>0</v>
      </c>
      <c r="R407">
        <f t="shared" si="37"/>
        <v>468</v>
      </c>
      <c r="S407" s="28">
        <f t="shared" si="38"/>
        <v>0</v>
      </c>
      <c r="T407" t="str">
        <f t="shared" si="39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5"/>
        <v/>
      </c>
      <c r="P408">
        <f>'Combined Delivery Data'!B435</f>
        <v>0</v>
      </c>
      <c r="Q408">
        <f t="shared" si="36"/>
        <v>0</v>
      </c>
      <c r="R408">
        <f t="shared" si="37"/>
        <v>468</v>
      </c>
      <c r="S408" s="28">
        <f t="shared" si="38"/>
        <v>0</v>
      </c>
      <c r="T408" t="str">
        <f t="shared" si="39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5"/>
        <v/>
      </c>
      <c r="P409">
        <f>'Combined Delivery Data'!B436</f>
        <v>0</v>
      </c>
      <c r="Q409">
        <f t="shared" si="36"/>
        <v>0</v>
      </c>
      <c r="R409">
        <f t="shared" si="37"/>
        <v>468</v>
      </c>
      <c r="S409" s="28">
        <f t="shared" si="38"/>
        <v>0</v>
      </c>
      <c r="T409" t="str">
        <f t="shared" si="39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5"/>
        <v/>
      </c>
      <c r="P410">
        <f>'Combined Delivery Data'!B437</f>
        <v>0</v>
      </c>
      <c r="Q410">
        <f t="shared" si="36"/>
        <v>0</v>
      </c>
      <c r="R410">
        <f t="shared" si="37"/>
        <v>468</v>
      </c>
      <c r="S410" s="28">
        <f t="shared" si="38"/>
        <v>0</v>
      </c>
      <c r="T410" t="str">
        <f t="shared" si="39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5"/>
        <v/>
      </c>
      <c r="P411">
        <f>'Combined Delivery Data'!B438</f>
        <v>0</v>
      </c>
      <c r="Q411">
        <f t="shared" si="36"/>
        <v>0</v>
      </c>
      <c r="R411">
        <f t="shared" si="37"/>
        <v>468</v>
      </c>
      <c r="S411" s="28">
        <f t="shared" si="38"/>
        <v>0</v>
      </c>
      <c r="T411" t="str">
        <f t="shared" si="39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5"/>
        <v/>
      </c>
      <c r="P412">
        <f>'Combined Delivery Data'!B439</f>
        <v>0</v>
      </c>
      <c r="Q412">
        <f t="shared" si="36"/>
        <v>0</v>
      </c>
      <c r="R412">
        <f t="shared" si="37"/>
        <v>468</v>
      </c>
      <c r="S412" s="28">
        <f t="shared" si="38"/>
        <v>0</v>
      </c>
      <c r="T412" t="str">
        <f t="shared" si="39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5"/>
        <v/>
      </c>
      <c r="P413">
        <f>'Combined Delivery Data'!B440</f>
        <v>0</v>
      </c>
      <c r="Q413">
        <f t="shared" si="36"/>
        <v>0</v>
      </c>
      <c r="R413">
        <f t="shared" si="37"/>
        <v>468</v>
      </c>
      <c r="S413" s="28">
        <f t="shared" si="38"/>
        <v>0</v>
      </c>
      <c r="T413" t="str">
        <f t="shared" si="39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5"/>
        <v/>
      </c>
      <c r="P414">
        <f>'Combined Delivery Data'!B441</f>
        <v>0</v>
      </c>
      <c r="Q414">
        <f t="shared" si="36"/>
        <v>0</v>
      </c>
      <c r="R414">
        <f t="shared" si="37"/>
        <v>468</v>
      </c>
      <c r="S414" s="28">
        <f t="shared" si="38"/>
        <v>0</v>
      </c>
      <c r="T414" t="str">
        <f t="shared" si="39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5"/>
        <v/>
      </c>
      <c r="P415">
        <f>'Combined Delivery Data'!B442</f>
        <v>0</v>
      </c>
      <c r="Q415">
        <f t="shared" si="36"/>
        <v>0</v>
      </c>
      <c r="R415">
        <f t="shared" si="37"/>
        <v>468</v>
      </c>
      <c r="S415" s="28">
        <f t="shared" si="38"/>
        <v>0</v>
      </c>
      <c r="T415" t="str">
        <f t="shared" si="39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5"/>
        <v/>
      </c>
      <c r="P416">
        <f>'Combined Delivery Data'!B443</f>
        <v>0</v>
      </c>
      <c r="Q416">
        <f t="shared" si="36"/>
        <v>0</v>
      </c>
      <c r="R416">
        <f t="shared" si="37"/>
        <v>468</v>
      </c>
      <c r="S416" s="28">
        <f t="shared" si="38"/>
        <v>0</v>
      </c>
      <c r="T416" t="str">
        <f t="shared" si="39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5"/>
        <v/>
      </c>
      <c r="P417">
        <f>'Combined Delivery Data'!B444</f>
        <v>0</v>
      </c>
      <c r="Q417">
        <f t="shared" si="36"/>
        <v>0</v>
      </c>
      <c r="R417">
        <f t="shared" si="37"/>
        <v>468</v>
      </c>
      <c r="S417" s="28">
        <f t="shared" si="38"/>
        <v>0</v>
      </c>
      <c r="T417" t="str">
        <f t="shared" si="39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5"/>
        <v/>
      </c>
      <c r="P418">
        <f>'Combined Delivery Data'!B445</f>
        <v>0</v>
      </c>
      <c r="Q418">
        <f t="shared" si="36"/>
        <v>0</v>
      </c>
      <c r="R418">
        <f t="shared" si="37"/>
        <v>468</v>
      </c>
      <c r="S418" s="28">
        <f t="shared" si="38"/>
        <v>0</v>
      </c>
      <c r="T418" t="str">
        <f t="shared" si="39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5"/>
        <v/>
      </c>
      <c r="P419">
        <f>'Combined Delivery Data'!B446</f>
        <v>0</v>
      </c>
      <c r="Q419">
        <f t="shared" si="36"/>
        <v>0</v>
      </c>
      <c r="R419">
        <f t="shared" si="37"/>
        <v>468</v>
      </c>
      <c r="S419" s="28">
        <f t="shared" si="38"/>
        <v>0</v>
      </c>
      <c r="T419" t="str">
        <f t="shared" si="39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5"/>
        <v/>
      </c>
      <c r="P420">
        <f>'Combined Delivery Data'!B447</f>
        <v>0</v>
      </c>
      <c r="Q420">
        <f t="shared" si="36"/>
        <v>0</v>
      </c>
      <c r="R420">
        <f t="shared" si="37"/>
        <v>468</v>
      </c>
      <c r="S420" s="28">
        <f t="shared" si="38"/>
        <v>0</v>
      </c>
      <c r="T420" t="str">
        <f t="shared" si="39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5"/>
        <v/>
      </c>
      <c r="P421">
        <f>'Combined Delivery Data'!B448</f>
        <v>0</v>
      </c>
      <c r="Q421">
        <f t="shared" si="36"/>
        <v>0</v>
      </c>
      <c r="R421">
        <f t="shared" si="37"/>
        <v>468</v>
      </c>
      <c r="S421" s="28">
        <f t="shared" si="38"/>
        <v>0</v>
      </c>
      <c r="T421" t="str">
        <f t="shared" si="39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5"/>
        <v/>
      </c>
      <c r="P422">
        <f>'Combined Delivery Data'!B449</f>
        <v>0</v>
      </c>
      <c r="Q422">
        <f t="shared" si="36"/>
        <v>0</v>
      </c>
      <c r="R422">
        <f t="shared" si="37"/>
        <v>468</v>
      </c>
      <c r="S422" s="28">
        <f t="shared" si="38"/>
        <v>0</v>
      </c>
      <c r="T422" t="str">
        <f t="shared" si="39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5"/>
        <v/>
      </c>
      <c r="P423">
        <f>'Combined Delivery Data'!B450</f>
        <v>0</v>
      </c>
      <c r="Q423">
        <f t="shared" si="36"/>
        <v>0</v>
      </c>
      <c r="R423">
        <f t="shared" si="37"/>
        <v>468</v>
      </c>
      <c r="S423" s="28">
        <f t="shared" si="38"/>
        <v>0</v>
      </c>
      <c r="T423" t="str">
        <f t="shared" si="39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5"/>
        <v/>
      </c>
      <c r="P424">
        <f>'Combined Delivery Data'!B451</f>
        <v>0</v>
      </c>
      <c r="Q424">
        <f t="shared" si="36"/>
        <v>0</v>
      </c>
      <c r="R424">
        <f t="shared" si="37"/>
        <v>468</v>
      </c>
      <c r="S424" s="28">
        <f t="shared" si="38"/>
        <v>0</v>
      </c>
      <c r="T424" t="str">
        <f t="shared" si="39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5"/>
        <v/>
      </c>
      <c r="P425">
        <f>'Combined Delivery Data'!B452</f>
        <v>0</v>
      </c>
      <c r="Q425">
        <f t="shared" si="36"/>
        <v>0</v>
      </c>
      <c r="R425">
        <f t="shared" si="37"/>
        <v>468</v>
      </c>
      <c r="S425" s="28">
        <f t="shared" si="38"/>
        <v>0</v>
      </c>
      <c r="T425" t="str">
        <f t="shared" si="39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5"/>
        <v/>
      </c>
      <c r="P426">
        <f>'Combined Delivery Data'!B453</f>
        <v>0</v>
      </c>
      <c r="Q426">
        <f t="shared" si="36"/>
        <v>0</v>
      </c>
      <c r="R426">
        <f t="shared" si="37"/>
        <v>468</v>
      </c>
      <c r="S426" s="28">
        <f t="shared" si="38"/>
        <v>0</v>
      </c>
      <c r="T426" t="str">
        <f t="shared" si="39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5"/>
        <v/>
      </c>
      <c r="P427">
        <f>'Combined Delivery Data'!B454</f>
        <v>0</v>
      </c>
      <c r="Q427">
        <f t="shared" si="36"/>
        <v>0</v>
      </c>
      <c r="R427">
        <f t="shared" si="37"/>
        <v>468</v>
      </c>
      <c r="S427" s="28">
        <f t="shared" si="38"/>
        <v>0</v>
      </c>
      <c r="T427" t="str">
        <f t="shared" si="39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5"/>
        <v/>
      </c>
      <c r="P428">
        <f>'Combined Delivery Data'!B455</f>
        <v>0</v>
      </c>
      <c r="Q428">
        <f t="shared" si="36"/>
        <v>0</v>
      </c>
      <c r="R428">
        <f t="shared" si="37"/>
        <v>468</v>
      </c>
      <c r="S428" s="28">
        <f t="shared" si="38"/>
        <v>0</v>
      </c>
      <c r="T428" t="str">
        <f t="shared" si="39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5"/>
        <v/>
      </c>
      <c r="P429">
        <f>'Combined Delivery Data'!B456</f>
        <v>0</v>
      </c>
      <c r="Q429">
        <f t="shared" si="36"/>
        <v>0</v>
      </c>
      <c r="R429">
        <f t="shared" si="37"/>
        <v>468</v>
      </c>
      <c r="S429" s="28">
        <f t="shared" si="38"/>
        <v>0</v>
      </c>
      <c r="T429" t="str">
        <f t="shared" si="39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5"/>
        <v/>
      </c>
      <c r="P430">
        <f>'Combined Delivery Data'!B457</f>
        <v>0</v>
      </c>
      <c r="Q430">
        <f t="shared" si="36"/>
        <v>0</v>
      </c>
      <c r="R430">
        <f t="shared" si="37"/>
        <v>468</v>
      </c>
      <c r="S430" s="28">
        <f t="shared" si="38"/>
        <v>0</v>
      </c>
      <c r="T430" t="str">
        <f t="shared" si="39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5"/>
        <v/>
      </c>
      <c r="P431">
        <f>'Combined Delivery Data'!B458</f>
        <v>0</v>
      </c>
      <c r="Q431">
        <f t="shared" si="36"/>
        <v>0</v>
      </c>
      <c r="R431">
        <f t="shared" si="37"/>
        <v>468</v>
      </c>
      <c r="S431" s="28">
        <f t="shared" si="38"/>
        <v>0</v>
      </c>
      <c r="T431" t="str">
        <f t="shared" si="39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5"/>
        <v/>
      </c>
      <c r="P432">
        <f>'Combined Delivery Data'!B459</f>
        <v>0</v>
      </c>
      <c r="Q432">
        <f t="shared" si="36"/>
        <v>0</v>
      </c>
      <c r="R432">
        <f t="shared" si="37"/>
        <v>468</v>
      </c>
      <c r="S432" s="28">
        <f t="shared" si="38"/>
        <v>0</v>
      </c>
      <c r="T432" t="str">
        <f t="shared" si="39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5"/>
        <v/>
      </c>
      <c r="P433">
        <f>'Combined Delivery Data'!B460</f>
        <v>0</v>
      </c>
      <c r="Q433">
        <f t="shared" si="36"/>
        <v>0</v>
      </c>
      <c r="R433">
        <f t="shared" si="37"/>
        <v>468</v>
      </c>
      <c r="S433" s="28">
        <f t="shared" si="38"/>
        <v>0</v>
      </c>
      <c r="T433" t="str">
        <f t="shared" si="39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5"/>
        <v/>
      </c>
      <c r="P434">
        <f>'Combined Delivery Data'!B461</f>
        <v>0</v>
      </c>
      <c r="Q434">
        <f t="shared" si="36"/>
        <v>0</v>
      </c>
      <c r="R434">
        <f t="shared" si="37"/>
        <v>468</v>
      </c>
      <c r="S434" s="28">
        <f t="shared" si="38"/>
        <v>0</v>
      </c>
      <c r="T434" t="str">
        <f t="shared" si="39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5"/>
        <v/>
      </c>
      <c r="P435">
        <f>'Combined Delivery Data'!B462</f>
        <v>0</v>
      </c>
      <c r="Q435">
        <f t="shared" si="36"/>
        <v>0</v>
      </c>
      <c r="R435">
        <f t="shared" si="37"/>
        <v>468</v>
      </c>
      <c r="S435" s="28">
        <f t="shared" si="38"/>
        <v>0</v>
      </c>
      <c r="T435" t="str">
        <f t="shared" si="39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5"/>
        <v/>
      </c>
      <c r="P436">
        <f>'Combined Delivery Data'!B463</f>
        <v>0</v>
      </c>
      <c r="Q436">
        <f t="shared" si="36"/>
        <v>0</v>
      </c>
      <c r="R436">
        <f t="shared" si="37"/>
        <v>468</v>
      </c>
      <c r="S436" s="28">
        <f t="shared" si="38"/>
        <v>0</v>
      </c>
      <c r="T436" t="str">
        <f t="shared" si="39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5"/>
        <v/>
      </c>
      <c r="P437">
        <f>'Combined Delivery Data'!B464</f>
        <v>0</v>
      </c>
      <c r="Q437">
        <f t="shared" si="36"/>
        <v>0</v>
      </c>
      <c r="R437">
        <f t="shared" si="37"/>
        <v>468</v>
      </c>
      <c r="S437" s="28">
        <f t="shared" si="38"/>
        <v>0</v>
      </c>
      <c r="T437" t="str">
        <f t="shared" si="39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5"/>
        <v/>
      </c>
      <c r="P438">
        <f>'Combined Delivery Data'!B465</f>
        <v>0</v>
      </c>
      <c r="Q438">
        <f t="shared" si="36"/>
        <v>0</v>
      </c>
      <c r="R438">
        <f t="shared" si="37"/>
        <v>468</v>
      </c>
      <c r="S438" s="28">
        <f t="shared" si="38"/>
        <v>0</v>
      </c>
      <c r="T438" t="str">
        <f t="shared" si="39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5"/>
        <v/>
      </c>
      <c r="P439">
        <f>'Combined Delivery Data'!B466</f>
        <v>0</v>
      </c>
      <c r="Q439">
        <f t="shared" si="36"/>
        <v>0</v>
      </c>
      <c r="R439">
        <f t="shared" si="37"/>
        <v>468</v>
      </c>
      <c r="S439" s="28">
        <f t="shared" si="38"/>
        <v>0</v>
      </c>
      <c r="T439" t="str">
        <f t="shared" si="39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5"/>
        <v/>
      </c>
      <c r="P440">
        <f>'Combined Delivery Data'!B467</f>
        <v>0</v>
      </c>
      <c r="Q440">
        <f t="shared" si="36"/>
        <v>0</v>
      </c>
      <c r="R440">
        <f t="shared" si="37"/>
        <v>468</v>
      </c>
      <c r="S440" s="28">
        <f t="shared" si="38"/>
        <v>0</v>
      </c>
      <c r="T440" t="str">
        <f t="shared" si="39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5"/>
        <v/>
      </c>
      <c r="P441">
        <f>'Combined Delivery Data'!B468</f>
        <v>0</v>
      </c>
      <c r="Q441">
        <f t="shared" si="36"/>
        <v>0</v>
      </c>
      <c r="R441">
        <f t="shared" si="37"/>
        <v>468</v>
      </c>
      <c r="S441" s="28">
        <f t="shared" si="38"/>
        <v>0</v>
      </c>
      <c r="T441" t="str">
        <f t="shared" si="39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5"/>
        <v/>
      </c>
      <c r="P442">
        <f>'Combined Delivery Data'!B469</f>
        <v>0</v>
      </c>
      <c r="Q442">
        <f t="shared" si="36"/>
        <v>0</v>
      </c>
      <c r="R442">
        <f t="shared" si="37"/>
        <v>468</v>
      </c>
      <c r="S442" s="28">
        <f t="shared" si="38"/>
        <v>0</v>
      </c>
      <c r="T442" t="str">
        <f t="shared" si="39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5"/>
        <v/>
      </c>
      <c r="P443">
        <f>'Combined Delivery Data'!B470</f>
        <v>0</v>
      </c>
      <c r="Q443">
        <f t="shared" si="36"/>
        <v>0</v>
      </c>
      <c r="R443">
        <f t="shared" si="37"/>
        <v>468</v>
      </c>
      <c r="S443" s="28">
        <f t="shared" si="38"/>
        <v>0</v>
      </c>
      <c r="T443" t="str">
        <f t="shared" si="39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5"/>
        <v/>
      </c>
      <c r="P444">
        <f>'Combined Delivery Data'!B471</f>
        <v>0</v>
      </c>
      <c r="Q444">
        <f t="shared" si="36"/>
        <v>0</v>
      </c>
      <c r="R444">
        <f t="shared" si="37"/>
        <v>468</v>
      </c>
      <c r="S444" s="28">
        <f t="shared" si="38"/>
        <v>0</v>
      </c>
      <c r="T444" t="str">
        <f t="shared" si="39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5"/>
        <v/>
      </c>
      <c r="P445">
        <f>'Combined Delivery Data'!B472</f>
        <v>0</v>
      </c>
      <c r="Q445">
        <f t="shared" si="36"/>
        <v>0</v>
      </c>
      <c r="R445">
        <f t="shared" si="37"/>
        <v>468</v>
      </c>
      <c r="S445" s="28">
        <f t="shared" si="38"/>
        <v>0</v>
      </c>
      <c r="T445" t="str">
        <f t="shared" si="39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5"/>
        <v/>
      </c>
      <c r="P446">
        <f>'Combined Delivery Data'!B473</f>
        <v>0</v>
      </c>
      <c r="Q446">
        <f t="shared" si="36"/>
        <v>0</v>
      </c>
      <c r="R446">
        <f t="shared" si="37"/>
        <v>468</v>
      </c>
      <c r="S446" s="28">
        <f t="shared" si="38"/>
        <v>0</v>
      </c>
      <c r="T446" t="str">
        <f t="shared" si="39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5"/>
        <v/>
      </c>
      <c r="P447">
        <f>'Combined Delivery Data'!B474</f>
        <v>0</v>
      </c>
      <c r="Q447">
        <f t="shared" si="36"/>
        <v>0</v>
      </c>
      <c r="R447">
        <f t="shared" si="37"/>
        <v>468</v>
      </c>
      <c r="S447" s="28">
        <f t="shared" si="38"/>
        <v>0</v>
      </c>
      <c r="T447" t="str">
        <f t="shared" si="39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5"/>
        <v/>
      </c>
      <c r="P448">
        <f>'Combined Delivery Data'!B475</f>
        <v>0</v>
      </c>
      <c r="Q448">
        <f t="shared" si="36"/>
        <v>0</v>
      </c>
      <c r="R448">
        <f t="shared" si="37"/>
        <v>468</v>
      </c>
      <c r="S448" s="28">
        <f t="shared" si="38"/>
        <v>0</v>
      </c>
      <c r="T448" t="str">
        <f t="shared" si="39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5"/>
        <v/>
      </c>
      <c r="P449">
        <f>'Combined Delivery Data'!B476</f>
        <v>0</v>
      </c>
      <c r="Q449">
        <f t="shared" si="36"/>
        <v>0</v>
      </c>
      <c r="R449">
        <f t="shared" si="37"/>
        <v>468</v>
      </c>
      <c r="S449" s="28">
        <f t="shared" si="38"/>
        <v>0</v>
      </c>
      <c r="T449" t="str">
        <f t="shared" si="39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40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 t="shared" si="36"/>
        <v>0</v>
      </c>
      <c r="R450">
        <f t="shared" si="37"/>
        <v>468</v>
      </c>
      <c r="S450" s="28">
        <f t="shared" si="38"/>
        <v>0</v>
      </c>
      <c r="T450" t="str">
        <f t="shared" si="39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40"/>
        <v/>
      </c>
      <c r="P451">
        <f>'Combined Delivery Data'!B478</f>
        <v>0</v>
      </c>
      <c r="Q451">
        <f t="shared" si="36"/>
        <v>0</v>
      </c>
      <c r="R451">
        <f t="shared" si="37"/>
        <v>468</v>
      </c>
      <c r="S451" s="28">
        <f t="shared" si="38"/>
        <v>0</v>
      </c>
      <c r="T451" t="str">
        <f t="shared" si="39"/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40"/>
        <v/>
      </c>
      <c r="P452">
        <f>'Combined Delivery Data'!B479</f>
        <v>0</v>
      </c>
      <c r="Q452">
        <f t="shared" si="36"/>
        <v>0</v>
      </c>
      <c r="R452">
        <f t="shared" si="37"/>
        <v>468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40"/>
        <v/>
      </c>
      <c r="P453">
        <f>'Combined Delivery Data'!B480</f>
        <v>0</v>
      </c>
      <c r="Q453">
        <f t="shared" si="36"/>
        <v>0</v>
      </c>
      <c r="R453">
        <f t="shared" si="37"/>
        <v>468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40"/>
        <v/>
      </c>
      <c r="P454">
        <f>'Combined Delivery Data'!B481</f>
        <v>0</v>
      </c>
      <c r="Q454">
        <f t="shared" si="36"/>
        <v>0</v>
      </c>
      <c r="R454">
        <f t="shared" si="37"/>
        <v>468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40"/>
        <v/>
      </c>
      <c r="P455">
        <f>'Combined Delivery Data'!B482</f>
        <v>0</v>
      </c>
      <c r="Q455">
        <f t="shared" si="36"/>
        <v>0</v>
      </c>
      <c r="R455">
        <f t="shared" si="37"/>
        <v>468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40"/>
        <v/>
      </c>
      <c r="P456">
        <f>'Combined Delivery Data'!B483</f>
        <v>0</v>
      </c>
      <c r="Q456">
        <f t="shared" si="36"/>
        <v>0</v>
      </c>
      <c r="R456">
        <f t="shared" si="37"/>
        <v>468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40"/>
        <v/>
      </c>
      <c r="P457">
        <f>'Combined Delivery Data'!B484</f>
        <v>0</v>
      </c>
      <c r="Q457">
        <f t="shared" si="36"/>
        <v>0</v>
      </c>
      <c r="R457">
        <f t="shared" si="37"/>
        <v>468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40"/>
        <v/>
      </c>
      <c r="P458">
        <f>'Combined Delivery Data'!B485</f>
        <v>0</v>
      </c>
      <c r="Q458">
        <f t="shared" si="36"/>
        <v>0</v>
      </c>
      <c r="R458">
        <f t="shared" si="37"/>
        <v>468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40"/>
        <v/>
      </c>
      <c r="P459">
        <f>'Combined Delivery Data'!B486</f>
        <v>0</v>
      </c>
      <c r="Q459">
        <f t="shared" si="36"/>
        <v>0</v>
      </c>
      <c r="R459">
        <f t="shared" si="37"/>
        <v>468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40"/>
        <v/>
      </c>
      <c r="P460">
        <f>'Combined Delivery Data'!B487</f>
        <v>0</v>
      </c>
      <c r="Q460">
        <f t="shared" si="36"/>
        <v>0</v>
      </c>
      <c r="R460">
        <f t="shared" si="37"/>
        <v>468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40"/>
        <v/>
      </c>
      <c r="P461">
        <f>'Combined Delivery Data'!B488</f>
        <v>0</v>
      </c>
      <c r="Q461">
        <f t="shared" si="36"/>
        <v>0</v>
      </c>
      <c r="R461">
        <f t="shared" si="37"/>
        <v>468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40"/>
        <v/>
      </c>
      <c r="P462">
        <f>'Combined Delivery Data'!B489</f>
        <v>0</v>
      </c>
      <c r="Q462">
        <f t="shared" si="36"/>
        <v>0</v>
      </c>
      <c r="R462">
        <f t="shared" si="37"/>
        <v>468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40"/>
        <v/>
      </c>
      <c r="P463">
        <f>'Combined Delivery Data'!B490</f>
        <v>0</v>
      </c>
      <c r="Q463">
        <f t="shared" si="36"/>
        <v>0</v>
      </c>
      <c r="R463">
        <f t="shared" si="37"/>
        <v>468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40"/>
        <v/>
      </c>
      <c r="P464">
        <f>'Combined Delivery Data'!B491</f>
        <v>0</v>
      </c>
      <c r="Q464">
        <f t="shared" si="36"/>
        <v>0</v>
      </c>
      <c r="R464">
        <f t="shared" si="37"/>
        <v>468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40"/>
        <v/>
      </c>
      <c r="P465">
        <f>'Combined Delivery Data'!B492</f>
        <v>0</v>
      </c>
      <c r="Q465">
        <f t="shared" si="36"/>
        <v>0</v>
      </c>
      <c r="R465">
        <f t="shared" si="37"/>
        <v>468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40"/>
        <v/>
      </c>
      <c r="P466">
        <f>'Combined Delivery Data'!B493</f>
        <v>0</v>
      </c>
      <c r="Q466">
        <f t="shared" ref="Q466:Q499" si="41">IF($P466="","",COUNTIF($A$3:$A$499,$P466))</f>
        <v>0</v>
      </c>
      <c r="R466">
        <f t="shared" ref="R466:R499" si="42">IF($P466="","",SUMPRODUCT(($A$3:$A$499=$P466)*($G$3:$G$499&lt;&gt;"Yes")*($G$3:$G$499&lt;&gt;"Did not pass re-test")))</f>
        <v>468</v>
      </c>
      <c r="S466" s="28">
        <f t="shared" ref="S466:S499" si="43">IF($P466="","",IF(SUMPRODUCT(MAX(($A$3:$A$499=$P466)*ROW($A$3:$A$499)))=0,"",INDEX($B:$B,SUMPRODUCT(MAX(($A$3:$A$499=$P466)*ROW($A$3:$A$499))))))</f>
        <v>0</v>
      </c>
      <c r="T466" t="str">
        <f t="shared" ref="T466:T499" si="44"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40"/>
        <v/>
      </c>
      <c r="P467">
        <f>'Combined Delivery Data'!B494</f>
        <v>0</v>
      </c>
      <c r="Q467">
        <f t="shared" si="41"/>
        <v>0</v>
      </c>
      <c r="R467">
        <f t="shared" si="42"/>
        <v>468</v>
      </c>
      <c r="S467" s="28">
        <f t="shared" si="43"/>
        <v>0</v>
      </c>
      <c r="T467" t="str">
        <f t="shared" si="44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40"/>
        <v/>
      </c>
      <c r="P468">
        <f>'Combined Delivery Data'!B495</f>
        <v>0</v>
      </c>
      <c r="Q468">
        <f t="shared" si="41"/>
        <v>0</v>
      </c>
      <c r="R468">
        <f t="shared" si="42"/>
        <v>468</v>
      </c>
      <c r="S468" s="28">
        <f t="shared" si="43"/>
        <v>0</v>
      </c>
      <c r="T468" t="str">
        <f t="shared" si="44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40"/>
        <v/>
      </c>
      <c r="P469">
        <f>'Combined Delivery Data'!B496</f>
        <v>0</v>
      </c>
      <c r="Q469">
        <f t="shared" si="41"/>
        <v>0</v>
      </c>
      <c r="R469">
        <f t="shared" si="42"/>
        <v>468</v>
      </c>
      <c r="S469" s="28">
        <f t="shared" si="43"/>
        <v>0</v>
      </c>
      <c r="T469" t="str">
        <f t="shared" si="44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40"/>
        <v/>
      </c>
      <c r="P470">
        <f>'Combined Delivery Data'!B497</f>
        <v>0</v>
      </c>
      <c r="Q470">
        <f t="shared" si="41"/>
        <v>0</v>
      </c>
      <c r="R470">
        <f t="shared" si="42"/>
        <v>468</v>
      </c>
      <c r="S470" s="28">
        <f t="shared" si="43"/>
        <v>0</v>
      </c>
      <c r="T470" t="str">
        <f t="shared" si="44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40"/>
        <v/>
      </c>
      <c r="P471">
        <f>'Combined Delivery Data'!B498</f>
        <v>0</v>
      </c>
      <c r="Q471">
        <f t="shared" si="41"/>
        <v>0</v>
      </c>
      <c r="R471">
        <f t="shared" si="42"/>
        <v>468</v>
      </c>
      <c r="S471" s="28">
        <f t="shared" si="43"/>
        <v>0</v>
      </c>
      <c r="T471" t="str">
        <f t="shared" si="44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40"/>
        <v/>
      </c>
      <c r="P472">
        <f>'Combined Delivery Data'!B499</f>
        <v>0</v>
      </c>
      <c r="Q472">
        <f t="shared" si="41"/>
        <v>0</v>
      </c>
      <c r="R472">
        <f t="shared" si="42"/>
        <v>468</v>
      </c>
      <c r="S472" s="28">
        <f t="shared" si="43"/>
        <v>0</v>
      </c>
      <c r="T472" t="str">
        <f t="shared" si="44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40"/>
        <v/>
      </c>
      <c r="P473">
        <f>'Combined Delivery Data'!B500</f>
        <v>0</v>
      </c>
      <c r="Q473">
        <f t="shared" si="41"/>
        <v>0</v>
      </c>
      <c r="R473">
        <f t="shared" si="42"/>
        <v>468</v>
      </c>
      <c r="S473" s="28">
        <f t="shared" si="43"/>
        <v>0</v>
      </c>
      <c r="T473" t="str">
        <f t="shared" si="44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40"/>
        <v/>
      </c>
      <c r="P474">
        <f>'Combined Delivery Data'!B501</f>
        <v>0</v>
      </c>
      <c r="Q474">
        <f t="shared" si="41"/>
        <v>0</v>
      </c>
      <c r="R474">
        <f t="shared" si="42"/>
        <v>468</v>
      </c>
      <c r="S474" s="28">
        <f t="shared" si="43"/>
        <v>0</v>
      </c>
      <c r="T474" t="str">
        <f t="shared" si="44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40"/>
        <v/>
      </c>
      <c r="P475">
        <f>'Combined Delivery Data'!B502</f>
        <v>0</v>
      </c>
      <c r="Q475">
        <f t="shared" si="41"/>
        <v>0</v>
      </c>
      <c r="R475">
        <f t="shared" si="42"/>
        <v>468</v>
      </c>
      <c r="S475" s="28">
        <f t="shared" si="43"/>
        <v>0</v>
      </c>
      <c r="T475" t="str">
        <f t="shared" si="44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40"/>
        <v/>
      </c>
      <c r="P476">
        <f>'Combined Delivery Data'!B503</f>
        <v>0</v>
      </c>
      <c r="Q476">
        <f t="shared" si="41"/>
        <v>0</v>
      </c>
      <c r="R476">
        <f t="shared" si="42"/>
        <v>468</v>
      </c>
      <c r="S476" s="28">
        <f t="shared" si="43"/>
        <v>0</v>
      </c>
      <c r="T476" t="str">
        <f t="shared" si="44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40"/>
        <v/>
      </c>
      <c r="P477">
        <f>'Combined Delivery Data'!B504</f>
        <v>0</v>
      </c>
      <c r="Q477">
        <f t="shared" si="41"/>
        <v>0</v>
      </c>
      <c r="R477">
        <f t="shared" si="42"/>
        <v>468</v>
      </c>
      <c r="S477" s="28">
        <f t="shared" si="43"/>
        <v>0</v>
      </c>
      <c r="T477" t="str">
        <f t="shared" si="44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40"/>
        <v/>
      </c>
      <c r="P478">
        <f>'Combined Delivery Data'!B505</f>
        <v>0</v>
      </c>
      <c r="Q478">
        <f t="shared" si="41"/>
        <v>0</v>
      </c>
      <c r="R478">
        <f t="shared" si="42"/>
        <v>468</v>
      </c>
      <c r="S478" s="28">
        <f t="shared" si="43"/>
        <v>0</v>
      </c>
      <c r="T478" t="str">
        <f t="shared" si="44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40"/>
        <v/>
      </c>
      <c r="P479">
        <f>'Combined Delivery Data'!B506</f>
        <v>0</v>
      </c>
      <c r="Q479">
        <f t="shared" si="41"/>
        <v>0</v>
      </c>
      <c r="R479">
        <f t="shared" si="42"/>
        <v>468</v>
      </c>
      <c r="S479" s="28">
        <f t="shared" si="43"/>
        <v>0</v>
      </c>
      <c r="T479" t="str">
        <f t="shared" si="44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40"/>
        <v/>
      </c>
      <c r="P480">
        <f>'Combined Delivery Data'!B507</f>
        <v>0</v>
      </c>
      <c r="Q480">
        <f t="shared" si="41"/>
        <v>0</v>
      </c>
      <c r="R480">
        <f t="shared" si="42"/>
        <v>468</v>
      </c>
      <c r="S480" s="28">
        <f t="shared" si="43"/>
        <v>0</v>
      </c>
      <c r="T480" t="str">
        <f t="shared" si="44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40"/>
        <v/>
      </c>
      <c r="P481">
        <f>'Combined Delivery Data'!B508</f>
        <v>0</v>
      </c>
      <c r="Q481">
        <f t="shared" si="41"/>
        <v>0</v>
      </c>
      <c r="R481">
        <f t="shared" si="42"/>
        <v>468</v>
      </c>
      <c r="S481" s="28">
        <f t="shared" si="43"/>
        <v>0</v>
      </c>
      <c r="T481" t="str">
        <f t="shared" si="44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40"/>
        <v/>
      </c>
      <c r="P482">
        <f>'Combined Delivery Data'!B509</f>
        <v>0</v>
      </c>
      <c r="Q482">
        <f t="shared" si="41"/>
        <v>0</v>
      </c>
      <c r="R482">
        <f t="shared" si="42"/>
        <v>468</v>
      </c>
      <c r="S482" s="28">
        <f t="shared" si="43"/>
        <v>0</v>
      </c>
      <c r="T482" t="str">
        <f t="shared" si="44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40"/>
        <v/>
      </c>
      <c r="P483">
        <f>'Combined Delivery Data'!B510</f>
        <v>0</v>
      </c>
      <c r="Q483">
        <f t="shared" si="41"/>
        <v>0</v>
      </c>
      <c r="R483">
        <f t="shared" si="42"/>
        <v>468</v>
      </c>
      <c r="S483" s="28">
        <f t="shared" si="43"/>
        <v>0</v>
      </c>
      <c r="T483" t="str">
        <f t="shared" si="44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40"/>
        <v/>
      </c>
      <c r="P484">
        <f>'Combined Delivery Data'!B511</f>
        <v>0</v>
      </c>
      <c r="Q484">
        <f t="shared" si="41"/>
        <v>0</v>
      </c>
      <c r="R484">
        <f t="shared" si="42"/>
        <v>468</v>
      </c>
      <c r="S484" s="28">
        <f t="shared" si="43"/>
        <v>0</v>
      </c>
      <c r="T484" t="str">
        <f t="shared" si="44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40"/>
        <v/>
      </c>
      <c r="P485">
        <f>'Combined Delivery Data'!B512</f>
        <v>0</v>
      </c>
      <c r="Q485">
        <f t="shared" si="41"/>
        <v>0</v>
      </c>
      <c r="R485">
        <f t="shared" si="42"/>
        <v>468</v>
      </c>
      <c r="S485" s="28">
        <f t="shared" si="43"/>
        <v>0</v>
      </c>
      <c r="T485" t="str">
        <f t="shared" si="44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40"/>
        <v/>
      </c>
      <c r="P486">
        <f>'Combined Delivery Data'!B513</f>
        <v>0</v>
      </c>
      <c r="Q486">
        <f t="shared" si="41"/>
        <v>0</v>
      </c>
      <c r="R486">
        <f t="shared" si="42"/>
        <v>468</v>
      </c>
      <c r="S486" s="28">
        <f t="shared" si="43"/>
        <v>0</v>
      </c>
      <c r="T486" t="str">
        <f t="shared" si="44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40"/>
        <v/>
      </c>
      <c r="P487">
        <f>'Combined Delivery Data'!B514</f>
        <v>0</v>
      </c>
      <c r="Q487">
        <f t="shared" si="41"/>
        <v>0</v>
      </c>
      <c r="R487">
        <f t="shared" si="42"/>
        <v>468</v>
      </c>
      <c r="S487" s="28">
        <f t="shared" si="43"/>
        <v>0</v>
      </c>
      <c r="T487" t="str">
        <f t="shared" si="44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40"/>
        <v/>
      </c>
      <c r="P488">
        <f>'Combined Delivery Data'!B515</f>
        <v>0</v>
      </c>
      <c r="Q488">
        <f t="shared" si="41"/>
        <v>0</v>
      </c>
      <c r="R488">
        <f t="shared" si="42"/>
        <v>468</v>
      </c>
      <c r="S488" s="28">
        <f t="shared" si="43"/>
        <v>0</v>
      </c>
      <c r="T488" t="str">
        <f t="shared" si="44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40"/>
        <v/>
      </c>
      <c r="P489">
        <f>'Combined Delivery Data'!B516</f>
        <v>0</v>
      </c>
      <c r="Q489">
        <f t="shared" si="41"/>
        <v>0</v>
      </c>
      <c r="R489">
        <f t="shared" si="42"/>
        <v>468</v>
      </c>
      <c r="S489" s="28">
        <f t="shared" si="43"/>
        <v>0</v>
      </c>
      <c r="T489" t="str">
        <f t="shared" si="44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40"/>
        <v/>
      </c>
      <c r="P490">
        <f>'Combined Delivery Data'!B517</f>
        <v>0</v>
      </c>
      <c r="Q490">
        <f t="shared" si="41"/>
        <v>0</v>
      </c>
      <c r="R490">
        <f t="shared" si="42"/>
        <v>468</v>
      </c>
      <c r="S490" s="28">
        <f t="shared" si="43"/>
        <v>0</v>
      </c>
      <c r="T490" t="str">
        <f t="shared" si="44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40"/>
        <v/>
      </c>
      <c r="P491">
        <f>'Combined Delivery Data'!B518</f>
        <v>0</v>
      </c>
      <c r="Q491">
        <f t="shared" si="41"/>
        <v>0</v>
      </c>
      <c r="R491">
        <f t="shared" si="42"/>
        <v>468</v>
      </c>
      <c r="S491" s="28">
        <f t="shared" si="43"/>
        <v>0</v>
      </c>
      <c r="T491" t="str">
        <f t="shared" si="44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40"/>
        <v/>
      </c>
      <c r="P492">
        <f>'Combined Delivery Data'!B519</f>
        <v>0</v>
      </c>
      <c r="Q492">
        <f t="shared" si="41"/>
        <v>0</v>
      </c>
      <c r="R492">
        <f t="shared" si="42"/>
        <v>468</v>
      </c>
      <c r="S492" s="28">
        <f t="shared" si="43"/>
        <v>0</v>
      </c>
      <c r="T492" t="str">
        <f t="shared" si="44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40"/>
        <v/>
      </c>
      <c r="P493">
        <f>'Combined Delivery Data'!B520</f>
        <v>0</v>
      </c>
      <c r="Q493">
        <f t="shared" si="41"/>
        <v>0</v>
      </c>
      <c r="R493">
        <f t="shared" si="42"/>
        <v>468</v>
      </c>
      <c r="S493" s="28">
        <f t="shared" si="43"/>
        <v>0</v>
      </c>
      <c r="T493" t="str">
        <f t="shared" si="44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40"/>
        <v/>
      </c>
      <c r="P494">
        <f>'Combined Delivery Data'!B521</f>
        <v>0</v>
      </c>
      <c r="Q494">
        <f t="shared" si="41"/>
        <v>0</v>
      </c>
      <c r="R494">
        <f t="shared" si="42"/>
        <v>468</v>
      </c>
      <c r="S494" s="28">
        <f t="shared" si="43"/>
        <v>0</v>
      </c>
      <c r="T494" t="str">
        <f t="shared" si="44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40"/>
        <v/>
      </c>
      <c r="P495">
        <f>'Combined Delivery Data'!B522</f>
        <v>0</v>
      </c>
      <c r="Q495">
        <f t="shared" si="41"/>
        <v>0</v>
      </c>
      <c r="R495">
        <f t="shared" si="42"/>
        <v>468</v>
      </c>
      <c r="S495" s="28">
        <f t="shared" si="43"/>
        <v>0</v>
      </c>
      <c r="T495" t="str">
        <f t="shared" si="44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40"/>
        <v/>
      </c>
      <c r="P496">
        <f>'Combined Delivery Data'!B523</f>
        <v>0</v>
      </c>
      <c r="Q496">
        <f t="shared" si="41"/>
        <v>0</v>
      </c>
      <c r="R496">
        <f t="shared" si="42"/>
        <v>468</v>
      </c>
      <c r="S496" s="28">
        <f t="shared" si="43"/>
        <v>0</v>
      </c>
      <c r="T496" t="str">
        <f t="shared" si="44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40"/>
        <v/>
      </c>
      <c r="P497">
        <f>'Combined Delivery Data'!B524</f>
        <v>0</v>
      </c>
      <c r="Q497">
        <f t="shared" si="41"/>
        <v>0</v>
      </c>
      <c r="R497">
        <f t="shared" si="42"/>
        <v>468</v>
      </c>
      <c r="S497" s="28">
        <f t="shared" si="43"/>
        <v>0</v>
      </c>
      <c r="T497" t="str">
        <f t="shared" si="44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40"/>
        <v/>
      </c>
      <c r="P498">
        <f>'Combined Delivery Data'!B525</f>
        <v>0</v>
      </c>
      <c r="Q498">
        <f t="shared" si="41"/>
        <v>0</v>
      </c>
      <c r="R498">
        <f t="shared" si="42"/>
        <v>468</v>
      </c>
      <c r="S498" s="28">
        <f t="shared" si="43"/>
        <v>0</v>
      </c>
      <c r="T498" t="str">
        <f t="shared" si="44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40"/>
        <v/>
      </c>
      <c r="P499">
        <f>'Combined Delivery Data'!B526</f>
        <v>0</v>
      </c>
      <c r="Q499">
        <f t="shared" si="41"/>
        <v>0</v>
      </c>
      <c r="R499">
        <f t="shared" si="42"/>
        <v>468</v>
      </c>
      <c r="S499" s="28">
        <f t="shared" si="43"/>
        <v>0</v>
      </c>
      <c r="T499" t="str">
        <f t="shared" si="44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10">
      <formula>AND($B5&lt;&gt;"",MOD(ROW(),2)=0)</formula>
    </cfRule>
  </conditionalFormatting>
  <conditionalFormatting sqref="A11:A13">
    <cfRule type="expression" dxfId="15" priority="7">
      <formula>AND($B11&lt;&gt;"",MOD(ROW(),2)=0)</formula>
    </cfRule>
  </conditionalFormatting>
  <conditionalFormatting sqref="A18">
    <cfRule type="expression" dxfId="14" priority="6">
      <formula>AND($B18&lt;&gt;"",MOD(ROW(),2)=0)</formula>
    </cfRule>
  </conditionalFormatting>
  <conditionalFormatting sqref="A22">
    <cfRule type="expression" dxfId="13" priority="4">
      <formula>AND($B22&lt;&gt;"",MOD(ROW(),2)=0)</formula>
    </cfRule>
  </conditionalFormatting>
  <conditionalFormatting sqref="A26:A27">
    <cfRule type="expression" dxfId="12" priority="2">
      <formula>AND($B26&lt;&gt;"",MOD(ROW(),2)=0)</formula>
    </cfRule>
  </conditionalFormatting>
  <conditionalFormatting sqref="A31">
    <cfRule type="expression" dxfId="11" priority="1">
      <formula>AND($B31&lt;&gt;"",MOD(ROW(),2)=0)</formula>
    </cfRule>
  </conditionalFormatting>
  <conditionalFormatting sqref="A3:H3 K3:M3 A4:M4 M4:M11 B5:M8 A9:M10 B11:M13 A14:M17 B18:M18 A19:M21 B22:M22 A23:M25 B26:M27 A28:M28 A29:K30 M29:M30 B31:M31 A32:M499">
    <cfRule type="expression" dxfId="10" priority="20">
      <formula>AND($A3&lt;&gt;"",$G3="Yes")</formula>
    </cfRule>
    <cfRule type="expression" dxfId="9" priority="21">
      <formula>AND($A3&lt;&gt;"",$J3&lt;&gt;"")</formula>
    </cfRule>
    <cfRule type="expression" dxfId="8" priority="22">
      <formula>$A3&lt;&gt;""</formula>
    </cfRule>
  </conditionalFormatting>
  <conditionalFormatting sqref="C3:C199 G3:G199">
    <cfRule type="expression" dxfId="7" priority="23">
      <formula>$A3=""</formula>
    </cfRule>
  </conditionalFormatting>
  <conditionalFormatting sqref="K3:M3 A4:M4 M4:M11 B5:M8 A9:M10 B11:M13 A14:M17 B18:M18 A19:M21 B22:M22 A23:M25 B26:M27 A28:M28 M29:M30 B31:M31 A32:M499 A3:H3 A29:K30">
    <cfRule type="expression" dxfId="6" priority="19">
      <formula>AND($A3&lt;&gt;"",$G3="Did not pass re-test")</formula>
    </cfRule>
  </conditionalFormatting>
  <conditionalFormatting sqref="M3:M499">
    <cfRule type="expression" dxfId="5" priority="13">
      <formula>ISNUMBER(SEARCH("Sent back again",$M3))</formula>
    </cfRule>
    <cfRule type="expression" dxfId="4" priority="14">
      <formula>ISNUMBER(SEARCH("LATE",$M3))</formula>
    </cfRule>
    <cfRule type="expression" dxfId="3" priority="15">
      <formula>ISNUMBER(SEARCH("UNCLAIMED",$M3))</formula>
    </cfRule>
    <cfRule type="expression" dxfId="2" priority="16">
      <formula>ISNUMBER(SEARCH("Missing",$M3))</formula>
    </cfRule>
    <cfRule type="expression" dxfId="1" priority="17">
      <formula>ISNUMBER(SEARCH("Fixed in",$M3))</formula>
    </cfRule>
    <cfRule type="expression" dxfId="0" priority="18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383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384</v>
      </c>
      <c r="C2" s="8" t="s">
        <v>1</v>
      </c>
      <c r="D2" s="8" t="s">
        <v>385</v>
      </c>
      <c r="E2" s="8" t="s">
        <v>386</v>
      </c>
      <c r="F2" s="8" t="s">
        <v>6</v>
      </c>
      <c r="G2" s="8" t="s">
        <v>5</v>
      </c>
      <c r="H2" s="8" t="s">
        <v>387</v>
      </c>
      <c r="I2" s="8" t="s">
        <v>388</v>
      </c>
      <c r="J2" s="8" t="s">
        <v>389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390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390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390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390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390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180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180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180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27" t="s">
        <v>391</v>
      </c>
      <c r="B1" s="121"/>
      <c r="C1" s="121"/>
    </row>
    <row r="2" spans="1:3" ht="14.25" customHeight="1">
      <c r="A2" s="8" t="s">
        <v>0</v>
      </c>
      <c r="B2" s="8" t="s">
        <v>392</v>
      </c>
      <c r="C2" s="8" t="s">
        <v>388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393</v>
      </c>
      <c r="B11" s="11">
        <v>18</v>
      </c>
      <c r="C11" s="12">
        <v>46386</v>
      </c>
    </row>
    <row r="12" spans="1:3" ht="14.25" customHeight="1">
      <c r="A12" s="11" t="s">
        <v>393</v>
      </c>
      <c r="B12" s="11">
        <v>18</v>
      </c>
      <c r="C12" s="12">
        <v>46417</v>
      </c>
    </row>
    <row r="13" spans="1:3" ht="14.25" customHeight="1">
      <c r="A13" s="11" t="s">
        <v>393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394</v>
      </c>
      <c r="F1" s="1" t="s">
        <v>326</v>
      </c>
      <c r="G1" s="5" t="s">
        <v>395</v>
      </c>
      <c r="H1" s="5" t="s">
        <v>20</v>
      </c>
      <c r="I1" t="s">
        <v>35</v>
      </c>
      <c r="J1" s="5" t="s">
        <v>396</v>
      </c>
      <c r="K1" s="5" t="s">
        <v>129</v>
      </c>
      <c r="L1" s="5" t="s">
        <v>345</v>
      </c>
      <c r="M1" s="1" t="s">
        <v>397</v>
      </c>
      <c r="N1" s="1" t="s">
        <v>398</v>
      </c>
      <c r="R1" t="s">
        <v>13</v>
      </c>
      <c r="T1" t="s">
        <v>399</v>
      </c>
    </row>
    <row r="2" spans="1:20" ht="13.5" customHeight="1">
      <c r="A2" s="2" t="s">
        <v>400</v>
      </c>
      <c r="B2" s="2" t="s">
        <v>401</v>
      </c>
      <c r="C2" s="2" t="s">
        <v>402</v>
      </c>
      <c r="D2" s="2" t="s">
        <v>403</v>
      </c>
      <c r="E2" s="2" t="s">
        <v>404</v>
      </c>
      <c r="F2" s="2" t="s">
        <v>405</v>
      </c>
      <c r="G2" t="s">
        <v>406</v>
      </c>
      <c r="H2" t="s">
        <v>407</v>
      </c>
      <c r="I2" t="s">
        <v>408</v>
      </c>
      <c r="J2" s="29" t="s">
        <v>409</v>
      </c>
      <c r="K2" s="29" t="s">
        <v>410</v>
      </c>
      <c r="L2" s="29" t="s">
        <v>411</v>
      </c>
      <c r="M2" t="s">
        <v>147</v>
      </c>
      <c r="N2" s="45" t="s">
        <v>412</v>
      </c>
      <c r="R2" t="s">
        <v>246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206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413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414</v>
      </c>
      <c r="J4" t="s">
        <v>150</v>
      </c>
      <c r="L4" t="s">
        <v>50</v>
      </c>
      <c r="M4" t="s">
        <v>103</v>
      </c>
      <c r="N4" s="45" t="s">
        <v>413</v>
      </c>
      <c r="R4" t="s">
        <v>172</v>
      </c>
      <c r="T4" t="s">
        <v>72</v>
      </c>
    </row>
    <row r="5" spans="1:20" ht="15" customHeight="1">
      <c r="A5" t="s">
        <v>393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415</v>
      </c>
      <c r="J5" t="s">
        <v>141</v>
      </c>
      <c r="L5" t="s">
        <v>416</v>
      </c>
      <c r="M5" t="s">
        <v>88</v>
      </c>
      <c r="N5" s="45" t="s">
        <v>413</v>
      </c>
    </row>
    <row r="6" spans="1:20" ht="15" customHeight="1">
      <c r="A6" t="s">
        <v>299</v>
      </c>
      <c r="B6" t="s">
        <v>84</v>
      </c>
      <c r="F6" t="s">
        <v>141</v>
      </c>
      <c r="G6" t="s">
        <v>84</v>
      </c>
      <c r="H6" t="s">
        <v>147</v>
      </c>
      <c r="I6" t="s">
        <v>417</v>
      </c>
      <c r="J6" t="s">
        <v>129</v>
      </c>
      <c r="M6" t="s">
        <v>48</v>
      </c>
      <c r="N6" s="45" t="s">
        <v>413</v>
      </c>
    </row>
    <row r="7" spans="1:20" ht="15" customHeight="1">
      <c r="A7" t="s">
        <v>289</v>
      </c>
      <c r="B7" t="s">
        <v>118</v>
      </c>
      <c r="F7" t="s">
        <v>129</v>
      </c>
      <c r="G7" t="s">
        <v>118</v>
      </c>
      <c r="H7" t="s">
        <v>418</v>
      </c>
      <c r="I7" t="s">
        <v>419</v>
      </c>
      <c r="M7" t="s">
        <v>130</v>
      </c>
      <c r="N7" s="45" t="s">
        <v>413</v>
      </c>
    </row>
    <row r="8" spans="1:20" ht="15" customHeight="1">
      <c r="B8" t="s">
        <v>76</v>
      </c>
      <c r="F8" t="s">
        <v>42</v>
      </c>
      <c r="G8" t="s">
        <v>76</v>
      </c>
      <c r="I8" t="s">
        <v>420</v>
      </c>
      <c r="M8" t="s">
        <v>60</v>
      </c>
      <c r="N8" s="45" t="s">
        <v>413</v>
      </c>
    </row>
    <row r="9" spans="1:20" ht="15" customHeight="1">
      <c r="B9" t="s">
        <v>103</v>
      </c>
      <c r="G9" t="s">
        <v>103</v>
      </c>
      <c r="I9" t="s">
        <v>421</v>
      </c>
      <c r="M9" t="s">
        <v>160</v>
      </c>
      <c r="N9" s="45" t="s">
        <v>413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413</v>
      </c>
    </row>
    <row r="11" spans="1:20">
      <c r="B11" t="s">
        <v>422</v>
      </c>
      <c r="G11" t="s">
        <v>60</v>
      </c>
      <c r="M11" t="s">
        <v>76</v>
      </c>
      <c r="N11" s="45" t="s">
        <v>413</v>
      </c>
    </row>
    <row r="12" spans="1:20">
      <c r="B12" t="s">
        <v>423</v>
      </c>
      <c r="G12" t="s">
        <v>46</v>
      </c>
      <c r="M12" t="s">
        <v>46</v>
      </c>
      <c r="N12" s="45" t="s">
        <v>413</v>
      </c>
    </row>
    <row r="13" spans="1:20">
      <c r="G13" t="s">
        <v>77</v>
      </c>
      <c r="M13" t="s">
        <v>77</v>
      </c>
      <c r="N13" s="45" t="s">
        <v>413</v>
      </c>
    </row>
    <row r="14" spans="1:20">
      <c r="M14" t="s">
        <v>84</v>
      </c>
      <c r="N14" s="45" t="s">
        <v>424</v>
      </c>
    </row>
    <row r="15" spans="1:20">
      <c r="M15" t="s">
        <v>59</v>
      </c>
      <c r="N15" s="45" t="s">
        <v>413</v>
      </c>
    </row>
    <row r="16" spans="1:20">
      <c r="M16" t="s">
        <v>118</v>
      </c>
      <c r="N16" s="45" t="s">
        <v>413</v>
      </c>
    </row>
    <row r="17" spans="13:14">
      <c r="M17" t="s">
        <v>65</v>
      </c>
      <c r="N17" s="45" t="s">
        <v>413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2026-09-03T16:45:25Z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