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63" documentId="13_ncr:1_{52745E9B-3AA1-4770-AAD3-E6166BFC13AE}" xr6:coauthVersionLast="47" xr6:coauthVersionMax="47" xr10:uidLastSave="{F201BFB7-AEC2-4682-89A0-0CB486F6F58A}"/>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55" i="2" l="1"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s="1"/>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<sst xmlns="http://schemas.openxmlformats.org/spreadsheetml/2006/main" count="3166" uniqueCount="468">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</sst>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C44" activePane="topRight" state="frozen"/>
      <selection pane="topRight" activeCell="B15" sqref="B15"/>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206</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Open rework row - mark Blocked? or close it</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216</v>
      </c>
      <c r="C62" s="33" t="s">
        <v>173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v>46282</v>
      </c>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36">
        <v>46282</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220</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hidden="1">
      <c r="A64" s="118" t="s">
        <v>126</v>
      </c>
      <c r="B64" s="118" t="s">
        <v>221</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222</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223</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hidden="1">
      <c r="A66" s="157" t="s">
        <v>126</v>
      </c>
      <c r="B66" s="157" t="s">
        <v>224</v>
      </c>
      <c r="C66" s="157" t="s">
        <v>225</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222</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hidden="1">
      <c r="A67" s="33" t="s">
        <v>126</v>
      </c>
      <c r="B67" s="33" t="s">
        <v>226</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227</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228</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229</v>
      </c>
      <c r="K68" s="85">
        <v>46276</v>
      </c>
      <c r="L68" s="86">
        <v>46258</v>
      </c>
      <c r="M68" s="86">
        <v>46258</v>
      </c>
      <c r="N68" s="86"/>
      <c r="O68" s="86" t="s">
        <v>198</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233</v>
      </c>
      <c r="C69" s="97" t="s">
        <v>225</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230</v>
      </c>
      <c r="U69" s="97"/>
      <c r="V69" s="106">
        <v>46290</v>
      </c>
      <c r="W69" s="103"/>
      <c r="X69" s="103"/>
      <c r="Y69" s="103"/>
      <c r="Z69" s="103"/>
      <c r="AA69" s="107">
        <v>46295</v>
      </c>
      <c r="AB69" s="103"/>
      <c r="AC69" s="103"/>
      <c r="AD69" s="78" t="s">
        <v>234</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235</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236</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hidden="1">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v>46281</v>
      </c>
      <c r="T71" s="68" t="s">
        <v>230</v>
      </c>
      <c r="U71" s="33" t="s">
        <v>47</v>
      </c>
      <c r="V71" s="58">
        <v>46290</v>
      </c>
      <c r="W71" s="36"/>
      <c r="X71" s="36"/>
      <c r="Y71" s="36"/>
      <c r="Z71" s="36"/>
      <c r="AA71" s="51">
        <v>46295</v>
      </c>
      <c r="AB71" s="36"/>
      <c r="AC71" s="36"/>
      <c r="AD71" s="33" t="s">
        <v>238</v>
      </c>
      <c r="AE71" s="33" t="s">
        <v>94</v>
      </c>
      <c r="AF71" s="38"/>
      <c r="AG71" s="36"/>
      <c r="AH71" s="39"/>
      <c r="AI71" s="33"/>
      <c r="AJ71" s="40" t="s">
        <v>53</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230</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241</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242</v>
      </c>
      <c r="J73" s="31" t="s">
        <v>76</v>
      </c>
      <c r="K73" s="43">
        <v>46304</v>
      </c>
      <c r="L73" s="43">
        <v>46259</v>
      </c>
      <c r="M73" s="46">
        <v>46259</v>
      </c>
      <c r="N73" s="44" t="s">
        <v>45</v>
      </c>
      <c r="O73" s="44" t="s">
        <v>198</v>
      </c>
      <c r="P73" s="65" t="s">
        <v>77</v>
      </c>
      <c r="Q73" s="43">
        <v>46313</v>
      </c>
      <c r="R73" s="43"/>
      <c r="S73" s="44"/>
      <c r="T73" s="69" t="s">
        <v>243</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244</v>
      </c>
      <c r="C74" s="31" t="s">
        <v>189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242</v>
      </c>
      <c r="J74" s="53" t="s">
        <v>229</v>
      </c>
      <c r="K74" s="43">
        <v>46304</v>
      </c>
      <c r="L74" s="43">
        <v>46269</v>
      </c>
      <c r="M74" s="44">
        <v>46269</v>
      </c>
      <c r="N74" s="44"/>
      <c r="O74" s="44" t="s">
        <v>198</v>
      </c>
      <c r="P74" s="74" t="s">
        <v>77</v>
      </c>
      <c r="Q74" s="43">
        <v>46313</v>
      </c>
      <c r="R74" s="43"/>
      <c r="S74" s="44"/>
      <c r="T74" s="69" t="s">
        <v>243</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hidden="1">
      <c r="A75" s="135" t="s">
        <v>126</v>
      </c>
      <c r="B75" s="135" t="s">
        <v>245</v>
      </c>
      <c r="C75" s="135" t="s">
        <v>225</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242</v>
      </c>
      <c r="J75" s="135" t="s">
        <v>59</v>
      </c>
      <c r="K75" s="139">
        <v>46304</v>
      </c>
      <c r="L75" s="139"/>
      <c r="M75" s="140"/>
      <c r="N75" s="140"/>
      <c r="O75" s="140" t="s">
        <v>198</v>
      </c>
      <c r="P75" s="141"/>
      <c r="Q75" s="139">
        <v>46313</v>
      </c>
      <c r="R75" s="139"/>
      <c r="S75" s="140"/>
      <c r="T75" s="142" t="s">
        <v>243</v>
      </c>
      <c r="U75" s="143"/>
      <c r="V75" s="144">
        <v>46316</v>
      </c>
      <c r="W75" s="139"/>
      <c r="X75" s="135"/>
      <c r="Y75" s="135"/>
      <c r="Z75" s="145"/>
      <c r="AA75" s="144">
        <v>46325</v>
      </c>
      <c r="AB75" s="139"/>
      <c r="AC75" s="139"/>
      <c r="AD75" s="135" t="s">
        <v>246</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hidden="1">
      <c r="A76" s="135" t="s">
        <v>126</v>
      </c>
      <c r="B76" s="135" t="s">
        <v>247</v>
      </c>
      <c r="C76" s="135" t="s">
        <v>225</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242</v>
      </c>
      <c r="J76" s="135" t="s">
        <v>59</v>
      </c>
      <c r="K76" s="139">
        <v>46304</v>
      </c>
      <c r="L76" s="139"/>
      <c r="M76" s="140"/>
      <c r="N76" s="140"/>
      <c r="O76" s="140" t="s">
        <v>198</v>
      </c>
      <c r="P76" s="141"/>
      <c r="Q76" s="139">
        <v>46313</v>
      </c>
      <c r="R76" s="139"/>
      <c r="S76" s="140"/>
      <c r="T76" s="142" t="s">
        <v>243</v>
      </c>
      <c r="U76" s="143"/>
      <c r="V76" s="144">
        <v>46316</v>
      </c>
      <c r="W76" s="139"/>
      <c r="X76" s="135"/>
      <c r="Y76" s="135"/>
      <c r="Z76" s="145"/>
      <c r="AA76" s="144">
        <v>46325</v>
      </c>
      <c r="AB76" s="139"/>
      <c r="AC76" s="139"/>
      <c r="AD76" s="135" t="s">
        <v>246</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hidden="1">
      <c r="A77" s="135" t="s">
        <v>126</v>
      </c>
      <c r="B77" s="135" t="s">
        <v>248</v>
      </c>
      <c r="C77" s="135" t="s">
        <v>225</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242</v>
      </c>
      <c r="J77" s="135" t="s">
        <v>154</v>
      </c>
      <c r="K77" s="139">
        <v>46304</v>
      </c>
      <c r="L77" s="139"/>
      <c r="M77" s="140"/>
      <c r="N77" s="140"/>
      <c r="O77" s="140" t="s">
        <v>198</v>
      </c>
      <c r="P77" s="141"/>
      <c r="Q77" s="139">
        <v>46313</v>
      </c>
      <c r="R77" s="139"/>
      <c r="S77" s="140"/>
      <c r="T77" s="142" t="s">
        <v>243</v>
      </c>
      <c r="U77" s="143"/>
      <c r="V77" s="144">
        <v>46316</v>
      </c>
      <c r="W77" s="139"/>
      <c r="X77" s="135"/>
      <c r="Y77" s="135"/>
      <c r="Z77" s="145"/>
      <c r="AA77" s="144">
        <v>46325</v>
      </c>
      <c r="AB77" s="139"/>
      <c r="AC77" s="139"/>
      <c r="AD77" s="135" t="s">
        <v>246</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hidden="1">
      <c r="A78" s="146" t="s">
        <v>126</v>
      </c>
      <c r="B78" s="146" t="s">
        <v>249</v>
      </c>
      <c r="C78" s="146" t="s">
        <v>225</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242</v>
      </c>
      <c r="J78" s="146" t="s">
        <v>44</v>
      </c>
      <c r="K78" s="150">
        <v>46304</v>
      </c>
      <c r="L78" s="150"/>
      <c r="M78" s="151"/>
      <c r="N78" s="151"/>
      <c r="O78" s="151" t="s">
        <v>250</v>
      </c>
      <c r="P78" s="152" t="s">
        <v>60</v>
      </c>
      <c r="Q78" s="150">
        <v>46313</v>
      </c>
      <c r="R78" s="150"/>
      <c r="S78" s="151"/>
      <c r="T78" s="153" t="s">
        <v>243</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251</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252</v>
      </c>
      <c r="O79" s="44" t="s">
        <v>198</v>
      </c>
      <c r="P79" s="74" t="s">
        <v>46</v>
      </c>
      <c r="Q79" s="43">
        <v>46313</v>
      </c>
      <c r="R79" s="43"/>
      <c r="S79" s="44"/>
      <c r="T79" s="69" t="s">
        <v>243</v>
      </c>
      <c r="U79" s="46"/>
      <c r="V79" s="28">
        <v>46316</v>
      </c>
      <c r="W79" s="43"/>
      <c r="X79" s="31"/>
      <c r="Y79" s="31"/>
      <c r="Z79" s="36"/>
      <c r="AA79" s="28">
        <v>46325</v>
      </c>
      <c r="AB79" s="43"/>
      <c r="AC79" s="43"/>
      <c r="AD79" s="31" t="s">
        <v>253</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254</v>
      </c>
      <c r="C80" s="31" t="s">
        <v>225</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hidden="1">
      <c r="A81" s="146" t="s">
        <v>126</v>
      </c>
      <c r="B81" s="146" t="s">
        <v>255</v>
      </c>
      <c r="C81" s="146" t="s">
        <v>225</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242</v>
      </c>
      <c r="J81" s="33" t="s">
        <v>103</v>
      </c>
      <c r="K81" s="150">
        <v>46304</v>
      </c>
      <c r="L81" s="150"/>
      <c r="M81" s="151"/>
      <c r="N81" s="151"/>
      <c r="O81" s="151" t="s">
        <v>250</v>
      </c>
      <c r="P81" s="152" t="s">
        <v>60</v>
      </c>
      <c r="Q81" s="150">
        <v>46313</v>
      </c>
      <c r="R81" s="150"/>
      <c r="S81" s="151"/>
      <c r="T81" s="169" t="s">
        <v>256</v>
      </c>
      <c r="U81" s="154"/>
      <c r="V81" s="155">
        <v>46316</v>
      </c>
      <c r="W81" s="150"/>
      <c r="X81" s="146"/>
      <c r="Y81" s="146"/>
      <c r="Z81" s="156"/>
      <c r="AA81" s="155">
        <v>46325</v>
      </c>
      <c r="AB81" s="150"/>
      <c r="AC81" s="150"/>
      <c r="AD81" s="146" t="s">
        <v>222</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257</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242</v>
      </c>
      <c r="J82" s="53" t="s">
        <v>154</v>
      </c>
      <c r="K82" s="43">
        <v>46304</v>
      </c>
      <c r="L82" s="43">
        <v>46281</v>
      </c>
      <c r="M82" s="44"/>
      <c r="N82" s="46" t="s">
        <v>146</v>
      </c>
      <c r="O82" s="44" t="s">
        <v>250</v>
      </c>
      <c r="P82" s="74" t="s">
        <v>46</v>
      </c>
      <c r="Q82" s="43">
        <v>46313</v>
      </c>
      <c r="R82" s="43"/>
      <c r="S82" s="44"/>
      <c r="T82" s="68" t="s">
        <v>256</v>
      </c>
      <c r="U82" s="46"/>
      <c r="V82" s="28">
        <v>46316</v>
      </c>
      <c r="W82" s="43"/>
      <c r="X82" s="31"/>
      <c r="Y82" s="31"/>
      <c r="Z82" s="36"/>
      <c r="AA82" s="28">
        <v>46325</v>
      </c>
      <c r="AB82" s="43"/>
      <c r="AC82" s="43"/>
      <c r="AD82" s="31" t="s">
        <v>258</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259</v>
      </c>
      <c r="C83" s="31" t="s">
        <v>189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252</v>
      </c>
      <c r="O83" s="44" t="s">
        <v>250</v>
      </c>
      <c r="P83" s="74" t="s">
        <v>77</v>
      </c>
      <c r="Q83" s="43">
        <v>46313</v>
      </c>
      <c r="R83" s="43"/>
      <c r="S83" s="44"/>
      <c r="T83" s="68" t="s">
        <v>256</v>
      </c>
      <c r="U83" s="46"/>
      <c r="V83" s="28">
        <v>46316</v>
      </c>
      <c r="W83" s="43"/>
      <c r="X83" s="31"/>
      <c r="Y83" s="31"/>
      <c r="Z83" s="36"/>
      <c r="AA83" s="28">
        <v>46325</v>
      </c>
      <c r="AB83" s="43"/>
      <c r="AC83" s="43"/>
      <c r="AD83" s="31" t="s">
        <v>260</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261</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242</v>
      </c>
      <c r="J84" s="53" t="s">
        <v>76</v>
      </c>
      <c r="K84" s="43">
        <v>46304</v>
      </c>
      <c r="L84" s="43"/>
      <c r="M84" s="44"/>
      <c r="N84" s="44" t="s">
        <v>252</v>
      </c>
      <c r="O84" s="44" t="s">
        <v>250</v>
      </c>
      <c r="P84" s="74" t="s">
        <v>46</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262</v>
      </c>
      <c r="C85" s="31" t="s">
        <v>225</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1" t="s">
        <v>143</v>
      </c>
      <c r="G85" s="31"/>
      <c r="H85" s="49">
        <v>46325</v>
      </c>
      <c r="I85" s="55" t="s">
        <v>242</v>
      </c>
      <c r="J85" s="53" t="s">
        <v>44</v>
      </c>
      <c r="K85" s="43">
        <v>46304</v>
      </c>
      <c r="L85" s="43"/>
      <c r="M85" s="44"/>
      <c r="N85" s="44"/>
      <c r="O85" s="44" t="s">
        <v>250</v>
      </c>
      <c r="P85" s="74" t="s">
        <v>60</v>
      </c>
      <c r="Q85" s="43">
        <v>46313</v>
      </c>
      <c r="R85" s="43"/>
      <c r="S85" s="44"/>
      <c r="T85" s="68" t="s">
        <v>256</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264</v>
      </c>
      <c r="C86" s="31" t="s">
        <v>225</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265</v>
      </c>
      <c r="J86" s="53" t="s">
        <v>84</v>
      </c>
      <c r="K86" s="49">
        <v>46332</v>
      </c>
      <c r="L86" s="43"/>
      <c r="M86" s="44"/>
      <c r="N86" s="44"/>
      <c r="O86" s="44" t="s">
        <v>250</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267</v>
      </c>
      <c r="C87" s="31" t="s">
        <v>225</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265</v>
      </c>
      <c r="J87" s="53" t="s">
        <v>59</v>
      </c>
      <c r="K87" s="49">
        <v>46332</v>
      </c>
      <c r="L87" s="43"/>
      <c r="M87" s="44"/>
      <c r="N87" s="44"/>
      <c r="O87" s="44" t="s">
        <v>250</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268</v>
      </c>
      <c r="C88" s="31" t="s">
        <v>225</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265</v>
      </c>
      <c r="J88" s="53" t="s">
        <v>59</v>
      </c>
      <c r="K88" s="49">
        <v>46332</v>
      </c>
      <c r="L88" s="43"/>
      <c r="M88" s="44"/>
      <c r="N88" s="44"/>
      <c r="O88" s="44" t="s">
        <v>250</v>
      </c>
      <c r="P88" s="74"/>
      <c r="Q88" s="49">
        <v>46339</v>
      </c>
      <c r="R88" s="43"/>
      <c r="S88" s="44"/>
      <c r="T88" s="68" t="s">
        <v>269</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270</v>
      </c>
      <c r="C89" s="31" t="s">
        <v>225</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265</v>
      </c>
      <c r="J89" s="53" t="s">
        <v>229</v>
      </c>
      <c r="K89" s="49">
        <v>46332</v>
      </c>
      <c r="L89" s="43">
        <v>46282</v>
      </c>
      <c r="M89" s="44">
        <v>46282</v>
      </c>
      <c r="N89" s="44"/>
      <c r="O89" s="44" t="s">
        <v>250</v>
      </c>
      <c r="P89" s="74"/>
      <c r="Q89" s="49">
        <v>46339</v>
      </c>
      <c r="R89" s="43"/>
      <c r="S89" s="44"/>
      <c r="T89" s="68" t="s">
        <v>269</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271</v>
      </c>
      <c r="C90" s="31" t="s">
        <v>225</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265</v>
      </c>
      <c r="J90" s="53"/>
      <c r="K90" s="49">
        <v>46332</v>
      </c>
      <c r="L90" s="43"/>
      <c r="M90" s="44"/>
      <c r="N90" s="44"/>
      <c r="O90" s="36" t="s">
        <v>272</v>
      </c>
      <c r="P90" s="74"/>
      <c r="Q90" s="49">
        <v>46339</v>
      </c>
      <c r="R90" s="43"/>
      <c r="S90" s="44"/>
      <c r="T90" s="68" t="s">
        <v>269</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273</v>
      </c>
      <c r="C91" s="31" t="s">
        <v>225</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250</v>
      </c>
      <c r="P91" s="74"/>
      <c r="Q91" s="49">
        <v>46339</v>
      </c>
      <c r="R91" s="43"/>
      <c r="S91" s="44"/>
      <c r="T91" s="68" t="s">
        <v>269</v>
      </c>
      <c r="U91" s="46"/>
      <c r="V91" s="28">
        <v>46344</v>
      </c>
      <c r="W91" s="43"/>
      <c r="X91" s="31"/>
      <c r="Y91" s="31"/>
      <c r="Z91" s="36"/>
      <c r="AA91" s="28">
        <v>46356</v>
      </c>
      <c r="AB91" s="43"/>
      <c r="AC91" s="43"/>
      <c r="AD91" s="31" t="s">
        <v>274</v>
      </c>
      <c r="AE91" s="31" t="s">
        <v>72</v>
      </c>
      <c r="AF91" s="31"/>
      <c r="AG91" s="31"/>
      <c r="AH91" s="31"/>
      <c r="AI91" s="31"/>
      <c r="AJ91" s="31"/>
      <c r="AK91" s="31"/>
      <c r="AL91" s="31" t="s">
        <v>275</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276</v>
      </c>
      <c r="C92" s="31" t="s">
        <v>225</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265</v>
      </c>
      <c r="J92" s="53" t="s">
        <v>84</v>
      </c>
      <c r="K92" s="49">
        <v>46332</v>
      </c>
      <c r="L92" s="43">
        <v>46332</v>
      </c>
      <c r="M92" s="44">
        <v>46275</v>
      </c>
      <c r="N92" s="44"/>
      <c r="O92" s="44" t="s">
        <v>250</v>
      </c>
      <c r="P92" s="74"/>
      <c r="Q92" s="49">
        <v>46339</v>
      </c>
      <c r="R92" s="43"/>
      <c r="S92" s="44"/>
      <c r="T92" s="68" t="s">
        <v>269</v>
      </c>
      <c r="U92" s="46"/>
      <c r="V92" s="28">
        <v>46344</v>
      </c>
      <c r="W92" s="43"/>
      <c r="X92" s="31"/>
      <c r="Y92" s="31"/>
      <c r="Z92" s="36"/>
      <c r="AA92" s="28">
        <v>46356</v>
      </c>
      <c r="AB92" s="43"/>
      <c r="AC92" s="43"/>
      <c r="AD92" s="31" t="s">
        <v>170</v>
      </c>
      <c r="AE92" s="31" t="s">
        <v>72</v>
      </c>
      <c r="AF92" s="31"/>
      <c r="AG92" s="31"/>
      <c r="AH92" s="31"/>
      <c r="AI92" s="31"/>
      <c r="AJ92" s="31"/>
      <c r="AK92" s="31"/>
      <c r="AL92" s="31" t="s">
        <v>277</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278</v>
      </c>
      <c r="C93" s="31" t="s">
        <v>225</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c r="K93" s="49">
        <v>46332</v>
      </c>
      <c r="L93" s="43"/>
      <c r="M93" s="44"/>
      <c r="N93" s="44"/>
      <c r="O93" s="36" t="s">
        <v>279</v>
      </c>
      <c r="P93" s="74"/>
      <c r="Q93" s="49">
        <v>46339</v>
      </c>
      <c r="R93" s="43"/>
      <c r="S93" s="44"/>
      <c r="T93" s="68" t="s">
        <v>269</v>
      </c>
      <c r="U93" s="46"/>
      <c r="V93" s="28">
        <v>46344</v>
      </c>
      <c r="W93" s="43"/>
      <c r="X93" s="31"/>
      <c r="Y93" s="31"/>
      <c r="Z93" s="36"/>
      <c r="AA93" s="28">
        <v>46356</v>
      </c>
      <c r="AB93" s="43"/>
      <c r="AC93" s="43"/>
      <c r="AD93" s="31" t="s">
        <v>280</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225</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265</v>
      </c>
      <c r="J94" s="53"/>
      <c r="K94" s="49">
        <v>46332</v>
      </c>
      <c r="L94" s="43"/>
      <c r="M94" s="44"/>
      <c r="N94" s="44"/>
      <c r="O94" s="36" t="s">
        <v>279</v>
      </c>
      <c r="P94" s="74"/>
      <c r="Q94" s="49">
        <v>46339</v>
      </c>
      <c r="R94" s="43"/>
      <c r="S94" s="44"/>
      <c r="T94" s="68" t="s">
        <v>269</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225</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265</v>
      </c>
      <c r="J95" s="53" t="s">
        <v>76</v>
      </c>
      <c r="K95" s="49">
        <v>46332</v>
      </c>
      <c r="L95" s="43"/>
      <c r="M95" s="44"/>
      <c r="N95" s="44"/>
      <c r="O95" s="36" t="s">
        <v>272</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225</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272</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225</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c r="K97" s="49">
        <v>46332</v>
      </c>
      <c r="L97" s="43"/>
      <c r="M97" s="44"/>
      <c r="N97" s="44"/>
      <c r="O97" s="36" t="s">
        <v>279</v>
      </c>
      <c r="P97" s="74"/>
      <c r="Q97" s="49">
        <v>46339</v>
      </c>
      <c r="R97" s="43"/>
      <c r="S97" s="44"/>
      <c r="T97" s="68" t="s">
        <v>283</v>
      </c>
      <c r="U97" s="46"/>
      <c r="V97" s="28">
        <v>46344</v>
      </c>
      <c r="W97" s="43"/>
      <c r="X97" s="31"/>
      <c r="Y97" s="31"/>
      <c r="Z97" s="36"/>
      <c r="AA97" s="28">
        <v>46356</v>
      </c>
      <c r="AB97" s="43"/>
      <c r="AC97" s="43"/>
      <c r="AD97" s="31" t="s">
        <v>288</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289</v>
      </c>
      <c r="C98" s="31" t="s">
        <v>225</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265</v>
      </c>
      <c r="J98" s="53"/>
      <c r="K98" s="49">
        <v>46332</v>
      </c>
      <c r="L98" s="43"/>
      <c r="M98" s="44"/>
      <c r="N98" s="44"/>
      <c r="O98" s="36" t="s">
        <v>279</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290</v>
      </c>
      <c r="C99" s="31" t="s">
        <v>225</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291</v>
      </c>
      <c r="F99" s="31" t="s">
        <v>129</v>
      </c>
      <c r="G99" s="31"/>
      <c r="H99" s="49">
        <v>46356</v>
      </c>
      <c r="I99" s="55" t="s">
        <v>265</v>
      </c>
      <c r="J99" s="53" t="s">
        <v>65</v>
      </c>
      <c r="K99" s="49">
        <v>46332</v>
      </c>
      <c r="L99" s="43"/>
      <c r="M99" s="44"/>
      <c r="N99" s="44"/>
      <c r="O99" s="44" t="s">
        <v>250</v>
      </c>
      <c r="P99" s="74"/>
      <c r="Q99" s="49">
        <v>46339</v>
      </c>
      <c r="R99" s="43"/>
      <c r="S99" s="44"/>
      <c r="T99" s="68" t="s">
        <v>283</v>
      </c>
      <c r="U99" s="46"/>
      <c r="V99" s="28">
        <v>46344</v>
      </c>
      <c r="W99" s="43"/>
      <c r="X99" s="31"/>
      <c r="Y99" s="31"/>
      <c r="Z99" s="36"/>
      <c r="AA99" s="28">
        <v>46356</v>
      </c>
      <c r="AB99" s="43"/>
      <c r="AC99" s="43"/>
      <c r="AD99" s="31" t="s">
        <v>292</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293</v>
      </c>
      <c r="C100" s="31" t="s">
        <v>225</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c r="K100" s="49">
        <v>46332</v>
      </c>
      <c r="L100" s="43"/>
      <c r="M100" s="44"/>
      <c r="N100" s="44"/>
      <c r="O100" s="36" t="s">
        <v>279</v>
      </c>
      <c r="P100" s="74"/>
      <c r="Q100" s="49">
        <v>46339</v>
      </c>
      <c r="R100" s="43"/>
      <c r="S100" s="44"/>
      <c r="T100" s="68" t="s">
        <v>283</v>
      </c>
      <c r="U100" s="46"/>
      <c r="V100" s="28">
        <v>46344</v>
      </c>
      <c r="W100" s="43"/>
      <c r="X100" s="31"/>
      <c r="Y100" s="31"/>
      <c r="Z100" s="36"/>
      <c r="AA100" s="28">
        <v>46356</v>
      </c>
      <c r="AB100" s="43"/>
      <c r="AC100" s="43"/>
      <c r="AD100" s="31" t="s">
        <v>294</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295</v>
      </c>
      <c r="B101" s="31" t="s">
        <v>296</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297</v>
      </c>
      <c r="J101" s="53"/>
      <c r="K101" s="28">
        <v>46363</v>
      </c>
      <c r="L101" s="43"/>
      <c r="M101" s="31"/>
      <c r="N101" s="31"/>
      <c r="O101" s="36" t="s">
        <v>298</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295</v>
      </c>
      <c r="B102" s="31" t="s">
        <v>300</v>
      </c>
      <c r="C102" s="31" t="s">
        <v>225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297</v>
      </c>
      <c r="J102" s="53"/>
      <c r="K102" s="28">
        <v>46363</v>
      </c>
      <c r="L102" s="43"/>
      <c r="M102" s="31"/>
      <c r="N102" s="31"/>
      <c r="O102" s="36" t="s">
        <v>298</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295</v>
      </c>
      <c r="B103" s="31" t="s">
        <v>303</v>
      </c>
      <c r="C103" s="31" t="s">
        <v>225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297</v>
      </c>
      <c r="J103" s="53"/>
      <c r="K103" s="28">
        <v>46363</v>
      </c>
      <c r="L103" s="43"/>
      <c r="M103" s="31"/>
      <c r="N103" s="31"/>
      <c r="O103" s="36" t="s">
        <v>298</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225</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297</v>
      </c>
      <c r="J104" s="53"/>
      <c r="K104" s="28">
        <v>46363</v>
      </c>
      <c r="L104" s="43"/>
      <c r="M104" s="31"/>
      <c r="N104" s="31"/>
      <c r="O104" s="36" t="s">
        <v>298</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295</v>
      </c>
      <c r="B105" s="31" t="s">
        <v>308</v>
      </c>
      <c r="C105" s="31" t="s">
        <v>225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297</v>
      </c>
      <c r="J105" s="53"/>
      <c r="K105" s="28">
        <v>46363</v>
      </c>
      <c r="L105" s="43"/>
      <c r="M105" s="31"/>
      <c r="N105" s="31"/>
      <c r="O105" s="36" t="s">
        <v>298</v>
      </c>
      <c r="P105" s="74"/>
      <c r="Q105" s="28">
        <v>46370</v>
      </c>
      <c r="R105" s="43"/>
      <c r="S105" s="31"/>
      <c r="T105" s="68" t="s">
        <v>301</v>
      </c>
      <c r="U105" s="46"/>
      <c r="V105" s="28">
        <v>46373</v>
      </c>
      <c r="W105" s="43"/>
      <c r="X105" s="31"/>
      <c r="Y105" s="31"/>
      <c r="Z105" s="36"/>
      <c r="AA105" s="28">
        <v>46386</v>
      </c>
      <c r="AB105" s="43"/>
      <c r="AC105" s="43"/>
      <c r="AD105" s="31" t="s">
        <v>309</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295</v>
      </c>
      <c r="B106" s="31" t="s">
        <v>310</v>
      </c>
      <c r="C106" s="31" t="s">
        <v>225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297</v>
      </c>
      <c r="J106" s="53"/>
      <c r="K106" s="28">
        <v>46363</v>
      </c>
      <c r="L106" s="43"/>
      <c r="M106" s="31"/>
      <c r="N106" s="31"/>
      <c r="O106" s="36" t="s">
        <v>298</v>
      </c>
      <c r="P106" s="74"/>
      <c r="Q106" s="28">
        <v>46370</v>
      </c>
      <c r="R106" s="43"/>
      <c r="S106" s="31"/>
      <c r="T106" s="68" t="s">
        <v>301</v>
      </c>
      <c r="U106" s="46"/>
      <c r="V106" s="28">
        <v>46373</v>
      </c>
      <c r="W106" s="43"/>
      <c r="X106" s="31"/>
      <c r="Y106" s="31"/>
      <c r="Z106" s="36"/>
      <c r="AA106" s="28">
        <v>46386</v>
      </c>
      <c r="AB106" s="43"/>
      <c r="AC106" s="43"/>
      <c r="AD106" s="31" t="s">
        <v>311</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295</v>
      </c>
      <c r="B107" s="31" t="s">
        <v>312</v>
      </c>
      <c r="C107" s="31" t="s">
        <v>225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297</v>
      </c>
      <c r="J107" s="53"/>
      <c r="K107" s="28">
        <v>46363</v>
      </c>
      <c r="L107" s="43"/>
      <c r="M107" s="31"/>
      <c r="N107" s="31"/>
      <c r="O107" s="36" t="s">
        <v>298</v>
      </c>
      <c r="P107" s="74"/>
      <c r="Q107" s="28">
        <v>46370</v>
      </c>
      <c r="R107" s="43"/>
      <c r="S107" s="31"/>
      <c r="T107" s="68" t="s">
        <v>301</v>
      </c>
      <c r="U107" s="46"/>
      <c r="V107" s="28">
        <v>46373</v>
      </c>
      <c r="W107" s="43"/>
      <c r="X107" s="31"/>
      <c r="Y107" s="31"/>
      <c r="Z107" s="36"/>
      <c r="AA107" s="28">
        <v>46386</v>
      </c>
      <c r="AB107" s="43"/>
      <c r="AC107" s="43"/>
      <c r="AD107" s="31" t="s">
        <v>313</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295</v>
      </c>
      <c r="B108" s="31" t="s">
        <v>314</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297</v>
      </c>
      <c r="J108" s="53"/>
      <c r="K108" s="28">
        <v>46363</v>
      </c>
      <c r="L108" s="43"/>
      <c r="M108" s="31"/>
      <c r="N108" s="31"/>
      <c r="O108" s="36" t="s">
        <v>315</v>
      </c>
      <c r="P108" s="74"/>
      <c r="Q108" s="28">
        <v>46370</v>
      </c>
      <c r="R108" s="43"/>
      <c r="S108" s="31"/>
      <c r="T108" s="68" t="s">
        <v>301</v>
      </c>
      <c r="U108" s="46"/>
      <c r="V108" s="28">
        <v>46373</v>
      </c>
      <c r="W108" s="43"/>
      <c r="X108" s="31"/>
      <c r="Y108" s="31"/>
      <c r="Z108" s="36"/>
      <c r="AA108" s="28">
        <v>46386</v>
      </c>
      <c r="AB108" s="43"/>
      <c r="AC108" s="43"/>
      <c r="AD108" s="31" t="s">
        <v>316</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317</v>
      </c>
      <c r="C109" s="31" t="s">
        <v>225</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297</v>
      </c>
      <c r="J109" s="53"/>
      <c r="K109" s="28">
        <v>46363</v>
      </c>
      <c r="L109" s="43"/>
      <c r="M109" s="31"/>
      <c r="N109" s="31"/>
      <c r="O109" s="36" t="s">
        <v>315</v>
      </c>
      <c r="P109" s="74"/>
      <c r="Q109" s="28">
        <v>46370</v>
      </c>
      <c r="R109" s="43"/>
      <c r="S109" s="31"/>
      <c r="T109" s="68" t="s">
        <v>318</v>
      </c>
      <c r="U109" s="46"/>
      <c r="V109" s="28">
        <v>46373</v>
      </c>
      <c r="W109" s="43"/>
      <c r="X109" s="31"/>
      <c r="Y109" s="31"/>
      <c r="Z109" s="36"/>
      <c r="AA109" s="28">
        <v>46386</v>
      </c>
      <c r="AB109" s="43"/>
      <c r="AC109" s="43"/>
      <c r="AD109" s="31" t="s">
        <v>319</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295</v>
      </c>
      <c r="B110" s="31" t="s">
        <v>320</v>
      </c>
      <c r="C110" s="31" t="s">
        <v>225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297</v>
      </c>
      <c r="J110" s="53"/>
      <c r="K110" s="28">
        <v>46363</v>
      </c>
      <c r="L110" s="43"/>
      <c r="M110" s="31"/>
      <c r="N110" s="31"/>
      <c r="O110" s="36" t="s">
        <v>315</v>
      </c>
      <c r="P110" s="74"/>
      <c r="Q110" s="28">
        <v>46370</v>
      </c>
      <c r="R110" s="43"/>
      <c r="S110" s="31"/>
      <c r="T110" s="68" t="s">
        <v>318</v>
      </c>
      <c r="U110" s="46"/>
      <c r="V110" s="28">
        <v>46373</v>
      </c>
      <c r="W110" s="43"/>
      <c r="X110" s="31"/>
      <c r="Y110" s="31"/>
      <c r="Z110" s="36"/>
      <c r="AA110" s="28">
        <v>46386</v>
      </c>
      <c r="AB110" s="43"/>
      <c r="AC110" s="43"/>
      <c r="AD110" s="31" t="s">
        <v>321</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322</v>
      </c>
      <c r="C111" s="31" t="s">
        <v>225</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297</v>
      </c>
      <c r="J111" s="53"/>
      <c r="K111" s="28">
        <v>46363</v>
      </c>
      <c r="L111" s="43"/>
      <c r="M111" s="31"/>
      <c r="N111" s="31"/>
      <c r="O111" s="36" t="s">
        <v>315</v>
      </c>
      <c r="P111" s="74"/>
      <c r="Q111" s="28">
        <v>46370</v>
      </c>
      <c r="R111" s="43"/>
      <c r="S111" s="31"/>
      <c r="T111" s="68" t="s">
        <v>318</v>
      </c>
      <c r="U111" s="46"/>
      <c r="V111" s="28">
        <v>46373</v>
      </c>
      <c r="W111" s="43"/>
      <c r="X111" s="31"/>
      <c r="Y111" s="31"/>
      <c r="Z111" s="36"/>
      <c r="AA111" s="28">
        <v>46386</v>
      </c>
      <c r="AB111" s="43"/>
      <c r="AC111" s="43"/>
      <c r="AD111" s="31" t="s">
        <v>323</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324</v>
      </c>
      <c r="C112" s="31" t="s">
        <v>225</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297</v>
      </c>
      <c r="J112" s="53"/>
      <c r="K112" s="28">
        <v>46363</v>
      </c>
      <c r="L112" s="43"/>
      <c r="M112" s="31"/>
      <c r="N112" s="31"/>
      <c r="O112" s="36" t="s">
        <v>315</v>
      </c>
      <c r="P112" s="74"/>
      <c r="Q112" s="28">
        <v>46370</v>
      </c>
      <c r="R112" s="43"/>
      <c r="S112" s="31"/>
      <c r="T112" s="68" t="s">
        <v>318</v>
      </c>
      <c r="U112" s="46"/>
      <c r="V112" s="28">
        <v>46373</v>
      </c>
      <c r="W112" s="43"/>
      <c r="X112" s="31"/>
      <c r="Y112" s="31"/>
      <c r="Z112" s="36"/>
      <c r="AA112" s="28">
        <v>46386</v>
      </c>
      <c r="AB112" s="43"/>
      <c r="AC112" s="43"/>
      <c r="AD112" s="31" t="s">
        <v>319</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325</v>
      </c>
      <c r="C113" s="31" t="s">
        <v>225</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297</v>
      </c>
      <c r="J113" s="53"/>
      <c r="K113" s="28">
        <v>46363</v>
      </c>
      <c r="L113" s="43"/>
      <c r="M113" s="31"/>
      <c r="N113" s="31"/>
      <c r="O113" s="36" t="s">
        <v>315</v>
      </c>
      <c r="P113" s="74"/>
      <c r="Q113" s="28">
        <v>46370</v>
      </c>
      <c r="R113" s="43"/>
      <c r="S113" s="31"/>
      <c r="T113" s="68" t="s">
        <v>318</v>
      </c>
      <c r="U113" s="46"/>
      <c r="V113" s="28">
        <v>46373</v>
      </c>
      <c r="W113" s="43"/>
      <c r="X113" s="31"/>
      <c r="Y113" s="31"/>
      <c r="Z113" s="36"/>
      <c r="AA113" s="28">
        <v>46386</v>
      </c>
      <c r="AB113" s="43"/>
      <c r="AC113" s="43"/>
      <c r="AD113" s="31" t="s">
        <v>319</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326</v>
      </c>
      <c r="C114" s="31" t="s">
        <v>225</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297</v>
      </c>
      <c r="J114" s="53"/>
      <c r="K114" s="28">
        <v>46363</v>
      </c>
      <c r="L114" s="43"/>
      <c r="M114" s="31"/>
      <c r="N114" s="31"/>
      <c r="O114" s="36" t="s">
        <v>327</v>
      </c>
      <c r="P114" s="74"/>
      <c r="Q114" s="28">
        <v>46370</v>
      </c>
      <c r="R114" s="43"/>
      <c r="S114" s="31"/>
      <c r="T114" s="68" t="s">
        <v>318</v>
      </c>
      <c r="U114" s="46"/>
      <c r="V114" s="28">
        <v>46373</v>
      </c>
      <c r="W114" s="43"/>
      <c r="X114" s="31"/>
      <c r="Y114" s="31"/>
      <c r="Z114" s="36"/>
      <c r="AA114" s="28">
        <v>46386</v>
      </c>
      <c r="AB114" s="43"/>
      <c r="AC114" s="43"/>
      <c r="AD114" s="31" t="s">
        <v>323</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328</v>
      </c>
      <c r="C115" s="31" t="s">
        <v>225</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297</v>
      </c>
      <c r="J115" s="53"/>
      <c r="K115" s="28">
        <v>46363</v>
      </c>
      <c r="L115" s="43"/>
      <c r="M115" s="31"/>
      <c r="N115" s="31"/>
      <c r="O115" s="36" t="s">
        <v>327</v>
      </c>
      <c r="P115" s="74"/>
      <c r="Q115" s="28">
        <v>46370</v>
      </c>
      <c r="R115" s="43"/>
      <c r="S115" s="31"/>
      <c r="T115" s="68" t="s">
        <v>318</v>
      </c>
      <c r="U115" s="46"/>
      <c r="V115" s="28">
        <v>46373</v>
      </c>
      <c r="W115" s="43"/>
      <c r="X115" s="31"/>
      <c r="Y115" s="31"/>
      <c r="Z115" s="36"/>
      <c r="AA115" s="28">
        <v>46386</v>
      </c>
      <c r="AB115" s="43"/>
      <c r="AC115" s="43"/>
      <c r="AD115" s="31" t="s">
        <v>266</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2">
      <formula>ISNUMBER(SEARCH("Blocked",$D2))</formula>
    </cfRule>
    <cfRule type="expression" dxfId="138" priority="43">
      <formula>ISNUMBER(SEARCH("overdue",$D2))</formula>
    </cfRule>
    <cfRule type="expression" dxfId="137" priority="44">
      <formula>ISNUMBER(SEARCH("no target",$D2))</formula>
    </cfRule>
    <cfRule type="expression" dxfId="136" priority="45">
      <formula>ISNUMBER(SEARCH("Review",$D2))</formula>
    </cfRule>
    <cfRule type="expression" dxfId="135" priority="46">
      <formula>OR($D2="On track",$D2="Delivered")</formula>
    </cfRule>
  </conditionalFormatting>
  <conditionalFormatting sqref="J2:O115">
    <cfRule type="expression" dxfId="134" priority="20">
      <formula>$AJ2="Yes – needs DB Dev to fix"</formula>
    </cfRule>
  </conditionalFormatting>
  <conditionalFormatting sqref="J116:O192">
    <cfRule type="expression" dxfId="133" priority="25">
      <formula>$AH116="Yes – needs DB Dev to fix"</formula>
    </cfRule>
  </conditionalFormatting>
  <conditionalFormatting sqref="K41">
    <cfRule type="expression" dxfId="132" priority="601">
      <formula>AND($B41&lt;&gt;"",MOD(ROW(),2)=0)</formula>
    </cfRule>
    <cfRule type="expression" dxfId="131" priority="602">
      <formula>$AJ41="Yes – needs DB Dev to fix"</formula>
    </cfRule>
  </conditionalFormatting>
  <conditionalFormatting sqref="K42">
    <cfRule type="expression" dxfId="130" priority="603">
      <formula>AND($B41&lt;&gt;"",MOD(ROW(),2)=0)</formula>
    </cfRule>
    <cfRule type="expression" dxfId="129" priority="604">
      <formula>$AJ41="Yes – needs DB Dev to fix"</formula>
    </cfRule>
  </conditionalFormatting>
  <conditionalFormatting sqref="K73:L100">
    <cfRule type="expression" dxfId="128" priority="117">
      <formula>$AF73="Yes – needs DB Dev to fix"</formula>
    </cfRule>
  </conditionalFormatting>
  <conditionalFormatting sqref="K101:L115">
    <cfRule type="expression" dxfId="127" priority="347">
      <formula>$AA101="Yes – needs DB Dev to fix"</formula>
    </cfRule>
  </conditionalFormatting>
  <conditionalFormatting sqref="K116:L527">
    <cfRule type="expression" dxfId="126" priority="574">
      <formula>$X116="Yes – needs DB Dev to fix"</formula>
    </cfRule>
  </conditionalFormatting>
  <conditionalFormatting sqref="M73">
    <cfRule type="expression" dxfId="125" priority="24">
      <formula>$AF73="Yes – needs DB Dev to fix"</formula>
    </cfRule>
  </conditionalFormatting>
  <conditionalFormatting sqref="M79">
    <cfRule type="expression" dxfId="124" priority="11">
      <formula>$AF79="Yes – needs DB Dev to fix"</formula>
    </cfRule>
  </conditionalFormatting>
  <conditionalFormatting sqref="M73:P100">
    <cfRule type="expression" dxfId="123" priority="302">
      <formula>$AD73="Yes – needs PBI Dev to fix"</formula>
    </cfRule>
  </conditionalFormatting>
  <conditionalFormatting sqref="M101:P115">
    <cfRule type="expression" dxfId="122" priority="349">
      <formula>$AA101="Yes – needs PBI Dev to fix"</formula>
    </cfRule>
  </conditionalFormatting>
  <conditionalFormatting sqref="M116:P527">
    <cfRule type="expression" dxfId="121" priority="575">
      <formula>$X116="Yes – needs PBI Dev to fix"</formula>
    </cfRule>
  </conditionalFormatting>
  <conditionalFormatting sqref="O101:O113">
    <cfRule type="expression" dxfId="120" priority="23">
      <formula>$AD101="Yes – needs PBI Dev to fix"</formula>
    </cfRule>
  </conditionalFormatting>
  <conditionalFormatting sqref="Q73:Q100">
    <cfRule type="expression" dxfId="119" priority="18">
      <formula>$AJ73="Yes – needs DB Dev to fix"</formula>
    </cfRule>
    <cfRule type="expression" dxfId="118" priority="19">
      <formula>$AF73="Yes – needs DB Dev to fix"</formula>
    </cfRule>
    <cfRule type="expression" dxfId="117" priority="121">
      <formula>$AF73="Yes – needs PBI Dev to fix"</formula>
    </cfRule>
  </conditionalFormatting>
  <conditionalFormatting sqref="Q101:R115 V101:V115 X101:X115">
    <cfRule type="expression" dxfId="116" priority="17">
      <formula>$AA101="Yes – needs QA to fix"</formula>
    </cfRule>
  </conditionalFormatting>
  <conditionalFormatting sqref="Q116:R527">
    <cfRule type="expression" dxfId="115" priority="576">
      <formula>$X116="Yes – needs QA to fix"</formula>
    </cfRule>
  </conditionalFormatting>
  <conditionalFormatting sqref="U10:V19 X10:X19 J29 M29:P29 J32:J33 M32:P33 K40:K41 M40:P41 Q65 T65:U65 V101:V115 X101:X115 Q2:U64 Q66:U115">
    <cfRule type="expression" dxfId="114" priority="32">
      <formula>$AJ2="Yes – needs PBI Dev to fix"</formula>
    </cfRule>
  </conditionalFormatting>
  <conditionalFormatting sqref="R58">
    <cfRule type="expression" dxfId="113" priority="317">
      <formula>AND($B65&lt;&gt;"",MOD(ROW(),2)=0)</formula>
    </cfRule>
    <cfRule type="expression" dxfId="112" priority="319">
      <formula>$AJ65="Yes – needs PBI Dev to fix"</formula>
    </cfRule>
  </conditionalFormatting>
  <conditionalFormatting sqref="R73:U100 T96:T101">
    <cfRule type="expression" dxfId="111" priority="123">
      <formula>$AF73="Yes – needs QA to fix"</formula>
    </cfRule>
  </conditionalFormatting>
  <conditionalFormatting sqref="S101:U115">
    <cfRule type="expression" dxfId="110" priority="363">
      <formula>$AA101="Yes – needs DPO Approval to fix"</formula>
    </cfRule>
  </conditionalFormatting>
  <conditionalFormatting sqref="S116:U527">
    <cfRule type="expression" dxfId="109" priority="577">
      <formula>$X116="Yes – needs DPO Approval to fix"</formula>
    </cfRule>
  </conditionalFormatting>
  <conditionalFormatting sqref="U101:V527 X101:X527">
    <cfRule type="expression" dxfId="108" priority="50">
      <formula>$V101="Yes"</formula>
    </cfRule>
  </conditionalFormatting>
  <conditionalFormatting sqref="U73:Y100">
    <cfRule type="expression" dxfId="107" priority="125">
      <formula>$AF73="Yes – needs DPO Approval to fix"</formula>
    </cfRule>
  </conditionalFormatting>
  <conditionalFormatting sqref="X116:X527">
    <cfRule type="expression" dxfId="106" priority="578">
      <formula>LEFT($X116,3)="Yes"</formula>
    </cfRule>
  </conditionalFormatting>
  <conditionalFormatting sqref="X73:Z100">
    <cfRule type="expression" dxfId="105" priority="477">
      <formula>$Y73="Yes"</formula>
    </cfRule>
  </conditionalFormatting>
  <conditionalFormatting sqref="Z116:AA527">
    <cfRule type="expression" dxfId="104" priority="55">
      <formula>ISNUMBER(SEARCH("Move old",$Z116))</formula>
    </cfRule>
    <cfRule type="expression" dxfId="103" priority="55">
      <formula>ISNUMBER(SEARCH("log it",$Z116))</formula>
    </cfRule>
    <cfRule type="expression" dxfId="102" priority="55">
      <formula>ISNUMBER(SEARCH("Open rework",$Z116))</formula>
    </cfRule>
    <cfRule type="expression" dxfId="101" priority="56">
      <formula>ISNUMBER(SEARCH("Duplicate",$Z116))</formula>
    </cfRule>
    <cfRule type="expression" dxfId="100" priority="57">
      <formula>$Z116&lt;&gt;""</formula>
    </cfRule>
  </conditionalFormatting>
  <conditionalFormatting sqref="Z116:AC527 G2:V40 N3:N44 L41:V42 T65:V65 G41:J42 Z2:AL2 Z3 Z4:AL41 Z42:AK42 Z43:AL44 Z45:AK47 Z101:AE115 AB3:AL3 A2:F87 G65:Q65 Z48:AL72 Z73:AH100 W2:Y527 G43:V64 G66:V73 A74:V527">
    <cfRule type="expression" dxfId="99" priority="58">
      <formula>AND($B2&lt;&gt;"",MOD(ROW(),2)=0)</formula>
    </cfRule>
  </conditionalFormatting>
  <conditionalFormatting sqref="AA3">
    <cfRule type="expression" dxfId="98" priority="605">
      <formula>AND($B3&lt;&gt;"",MOD(ROW(),2)=0)</formula>
    </cfRule>
    <cfRule type="expression" dxfId="97" priority="606">
      <formula>$AJ3="Yes – needs DPO Approval to fix"</formula>
    </cfRule>
  </conditionalFormatting>
  <conditionalFormatting sqref="AA101:AA115 U2:Z115">
    <cfRule type="expression" dxfId="96" priority="15">
      <formula>$AJ2="Yes – needs QA to fix"</formula>
    </cfRule>
  </conditionalFormatting>
  <conditionalFormatting sqref="AA101:AA115">
    <cfRule type="expression" dxfId="95" priority="12">
      <formula>$AJ101="Yes – needs PBI Dev to fix"</formula>
    </cfRule>
    <cfRule type="expression" dxfId="94" priority="13">
      <formula>$AA101="Yes – needs QA to fix"</formula>
    </cfRule>
    <cfRule type="expression" dxfId="93" priority="14">
      <formula>$V101="Yes"</formula>
    </cfRule>
    <cfRule type="expression" dxfId="92" priority="371">
      <formula>LEFT($AA101,3)="Yes"</formula>
    </cfRule>
  </conditionalFormatting>
  <conditionalFormatting sqref="AA2:AE2 AB3:AE3 AA4:AE100">
    <cfRule type="expression" dxfId="91" priority="99">
      <formula>$AJ2="Yes – needs DPO Approval to fix"</formula>
    </cfRule>
  </conditionalFormatting>
  <conditionalFormatting sqref="AB101:AC115">
    <cfRule type="expression" dxfId="90" priority="379">
      <formula>ISNUMBER(SEARCH("Open rework",$AB101))</formula>
    </cfRule>
    <cfRule type="expression" dxfId="89" priority="380">
      <formula>ISNUMBER(SEARCH("Move old",$AB101))</formula>
    </cfRule>
    <cfRule type="expression" dxfId="88" priority="381">
      <formula>ISNUMBER(SEARCH("log it",$AB101))</formula>
    </cfRule>
    <cfRule type="expression" dxfId="87" priority="382">
      <formula>ISNUMBER(SEARCH("Duplicate",$AB101))</formula>
    </cfRule>
    <cfRule type="expression" dxfId="86" priority="383">
      <formula>$AB101&lt;&gt;""</formula>
    </cfRule>
  </conditionalFormatting>
  <conditionalFormatting sqref="AF2:AF115">
    <cfRule type="expression" dxfId="85" priority="71">
      <formula>$AF2="Yes"</formula>
    </cfRule>
  </conditionalFormatting>
  <conditionalFormatting sqref="AF73:AF100">
    <cfRule type="expression" dxfId="84" priority="129">
      <formula>LEFT($AF73,3)="Yes"</formula>
    </cfRule>
  </conditionalFormatting>
  <conditionalFormatting sqref="AG73:AG100">
    <cfRule type="expression" dxfId="83" priority="135">
      <formula>ISNUMBER(SEARCH("Open rework",$AG73))</formula>
    </cfRule>
    <cfRule type="expression" dxfId="82" priority="136">
      <formula>ISNUMBER(SEARCH("Move old",$AG73))</formula>
    </cfRule>
    <cfRule type="expression" dxfId="81" priority="137">
      <formula>ISNUMBER(SEARCH("log it",$AG73))</formula>
    </cfRule>
    <cfRule type="expression" dxfId="80" priority="138">
      <formula>ISNUMBER(SEARCH("Duplicate",$AG73))</formula>
    </cfRule>
    <cfRule type="expression" dxfId="79" priority="139">
      <formula>$AG73&lt;&gt;""</formula>
    </cfRule>
  </conditionalFormatting>
  <conditionalFormatting sqref="AJ2:AJ115">
    <cfRule type="expression" dxfId="78" priority="73">
      <formula>LEFT($AJ2,3)="Yes"</formula>
    </cfRule>
  </conditionalFormatting>
  <conditionalFormatting sqref="AK2:AK115">
    <cfRule type="expression" dxfId="77" priority="79">
      <formula>ISNUMBER(SEARCH("log it",$AK2))</formula>
    </cfRule>
    <cfRule type="expression" dxfId="76" priority="80">
      <formula>ISNUMBER(SEARCH("Open rework",$AK2))</formula>
    </cfRule>
    <cfRule type="expression" dxfId="75" priority="81">
      <formula>ISNUMBER(SEARCH("Move old",$AK2))</formula>
    </cfRule>
    <cfRule type="expression" dxfId="74" priority="82">
      <formula>ISNUMBER(SEARCH("Duplicate",$AK2))</formula>
    </cfRule>
    <cfRule type="expression" dxfId="73" priority="83">
      <formula>$AK2&lt;&gt;""</formula>
    </cfRule>
  </conditionalFormatting>
  <conditionalFormatting sqref="AL45:AL47">
    <cfRule type="expression" dxfId="72" priority="22">
      <formula>AND($B49&lt;&gt;"",MOD(ROW(),2)=0)</formula>
    </cfRule>
  </conditionalFormatting>
  <conditionalFormatting sqref="D88">
    <cfRule type="expression" dxfId="71" priority="618">
      <formula>AND($B50&lt;&gt;"",MOD(ROW(),2)=0)</formula>
    </cfRule>
  </conditionalFormatting>
  <conditionalFormatting sqref="R60">
    <cfRule type="expression" dxfId="70" priority="9">
      <formula>AND($B67&lt;&gt;"",MOD(ROW(),2)=0)</formula>
    </cfRule>
    <cfRule type="expression" dxfId="69" priority="10">
      <formula>$AJ67="Yes – needs PBI Dev to fix"</formula>
    </cfRule>
  </conditionalFormatting>
  <conditionalFormatting sqref="R60:S60">
    <cfRule type="expression" dxfId="68" priority="7">
      <formula>AND($B67&lt;&gt;"",MOD(ROW(),2)=0)</formula>
    </cfRule>
    <cfRule type="expression" dxfId="67" priority="8">
      <formula>$AJ67="Yes – needs PBI Dev to fix"</formula>
    </cfRule>
  </conditionalFormatting>
  <conditionalFormatting sqref="N70">
    <cfRule type="expression" dxfId="66" priority="6">
      <formula>$AD70="Yes – needs PBI Dev to fix"</formula>
    </cfRule>
  </conditionalFormatting>
  <conditionalFormatting sqref="N58">
    <cfRule type="expression" dxfId="65" priority="5">
      <formula>$AD58="Yes – needs PBI Dev to fix"</formula>
    </cfRule>
  </conditionalFormatting>
  <conditionalFormatting sqref="M91">
    <cfRule type="expression" dxfId="64" priority="4">
      <formula>$AF91="Yes – needs DB Dev to fix"</formula>
    </cfRule>
  </conditionalFormatting>
  <conditionalFormatting sqref="M80">
    <cfRule type="expression" dxfId="63" priority="3">
      <formula>$AF80="Yes – needs DB Dev to fix"</formula>
    </cfRule>
  </conditionalFormatting>
  <conditionalFormatting sqref="N82">
    <cfRule type="expression" dxfId="62" priority="2">
      <formula>$AD82="Yes – needs PBI Dev to fix"</formula>
    </cfRule>
  </conditionalFormatting>
  <conditionalFormatting sqref="M83">
    <cfRule type="expression" dxfId="61" priority="1">
      <formula>$AF83="Yes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S30:S64 V2:V115 AA2:AA115 AC2:AC3 Q2:R64 Q65 Y2:Y72 H2:H527 Q66:S527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329</v>
      </c>
    </row>
    <row r="2" spans="1:5">
      <c r="A2" s="6" t="s">
        <v>330</v>
      </c>
    </row>
    <row r="4" spans="1:5" ht="21.95" customHeight="1">
      <c r="A4" s="5" t="s">
        <v>331</v>
      </c>
      <c r="B4" s="174"/>
      <c r="C4" s="175"/>
      <c r="D4" s="175"/>
      <c r="E4" s="175"/>
    </row>
    <row r="6" spans="1:5">
      <c r="A6" s="42" t="s">
        <v>0</v>
      </c>
      <c r="B6" s="172" t="str">
        <f>IF($B$4="","",IFERROR(INDEX('Combined Delivery Data'!$A:$A,MATCH($B$4,'Combined Delivery Data'!$B:$B,0)),""))</f>
        <v/>
      </c>
      <c r="C6" s="176"/>
      <c r="D6" s="176"/>
      <c r="E6" s="177"/>
    </row>
    <row r="7" spans="1:5">
      <c r="A7" s="42" t="s">
        <v>332</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333</v>
      </c>
      <c r="B14" s="171" t="str">
        <f>IF($B$4="","",IFERROR(INDEX('Combined Delivery Data'!$K:$K,MATCH($B$4,'Combined Delivery Data'!$B:$B,0)),""))</f>
        <v/>
      </c>
      <c r="C14" s="176"/>
      <c r="D14" s="176"/>
      <c r="E14" s="177"/>
    </row>
    <row r="15" spans="1:5">
      <c r="A15" s="42" t="s">
        <v>334</v>
      </c>
      <c r="B15" s="171" t="str">
        <f>IF($B$4="","",IFERROR(INDEX('Combined Delivery Data'!$L:$L,MATCH($B$4,'Combined Delivery Data'!$B:$B,0)),""))</f>
        <v/>
      </c>
      <c r="C15" s="176"/>
      <c r="D15" s="176"/>
      <c r="E15" s="177"/>
    </row>
    <row r="16" spans="1:5">
      <c r="A16" s="42" t="s">
        <v>335</v>
      </c>
      <c r="B16" s="171" t="str">
        <f>IF($B$4="","",IFERROR(INDEX('Combined Delivery Data'!$M:$M,MATCH($B$4,'Combined Delivery Data'!$B:$B,0)),""))</f>
        <v/>
      </c>
      <c r="C16" s="176"/>
      <c r="D16" s="176"/>
      <c r="E16" s="177"/>
    </row>
    <row r="17" spans="1:5">
      <c r="A17" s="42" t="s">
        <v>336</v>
      </c>
      <c r="B17" s="171" t="str">
        <f>IF($B$4="","",IFERROR(INDEX('Combined Delivery Data'!$O:$O,MATCH($B$4,'Combined Delivery Data'!$B:$B,0)),""))</f>
        <v/>
      </c>
      <c r="C17" s="176"/>
      <c r="D17" s="176"/>
      <c r="E17" s="177"/>
    </row>
    <row r="18" spans="1:5">
      <c r="A18" s="42" t="s">
        <v>337</v>
      </c>
      <c r="B18" s="171" t="str">
        <f>IF($B$4="","",IFERROR(INDEX('Combined Delivery Data'!$Q:$Q,MATCH($B$4,'Combined Delivery Data'!$B:$B,0)),""))</f>
        <v/>
      </c>
      <c r="C18" s="176"/>
      <c r="D18" s="176"/>
      <c r="E18" s="177"/>
    </row>
    <row r="19" spans="1:5">
      <c r="A19" s="42" t="s">
        <v>338</v>
      </c>
      <c r="B19" s="171" t="str">
        <f>IF($B$4="","",IFERROR(INDEX('Combined Delivery Data'!$R:$R,MATCH($B$4,'Combined Delivery Data'!$B:$B,0)),""))</f>
        <v/>
      </c>
      <c r="C19" s="176"/>
      <c r="D19" s="176"/>
      <c r="E19" s="177"/>
    </row>
    <row r="20" spans="1:5">
      <c r="A20" s="42" t="s">
        <v>339</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340</v>
      </c>
      <c r="B26" s="172" t="str">
        <f>IF($B$4="","",IFERROR(INDEX('Rework Log'!$Q:$Q,MATCH($B$4,'Rework Log'!$P:$P,0)),""))</f>
        <v/>
      </c>
      <c r="C26" s="176"/>
      <c r="D26" s="176"/>
      <c r="E26" s="177"/>
    </row>
    <row r="27" spans="1:5">
      <c r="A27" s="42" t="s">
        <v>341</v>
      </c>
      <c r="B27" s="172" t="str">
        <f>IF($B$4="","",IFERROR(INDEX('Rework Log'!$R:$R,MATCH($B$4,'Rework Log'!$P:$P,0)),""))</f>
        <v/>
      </c>
      <c r="C27" s="176"/>
      <c r="D27" s="176"/>
      <c r="E27" s="177"/>
    </row>
    <row r="28" spans="1:5">
      <c r="A28" s="42" t="s">
        <v>342</v>
      </c>
      <c r="B28" s="172" t="str">
        <f>IF($B$4="","",IFERROR(INDEX('Rework Log'!$S:$S,MATCH($B$4,'Rework Log'!$P:$P,0)),""))</f>
        <v/>
      </c>
      <c r="C28" s="176"/>
      <c r="D28" s="176"/>
      <c r="E28" s="177"/>
    </row>
    <row r="29" spans="1:5">
      <c r="A29" s="42" t="s">
        <v>343</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G35" activePane="bottomLeft" state="frozen"/>
      <selection pane="bottomLeft" activeCell="N37" sqref="N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344</v>
      </c>
      <c r="B1" s="173"/>
      <c r="C1" s="173"/>
      <c r="D1" s="173"/>
      <c r="E1" s="173"/>
      <c r="F1" s="173"/>
      <c r="G1" s="173"/>
      <c r="H1" s="173"/>
      <c r="I1" s="173"/>
      <c r="J1" s="173"/>
      <c r="K1" s="173"/>
      <c r="L1" s="173"/>
      <c r="M1" s="173"/>
      <c r="P1" s="179" t="s">
        <v>345</v>
      </c>
      <c r="Q1" s="179"/>
      <c r="R1" s="179"/>
      <c r="S1" s="179"/>
      <c r="T1" s="179"/>
    </row>
    <row r="2" spans="1:20" ht="30" customHeight="1">
      <c r="A2" s="17" t="s">
        <v>1</v>
      </c>
      <c r="B2" s="17" t="s">
        <v>346</v>
      </c>
      <c r="C2" s="17" t="s">
        <v>347</v>
      </c>
      <c r="D2" s="17" t="s">
        <v>348</v>
      </c>
      <c r="E2" s="17" t="s">
        <v>349</v>
      </c>
      <c r="F2" s="17" t="s">
        <v>350</v>
      </c>
      <c r="G2" s="17" t="s">
        <v>351</v>
      </c>
      <c r="H2" s="30" t="s">
        <v>352</v>
      </c>
      <c r="I2" s="30" t="s">
        <v>353</v>
      </c>
      <c r="J2" s="30" t="s">
        <v>354</v>
      </c>
      <c r="K2" s="30" t="s">
        <v>355</v>
      </c>
      <c r="L2" s="30" t="s">
        <v>356</v>
      </c>
      <c r="M2" s="21" t="s">
        <v>357</v>
      </c>
      <c r="N2" s="21" t="s">
        <v>358</v>
      </c>
      <c r="P2" s="13" t="s">
        <v>1</v>
      </c>
      <c r="Q2" s="13" t="s">
        <v>340</v>
      </c>
      <c r="R2" s="13" t="s">
        <v>341</v>
      </c>
      <c r="S2" s="13" t="s">
        <v>342</v>
      </c>
      <c r="T2" s="13" t="s">
        <v>343</v>
      </c>
    </row>
    <row r="3" spans="1:20">
      <c r="A3" s="33" t="s">
        <v>142</v>
      </c>
      <c r="B3" s="36">
        <v>46230</v>
      </c>
      <c r="C3" s="33" t="s">
        <v>173</v>
      </c>
      <c r="D3" s="33" t="s">
        <v>182</v>
      </c>
      <c r="E3" s="33" t="s">
        <v>143</v>
      </c>
      <c r="F3" s="33" t="s">
        <v>359</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173</v>
      </c>
      <c r="D4" s="31" t="s">
        <v>182</v>
      </c>
      <c r="E4" s="31" t="s">
        <v>143</v>
      </c>
      <c r="F4" s="31" t="s">
        <v>360</v>
      </c>
      <c r="G4" s="31" t="s">
        <v>50</v>
      </c>
      <c r="H4" s="32"/>
      <c r="I4" s="32"/>
      <c r="J4" s="32">
        <v>46247</v>
      </c>
      <c r="K4" s="31" t="s">
        <v>60</v>
      </c>
      <c r="L4" s="31" t="s">
        <v>361</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173</v>
      </c>
      <c r="D5" s="31" t="s">
        <v>182</v>
      </c>
      <c r="E5" s="31" t="s">
        <v>129</v>
      </c>
      <c r="F5" s="31" t="s">
        <v>362</v>
      </c>
      <c r="G5" s="31" t="s">
        <v>50</v>
      </c>
      <c r="H5" s="32"/>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173</v>
      </c>
      <c r="D6" s="31" t="s">
        <v>182</v>
      </c>
      <c r="E6" s="31" t="s">
        <v>129</v>
      </c>
      <c r="F6" s="31" t="s">
        <v>363</v>
      </c>
      <c r="G6" s="31" t="s">
        <v>50</v>
      </c>
      <c r="H6" s="32"/>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173</v>
      </c>
      <c r="D7" s="31" t="s">
        <v>182</v>
      </c>
      <c r="E7" s="31" t="s">
        <v>129</v>
      </c>
      <c r="F7" s="31" t="s">
        <v>364</v>
      </c>
      <c r="G7" s="31" t="s">
        <v>50</v>
      </c>
      <c r="H7" s="32"/>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173</v>
      </c>
      <c r="D8" s="31" t="s">
        <v>182</v>
      </c>
      <c r="E8" s="31" t="s">
        <v>129</v>
      </c>
      <c r="F8" s="31" t="s">
        <v>365</v>
      </c>
      <c r="G8" s="31" t="s">
        <v>50</v>
      </c>
      <c r="H8" s="32"/>
      <c r="I8" s="32"/>
      <c r="J8" s="32">
        <v>46251</v>
      </c>
      <c r="K8" s="31"/>
      <c r="L8" s="31"/>
      <c r="M8" s="3" t="str">
        <f t="shared" ca="1" si="4"/>
        <v>Fixed</v>
      </c>
      <c r="N8" t="s">
        <v>366</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173</v>
      </c>
      <c r="D9" s="31" t="s">
        <v>182</v>
      </c>
      <c r="E9" s="31" t="s">
        <v>143</v>
      </c>
      <c r="F9" s="31" t="s">
        <v>367</v>
      </c>
      <c r="G9" s="31" t="s">
        <v>50</v>
      </c>
      <c r="H9" s="32"/>
      <c r="I9" s="32"/>
      <c r="J9" s="32">
        <v>46254</v>
      </c>
      <c r="K9" s="31"/>
      <c r="L9" s="31"/>
      <c r="M9" s="3" t="str">
        <f t="shared" ca="1" si="4"/>
        <v>Fixed</v>
      </c>
      <c r="N9" t="s">
        <v>366</v>
      </c>
      <c r="P9" t="str">
        <f>'Combined Delivery Data'!B11</f>
        <v>RPT_04_SEI Leak Activity</v>
      </c>
      <c r="Q9">
        <f t="shared" si="0"/>
        <v>0</v>
      </c>
      <c r="R9">
        <f t="shared" si="1"/>
        <v>0</v>
      </c>
      <c r="S9" s="28" t="str">
        <f t="shared" si="2"/>
        <v/>
      </c>
      <c r="T9" t="str">
        <f t="shared" si="3"/>
        <v/>
      </c>
    </row>
    <row r="10" spans="1:20">
      <c r="A10" s="31" t="s">
        <v>142</v>
      </c>
      <c r="B10" s="32">
        <v>46237</v>
      </c>
      <c r="C10" s="31" t="s">
        <v>173</v>
      </c>
      <c r="D10" s="31" t="s">
        <v>182</v>
      </c>
      <c r="E10" s="31" t="s">
        <v>143</v>
      </c>
      <c r="F10" s="31" t="s">
        <v>360</v>
      </c>
      <c r="G10" s="31" t="s">
        <v>50</v>
      </c>
      <c r="H10" s="32"/>
      <c r="I10" s="32"/>
      <c r="J10" s="32">
        <v>46252</v>
      </c>
      <c r="K10" s="31"/>
      <c r="L10" s="31"/>
      <c r="M10" s="3" t="str">
        <f t="shared" ca="1" si="4"/>
        <v>Fixed</v>
      </c>
      <c r="N10" t="s">
        <v>366</v>
      </c>
      <c r="P10" t="str">
        <f>'Combined Delivery Data'!B12</f>
        <v>RPT_04_CMS Leak Productivity</v>
      </c>
      <c r="Q10">
        <f t="shared" si="0"/>
        <v>0</v>
      </c>
      <c r="R10">
        <f t="shared" si="1"/>
        <v>0</v>
      </c>
      <c r="S10" s="28" t="str">
        <f t="shared" si="2"/>
        <v/>
      </c>
      <c r="T10" t="str">
        <f t="shared" si="3"/>
        <v/>
      </c>
    </row>
    <row r="11" spans="1:20">
      <c r="A11" s="53" t="s">
        <v>134</v>
      </c>
      <c r="B11" s="32">
        <v>46254</v>
      </c>
      <c r="C11" s="31" t="s">
        <v>173</v>
      </c>
      <c r="D11" s="31" t="s">
        <v>182</v>
      </c>
      <c r="E11" s="31" t="s">
        <v>129</v>
      </c>
      <c r="F11" s="31" t="s">
        <v>362</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173</v>
      </c>
      <c r="D12" s="31" t="s">
        <v>182</v>
      </c>
      <c r="E12" s="31" t="s">
        <v>143</v>
      </c>
      <c r="F12" s="31" t="s">
        <v>368</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369</v>
      </c>
      <c r="P12" t="str">
        <f>'Combined Delivery Data'!B14</f>
        <v>RPT_04_Leak Summary Status</v>
      </c>
      <c r="Q12">
        <f t="shared" si="0"/>
        <v>0</v>
      </c>
      <c r="R12">
        <f t="shared" si="1"/>
        <v>0</v>
      </c>
      <c r="S12" s="28" t="str">
        <f t="shared" si="2"/>
        <v/>
      </c>
      <c r="T12" t="str">
        <f t="shared" si="3"/>
        <v/>
      </c>
    </row>
    <row r="13" spans="1:20">
      <c r="A13" s="53" t="s">
        <v>138</v>
      </c>
      <c r="B13" s="32">
        <v>46258</v>
      </c>
      <c r="C13" s="31" t="s">
        <v>173</v>
      </c>
      <c r="D13" s="31" t="s">
        <v>182</v>
      </c>
      <c r="E13" s="31" t="s">
        <v>129</v>
      </c>
      <c r="F13" s="31" t="s">
        <v>370</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173</v>
      </c>
      <c r="D14" s="31" t="s">
        <v>189</v>
      </c>
      <c r="E14" s="31" t="s">
        <v>143</v>
      </c>
      <c r="F14" s="31" t="s">
        <v>371</v>
      </c>
      <c r="G14" s="31" t="s">
        <v>50</v>
      </c>
      <c r="H14" s="32"/>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173</v>
      </c>
      <c r="D15" s="31" t="s">
        <v>189</v>
      </c>
      <c r="E15" s="31" t="s">
        <v>143</v>
      </c>
      <c r="F15" s="31" t="s">
        <v>372</v>
      </c>
      <c r="G15" s="31" t="s">
        <v>50</v>
      </c>
      <c r="H15" s="32"/>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173</v>
      </c>
      <c r="D16" s="31" t="s">
        <v>182</v>
      </c>
      <c r="E16" s="31" t="s">
        <v>143</v>
      </c>
      <c r="F16" s="31" t="s">
        <v>373</v>
      </c>
      <c r="G16" s="31" t="s">
        <v>50</v>
      </c>
      <c r="H16" s="32"/>
      <c r="I16" s="32"/>
      <c r="J16" s="32">
        <v>46258</v>
      </c>
      <c r="K16" s="31"/>
      <c r="L16" s="31"/>
      <c r="M16" s="3" t="str">
        <f t="shared" ca="1" si="4"/>
        <v>Fixed</v>
      </c>
      <c r="N16" t="s">
        <v>369</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173</v>
      </c>
      <c r="D17" s="31" t="s">
        <v>189</v>
      </c>
      <c r="E17" s="31" t="s">
        <v>143</v>
      </c>
      <c r="F17" s="31" t="s">
        <v>374</v>
      </c>
      <c r="G17" s="31" t="s">
        <v>50</v>
      </c>
      <c r="H17" s="32"/>
      <c r="I17" s="32"/>
      <c r="J17" s="32"/>
      <c r="K17" s="31"/>
      <c r="L17" s="31"/>
      <c r="M17" s="3"/>
      <c r="S17" s="28"/>
    </row>
    <row r="18" spans="1:20">
      <c r="A18" s="33" t="s">
        <v>181</v>
      </c>
      <c r="B18" s="32">
        <v>46261</v>
      </c>
      <c r="C18" s="31" t="s">
        <v>173</v>
      </c>
      <c r="D18" s="31" t="s">
        <v>182</v>
      </c>
      <c r="E18" s="31" t="s">
        <v>129</v>
      </c>
      <c r="F18" s="31" t="s">
        <v>375</v>
      </c>
      <c r="G18" s="31" t="s">
        <v>50</v>
      </c>
      <c r="H18" s="32"/>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173</v>
      </c>
      <c r="D19" s="31" t="s">
        <v>189</v>
      </c>
      <c r="E19" s="31" t="s">
        <v>143</v>
      </c>
      <c r="F19" s="31" t="s">
        <v>376</v>
      </c>
      <c r="G19" s="31" t="s">
        <v>50</v>
      </c>
      <c r="H19" s="32"/>
      <c r="I19" s="32"/>
      <c r="J19" s="32">
        <v>46266</v>
      </c>
      <c r="K19" s="31"/>
      <c r="L19" s="31"/>
      <c r="M19" s="3" t="str">
        <f t="shared" ca="1" si="4"/>
        <v>Fixed</v>
      </c>
      <c r="N19" t="s">
        <v>366</v>
      </c>
      <c r="P19" t="str">
        <f>'Combined Delivery Data'!B13</f>
        <v>RPT_04_Main Break Corrosion and Leak Cluster</v>
      </c>
      <c r="Q19">
        <f t="shared" si="5"/>
        <v>0</v>
      </c>
      <c r="R19">
        <f t="shared" si="6"/>
        <v>0</v>
      </c>
      <c r="S19" s="28" t="str">
        <f t="shared" si="7"/>
        <v/>
      </c>
      <c r="T19" t="str">
        <f t="shared" si="8"/>
        <v/>
      </c>
    </row>
    <row r="20" spans="1:20">
      <c r="A20" s="31" t="s">
        <v>377</v>
      </c>
      <c r="B20" s="32">
        <v>46265</v>
      </c>
      <c r="C20" s="31" t="s">
        <v>173</v>
      </c>
      <c r="D20" s="31" t="s">
        <v>189</v>
      </c>
      <c r="E20" s="31" t="s">
        <v>47</v>
      </c>
      <c r="F20" s="31" t="s">
        <v>378</v>
      </c>
      <c r="G20" s="31" t="s">
        <v>50</v>
      </c>
      <c r="H20" s="32"/>
      <c r="I20" s="32">
        <v>46265</v>
      </c>
      <c r="J20" s="32">
        <v>46265</v>
      </c>
      <c r="K20" s="31" t="s">
        <v>77</v>
      </c>
      <c r="L20" s="31" t="s">
        <v>379</v>
      </c>
      <c r="M20" s="3" t="str">
        <f t="shared" ca="1" si="4"/>
        <v>Fixed</v>
      </c>
      <c r="N20" t="s">
        <v>369</v>
      </c>
      <c r="P20" t="str">
        <f>'Combined Delivery Data'!B14</f>
        <v>RPT_04_Leak Summary Status</v>
      </c>
      <c r="Q20">
        <f t="shared" si="5"/>
        <v>0</v>
      </c>
      <c r="R20">
        <f t="shared" si="6"/>
        <v>0</v>
      </c>
      <c r="S20" s="28" t="str">
        <f t="shared" si="7"/>
        <v/>
      </c>
      <c r="T20" t="str">
        <f t="shared" si="8"/>
        <v/>
      </c>
    </row>
    <row r="21" spans="1:20">
      <c r="A21" s="31" t="s">
        <v>175</v>
      </c>
      <c r="B21" s="32">
        <v>46265</v>
      </c>
      <c r="C21" s="31" t="s">
        <v>173</v>
      </c>
      <c r="D21" s="31" t="s">
        <v>182</v>
      </c>
      <c r="E21" s="31" t="s">
        <v>47</v>
      </c>
      <c r="F21" s="31" t="s">
        <v>380</v>
      </c>
      <c r="G21" s="31" t="s">
        <v>50</v>
      </c>
      <c r="H21" s="32"/>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173</v>
      </c>
      <c r="D22" s="31" t="s">
        <v>182</v>
      </c>
      <c r="E22" s="31" t="s">
        <v>129</v>
      </c>
      <c r="F22" s="31" t="s">
        <v>382</v>
      </c>
      <c r="G22" s="31" t="s">
        <v>50</v>
      </c>
      <c r="H22" s="32"/>
      <c r="I22" s="32"/>
      <c r="J22" s="32">
        <v>46266</v>
      </c>
      <c r="K22" s="31" t="s">
        <v>59</v>
      </c>
      <c r="L22" s="31"/>
      <c r="M22" s="3" t="str">
        <f t="shared" ca="1" si="4"/>
        <v>Fixed</v>
      </c>
      <c r="N22" t="s">
        <v>369</v>
      </c>
      <c r="P22" t="str">
        <f>'Combined Delivery Data'!B21</f>
        <v>RPT_04_Leak Life Cycle</v>
      </c>
      <c r="Q22">
        <f t="shared" si="5"/>
        <v>0</v>
      </c>
      <c r="R22">
        <f t="shared" si="6"/>
        <v>0</v>
      </c>
      <c r="S22" s="28" t="str">
        <f t="shared" si="7"/>
        <v/>
      </c>
      <c r="T22" t="str">
        <f t="shared" si="8"/>
        <v/>
      </c>
    </row>
    <row r="23" spans="1:20">
      <c r="A23" s="31" t="s">
        <v>169</v>
      </c>
      <c r="B23" s="32">
        <v>46266</v>
      </c>
      <c r="C23" s="31" t="s">
        <v>173</v>
      </c>
      <c r="D23" s="31" t="s">
        <v>189</v>
      </c>
      <c r="E23" s="31" t="s">
        <v>47</v>
      </c>
      <c r="F23" s="31" t="s">
        <v>383</v>
      </c>
      <c r="G23" s="31" t="s">
        <v>50</v>
      </c>
      <c r="H23" s="32"/>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173</v>
      </c>
      <c r="D24" s="31" t="s">
        <v>189</v>
      </c>
      <c r="E24" s="31" t="s">
        <v>47</v>
      </c>
      <c r="F24" s="31" t="s">
        <v>384</v>
      </c>
      <c r="G24" s="31" t="s">
        <v>50</v>
      </c>
      <c r="H24" s="32"/>
      <c r="I24" s="170">
        <v>46267</v>
      </c>
      <c r="J24" s="32">
        <v>46268</v>
      </c>
      <c r="K24" s="31" t="s">
        <v>46</v>
      </c>
      <c r="L24" s="31" t="s">
        <v>381</v>
      </c>
      <c r="M24" s="3" t="str">
        <f t="shared" ca="1" si="4"/>
        <v>Fixed</v>
      </c>
      <c r="N24" t="s">
        <v>369</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173</v>
      </c>
      <c r="D25" s="31" t="s">
        <v>189</v>
      </c>
      <c r="E25" s="31" t="s">
        <v>47</v>
      </c>
      <c r="F25" s="76" t="s">
        <v>385</v>
      </c>
      <c r="G25" s="31" t="s">
        <v>50</v>
      </c>
      <c r="H25" s="32"/>
      <c r="I25" s="32">
        <v>46267</v>
      </c>
      <c r="J25" s="32">
        <v>46268</v>
      </c>
      <c r="K25" s="31" t="s">
        <v>46</v>
      </c>
      <c r="L25" s="31" t="s">
        <v>381</v>
      </c>
      <c r="M25" s="3" t="str">
        <f t="shared" ca="1" si="4"/>
        <v>Fixed</v>
      </c>
      <c r="N25" s="33" t="s">
        <v>369</v>
      </c>
      <c r="P25" t="str">
        <f>'Combined Delivery Data'!B24</f>
        <v>Leak 360 Dashboard</v>
      </c>
      <c r="Q25">
        <f t="shared" si="5"/>
        <v>0</v>
      </c>
      <c r="R25">
        <f t="shared" si="6"/>
        <v>0</v>
      </c>
      <c r="S25" s="28" t="str">
        <f t="shared" si="7"/>
        <v/>
      </c>
      <c r="T25" t="str">
        <f t="shared" si="8"/>
        <v/>
      </c>
    </row>
    <row r="26" spans="1:20">
      <c r="A26" s="53" t="s">
        <v>188</v>
      </c>
      <c r="B26" s="32">
        <v>46267</v>
      </c>
      <c r="C26" s="31" t="s">
        <v>173</v>
      </c>
      <c r="D26" s="31" t="s">
        <v>189</v>
      </c>
      <c r="E26" s="31" t="s">
        <v>129</v>
      </c>
      <c r="F26" s="31" t="s">
        <v>386</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173</v>
      </c>
      <c r="D27" s="31" t="s">
        <v>182</v>
      </c>
      <c r="E27" s="31" t="s">
        <v>129</v>
      </c>
      <c r="F27" s="31" t="s">
        <v>375</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369</v>
      </c>
      <c r="P27" t="str">
        <f>'Combined Delivery Data'!B26</f>
        <v>RPT_04_Main_Replacement Report</v>
      </c>
      <c r="Q27">
        <f t="shared" si="5"/>
        <v>0</v>
      </c>
      <c r="R27">
        <f t="shared" si="6"/>
        <v>0</v>
      </c>
      <c r="S27" s="28" t="str">
        <f t="shared" si="7"/>
        <v/>
      </c>
      <c r="T27" t="str">
        <f t="shared" si="8"/>
        <v/>
      </c>
    </row>
    <row r="28" spans="1:20">
      <c r="A28" s="31" t="s">
        <v>155</v>
      </c>
      <c r="B28" s="32">
        <v>46267</v>
      </c>
      <c r="C28" s="31" t="s">
        <v>173</v>
      </c>
      <c r="D28" s="31" t="s">
        <v>189</v>
      </c>
      <c r="E28" s="31" t="s">
        <v>143</v>
      </c>
      <c r="F28" s="31" t="s">
        <v>387</v>
      </c>
      <c r="G28" s="31" t="s">
        <v>50</v>
      </c>
      <c r="H28" s="32"/>
      <c r="I28" s="32"/>
      <c r="J28" s="32">
        <v>46267</v>
      </c>
      <c r="K28" s="31" t="s">
        <v>77</v>
      </c>
      <c r="L28" s="31" t="s">
        <v>388</v>
      </c>
      <c r="M28" s="3" t="str">
        <f t="shared" ca="1" si="4"/>
        <v>Fixed</v>
      </c>
      <c r="N28" t="s">
        <v>369</v>
      </c>
      <c r="P28" t="str">
        <f>'Combined Delivery Data'!B27</f>
        <v>New Report: Leak Repair Exception</v>
      </c>
      <c r="Q28">
        <f t="shared" si="5"/>
        <v>0</v>
      </c>
      <c r="R28">
        <f t="shared" si="6"/>
        <v>0</v>
      </c>
      <c r="S28" s="28" t="str">
        <f t="shared" si="7"/>
        <v/>
      </c>
      <c r="T28" t="str">
        <f t="shared" si="8"/>
        <v/>
      </c>
    </row>
    <row r="29" spans="1:20">
      <c r="A29" s="31" t="s">
        <v>136</v>
      </c>
      <c r="B29" s="32">
        <v>46267</v>
      </c>
      <c r="C29" s="31" t="s">
        <v>173</v>
      </c>
      <c r="D29" s="31" t="s">
        <v>189</v>
      </c>
      <c r="E29" s="31" t="s">
        <v>129</v>
      </c>
      <c r="F29" s="31" t="s">
        <v>387</v>
      </c>
      <c r="G29" s="31" t="s">
        <v>50</v>
      </c>
      <c r="H29" s="32"/>
      <c r="I29" s="32"/>
      <c r="J29" s="32">
        <v>46267</v>
      </c>
      <c r="K29" s="31" t="s">
        <v>77</v>
      </c>
      <c r="L29" s="114"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173</v>
      </c>
      <c r="D30" s="31" t="s">
        <v>189</v>
      </c>
      <c r="E30" s="31" t="s">
        <v>129</v>
      </c>
      <c r="F30" s="31" t="s">
        <v>387</v>
      </c>
      <c r="G30" s="31" t="s">
        <v>50</v>
      </c>
      <c r="H30" s="32"/>
      <c r="I30" s="32"/>
      <c r="J30" s="32">
        <v>46267</v>
      </c>
      <c r="K30" s="31" t="s">
        <v>77</v>
      </c>
      <c r="L30" s="114"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173</v>
      </c>
      <c r="D31" s="31" t="s">
        <v>182</v>
      </c>
      <c r="E31" s="31" t="s">
        <v>129</v>
      </c>
      <c r="F31" s="31" t="s">
        <v>389</v>
      </c>
      <c r="G31" s="31" t="s">
        <v>50</v>
      </c>
      <c r="H31" s="32"/>
      <c r="I31" s="32"/>
      <c r="J31" s="32">
        <v>46267</v>
      </c>
      <c r="K31" s="31" t="s">
        <v>154</v>
      </c>
      <c r="L31" s="31"/>
      <c r="M31" s="3" t="str">
        <f t="shared" ca="1" si="4"/>
        <v>Fixed</v>
      </c>
      <c r="N31" t="s">
        <v>369</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173</v>
      </c>
      <c r="D32" s="31" t="s">
        <v>182</v>
      </c>
      <c r="E32" s="31" t="s">
        <v>47</v>
      </c>
      <c r="F32" s="31" t="s">
        <v>390</v>
      </c>
      <c r="G32" s="31" t="s">
        <v>50</v>
      </c>
      <c r="H32" s="32"/>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173</v>
      </c>
      <c r="D33" s="31" t="s">
        <v>182</v>
      </c>
      <c r="E33" s="31" t="s">
        <v>203</v>
      </c>
      <c r="F33" s="31" t="s">
        <v>391</v>
      </c>
      <c r="G33" s="31" t="s">
        <v>50</v>
      </c>
      <c r="H33" s="32"/>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173</v>
      </c>
      <c r="D34" s="31" t="s">
        <v>182</v>
      </c>
      <c r="E34" s="31" t="s">
        <v>47</v>
      </c>
      <c r="F34" s="31" t="s">
        <v>392</v>
      </c>
      <c r="G34" s="31" t="s">
        <v>50</v>
      </c>
      <c r="H34" s="32"/>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196</v>
      </c>
      <c r="B35" s="32">
        <v>46274</v>
      </c>
      <c r="C35" s="31" t="s">
        <v>173</v>
      </c>
      <c r="D35" s="31" t="s">
        <v>189</v>
      </c>
      <c r="E35" s="31" t="s">
        <v>47</v>
      </c>
      <c r="F35" s="76" t="s">
        <v>393</v>
      </c>
      <c r="G35" s="31" t="s">
        <v>50</v>
      </c>
      <c r="H35" s="32"/>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173</v>
      </c>
      <c r="D36" s="31" t="s">
        <v>182</v>
      </c>
      <c r="E36" s="31" t="s">
        <v>129</v>
      </c>
      <c r="F36" s="31" t="s">
        <v>395</v>
      </c>
      <c r="G36" s="31" t="s">
        <v>50</v>
      </c>
      <c r="H36" s="32"/>
      <c r="I36" s="32"/>
      <c r="J36" s="32">
        <v>46276</v>
      </c>
      <c r="K36" s="31" t="s">
        <v>154</v>
      </c>
      <c r="L36" s="31"/>
      <c r="M36" s="3" t="str">
        <f t="shared" ca="1" si="4"/>
        <v>Fixed</v>
      </c>
      <c r="N36" t="s">
        <v>369</v>
      </c>
      <c r="P36" t="str">
        <f>'Combined Delivery Data'!B36</f>
        <v>RPT_02_Service Regulator Inspection Printout</v>
      </c>
      <c r="Q36">
        <f t="shared" si="5"/>
        <v>1</v>
      </c>
      <c r="R36">
        <f t="shared" si="6"/>
        <v>0</v>
      </c>
      <c r="S36" s="28">
        <f t="shared" si="7"/>
        <v>46258</v>
      </c>
      <c r="T36" t="str">
        <f t="shared" si="8"/>
        <v>QA -&gt; DB Dev</v>
      </c>
    </row>
    <row r="37" spans="1:20">
      <c r="A37" s="33" t="s">
        <v>188</v>
      </c>
      <c r="B37" s="32">
        <v>46275</v>
      </c>
      <c r="C37" s="31" t="s">
        <v>173</v>
      </c>
      <c r="D37" s="31" t="s">
        <v>182</v>
      </c>
      <c r="E37" s="31" t="s">
        <v>129</v>
      </c>
      <c r="F37" s="31" t="s">
        <v>396</v>
      </c>
      <c r="G37" s="31" t="s">
        <v>53</v>
      </c>
      <c r="H37" s="32"/>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173</v>
      </c>
      <c r="D38" s="31" t="s">
        <v>182</v>
      </c>
      <c r="E38" s="31" t="s">
        <v>129</v>
      </c>
      <c r="F38" s="31" t="s">
        <v>397</v>
      </c>
      <c r="G38" s="31" t="s">
        <v>53</v>
      </c>
      <c r="H38" s="32"/>
      <c r="I38" s="32"/>
      <c r="J38" s="32"/>
      <c r="K38" s="31"/>
      <c r="L38" s="31"/>
      <c r="M38" s="3" t="str">
        <f t="shared" ca="1" si="4"/>
        <v>UNCLAIMED 3 d</v>
      </c>
      <c r="N38" t="s">
        <v>369</v>
      </c>
      <c r="P38" t="str">
        <f>'Combined Delivery Data'!B38</f>
        <v>RPT_02_Fixed Factor</v>
      </c>
      <c r="Q38">
        <f t="shared" si="5"/>
        <v>2</v>
      </c>
      <c r="R38">
        <f t="shared" si="6"/>
        <v>0</v>
      </c>
      <c r="S38" s="28">
        <f t="shared" si="7"/>
        <v>46251</v>
      </c>
      <c r="T38" t="str">
        <f t="shared" si="8"/>
        <v>QA -&gt; DB Dev</v>
      </c>
    </row>
    <row r="39" spans="1:20">
      <c r="A39" s="31" t="s">
        <v>193</v>
      </c>
      <c r="B39" s="32">
        <v>46279</v>
      </c>
      <c r="C39" s="31" t="s">
        <v>173</v>
      </c>
      <c r="D39" s="31" t="s">
        <v>189</v>
      </c>
      <c r="E39" s="31" t="s">
        <v>143</v>
      </c>
      <c r="F39" s="31" t="s">
        <v>398</v>
      </c>
      <c r="G39" s="31" t="s">
        <v>50</v>
      </c>
      <c r="H39" s="32"/>
      <c r="I39" s="32">
        <v>46281</v>
      </c>
      <c r="J39" s="32">
        <v>46281</v>
      </c>
      <c r="K39" s="31" t="s">
        <v>77</v>
      </c>
      <c r="L39" s="31" t="s">
        <v>399</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210</v>
      </c>
      <c r="B40" s="32">
        <v>46280</v>
      </c>
      <c r="C40" s="31" t="s">
        <v>173</v>
      </c>
      <c r="D40" s="31" t="s">
        <v>182</v>
      </c>
      <c r="E40" s="31" t="s">
        <v>47</v>
      </c>
      <c r="F40" s="31" t="s">
        <v>400</v>
      </c>
      <c r="G40" s="31" t="s">
        <v>53</v>
      </c>
      <c r="H40" s="32"/>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c r="A41" s="31" t="s">
        <v>206</v>
      </c>
      <c r="B41" s="32">
        <v>46281</v>
      </c>
      <c r="C41" s="31" t="s">
        <v>173</v>
      </c>
      <c r="D41" s="31" t="s">
        <v>189</v>
      </c>
      <c r="E41" s="31" t="s">
        <v>203</v>
      </c>
      <c r="F41" s="31" t="s">
        <v>401</v>
      </c>
      <c r="G41" s="31" t="s">
        <v>50</v>
      </c>
      <c r="H41" s="32"/>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c r="A42" s="31" t="s">
        <v>212</v>
      </c>
      <c r="B42" s="32">
        <v>46282</v>
      </c>
      <c r="C42" s="31" t="s">
        <v>173</v>
      </c>
      <c r="D42" s="31" t="s">
        <v>182</v>
      </c>
      <c r="E42" s="31" t="s">
        <v>47</v>
      </c>
      <c r="F42" s="31" t="s">
        <v>402</v>
      </c>
      <c r="G42" s="31" t="s">
        <v>53</v>
      </c>
      <c r="H42" s="32"/>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c r="A43" s="31"/>
      <c r="B43" s="32"/>
      <c r="C43" s="31" t="s">
        <v>173</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173</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173</v>
      </c>
      <c r="D45" s="31"/>
      <c r="E45" s="31"/>
      <c r="F45" s="31"/>
      <c r="G45" s="31" t="s">
        <v>53</v>
      </c>
      <c r="H45" s="32"/>
      <c r="I45" s="32"/>
      <c r="J45" s="32"/>
      <c r="K45" s="31"/>
      <c r="L45" s="31"/>
      <c r="M45" s="3" t="str">
        <f t="shared" ca="1" si="4"/>
        <v/>
      </c>
      <c r="P45" t="str">
        <f>'Combined Delivery Data'!B45</f>
        <v>RPT_02_Cut Out Orders</v>
      </c>
      <c r="Q45">
        <f t="shared" si="5"/>
        <v>0</v>
      </c>
      <c r="R45">
        <f t="shared" si="6"/>
        <v>0</v>
      </c>
      <c r="S45" s="28" t="str">
        <f t="shared" si="7"/>
        <v/>
      </c>
      <c r="T45" t="str">
        <f t="shared" si="8"/>
        <v/>
      </c>
    </row>
    <row r="46" spans="1:20">
      <c r="A46" s="31"/>
      <c r="B46" s="32"/>
      <c r="C46" s="31" t="s">
        <v>173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173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173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173</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173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173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173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173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173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173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173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173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173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173</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c r="A60" s="31"/>
      <c r="B60" s="32"/>
      <c r="C60" s="31" t="s">
        <v>173</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c r="A61" s="31"/>
      <c r="B61" s="32"/>
      <c r="C61" s="31" t="s">
        <v>173</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173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173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173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173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173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173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173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173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173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173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173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173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173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173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173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173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173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173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173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173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173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173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173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173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173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173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173</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173</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173</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173</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173</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173</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173</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173</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173</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173</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173</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173</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173</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173</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173</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173</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173</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173</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173</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173</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173</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173</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173</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173</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173</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173</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173</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173</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173</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173</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173</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173</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173</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173</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173</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173</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173</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173</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173</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173</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173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173</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173</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173</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173</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173</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173</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173</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173</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173</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173</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173</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173</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173</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173</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173</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173</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173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173</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173</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173</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173</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173</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173</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173</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173</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173</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173</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173</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173</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173</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173</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173</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173</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173</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173</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173</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173</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173</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173</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173</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173</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173</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173</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173</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173</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173</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173</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173</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173</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173</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173</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173</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173</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173</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173</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173</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173</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173</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173</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173</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173</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173</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173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173</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173</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173</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173</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173</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305</v>
      </c>
      <c r="B14" s="11">
        <v>9</v>
      </c>
      <c r="C14" s="12">
        <v>46387</v>
      </c>
    </row>
    <row r="15" spans="1:8" ht="14.25" customHeight="1">
      <c r="A15" s="11" t="s">
        <v>295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426</v>
      </c>
      <c r="D13" s="9" t="s">
        <v>427</v>
      </c>
      <c r="E13" s="9" t="s">
        <v>46</v>
      </c>
      <c r="F13" s="9"/>
      <c r="G13" s="9"/>
      <c r="H13" s="10"/>
      <c r="I13" s="10">
        <v>46115</v>
      </c>
      <c r="J13" s="10">
        <v>46115</v>
      </c>
    </row>
    <row r="14" spans="1:10" ht="14.25" customHeight="1">
      <c r="A14" s="9" t="s">
        <v>40</v>
      </c>
      <c r="B14" s="9" t="s">
        <v>189</v>
      </c>
      <c r="C14" s="9" t="s">
        <v>426</v>
      </c>
      <c r="D14" s="9" t="s">
        <v>427</v>
      </c>
      <c r="E14" s="9" t="s">
        <v>46</v>
      </c>
      <c r="F14" s="9"/>
      <c r="G14" s="9"/>
      <c r="H14" s="10">
        <v>46115</v>
      </c>
      <c r="I14" s="10">
        <v>46120</v>
      </c>
      <c r="J14" s="10">
        <v>46120</v>
      </c>
    </row>
    <row r="15" spans="1:10" ht="14.25" customHeight="1">
      <c r="A15" s="9" t="s">
        <v>40</v>
      </c>
      <c r="B15" s="9" t="s">
        <v>173</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427</v>
      </c>
      <c r="E23" s="9" t="s">
        <v>46</v>
      </c>
      <c r="F23" s="9"/>
      <c r="G23" s="9"/>
      <c r="H23" s="10"/>
      <c r="I23" s="10">
        <v>46115</v>
      </c>
      <c r="J23" s="10">
        <v>46115</v>
      </c>
    </row>
    <row r="24" spans="1:10" ht="14.25" customHeight="1">
      <c r="A24" s="9" t="s">
        <v>40</v>
      </c>
      <c r="B24" s="9" t="s">
        <v>189</v>
      </c>
      <c r="C24" s="9" t="s">
        <v>64</v>
      </c>
      <c r="D24" s="9" t="s">
        <v>427</v>
      </c>
      <c r="E24" s="9" t="s">
        <v>46</v>
      </c>
      <c r="F24" s="9"/>
      <c r="G24" s="9"/>
      <c r="H24" s="10">
        <v>46115</v>
      </c>
      <c r="I24" s="10">
        <v>46120</v>
      </c>
      <c r="J24" s="10">
        <v>46120</v>
      </c>
    </row>
    <row r="25" spans="1:10" ht="14.25" customHeight="1">
      <c r="A25" s="9" t="s">
        <v>40</v>
      </c>
      <c r="B25" s="9" t="s">
        <v>173</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427</v>
      </c>
      <c r="E33" s="9" t="s">
        <v>60</v>
      </c>
      <c r="F33" s="9"/>
      <c r="G33" s="9"/>
      <c r="H33" s="10"/>
      <c r="I33" s="10">
        <v>46122</v>
      </c>
      <c r="J33" s="10">
        <v>46122</v>
      </c>
    </row>
    <row r="34" spans="1:10" ht="14.25" customHeight="1">
      <c r="A34" s="9" t="s">
        <v>40</v>
      </c>
      <c r="B34" s="9" t="s">
        <v>189</v>
      </c>
      <c r="C34" s="9" t="s">
        <v>70</v>
      </c>
      <c r="D34" s="9" t="s">
        <v>427</v>
      </c>
      <c r="E34" s="9" t="s">
        <v>60</v>
      </c>
      <c r="F34" s="9"/>
      <c r="G34" s="9"/>
      <c r="H34" s="10">
        <v>46122</v>
      </c>
      <c r="I34" s="10">
        <v>46126</v>
      </c>
      <c r="J34" s="10">
        <v>46126</v>
      </c>
    </row>
    <row r="35" spans="1:10" ht="14.25" customHeight="1">
      <c r="A35" s="9" t="s">
        <v>40</v>
      </c>
      <c r="B35" s="9" t="s">
        <v>173</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427</v>
      </c>
      <c r="E48" s="9" t="s">
        <v>60</v>
      </c>
      <c r="F48" s="9"/>
      <c r="G48" s="9"/>
      <c r="H48" s="10"/>
      <c r="I48" s="10"/>
      <c r="J48" s="10"/>
    </row>
    <row r="49" spans="1:10" ht="14.25" customHeight="1">
      <c r="A49" s="9" t="s">
        <v>40</v>
      </c>
      <c r="B49" s="9" t="s">
        <v>189</v>
      </c>
      <c r="C49" s="9" t="s">
        <v>97</v>
      </c>
      <c r="D49" s="9" t="s">
        <v>427</v>
      </c>
      <c r="E49" s="9" t="s">
        <v>60</v>
      </c>
      <c r="F49" s="9"/>
      <c r="G49" s="9"/>
      <c r="H49" s="10"/>
      <c r="I49" s="10">
        <v>46139</v>
      </c>
      <c r="J49" s="10">
        <v>46139</v>
      </c>
    </row>
    <row r="50" spans="1:10" ht="14.25" customHeight="1">
      <c r="A50" s="9" t="s">
        <v>40</v>
      </c>
      <c r="B50" s="9" t="s">
        <v>173</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182</v>
      </c>
      <c r="C53" s="9" t="s">
        <v>98</v>
      </c>
      <c r="D53" s="9" t="s">
        <v>427</v>
      </c>
      <c r="E53" s="9" t="s">
        <v>60</v>
      </c>
      <c r="F53" s="9"/>
      <c r="G53" s="9"/>
      <c r="H53" s="10"/>
      <c r="I53" s="10"/>
      <c r="J53" s="10"/>
    </row>
    <row r="54" spans="1:10" ht="14.25" customHeight="1">
      <c r="A54" s="9" t="s">
        <v>40</v>
      </c>
      <c r="B54" s="9" t="s">
        <v>189</v>
      </c>
      <c r="C54" s="9" t="s">
        <v>98</v>
      </c>
      <c r="D54" s="9" t="s">
        <v>427</v>
      </c>
      <c r="E54" s="9" t="s">
        <v>60</v>
      </c>
      <c r="F54" s="9"/>
      <c r="G54" s="9"/>
      <c r="H54" s="9"/>
      <c r="I54" s="10">
        <v>46141</v>
      </c>
      <c r="J54" s="10">
        <v>46141</v>
      </c>
    </row>
    <row r="55" spans="1:10" ht="14.25" customHeight="1">
      <c r="A55" s="9" t="s">
        <v>40</v>
      </c>
      <c r="B55" s="9" t="s">
        <v>173</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182</v>
      </c>
      <c r="C58" s="9" t="s">
        <v>99</v>
      </c>
      <c r="D58" s="9" t="s">
        <v>427</v>
      </c>
      <c r="E58" s="9" t="s">
        <v>46</v>
      </c>
      <c r="F58" s="9"/>
      <c r="G58" s="9"/>
      <c r="H58" s="9"/>
      <c r="I58" s="10"/>
      <c r="J58" s="10"/>
    </row>
    <row r="59" spans="1:10" ht="14.25" customHeight="1">
      <c r="A59" s="9" t="s">
        <v>40</v>
      </c>
      <c r="B59" s="9" t="s">
        <v>189</v>
      </c>
      <c r="C59" s="9" t="s">
        <v>99</v>
      </c>
      <c r="D59" s="9" t="s">
        <v>427</v>
      </c>
      <c r="E59" s="9" t="s">
        <v>46</v>
      </c>
      <c r="F59" s="9"/>
      <c r="G59" s="9"/>
      <c r="H59" s="10"/>
      <c r="I59" s="10">
        <v>46161</v>
      </c>
      <c r="J59" s="10">
        <v>46161</v>
      </c>
    </row>
    <row r="60" spans="1:10" ht="14.25" customHeight="1">
      <c r="A60" s="9" t="s">
        <v>40</v>
      </c>
      <c r="B60" s="9" t="s">
        <v>173</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332</v>
      </c>
      <c r="G1" s="5" t="s">
        <v>429</v>
      </c>
      <c r="H1" s="5" t="s">
        <v>20</v>
      </c>
      <c r="I1" t="s">
        <v>35</v>
      </c>
      <c r="J1" s="5" t="s">
        <v>430</v>
      </c>
      <c r="K1" s="5" t="s">
        <v>164</v>
      </c>
      <c r="L1" s="5" t="s">
        <v>351</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252</v>
      </c>
      <c r="T2" t="s">
        <v>49</v>
      </c>
    </row>
    <row r="3" spans="1:20" ht="15" customHeight="1">
      <c r="A3" t="s">
        <v>40</v>
      </c>
      <c r="B3" t="s">
        <v>44</v>
      </c>
      <c r="C3" t="s">
        <v>60</v>
      </c>
      <c r="D3" t="s">
        <v>129</v>
      </c>
      <c r="E3" t="s">
        <v>50</v>
      </c>
      <c r="F3" t="s">
        <v>225</v>
      </c>
      <c r="G3" t="s">
        <v>44</v>
      </c>
      <c r="H3" t="s">
        <v>47</v>
      </c>
      <c r="I3" t="s">
        <v>53</v>
      </c>
      <c r="J3" t="s">
        <v>182</v>
      </c>
      <c r="K3" t="s">
        <v>48</v>
      </c>
      <c r="L3" t="s">
        <v>53</v>
      </c>
      <c r="M3" t="s">
        <v>44</v>
      </c>
      <c r="N3" t="s">
        <v>447</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448</v>
      </c>
      <c r="R4" t="s">
        <v>185</v>
      </c>
      <c r="T4" t="s">
        <v>72</v>
      </c>
    </row>
    <row r="5" spans="1:20" ht="15" customHeight="1">
      <c r="A5" t="s">
        <v>418</v>
      </c>
      <c r="B5" t="s">
        <v>427</v>
      </c>
      <c r="C5" t="s">
        <v>77</v>
      </c>
      <c r="F5" t="s">
        <v>189</v>
      </c>
      <c r="G5" t="s">
        <v>427</v>
      </c>
      <c r="H5" t="s">
        <v>129</v>
      </c>
      <c r="I5" t="s">
        <v>211</v>
      </c>
      <c r="J5" t="s">
        <v>173</v>
      </c>
      <c r="L5" t="s">
        <v>449</v>
      </c>
      <c r="M5" t="s">
        <v>88</v>
      </c>
      <c r="N5" t="s">
        <v>450</v>
      </c>
    </row>
    <row r="6" spans="1:20" ht="15" customHeight="1">
      <c r="A6" t="s">
        <v>305</v>
      </c>
      <c r="B6" t="s">
        <v>84</v>
      </c>
      <c r="F6" t="s">
        <v>173</v>
      </c>
      <c r="G6" t="s">
        <v>84</v>
      </c>
      <c r="H6" t="s">
        <v>143</v>
      </c>
      <c r="I6" t="s">
        <v>191</v>
      </c>
      <c r="J6" t="s">
        <v>164</v>
      </c>
      <c r="M6" t="s">
        <v>48</v>
      </c>
      <c r="N6" t="s">
        <v>450</v>
      </c>
    </row>
    <row r="7" spans="1:20" ht="15" customHeight="1">
      <c r="A7" t="s">
        <v>295</v>
      </c>
      <c r="B7" t="s">
        <v>65</v>
      </c>
      <c r="F7" t="s">
        <v>164</v>
      </c>
      <c r="G7" t="s">
        <v>65</v>
      </c>
      <c r="H7" t="s">
        <v>203</v>
      </c>
      <c r="I7" t="s">
        <v>451</v>
      </c>
      <c r="M7" t="s">
        <v>129</v>
      </c>
      <c r="N7" t="s">
        <v>452</v>
      </c>
    </row>
    <row r="8" spans="1:20" ht="15" customHeight="1">
      <c r="B8" t="s">
        <v>76</v>
      </c>
      <c r="F8" t="s">
        <v>128</v>
      </c>
      <c r="G8" t="s">
        <v>76</v>
      </c>
      <c r="I8" t="s">
        <v>453</v>
      </c>
      <c r="M8" t="s">
        <v>60</v>
      </c>
      <c r="N8" t="s">
        <v>454</v>
      </c>
    </row>
    <row r="9" spans="1:20" ht="15" customHeight="1">
      <c r="B9" t="s">
        <v>103</v>
      </c>
      <c r="F9" t="s">
        <v>42</v>
      </c>
      <c r="G9" t="s">
        <v>103</v>
      </c>
      <c r="I9" t="s">
        <v>455</v>
      </c>
      <c r="M9" t="s">
        <v>154</v>
      </c>
      <c r="N9" t="s">
        <v>456</v>
      </c>
    </row>
    <row r="10" spans="1:20" ht="15" customHeight="1">
      <c r="B10" t="s">
        <v>154</v>
      </c>
      <c r="G10" t="s">
        <v>154</v>
      </c>
      <c r="M10" t="s">
        <v>47</v>
      </c>
      <c r="N10" t="s">
        <v>457</v>
      </c>
    </row>
    <row r="11" spans="1:20">
      <c r="B11" t="s">
        <v>458</v>
      </c>
      <c r="G11" t="s">
        <v>60</v>
      </c>
      <c r="M11" t="s">
        <v>76</v>
      </c>
      <c r="N11" t="s">
        <v>459</v>
      </c>
    </row>
    <row r="12" spans="1:20">
      <c r="B12" t="s">
        <v>460</v>
      </c>
      <c r="G12" t="s">
        <v>46</v>
      </c>
      <c r="M12" t="s">
        <v>46</v>
      </c>
      <c r="N12" t="s">
        <v>461</v>
      </c>
    </row>
    <row r="13" spans="1:20">
      <c r="G13" t="s">
        <v>77</v>
      </c>
      <c r="M13" t="s">
        <v>77</v>
      </c>
      <c r="N13" t="s">
        <v>462</v>
      </c>
    </row>
    <row r="14" spans="1:20">
      <c r="M14" t="s">
        <v>84</v>
      </c>
      <c r="N14" t="s">
        <v>463</v>
      </c>
    </row>
    <row r="15" spans="1:20">
      <c r="M15" t="s">
        <v>59</v>
      </c>
      <c r="N15" t="s">
        <v>464</v>
      </c>
    </row>
    <row r="16" spans="1:20">
      <c r="M16" t="s">
        <v>65</v>
      </c>
      <c r="N16" t="s">
        <v>465</v>
      </c>
    </row>
    <row r="17" spans="13:14">
      <c r="M17" t="s">
        <v>427</v>
      </c>
      <c r="N17" t="s">
        <v>465</v>
      </c>
    </row>
    <row r="18" spans="13:14">
      <c r="M18" t="s">
        <v>229</v>
      </c>
      <c r="N18" t="s">
        <v>466</v>
      </c>
    </row>
    <row r="19" spans="13:14">
      <c r="M19" t="s">
        <v>203</v>
      </c>
      <c r="N19" t="s">
        <v>467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2026-09-17T16:44:51Z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