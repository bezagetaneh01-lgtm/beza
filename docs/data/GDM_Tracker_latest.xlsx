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645" documentId="13_ncr:1_{52745E9B-3AA1-4770-AAD3-E6166BFC13AE}" xr6:coauthVersionLast="47" xr6:coauthVersionMax="47" xr10:uidLastSave="{DE384CBD-308E-4CA6-A5DD-4B86DD816115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2" l="1" a="1"/>
  <c r="D88" i="2"/>
  <c r="AK50" i="2" a="1"/>
  <c r="AK50" i="2"/>
  <c r="M26" i="4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8" i="2" a="1"/>
  <c r="D58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D59" i="2" s="1" a="1"/>
  <c r="D59" i="2" s="1"/>
  <c r="AM58" i="2" a="1"/>
  <c r="AM58" i="2" s="1"/>
  <c r="AM57" i="2" a="1"/>
  <c r="AM57" i="2" s="1"/>
  <c r="D57" i="2" s="1" a="1"/>
  <c r="D57" i="2" s="1"/>
  <c r="AM56" i="2" a="1"/>
  <c r="AM56" i="2" s="1"/>
  <c r="D56" i="2" s="1" a="1"/>
  <c r="D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<sst xmlns="http://schemas.openxmlformats.org/spreadsheetml/2006/main" count="3023" uniqueCount="428">
  <si>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</si>
  <si>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</si>
  <si>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</si>
  <si>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</si>
  <si>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</si>
  <si>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</si>
  <si>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</si>
  <si>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</si>
  <si>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</si>
  <si>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</si>
  <si>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</si>
  <si>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</si>
  <si>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</si>
  <si>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</si>
  <si>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</si>
  <si>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</si>
  <si>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</si>
  <si>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</si>
  <si>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</si>
  <si>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</si>
  <si>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</si>
  <si>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</si>
  <si>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</si>
  <si>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</si>
  <si>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</si>
  <si>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</si>
  <si>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</si>
  <si>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</si>
  <si>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</si>
  <si>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</si>
  <si>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</si>
  <si>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</si>
  <si>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</si>
  <si>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</si>
  <si>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</si>
  <si>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</si>
  <si>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</si>
  <si>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</si>
  <si>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</si>
  <si>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</si>
  <si>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</si>
  <si>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</si>
  <si>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</si>
  <si>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</si>
  <si>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</si>
  <si>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</si>
  <si>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</si>
  <si>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</si>
  <si>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</si>
  <si>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</si>
  <si>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</si>
  <si>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</si>
  <si>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</si>
  <si>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</si>
  <si>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</si>
  <si>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</si>
  <si>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</si>
  <si>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</si>
  <si>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</si>
  <si>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</si>
  <si>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</si>
  <si>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</si>
  <si>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</si>
  <si>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</si>
  <si>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</si>
  <si>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</si>
  <si>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</si>
  <si>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</si>
  <si>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</si>
  <si>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</si>
  <si>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</si>
  <si>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</si>
  <si>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</si>
  <si>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</si>
  <si>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</si>
  <si>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</si>
  <si>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</si>
  <si>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</si>
  <si>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</si>
  <si>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</si>
  <si>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</si>
  <si>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</si>
  <si>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</si>
  <si>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</si>
  <si>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</si>
  <si>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</si>
  <si>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</si>
  <si>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</si>
  <si>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</si>
  <si>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</si>
  <si>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</si>
  <si>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</si>
  <si>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</si>
  <si>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</si>
  <si>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</si>
  <si>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</si>
  <si>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</si>
  <si>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</si>
  <si>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</si>
  <si>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</si>
  <si>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</si>
  <si>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</si>
  <si>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</si>
  <si>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</si>
  <si>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</si>
  <si>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</si>
  <si>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</si>
  <si>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</si>
  <si>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</si>
  <si>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</si>
  <si>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</si>
  <si>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</si>
  <si>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</si>
  <si>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</si>
  <si>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</si>
  <si>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</si>
  <si>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</si>
  <si>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</si>
  <si>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</si>
  <si>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</si>
  <si>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</si>
  <si>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</si>
  <si>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</si>
  <si>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</si>
  <si>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</si>
  <si>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</si>
  <si>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</si>
  <si>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</si>
  <si>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</si>
  <si>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</si>
  <si>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</si>
  <si>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</si>
  <si>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</si>
  <si>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</si>
  <si>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</si>
  <si>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</si>
  <si>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</si>
  <si>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</si>
  <si>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</si>
  <si>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</si>
  <si>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</si>
  <si>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</si>
  <si>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</si>
  <si>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</si>
  <si>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</si>
  <si>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</si>
  <si>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</si>
  <si>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</si>
  <si>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</si>
  <si>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</si>
  <si>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</si>
  <si>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</si>
  <si>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</si>
  <si>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</si>
  <si>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</si>
  <si>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</si>
  <si>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</si>
  <si>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</si>
  <si>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</si>
  <si>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</si>
  <si>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</si>
  <si>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</si>
  <si>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</si>
  <si>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</si>
  <si>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</si>
  <si>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</si>
  <si>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</si>
  <si>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</si>
  <si>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</si>
  <si>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</si>
  <si>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</si>
  <si>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</si>
  <si>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</si>
  <si>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</si>
  <si>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Yes – needs DB Dev to fix</t>
  </si>
  <si>
    <t>Blocked with https://jira.prod.nationalgrid.com/browse/GDMP-2546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</si>
  <si>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</si>
  <si>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</si>
  <si>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</si>
  <si>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</si>
  <si>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</si>
  <si>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</si>
  <si>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</si>
  <si>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</si>
  <si>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</si>
  <si>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</si>
  <si>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</si>
  <si>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</si>
  <si>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</si>
  <si>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On track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</si>
  <si>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</si>
  <si>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</si>
  <si>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</si>
  <si>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</si>
  <si>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</si>
  <si>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</si>
  <si>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</si>
  <si>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</si>
  <si>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</si>
  <si>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</si>
  <si>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</si>
  <si>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</si>
  <si>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</si>
  <si>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</si>
  <si>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</si>
  <si>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</si>
  <si>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</si>
  <si>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</si>
  <si>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</si>
  <si>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</si>
  <si>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</si>
  <si>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</si>
  <si>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</si>
  <si>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</si>
  <si>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</si>
  <si>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NOT STARTED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</si>
  <si>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</si>
  <si>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</si>
  <si>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</si>
  <si>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</si>
  <si>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</si>
  <si>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</si>
  <si>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</si>
  <si>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</si>
  <si>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</si>
  <si>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</si>
  <si>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</si>
  <si>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</si>
  <si>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</si>
  <si>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</si>
  <si>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</si>
  <si>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</si>
  <si>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</si>
  <si>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</si>
  <si>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</si>
  <si>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</si>
  <si>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</si>
  <si>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</si>
  <si>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</si>
  <si>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</si>
  <si>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</si>
  <si>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</si>
  <si>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</si>
  <si>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</si>
  <si>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</si>
  <si>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</si>
  <si>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</si>
  <si>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</si>
  <si>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</si>
  <si>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</si>
  <si>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</si>
  <si>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</si>
  <si>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</si>
  <si>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</si>
  <si>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</si>
  <si>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</si>
  <si>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</si>
  <si>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</si>
  <si>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</si>
  <si>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</si>
  <si>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</si>
  <si>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</si>
  <si>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</si>
  <si>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</si>
  <si>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</si>
  <si>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</si>
  <si>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</si>
  <si>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</si>
  <si>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</si>
  <si>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</si>
  <si>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</si>
  <si>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</si>
  <si>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</si>
  <si>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</si>
  <si>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</si>
  <si>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</si>
  <si>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</si>
  <si>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</si>
  <si>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</si>
  <si>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</si>
  <si>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</si>
  <si>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</si>
  <si>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</si>
  <si>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</si>
  <si>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</si>
  <si>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</si>
  <si>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</si>
  <si>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</si>
  <si>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</si>
  <si>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</si>
  <si>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</si>
  <si>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</si>
  <si>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</si>
  <si>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</si>
  <si>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</si>
  <si>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</si>
  <si>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</si>
  <si>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</si>
  <si>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</si>
  <si>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</si>
  <si>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</si>
  <si>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</si>
  <si>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</si>
  <si>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</si>
  <si>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</si>
  <si>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</si>
  <si>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</si>
  <si>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</si>
  <si>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</si>
  <si>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</si>
  <si>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</si>
  <si>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</si>
  <si>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</si>
  <si>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</si>
  <si>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</si>
  <si>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</si>
  <si>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</si>
  <si>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</si>
  <si>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</si>
  <si>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</si>
  <si>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</si>
  <si>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</si>
  <si>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</si>
  <si>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</si>
  <si>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</si>
  <si>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</si>
  <si>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</si>
  <si>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</si>
  <si>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</si>
  <si>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</si>
  <si>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</si>
  <si>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</si>
  <si>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</si>
  <si>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</si>
  <si>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</si>
  <si>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</si>
  <si>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</si>
  <si>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</si>
  <si>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</si>
  <si>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</si>
  <si>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</si>
  <si>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</si>
  <si>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</si>
  <si>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</si>
  <si>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</si>
  <si>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</si>
  <si>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</si>
  <si>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</si>
  <si>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</si>
  <si>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</si>
  <si>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</si>
  <si>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</si>
  <si>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</si>
  <si>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</si>
  <si>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</si>
  <si>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</si>
  <si>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</si>
  <si>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</si>
  <si>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</si>
  <si>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</si>
  <si>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</si>
  <si>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</si>
  <si>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</si>
  <si>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</si>
  <si>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</si>
  <si>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</si>
  <si>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</si>
  <si>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</si>
  <si>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</si>
  <si>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</si>
  <si>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</si>
  <si>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</si>
  <si>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</si>
  <si>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</si>
  <si>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</si>
  <si>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</si>
  <si>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</si>
  <si>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</si>
  <si>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</si>
  <si>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</si>
  <si>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</si>
  <si>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</si>
  <si>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</si>
  <si>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</si>
  <si>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</si>
  <si>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Count mismatch , Mismatch in PM description</t>
  </si>
  <si>
    <t>Olu</t>
  </si>
  <si>
    <t>Value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</si>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</sst>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  <font>
      <sz val="11"/>
      <color rgb="FF999600"/>
      <name val="Calibri"/>
      <family val="2"/>
    </font>
    <font>
      <sz val="11"/>
      <color rgb="FF999600"/>
      <name val="Calibri"/>
      <family val="2"/>
      <charset val="1"/>
    </font>
    <font>
      <sz val="11"/>
      <color rgb="FF999600"/>
      <name val="Calibri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8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6" fillId="0" borderId="13" xfId="0" applyFont="1" applyBorder="1" applyAlignment="1" applyProtection="1">
      <alignment vertical="top" wrapText="1"/>
      <protection locked="0"/>
    </xf>
    <xf numFmtId="14" fontId="6" fillId="18" borderId="0" xfId="0" applyNumberFormat="1" applyFont="1" applyFill="1"/>
    <xf numFmtId="14" fontId="6" fillId="18" borderId="0" xfId="0" applyNumberFormat="1" applyFont="1" applyFill="1" applyProtection="1">
      <protection locked="0"/>
    </xf>
    <xf numFmtId="0" fontId="26" fillId="19" borderId="0" xfId="0" applyFont="1" applyFill="1" applyProtection="1">
      <protection locked="0"/>
    </xf>
    <xf numFmtId="0" fontId="27" fillId="19" borderId="0" xfId="0" applyFont="1" applyFill="1"/>
    <xf numFmtId="0" fontId="26" fillId="19" borderId="4" xfId="0" applyFont="1" applyFill="1" applyBorder="1" applyProtection="1">
      <protection locked="0"/>
    </xf>
    <xf numFmtId="14" fontId="26" fillId="19" borderId="5" xfId="0" applyNumberFormat="1" applyFont="1" applyFill="1" applyBorder="1"/>
    <xf numFmtId="0" fontId="26" fillId="19" borderId="14" xfId="0" applyFont="1" applyFill="1" applyBorder="1"/>
    <xf numFmtId="14" fontId="26" fillId="19" borderId="0" xfId="0" applyNumberFormat="1" applyFont="1" applyFill="1"/>
    <xf numFmtId="14" fontId="26" fillId="19" borderId="0" xfId="0" applyNumberFormat="1" applyFont="1" applyFill="1" applyProtection="1">
      <protection locked="0"/>
    </xf>
    <xf numFmtId="0" fontId="26" fillId="19" borderId="15" xfId="0" applyFont="1" applyFill="1" applyBorder="1" applyProtection="1">
      <protection locked="0"/>
    </xf>
    <xf numFmtId="14" fontId="26" fillId="19" borderId="16" xfId="0" applyNumberFormat="1" applyFont="1" applyFill="1" applyBorder="1" applyProtection="1">
      <protection locked="0"/>
    </xf>
    <xf numFmtId="14" fontId="27" fillId="19" borderId="0" xfId="0" applyNumberFormat="1" applyFont="1" applyFill="1"/>
    <xf numFmtId="14" fontId="26" fillId="19" borderId="8" xfId="0" applyNumberFormat="1" applyFont="1" applyFill="1" applyBorder="1"/>
    <xf numFmtId="0" fontId="26" fillId="19" borderId="9" xfId="0" applyFont="1" applyFill="1" applyBorder="1" applyProtection="1">
      <protection locked="0"/>
    </xf>
    <xf numFmtId="0" fontId="26" fillId="19" borderId="10" xfId="0" applyFont="1" applyFill="1" applyBorder="1" applyProtection="1">
      <protection locked="0"/>
    </xf>
    <xf numFmtId="0" fontId="26" fillId="19" borderId="11" xfId="0" applyFont="1" applyFill="1" applyBorder="1" applyProtection="1">
      <protection locked="0"/>
    </xf>
    <xf numFmtId="0" fontId="27" fillId="19" borderId="12" xfId="0" applyFont="1" applyFill="1" applyBorder="1" applyProtection="1">
      <protection locked="0"/>
    </xf>
    <xf numFmtId="0" fontId="26" fillId="19" borderId="13" xfId="0" applyFont="1" applyFill="1" applyBorder="1" applyProtection="1">
      <protection locked="0"/>
    </xf>
    <xf numFmtId="14" fontId="27" fillId="19" borderId="0" xfId="0" applyNumberFormat="1" applyFont="1" applyFill="1" applyProtection="1">
      <protection locked="0"/>
    </xf>
    <xf numFmtId="0" fontId="27" fillId="0" borderId="0" xfId="0" applyFont="1" applyProtection="1">
      <protection locked="0"/>
    </xf>
    <xf numFmtId="0" fontId="27" fillId="0" borderId="0" xfId="0" applyFont="1"/>
    <xf numFmtId="14" fontId="26" fillId="0" borderId="5" xfId="0" applyNumberFormat="1" applyFont="1" applyBorder="1"/>
    <xf numFmtId="0" fontId="27" fillId="0" borderId="14" xfId="0" applyFont="1" applyBorder="1"/>
    <xf numFmtId="14" fontId="28" fillId="0" borderId="0" xfId="0" applyNumberFormat="1" applyFont="1" applyProtection="1">
      <protection locked="0"/>
    </xf>
    <xf numFmtId="16" fontId="27" fillId="0" borderId="0" xfId="0" applyNumberFormat="1" applyFont="1" applyProtection="1">
      <protection locked="0"/>
    </xf>
    <xf numFmtId="14" fontId="27" fillId="0" borderId="15" xfId="0" applyNumberFormat="1" applyFont="1" applyBorder="1" applyProtection="1">
      <protection locked="0"/>
    </xf>
    <xf numFmtId="16" fontId="27" fillId="0" borderId="16" xfId="0" applyNumberFormat="1" applyFont="1" applyBorder="1" applyProtection="1">
      <protection locked="0"/>
    </xf>
    <xf numFmtId="14" fontId="27" fillId="0" borderId="0" xfId="0" applyNumberFormat="1" applyFont="1" applyProtection="1">
      <protection locked="0"/>
    </xf>
    <xf numFmtId="14" fontId="27" fillId="0" borderId="0" xfId="0" applyNumberFormat="1" applyFont="1"/>
    <xf numFmtId="14" fontId="26" fillId="0" borderId="0" xfId="0" applyNumberFormat="1" applyFont="1" applyProtection="1">
      <protection locked="0"/>
    </xf>
    <xf numFmtId="0" fontId="29" fillId="0" borderId="0" xfId="0" applyFont="1" applyProtection="1">
      <protection locked="0"/>
    </xf>
    <xf numFmtId="0" fontId="29" fillId="0" borderId="0" xfId="0" applyFont="1"/>
    <xf numFmtId="14" fontId="30" fillId="0" borderId="5" xfId="0" applyNumberFormat="1" applyFont="1" applyBorder="1"/>
    <xf numFmtId="0" fontId="29" fillId="0" borderId="14" xfId="0" applyFont="1" applyBorder="1"/>
    <xf numFmtId="14" fontId="31" fillId="0" borderId="0" xfId="0" applyNumberFormat="1" applyFont="1" applyProtection="1">
      <protection locked="0"/>
    </xf>
    <xf numFmtId="16" fontId="29" fillId="0" borderId="0" xfId="0" applyNumberFormat="1" applyFont="1" applyProtection="1">
      <protection locked="0"/>
    </xf>
    <xf numFmtId="14" fontId="29" fillId="0" borderId="15" xfId="0" applyNumberFormat="1" applyFont="1" applyBorder="1" applyProtection="1">
      <protection locked="0"/>
    </xf>
    <xf numFmtId="16" fontId="29" fillId="0" borderId="16" xfId="0" applyNumberFormat="1" applyFont="1" applyBorder="1" applyProtection="1">
      <protection locked="0"/>
    </xf>
    <xf numFmtId="14" fontId="29" fillId="0" borderId="0" xfId="0" applyNumberFormat="1" applyFont="1" applyProtection="1">
      <protection locked="0"/>
    </xf>
    <xf numFmtId="14" fontId="29" fillId="0" borderId="0" xfId="0" applyNumberFormat="1" applyFont="1"/>
    <xf numFmtId="14" fontId="30" fillId="0" borderId="0" xfId="0" applyNumberFormat="1" applyFont="1" applyProtection="1">
      <protection locked="0"/>
    </xf>
    <xf numFmtId="0" fontId="26" fillId="0" borderId="0" xfId="0" applyFont="1" applyProtection="1">
      <protection locked="0"/>
    </xf>
    <xf numFmtId="0" fontId="26" fillId="0" borderId="4" xfId="0" applyFont="1" applyBorder="1" applyProtection="1">
      <protection locked="0"/>
    </xf>
    <xf numFmtId="0" fontId="26" fillId="0" borderId="14" xfId="0" applyFont="1" applyBorder="1"/>
    <xf numFmtId="14" fontId="26" fillId="0" borderId="0" xfId="0" applyNumberFormat="1" applyFont="1"/>
    <xf numFmtId="0" fontId="26" fillId="0" borderId="15" xfId="0" applyFont="1" applyBorder="1" applyProtection="1">
      <protection locked="0"/>
    </xf>
    <xf numFmtId="14" fontId="26" fillId="0" borderId="16" xfId="0" applyNumberFormat="1" applyFont="1" applyBorder="1" applyProtection="1">
      <protection locked="0"/>
    </xf>
    <xf numFmtId="14" fontId="26" fillId="0" borderId="8" xfId="0" applyNumberFormat="1" applyFont="1" applyBorder="1"/>
    <xf numFmtId="0" fontId="26" fillId="0" borderId="9" xfId="0" applyFont="1" applyBorder="1" applyProtection="1">
      <protection locked="0"/>
    </xf>
    <xf numFmtId="0" fontId="26" fillId="0" borderId="10" xfId="0" applyFont="1" applyBorder="1" applyProtection="1">
      <protection locked="0"/>
    </xf>
    <xf numFmtId="0" fontId="26" fillId="0" borderId="11" xfId="0" applyFont="1" applyBorder="1" applyProtection="1">
      <protection locked="0"/>
    </xf>
    <xf numFmtId="0" fontId="27" fillId="0" borderId="12" xfId="0" applyFont="1" applyBorder="1" applyProtection="1">
      <protection locked="0"/>
    </xf>
    <xf numFmtId="0" fontId="26" fillId="0" borderId="13" xfId="0" applyFont="1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28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9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8">
  <autoFilter ref="A1:AN115" xr:uid="{00000000-0009-0000-0100-000001000000}"/>
  <tableColumns count="40">
    <tableColumn id="1" xr3:uid="{00000000-0010-0000-0000-000001000000}" name="Domain" dataDxfId="57"/>
    <tableColumn id="2" xr3:uid="{00000000-0010-0000-0000-000002000000}" name="Report Name" dataDxfId="56"/>
    <tableColumn id="3" xr3:uid="{00000000-0010-0000-0000-000003000000}" name="Current Status  (Update next stage after completion date)" dataDxfId="55"/>
    <tableColumn id="4" xr3:uid="{00000000-0010-0000-0000-000004000000}" name="Status Flag" dataDxfId="54"/>
    <tableColumn id="5" xr3:uid="{00000000-0010-0000-0000-000005000000}" name="Business Value Rank" dataDxfId="53"/>
    <tableColumn id="6" xr3:uid="{00000000-0010-0000-0000-000006000000}" name="PO" dataDxfId="52"/>
    <tableColumn id="10" xr3:uid="{00000000-0010-0000-0000-00000A000000}" name="Schema" dataDxfId="51"/>
    <tableColumn id="11" xr3:uid="{00000000-0010-0000-0000-00000B000000}" name="Plan Delivery Date" dataDxfId="50"/>
    <tableColumn id="12" xr3:uid="{00000000-0010-0000-0000-00000C000000}" name="Plan Delivery Month" dataDxfId="49"/>
    <tableColumn id="7" xr3:uid="{00000000-0010-0000-0000-000007000000}" name="DB Developer" dataDxfId="48"/>
    <tableColumn id="13" xr3:uid="{00000000-0010-0000-0000-00000D000000}" name="DB Dev Baseline Completion Date" dataDxfId="47"/>
    <tableColumn id="30" xr3:uid="{00000000-0010-0000-0000-00001E000000}" name="DB Dev Reforecast Completion Date" dataDxfId="46"/>
    <tableColumn id="14" xr3:uid="{00000000-0010-0000-0000-00000E000000}" name="DB Dev Actual Completion Date" dataDxfId="45"/>
    <tableColumn id="35" xr3:uid="{1A518B0C-8D73-4DAB-8F10-7B4DFF037343}" name="Build Source" dataDxfId="44"/>
    <tableColumn id="28" xr3:uid="{EFCDFAEE-1B00-42CE-9649-7541F5DDC136}" name="Sprint DB" dataDxfId="43"/>
    <tableColumn id="8" xr3:uid="{00000000-0010-0000-0000-000008000000}" name="PBI Developer" dataDxfId="42"/>
    <tableColumn id="15" xr3:uid="{00000000-0010-0000-0000-00000F000000}" name="PBI Dev Baseline Completion Date" dataDxfId="41"/>
    <tableColumn id="31" xr3:uid="{00000000-0010-0000-0000-00001F000000}" name="PBI Dev Reforecast Completion Date" dataDxfId="40"/>
    <tableColumn id="16" xr3:uid="{00000000-0010-0000-0000-000010000000}" name="PBI Dev Actual Completion Date" dataDxfId="39"/>
    <tableColumn id="29" xr3:uid="{4630D178-9B47-4360-A40B-22C7384DB9C9}" name="Sprint PBI" dataDxfId="38"/>
    <tableColumn id="9" xr3:uid="{00000000-0010-0000-0000-000009000000}" name="QA Tester" dataDxfId="37"/>
    <tableColumn id="17" xr3:uid="{00000000-0010-0000-0000-000011000000}" name="QA Baseline Completion Date" dataDxfId="36"/>
    <tableColumn id="32" xr3:uid="{00000000-0010-0000-0000-000020000000}" name="QA Reforecast Completion Date" dataDxfId="35"/>
    <tableColumn id="43" xr3:uid="{4636FA56-7728-4236-AC33-8557B12CD9BB}" name="preety Initial QA Completion Date" dataDxfId="34"/>
    <tableColumn id="18" xr3:uid="{00000000-0010-0000-0000-000012000000}" name="QA Actual Completion Date" dataDxfId="33"/>
    <tableColumn id="34" xr3:uid="{70C5E8CB-08B0-4A84-9B68-89630FC3C5C7}" name="Sprint QA" dataDxfId="32"/>
    <tableColumn id="19" xr3:uid="{00000000-0010-0000-0000-000013000000}" name="DPO Approval Baseline Completion Date" dataDxfId="31"/>
    <tableColumn id="33" xr3:uid="{00000000-0010-0000-0000-000021000000}" name="DPO Approval Reforecast Completion Date" dataDxfId="30"/>
    <tableColumn id="36" xr3:uid="{86D482BF-E7A4-45A2-B2F5-CA0223EBDDD1}" name="DPO Approval Completion Date" dataDxfId="29"/>
    <tableColumn id="20" xr3:uid="{00000000-0010-0000-0000-000014000000}" name="DPO Approval Reviewer" dataDxfId="28"/>
    <tableColumn id="39" xr3:uid="{D4F67DF1-1A6D-469A-AA66-A681F9EBF81F}" name="Report Type" dataDxfId="27"/>
    <tableColumn id="21" xr3:uid="{00000000-0010-0000-0000-000015000000}" name="Confirmed Deployed?" dataDxfId="26"/>
    <tableColumn id="22" xr3:uid="{00000000-0010-0000-0000-000016000000}" name="Confirmed Deployed Date" dataDxfId="25"/>
    <tableColumn id="23" xr3:uid="{00000000-0010-0000-0000-000017000000}" name="UAT Report URL" dataDxfId="24"/>
    <tableColumn id="24" xr3:uid="{00000000-0010-0000-0000-000018000000}" name="Production URL" dataDxfId="23"/>
    <tableColumn id="25" xr3:uid="{00000000-0010-0000-0000-000019000000}" name="Blocked?" dataDxfId="22"/>
    <tableColumn id="26" xr3:uid="{00000000-0010-0000-0000-00001A000000}" name="Data Check" dataDxfId="21"/>
    <tableColumn id="27" xr3:uid="{00000000-0010-0000-0000-00001B000000}" name="Comments" dataDxfId="20"/>
    <tableColumn id="37" xr3:uid="{80A8E094-8F50-434A-A9E3-195269D50436}" name="QA Rework Due_x0009_DPO Rework Due" dataDxfId="19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8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abSelected="1" topLeftCell="A88" zoomScaleNormal="100" workbookViewId="0">
      <pane xSplit="2" topLeftCell="C1" activePane="topRight" state="frozen"/>
      <selection pane="topRight" activeCell="C129" sqref="C129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.570312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46273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46273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46273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>
        <v>46269</v>
      </c>
      <c r="Z32" s="36"/>
      <c r="AA32" s="52">
        <v>46232</v>
      </c>
      <c r="AB32" s="36">
        <v>46273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143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>
      <c r="A33" s="33" t="s">
        <v>127</v>
      </c>
      <c r="B33" s="33" t="s">
        <v>144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46273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145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>
      <c r="A34" s="33" t="s">
        <v>127</v>
      </c>
      <c r="B34" s="33" t="s">
        <v>146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147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46273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148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>
      <c r="A35" s="33" t="s">
        <v>127</v>
      </c>
      <c r="B35" s="33" t="s">
        <v>149</v>
      </c>
      <c r="C35" s="33" t="s">
        <v>150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147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147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46275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>
      <c r="A36" s="33" t="s">
        <v>127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147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147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46275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>
      <c r="A37" s="33" t="s">
        <v>127</v>
      </c>
      <c r="B37" s="33" t="s">
        <v>155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147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>
        <v>46269</v>
      </c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>
      <c r="A38" s="33" t="s">
        <v>127</v>
      </c>
      <c r="B38" s="33" t="s">
        <v>158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147</v>
      </c>
      <c r="G38" s="33"/>
      <c r="H38" s="50">
        <v>46234</v>
      </c>
      <c r="I38" s="61" t="s">
        <v>131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147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>
        <v>46269</v>
      </c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>
      <c r="A39" s="33" t="s">
        <v>127</v>
      </c>
      <c r="B39" s="33" t="s">
        <v>161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1" t="s">
        <v>131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>
        <v>46269</v>
      </c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>
      <c r="A40" s="33" t="s">
        <v>127</v>
      </c>
      <c r="B40" s="33" t="s">
        <v>162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46273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>
      <c r="A41" s="33" t="s">
        <v>127</v>
      </c>
      <c r="B41" s="33" t="s">
        <v>164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46273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>
      <c r="A42" s="33" t="s">
        <v>127</v>
      </c>
      <c r="B42" s="33" t="s">
        <v>166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>
        <v>46269</v>
      </c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>
      <c r="A43" s="33" t="s">
        <v>127</v>
      </c>
      <c r="B43" s="33" t="s">
        <v>169</v>
      </c>
      <c r="C43" s="33" t="s">
        <v>154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Blocked - needs DB Dev to fix - unclaimed</v>
      </c>
      <c r="E43" s="33" t="s">
        <v>170</v>
      </c>
      <c r="F43" s="34" t="s">
        <v>147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/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174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175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>
      <c r="A44" s="33" t="s">
        <v>127</v>
      </c>
      <c r="B44" s="33" t="s">
        <v>176</v>
      </c>
      <c r="C44" s="33" t="s">
        <v>129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147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/>
      <c r="Z44" s="36"/>
      <c r="AA44" s="52">
        <v>46260</v>
      </c>
      <c r="AB44" s="36">
        <v>46273</v>
      </c>
      <c r="AC44" s="36"/>
      <c r="AD44" s="33" t="s">
        <v>177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6" t="s">
        <v>178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>
      <c r="A45" s="33" t="s">
        <v>127</v>
      </c>
      <c r="B45" s="33" t="s">
        <v>179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177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180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>
      <c r="A46" s="33" t="s">
        <v>127</v>
      </c>
      <c r="B46" s="33" t="s">
        <v>181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180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>
      <c r="A47" s="33" t="s">
        <v>127</v>
      </c>
      <c r="B47" s="33" t="s">
        <v>183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180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>
      <c r="A48" s="33" t="s">
        <v>127</v>
      </c>
      <c r="B48" s="33" t="s">
        <v>185</v>
      </c>
      <c r="C48" s="33" t="s">
        <v>129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147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147</v>
      </c>
      <c r="V48" s="59">
        <v>46255</v>
      </c>
      <c r="W48" s="36">
        <v>46269</v>
      </c>
      <c r="X48" s="36"/>
      <c r="Y48" s="36">
        <v>46269</v>
      </c>
      <c r="Z48" s="36"/>
      <c r="AA48" s="52">
        <v>46260</v>
      </c>
      <c r="AB48" s="47">
        <v>46268</v>
      </c>
      <c r="AC48" s="36"/>
      <c r="AD48" s="33" t="s">
        <v>177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186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>
      <c r="A49" s="33" t="s">
        <v>127</v>
      </c>
      <c r="B49" s="33" t="s">
        <v>187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130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/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188</v>
      </c>
      <c r="C50" s="33" t="s">
        <v>141</v>
      </c>
      <c r="D50" t="s">
        <v>189</v>
      </c>
      <c r="E50" s="33">
        <v>25</v>
      </c>
      <c r="F50" s="34" t="s">
        <v>147</v>
      </c>
      <c r="G50" s="33"/>
      <c r="H50" s="50">
        <v>46265</v>
      </c>
      <c r="I50" s="61" t="s">
        <v>171</v>
      </c>
      <c r="J50" s="33" t="s">
        <v>44</v>
      </c>
      <c r="K50" s="117">
        <v>46234</v>
      </c>
      <c r="L50" s="118">
        <v>46249</v>
      </c>
      <c r="M50" s="118">
        <v>46245</v>
      </c>
      <c r="N50" s="118" t="s">
        <v>172</v>
      </c>
      <c r="O50" s="118" t="s">
        <v>184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147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177</v>
      </c>
      <c r="AE50" s="33" t="s">
        <v>72</v>
      </c>
      <c r="AF50" s="38"/>
      <c r="AG50" s="36"/>
      <c r="AH50" s="39"/>
      <c r="AI50" s="33"/>
      <c r="AJ50" s="40" t="s">
        <v>174</v>
      </c>
      <c r="AK50" s="73" t="str" cm="1">
        <f t="array" ref="AK50"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>
      <c r="A51" s="33" t="s">
        <v>127</v>
      </c>
      <c r="B51" s="33" t="s">
        <v>190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184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147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191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186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192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130</v>
      </c>
      <c r="G52" s="33"/>
      <c r="H52" s="50">
        <v>46265</v>
      </c>
      <c r="I52" s="61" t="s">
        <v>171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193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194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>
      <c r="A53" s="33" t="s">
        <v>127</v>
      </c>
      <c r="B53" s="33" t="s">
        <v>195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147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196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>
      <c r="A54" s="33" t="s">
        <v>127</v>
      </c>
      <c r="B54" s="33" t="s">
        <v>197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/>
      <c r="T54" s="69"/>
      <c r="U54" s="54" t="s">
        <v>47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198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>
      <c r="A55" s="33" t="s">
        <v>127</v>
      </c>
      <c r="B55" s="33" t="s">
        <v>199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5" t="s">
        <v>200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201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202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203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>
      <c r="A56" s="33" t="s">
        <v>127</v>
      </c>
      <c r="B56" s="33" t="s">
        <v>204</v>
      </c>
      <c r="C56" s="33" t="s">
        <v>141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200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201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202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205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206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>
      <c r="A57" s="33" t="s">
        <v>127</v>
      </c>
      <c r="B57" s="33" t="s">
        <v>207</v>
      </c>
      <c r="C57" s="33" t="s">
        <v>141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5" t="s">
        <v>200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201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202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196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206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>
      <c r="A58" s="33" t="s">
        <v>127</v>
      </c>
      <c r="B58" s="33" t="s">
        <v>208</v>
      </c>
      <c r="C58" s="33" t="s">
        <v>150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200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201</v>
      </c>
      <c r="P58" s="63" t="s">
        <v>77</v>
      </c>
      <c r="Q58" s="4">
        <v>46269</v>
      </c>
      <c r="R58" s="36">
        <v>46272</v>
      </c>
      <c r="S58" s="36"/>
      <c r="T58" s="69" t="s">
        <v>202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>
      <c r="A59" s="33" t="s">
        <v>127</v>
      </c>
      <c r="B59" s="33" t="s">
        <v>209</v>
      </c>
      <c r="C59" s="33" t="s">
        <v>141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5" t="s">
        <v>200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201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202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196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>
      <c r="A60" s="33" t="s">
        <v>127</v>
      </c>
      <c r="B60" s="33" t="s">
        <v>210</v>
      </c>
      <c r="C60" s="33" t="s">
        <v>150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5" t="s">
        <v>200</v>
      </c>
      <c r="J60" s="33" t="s">
        <v>160</v>
      </c>
      <c r="K60" s="4">
        <v>46262</v>
      </c>
      <c r="L60" s="36">
        <v>46255</v>
      </c>
      <c r="M60" s="36">
        <v>46255</v>
      </c>
      <c r="N60" s="36"/>
      <c r="O60" s="36" t="s">
        <v>201</v>
      </c>
      <c r="P60" s="63" t="s">
        <v>46</v>
      </c>
      <c r="Q60" s="4">
        <v>46269</v>
      </c>
      <c r="R60" s="36"/>
      <c r="S60" s="36"/>
      <c r="T60" s="69" t="s">
        <v>202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211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>
      <c r="A61" s="33" t="s">
        <v>127</v>
      </c>
      <c r="B61" s="33" t="s">
        <v>212</v>
      </c>
      <c r="C61" s="33" t="s">
        <v>141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200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201</v>
      </c>
      <c r="P61" s="63" t="s">
        <v>60</v>
      </c>
      <c r="Q61" s="4">
        <v>46269</v>
      </c>
      <c r="R61" s="36">
        <v>46268</v>
      </c>
      <c r="S61" s="36">
        <v>46268</v>
      </c>
      <c r="T61" s="69" t="s">
        <v>202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213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>
      <c r="A62" s="33" t="s">
        <v>127</v>
      </c>
      <c r="B62" s="33" t="s">
        <v>214</v>
      </c>
      <c r="C62" s="33" t="s">
        <v>215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5" t="s">
        <v>200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201</v>
      </c>
      <c r="P62" s="63" t="s">
        <v>77</v>
      </c>
      <c r="Q62" s="4">
        <v>46269</v>
      </c>
      <c r="R62" s="36"/>
      <c r="S62" s="36"/>
      <c r="T62" s="69" t="s">
        <v>202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216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>
      <c r="A63" s="33" t="s">
        <v>127</v>
      </c>
      <c r="B63" s="33" t="s">
        <v>217</v>
      </c>
      <c r="C63" s="33" t="s">
        <v>215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5" t="s">
        <v>200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201</v>
      </c>
      <c r="P63" s="63" t="s">
        <v>46</v>
      </c>
      <c r="Q63" s="4">
        <v>46286</v>
      </c>
      <c r="R63" s="36"/>
      <c r="S63" s="36"/>
      <c r="T63" s="69" t="s">
        <v>202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218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s="120" customFormat="1">
      <c r="A64" s="119" t="s">
        <v>127</v>
      </c>
      <c r="B64" s="119" t="s">
        <v>219</v>
      </c>
      <c r="C64" s="119" t="s">
        <v>150</v>
      </c>
      <c r="D64" s="120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119">
        <v>40</v>
      </c>
      <c r="F64" s="121" t="s">
        <v>130</v>
      </c>
      <c r="G64" s="119"/>
      <c r="H64" s="122">
        <v>46295</v>
      </c>
      <c r="I64" s="123" t="s">
        <v>200</v>
      </c>
      <c r="J64" s="119" t="s">
        <v>103</v>
      </c>
      <c r="K64" s="124">
        <v>46276</v>
      </c>
      <c r="L64" s="125">
        <v>46265</v>
      </c>
      <c r="M64" s="125">
        <v>46266</v>
      </c>
      <c r="N64" s="125"/>
      <c r="O64" s="125" t="s">
        <v>201</v>
      </c>
      <c r="P64" s="126" t="s">
        <v>60</v>
      </c>
      <c r="Q64" s="124">
        <v>46286</v>
      </c>
      <c r="R64" s="125">
        <v>46269</v>
      </c>
      <c r="S64" s="125">
        <v>46269</v>
      </c>
      <c r="T64" s="127" t="s">
        <v>202</v>
      </c>
      <c r="U64" s="119"/>
      <c r="V64" s="128">
        <v>46290</v>
      </c>
      <c r="W64" s="125"/>
      <c r="X64" s="125"/>
      <c r="Y64" s="125"/>
      <c r="Z64" s="125"/>
      <c r="AA64" s="129">
        <v>46295</v>
      </c>
      <c r="AB64" s="125"/>
      <c r="AC64" s="125"/>
      <c r="AD64" s="119" t="s">
        <v>220</v>
      </c>
      <c r="AE64" s="119" t="s">
        <v>72</v>
      </c>
      <c r="AF64" s="130"/>
      <c r="AG64" s="125"/>
      <c r="AH64" s="131"/>
      <c r="AI64" s="119"/>
      <c r="AJ64" s="132" t="s">
        <v>53</v>
      </c>
      <c r="AK64" s="13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134"/>
      <c r="AM64" s="135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135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>
      <c r="A65" s="33" t="s">
        <v>127</v>
      </c>
      <c r="B65" s="33" t="s">
        <v>221</v>
      </c>
      <c r="C65" s="33" t="s">
        <v>154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200</v>
      </c>
      <c r="J65" s="33" t="s">
        <v>160</v>
      </c>
      <c r="K65" s="4">
        <v>46276</v>
      </c>
      <c r="L65" s="4">
        <v>46262</v>
      </c>
      <c r="M65" s="36">
        <v>46265</v>
      </c>
      <c r="N65" s="36"/>
      <c r="O65" s="36" t="s">
        <v>201</v>
      </c>
      <c r="P65" s="63" t="s">
        <v>77</v>
      </c>
      <c r="Q65" s="4">
        <v>46286</v>
      </c>
      <c r="R65" s="43"/>
      <c r="S65" s="31"/>
      <c r="T65" s="69" t="s">
        <v>202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s="137" customFormat="1">
      <c r="A66" s="158" t="s">
        <v>127</v>
      </c>
      <c r="B66" s="158" t="s">
        <v>222</v>
      </c>
      <c r="C66" s="158" t="s">
        <v>215</v>
      </c>
      <c r="D66" s="137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158">
        <v>42</v>
      </c>
      <c r="F66" s="159" t="s">
        <v>130</v>
      </c>
      <c r="G66" s="158"/>
      <c r="H66" s="138">
        <v>46295</v>
      </c>
      <c r="I66" s="160" t="s">
        <v>200</v>
      </c>
      <c r="J66" s="158" t="s">
        <v>44</v>
      </c>
      <c r="K66" s="161">
        <v>46276</v>
      </c>
      <c r="L66" s="146"/>
      <c r="M66" s="146"/>
      <c r="N66" s="146"/>
      <c r="O66" s="146" t="s">
        <v>201</v>
      </c>
      <c r="P66" s="162" t="s">
        <v>46</v>
      </c>
      <c r="Q66" s="161">
        <v>46286</v>
      </c>
      <c r="R66" s="146">
        <v>46273</v>
      </c>
      <c r="S66" s="146"/>
      <c r="T66" s="163" t="s">
        <v>202</v>
      </c>
      <c r="U66" s="158"/>
      <c r="V66" s="145">
        <v>46290</v>
      </c>
      <c r="W66" s="146"/>
      <c r="X66" s="146"/>
      <c r="Y66" s="146"/>
      <c r="Z66" s="146"/>
      <c r="AA66" s="164">
        <v>46295</v>
      </c>
      <c r="AB66" s="146"/>
      <c r="AC66" s="146"/>
      <c r="AD66" s="158" t="s">
        <v>220</v>
      </c>
      <c r="AE66" s="158" t="s">
        <v>94</v>
      </c>
      <c r="AF66" s="165"/>
      <c r="AG66" s="146"/>
      <c r="AH66" s="166"/>
      <c r="AI66" s="158"/>
      <c r="AJ66" s="167" t="s">
        <v>53</v>
      </c>
      <c r="AK66" s="168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169"/>
      <c r="AM66" s="144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144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>
      <c r="A67" s="33" t="s">
        <v>127</v>
      </c>
      <c r="B67" s="33" t="s">
        <v>223</v>
      </c>
      <c r="C67" s="33" t="s">
        <v>215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200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201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202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224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>
      <c r="A68" s="81" t="s">
        <v>127</v>
      </c>
      <c r="B68" s="78" t="s">
        <v>225</v>
      </c>
      <c r="C68" s="81" t="s">
        <v>150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130</v>
      </c>
      <c r="G68" s="81"/>
      <c r="H68" s="84">
        <v>46295</v>
      </c>
      <c r="I68" s="85" t="s">
        <v>200</v>
      </c>
      <c r="J68" s="81" t="s">
        <v>226</v>
      </c>
      <c r="K68" s="86">
        <v>46276</v>
      </c>
      <c r="L68" s="87">
        <v>46258</v>
      </c>
      <c r="M68" s="87">
        <v>46258</v>
      </c>
      <c r="N68" s="87"/>
      <c r="O68" s="87" t="s">
        <v>201</v>
      </c>
      <c r="P68" s="88" t="s">
        <v>77</v>
      </c>
      <c r="Q68" s="86">
        <v>46286</v>
      </c>
      <c r="R68" s="87"/>
      <c r="S68" s="87"/>
      <c r="T68" s="89" t="s">
        <v>227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228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229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>
      <c r="A69" s="98" t="s">
        <v>127</v>
      </c>
      <c r="B69" s="79" t="s">
        <v>230</v>
      </c>
      <c r="C69" s="98" t="s">
        <v>215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147</v>
      </c>
      <c r="G69" s="98"/>
      <c r="H69" s="101">
        <v>46295</v>
      </c>
      <c r="I69" s="102" t="s">
        <v>200</v>
      </c>
      <c r="J69" s="98" t="s">
        <v>59</v>
      </c>
      <c r="K69" s="103">
        <v>46276</v>
      </c>
      <c r="L69" s="104"/>
      <c r="M69" s="104"/>
      <c r="N69" s="104"/>
      <c r="O69" s="104" t="s">
        <v>201</v>
      </c>
      <c r="P69" s="105" t="s">
        <v>46</v>
      </c>
      <c r="Q69" s="103">
        <v>46286</v>
      </c>
      <c r="R69" s="104"/>
      <c r="S69" s="104"/>
      <c r="T69" s="106" t="s">
        <v>227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231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232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>
      <c r="A70" s="33" t="s">
        <v>127</v>
      </c>
      <c r="B70" s="33" t="s">
        <v>233</v>
      </c>
      <c r="C70" s="33" t="s">
        <v>215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5" t="s">
        <v>200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201</v>
      </c>
      <c r="P70" s="63" t="s">
        <v>46</v>
      </c>
      <c r="Q70" s="4">
        <v>46286</v>
      </c>
      <c r="R70" s="36"/>
      <c r="S70" s="36"/>
      <c r="T70" s="69" t="s">
        <v>227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196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>
      <c r="A71" s="33" t="s">
        <v>127</v>
      </c>
      <c r="B71" s="33" t="s">
        <v>234</v>
      </c>
      <c r="C71" s="33" t="s">
        <v>215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5" t="s">
        <v>200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201</v>
      </c>
      <c r="P71" s="63" t="s">
        <v>60</v>
      </c>
      <c r="Q71" s="4">
        <v>46286</v>
      </c>
      <c r="R71" s="36">
        <v>46274</v>
      </c>
      <c r="S71" s="36"/>
      <c r="T71" s="69" t="s">
        <v>227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235</v>
      </c>
      <c r="AE71" s="33" t="s">
        <v>94</v>
      </c>
      <c r="AF71" s="38"/>
      <c r="AG71" s="36"/>
      <c r="AH71" s="39"/>
      <c r="AI71" s="33"/>
      <c r="AJ71" s="40" t="s">
        <v>53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/>
      </c>
      <c r="AL71" s="41"/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>
      <c r="A72" s="33" t="s">
        <v>127</v>
      </c>
      <c r="B72" s="33" t="s">
        <v>236</v>
      </c>
      <c r="C72" s="33" t="s">
        <v>150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200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201</v>
      </c>
      <c r="P72" s="63" t="s">
        <v>77</v>
      </c>
      <c r="Q72" s="4">
        <v>46286</v>
      </c>
      <c r="R72" s="36"/>
      <c r="S72" s="36"/>
      <c r="T72" s="69" t="s">
        <v>227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177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>
      <c r="A73" s="77" t="s">
        <v>127</v>
      </c>
      <c r="B73" s="31" t="s">
        <v>237</v>
      </c>
      <c r="C73" s="31" t="s">
        <v>150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238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201</v>
      </c>
      <c r="P73" s="66"/>
      <c r="Q73" s="43">
        <v>46313</v>
      </c>
      <c r="R73" s="43"/>
      <c r="S73" s="44"/>
      <c r="T73" s="70" t="s">
        <v>239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203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>
      <c r="A74" s="31" t="s">
        <v>127</v>
      </c>
      <c r="B74" s="31" t="s">
        <v>240</v>
      </c>
      <c r="C74" s="31" t="s">
        <v>215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238</v>
      </c>
      <c r="J74" s="54" t="s">
        <v>226</v>
      </c>
      <c r="K74" s="43">
        <v>46304</v>
      </c>
      <c r="L74" s="43">
        <v>46269</v>
      </c>
      <c r="M74" s="44">
        <v>46269</v>
      </c>
      <c r="N74" s="44"/>
      <c r="O74" s="44" t="s">
        <v>201</v>
      </c>
      <c r="P74" s="75"/>
      <c r="Q74" s="43">
        <v>46313</v>
      </c>
      <c r="R74" s="43"/>
      <c r="S74" s="44"/>
      <c r="T74" s="70" t="s">
        <v>239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177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s="137" customFormat="1">
      <c r="A75" s="136" t="s">
        <v>127</v>
      </c>
      <c r="B75" s="136" t="s">
        <v>241</v>
      </c>
      <c r="C75" s="136" t="s">
        <v>215</v>
      </c>
      <c r="D75" s="137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136">
        <v>51</v>
      </c>
      <c r="F75" s="136"/>
      <c r="G75" s="136"/>
      <c r="H75" s="138">
        <v>46325</v>
      </c>
      <c r="I75" s="139" t="s">
        <v>238</v>
      </c>
      <c r="J75" s="136" t="s">
        <v>59</v>
      </c>
      <c r="K75" s="140">
        <v>46304</v>
      </c>
      <c r="L75" s="140"/>
      <c r="M75" s="141"/>
      <c r="N75" s="141"/>
      <c r="O75" s="141" t="s">
        <v>201</v>
      </c>
      <c r="P75" s="142"/>
      <c r="Q75" s="140">
        <v>46313</v>
      </c>
      <c r="R75" s="140"/>
      <c r="S75" s="141"/>
      <c r="T75" s="143" t="s">
        <v>239</v>
      </c>
      <c r="U75" s="144"/>
      <c r="V75" s="145">
        <v>46316</v>
      </c>
      <c r="W75" s="140"/>
      <c r="X75" s="136"/>
      <c r="Y75" s="136"/>
      <c r="Z75" s="146"/>
      <c r="AA75" s="145">
        <v>46325</v>
      </c>
      <c r="AB75" s="140"/>
      <c r="AC75" s="140"/>
      <c r="AD75" s="136" t="s">
        <v>242</v>
      </c>
      <c r="AE75" s="136" t="s">
        <v>94</v>
      </c>
      <c r="AF75" s="136"/>
      <c r="AG75" s="136"/>
      <c r="AH75" s="136"/>
      <c r="AI75" s="136"/>
      <c r="AJ75" s="136"/>
      <c r="AK75" s="136"/>
      <c r="AL75" s="136"/>
      <c r="AM75" s="144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144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s="137" customFormat="1">
      <c r="A76" s="136" t="s">
        <v>127</v>
      </c>
      <c r="B76" s="136" t="s">
        <v>243</v>
      </c>
      <c r="C76" s="136" t="s">
        <v>215</v>
      </c>
      <c r="D76" s="137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136">
        <v>52</v>
      </c>
      <c r="F76" s="136"/>
      <c r="G76" s="136"/>
      <c r="H76" s="138">
        <v>46325</v>
      </c>
      <c r="I76" s="139" t="s">
        <v>238</v>
      </c>
      <c r="J76" s="136" t="s">
        <v>59</v>
      </c>
      <c r="K76" s="140">
        <v>46304</v>
      </c>
      <c r="L76" s="140"/>
      <c r="M76" s="141"/>
      <c r="N76" s="141"/>
      <c r="O76" s="141" t="s">
        <v>201</v>
      </c>
      <c r="P76" s="142"/>
      <c r="Q76" s="140">
        <v>46313</v>
      </c>
      <c r="R76" s="140"/>
      <c r="S76" s="141"/>
      <c r="T76" s="143" t="s">
        <v>239</v>
      </c>
      <c r="U76" s="144"/>
      <c r="V76" s="145">
        <v>46316</v>
      </c>
      <c r="W76" s="140"/>
      <c r="X76" s="136"/>
      <c r="Y76" s="136"/>
      <c r="Z76" s="146"/>
      <c r="AA76" s="145">
        <v>46325</v>
      </c>
      <c r="AB76" s="140"/>
      <c r="AC76" s="140"/>
      <c r="AD76" s="136" t="s">
        <v>242</v>
      </c>
      <c r="AE76" s="136" t="s">
        <v>94</v>
      </c>
      <c r="AF76" s="136"/>
      <c r="AG76" s="136"/>
      <c r="AH76" s="136"/>
      <c r="AI76" s="136"/>
      <c r="AJ76" s="136"/>
      <c r="AK76" s="136"/>
      <c r="AL76" s="136"/>
      <c r="AM76" s="144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144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s="137" customFormat="1">
      <c r="A77" s="136" t="s">
        <v>127</v>
      </c>
      <c r="B77" s="136" t="s">
        <v>244</v>
      </c>
      <c r="C77" s="136" t="s">
        <v>215</v>
      </c>
      <c r="D77" s="13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136">
        <v>53</v>
      </c>
      <c r="F77" s="136"/>
      <c r="G77" s="136"/>
      <c r="H77" s="138">
        <v>46325</v>
      </c>
      <c r="I77" s="139" t="s">
        <v>238</v>
      </c>
      <c r="J77" s="136" t="s">
        <v>160</v>
      </c>
      <c r="K77" s="140">
        <v>46304</v>
      </c>
      <c r="L77" s="140"/>
      <c r="M77" s="141"/>
      <c r="N77" s="141"/>
      <c r="O77" s="141" t="s">
        <v>201</v>
      </c>
      <c r="P77" s="142"/>
      <c r="Q77" s="140">
        <v>46313</v>
      </c>
      <c r="R77" s="140"/>
      <c r="S77" s="141"/>
      <c r="T77" s="143" t="s">
        <v>239</v>
      </c>
      <c r="U77" s="144"/>
      <c r="V77" s="145">
        <v>46316</v>
      </c>
      <c r="W77" s="140"/>
      <c r="X77" s="136"/>
      <c r="Y77" s="136"/>
      <c r="Z77" s="146"/>
      <c r="AA77" s="145">
        <v>46325</v>
      </c>
      <c r="AB77" s="140"/>
      <c r="AC77" s="140"/>
      <c r="AD77" s="136" t="s">
        <v>242</v>
      </c>
      <c r="AE77" s="136" t="s">
        <v>94</v>
      </c>
      <c r="AF77" s="136"/>
      <c r="AG77" s="136"/>
      <c r="AH77" s="136"/>
      <c r="AI77" s="136"/>
      <c r="AJ77" s="136"/>
      <c r="AK77" s="136"/>
      <c r="AL77" s="136"/>
      <c r="AM77" s="144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144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s="148" customFormat="1">
      <c r="A78" s="147" t="s">
        <v>127</v>
      </c>
      <c r="B78" s="147" t="s">
        <v>245</v>
      </c>
      <c r="C78" s="147" t="s">
        <v>215</v>
      </c>
      <c r="D78" s="14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147">
        <v>54</v>
      </c>
      <c r="F78" s="147"/>
      <c r="G78" s="147"/>
      <c r="H78" s="149">
        <v>46325</v>
      </c>
      <c r="I78" s="150" t="s">
        <v>238</v>
      </c>
      <c r="J78" s="147" t="s">
        <v>44</v>
      </c>
      <c r="K78" s="151">
        <v>46304</v>
      </c>
      <c r="L78" s="151"/>
      <c r="M78" s="152"/>
      <c r="N78" s="152"/>
      <c r="O78" s="152" t="s">
        <v>246</v>
      </c>
      <c r="P78" s="153"/>
      <c r="Q78" s="151">
        <v>46313</v>
      </c>
      <c r="R78" s="151"/>
      <c r="S78" s="152"/>
      <c r="T78" s="154" t="s">
        <v>239</v>
      </c>
      <c r="U78" s="155"/>
      <c r="V78" s="156">
        <v>46316</v>
      </c>
      <c r="W78" s="151"/>
      <c r="X78" s="147"/>
      <c r="Y78" s="147"/>
      <c r="Z78" s="157"/>
      <c r="AA78" s="156">
        <v>46325</v>
      </c>
      <c r="AB78" s="151"/>
      <c r="AC78" s="151"/>
      <c r="AD78" s="147" t="s">
        <v>193</v>
      </c>
      <c r="AE78" s="147" t="s">
        <v>94</v>
      </c>
      <c r="AF78" s="147"/>
      <c r="AG78" s="147"/>
      <c r="AH78" s="147"/>
      <c r="AI78" s="147"/>
      <c r="AJ78" s="147"/>
      <c r="AK78" s="147"/>
      <c r="AL78" s="147"/>
      <c r="AM78" s="155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155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>
      <c r="A79" s="31" t="s">
        <v>127</v>
      </c>
      <c r="B79" s="31" t="s">
        <v>247</v>
      </c>
      <c r="C79" s="31" t="s">
        <v>150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238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248</v>
      </c>
      <c r="O79" s="44" t="s">
        <v>201</v>
      </c>
      <c r="P79" s="75"/>
      <c r="Q79" s="43">
        <v>46313</v>
      </c>
      <c r="R79" s="43"/>
      <c r="S79" s="44"/>
      <c r="T79" s="70" t="s">
        <v>239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249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>
      <c r="A80" s="31" t="s">
        <v>127</v>
      </c>
      <c r="B80" s="31" t="s">
        <v>250</v>
      </c>
      <c r="C80" s="31" t="s">
        <v>215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238</v>
      </c>
      <c r="J80" s="54" t="s">
        <v>251</v>
      </c>
      <c r="K80" s="43">
        <v>46304</v>
      </c>
      <c r="L80" s="43"/>
      <c r="M80" s="44"/>
      <c r="N80" s="44"/>
      <c r="O80" s="44" t="s">
        <v>246</v>
      </c>
      <c r="P80" s="75"/>
      <c r="Q80" s="43">
        <v>46313</v>
      </c>
      <c r="R80" s="43"/>
      <c r="S80" s="44"/>
      <c r="T80" s="70" t="s">
        <v>239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211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s="137" customFormat="1">
      <c r="A81" s="136" t="s">
        <v>127</v>
      </c>
      <c r="B81" s="136" t="s">
        <v>252</v>
      </c>
      <c r="C81" s="136" t="s">
        <v>215</v>
      </c>
      <c r="D81" s="137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136">
        <v>57</v>
      </c>
      <c r="F81" s="136"/>
      <c r="G81" s="136"/>
      <c r="H81" s="138">
        <v>46325</v>
      </c>
      <c r="I81" s="139" t="s">
        <v>238</v>
      </c>
      <c r="J81" s="136" t="s">
        <v>251</v>
      </c>
      <c r="K81" s="140">
        <v>46304</v>
      </c>
      <c r="L81" s="140"/>
      <c r="M81" s="141"/>
      <c r="N81" s="141"/>
      <c r="O81" s="141" t="s">
        <v>246</v>
      </c>
      <c r="P81" s="142"/>
      <c r="Q81" s="140">
        <v>46313</v>
      </c>
      <c r="R81" s="140"/>
      <c r="S81" s="141"/>
      <c r="T81" s="163" t="s">
        <v>253</v>
      </c>
      <c r="U81" s="144"/>
      <c r="V81" s="145">
        <v>46316</v>
      </c>
      <c r="W81" s="140"/>
      <c r="X81" s="136"/>
      <c r="Y81" s="136"/>
      <c r="Z81" s="146"/>
      <c r="AA81" s="145">
        <v>46325</v>
      </c>
      <c r="AB81" s="140"/>
      <c r="AC81" s="140"/>
      <c r="AD81" s="136" t="s">
        <v>220</v>
      </c>
      <c r="AE81" s="136" t="s">
        <v>94</v>
      </c>
      <c r="AF81" s="136"/>
      <c r="AG81" s="136"/>
      <c r="AH81" s="136"/>
      <c r="AI81" s="136"/>
      <c r="AJ81" s="136"/>
      <c r="AK81" s="136"/>
      <c r="AL81" s="136"/>
      <c r="AM81" s="144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144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>
      <c r="A82" s="31" t="s">
        <v>127</v>
      </c>
      <c r="B82" s="31" t="s">
        <v>254</v>
      </c>
      <c r="C82" s="31" t="s">
        <v>215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238</v>
      </c>
      <c r="J82" s="54" t="s">
        <v>160</v>
      </c>
      <c r="K82" s="43">
        <v>46304</v>
      </c>
      <c r="L82" s="43"/>
      <c r="M82" s="44"/>
      <c r="N82" s="44"/>
      <c r="O82" s="44" t="s">
        <v>246</v>
      </c>
      <c r="P82" s="75"/>
      <c r="Q82" s="43">
        <v>46313</v>
      </c>
      <c r="R82" s="43"/>
      <c r="S82" s="44"/>
      <c r="T82" s="69" t="s">
        <v>253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255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>
      <c r="A83" s="31" t="s">
        <v>127</v>
      </c>
      <c r="B83" s="31" t="s">
        <v>256</v>
      </c>
      <c r="C83" s="31" t="s">
        <v>215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238</v>
      </c>
      <c r="J83" s="54" t="s">
        <v>76</v>
      </c>
      <c r="K83" s="43">
        <v>46304</v>
      </c>
      <c r="L83" s="43"/>
      <c r="M83" s="44"/>
      <c r="N83" s="44"/>
      <c r="O83" s="44" t="s">
        <v>246</v>
      </c>
      <c r="P83" s="75"/>
      <c r="Q83" s="43">
        <v>46313</v>
      </c>
      <c r="R83" s="43"/>
      <c r="S83" s="44"/>
      <c r="T83" s="69" t="s">
        <v>253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257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>
      <c r="A84" s="31" t="s">
        <v>127</v>
      </c>
      <c r="B84" s="31" t="s">
        <v>258</v>
      </c>
      <c r="C84" s="31" t="s">
        <v>215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238</v>
      </c>
      <c r="J84" s="54" t="s">
        <v>76</v>
      </c>
      <c r="K84" s="43">
        <v>46304</v>
      </c>
      <c r="L84" s="43"/>
      <c r="M84" s="44"/>
      <c r="N84" s="44"/>
      <c r="O84" s="44" t="s">
        <v>246</v>
      </c>
      <c r="P84" s="75"/>
      <c r="Q84" s="43">
        <v>46313</v>
      </c>
      <c r="R84" s="43"/>
      <c r="S84" s="44"/>
      <c r="T84" s="69" t="s">
        <v>253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196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>
      <c r="A85" s="31" t="s">
        <v>127</v>
      </c>
      <c r="B85" s="31" t="s">
        <v>259</v>
      </c>
      <c r="C85" s="31" t="s">
        <v>215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260</v>
      </c>
      <c r="F85" s="31"/>
      <c r="G85" s="31"/>
      <c r="H85" s="50">
        <v>46325</v>
      </c>
      <c r="I85" s="56" t="s">
        <v>238</v>
      </c>
      <c r="J85" s="54" t="s">
        <v>44</v>
      </c>
      <c r="K85" s="43">
        <v>46304</v>
      </c>
      <c r="L85" s="43"/>
      <c r="M85" s="44"/>
      <c r="N85" s="44"/>
      <c r="O85" s="44" t="s">
        <v>246</v>
      </c>
      <c r="P85" s="75"/>
      <c r="Q85" s="43">
        <v>46313</v>
      </c>
      <c r="R85" s="43"/>
      <c r="S85" s="44"/>
      <c r="T85" s="69" t="s">
        <v>253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193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>
      <c r="A86" s="31" t="s">
        <v>127</v>
      </c>
      <c r="B86" s="31" t="s">
        <v>261</v>
      </c>
      <c r="C86" s="31" t="s">
        <v>215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262</v>
      </c>
      <c r="J86" s="54" t="s">
        <v>84</v>
      </c>
      <c r="K86" s="50">
        <v>46332</v>
      </c>
      <c r="L86" s="43"/>
      <c r="M86" s="44"/>
      <c r="N86" s="44"/>
      <c r="O86" s="44" t="s">
        <v>246</v>
      </c>
      <c r="P86" s="75"/>
      <c r="Q86" s="50">
        <v>46339</v>
      </c>
      <c r="R86" s="43"/>
      <c r="S86" s="44"/>
      <c r="T86" s="69" t="s">
        <v>253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263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>
      <c r="A87" s="31" t="s">
        <v>127</v>
      </c>
      <c r="B87" s="31" t="s">
        <v>264</v>
      </c>
      <c r="C87" s="31" t="s">
        <v>215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262</v>
      </c>
      <c r="J87" s="54" t="s">
        <v>59</v>
      </c>
      <c r="K87" s="50">
        <v>46332</v>
      </c>
      <c r="L87" s="43"/>
      <c r="M87" s="44"/>
      <c r="N87" s="44"/>
      <c r="O87" s="44" t="s">
        <v>246</v>
      </c>
      <c r="P87" s="75"/>
      <c r="Q87" s="50">
        <v>46339</v>
      </c>
      <c r="R87" s="43"/>
      <c r="S87" s="44"/>
      <c r="T87" s="69" t="s">
        <v>253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177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>
      <c r="A88" s="31" t="s">
        <v>127</v>
      </c>
      <c r="B88" s="31" t="s">
        <v>265</v>
      </c>
      <c r="C88" s="31" t="s">
        <v>215</v>
      </c>
      <c r="D88" t="str" cm="1">
        <f t="array" aca="1" ref="D88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Blocked - needs DB Dev to fix - unclaimed</v>
      </c>
      <c r="E88" s="31">
        <v>69</v>
      </c>
      <c r="F88" s="31"/>
      <c r="G88" s="31"/>
      <c r="H88" s="50">
        <v>46356</v>
      </c>
      <c r="I88" s="56" t="s">
        <v>262</v>
      </c>
      <c r="J88" s="54" t="s">
        <v>59</v>
      </c>
      <c r="K88" s="50">
        <v>46332</v>
      </c>
      <c r="L88" s="43"/>
      <c r="M88" s="44"/>
      <c r="N88" s="44"/>
      <c r="O88" s="44" t="s">
        <v>246</v>
      </c>
      <c r="P88" s="75"/>
      <c r="Q88" s="50">
        <v>46339</v>
      </c>
      <c r="R88" s="43"/>
      <c r="S88" s="44"/>
      <c r="T88" s="69" t="s">
        <v>266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177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>
      <c r="A89" s="31" t="s">
        <v>127</v>
      </c>
      <c r="B89" s="31" t="s">
        <v>267</v>
      </c>
      <c r="C89" s="31" t="s">
        <v>215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262</v>
      </c>
      <c r="J89" s="54"/>
      <c r="K89" s="50">
        <v>46332</v>
      </c>
      <c r="L89" s="43"/>
      <c r="M89" s="44"/>
      <c r="N89" s="44"/>
      <c r="O89" s="36" t="s">
        <v>268</v>
      </c>
      <c r="P89" s="75"/>
      <c r="Q89" s="50">
        <v>46339</v>
      </c>
      <c r="R89" s="43"/>
      <c r="S89" s="44"/>
      <c r="T89" s="69" t="s">
        <v>266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177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>
      <c r="A90" s="31" t="s">
        <v>127</v>
      </c>
      <c r="B90" s="31" t="s">
        <v>269</v>
      </c>
      <c r="C90" s="31" t="s">
        <v>215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262</v>
      </c>
      <c r="J90" s="54"/>
      <c r="K90" s="50">
        <v>46332</v>
      </c>
      <c r="L90" s="43"/>
      <c r="M90" s="44"/>
      <c r="N90" s="44"/>
      <c r="O90" s="36" t="s">
        <v>268</v>
      </c>
      <c r="P90" s="75"/>
      <c r="Q90" s="50">
        <v>46339</v>
      </c>
      <c r="R90" s="43"/>
      <c r="S90" s="44"/>
      <c r="T90" s="69" t="s">
        <v>266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177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>
      <c r="A91" s="31" t="s">
        <v>127</v>
      </c>
      <c r="B91" s="31" t="s">
        <v>270</v>
      </c>
      <c r="C91" s="31" t="s">
        <v>215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262</v>
      </c>
      <c r="J91" s="54" t="s">
        <v>271</v>
      </c>
      <c r="K91" s="50">
        <v>46332</v>
      </c>
      <c r="L91" s="43"/>
      <c r="M91" s="44"/>
      <c r="N91" s="44"/>
      <c r="O91" s="44" t="s">
        <v>246</v>
      </c>
      <c r="P91" s="75"/>
      <c r="Q91" s="50">
        <v>46339</v>
      </c>
      <c r="R91" s="43"/>
      <c r="S91" s="44"/>
      <c r="T91" s="69" t="s">
        <v>266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272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>
      <c r="A92" s="31" t="s">
        <v>127</v>
      </c>
      <c r="B92" s="31" t="s">
        <v>273</v>
      </c>
      <c r="C92" s="31" t="s">
        <v>215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262</v>
      </c>
      <c r="J92" s="54" t="s">
        <v>84</v>
      </c>
      <c r="K92" s="50">
        <v>46332</v>
      </c>
      <c r="L92" s="43"/>
      <c r="M92" s="44"/>
      <c r="N92" s="44"/>
      <c r="O92" s="44" t="s">
        <v>246</v>
      </c>
      <c r="P92" s="75"/>
      <c r="Q92" s="50">
        <v>46339</v>
      </c>
      <c r="R92" s="43"/>
      <c r="S92" s="44"/>
      <c r="T92" s="69" t="s">
        <v>266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177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>
      <c r="A93" s="31" t="s">
        <v>127</v>
      </c>
      <c r="B93" s="31" t="s">
        <v>274</v>
      </c>
      <c r="C93" s="31" t="s">
        <v>215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262</v>
      </c>
      <c r="J93" s="54"/>
      <c r="K93" s="50">
        <v>46332</v>
      </c>
      <c r="L93" s="43"/>
      <c r="M93" s="44"/>
      <c r="N93" s="44"/>
      <c r="O93" s="36" t="s">
        <v>275</v>
      </c>
      <c r="P93" s="75"/>
      <c r="Q93" s="50">
        <v>46339</v>
      </c>
      <c r="R93" s="43"/>
      <c r="S93" s="44"/>
      <c r="T93" s="69" t="s">
        <v>266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198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>
      <c r="A94" s="31" t="s">
        <v>127</v>
      </c>
      <c r="B94" s="31" t="s">
        <v>276</v>
      </c>
      <c r="C94" s="31" t="s">
        <v>215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262</v>
      </c>
      <c r="J94" s="54"/>
      <c r="K94" s="50">
        <v>46332</v>
      </c>
      <c r="L94" s="43"/>
      <c r="M94" s="44"/>
      <c r="N94" s="44"/>
      <c r="O94" s="36" t="s">
        <v>275</v>
      </c>
      <c r="P94" s="75"/>
      <c r="Q94" s="50">
        <v>46339</v>
      </c>
      <c r="R94" s="43"/>
      <c r="S94" s="44"/>
      <c r="T94" s="69" t="s">
        <v>266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277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>
      <c r="A95" s="31" t="s">
        <v>127</v>
      </c>
      <c r="B95" s="31" t="s">
        <v>278</v>
      </c>
      <c r="C95" s="31" t="s">
        <v>215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262</v>
      </c>
      <c r="J95" s="54"/>
      <c r="K95" s="50">
        <v>46332</v>
      </c>
      <c r="L95" s="43"/>
      <c r="M95" s="44"/>
      <c r="N95" s="44"/>
      <c r="O95" s="36" t="s">
        <v>275</v>
      </c>
      <c r="P95" s="75"/>
      <c r="Q95" s="50">
        <v>46339</v>
      </c>
      <c r="R95" s="43"/>
      <c r="S95" s="44"/>
      <c r="T95" s="69" t="s">
        <v>279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280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>
      <c r="A96" s="31" t="s">
        <v>127</v>
      </c>
      <c r="B96" s="31" t="s">
        <v>281</v>
      </c>
      <c r="C96" s="31" t="s">
        <v>215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262</v>
      </c>
      <c r="J96" s="54"/>
      <c r="K96" s="50">
        <v>46332</v>
      </c>
      <c r="L96" s="43"/>
      <c r="M96" s="44"/>
      <c r="N96" s="44"/>
      <c r="O96" s="36" t="s">
        <v>275</v>
      </c>
      <c r="P96" s="75"/>
      <c r="Q96" s="50">
        <v>46339</v>
      </c>
      <c r="R96" s="43"/>
      <c r="S96" s="44"/>
      <c r="T96" s="69" t="s">
        <v>279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282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>
      <c r="A97" s="31" t="s">
        <v>127</v>
      </c>
      <c r="B97" s="31" t="s">
        <v>283</v>
      </c>
      <c r="C97" s="31" t="s">
        <v>215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262</v>
      </c>
      <c r="J97" s="54"/>
      <c r="K97" s="50">
        <v>46332</v>
      </c>
      <c r="L97" s="43"/>
      <c r="M97" s="44"/>
      <c r="N97" s="44"/>
      <c r="O97" s="36" t="s">
        <v>275</v>
      </c>
      <c r="P97" s="75"/>
      <c r="Q97" s="50">
        <v>46339</v>
      </c>
      <c r="R97" s="43"/>
      <c r="S97" s="44"/>
      <c r="T97" s="69" t="s">
        <v>279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284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>
      <c r="A98" s="31" t="s">
        <v>127</v>
      </c>
      <c r="B98" s="31" t="s">
        <v>285</v>
      </c>
      <c r="C98" s="31" t="s">
        <v>215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262</v>
      </c>
      <c r="J98" s="54"/>
      <c r="K98" s="50">
        <v>46332</v>
      </c>
      <c r="L98" s="43"/>
      <c r="M98" s="44"/>
      <c r="N98" s="44"/>
      <c r="O98" s="36" t="s">
        <v>275</v>
      </c>
      <c r="P98" s="75"/>
      <c r="Q98" s="50">
        <v>46339</v>
      </c>
      <c r="R98" s="43"/>
      <c r="S98" s="44"/>
      <c r="T98" s="69" t="s">
        <v>279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177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>
      <c r="A99" s="31" t="s">
        <v>127</v>
      </c>
      <c r="B99" s="31" t="s">
        <v>286</v>
      </c>
      <c r="C99" s="31" t="s">
        <v>215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287</v>
      </c>
      <c r="F99" s="31"/>
      <c r="G99" s="31"/>
      <c r="H99" s="50">
        <v>46356</v>
      </c>
      <c r="I99" s="56" t="s">
        <v>262</v>
      </c>
      <c r="J99" s="54" t="s">
        <v>118</v>
      </c>
      <c r="K99" s="50">
        <v>46332</v>
      </c>
      <c r="L99" s="43"/>
      <c r="M99" s="44"/>
      <c r="N99" s="44"/>
      <c r="O99" s="44" t="s">
        <v>246</v>
      </c>
      <c r="P99" s="75"/>
      <c r="Q99" s="50">
        <v>46339</v>
      </c>
      <c r="R99" s="43"/>
      <c r="S99" s="44"/>
      <c r="T99" s="69" t="s">
        <v>279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288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>
      <c r="A100" s="31" t="s">
        <v>127</v>
      </c>
      <c r="B100" s="31" t="s">
        <v>289</v>
      </c>
      <c r="C100" s="31" t="s">
        <v>215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262</v>
      </c>
      <c r="J100" s="54"/>
      <c r="K100" s="50">
        <v>46332</v>
      </c>
      <c r="L100" s="43"/>
      <c r="M100" s="44"/>
      <c r="N100" s="44"/>
      <c r="O100" s="36" t="s">
        <v>275</v>
      </c>
      <c r="P100" s="75"/>
      <c r="Q100" s="50">
        <v>46339</v>
      </c>
      <c r="R100" s="43"/>
      <c r="S100" s="44"/>
      <c r="T100" s="69" t="s">
        <v>279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290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>
      <c r="A101" s="31" t="s">
        <v>291</v>
      </c>
      <c r="B101" s="31" t="s">
        <v>292</v>
      </c>
      <c r="C101" s="31" t="s">
        <v>215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293</v>
      </c>
      <c r="J101" s="54"/>
      <c r="K101" s="28">
        <v>46363</v>
      </c>
      <c r="L101" s="43"/>
      <c r="M101" s="31"/>
      <c r="N101" s="31"/>
      <c r="O101" s="36" t="s">
        <v>294</v>
      </c>
      <c r="P101" s="75"/>
      <c r="Q101" s="28">
        <v>46370</v>
      </c>
      <c r="R101" s="43"/>
      <c r="S101" s="31"/>
      <c r="T101" s="69" t="s">
        <v>279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295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>
      <c r="A102" s="31" t="s">
        <v>291</v>
      </c>
      <c r="B102" s="31" t="s">
        <v>296</v>
      </c>
      <c r="C102" s="31" t="s">
        <v>215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293</v>
      </c>
      <c r="J102" s="54"/>
      <c r="K102" s="28">
        <v>46363</v>
      </c>
      <c r="L102" s="43"/>
      <c r="M102" s="31"/>
      <c r="N102" s="31"/>
      <c r="O102" s="36" t="s">
        <v>294</v>
      </c>
      <c r="P102" s="75"/>
      <c r="Q102" s="28">
        <v>46370</v>
      </c>
      <c r="R102" s="43"/>
      <c r="S102" s="31"/>
      <c r="T102" s="69" t="s">
        <v>297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298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>
      <c r="A103" s="31" t="s">
        <v>291</v>
      </c>
      <c r="B103" s="31" t="s">
        <v>299</v>
      </c>
      <c r="C103" s="31" t="s">
        <v>215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293</v>
      </c>
      <c r="J103" s="54"/>
      <c r="K103" s="28">
        <v>46363</v>
      </c>
      <c r="L103" s="43"/>
      <c r="M103" s="31"/>
      <c r="N103" s="31"/>
      <c r="O103" s="36" t="s">
        <v>294</v>
      </c>
      <c r="P103" s="75"/>
      <c r="Q103" s="28">
        <v>46370</v>
      </c>
      <c r="R103" s="43"/>
      <c r="S103" s="31"/>
      <c r="T103" s="69" t="s">
        <v>297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300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>
      <c r="A104" s="31" t="s">
        <v>301</v>
      </c>
      <c r="B104" s="31" t="s">
        <v>302</v>
      </c>
      <c r="C104" s="31" t="s">
        <v>215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6" t="s">
        <v>293</v>
      </c>
      <c r="J104" s="54"/>
      <c r="K104" s="28">
        <v>46363</v>
      </c>
      <c r="L104" s="43"/>
      <c r="M104" s="31"/>
      <c r="N104" s="31"/>
      <c r="O104" s="36" t="s">
        <v>294</v>
      </c>
      <c r="P104" s="75"/>
      <c r="Q104" s="28">
        <v>46370</v>
      </c>
      <c r="R104" s="43"/>
      <c r="S104" s="31"/>
      <c r="T104" s="69" t="s">
        <v>297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303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>
      <c r="A105" s="31" t="s">
        <v>291</v>
      </c>
      <c r="B105" s="31" t="s">
        <v>304</v>
      </c>
      <c r="C105" s="31" t="s">
        <v>215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293</v>
      </c>
      <c r="J105" s="54"/>
      <c r="K105" s="28">
        <v>46363</v>
      </c>
      <c r="L105" s="43"/>
      <c r="M105" s="31"/>
      <c r="N105" s="31"/>
      <c r="O105" s="36" t="s">
        <v>294</v>
      </c>
      <c r="P105" s="75"/>
      <c r="Q105" s="28">
        <v>46370</v>
      </c>
      <c r="R105" s="43"/>
      <c r="S105" s="31"/>
      <c r="T105" s="69" t="s">
        <v>297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305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>
      <c r="A106" s="31" t="s">
        <v>291</v>
      </c>
      <c r="B106" s="31" t="s">
        <v>306</v>
      </c>
      <c r="C106" s="31" t="s">
        <v>215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293</v>
      </c>
      <c r="J106" s="54"/>
      <c r="K106" s="28">
        <v>46363</v>
      </c>
      <c r="L106" s="43"/>
      <c r="M106" s="31"/>
      <c r="N106" s="31"/>
      <c r="O106" s="36" t="s">
        <v>294</v>
      </c>
      <c r="P106" s="75"/>
      <c r="Q106" s="28">
        <v>46370</v>
      </c>
      <c r="R106" s="43"/>
      <c r="S106" s="31"/>
      <c r="T106" s="69" t="s">
        <v>297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307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>
      <c r="A107" s="31" t="s">
        <v>291</v>
      </c>
      <c r="B107" s="31" t="s">
        <v>308</v>
      </c>
      <c r="C107" s="31" t="s">
        <v>215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293</v>
      </c>
      <c r="J107" s="54"/>
      <c r="K107" s="28">
        <v>46363</v>
      </c>
      <c r="L107" s="43"/>
      <c r="M107" s="31"/>
      <c r="N107" s="31"/>
      <c r="O107" s="36" t="s">
        <v>294</v>
      </c>
      <c r="P107" s="75"/>
      <c r="Q107" s="28">
        <v>46370</v>
      </c>
      <c r="R107" s="43"/>
      <c r="S107" s="31"/>
      <c r="T107" s="69" t="s">
        <v>297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309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>
      <c r="A108" s="31" t="s">
        <v>291</v>
      </c>
      <c r="B108" s="31" t="s">
        <v>310</v>
      </c>
      <c r="C108" s="31" t="s">
        <v>215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293</v>
      </c>
      <c r="J108" s="54"/>
      <c r="K108" s="28">
        <v>46363</v>
      </c>
      <c r="L108" s="43"/>
      <c r="M108" s="31"/>
      <c r="N108" s="31"/>
      <c r="O108" s="36" t="s">
        <v>311</v>
      </c>
      <c r="P108" s="75"/>
      <c r="Q108" s="28">
        <v>46370</v>
      </c>
      <c r="R108" s="43"/>
      <c r="S108" s="31"/>
      <c r="T108" s="69" t="s">
        <v>297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312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>
      <c r="A109" s="31" t="s">
        <v>301</v>
      </c>
      <c r="B109" s="31" t="s">
        <v>313</v>
      </c>
      <c r="C109" s="31" t="s">
        <v>215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6" t="s">
        <v>293</v>
      </c>
      <c r="J109" s="54"/>
      <c r="K109" s="28">
        <v>46363</v>
      </c>
      <c r="L109" s="43"/>
      <c r="M109" s="31"/>
      <c r="N109" s="31"/>
      <c r="O109" s="36" t="s">
        <v>311</v>
      </c>
      <c r="P109" s="75"/>
      <c r="Q109" s="28">
        <v>46370</v>
      </c>
      <c r="R109" s="43"/>
      <c r="S109" s="31"/>
      <c r="T109" s="69" t="s">
        <v>314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315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>
      <c r="A110" s="31" t="s">
        <v>291</v>
      </c>
      <c r="B110" s="31" t="s">
        <v>316</v>
      </c>
      <c r="C110" s="31" t="s">
        <v>215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293</v>
      </c>
      <c r="J110" s="54"/>
      <c r="K110" s="28">
        <v>46363</v>
      </c>
      <c r="L110" s="43"/>
      <c r="M110" s="31"/>
      <c r="N110" s="31"/>
      <c r="O110" s="36" t="s">
        <v>311</v>
      </c>
      <c r="P110" s="75"/>
      <c r="Q110" s="28">
        <v>46370</v>
      </c>
      <c r="R110" s="43"/>
      <c r="S110" s="31"/>
      <c r="T110" s="69" t="s">
        <v>314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317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>
      <c r="A111" s="31" t="s">
        <v>301</v>
      </c>
      <c r="B111" s="31" t="s">
        <v>318</v>
      </c>
      <c r="C111" s="31" t="s">
        <v>215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6" t="s">
        <v>293</v>
      </c>
      <c r="J111" s="54"/>
      <c r="K111" s="28">
        <v>46363</v>
      </c>
      <c r="L111" s="43"/>
      <c r="M111" s="31"/>
      <c r="N111" s="31"/>
      <c r="O111" s="36" t="s">
        <v>311</v>
      </c>
      <c r="P111" s="75"/>
      <c r="Q111" s="28">
        <v>46370</v>
      </c>
      <c r="R111" s="43"/>
      <c r="S111" s="31"/>
      <c r="T111" s="69" t="s">
        <v>314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319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>
      <c r="A112" s="31" t="s">
        <v>301</v>
      </c>
      <c r="B112" s="31" t="s">
        <v>320</v>
      </c>
      <c r="C112" s="31" t="s">
        <v>215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6" t="s">
        <v>293</v>
      </c>
      <c r="J112" s="54"/>
      <c r="K112" s="28">
        <v>46363</v>
      </c>
      <c r="L112" s="43"/>
      <c r="M112" s="31"/>
      <c r="N112" s="31"/>
      <c r="O112" s="36" t="s">
        <v>311</v>
      </c>
      <c r="P112" s="75"/>
      <c r="Q112" s="28">
        <v>46370</v>
      </c>
      <c r="R112" s="43"/>
      <c r="S112" s="31"/>
      <c r="T112" s="69" t="s">
        <v>314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315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>
      <c r="A113" s="31" t="s">
        <v>301</v>
      </c>
      <c r="B113" s="31" t="s">
        <v>321</v>
      </c>
      <c r="C113" s="31" t="s">
        <v>215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6" t="s">
        <v>293</v>
      </c>
      <c r="J113" s="54"/>
      <c r="K113" s="28">
        <v>46363</v>
      </c>
      <c r="L113" s="43"/>
      <c r="M113" s="31"/>
      <c r="N113" s="31"/>
      <c r="O113" s="36" t="s">
        <v>311</v>
      </c>
      <c r="P113" s="75"/>
      <c r="Q113" s="28">
        <v>46370</v>
      </c>
      <c r="R113" s="43"/>
      <c r="S113" s="31"/>
      <c r="T113" s="69" t="s">
        <v>314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315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>
      <c r="A114" s="31" t="s">
        <v>301</v>
      </c>
      <c r="B114" s="31" t="s">
        <v>322</v>
      </c>
      <c r="C114" s="31" t="s">
        <v>215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6" t="s">
        <v>293</v>
      </c>
      <c r="J114" s="54"/>
      <c r="K114" s="28">
        <v>46363</v>
      </c>
      <c r="L114" s="43"/>
      <c r="M114" s="31"/>
      <c r="N114" s="31"/>
      <c r="O114" s="36" t="s">
        <v>323</v>
      </c>
      <c r="P114" s="75"/>
      <c r="Q114" s="28">
        <v>46370</v>
      </c>
      <c r="R114" s="43"/>
      <c r="S114" s="31"/>
      <c r="T114" s="69" t="s">
        <v>314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319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14.45">
      <c r="A115" s="31" t="s">
        <v>301</v>
      </c>
      <c r="B115" s="31" t="s">
        <v>324</v>
      </c>
      <c r="C115" s="31" t="s">
        <v>215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6" t="s">
        <v>293</v>
      </c>
      <c r="J115" s="54"/>
      <c r="K115" s="28">
        <v>46363</v>
      </c>
      <c r="L115" s="43"/>
      <c r="M115" s="31"/>
      <c r="N115" s="31"/>
      <c r="O115" s="36" t="s">
        <v>323</v>
      </c>
      <c r="P115" s="75"/>
      <c r="Q115" s="28">
        <v>46370</v>
      </c>
      <c r="R115" s="43"/>
      <c r="S115" s="31"/>
      <c r="T115" s="69" t="s">
        <v>314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263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27" priority="32">
      <formula>ISNUMBER(SEARCH("Blocked",$D2))</formula>
    </cfRule>
    <cfRule type="expression" dxfId="126" priority="33">
      <formula>ISNUMBER(SEARCH("overdue",$D2))</formula>
    </cfRule>
    <cfRule type="expression" dxfId="125" priority="34">
      <formula>ISNUMBER(SEARCH("no target",$D2))</formula>
    </cfRule>
    <cfRule type="expression" dxfId="124" priority="35">
      <formula>ISNUMBER(SEARCH("Review",$D2))</formula>
    </cfRule>
    <cfRule type="expression" dxfId="123" priority="36">
      <formula>OR($D2="On track",$D2="Delivered")</formula>
    </cfRule>
  </conditionalFormatting>
  <conditionalFormatting sqref="J2:O115">
    <cfRule type="expression" dxfId="122" priority="10">
      <formula>$AJ2="Yes – needs DB Dev to fix"</formula>
    </cfRule>
  </conditionalFormatting>
  <conditionalFormatting sqref="J116:O192">
    <cfRule type="expression" dxfId="121" priority="15">
      <formula>$AH116="Yes – needs DB Dev to fix"</formula>
    </cfRule>
  </conditionalFormatting>
  <conditionalFormatting sqref="K41">
    <cfRule type="expression" dxfId="120" priority="591">
      <formula>AND($B41&lt;&gt;"",MOD(ROW(),2)=0)</formula>
    </cfRule>
    <cfRule type="expression" dxfId="119" priority="592">
      <formula>$AJ41="Yes – needs DB Dev to fix"</formula>
    </cfRule>
  </conditionalFormatting>
  <conditionalFormatting sqref="K42">
    <cfRule type="expression" dxfId="118" priority="593">
      <formula>AND($B41&lt;&gt;"",MOD(ROW(),2)=0)</formula>
    </cfRule>
    <cfRule type="expression" dxfId="117" priority="594">
      <formula>$AJ41="Yes – needs DB Dev to fix"</formula>
    </cfRule>
  </conditionalFormatting>
  <conditionalFormatting sqref="K73:L100">
    <cfRule type="expression" dxfId="116" priority="107">
      <formula>$AF73="Yes – needs DB Dev to fix"</formula>
    </cfRule>
  </conditionalFormatting>
  <conditionalFormatting sqref="K101:L115">
    <cfRule type="expression" dxfId="115" priority="337">
      <formula>$AA101="Yes – needs DB Dev to fix"</formula>
    </cfRule>
  </conditionalFormatting>
  <conditionalFormatting sqref="K116:L527">
    <cfRule type="expression" dxfId="114" priority="564">
      <formula>$X116="Yes – needs DB Dev to fix"</formula>
    </cfRule>
  </conditionalFormatting>
  <conditionalFormatting sqref="M73">
    <cfRule type="expression" dxfId="113" priority="14">
      <formula>$AF73="Yes – needs DB Dev to fix"</formula>
    </cfRule>
  </conditionalFormatting>
  <conditionalFormatting sqref="M79">
    <cfRule type="expression" dxfId="112" priority="1">
      <formula>$AF79="Yes – needs DB Dev to fix"</formula>
    </cfRule>
  </conditionalFormatting>
  <conditionalFormatting sqref="M73:P100">
    <cfRule type="expression" dxfId="111" priority="292">
      <formula>$AD73="Yes – needs PBI Dev to fix"</formula>
    </cfRule>
  </conditionalFormatting>
  <conditionalFormatting sqref="M101:P115">
    <cfRule type="expression" dxfId="110" priority="339">
      <formula>$AA101="Yes – needs PBI Dev to fix"</formula>
    </cfRule>
  </conditionalFormatting>
  <conditionalFormatting sqref="M116:P527">
    <cfRule type="expression" dxfId="109" priority="565">
      <formula>$X116="Yes – needs PBI Dev to fix"</formula>
    </cfRule>
  </conditionalFormatting>
  <conditionalFormatting sqref="O101:O113">
    <cfRule type="expression" dxfId="108" priority="13">
      <formula>$AD101="Yes – needs PBI Dev to fix"</formula>
    </cfRule>
  </conditionalFormatting>
  <conditionalFormatting sqref="Q73:Q100">
    <cfRule type="expression" dxfId="107" priority="8">
      <formula>$AJ73="Yes – needs DB Dev to fix"</formula>
    </cfRule>
    <cfRule type="expression" dxfId="106" priority="9">
      <formula>$AF73="Yes – needs DB Dev to fix"</formula>
    </cfRule>
    <cfRule type="expression" dxfId="105" priority="111">
      <formula>$AF73="Yes – needs PBI Dev to fix"</formula>
    </cfRule>
  </conditionalFormatting>
  <conditionalFormatting sqref="Q101:R115 V101:V115 X101:X115">
    <cfRule type="expression" dxfId="104" priority="7">
      <formula>$AA101="Yes – needs QA to fix"</formula>
    </cfRule>
  </conditionalFormatting>
  <conditionalFormatting sqref="Q116:R527">
    <cfRule type="expression" dxfId="103" priority="566">
      <formula>$X116="Yes – needs QA to fix"</formula>
    </cfRule>
  </conditionalFormatting>
  <conditionalFormatting sqref="U10:V19 X10:X19 J29 M29:P29 J32:J33 M32:P33 K40:K41 M40:P41 Q65 T65:U65 V101:V115 X101:X115 Q2:U64 Q66:U115">
    <cfRule type="expression" dxfId="102" priority="22">
      <formula>$AJ2="Yes – needs PBI Dev to fix"</formula>
    </cfRule>
  </conditionalFormatting>
  <conditionalFormatting sqref="R58">
    <cfRule type="expression" dxfId="101" priority="307">
      <formula>AND($B65&lt;&gt;"",MOD(ROW(),2)=0)</formula>
    </cfRule>
    <cfRule type="expression" dxfId="100" priority="309">
      <formula>$AJ65="Yes – needs PBI Dev to fix"</formula>
    </cfRule>
  </conditionalFormatting>
  <conditionalFormatting sqref="R73:U100 T96:T101">
    <cfRule type="expression" dxfId="99" priority="113">
      <formula>$AF73="Yes – needs QA to fix"</formula>
    </cfRule>
  </conditionalFormatting>
  <conditionalFormatting sqref="S101:U115">
    <cfRule type="expression" dxfId="98" priority="353">
      <formula>$AA101="Yes – needs DPO Approval to fix"</formula>
    </cfRule>
  </conditionalFormatting>
  <conditionalFormatting sqref="S116:U527">
    <cfRule type="expression" dxfId="97" priority="567">
      <formula>$X116="Yes – needs DPO Approval to fix"</formula>
    </cfRule>
  </conditionalFormatting>
  <conditionalFormatting sqref="U101:V527 X101:X527">
    <cfRule type="expression" dxfId="96" priority="40">
      <formula>$V101="Yes"</formula>
    </cfRule>
  </conditionalFormatting>
  <conditionalFormatting sqref="U73:Y100">
    <cfRule type="expression" dxfId="95" priority="115">
      <formula>$AF73="Yes – needs DPO Approval to fix"</formula>
    </cfRule>
  </conditionalFormatting>
  <conditionalFormatting sqref="X116:X527">
    <cfRule type="expression" dxfId="94" priority="568">
      <formula>LEFT($X116,3)="Yes"</formula>
    </cfRule>
  </conditionalFormatting>
  <conditionalFormatting sqref="X73:Z100">
    <cfRule type="expression" dxfId="93" priority="467">
      <formula>$Y73="Yes"</formula>
    </cfRule>
  </conditionalFormatting>
  <conditionalFormatting sqref="Z116:AA527">
    <cfRule type="expression" dxfId="92" priority="45">
      <formula>ISNUMBER(SEARCH("Move old",$Z116))</formula>
    </cfRule>
    <cfRule type="expression" dxfId="91" priority="45">
      <formula>ISNUMBER(SEARCH("log it",$Z116))</formula>
    </cfRule>
    <cfRule type="expression" dxfId="90" priority="45">
      <formula>ISNUMBER(SEARCH("Open rework",$Z116))</formula>
    </cfRule>
    <cfRule type="expression" dxfId="89" priority="46">
      <formula>ISNUMBER(SEARCH("Duplicate",$Z116))</formula>
    </cfRule>
    <cfRule type="expression" dxfId="88" priority="47">
      <formula>$Z116&lt;&gt;""</formula>
    </cfRule>
  </conditionalFormatting>
  <conditionalFormatting sqref="Z116:AC527 W2:Y527 G2:V40 N3:N44 L41:V42 G65:Q65 T65:V65 G41:J42 Z2:AL2 Z3 Z4:AL41 Z42:AK42 Z43:AL44 Z45:AK47 Z48:AL72 Z73:AH100 Z101:AE115 AB3:AL3 G66:V73 A74:V527 A2:F87 G43:V64">
    <cfRule type="expression" dxfId="87" priority="48">
      <formula>AND($B2&lt;&gt;"",MOD(ROW(),2)=0)</formula>
    </cfRule>
  </conditionalFormatting>
  <conditionalFormatting sqref="AA3">
    <cfRule type="expression" dxfId="86" priority="595">
      <formula>AND($B3&lt;&gt;"",MOD(ROW(),2)=0)</formula>
    </cfRule>
    <cfRule type="expression" dxfId="85" priority="596">
      <formula>$AJ3="Yes – needs DPO Approval to fix"</formula>
    </cfRule>
  </conditionalFormatting>
  <conditionalFormatting sqref="AA101:AA115 U2:Z115">
    <cfRule type="expression" dxfId="84" priority="5">
      <formula>$AJ2="Yes – needs QA to fix"</formula>
    </cfRule>
  </conditionalFormatting>
  <conditionalFormatting sqref="AA101:AA115">
    <cfRule type="expression" dxfId="83" priority="2">
      <formula>$AJ101="Yes – needs PBI Dev to fix"</formula>
    </cfRule>
    <cfRule type="expression" dxfId="82" priority="3">
      <formula>$AA101="Yes – needs QA to fix"</formula>
    </cfRule>
    <cfRule type="expression" dxfId="81" priority="4">
      <formula>$V101="Yes"</formula>
    </cfRule>
    <cfRule type="expression" dxfId="80" priority="361">
      <formula>LEFT($AA101,3)="Yes"</formula>
    </cfRule>
  </conditionalFormatting>
  <conditionalFormatting sqref="AA2:AE2 AB3:AE3 AA4:AE100">
    <cfRule type="expression" dxfId="79" priority="89">
      <formula>$AJ2="Yes – needs DPO Approval to fix"</formula>
    </cfRule>
  </conditionalFormatting>
  <conditionalFormatting sqref="AB101:AC115">
    <cfRule type="expression" dxfId="78" priority="369">
      <formula>ISNUMBER(SEARCH("Open rework",$AB101))</formula>
    </cfRule>
    <cfRule type="expression" dxfId="77" priority="370">
      <formula>ISNUMBER(SEARCH("Move old",$AB101))</formula>
    </cfRule>
    <cfRule type="expression" dxfId="76" priority="371">
      <formula>ISNUMBER(SEARCH("log it",$AB101))</formula>
    </cfRule>
    <cfRule type="expression" dxfId="75" priority="372">
      <formula>ISNUMBER(SEARCH("Duplicate",$AB101))</formula>
    </cfRule>
    <cfRule type="expression" dxfId="74" priority="373">
      <formula>$AB101&lt;&gt;""</formula>
    </cfRule>
  </conditionalFormatting>
  <conditionalFormatting sqref="AF2:AF115">
    <cfRule type="expression" dxfId="73" priority="61">
      <formula>$AF2="Yes"</formula>
    </cfRule>
  </conditionalFormatting>
  <conditionalFormatting sqref="AF73:AF100">
    <cfRule type="expression" dxfId="72" priority="119">
      <formula>LEFT($AF73,3)="Yes"</formula>
    </cfRule>
  </conditionalFormatting>
  <conditionalFormatting sqref="AG73:AG100">
    <cfRule type="expression" dxfId="71" priority="125">
      <formula>ISNUMBER(SEARCH("Open rework",$AG73))</formula>
    </cfRule>
    <cfRule type="expression" dxfId="70" priority="126">
      <formula>ISNUMBER(SEARCH("Move old",$AG73))</formula>
    </cfRule>
    <cfRule type="expression" dxfId="69" priority="127">
      <formula>ISNUMBER(SEARCH("log it",$AG73))</formula>
    </cfRule>
    <cfRule type="expression" dxfId="68" priority="128">
      <formula>ISNUMBER(SEARCH("Duplicate",$AG73))</formula>
    </cfRule>
    <cfRule type="expression" dxfId="67" priority="129">
      <formula>$AG73&lt;&gt;""</formula>
    </cfRule>
  </conditionalFormatting>
  <conditionalFormatting sqref="AJ2:AJ115">
    <cfRule type="expression" dxfId="66" priority="63">
      <formula>LEFT($AJ2,3)="Yes"</formula>
    </cfRule>
  </conditionalFormatting>
  <conditionalFormatting sqref="AK2:AK115">
    <cfRule type="expression" dxfId="65" priority="69">
      <formula>ISNUMBER(SEARCH("log it",$AK2))</formula>
    </cfRule>
    <cfRule type="expression" dxfId="64" priority="70">
      <formula>ISNUMBER(SEARCH("Open rework",$AK2))</formula>
    </cfRule>
    <cfRule type="expression" dxfId="63" priority="71">
      <formula>ISNUMBER(SEARCH("Move old",$AK2))</formula>
    </cfRule>
    <cfRule type="expression" dxfId="62" priority="72">
      <formula>ISNUMBER(SEARCH("Duplicate",$AK2))</formula>
    </cfRule>
    <cfRule type="expression" dxfId="61" priority="73">
      <formula>$AK2&lt;&gt;""</formula>
    </cfRule>
  </conditionalFormatting>
  <conditionalFormatting sqref="AL45:AL47">
    <cfRule type="expression" dxfId="60" priority="12">
      <formula>AND($B49&lt;&gt;"",MOD(ROW(),2)=0)</formula>
    </cfRule>
  </conditionalFormatting>
  <conditionalFormatting sqref="D88">
    <cfRule type="expression" dxfId="59" priority="608">
      <formula>AND($B50&lt;&gt;"",MOD(ROW(),2)=0)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K2:M527 Q65 S30:S64 H2:H527 W2:W72 Y2:Y72 X2:X115 Q66:S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325</v>
      </c>
    </row>
    <row r="2" spans="1:5">
      <c r="A2" s="6" t="s">
        <v>326</v>
      </c>
    </row>
    <row r="4" spans="1:5" ht="21.95" customHeight="1">
      <c r="A4" s="5" t="s">
        <v>327</v>
      </c>
      <c r="B4" s="173"/>
      <c r="C4" s="174"/>
      <c r="D4" s="174"/>
      <c r="E4" s="174"/>
    </row>
    <row r="6" spans="1:5">
      <c r="A6" s="42" t="s">
        <v>0</v>
      </c>
      <c r="B6" s="171" t="str">
        <f>IF($B$4="","",IFERROR(INDEX('Combined Delivery Data'!$A:$A,MATCH($B$4,'Combined Delivery Data'!$B:$B,0)),""))</f>
        <v/>
      </c>
      <c r="C6" s="175"/>
      <c r="D6" s="175"/>
      <c r="E6" s="176"/>
    </row>
    <row r="7" spans="1:5">
      <c r="A7" s="42" t="s">
        <v>328</v>
      </c>
      <c r="B7" s="171" t="str">
        <f>IF($B$4="","",IFERROR(INDEX('Combined Delivery Data'!$C:$C,MATCH($B$4,'Combined Delivery Data'!$B:$B,0)),""))</f>
        <v/>
      </c>
      <c r="C7" s="175"/>
      <c r="D7" s="175"/>
      <c r="E7" s="176"/>
    </row>
    <row r="8" spans="1:5">
      <c r="A8" s="42" t="s">
        <v>3</v>
      </c>
      <c r="B8" s="171" t="str">
        <f>IF($B$4="","",IFERROR(INDEX('Combined Delivery Data'!$D:$D,MATCH($B$4,'Combined Delivery Data'!$B:$B,0)),""))</f>
        <v/>
      </c>
      <c r="C8" s="175"/>
      <c r="D8" s="175"/>
      <c r="E8" s="176"/>
    </row>
    <row r="9" spans="1:5">
      <c r="A9" s="42" t="s">
        <v>4</v>
      </c>
      <c r="B9" s="171" t="str">
        <f>IF($B$4="","",IFERROR(INDEX('Combined Delivery Data'!$E:$E,MATCH($B$4,'Combined Delivery Data'!$B:$B,0)),""))</f>
        <v/>
      </c>
      <c r="C9" s="175"/>
      <c r="D9" s="175"/>
      <c r="E9" s="176"/>
    </row>
    <row r="10" spans="1:5">
      <c r="A10" s="42" t="s">
        <v>5</v>
      </c>
      <c r="B10" s="171" t="str">
        <f>IF($B$4="","",IFERROR(INDEX('Combined Delivery Data'!$F:$F,MATCH($B$4,'Combined Delivery Data'!$B:$B,0)),""))</f>
        <v/>
      </c>
      <c r="C10" s="175"/>
      <c r="D10" s="175"/>
      <c r="E10" s="176"/>
    </row>
    <row r="11" spans="1:5">
      <c r="A11" s="42" t="s">
        <v>9</v>
      </c>
      <c r="B11" s="171" t="str">
        <f>IF($B$4="","",IFERROR(INDEX('Combined Delivery Data'!$J:$J,MATCH($B$4,'Combined Delivery Data'!$B:$B,0)),""))</f>
        <v/>
      </c>
      <c r="C11" s="175"/>
      <c r="D11" s="175"/>
      <c r="E11" s="176"/>
    </row>
    <row r="12" spans="1:5">
      <c r="A12" s="42" t="s">
        <v>15</v>
      </c>
      <c r="B12" s="171" t="str">
        <f>IF($B$4="","",IFERROR(INDEX('Combined Delivery Data'!$P:$P,MATCH($B$4,'Combined Delivery Data'!$B:$B,0)),""))</f>
        <v/>
      </c>
      <c r="C12" s="175"/>
      <c r="D12" s="175"/>
      <c r="E12" s="176"/>
    </row>
    <row r="13" spans="1:5">
      <c r="A13" s="42" t="s">
        <v>20</v>
      </c>
      <c r="B13" s="171" t="str">
        <f>IF($B$4="","",IFERROR(INDEX('Combined Delivery Data'!$U:$U,MATCH($B$4,'Combined Delivery Data'!$B:$B,0)),""))</f>
        <v/>
      </c>
      <c r="C13" s="175"/>
      <c r="D13" s="175"/>
      <c r="E13" s="176"/>
    </row>
    <row r="14" spans="1:5">
      <c r="A14" s="42" t="s">
        <v>329</v>
      </c>
      <c r="B14" s="170" t="str">
        <f>IF($B$4="","",IFERROR(INDEX('Combined Delivery Data'!$K:$K,MATCH($B$4,'Combined Delivery Data'!$B:$B,0)),""))</f>
        <v/>
      </c>
      <c r="C14" s="175"/>
      <c r="D14" s="175"/>
      <c r="E14" s="176"/>
    </row>
    <row r="15" spans="1:5">
      <c r="A15" s="42" t="s">
        <v>330</v>
      </c>
      <c r="B15" s="170" t="str">
        <f>IF($B$4="","",IFERROR(INDEX('Combined Delivery Data'!$L:$L,MATCH($B$4,'Combined Delivery Data'!$B:$B,0)),""))</f>
        <v/>
      </c>
      <c r="C15" s="175"/>
      <c r="D15" s="175"/>
      <c r="E15" s="176"/>
    </row>
    <row r="16" spans="1:5">
      <c r="A16" s="42" t="s">
        <v>331</v>
      </c>
      <c r="B16" s="170" t="str">
        <f>IF($B$4="","",IFERROR(INDEX('Combined Delivery Data'!$M:$M,MATCH($B$4,'Combined Delivery Data'!$B:$B,0)),""))</f>
        <v/>
      </c>
      <c r="C16" s="175"/>
      <c r="D16" s="175"/>
      <c r="E16" s="176"/>
    </row>
    <row r="17" spans="1:5">
      <c r="A17" s="42" t="s">
        <v>332</v>
      </c>
      <c r="B17" s="170" t="str">
        <f>IF($B$4="","",IFERROR(INDEX('Combined Delivery Data'!$O:$O,MATCH($B$4,'Combined Delivery Data'!$B:$B,0)),""))</f>
        <v/>
      </c>
      <c r="C17" s="175"/>
      <c r="D17" s="175"/>
      <c r="E17" s="176"/>
    </row>
    <row r="18" spans="1:5">
      <c r="A18" s="42" t="s">
        <v>333</v>
      </c>
      <c r="B18" s="170" t="str">
        <f>IF($B$4="","",IFERROR(INDEX('Combined Delivery Data'!$Q:$Q,MATCH($B$4,'Combined Delivery Data'!$B:$B,0)),""))</f>
        <v/>
      </c>
      <c r="C18" s="175"/>
      <c r="D18" s="175"/>
      <c r="E18" s="176"/>
    </row>
    <row r="19" spans="1:5">
      <c r="A19" s="42" t="s">
        <v>334</v>
      </c>
      <c r="B19" s="170" t="str">
        <f>IF($B$4="","",IFERROR(INDEX('Combined Delivery Data'!$R:$R,MATCH($B$4,'Combined Delivery Data'!$B:$B,0)),""))</f>
        <v/>
      </c>
      <c r="C19" s="175"/>
      <c r="D19" s="175"/>
      <c r="E19" s="176"/>
    </row>
    <row r="20" spans="1:5">
      <c r="A20" s="42" t="s">
        <v>335</v>
      </c>
      <c r="B20" s="170" t="str">
        <f>IF($B$4="","",IFERROR(INDEX('Combined Delivery Data'!$S:$S,MATCH($B$4,'Combined Delivery Data'!$B:$B,0)),""))</f>
        <v/>
      </c>
      <c r="C20" s="175"/>
      <c r="D20" s="175"/>
      <c r="E20" s="176"/>
    </row>
    <row r="21" spans="1:5">
      <c r="A21" s="42" t="s">
        <v>29</v>
      </c>
      <c r="B21" s="171" t="str">
        <f>IF($B$4="","",IFERROR(INDEX('Combined Delivery Data'!$T:$T,MATCH($B$4,'Combined Delivery Data'!$B:$B,0)),""))</f>
        <v/>
      </c>
      <c r="C21" s="175"/>
      <c r="D21" s="175"/>
      <c r="E21" s="176"/>
    </row>
    <row r="22" spans="1:5">
      <c r="A22" s="42" t="s">
        <v>31</v>
      </c>
      <c r="B22" s="171" t="str">
        <f>IF($B$4="","",IFERROR(INDEX('Combined Delivery Data'!$V:$V,MATCH($B$4,'Combined Delivery Data'!$B:$B,0)),""))</f>
        <v/>
      </c>
      <c r="C22" s="175"/>
      <c r="D22" s="175"/>
      <c r="E22" s="176"/>
    </row>
    <row r="23" spans="1:5">
      <c r="A23" s="42" t="s">
        <v>32</v>
      </c>
      <c r="B23" s="170" t="str">
        <f>IF($B$4="","",IFERROR(INDEX('Combined Delivery Data'!$W:$W,MATCH($B$4,'Combined Delivery Data'!$B:$B,0)),""))</f>
        <v/>
      </c>
      <c r="C23" s="175"/>
      <c r="D23" s="175"/>
      <c r="E23" s="176"/>
    </row>
    <row r="24" spans="1:5">
      <c r="A24" s="42" t="s">
        <v>35</v>
      </c>
      <c r="B24" s="171" t="str">
        <f>IF($B$4="","",IFERROR(INDEX('Combined Delivery Data'!$X:$X,MATCH($B$4,'Combined Delivery Data'!$B:$B,0)),""))</f>
        <v/>
      </c>
      <c r="C24" s="175"/>
      <c r="D24" s="175"/>
      <c r="E24" s="176"/>
    </row>
    <row r="25" spans="1:5">
      <c r="A25" s="42" t="s">
        <v>36</v>
      </c>
      <c r="B25" s="171" t="str">
        <f>IF($B$4="","",IFERROR(INDEX('Combined Delivery Data'!$Z:$Z,MATCH($B$4,'Combined Delivery Data'!$B:$B,0)),""))</f>
        <v/>
      </c>
      <c r="C25" s="175"/>
      <c r="D25" s="175"/>
      <c r="E25" s="176"/>
    </row>
    <row r="26" spans="1:5">
      <c r="A26" s="42" t="s">
        <v>336</v>
      </c>
      <c r="B26" s="171" t="str">
        <f>IF($B$4="","",IFERROR(INDEX('Rework Log'!$Q:$Q,MATCH($B$4,'Rework Log'!$P:$P,0)),""))</f>
        <v/>
      </c>
      <c r="C26" s="175"/>
      <c r="D26" s="175"/>
      <c r="E26" s="176"/>
    </row>
    <row r="27" spans="1:5">
      <c r="A27" s="42" t="s">
        <v>337</v>
      </c>
      <c r="B27" s="171" t="str">
        <f>IF($B$4="","",IFERROR(INDEX('Rework Log'!$R:$R,MATCH($B$4,'Rework Log'!$P:$P,0)),""))</f>
        <v/>
      </c>
      <c r="C27" s="175"/>
      <c r="D27" s="175"/>
      <c r="E27" s="176"/>
    </row>
    <row r="28" spans="1:5">
      <c r="A28" s="42" t="s">
        <v>338</v>
      </c>
      <c r="B28" s="171" t="str">
        <f>IF($B$4="","",IFERROR(INDEX('Rework Log'!$S:$S,MATCH($B$4,'Rework Log'!$P:$P,0)),""))</f>
        <v/>
      </c>
      <c r="C28" s="175"/>
      <c r="D28" s="175"/>
      <c r="E28" s="176"/>
    </row>
    <row r="29" spans="1:5">
      <c r="A29" s="42" t="s">
        <v>339</v>
      </c>
      <c r="B29" s="171" t="str">
        <f>IF($B$4="","",IFERROR(INDEX('Rework Log'!$T:$T,MATCH($B$4,'Rework Log'!$P:$P,0)),""))</f>
        <v/>
      </c>
      <c r="C29" s="175"/>
      <c r="D29" s="175"/>
      <c r="E29" s="176"/>
    </row>
    <row r="30" spans="1:5" ht="15.6" customHeight="1">
      <c r="A30" s="42"/>
      <c r="B30" s="171"/>
      <c r="C30" s="175"/>
      <c r="D30" s="175"/>
      <c r="E30" s="176"/>
    </row>
    <row r="31" spans="1:5" ht="15.6" customHeight="1">
      <c r="A31" s="5" t="s">
        <v>37</v>
      </c>
      <c r="B31" s="177" t="str">
        <f>IF($B$4="","",IFERROR(INDEX('Combined Delivery Data'!$AB:$AB,MATCH($B$4,'Combined Delivery Data'!$B:$B,0)),""))</f>
        <v/>
      </c>
      <c r="C31" s="174"/>
      <c r="D31" s="174"/>
      <c r="E31" s="17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29" activePane="bottomLeft" state="frozen"/>
      <selection pane="bottomLeft" activeCell="L34" sqref="L34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72" t="s">
        <v>340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P1" s="178" t="s">
        <v>341</v>
      </c>
      <c r="Q1" s="178"/>
      <c r="R1" s="178"/>
      <c r="S1" s="178"/>
      <c r="T1" s="178"/>
    </row>
    <row r="2" spans="1:20" ht="30" customHeight="1">
      <c r="A2" s="17" t="s">
        <v>1</v>
      </c>
      <c r="B2" s="17" t="s">
        <v>342</v>
      </c>
      <c r="C2" s="17" t="s">
        <v>343</v>
      </c>
      <c r="D2" s="17" t="s">
        <v>344</v>
      </c>
      <c r="E2" s="17" t="s">
        <v>345</v>
      </c>
      <c r="F2" s="17" t="s">
        <v>346</v>
      </c>
      <c r="G2" s="17" t="s">
        <v>347</v>
      </c>
      <c r="H2" s="30" t="s">
        <v>348</v>
      </c>
      <c r="I2" s="30" t="s">
        <v>349</v>
      </c>
      <c r="J2" s="30" t="s">
        <v>350</v>
      </c>
      <c r="K2" s="30" t="s">
        <v>351</v>
      </c>
      <c r="L2" s="30" t="s">
        <v>352</v>
      </c>
      <c r="M2" s="21" t="s">
        <v>353</v>
      </c>
      <c r="N2" s="21" t="s">
        <v>354</v>
      </c>
      <c r="P2" s="13" t="s">
        <v>1</v>
      </c>
      <c r="Q2" s="13" t="s">
        <v>336</v>
      </c>
      <c r="R2" s="13" t="s">
        <v>337</v>
      </c>
      <c r="S2" s="13" t="s">
        <v>338</v>
      </c>
      <c r="T2" s="13" t="s">
        <v>339</v>
      </c>
    </row>
    <row r="3" spans="1:20">
      <c r="A3" s="33" t="s">
        <v>146</v>
      </c>
      <c r="B3" s="36">
        <v>46230</v>
      </c>
      <c r="C3" s="33" t="s">
        <v>141</v>
      </c>
      <c r="D3" s="33" t="s">
        <v>154</v>
      </c>
      <c r="E3" s="33" t="s">
        <v>147</v>
      </c>
      <c r="F3" s="33" t="s">
        <v>355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39 d</v>
      </c>
      <c r="N3" t="s">
        <v>50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141</v>
      </c>
      <c r="D4" s="31" t="s">
        <v>154</v>
      </c>
      <c r="E4" s="31" t="s">
        <v>147</v>
      </c>
      <c r="F4" s="31" t="s">
        <v>356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357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154</v>
      </c>
      <c r="E5" s="31" t="s">
        <v>130</v>
      </c>
      <c r="F5" s="31" t="s">
        <v>358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50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144</v>
      </c>
      <c r="B6" s="32">
        <v>46234</v>
      </c>
      <c r="C6" s="31" t="s">
        <v>141</v>
      </c>
      <c r="D6" s="31" t="s">
        <v>154</v>
      </c>
      <c r="E6" s="31" t="s">
        <v>130</v>
      </c>
      <c r="F6" s="31" t="s">
        <v>359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50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154</v>
      </c>
      <c r="E7" s="31" t="s">
        <v>130</v>
      </c>
      <c r="F7" s="31" t="s">
        <v>360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50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154</v>
      </c>
      <c r="E8" s="31" t="s">
        <v>130</v>
      </c>
      <c r="F8" s="31" t="s">
        <v>361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362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158</v>
      </c>
      <c r="B9" s="32">
        <v>46251</v>
      </c>
      <c r="C9" s="31" t="s">
        <v>141</v>
      </c>
      <c r="D9" s="31" t="s">
        <v>154</v>
      </c>
      <c r="E9" s="31" t="s">
        <v>147</v>
      </c>
      <c r="F9" s="31" t="s">
        <v>363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362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141</v>
      </c>
      <c r="D10" s="31" t="s">
        <v>154</v>
      </c>
      <c r="E10" s="31" t="s">
        <v>147</v>
      </c>
      <c r="F10" s="31" t="s">
        <v>356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362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154</v>
      </c>
      <c r="E11" s="31" t="s">
        <v>130</v>
      </c>
      <c r="F11" s="31" t="s">
        <v>358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155</v>
      </c>
      <c r="B12" s="32">
        <v>46254</v>
      </c>
      <c r="C12" s="31" t="s">
        <v>141</v>
      </c>
      <c r="D12" s="31" t="s">
        <v>154</v>
      </c>
      <c r="E12" s="31" t="s">
        <v>147</v>
      </c>
      <c r="F12" s="31" t="s">
        <v>364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365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154</v>
      </c>
      <c r="E13" s="31" t="s">
        <v>130</v>
      </c>
      <c r="F13" s="31" t="s">
        <v>366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141</v>
      </c>
      <c r="D14" s="31" t="s">
        <v>150</v>
      </c>
      <c r="E14" s="31" t="s">
        <v>147</v>
      </c>
      <c r="F14" s="31" t="s">
        <v>367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50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161</v>
      </c>
      <c r="B15" s="32">
        <v>46258</v>
      </c>
      <c r="C15" s="31" t="s">
        <v>141</v>
      </c>
      <c r="D15" s="31" t="s">
        <v>150</v>
      </c>
      <c r="E15" s="31" t="s">
        <v>147</v>
      </c>
      <c r="F15" s="31" t="s">
        <v>368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50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153</v>
      </c>
      <c r="B16" s="32">
        <v>46258</v>
      </c>
      <c r="C16" s="31" t="s">
        <v>141</v>
      </c>
      <c r="D16" s="31" t="s">
        <v>154</v>
      </c>
      <c r="E16" s="31" t="s">
        <v>147</v>
      </c>
      <c r="F16" s="31" t="s">
        <v>369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365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141</v>
      </c>
      <c r="D17" s="31" t="s">
        <v>150</v>
      </c>
      <c r="E17" s="31" t="s">
        <v>147</v>
      </c>
      <c r="F17" s="31" t="s">
        <v>370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141</v>
      </c>
      <c r="D18" s="31" t="s">
        <v>154</v>
      </c>
      <c r="E18" s="31" t="s">
        <v>130</v>
      </c>
      <c r="F18" s="31" t="s">
        <v>371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0"/>
        <v>Fixed</v>
      </c>
      <c r="N18" t="s">
        <v>50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141</v>
      </c>
      <c r="D19" s="31" t="s">
        <v>150</v>
      </c>
      <c r="E19" s="31" t="s">
        <v>147</v>
      </c>
      <c r="F19" s="31" t="s">
        <v>372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362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373</v>
      </c>
      <c r="B20" s="32">
        <v>46265</v>
      </c>
      <c r="C20" s="31" t="s">
        <v>141</v>
      </c>
      <c r="D20" s="31" t="s">
        <v>150</v>
      </c>
      <c r="E20" s="31" t="s">
        <v>47</v>
      </c>
      <c r="F20" s="31" t="s">
        <v>374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375</v>
      </c>
      <c r="M20" s="3" t="str">
        <f t="shared" ca="1" si="0"/>
        <v>Fixed</v>
      </c>
      <c r="N20" t="s">
        <v>365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141</v>
      </c>
      <c r="D21" s="31" t="s">
        <v>154</v>
      </c>
      <c r="E21" s="31" t="s">
        <v>47</v>
      </c>
      <c r="F21" s="31" t="s">
        <v>376</v>
      </c>
      <c r="G21" s="31" t="s">
        <v>50</v>
      </c>
      <c r="H21" s="32"/>
      <c r="I21" s="32"/>
      <c r="J21" s="32"/>
      <c r="K21" s="31"/>
      <c r="L21" s="31"/>
      <c r="M21" s="3" t="str">
        <f t="shared" ca="1" si="0"/>
        <v>UNCLAIMED 4 d</v>
      </c>
      <c r="N21" t="s">
        <v>50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154</v>
      </c>
      <c r="E22" s="31" t="s">
        <v>130</v>
      </c>
      <c r="F22" s="31" t="s">
        <v>377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141</v>
      </c>
      <c r="D23" s="31" t="s">
        <v>150</v>
      </c>
      <c r="E23" s="31" t="s">
        <v>47</v>
      </c>
      <c r="F23" s="31" t="s">
        <v>378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0"/>
        <v>UNCLAIMED 3 d</v>
      </c>
      <c r="N23" t="s">
        <v>50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141</v>
      </c>
      <c r="D24" s="31" t="s">
        <v>150</v>
      </c>
      <c r="E24" s="31" t="s">
        <v>47</v>
      </c>
      <c r="F24" s="31" t="s">
        <v>379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0"/>
        <v>UNCLAIMED 3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141</v>
      </c>
      <c r="D25" s="31" t="s">
        <v>150</v>
      </c>
      <c r="E25" s="31" t="s">
        <v>47</v>
      </c>
      <c r="F25" s="77" t="s">
        <v>380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0"/>
        <v>UNCLAIMED 2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192</v>
      </c>
      <c r="B26" s="32">
        <v>46267</v>
      </c>
      <c r="C26" s="31" t="s">
        <v>141</v>
      </c>
      <c r="D26" s="31" t="s">
        <v>150</v>
      </c>
      <c r="E26" s="31" t="s">
        <v>130</v>
      </c>
      <c r="F26" s="31" t="s">
        <v>381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2 d</v>
      </c>
      <c r="N26" t="s">
        <v>50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187</v>
      </c>
      <c r="B27" s="32">
        <v>46267</v>
      </c>
      <c r="C27" s="31" t="s">
        <v>141</v>
      </c>
      <c r="D27" s="31" t="s">
        <v>154</v>
      </c>
      <c r="E27" s="31" t="s">
        <v>130</v>
      </c>
      <c r="F27" s="31" t="s">
        <v>371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161</v>
      </c>
      <c r="B28" s="32">
        <v>46267</v>
      </c>
      <c r="C28" s="31" t="s">
        <v>141</v>
      </c>
      <c r="D28" s="31" t="s">
        <v>150</v>
      </c>
      <c r="E28" s="31" t="s">
        <v>147</v>
      </c>
      <c r="F28" s="31" t="s">
        <v>382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383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150</v>
      </c>
      <c r="E29" s="31" t="s">
        <v>130</v>
      </c>
      <c r="F29" s="31" t="s">
        <v>382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383</v>
      </c>
      <c r="M29" s="3" t="str">
        <f t="shared" ca="1" si="0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162</v>
      </c>
      <c r="B30" s="32">
        <v>46267</v>
      </c>
      <c r="C30" s="31" t="s">
        <v>141</v>
      </c>
      <c r="D30" s="31" t="s">
        <v>150</v>
      </c>
      <c r="E30" s="31" t="s">
        <v>130</v>
      </c>
      <c r="F30" s="31" t="s">
        <v>382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383</v>
      </c>
      <c r="M30" s="3" t="str">
        <f t="shared" ca="1" si="0"/>
        <v>Fixed</v>
      </c>
      <c r="N30" t="s">
        <v>50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187</v>
      </c>
      <c r="B31" s="32">
        <v>46267</v>
      </c>
      <c r="C31" s="31" t="s">
        <v>141</v>
      </c>
      <c r="D31" s="31" t="s">
        <v>154</v>
      </c>
      <c r="E31" s="31" t="s">
        <v>130</v>
      </c>
      <c r="F31" s="31" t="s">
        <v>384</v>
      </c>
      <c r="G31" s="31" t="s">
        <v>53</v>
      </c>
      <c r="H31" s="32"/>
      <c r="I31" s="32"/>
      <c r="J31" s="32"/>
      <c r="K31" s="31"/>
      <c r="L31" s="31"/>
      <c r="M31" s="3" t="str">
        <f t="shared" ca="1" si="0"/>
        <v>UNCLAIMED 2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 t="s">
        <v>169</v>
      </c>
      <c r="B32" s="32">
        <v>46268</v>
      </c>
      <c r="C32" s="31" t="s">
        <v>141</v>
      </c>
      <c r="D32" s="31" t="s">
        <v>154</v>
      </c>
      <c r="E32" s="31" t="s">
        <v>47</v>
      </c>
      <c r="F32" s="31" t="s">
        <v>385</v>
      </c>
      <c r="G32" s="31" t="s">
        <v>53</v>
      </c>
      <c r="H32" s="32"/>
      <c r="I32" s="32"/>
      <c r="J32" s="32"/>
      <c r="K32" s="31"/>
      <c r="L32" s="31"/>
      <c r="M32" s="3" t="str">
        <f t="shared" ca="1" si="0"/>
        <v>UNCLAIMED 1 d</v>
      </c>
      <c r="N32" t="s">
        <v>50</v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 t="s">
        <v>188</v>
      </c>
      <c r="B33" s="32">
        <v>46267</v>
      </c>
      <c r="C33" s="31" t="s">
        <v>141</v>
      </c>
      <c r="D33" s="31" t="s">
        <v>154</v>
      </c>
      <c r="E33" s="31" t="s">
        <v>386</v>
      </c>
      <c r="F33" s="31" t="s">
        <v>387</v>
      </c>
      <c r="G33" s="31" t="s">
        <v>53</v>
      </c>
      <c r="H33" s="32"/>
      <c r="I33" s="32"/>
      <c r="J33" s="32"/>
      <c r="K33" s="31"/>
      <c r="L33" s="31"/>
      <c r="M33" s="3" t="str">
        <f t="shared" ca="1" si="0"/>
        <v>UNCLAIMED 2 d</v>
      </c>
      <c r="N33" t="s">
        <v>50</v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141</v>
      </c>
      <c r="D34" s="31"/>
      <c r="E34" s="31"/>
      <c r="F34" s="31"/>
      <c r="G34" s="31" t="s">
        <v>53</v>
      </c>
      <c r="H34" s="32"/>
      <c r="I34" s="32"/>
      <c r="J34" s="32"/>
      <c r="K34" s="31"/>
      <c r="L34" s="31"/>
      <c r="M34" s="3" t="str">
        <f t="shared" ca="1" si="0"/>
        <v/>
      </c>
      <c r="N34" t="s">
        <v>50</v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0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1</v>
      </c>
      <c r="R44">
        <f>IF($P44="","",SUMPRODUCT(($A$3:$A$499=$P44)*($G$3:$G$499&lt;&gt;"Yes")*($G$3:$G$499&lt;&gt;"Did not pass re-test")))</f>
        <v>1</v>
      </c>
      <c r="S44" s="28">
        <f>IF($P44="","",IF(SUMPRODUCT(MAX(($A$3:$A$499=$P44)*ROW($A$3:$A$499)))=0,"",INDEX($B:$B,SUMPRODUCT(MAX(($A$3:$A$499=$P44)*ROW($A$3:$A$499))))))</f>
        <v>46268</v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>QA -&gt; DB Dev</v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0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1</v>
      </c>
      <c r="R51">
        <f>IF($P51="","",SUMPRODUCT(($A$3:$A$499=$P51)*($G$3:$G$499&lt;&gt;"Yes")*($G$3:$G$499&lt;&gt;"Did not pass re-test")))</f>
        <v>1</v>
      </c>
      <c r="S51" s="28">
        <f>IF($P51="","",IF(SUMPRODUCT(MAX(($A$3:$A$499=$P51)*ROW($A$3:$A$499)))=0,"",INDEX($B:$B,SUMPRODUCT(MAX(($A$3:$A$499=$P51)*ROW($A$3:$A$499))))))</f>
        <v>46267</v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>QA -&gt; DB Dev</v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0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466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466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466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466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466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466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466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466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466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466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466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466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466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466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466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466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466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466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466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466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466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466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466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466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466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466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466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466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466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466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466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466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466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466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466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466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466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466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466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466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466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466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466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466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466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466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466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466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466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466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466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466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466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466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466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466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466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466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466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466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466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466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466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466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466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466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466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466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466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466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466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466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466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466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466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466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466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466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466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466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466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466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466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466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466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466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466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466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466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466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466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466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466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466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466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466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466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466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466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466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466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466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466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466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466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466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466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466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466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466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466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466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466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466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466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466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466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466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466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466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466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466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466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466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466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466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466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466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466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466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466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466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466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466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466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466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466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466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466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466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466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466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466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466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466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466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466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466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466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466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466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466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466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466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466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466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466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466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466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466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466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466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466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466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466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466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466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466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466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466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466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466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466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466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466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466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466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466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466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466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466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466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466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466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466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466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466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466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466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466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466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466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466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466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466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466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466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466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466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466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466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466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466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466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466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466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466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466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466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466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466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466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466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466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466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466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466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466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466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466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466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466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466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466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466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466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466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466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466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466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466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466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466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466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466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466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466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466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466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466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466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466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466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466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466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466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466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466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466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466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466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466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466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466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466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466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466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466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466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466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466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466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466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466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466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466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466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466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466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466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466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466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466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466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466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466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466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466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466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466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466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466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466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466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466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466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466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466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466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466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466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466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466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466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466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466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466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466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466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466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466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466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466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466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466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466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466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466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466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466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466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466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466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466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466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466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466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466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466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466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466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466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466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466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466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466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466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466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466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466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466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466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466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466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466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466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466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466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466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466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466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466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466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466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466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466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466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466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466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466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466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466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466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466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466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466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466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466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466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466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466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466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466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466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466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466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466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466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466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466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466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466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466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466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466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466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466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466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466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466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466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466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466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466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466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466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466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466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466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466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466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466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466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466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466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466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466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466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466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466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466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466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466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466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466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466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466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466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466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466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32:M499 B31:M31 A29:K30 M29:M30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32:M499 B31:M31 A29:K30 M29:M30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79" t="s">
        <v>388</v>
      </c>
      <c r="B1" s="174"/>
      <c r="C1" s="174"/>
      <c r="D1" s="174"/>
      <c r="E1" s="174"/>
      <c r="F1" s="174"/>
      <c r="G1" s="174"/>
      <c r="H1" s="174"/>
      <c r="I1" s="174"/>
      <c r="J1" s="174"/>
    </row>
    <row r="2" spans="1:10" ht="27" customHeight="1">
      <c r="A2" s="8" t="s">
        <v>0</v>
      </c>
      <c r="B2" s="8" t="s">
        <v>389</v>
      </c>
      <c r="C2" s="8" t="s">
        <v>1</v>
      </c>
      <c r="D2" s="8" t="s">
        <v>390</v>
      </c>
      <c r="E2" s="8" t="s">
        <v>391</v>
      </c>
      <c r="F2" s="8" t="s">
        <v>6</v>
      </c>
      <c r="G2" s="8" t="s">
        <v>5</v>
      </c>
      <c r="H2" s="8" t="s">
        <v>392</v>
      </c>
      <c r="I2" s="8" t="s">
        <v>393</v>
      </c>
      <c r="J2" s="8" t="s">
        <v>394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395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150</v>
      </c>
      <c r="C14" s="9" t="s">
        <v>395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395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395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395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150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150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150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150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150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150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150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150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154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150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154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150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154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150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154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150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154</v>
      </c>
      <c r="C153" s="9" t="s">
        <v>144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150</v>
      </c>
      <c r="C154" s="9" t="s">
        <v>144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144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154</v>
      </c>
      <c r="C156" s="9" t="s">
        <v>146</v>
      </c>
      <c r="D156" s="9" t="s">
        <v>84</v>
      </c>
      <c r="E156" s="9" t="s">
        <v>60</v>
      </c>
      <c r="F156" s="9"/>
      <c r="G156" s="9" t="s">
        <v>147</v>
      </c>
      <c r="H156" s="9"/>
      <c r="I156" s="9"/>
      <c r="J156" s="9"/>
    </row>
    <row r="157" spans="1:10">
      <c r="A157" s="3" t="s">
        <v>127</v>
      </c>
      <c r="B157" s="3" t="s">
        <v>154</v>
      </c>
      <c r="C157" s="3" t="s">
        <v>149</v>
      </c>
      <c r="D157" s="3" t="s">
        <v>118</v>
      </c>
      <c r="E157" s="3" t="s">
        <v>46</v>
      </c>
      <c r="F157" s="3"/>
      <c r="G157" s="3" t="s">
        <v>147</v>
      </c>
      <c r="H157" s="3"/>
      <c r="I157" s="3"/>
      <c r="J157" s="3"/>
    </row>
    <row r="158" spans="1:10">
      <c r="A158" s="3" t="s">
        <v>127</v>
      </c>
      <c r="B158" s="3" t="s">
        <v>154</v>
      </c>
      <c r="C158" s="3" t="s">
        <v>153</v>
      </c>
      <c r="D158" s="3" t="s">
        <v>118</v>
      </c>
      <c r="E158" s="3" t="s">
        <v>46</v>
      </c>
      <c r="F158" s="3"/>
      <c r="G158" s="3" t="s">
        <v>147</v>
      </c>
      <c r="H158" s="3"/>
      <c r="I158" s="3"/>
      <c r="J158" s="3"/>
    </row>
    <row r="159" spans="1:10">
      <c r="A159" s="3" t="s">
        <v>127</v>
      </c>
      <c r="B159" s="3" t="s">
        <v>150</v>
      </c>
      <c r="C159" s="3" t="s">
        <v>153</v>
      </c>
      <c r="D159" s="3" t="s">
        <v>118</v>
      </c>
      <c r="E159" s="3" t="s">
        <v>46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153</v>
      </c>
      <c r="D160" s="3" t="s">
        <v>118</v>
      </c>
      <c r="E160" s="3" t="s">
        <v>46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147</v>
      </c>
      <c r="H161" s="3"/>
      <c r="I161" s="3"/>
      <c r="J161" s="3"/>
    </row>
    <row r="162" spans="1:10">
      <c r="A162" s="3" t="s">
        <v>127</v>
      </c>
      <c r="B162" s="3" t="s">
        <v>150</v>
      </c>
      <c r="C162" s="3" t="s">
        <v>155</v>
      </c>
      <c r="D162" s="3" t="s">
        <v>84</v>
      </c>
      <c r="E162" s="3" t="s">
        <v>60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155</v>
      </c>
      <c r="D163" s="3" t="s">
        <v>84</v>
      </c>
      <c r="E163" s="3" t="s">
        <v>60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147</v>
      </c>
      <c r="H164" s="3"/>
      <c r="I164" s="3"/>
      <c r="J164" s="3"/>
    </row>
    <row r="165" spans="1:10">
      <c r="A165" s="3" t="s">
        <v>127</v>
      </c>
      <c r="B165" s="3" t="s">
        <v>150</v>
      </c>
      <c r="C165" s="3" t="s">
        <v>158</v>
      </c>
      <c r="D165" s="3" t="s">
        <v>160</v>
      </c>
      <c r="E165" s="3" t="s">
        <v>60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158</v>
      </c>
      <c r="D166" s="3" t="s">
        <v>160</v>
      </c>
      <c r="E166" s="3" t="s">
        <v>60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147</v>
      </c>
      <c r="H167" s="3"/>
      <c r="I167" s="3"/>
      <c r="J167" s="3"/>
    </row>
    <row r="168" spans="1:10">
      <c r="A168" s="3" t="s">
        <v>127</v>
      </c>
      <c r="B168" s="3" t="s">
        <v>150</v>
      </c>
      <c r="C168" s="3" t="s">
        <v>161</v>
      </c>
      <c r="D168" s="3" t="s">
        <v>160</v>
      </c>
      <c r="E168" s="3" t="s">
        <v>77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161</v>
      </c>
      <c r="D169" s="3" t="s">
        <v>160</v>
      </c>
      <c r="E169" s="3" t="s">
        <v>77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150</v>
      </c>
      <c r="C171" s="3" t="s">
        <v>162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162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150</v>
      </c>
      <c r="C174" s="3" t="s">
        <v>164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164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147</v>
      </c>
      <c r="H176" s="3"/>
      <c r="I176" s="3"/>
      <c r="J176" s="3"/>
    </row>
    <row r="177" spans="1:10">
      <c r="A177" s="3" t="s">
        <v>127</v>
      </c>
      <c r="B177" s="3" t="s">
        <v>150</v>
      </c>
      <c r="C177" s="3" t="s">
        <v>166</v>
      </c>
      <c r="D177" s="3" t="s">
        <v>76</v>
      </c>
      <c r="E177" s="3" t="s">
        <v>77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166</v>
      </c>
      <c r="D178" s="3" t="s">
        <v>76</v>
      </c>
      <c r="E178" s="3" t="s">
        <v>77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150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154</v>
      </c>
      <c r="C182" s="3" t="s">
        <v>181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150</v>
      </c>
      <c r="C183" s="3" t="s">
        <v>181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181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80" t="s">
        <v>396</v>
      </c>
      <c r="B1" s="174"/>
      <c r="C1" s="174"/>
    </row>
    <row r="2" spans="1:3" ht="14.25" customHeight="1">
      <c r="A2" s="8" t="s">
        <v>0</v>
      </c>
      <c r="B2" s="8" t="s">
        <v>397</v>
      </c>
      <c r="C2" s="8" t="s">
        <v>393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398</v>
      </c>
      <c r="B11" s="11">
        <v>18</v>
      </c>
      <c r="C11" s="12">
        <v>46386</v>
      </c>
    </row>
    <row r="12" spans="1:3" ht="14.25" customHeight="1">
      <c r="A12" s="11" t="s">
        <v>398</v>
      </c>
      <c r="B12" s="11">
        <v>18</v>
      </c>
      <c r="C12" s="12">
        <v>46417</v>
      </c>
    </row>
    <row r="13" spans="1:3" ht="14.25" customHeight="1">
      <c r="A13" s="11" t="s">
        <v>398</v>
      </c>
      <c r="B13" s="11">
        <v>19</v>
      </c>
      <c r="C13" s="12">
        <v>46446</v>
      </c>
    </row>
    <row r="14" spans="1:3" ht="14.25" customHeight="1">
      <c r="A14" s="11" t="s">
        <v>301</v>
      </c>
      <c r="B14" s="11">
        <v>9</v>
      </c>
      <c r="C14" s="12">
        <v>46476</v>
      </c>
    </row>
    <row r="15" spans="1:3" ht="14.25" customHeight="1">
      <c r="A15" s="11" t="s">
        <v>291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399</v>
      </c>
      <c r="F1" s="1" t="s">
        <v>328</v>
      </c>
      <c r="G1" s="5" t="s">
        <v>400</v>
      </c>
      <c r="H1" s="5" t="s">
        <v>20</v>
      </c>
      <c r="I1" t="s">
        <v>35</v>
      </c>
      <c r="J1" s="5" t="s">
        <v>401</v>
      </c>
      <c r="K1" s="5" t="s">
        <v>129</v>
      </c>
      <c r="L1" s="5" t="s">
        <v>347</v>
      </c>
      <c r="M1" s="1" t="s">
        <v>402</v>
      </c>
      <c r="N1" s="1" t="s">
        <v>403</v>
      </c>
      <c r="R1" t="s">
        <v>13</v>
      </c>
      <c r="T1" t="s">
        <v>404</v>
      </c>
    </row>
    <row r="2" spans="1:20" ht="13.5" customHeight="1">
      <c r="A2" s="2" t="s">
        <v>405</v>
      </c>
      <c r="B2" s="2" t="s">
        <v>406</v>
      </c>
      <c r="C2" s="2" t="s">
        <v>407</v>
      </c>
      <c r="D2" s="2" t="s">
        <v>408</v>
      </c>
      <c r="E2" s="2" t="s">
        <v>409</v>
      </c>
      <c r="F2" s="2" t="s">
        <v>410</v>
      </c>
      <c r="G2" t="s">
        <v>411</v>
      </c>
      <c r="H2" t="s">
        <v>412</v>
      </c>
      <c r="I2" t="s">
        <v>413</v>
      </c>
      <c r="J2" s="29" t="s">
        <v>414</v>
      </c>
      <c r="K2" s="29" t="s">
        <v>415</v>
      </c>
      <c r="L2" s="29" t="s">
        <v>416</v>
      </c>
      <c r="M2" t="s">
        <v>147</v>
      </c>
      <c r="N2" s="45" t="s">
        <v>417</v>
      </c>
      <c r="R2" t="s">
        <v>248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215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418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147</v>
      </c>
      <c r="E4" t="s">
        <v>53</v>
      </c>
      <c r="F4" t="s">
        <v>154</v>
      </c>
      <c r="G4" t="s">
        <v>59</v>
      </c>
      <c r="H4" t="s">
        <v>88</v>
      </c>
      <c r="I4" t="s">
        <v>419</v>
      </c>
      <c r="J4" t="s">
        <v>150</v>
      </c>
      <c r="L4" t="s">
        <v>50</v>
      </c>
      <c r="M4" t="s">
        <v>103</v>
      </c>
      <c r="N4" s="45" t="s">
        <v>418</v>
      </c>
      <c r="R4" t="s">
        <v>172</v>
      </c>
      <c r="T4" t="s">
        <v>72</v>
      </c>
    </row>
    <row r="5" spans="1:20" ht="15" customHeight="1">
      <c r="A5" t="s">
        <v>398</v>
      </c>
      <c r="B5" t="s">
        <v>65</v>
      </c>
      <c r="C5" t="s">
        <v>77</v>
      </c>
      <c r="F5" t="s">
        <v>150</v>
      </c>
      <c r="G5" t="s">
        <v>65</v>
      </c>
      <c r="H5" t="s">
        <v>130</v>
      </c>
      <c r="I5" t="s">
        <v>174</v>
      </c>
      <c r="J5" t="s">
        <v>141</v>
      </c>
      <c r="L5" t="s">
        <v>420</v>
      </c>
      <c r="M5" t="s">
        <v>88</v>
      </c>
      <c r="N5" s="45" t="s">
        <v>418</v>
      </c>
    </row>
    <row r="6" spans="1:20" ht="15" customHeight="1">
      <c r="A6" t="s">
        <v>301</v>
      </c>
      <c r="B6" t="s">
        <v>84</v>
      </c>
      <c r="F6" t="s">
        <v>141</v>
      </c>
      <c r="G6" t="s">
        <v>84</v>
      </c>
      <c r="H6" t="s">
        <v>147</v>
      </c>
      <c r="I6" t="s">
        <v>421</v>
      </c>
      <c r="J6" t="s">
        <v>129</v>
      </c>
      <c r="M6" t="s">
        <v>48</v>
      </c>
      <c r="N6" s="45" t="s">
        <v>418</v>
      </c>
    </row>
    <row r="7" spans="1:20" ht="15" customHeight="1">
      <c r="A7" t="s">
        <v>291</v>
      </c>
      <c r="B7" t="s">
        <v>118</v>
      </c>
      <c r="F7" t="s">
        <v>129</v>
      </c>
      <c r="G7" t="s">
        <v>118</v>
      </c>
      <c r="H7" t="s">
        <v>386</v>
      </c>
      <c r="I7" t="s">
        <v>422</v>
      </c>
      <c r="M7" t="s">
        <v>130</v>
      </c>
      <c r="N7" s="45" t="s">
        <v>418</v>
      </c>
    </row>
    <row r="8" spans="1:20" ht="15" customHeight="1">
      <c r="B8" t="s">
        <v>76</v>
      </c>
      <c r="F8" t="s">
        <v>42</v>
      </c>
      <c r="G8" t="s">
        <v>76</v>
      </c>
      <c r="I8" t="s">
        <v>423</v>
      </c>
      <c r="M8" t="s">
        <v>60</v>
      </c>
      <c r="N8" s="45" t="s">
        <v>418</v>
      </c>
    </row>
    <row r="9" spans="1:20" ht="15" customHeight="1">
      <c r="B9" t="s">
        <v>103</v>
      </c>
      <c r="G9" t="s">
        <v>103</v>
      </c>
      <c r="I9" t="s">
        <v>424</v>
      </c>
      <c r="M9" t="s">
        <v>160</v>
      </c>
      <c r="N9" s="45" t="s">
        <v>418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418</v>
      </c>
    </row>
    <row r="11" spans="1:20">
      <c r="B11" t="s">
        <v>425</v>
      </c>
      <c r="G11" t="s">
        <v>60</v>
      </c>
      <c r="M11" t="s">
        <v>76</v>
      </c>
      <c r="N11" s="45" t="s">
        <v>418</v>
      </c>
    </row>
    <row r="12" spans="1:20">
      <c r="B12" t="s">
        <v>426</v>
      </c>
      <c r="G12" t="s">
        <v>46</v>
      </c>
      <c r="M12" t="s">
        <v>46</v>
      </c>
      <c r="N12" s="45" t="s">
        <v>418</v>
      </c>
    </row>
    <row r="13" spans="1:20">
      <c r="G13" t="s">
        <v>77</v>
      </c>
      <c r="M13" t="s">
        <v>77</v>
      </c>
      <c r="N13" s="45" t="s">
        <v>418</v>
      </c>
    </row>
    <row r="14" spans="1:20">
      <c r="M14" t="s">
        <v>84</v>
      </c>
      <c r="N14" s="45" t="s">
        <v>427</v>
      </c>
    </row>
    <row r="15" spans="1:20">
      <c r="M15" t="s">
        <v>59</v>
      </c>
      <c r="N15" s="45" t="s">
        <v>418</v>
      </c>
    </row>
    <row r="16" spans="1:20">
      <c r="M16" t="s">
        <v>118</v>
      </c>
      <c r="N16" s="45" t="s">
        <v>418</v>
      </c>
    </row>
    <row r="17" spans="13:14">
      <c r="M17" t="s">
        <v>65</v>
      </c>
      <c r="N17" s="45" t="s">
        <v>418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Bardia Mouhebat</cp:lastModifiedBy>
  <cp:revision>0</cp:revision>
  <dcterms:created xsi:type="dcterms:W3CDTF">2026-07-21T14:32:59Z</dcterms:created>
  <dcterms:modified xsi:type="dcterms:W3CDTF">2026-09-04T20:33:49Z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