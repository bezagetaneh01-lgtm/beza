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258" documentId="13_ncr:1_{52745E9B-3AA1-4770-AAD3-E6166BFC13AE}" xr6:coauthVersionLast="47" xr6:coauthVersionMax="47" xr10:uidLastSave="{2FBAC20F-49D8-493F-B791-A0E67640E5A8}"/>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Data'!$B$119:$B$119</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55" i="2" l="1" a="1"/>
  <c r="AM55" i="2"/>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D55" i="2"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5" i="2" l="1"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<sst xmlns="http://schemas.openxmlformats.org/spreadsheetml/2006/main" count="3166" uniqueCount="468">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</sst>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3">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15">
      <filters>
        <filter val="Shraddha"/>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T1" activePane="topRight" state="frozen"/>
      <selection pane="topRight" activeCell="Y57" sqref="Y5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179</v>
      </c>
      <c r="C48" s="33" t="s">
        <v>173</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193</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idden="1">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idden="1">
      <c r="A57" s="33" t="s">
        <v>126</v>
      </c>
      <c r="B57" s="33" t="s">
        <v>206</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idden="1">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idden="1">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Open rework row - mark Blocked? or close it</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idden="1">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173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v>46282</v>
      </c>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idden="1">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36">
        <v>46282</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220</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idden="1">
      <c r="A64" s="118" t="s">
        <v>126</v>
      </c>
      <c r="B64" s="118" t="s">
        <v>221</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222</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idden="1">
      <c r="A66" s="157" t="s">
        <v>126</v>
      </c>
      <c r="B66" s="157" t="s">
        <v>224</v>
      </c>
      <c r="C66" s="157" t="s">
        <v>225</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222</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226</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227</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228</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229</v>
      </c>
      <c r="K68" s="85">
        <v>46276</v>
      </c>
      <c r="L68" s="86">
        <v>46258</v>
      </c>
      <c r="M68" s="86">
        <v>46258</v>
      </c>
      <c r="N68" s="86"/>
      <c r="O68" s="86" t="s">
        <v>198</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idden="1">
      <c r="A69" s="97" t="s">
        <v>126</v>
      </c>
      <c r="B69" s="78" t="s">
        <v>233</v>
      </c>
      <c r="C69" s="97" t="s">
        <v>225</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230</v>
      </c>
      <c r="U69" s="97"/>
      <c r="V69" s="106">
        <v>46290</v>
      </c>
      <c r="W69" s="103"/>
      <c r="X69" s="103"/>
      <c r="Y69" s="103"/>
      <c r="Z69" s="103"/>
      <c r="AA69" s="107">
        <v>46295</v>
      </c>
      <c r="AB69" s="103"/>
      <c r="AC69" s="103"/>
      <c r="AD69" s="78" t="s">
        <v>234</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235</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idden="1">
      <c r="A70" s="33" t="s">
        <v>126</v>
      </c>
      <c r="B70" s="33" t="s">
        <v>236</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v>46281</v>
      </c>
      <c r="T71" s="68" t="s">
        <v>230</v>
      </c>
      <c r="U71" s="33" t="s">
        <v>47</v>
      </c>
      <c r="V71" s="58">
        <v>46290</v>
      </c>
      <c r="W71" s="36"/>
      <c r="X71" s="36"/>
      <c r="Y71" s="36"/>
      <c r="Z71" s="36"/>
      <c r="AA71" s="51">
        <v>46295</v>
      </c>
      <c r="AB71" s="36"/>
      <c r="AC71" s="36"/>
      <c r="AD71" s="33" t="s">
        <v>238</v>
      </c>
      <c r="AE71" s="33" t="s">
        <v>94</v>
      </c>
      <c r="AF71" s="38"/>
      <c r="AG71" s="36"/>
      <c r="AH71" s="39"/>
      <c r="AI71" s="33"/>
      <c r="AJ71" s="40" t="s">
        <v>53</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230</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242</v>
      </c>
      <c r="J73" s="31" t="s">
        <v>76</v>
      </c>
      <c r="K73" s="43">
        <v>46304</v>
      </c>
      <c r="L73" s="43">
        <v>46259</v>
      </c>
      <c r="M73" s="46">
        <v>46259</v>
      </c>
      <c r="N73" s="44" t="s">
        <v>45</v>
      </c>
      <c r="O73" s="44" t="s">
        <v>198</v>
      </c>
      <c r="P73" s="65" t="s">
        <v>77</v>
      </c>
      <c r="Q73" s="43">
        <v>46313</v>
      </c>
      <c r="R73" s="43"/>
      <c r="S73" s="44"/>
      <c r="T73" s="69" t="s">
        <v>243</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189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242</v>
      </c>
      <c r="J74" s="53" t="s">
        <v>229</v>
      </c>
      <c r="K74" s="43">
        <v>46304</v>
      </c>
      <c r="L74" s="43">
        <v>46269</v>
      </c>
      <c r="M74" s="44">
        <v>46269</v>
      </c>
      <c r="N74" s="44"/>
      <c r="O74" s="44" t="s">
        <v>198</v>
      </c>
      <c r="P74" s="74" t="s">
        <v>77</v>
      </c>
      <c r="Q74" s="43">
        <v>46313</v>
      </c>
      <c r="R74" s="43"/>
      <c r="S74" s="44"/>
      <c r="T74" s="69" t="s">
        <v>243</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c r="A75" s="135" t="s">
        <v>126</v>
      </c>
      <c r="B75" s="135" t="s">
        <v>245</v>
      </c>
      <c r="C75" s="135" t="s">
        <v>225</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242</v>
      </c>
      <c r="J75" s="135" t="s">
        <v>59</v>
      </c>
      <c r="K75" s="139">
        <v>46304</v>
      </c>
      <c r="L75" s="139"/>
      <c r="M75" s="140"/>
      <c r="N75" s="140"/>
      <c r="O75" s="140" t="s">
        <v>198</v>
      </c>
      <c r="P75" s="141"/>
      <c r="Q75" s="139">
        <v>46313</v>
      </c>
      <c r="R75" s="139"/>
      <c r="S75" s="140"/>
      <c r="T75" s="142" t="s">
        <v>243</v>
      </c>
      <c r="U75" s="143"/>
      <c r="V75" s="144">
        <v>46316</v>
      </c>
      <c r="W75" s="139"/>
      <c r="X75" s="135"/>
      <c r="Y75" s="135"/>
      <c r="Z75" s="145"/>
      <c r="AA75" s="144">
        <v>46325</v>
      </c>
      <c r="AB75" s="139"/>
      <c r="AC75" s="139"/>
      <c r="AD75" s="135" t="s">
        <v>246</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c r="A76" s="135" t="s">
        <v>126</v>
      </c>
      <c r="B76" s="135" t="s">
        <v>247</v>
      </c>
      <c r="C76" s="135" t="s">
        <v>225</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242</v>
      </c>
      <c r="J76" s="135" t="s">
        <v>59</v>
      </c>
      <c r="K76" s="139">
        <v>46304</v>
      </c>
      <c r="L76" s="139"/>
      <c r="M76" s="140"/>
      <c r="N76" s="140"/>
      <c r="O76" s="140" t="s">
        <v>198</v>
      </c>
      <c r="P76" s="141"/>
      <c r="Q76" s="139">
        <v>46313</v>
      </c>
      <c r="R76" s="139"/>
      <c r="S76" s="140"/>
      <c r="T76" s="142" t="s">
        <v>243</v>
      </c>
      <c r="U76" s="143"/>
      <c r="V76" s="144">
        <v>46316</v>
      </c>
      <c r="W76" s="139"/>
      <c r="X76" s="135"/>
      <c r="Y76" s="135"/>
      <c r="Z76" s="145"/>
      <c r="AA76" s="144">
        <v>46325</v>
      </c>
      <c r="AB76" s="139"/>
      <c r="AC76" s="139"/>
      <c r="AD76" s="135" t="s">
        <v>246</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c r="A77" s="135" t="s">
        <v>126</v>
      </c>
      <c r="B77" s="135" t="s">
        <v>248</v>
      </c>
      <c r="C77" s="135" t="s">
        <v>225</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242</v>
      </c>
      <c r="J77" s="135" t="s">
        <v>154</v>
      </c>
      <c r="K77" s="139">
        <v>46304</v>
      </c>
      <c r="L77" s="139"/>
      <c r="M77" s="140"/>
      <c r="N77" s="140"/>
      <c r="O77" s="140" t="s">
        <v>198</v>
      </c>
      <c r="P77" s="141"/>
      <c r="Q77" s="139">
        <v>46313</v>
      </c>
      <c r="R77" s="139"/>
      <c r="S77" s="140"/>
      <c r="T77" s="142" t="s">
        <v>243</v>
      </c>
      <c r="U77" s="143"/>
      <c r="V77" s="144">
        <v>46316</v>
      </c>
      <c r="W77" s="139"/>
      <c r="X77" s="135"/>
      <c r="Y77" s="135"/>
      <c r="Z77" s="145"/>
      <c r="AA77" s="144">
        <v>46325</v>
      </c>
      <c r="AB77" s="139"/>
      <c r="AC77" s="139"/>
      <c r="AD77" s="135" t="s">
        <v>246</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c r="A78" s="146" t="s">
        <v>126</v>
      </c>
      <c r="B78" s="146" t="s">
        <v>249</v>
      </c>
      <c r="C78" s="146" t="s">
        <v>225</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242</v>
      </c>
      <c r="J78" s="146" t="s">
        <v>44</v>
      </c>
      <c r="K78" s="150">
        <v>46304</v>
      </c>
      <c r="L78" s="150"/>
      <c r="M78" s="151"/>
      <c r="N78" s="151"/>
      <c r="O78" s="151" t="s">
        <v>250</v>
      </c>
      <c r="P78" s="152" t="s">
        <v>60</v>
      </c>
      <c r="Q78" s="150">
        <v>46313</v>
      </c>
      <c r="R78" s="150"/>
      <c r="S78" s="151"/>
      <c r="T78" s="153" t="s">
        <v>243</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252</v>
      </c>
      <c r="O79" s="44" t="s">
        <v>198</v>
      </c>
      <c r="P79" s="74" t="s">
        <v>46</v>
      </c>
      <c r="Q79" s="43">
        <v>46313</v>
      </c>
      <c r="R79" s="43"/>
      <c r="S79" s="44"/>
      <c r="T79" s="69" t="s">
        <v>243</v>
      </c>
      <c r="U79" s="46"/>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254</v>
      </c>
      <c r="C80" s="31" t="s">
        <v>225</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c r="A81" s="146" t="s">
        <v>126</v>
      </c>
      <c r="B81" s="146" t="s">
        <v>255</v>
      </c>
      <c r="C81" s="146" t="s">
        <v>225</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242</v>
      </c>
      <c r="J81" s="33" t="s">
        <v>103</v>
      </c>
      <c r="K81" s="150">
        <v>46304</v>
      </c>
      <c r="L81" s="150"/>
      <c r="M81" s="151"/>
      <c r="N81" s="151"/>
      <c r="O81" s="151" t="s">
        <v>250</v>
      </c>
      <c r="P81" s="152" t="s">
        <v>60</v>
      </c>
      <c r="Q81" s="150">
        <v>46313</v>
      </c>
      <c r="R81" s="150"/>
      <c r="S81" s="151"/>
      <c r="T81" s="169" t="s">
        <v>256</v>
      </c>
      <c r="U81" s="154"/>
      <c r="V81" s="155">
        <v>46316</v>
      </c>
      <c r="W81" s="150"/>
      <c r="X81" s="146"/>
      <c r="Y81" s="146"/>
      <c r="Z81" s="156"/>
      <c r="AA81" s="155">
        <v>46325</v>
      </c>
      <c r="AB81" s="150"/>
      <c r="AC81" s="150"/>
      <c r="AD81" s="146" t="s">
        <v>222</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c r="A82" s="31" t="s">
        <v>126</v>
      </c>
      <c r="B82" s="31" t="s">
        <v>257</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242</v>
      </c>
      <c r="J82" s="53" t="s">
        <v>154</v>
      </c>
      <c r="K82" s="43">
        <v>46304</v>
      </c>
      <c r="L82" s="43">
        <v>46281</v>
      </c>
      <c r="M82" s="44"/>
      <c r="N82" s="46" t="s">
        <v>146</v>
      </c>
      <c r="O82" s="44" t="s">
        <v>250</v>
      </c>
      <c r="P82" s="74" t="s">
        <v>46</v>
      </c>
      <c r="Q82" s="43">
        <v>46313</v>
      </c>
      <c r="R82" s="43"/>
      <c r="S82" s="44"/>
      <c r="T82" s="68" t="s">
        <v>256</v>
      </c>
      <c r="U82" s="46"/>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189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252</v>
      </c>
      <c r="O83" s="44" t="s">
        <v>250</v>
      </c>
      <c r="P83" s="74" t="s">
        <v>77</v>
      </c>
      <c r="Q83" s="43">
        <v>46313</v>
      </c>
      <c r="R83" s="43"/>
      <c r="S83" s="44"/>
      <c r="T83" s="68" t="s">
        <v>256</v>
      </c>
      <c r="U83" s="46"/>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242</v>
      </c>
      <c r="J84" s="53" t="s">
        <v>76</v>
      </c>
      <c r="K84" s="43">
        <v>46304</v>
      </c>
      <c r="L84" s="43"/>
      <c r="M84" s="44"/>
      <c r="N84" s="44" t="s">
        <v>252</v>
      </c>
      <c r="O84" s="44" t="s">
        <v>250</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225</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143</v>
      </c>
      <c r="G85" s="31"/>
      <c r="H85" s="49">
        <v>46325</v>
      </c>
      <c r="I85" s="55" t="s">
        <v>242</v>
      </c>
      <c r="J85" s="53" t="s">
        <v>44</v>
      </c>
      <c r="K85" s="43">
        <v>46304</v>
      </c>
      <c r="L85" s="43"/>
      <c r="M85" s="44"/>
      <c r="N85" s="44"/>
      <c r="O85" s="44" t="s">
        <v>250</v>
      </c>
      <c r="P85" s="74" t="s">
        <v>60</v>
      </c>
      <c r="Q85" s="43">
        <v>46313</v>
      </c>
      <c r="R85" s="43"/>
      <c r="S85" s="44"/>
      <c r="T85" s="68" t="s">
        <v>256</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225</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265</v>
      </c>
      <c r="J86" s="53" t="s">
        <v>84</v>
      </c>
      <c r="K86" s="49">
        <v>46332</v>
      </c>
      <c r="L86" s="43"/>
      <c r="M86" s="44"/>
      <c r="N86" s="44"/>
      <c r="O86" s="44" t="s">
        <v>250</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267</v>
      </c>
      <c r="C87" s="31" t="s">
        <v>225</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265</v>
      </c>
      <c r="J87" s="53" t="s">
        <v>59</v>
      </c>
      <c r="K87" s="49">
        <v>46332</v>
      </c>
      <c r="L87" s="43"/>
      <c r="M87" s="44"/>
      <c r="N87" s="44"/>
      <c r="O87" s="44" t="s">
        <v>250</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268</v>
      </c>
      <c r="C88" s="31" t="s">
        <v>225</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265</v>
      </c>
      <c r="J88" s="53" t="s">
        <v>59</v>
      </c>
      <c r="K88" s="49">
        <v>46332</v>
      </c>
      <c r="L88" s="43"/>
      <c r="M88" s="44"/>
      <c r="N88" s="44"/>
      <c r="O88" s="44" t="s">
        <v>250</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270</v>
      </c>
      <c r="C89" s="31" t="s">
        <v>225</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265</v>
      </c>
      <c r="J89" s="53" t="s">
        <v>229</v>
      </c>
      <c r="K89" s="49">
        <v>46332</v>
      </c>
      <c r="L89" s="43">
        <v>46282</v>
      </c>
      <c r="M89" s="44">
        <v>46282</v>
      </c>
      <c r="N89" s="44"/>
      <c r="O89" s="44" t="s">
        <v>250</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271</v>
      </c>
      <c r="C90" s="31" t="s">
        <v>225</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265</v>
      </c>
      <c r="J90" s="53"/>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273</v>
      </c>
      <c r="C91" s="31" t="s">
        <v>225</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250</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276</v>
      </c>
      <c r="C92" s="31" t="s">
        <v>225</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265</v>
      </c>
      <c r="J92" s="53" t="s">
        <v>84</v>
      </c>
      <c r="K92" s="49">
        <v>46332</v>
      </c>
      <c r="L92" s="43">
        <v>46332</v>
      </c>
      <c r="M92" s="44">
        <v>46275</v>
      </c>
      <c r="N92" s="44"/>
      <c r="O92" s="44" t="s">
        <v>250</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278</v>
      </c>
      <c r="C93" s="31" t="s">
        <v>225</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c r="K93" s="49">
        <v>46332</v>
      </c>
      <c r="L93" s="43"/>
      <c r="M93" s="44"/>
      <c r="N93" s="44"/>
      <c r="O93" s="36" t="s">
        <v>279</v>
      </c>
      <c r="P93" s="74"/>
      <c r="Q93" s="49">
        <v>46339</v>
      </c>
      <c r="R93" s="43"/>
      <c r="S93" s="44"/>
      <c r="T93" s="68" t="s">
        <v>269</v>
      </c>
      <c r="U93" s="46"/>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225</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265</v>
      </c>
      <c r="J94" s="53"/>
      <c r="K94" s="49">
        <v>46332</v>
      </c>
      <c r="L94" s="43"/>
      <c r="M94" s="44"/>
      <c r="N94" s="44"/>
      <c r="O94" s="36" t="s">
        <v>279</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225</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265</v>
      </c>
      <c r="J95" s="53"/>
      <c r="K95" s="49">
        <v>46332</v>
      </c>
      <c r="L95" s="43"/>
      <c r="M95" s="44"/>
      <c r="N95" s="44"/>
      <c r="O95" s="36" t="s">
        <v>279</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225</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272</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225</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279</v>
      </c>
      <c r="P97" s="74"/>
      <c r="Q97" s="49">
        <v>46339</v>
      </c>
      <c r="R97" s="43"/>
      <c r="S97" s="44"/>
      <c r="T97" s="68" t="s">
        <v>283</v>
      </c>
      <c r="U97" s="46"/>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289</v>
      </c>
      <c r="C98" s="31" t="s">
        <v>225</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265</v>
      </c>
      <c r="J98" s="53"/>
      <c r="K98" s="49">
        <v>46332</v>
      </c>
      <c r="L98" s="43"/>
      <c r="M98" s="44"/>
      <c r="N98" s="44"/>
      <c r="O98" s="36" t="s">
        <v>279</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290</v>
      </c>
      <c r="C99" s="31" t="s">
        <v>225</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250</v>
      </c>
      <c r="P99" s="74"/>
      <c r="Q99" s="49">
        <v>46339</v>
      </c>
      <c r="R99" s="43"/>
      <c r="S99" s="44"/>
      <c r="T99" s="68" t="s">
        <v>283</v>
      </c>
      <c r="U99" s="46"/>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293</v>
      </c>
      <c r="C100" s="31" t="s">
        <v>225</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279</v>
      </c>
      <c r="P100" s="74"/>
      <c r="Q100" s="49">
        <v>46339</v>
      </c>
      <c r="R100" s="43"/>
      <c r="S100" s="44"/>
      <c r="T100" s="68" t="s">
        <v>283</v>
      </c>
      <c r="U100" s="46"/>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295</v>
      </c>
      <c r="B101" s="31" t="s">
        <v>296</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295</v>
      </c>
      <c r="B102" s="31" t="s">
        <v>300</v>
      </c>
      <c r="C102" s="31" t="s">
        <v>225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295</v>
      </c>
      <c r="B103" s="31" t="s">
        <v>303</v>
      </c>
      <c r="C103" s="31" t="s">
        <v>225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225</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295</v>
      </c>
      <c r="B105" s="31" t="s">
        <v>308</v>
      </c>
      <c r="C105" s="31" t="s">
        <v>225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295</v>
      </c>
      <c r="B106" s="31" t="s">
        <v>310</v>
      </c>
      <c r="C106" s="31" t="s">
        <v>225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295</v>
      </c>
      <c r="B107" s="31" t="s">
        <v>312</v>
      </c>
      <c r="C107" s="31" t="s">
        <v>225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295</v>
      </c>
      <c r="B108" s="31" t="s">
        <v>314</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317</v>
      </c>
      <c r="C109" s="31" t="s">
        <v>225</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295</v>
      </c>
      <c r="B110" s="31" t="s">
        <v>320</v>
      </c>
      <c r="C110" s="31" t="s">
        <v>225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322</v>
      </c>
      <c r="C111" s="31" t="s">
        <v>225</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324</v>
      </c>
      <c r="C112" s="31" t="s">
        <v>225</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325</v>
      </c>
      <c r="C113" s="31" t="s">
        <v>225</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326</v>
      </c>
      <c r="C114" s="31" t="s">
        <v>225</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328</v>
      </c>
      <c r="C115" s="31" t="s">
        <v>225</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2" priority="42">
      <formula>ISNUMBER(SEARCH("Blocked",$D2))</formula>
    </cfRule>
    <cfRule type="expression" dxfId="141" priority="43">
      <formula>ISNUMBER(SEARCH("overdue",$D2))</formula>
    </cfRule>
    <cfRule type="expression" dxfId="140" priority="44">
      <formula>ISNUMBER(SEARCH("no target",$D2))</formula>
    </cfRule>
    <cfRule type="expression" dxfId="139" priority="45">
      <formula>ISNUMBER(SEARCH("Review",$D2))</formula>
    </cfRule>
    <cfRule type="expression" dxfId="138" priority="46">
      <formula>OR($D2="On track",$D2="Delivered")</formula>
    </cfRule>
  </conditionalFormatting>
  <conditionalFormatting sqref="J2:O115">
    <cfRule type="expression" dxfId="137" priority="20">
      <formula>$AJ2="Yes – needs DB Dev to fix"</formula>
    </cfRule>
  </conditionalFormatting>
  <conditionalFormatting sqref="J116:O192">
    <cfRule type="expression" dxfId="136" priority="25">
      <formula>$AH116="Yes – needs DB Dev to fix"</formula>
    </cfRule>
  </conditionalFormatting>
  <conditionalFormatting sqref="K41">
    <cfRule type="expression" dxfId="135" priority="601">
      <formula>AND($B41&lt;&gt;"",MOD(ROW(),2)=0)</formula>
    </cfRule>
    <cfRule type="expression" dxfId="134" priority="602">
      <formula>$AJ41="Yes – needs DB Dev to fix"</formula>
    </cfRule>
  </conditionalFormatting>
  <conditionalFormatting sqref="K42">
    <cfRule type="expression" dxfId="133" priority="603">
      <formula>AND($B41&lt;&gt;"",MOD(ROW(),2)=0)</formula>
    </cfRule>
    <cfRule type="expression" dxfId="132" priority="604">
      <formula>$AJ41="Yes – needs DB Dev to fix"</formula>
    </cfRule>
  </conditionalFormatting>
  <conditionalFormatting sqref="K73:L100">
    <cfRule type="expression" dxfId="131" priority="117">
      <formula>$AF73="Yes – needs DB Dev to fix"</formula>
    </cfRule>
  </conditionalFormatting>
  <conditionalFormatting sqref="K101:L115">
    <cfRule type="expression" dxfId="130" priority="347">
      <formula>$AA101="Yes – needs DB Dev to fix"</formula>
    </cfRule>
  </conditionalFormatting>
  <conditionalFormatting sqref="K116:L527">
    <cfRule type="expression" dxfId="129" priority="574">
      <formula>$X116="Yes – needs DB Dev to fix"</formula>
    </cfRule>
  </conditionalFormatting>
  <conditionalFormatting sqref="M73">
    <cfRule type="expression" dxfId="128" priority="24">
      <formula>$AF73="Yes – needs DB Dev to fix"</formula>
    </cfRule>
  </conditionalFormatting>
  <conditionalFormatting sqref="M79">
    <cfRule type="expression" dxfId="127" priority="11">
      <formula>$AF79="Yes – needs DB Dev to fix"</formula>
    </cfRule>
  </conditionalFormatting>
  <conditionalFormatting sqref="M73:P100">
    <cfRule type="expression" dxfId="126" priority="302">
      <formula>$AD73="Yes – needs PBI Dev to fix"</formula>
    </cfRule>
  </conditionalFormatting>
  <conditionalFormatting sqref="M101:P115">
    <cfRule type="expression" dxfId="125" priority="349">
      <formula>$AA101="Yes – needs PBI Dev to fix"</formula>
    </cfRule>
  </conditionalFormatting>
  <conditionalFormatting sqref="M116:P527">
    <cfRule type="expression" dxfId="124" priority="575">
      <formula>$X116="Yes – needs PBI Dev to fix"</formula>
    </cfRule>
  </conditionalFormatting>
  <conditionalFormatting sqref="O101:O113">
    <cfRule type="expression" dxfId="123" priority="23">
      <formula>$AD101="Yes – needs PBI Dev to fix"</formula>
    </cfRule>
  </conditionalFormatting>
  <conditionalFormatting sqref="Q73:Q100">
    <cfRule type="expression" dxfId="122" priority="18">
      <formula>$AJ73="Yes – needs DB Dev to fix"</formula>
    </cfRule>
    <cfRule type="expression" dxfId="121" priority="19">
      <formula>$AF73="Yes – needs DB Dev to fix"</formula>
    </cfRule>
    <cfRule type="expression" dxfId="120" priority="121">
      <formula>$AF73="Yes – needs PBI Dev to fix"</formula>
    </cfRule>
  </conditionalFormatting>
  <conditionalFormatting sqref="Q101:R115 V101:V115 X101:X115">
    <cfRule type="expression" dxfId="119" priority="17">
      <formula>$AA101="Yes – needs QA to fix"</formula>
    </cfRule>
  </conditionalFormatting>
  <conditionalFormatting sqref="Q116:R527">
    <cfRule type="expression" dxfId="118" priority="576">
      <formula>$X116="Yes – needs QA to fix"</formula>
    </cfRule>
  </conditionalFormatting>
  <conditionalFormatting sqref="U10:V19 X10:X19 J29 M29:P29 J32:J33 M32:P33 K40:K41 M40:P41 Q65 T65:U65 V101:V115 X101:X115 Q2:U64 Q66:U115">
    <cfRule type="expression" dxfId="117" priority="32">
      <formula>$AJ2="Yes – needs PBI Dev to fix"</formula>
    </cfRule>
  </conditionalFormatting>
  <conditionalFormatting sqref="R58">
    <cfRule type="expression" dxfId="116" priority="317">
      <formula>AND($B65&lt;&gt;"",MOD(ROW(),2)=0)</formula>
    </cfRule>
    <cfRule type="expression" dxfId="115" priority="319">
      <formula>$AJ65="Yes – needs PBI Dev to fix"</formula>
    </cfRule>
  </conditionalFormatting>
  <conditionalFormatting sqref="R73:U100 T96:T101">
    <cfRule type="expression" dxfId="114" priority="123">
      <formula>$AF73="Yes – needs QA to fix"</formula>
    </cfRule>
  </conditionalFormatting>
  <conditionalFormatting sqref="S101:U115">
    <cfRule type="expression" dxfId="113" priority="363">
      <formula>$AA101="Yes – needs DPO Approval to fix"</formula>
    </cfRule>
  </conditionalFormatting>
  <conditionalFormatting sqref="S116:U527">
    <cfRule type="expression" dxfId="112" priority="577">
      <formula>$X116="Yes – needs DPO Approval to fix"</formula>
    </cfRule>
  </conditionalFormatting>
  <conditionalFormatting sqref="U101:V527 X101:X527">
    <cfRule type="expression" dxfId="111" priority="50">
      <formula>$V101="Yes"</formula>
    </cfRule>
  </conditionalFormatting>
  <conditionalFormatting sqref="U73:Y100">
    <cfRule type="expression" dxfId="110" priority="125">
      <formula>$AF73="Yes – needs DPO Approval to fix"</formula>
    </cfRule>
  </conditionalFormatting>
  <conditionalFormatting sqref="X116:X527">
    <cfRule type="expression" dxfId="109" priority="578">
      <formula>LEFT($X116,3)="Yes"</formula>
    </cfRule>
  </conditionalFormatting>
  <conditionalFormatting sqref="X73:Z100">
    <cfRule type="expression" dxfId="108" priority="477">
      <formula>$Y73="Yes"</formula>
    </cfRule>
  </conditionalFormatting>
  <conditionalFormatting sqref="Z116:AA527">
    <cfRule type="expression" dxfId="107" priority="55">
      <formula>ISNUMBER(SEARCH("Move old",$Z116))</formula>
    </cfRule>
    <cfRule type="expression" dxfId="106" priority="55">
      <formula>ISNUMBER(SEARCH("log it",$Z116))</formula>
    </cfRule>
    <cfRule type="expression" dxfId="105" priority="55">
      <formula>ISNUMBER(SEARCH("Open rework",$Z116))</formula>
    </cfRule>
    <cfRule type="expression" dxfId="104" priority="56">
      <formula>ISNUMBER(SEARCH("Duplicate",$Z116))</formula>
    </cfRule>
    <cfRule type="expression" dxfId="103" priority="57">
      <formula>$Z116&lt;&gt;""</formula>
    </cfRule>
  </conditionalFormatting>
  <conditionalFormatting sqref="Z116:AC527 G2:V40 N3:N44 L41:V42 T65:V65 G41:J42 Z2:AL2 Z3 Z4:AL41 Z42:AK42 Z43:AL44 Z45:AK47 Z101:AE115 AB3:AL3 A2:F87 G65:Q65 Z48:AL72 Z73:AH100 W2:Y527 G43:V64 G66:V73 A74:V527">
    <cfRule type="expression" dxfId="102" priority="58">
      <formula>AND($B2&lt;&gt;"",MOD(ROW(),2)=0)</formula>
    </cfRule>
  </conditionalFormatting>
  <conditionalFormatting sqref="AA3">
    <cfRule type="expression" dxfId="101" priority="605">
      <formula>AND($B3&lt;&gt;"",MOD(ROW(),2)=0)</formula>
    </cfRule>
    <cfRule type="expression" dxfId="100" priority="606">
      <formula>$AJ3="Yes – needs DPO Approval to fix"</formula>
    </cfRule>
  </conditionalFormatting>
  <conditionalFormatting sqref="AA101:AA115 U2:Z115">
    <cfRule type="expression" dxfId="99" priority="15">
      <formula>$AJ2="Yes – needs QA to fix"</formula>
    </cfRule>
  </conditionalFormatting>
  <conditionalFormatting sqref="AA101:AA115">
    <cfRule type="expression" dxfId="98" priority="12">
      <formula>$AJ101="Yes – needs PBI Dev to fix"</formula>
    </cfRule>
    <cfRule type="expression" dxfId="97" priority="13">
      <formula>$AA101="Yes – needs QA to fix"</formula>
    </cfRule>
    <cfRule type="expression" dxfId="96" priority="14">
      <formula>$V101="Yes"</formula>
    </cfRule>
    <cfRule type="expression" dxfId="95" priority="371">
      <formula>LEFT($AA101,3)="Yes"</formula>
    </cfRule>
  </conditionalFormatting>
  <conditionalFormatting sqref="AA2:AE2 AB3:AE3 AA4:AE100">
    <cfRule type="expression" dxfId="94" priority="99">
      <formula>$AJ2="Yes – needs DPO Approval to fix"</formula>
    </cfRule>
  </conditionalFormatting>
  <conditionalFormatting sqref="AB101:AC115">
    <cfRule type="expression" dxfId="93" priority="379">
      <formula>ISNUMBER(SEARCH("Open rework",$AB101))</formula>
    </cfRule>
    <cfRule type="expression" dxfId="92" priority="380">
      <formula>ISNUMBER(SEARCH("Move old",$AB101))</formula>
    </cfRule>
    <cfRule type="expression" dxfId="91" priority="381">
      <formula>ISNUMBER(SEARCH("log it",$AB101))</formula>
    </cfRule>
    <cfRule type="expression" dxfId="90" priority="382">
      <formula>ISNUMBER(SEARCH("Duplicate",$AB101))</formula>
    </cfRule>
    <cfRule type="expression" dxfId="89" priority="383">
      <formula>$AB101&lt;&gt;""</formula>
    </cfRule>
  </conditionalFormatting>
  <conditionalFormatting sqref="AF2:AF115">
    <cfRule type="expression" dxfId="88" priority="71">
      <formula>$AF2="Yes"</formula>
    </cfRule>
  </conditionalFormatting>
  <conditionalFormatting sqref="AF73:AF100">
    <cfRule type="expression" dxfId="87" priority="129">
      <formula>LEFT($AF73,3)="Yes"</formula>
    </cfRule>
  </conditionalFormatting>
  <conditionalFormatting sqref="AG73:AG100">
    <cfRule type="expression" dxfId="86" priority="135">
      <formula>ISNUMBER(SEARCH("Open rework",$AG73))</formula>
    </cfRule>
    <cfRule type="expression" dxfId="85" priority="136">
      <formula>ISNUMBER(SEARCH("Move old",$AG73))</formula>
    </cfRule>
    <cfRule type="expression" dxfId="84" priority="137">
      <formula>ISNUMBER(SEARCH("log it",$AG73))</formula>
    </cfRule>
    <cfRule type="expression" dxfId="83" priority="138">
      <formula>ISNUMBER(SEARCH("Duplicate",$AG73))</formula>
    </cfRule>
    <cfRule type="expression" dxfId="82" priority="139">
      <formula>$AG73&lt;&gt;""</formula>
    </cfRule>
  </conditionalFormatting>
  <conditionalFormatting sqref="AJ2:AJ115">
    <cfRule type="expression" dxfId="81" priority="73">
      <formula>LEFT($AJ2,3)="Yes"</formula>
    </cfRule>
  </conditionalFormatting>
  <conditionalFormatting sqref="AK2:AK115">
    <cfRule type="expression" dxfId="80" priority="79">
      <formula>ISNUMBER(SEARCH("log it",$AK2))</formula>
    </cfRule>
    <cfRule type="expression" dxfId="79" priority="80">
      <formula>ISNUMBER(SEARCH("Open rework",$AK2))</formula>
    </cfRule>
    <cfRule type="expression" dxfId="78" priority="81">
      <formula>ISNUMBER(SEARCH("Move old",$AK2))</formula>
    </cfRule>
    <cfRule type="expression" dxfId="77" priority="82">
      <formula>ISNUMBER(SEARCH("Duplicate",$AK2))</formula>
    </cfRule>
    <cfRule type="expression" dxfId="76" priority="83">
      <formula>$AK2&lt;&gt;""</formula>
    </cfRule>
  </conditionalFormatting>
  <conditionalFormatting sqref="AL45:AL47">
    <cfRule type="expression" dxfId="75" priority="22">
      <formula>AND($B49&lt;&gt;"",MOD(ROW(),2)=0)</formula>
    </cfRule>
  </conditionalFormatting>
  <conditionalFormatting sqref="D88">
    <cfRule type="expression" dxfId="74" priority="618">
      <formula>AND($B50&lt;&gt;"",MOD(ROW(),2)=0)</formula>
    </cfRule>
  </conditionalFormatting>
  <conditionalFormatting sqref="R60">
    <cfRule type="expression" dxfId="73" priority="9">
      <formula>AND($B67&lt;&gt;"",MOD(ROW(),2)=0)</formula>
    </cfRule>
    <cfRule type="expression" dxfId="72" priority="10">
      <formula>$AJ67="Yes – needs PBI Dev to fix"</formula>
    </cfRule>
  </conditionalFormatting>
  <conditionalFormatting sqref="R60:S60">
    <cfRule type="expression" dxfId="71" priority="7">
      <formula>AND($B67&lt;&gt;"",MOD(ROW(),2)=0)</formula>
    </cfRule>
    <cfRule type="expression" dxfId="70" priority="8">
      <formula>$AJ67="Yes – needs PBI Dev to fix"</formula>
    </cfRule>
  </conditionalFormatting>
  <conditionalFormatting sqref="N70">
    <cfRule type="expression" dxfId="69" priority="6">
      <formula>$AD70="Yes – needs PBI Dev to fix"</formula>
    </cfRule>
  </conditionalFormatting>
  <conditionalFormatting sqref="N58">
    <cfRule type="expression" dxfId="68" priority="5">
      <formula>$AD58="Yes – needs PBI Dev to fix"</formula>
    </cfRule>
  </conditionalFormatting>
  <conditionalFormatting sqref="M91">
    <cfRule type="expression" dxfId="67" priority="4">
      <formula>$AF91="Yes – needs DB Dev to fix"</formula>
    </cfRule>
  </conditionalFormatting>
  <conditionalFormatting sqref="M80">
    <cfRule type="expression" dxfId="66" priority="3">
      <formula>$AF80="Yes – needs DB Dev to fix"</formula>
    </cfRule>
  </conditionalFormatting>
  <conditionalFormatting sqref="N82">
    <cfRule type="expression" dxfId="65" priority="2">
      <formula>$AD82="Yes – needs PBI Dev to fix"</formula>
    </cfRule>
  </conditionalFormatting>
  <conditionalFormatting sqref="M83">
    <cfRule type="expression" dxfId="64" priority="1">
      <formula>$AF83="Yes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ht="15">
      <c r="A6" s="42" t="s">
        <v>0</v>
      </c>
      <c r="B6" s="173" t="str">
        <f>IF($B$4="","",IFERROR(INDEX('Combined Delivery Data'!$A:$A,MATCH($B$4,'Combined Delivery Data'!$B:$B,0)),""))</f>
        <v/>
      </c>
      <c r="C6" s="176"/>
      <c r="D6" s="176"/>
      <c r="E6" s="177"/>
    </row>
    <row r="7" spans="1:5" ht="15">
      <c r="A7" s="42" t="s">
        <v>332</v>
      </c>
      <c r="B7" s="173" t="str">
        <f>IF($B$4="","",IFERROR(INDEX('Combined Delivery Data'!$C:$C,MATCH($B$4,'Combined Delivery Data'!$B:$B,0)),""))</f>
        <v/>
      </c>
      <c r="C7" s="176"/>
      <c r="D7" s="176"/>
      <c r="E7" s="177"/>
    </row>
    <row r="8" spans="1:5" ht="15">
      <c r="A8" s="42" t="s">
        <v>3</v>
      </c>
      <c r="B8" s="173" t="str">
        <f>IF($B$4="","",IFERROR(INDEX('Combined Delivery Data'!$D:$D,MATCH($B$4,'Combined Delivery Data'!$B:$B,0)),""))</f>
        <v/>
      </c>
      <c r="C8" s="176"/>
      <c r="D8" s="176"/>
      <c r="E8" s="177"/>
    </row>
    <row r="9" spans="1:5" ht="15">
      <c r="A9" s="42" t="s">
        <v>4</v>
      </c>
      <c r="B9" s="173" t="str">
        <f>IF($B$4="","",IFERROR(INDEX('Combined Delivery Data'!$E:$E,MATCH($B$4,'Combined Delivery Data'!$B:$B,0)),""))</f>
        <v/>
      </c>
      <c r="C9" s="176"/>
      <c r="D9" s="176"/>
      <c r="E9" s="177"/>
    </row>
    <row r="10" spans="1:5" ht="15">
      <c r="A10" s="42" t="s">
        <v>5</v>
      </c>
      <c r="B10" s="173" t="str">
        <f>IF($B$4="","",IFERROR(INDEX('Combined Delivery Data'!$F:$F,MATCH($B$4,'Combined Delivery Data'!$B:$B,0)),""))</f>
        <v/>
      </c>
      <c r="C10" s="176"/>
      <c r="D10" s="176"/>
      <c r="E10" s="177"/>
    </row>
    <row r="11" spans="1:5" ht="15">
      <c r="A11" s="42" t="s">
        <v>9</v>
      </c>
      <c r="B11" s="173" t="str">
        <f>IF($B$4="","",IFERROR(INDEX('Combined Delivery Data'!$J:$J,MATCH($B$4,'Combined Delivery Data'!$B:$B,0)),""))</f>
        <v/>
      </c>
      <c r="C11" s="176"/>
      <c r="D11" s="176"/>
      <c r="E11" s="177"/>
    </row>
    <row r="12" spans="1:5" ht="15">
      <c r="A12" s="42" t="s">
        <v>15</v>
      </c>
      <c r="B12" s="173" t="str">
        <f>IF($B$4="","",IFERROR(INDEX('Combined Delivery Data'!$P:$P,MATCH($B$4,'Combined Delivery Data'!$B:$B,0)),""))</f>
        <v/>
      </c>
      <c r="C12" s="176"/>
      <c r="D12" s="176"/>
      <c r="E12" s="177"/>
    </row>
    <row r="13" spans="1:5" ht="15">
      <c r="A13" s="42" t="s">
        <v>20</v>
      </c>
      <c r="B13" s="173" t="str">
        <f>IF($B$4="","",IFERROR(INDEX('Combined Delivery Data'!$U:$U,MATCH($B$4,'Combined Delivery Data'!$B:$B,0)),""))</f>
        <v/>
      </c>
      <c r="C13" s="176"/>
      <c r="D13" s="176"/>
      <c r="E13" s="177"/>
    </row>
    <row r="14" spans="1:5" ht="15">
      <c r="A14" s="42" t="s">
        <v>333</v>
      </c>
      <c r="B14" s="172" t="str">
        <f>IF($B$4="","",IFERROR(INDEX('Combined Delivery Data'!$K:$K,MATCH($B$4,'Combined Delivery Data'!$B:$B,0)),""))</f>
        <v/>
      </c>
      <c r="C14" s="176"/>
      <c r="D14" s="176"/>
      <c r="E14" s="177"/>
    </row>
    <row r="15" spans="1:5" ht="15">
      <c r="A15" s="42" t="s">
        <v>334</v>
      </c>
      <c r="B15" s="172" t="str">
        <f>IF($B$4="","",IFERROR(INDEX('Combined Delivery Data'!$L:$L,MATCH($B$4,'Combined Delivery Data'!$B:$B,0)),""))</f>
        <v/>
      </c>
      <c r="C15" s="176"/>
      <c r="D15" s="176"/>
      <c r="E15" s="177"/>
    </row>
    <row r="16" spans="1:5" ht="15">
      <c r="A16" s="42" t="s">
        <v>335</v>
      </c>
      <c r="B16" s="172" t="str">
        <f>IF($B$4="","",IFERROR(INDEX('Combined Delivery Data'!$M:$M,MATCH($B$4,'Combined Delivery Data'!$B:$B,0)),""))</f>
        <v/>
      </c>
      <c r="C16" s="176"/>
      <c r="D16" s="176"/>
      <c r="E16" s="177"/>
    </row>
    <row r="17" spans="1:5" ht="15">
      <c r="A17" s="42" t="s">
        <v>336</v>
      </c>
      <c r="B17" s="172" t="str">
        <f>IF($B$4="","",IFERROR(INDEX('Combined Delivery Data'!$O:$O,MATCH($B$4,'Combined Delivery Data'!$B:$B,0)),""))</f>
        <v/>
      </c>
      <c r="C17" s="176"/>
      <c r="D17" s="176"/>
      <c r="E17" s="177"/>
    </row>
    <row r="18" spans="1:5" ht="15">
      <c r="A18" s="42" t="s">
        <v>337</v>
      </c>
      <c r="B18" s="172" t="str">
        <f>IF($B$4="","",IFERROR(INDEX('Combined Delivery Data'!$Q:$Q,MATCH($B$4,'Combined Delivery Data'!$B:$B,0)),""))</f>
        <v/>
      </c>
      <c r="C18" s="176"/>
      <c r="D18" s="176"/>
      <c r="E18" s="177"/>
    </row>
    <row r="19" spans="1:5" ht="15">
      <c r="A19" s="42" t="s">
        <v>338</v>
      </c>
      <c r="B19" s="172" t="str">
        <f>IF($B$4="","",IFERROR(INDEX('Combined Delivery Data'!$R:$R,MATCH($B$4,'Combined Delivery Data'!$B:$B,0)),""))</f>
        <v/>
      </c>
      <c r="C19" s="176"/>
      <c r="D19" s="176"/>
      <c r="E19" s="177"/>
    </row>
    <row r="20" spans="1:5" ht="15">
      <c r="A20" s="42" t="s">
        <v>339</v>
      </c>
      <c r="B20" s="172" t="str">
        <f>IF($B$4="","",IFERROR(INDEX('Combined Delivery Data'!$S:$S,MATCH($B$4,'Combined Delivery Data'!$B:$B,0)),""))</f>
        <v/>
      </c>
      <c r="C20" s="176"/>
      <c r="D20" s="176"/>
      <c r="E20" s="177"/>
    </row>
    <row r="21" spans="1:5" ht="15">
      <c r="A21" s="42" t="s">
        <v>29</v>
      </c>
      <c r="B21" s="173" t="str">
        <f>IF($B$4="","",IFERROR(INDEX('Combined Delivery Data'!$T:$T,MATCH($B$4,'Combined Delivery Data'!$B:$B,0)),""))</f>
        <v/>
      </c>
      <c r="C21" s="176"/>
      <c r="D21" s="176"/>
      <c r="E21" s="177"/>
    </row>
    <row r="22" spans="1:5" ht="15">
      <c r="A22" s="42" t="s">
        <v>31</v>
      </c>
      <c r="B22" s="173" t="str">
        <f>IF($B$4="","",IFERROR(INDEX('Combined Delivery Data'!$V:$V,MATCH($B$4,'Combined Delivery Data'!$B:$B,0)),""))</f>
        <v/>
      </c>
      <c r="C22" s="176"/>
      <c r="D22" s="176"/>
      <c r="E22" s="177"/>
    </row>
    <row r="23" spans="1:5" ht="15">
      <c r="A23" s="42" t="s">
        <v>32</v>
      </c>
      <c r="B23" s="172" t="str">
        <f>IF($B$4="","",IFERROR(INDEX('Combined Delivery Data'!$W:$W,MATCH($B$4,'Combined Delivery Data'!$B:$B,0)),""))</f>
        <v/>
      </c>
      <c r="C23" s="176"/>
      <c r="D23" s="176"/>
      <c r="E23" s="177"/>
    </row>
    <row r="24" spans="1:5" ht="15">
      <c r="A24" s="42" t="s">
        <v>35</v>
      </c>
      <c r="B24" s="173" t="str">
        <f>IF($B$4="","",IFERROR(INDEX('Combined Delivery Data'!$X:$X,MATCH($B$4,'Combined Delivery Data'!$B:$B,0)),""))</f>
        <v/>
      </c>
      <c r="C24" s="176"/>
      <c r="D24" s="176"/>
      <c r="E24" s="177"/>
    </row>
    <row r="25" spans="1:5" ht="15">
      <c r="A25" s="42" t="s">
        <v>36</v>
      </c>
      <c r="B25" s="173" t="str">
        <f>IF($B$4="","",IFERROR(INDEX('Combined Delivery Data'!$Z:$Z,MATCH($B$4,'Combined Delivery Data'!$B:$B,0)),""))</f>
        <v/>
      </c>
      <c r="C25" s="176"/>
      <c r="D25" s="176"/>
      <c r="E25" s="177"/>
    </row>
    <row r="26" spans="1:5">
      <c r="A26" s="42" t="s">
        <v>340</v>
      </c>
      <c r="B26" s="173" t="str">
        <f>IF($B$4="","",IFERROR(INDEX('Rework Log'!$Q:$Q,MATCH($B$4,'Rework Log'!$P:$P,0)),""))</f>
        <v/>
      </c>
      <c r="C26" s="176"/>
      <c r="D26" s="176"/>
      <c r="E26" s="177"/>
    </row>
    <row r="27" spans="1:5">
      <c r="A27" s="42" t="s">
        <v>341</v>
      </c>
      <c r="B27" s="173" t="str">
        <f>IF($B$4="","",IFERROR(INDEX('Rework Log'!$R:$R,MATCH($B$4,'Rework Log'!$P:$P,0)),""))</f>
        <v/>
      </c>
      <c r="C27" s="176"/>
      <c r="D27" s="176"/>
      <c r="E27" s="177"/>
    </row>
    <row r="28" spans="1:5">
      <c r="A28" s="42" t="s">
        <v>342</v>
      </c>
      <c r="B28" s="173" t="str">
        <f>IF($B$4="","",IFERROR(INDEX('Rework Log'!$S:$S,MATCH($B$4,'Rework Log'!$P:$P,0)),""))</f>
        <v/>
      </c>
      <c r="C28" s="176"/>
      <c r="D28" s="176"/>
      <c r="E28" s="177"/>
    </row>
    <row r="29" spans="1:5">
      <c r="A29" s="42" t="s">
        <v>343</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5" activePane="bottomLeft" state="frozen"/>
      <selection pane="bottomLeft" activeCell="F38" sqref="F3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344</v>
      </c>
      <c r="B1" s="171"/>
      <c r="C1" s="171"/>
      <c r="D1" s="171"/>
      <c r="E1" s="171"/>
      <c r="F1" s="171"/>
      <c r="G1" s="171"/>
      <c r="H1" s="171"/>
      <c r="I1" s="171"/>
      <c r="J1" s="171"/>
      <c r="K1" s="171"/>
      <c r="L1" s="171"/>
      <c r="M1" s="171"/>
      <c r="P1" s="179" t="s">
        <v>345</v>
      </c>
      <c r="Q1" s="179"/>
      <c r="R1" s="179"/>
      <c r="S1" s="179"/>
      <c r="T1" s="179"/>
    </row>
    <row r="2" spans="1:20" ht="30" customHeight="1">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173</v>
      </c>
      <c r="D3" s="33" t="s">
        <v>182</v>
      </c>
      <c r="E3" s="33" t="s">
        <v>143</v>
      </c>
      <c r="F3" s="33" t="s">
        <v>359</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173</v>
      </c>
      <c r="D4" s="31" t="s">
        <v>182</v>
      </c>
      <c r="E4" s="31" t="s">
        <v>143</v>
      </c>
      <c r="F4" s="31" t="s">
        <v>360</v>
      </c>
      <c r="G4" s="31" t="s">
        <v>50</v>
      </c>
      <c r="H4" s="32"/>
      <c r="I4" s="32"/>
      <c r="J4" s="32">
        <v>46247</v>
      </c>
      <c r="K4" s="31" t="s">
        <v>60</v>
      </c>
      <c r="L4" s="31" t="s">
        <v>361</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3" t="s">
        <v>127</v>
      </c>
      <c r="B5" s="32">
        <v>46238</v>
      </c>
      <c r="C5" s="31" t="s">
        <v>173</v>
      </c>
      <c r="D5" s="31" t="s">
        <v>182</v>
      </c>
      <c r="E5" s="31" t="s">
        <v>129</v>
      </c>
      <c r="F5" s="31" t="s">
        <v>362</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3" t="s">
        <v>140</v>
      </c>
      <c r="B6" s="32">
        <v>46234</v>
      </c>
      <c r="C6" s="31" t="s">
        <v>173</v>
      </c>
      <c r="D6" s="31" t="s">
        <v>182</v>
      </c>
      <c r="E6" s="31" t="s">
        <v>129</v>
      </c>
      <c r="F6" s="31" t="s">
        <v>363</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3" t="s">
        <v>134</v>
      </c>
      <c r="B7" s="32">
        <v>46239</v>
      </c>
      <c r="C7" s="31" t="s">
        <v>173</v>
      </c>
      <c r="D7" s="31" t="s">
        <v>182</v>
      </c>
      <c r="E7" s="31" t="s">
        <v>129</v>
      </c>
      <c r="F7" s="31" t="s">
        <v>364</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3" t="s">
        <v>134</v>
      </c>
      <c r="B8" s="32">
        <v>46246</v>
      </c>
      <c r="C8" s="31" t="s">
        <v>173</v>
      </c>
      <c r="D8" s="31" t="s">
        <v>182</v>
      </c>
      <c r="E8" s="31" t="s">
        <v>129</v>
      </c>
      <c r="F8" s="31" t="s">
        <v>365</v>
      </c>
      <c r="G8" s="31" t="s">
        <v>50</v>
      </c>
      <c r="H8" s="32"/>
      <c r="I8" s="32"/>
      <c r="J8" s="32">
        <v>46251</v>
      </c>
      <c r="K8" s="31"/>
      <c r="L8" s="31"/>
      <c r="M8" s="3" t="str">
        <f t="shared" ca="1" si="0"/>
        <v>Fixed</v>
      </c>
      <c r="N8" t="s">
        <v>366</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173</v>
      </c>
      <c r="D9" s="31" t="s">
        <v>182</v>
      </c>
      <c r="E9" s="31" t="s">
        <v>143</v>
      </c>
      <c r="F9" s="31" t="s">
        <v>367</v>
      </c>
      <c r="G9" s="31" t="s">
        <v>50</v>
      </c>
      <c r="H9" s="32"/>
      <c r="I9" s="32"/>
      <c r="J9" s="32">
        <v>46254</v>
      </c>
      <c r="K9" s="31"/>
      <c r="L9" s="31"/>
      <c r="M9" s="3" t="str">
        <f t="shared" ca="1" si="0"/>
        <v>Fixed</v>
      </c>
      <c r="N9" t="s">
        <v>366</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173</v>
      </c>
      <c r="D10" s="31" t="s">
        <v>182</v>
      </c>
      <c r="E10" s="31" t="s">
        <v>143</v>
      </c>
      <c r="F10" s="31" t="s">
        <v>360</v>
      </c>
      <c r="G10" s="31" t="s">
        <v>50</v>
      </c>
      <c r="H10" s="32"/>
      <c r="I10" s="32"/>
      <c r="J10" s="32">
        <v>46252</v>
      </c>
      <c r="K10" s="31"/>
      <c r="L10" s="31"/>
      <c r="M10" s="3" t="str">
        <f t="shared" ca="1" si="0"/>
        <v>Fixed</v>
      </c>
      <c r="N10" t="s">
        <v>366</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3" t="s">
        <v>134</v>
      </c>
      <c r="B11" s="32">
        <v>46254</v>
      </c>
      <c r="C11" s="31" t="s">
        <v>173</v>
      </c>
      <c r="D11" s="31" t="s">
        <v>182</v>
      </c>
      <c r="E11" s="31" t="s">
        <v>129</v>
      </c>
      <c r="F11" s="31" t="s">
        <v>362</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3" t="s">
        <v>149</v>
      </c>
      <c r="B12" s="32">
        <v>46254</v>
      </c>
      <c r="C12" s="31" t="s">
        <v>173</v>
      </c>
      <c r="D12" s="31" t="s">
        <v>182</v>
      </c>
      <c r="E12" s="31" t="s">
        <v>143</v>
      </c>
      <c r="F12" s="31" t="s">
        <v>368</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3" t="s">
        <v>138</v>
      </c>
      <c r="B13" s="32">
        <v>46258</v>
      </c>
      <c r="C13" s="31" t="s">
        <v>173</v>
      </c>
      <c r="D13" s="31" t="s">
        <v>182</v>
      </c>
      <c r="E13" s="31" t="s">
        <v>129</v>
      </c>
      <c r="F13" s="31" t="s">
        <v>370</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173</v>
      </c>
      <c r="D14" s="31" t="s">
        <v>189</v>
      </c>
      <c r="E14" s="31" t="s">
        <v>143</v>
      </c>
      <c r="F14" s="31" t="s">
        <v>371</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c r="A15" s="31" t="s">
        <v>155</v>
      </c>
      <c r="B15" s="32">
        <v>46258</v>
      </c>
      <c r="C15" s="31" t="s">
        <v>173</v>
      </c>
      <c r="D15" s="31" t="s">
        <v>189</v>
      </c>
      <c r="E15" s="31" t="s">
        <v>143</v>
      </c>
      <c r="F15" s="31" t="s">
        <v>372</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173</v>
      </c>
      <c r="D16" s="31" t="s">
        <v>182</v>
      </c>
      <c r="E16" s="31" t="s">
        <v>143</v>
      </c>
      <c r="F16" s="31" t="s">
        <v>373</v>
      </c>
      <c r="G16" s="31" t="s">
        <v>50</v>
      </c>
      <c r="H16" s="32"/>
      <c r="I16" s="32"/>
      <c r="J16" s="32">
        <v>46258</v>
      </c>
      <c r="K16" s="31"/>
      <c r="L16" s="31"/>
      <c r="M16" s="3" t="str">
        <f t="shared" ca="1" si="0"/>
        <v>Fixed</v>
      </c>
      <c r="N16" t="s">
        <v>369</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c r="A17" s="31" t="s">
        <v>145</v>
      </c>
      <c r="B17" s="32">
        <v>46260</v>
      </c>
      <c r="C17" s="31" t="s">
        <v>173</v>
      </c>
      <c r="D17" s="31" t="s">
        <v>189</v>
      </c>
      <c r="E17" s="31" t="s">
        <v>143</v>
      </c>
      <c r="F17" s="31" t="s">
        <v>374</v>
      </c>
      <c r="G17" s="31" t="s">
        <v>50</v>
      </c>
      <c r="H17" s="32"/>
      <c r="I17" s="32"/>
      <c r="J17" s="32"/>
      <c r="K17" s="31"/>
      <c r="L17" s="31"/>
      <c r="M17" s="3"/>
      <c r="S17" s="28"/>
    </row>
    <row r="18" spans="1:20">
      <c r="A18" s="33" t="s">
        <v>181</v>
      </c>
      <c r="B18" s="32">
        <v>46261</v>
      </c>
      <c r="C18" s="31" t="s">
        <v>173</v>
      </c>
      <c r="D18" s="31" t="s">
        <v>182</v>
      </c>
      <c r="E18" s="31" t="s">
        <v>129</v>
      </c>
      <c r="F18" s="31" t="s">
        <v>375</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173</v>
      </c>
      <c r="D19" s="31" t="s">
        <v>189</v>
      </c>
      <c r="E19" s="31" t="s">
        <v>143</v>
      </c>
      <c r="F19" s="31" t="s">
        <v>376</v>
      </c>
      <c r="G19" s="31" t="s">
        <v>50</v>
      </c>
      <c r="H19" s="32"/>
      <c r="I19" s="32"/>
      <c r="J19" s="32">
        <v>46266</v>
      </c>
      <c r="K19" s="31"/>
      <c r="L19" s="31"/>
      <c r="M19" s="3" t="str">
        <f t="shared" ca="1" si="0"/>
        <v>Fixed</v>
      </c>
      <c r="N19" t="s">
        <v>366</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377</v>
      </c>
      <c r="B20" s="32">
        <v>46265</v>
      </c>
      <c r="C20" s="31" t="s">
        <v>173</v>
      </c>
      <c r="D20" s="31" t="s">
        <v>189</v>
      </c>
      <c r="E20" s="31" t="s">
        <v>47</v>
      </c>
      <c r="F20" s="31" t="s">
        <v>378</v>
      </c>
      <c r="G20" s="31" t="s">
        <v>50</v>
      </c>
      <c r="H20" s="32"/>
      <c r="I20" s="32">
        <v>46265</v>
      </c>
      <c r="J20" s="32">
        <v>46265</v>
      </c>
      <c r="K20" s="31" t="s">
        <v>77</v>
      </c>
      <c r="L20" s="31" t="s">
        <v>379</v>
      </c>
      <c r="M20" s="3" t="str">
        <f t="shared" ca="1" si="0"/>
        <v>Fixed</v>
      </c>
      <c r="N20" t="s">
        <v>369</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175</v>
      </c>
      <c r="B21" s="32">
        <v>46265</v>
      </c>
      <c r="C21" s="31" t="s">
        <v>173</v>
      </c>
      <c r="D21" s="31" t="s">
        <v>182</v>
      </c>
      <c r="E21" s="31" t="s">
        <v>47</v>
      </c>
      <c r="F21" s="31" t="s">
        <v>380</v>
      </c>
      <c r="G21" s="31" t="s">
        <v>50</v>
      </c>
      <c r="H21" s="32"/>
      <c r="I21" s="32">
        <v>46266</v>
      </c>
      <c r="J21" s="32">
        <v>46266</v>
      </c>
      <c r="K21" s="31"/>
      <c r="L21" s="31" t="s">
        <v>381</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3" t="s">
        <v>138</v>
      </c>
      <c r="B22" s="32">
        <v>46265</v>
      </c>
      <c r="C22" s="31" t="s">
        <v>173</v>
      </c>
      <c r="D22" s="31" t="s">
        <v>182</v>
      </c>
      <c r="E22" s="31" t="s">
        <v>129</v>
      </c>
      <c r="F22" s="31" t="s">
        <v>382</v>
      </c>
      <c r="G22" s="31" t="s">
        <v>50</v>
      </c>
      <c r="H22" s="32"/>
      <c r="I22" s="32"/>
      <c r="J22" s="32">
        <v>46266</v>
      </c>
      <c r="K22" s="31" t="s">
        <v>59</v>
      </c>
      <c r="L22" s="31"/>
      <c r="M22" s="3" t="str">
        <f t="shared" ca="1" si="0"/>
        <v>Fixed</v>
      </c>
      <c r="N22" t="s">
        <v>369</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173</v>
      </c>
      <c r="D23" s="31" t="s">
        <v>189</v>
      </c>
      <c r="E23" s="31" t="s">
        <v>47</v>
      </c>
      <c r="F23" s="31" t="s">
        <v>383</v>
      </c>
      <c r="G23" s="31" t="s">
        <v>50</v>
      </c>
      <c r="H23" s="32"/>
      <c r="I23" s="32">
        <v>46267</v>
      </c>
      <c r="J23" s="32">
        <v>46268</v>
      </c>
      <c r="K23" s="31" t="s">
        <v>46</v>
      </c>
      <c r="L23" s="31" t="s">
        <v>381</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173</v>
      </c>
      <c r="D24" s="31" t="s">
        <v>189</v>
      </c>
      <c r="E24" s="31" t="s">
        <v>47</v>
      </c>
      <c r="F24" s="31" t="s">
        <v>384</v>
      </c>
      <c r="G24" s="31" t="s">
        <v>50</v>
      </c>
      <c r="H24" s="32"/>
      <c r="I24" s="170">
        <v>46267</v>
      </c>
      <c r="J24" s="32">
        <v>46268</v>
      </c>
      <c r="K24" s="31" t="s">
        <v>46</v>
      </c>
      <c r="L24" s="31" t="s">
        <v>381</v>
      </c>
      <c r="M24" s="3" t="str">
        <f t="shared" ca="1" si="0"/>
        <v>Fixed</v>
      </c>
      <c r="N24" t="s">
        <v>369</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173</v>
      </c>
      <c r="D25" s="31" t="s">
        <v>189</v>
      </c>
      <c r="E25" s="31" t="s">
        <v>47</v>
      </c>
      <c r="F25" s="76" t="s">
        <v>385</v>
      </c>
      <c r="G25" s="31" t="s">
        <v>50</v>
      </c>
      <c r="H25" s="32"/>
      <c r="I25" s="32">
        <v>46267</v>
      </c>
      <c r="J25" s="32">
        <v>46268</v>
      </c>
      <c r="K25" s="31" t="s">
        <v>46</v>
      </c>
      <c r="L25" s="31" t="s">
        <v>381</v>
      </c>
      <c r="M25" s="3" t="str">
        <f t="shared" ca="1" si="0"/>
        <v>Fixed</v>
      </c>
      <c r="N25" s="33" t="s">
        <v>369</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3" t="s">
        <v>188</v>
      </c>
      <c r="B26" s="32">
        <v>46267</v>
      </c>
      <c r="C26" s="31" t="s">
        <v>173</v>
      </c>
      <c r="D26" s="31" t="s">
        <v>189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3" t="s">
        <v>181</v>
      </c>
      <c r="B27" s="32">
        <v>46267</v>
      </c>
      <c r="C27" s="31" t="s">
        <v>173</v>
      </c>
      <c r="D27" s="31" t="s">
        <v>182</v>
      </c>
      <c r="E27" s="31" t="s">
        <v>129</v>
      </c>
      <c r="F27" s="31" t="s">
        <v>375</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173</v>
      </c>
      <c r="D28" s="31" t="s">
        <v>189</v>
      </c>
      <c r="E28" s="31" t="s">
        <v>143</v>
      </c>
      <c r="F28" s="31" t="s">
        <v>387</v>
      </c>
      <c r="G28" s="31" t="s">
        <v>50</v>
      </c>
      <c r="H28" s="32"/>
      <c r="I28" s="32"/>
      <c r="J28" s="32">
        <v>46267</v>
      </c>
      <c r="K28" s="31" t="s">
        <v>77</v>
      </c>
      <c r="L28" s="31" t="s">
        <v>388</v>
      </c>
      <c r="M28" s="3" t="str">
        <f t="shared" ca="1" si="0"/>
        <v>Fixed</v>
      </c>
      <c r="N28" t="s">
        <v>369</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173</v>
      </c>
      <c r="D29" s="31" t="s">
        <v>189</v>
      </c>
      <c r="E29" s="31" t="s">
        <v>129</v>
      </c>
      <c r="F29" s="31" t="s">
        <v>387</v>
      </c>
      <c r="G29" s="31" t="s">
        <v>50</v>
      </c>
      <c r="H29" s="32"/>
      <c r="I29" s="32"/>
      <c r="J29" s="32">
        <v>46267</v>
      </c>
      <c r="K29" s="31" t="s">
        <v>77</v>
      </c>
      <c r="L29" s="114"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173</v>
      </c>
      <c r="D30" s="31" t="s">
        <v>189</v>
      </c>
      <c r="E30" s="31" t="s">
        <v>129</v>
      </c>
      <c r="F30" s="31" t="s">
        <v>387</v>
      </c>
      <c r="G30" s="31" t="s">
        <v>50</v>
      </c>
      <c r="H30" s="32"/>
      <c r="I30" s="32"/>
      <c r="J30" s="32">
        <v>46267</v>
      </c>
      <c r="K30" s="31" t="s">
        <v>77</v>
      </c>
      <c r="L30" s="114"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3" t="s">
        <v>181</v>
      </c>
      <c r="B31" s="32">
        <v>46267</v>
      </c>
      <c r="C31" s="31" t="s">
        <v>173</v>
      </c>
      <c r="D31" s="31" t="s">
        <v>182</v>
      </c>
      <c r="E31" s="31" t="s">
        <v>129</v>
      </c>
      <c r="F31" s="31" t="s">
        <v>389</v>
      </c>
      <c r="G31" s="31" t="s">
        <v>50</v>
      </c>
      <c r="H31" s="32"/>
      <c r="I31" s="32"/>
      <c r="J31" s="32">
        <v>46267</v>
      </c>
      <c r="K31" s="31" t="s">
        <v>154</v>
      </c>
      <c r="L31" s="31"/>
      <c r="M31" s="3" t="str">
        <f t="shared" ca="1" si="0"/>
        <v>Fixed</v>
      </c>
      <c r="N31" t="s">
        <v>369</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173</v>
      </c>
      <c r="D32" s="31" t="s">
        <v>182</v>
      </c>
      <c r="E32" s="31" t="s">
        <v>47</v>
      </c>
      <c r="F32" s="31" t="s">
        <v>390</v>
      </c>
      <c r="G32" s="31" t="s">
        <v>50</v>
      </c>
      <c r="H32" s="32"/>
      <c r="I32" s="32">
        <v>46269</v>
      </c>
      <c r="J32" s="32">
        <v>46269</v>
      </c>
      <c r="K32" s="31"/>
      <c r="L32" s="31" t="s">
        <v>381</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173</v>
      </c>
      <c r="D33" s="31" t="s">
        <v>182</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173</v>
      </c>
      <c r="D34" s="31" t="s">
        <v>182</v>
      </c>
      <c r="E34" s="31" t="s">
        <v>47</v>
      </c>
      <c r="F34" s="31" t="s">
        <v>392</v>
      </c>
      <c r="G34" s="31" t="s">
        <v>50</v>
      </c>
      <c r="H34" s="32"/>
      <c r="I34" s="32">
        <v>46274</v>
      </c>
      <c r="J34" s="32">
        <v>46274</v>
      </c>
      <c r="K34" s="31"/>
      <c r="L34" s="31" t="s">
        <v>381</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173</v>
      </c>
      <c r="D35" s="31" t="s">
        <v>189</v>
      </c>
      <c r="E35" s="31" t="s">
        <v>47</v>
      </c>
      <c r="F35" s="76" t="s">
        <v>393</v>
      </c>
      <c r="G35" s="31" t="s">
        <v>50</v>
      </c>
      <c r="H35" s="32"/>
      <c r="I35" s="32">
        <v>46275</v>
      </c>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181</v>
      </c>
      <c r="B36" s="32">
        <v>46275</v>
      </c>
      <c r="C36" s="31" t="s">
        <v>173</v>
      </c>
      <c r="D36" s="31" t="s">
        <v>182</v>
      </c>
      <c r="E36" s="31" t="s">
        <v>129</v>
      </c>
      <c r="F36" s="31" t="s">
        <v>395</v>
      </c>
      <c r="G36" s="31" t="s">
        <v>50</v>
      </c>
      <c r="H36" s="32"/>
      <c r="I36" s="32"/>
      <c r="J36" s="32">
        <v>46276</v>
      </c>
      <c r="K36" s="31" t="s">
        <v>154</v>
      </c>
      <c r="L36" s="31"/>
      <c r="M36" s="3" t="str">
        <f t="shared" ca="1" si="0"/>
        <v>Fixed</v>
      </c>
      <c r="N36" t="s">
        <v>369</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173</v>
      </c>
      <c r="D37" s="31" t="s">
        <v>182</v>
      </c>
      <c r="E37" s="31" t="s">
        <v>129</v>
      </c>
      <c r="F37" s="31" t="s">
        <v>396</v>
      </c>
      <c r="G37" s="31" t="s">
        <v>53</v>
      </c>
      <c r="H37" s="32"/>
      <c r="I37" s="32"/>
      <c r="J37" s="32"/>
      <c r="K37" s="31"/>
      <c r="L37" s="31"/>
      <c r="M37" s="3" t="str">
        <f t="shared" ca="1" si="0"/>
        <v>UNCLAIMED 7 d</v>
      </c>
      <c r="N37" t="s">
        <v>369</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181</v>
      </c>
      <c r="B38" s="32">
        <v>46279</v>
      </c>
      <c r="C38" s="31" t="s">
        <v>173</v>
      </c>
      <c r="D38" s="31" t="s">
        <v>182</v>
      </c>
      <c r="E38" s="31" t="s">
        <v>129</v>
      </c>
      <c r="F38" s="31" t="s">
        <v>397</v>
      </c>
      <c r="G38" s="31" t="s">
        <v>53</v>
      </c>
      <c r="H38" s="32"/>
      <c r="I38" s="32"/>
      <c r="J38" s="32"/>
      <c r="K38" s="31"/>
      <c r="L38" s="31"/>
      <c r="M38" s="3" t="str">
        <f t="shared" ca="1" si="0"/>
        <v>UNCLAIMED 3 d</v>
      </c>
      <c r="N38" t="s">
        <v>369</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193</v>
      </c>
      <c r="B39" s="32">
        <v>46279</v>
      </c>
      <c r="C39" s="31" t="s">
        <v>173</v>
      </c>
      <c r="D39" s="31" t="s">
        <v>189</v>
      </c>
      <c r="E39" s="31" t="s">
        <v>143</v>
      </c>
      <c r="F39" s="31" t="s">
        <v>398</v>
      </c>
      <c r="G39" s="31" t="s">
        <v>50</v>
      </c>
      <c r="H39" s="32"/>
      <c r="I39" s="32">
        <v>46281</v>
      </c>
      <c r="J39" s="32">
        <v>46281</v>
      </c>
      <c r="K39" s="31" t="s">
        <v>77</v>
      </c>
      <c r="L39" s="31" t="s">
        <v>399</v>
      </c>
      <c r="M39" s="3" t="str">
        <f t="shared" ca="1" si="0"/>
        <v>Fixed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173</v>
      </c>
      <c r="D40" s="31" t="s">
        <v>182</v>
      </c>
      <c r="E40" s="31" t="s">
        <v>47</v>
      </c>
      <c r="F40" s="31" t="s">
        <v>400</v>
      </c>
      <c r="G40" s="31" t="s">
        <v>53</v>
      </c>
      <c r="H40" s="32"/>
      <c r="I40" s="32"/>
      <c r="J40" s="32"/>
      <c r="K40" s="31"/>
      <c r="L40" s="31"/>
      <c r="M40" s="3" t="str">
        <f t="shared" ca="1" si="0"/>
        <v>UNCLAIMED 2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t="s">
        <v>206</v>
      </c>
      <c r="B41" s="32">
        <v>46281</v>
      </c>
      <c r="C41" s="31" t="s">
        <v>173</v>
      </c>
      <c r="D41" s="31" t="s">
        <v>189</v>
      </c>
      <c r="E41" s="31" t="s">
        <v>203</v>
      </c>
      <c r="F41" s="31" t="s">
        <v>401</v>
      </c>
      <c r="G41" s="31" t="s">
        <v>50</v>
      </c>
      <c r="H41" s="32"/>
      <c r="I41" s="32"/>
      <c r="J41" s="32"/>
      <c r="K41" s="31"/>
      <c r="L41" s="31"/>
      <c r="M41" s="3" t="str">
        <f t="shared" ca="1" si="0"/>
        <v>UNCLAIMED 1 d</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t="s">
        <v>212</v>
      </c>
      <c r="B42" s="32">
        <v>46282</v>
      </c>
      <c r="C42" s="31" t="s">
        <v>173</v>
      </c>
      <c r="D42" s="31" t="s">
        <v>182</v>
      </c>
      <c r="E42" s="31" t="s">
        <v>47</v>
      </c>
      <c r="F42" s="31" t="s">
        <v>402</v>
      </c>
      <c r="G42" s="31" t="s">
        <v>53</v>
      </c>
      <c r="H42" s="32"/>
      <c r="I42" s="32"/>
      <c r="J42" s="32"/>
      <c r="K42" s="31"/>
      <c r="L42" s="31"/>
      <c r="M42" s="3" t="str">
        <f t="shared" ca="1" si="0"/>
        <v>UNCLAIMED 0 d</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173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173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173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173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173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173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173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173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173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173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173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0</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173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173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173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173</v>
      </c>
      <c r="D57" s="31"/>
      <c r="E57" s="31"/>
      <c r="F57" s="31"/>
      <c r="G57" s="31" t="s">
        <v>53</v>
      </c>
      <c r="H57" s="32"/>
      <c r="I57" s="32"/>
      <c r="J57" s="32"/>
      <c r="K57" s="31"/>
      <c r="L57" s="31"/>
      <c r="M57" s="3" t="str">
        <f t="shared" ca="1" si="0"/>
        <v/>
      </c>
      <c r="P57" t="str">
        <f>'Combined Delivery Data'!B57</f>
        <v>RPT_02_High Bill Investigations</v>
      </c>
      <c r="Q57">
        <f>IF($P57="","",COUNTIF($A$3:$A$498,$P57))</f>
        <v>1</v>
      </c>
      <c r="R57">
        <f>IF($P57="","",SUMPRODUCT(($A$3:$A$498=$P57)*($G$3:$G$498&lt;&gt;"Yes")*($G$3:$G$498&lt;&gt;"Did not pass re-test")))</f>
        <v>0</v>
      </c>
      <c r="S57" s="28">
        <f>IF($P57="","",IF(SUMPRODUCT(MAX(($A$3:$A$498=$P57)*ROW($A$3:$A$498)))=0,"",INDEX($B:$B,SUMPRODUCT(MAX(($A$3:$A$498=$P57)*ROW($A$3:$A$498))))))</f>
        <v>46281</v>
      </c>
      <c r="T57" t="str">
        <f>IF($P57="","",IF(SUMPRODUCT(MAX(($A$3:$A$498=$P57)*ROW($A$3:$A$498)))=0,"",INDEX($C:$C,SUMPRODUCT(MAX(($A$3:$A$498=$P57)*ROW($A$3:$A$498))))&amp;" -&gt; "&amp;INDEX($D:$D,SUMPRODUCT(MAX(($A$3:$A$498=$P57)*ROW($A$3:$A$498))))))</f>
        <v>QA -&gt; PBI Dev</v>
      </c>
    </row>
    <row r="58" spans="1:20">
      <c r="A58" s="31"/>
      <c r="B58" s="32"/>
      <c r="C58" s="31" t="s">
        <v>173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173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173</v>
      </c>
      <c r="D60" s="31"/>
      <c r="E60" s="31"/>
      <c r="F60" s="31"/>
      <c r="G60" s="31" t="s">
        <v>53</v>
      </c>
      <c r="H60" s="32"/>
      <c r="I60" s="32"/>
      <c r="J60" s="32"/>
      <c r="K60" s="31"/>
      <c r="L60" s="31"/>
      <c r="M60" s="3" t="str">
        <f t="shared" ca="1" si="0"/>
        <v/>
      </c>
      <c r="P60" t="str">
        <f>'Combined Delivery Data'!B60</f>
        <v>RPT_02_New York Incident</v>
      </c>
      <c r="Q60">
        <f>IF($P60="","",COUNTIF($A$3:$A$498,$P60))</f>
        <v>1</v>
      </c>
      <c r="R60">
        <f>IF($P60="","",SUMPRODUCT(($A$3:$A$498=$P60)*($G$3:$G$498&lt;&gt;"Yes")*($G$3:$G$498&lt;&gt;"Did not pass re-test")))</f>
        <v>1</v>
      </c>
      <c r="S60" s="28">
        <f>IF($P60="","",IF(SUMPRODUCT(MAX(($A$3:$A$498=$P60)*ROW($A$3:$A$498)))=0,"",INDEX($B:$B,SUMPRODUCT(MAX(($A$3:$A$498=$P60)*ROW($A$3:$A$498))))))</f>
        <v>46282</v>
      </c>
      <c r="T60" t="str">
        <f>IF($P60="","",IF(SUMPRODUCT(MAX(($A$3:$A$498=$P60)*ROW($A$3:$A$498)))=0,"",INDEX($C:$C,SUMPRODUCT(MAX(($A$3:$A$498=$P60)*ROW($A$3:$A$498))))&amp;" -&gt; "&amp;INDEX($D:$D,SUMPRODUCT(MAX(($A$3:$A$498=$P60)*ROW($A$3:$A$498))))))</f>
        <v>QA -&gt; DB Dev</v>
      </c>
    </row>
    <row r="61" spans="1:20">
      <c r="A61" s="31"/>
      <c r="B61" s="32"/>
      <c r="C61" s="31" t="s">
        <v>173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173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173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173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173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173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173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173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173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173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173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173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173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173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173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173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173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173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173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173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173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173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173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173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173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173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173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173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456</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173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456</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173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456</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173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456</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173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456</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173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456</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173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456</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173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456</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173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456</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173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456</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173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456</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173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456</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173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456</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173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456</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173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456</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173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456</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173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456</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173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456</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173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456</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173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456</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173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456</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173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456</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173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456</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173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456</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173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456</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173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456</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173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456</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173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456</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173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456</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173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456</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173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456</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173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456</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173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456</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173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456</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173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456</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173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456</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173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456</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173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456</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173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456</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173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456</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173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456</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173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456</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173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456</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173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456</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173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456</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173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456</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173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456</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173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456</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173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456</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173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456</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173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456</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173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456</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173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456</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173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456</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173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456</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173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456</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173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456</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173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456</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456</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173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456</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173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456</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173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456</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173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456</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173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456</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173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456</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173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456</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173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456</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173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456</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173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456</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173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456</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173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456</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173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456</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173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456</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173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456</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173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456</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173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456</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173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456</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173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456</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173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456</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173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456</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173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456</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173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456</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173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456</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173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456</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173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456</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173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456</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173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456</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173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456</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173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456</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173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456</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173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456</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173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456</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173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456</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173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456</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173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456</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173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456</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173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456</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173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456</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173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456</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173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456</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173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456</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173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456</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173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456</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173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456</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173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456</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173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456</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173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456</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173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456</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173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456</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173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456</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456</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456</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456</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456</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456</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456</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456</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456</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456</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456</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456</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456</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456</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456</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456</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456</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456</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456</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456</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456</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456</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456</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456</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456</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456</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456</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456</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456</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456</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456</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456</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456</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456</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456</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456</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456</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456</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456</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456</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456</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456</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456</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456</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456</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456</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456</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456</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456</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456</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456</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456</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456</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456</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456</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456</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456</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456</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456</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456</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456</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456</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456</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456</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456</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456</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456</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456</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456</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456</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456</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456</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456</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456</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456</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456</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456</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456</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456</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456</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456</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456</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456</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456</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456</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456</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456</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456</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456</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456</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456</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456</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456</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456</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456</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456</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456</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456</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456</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456</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456</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456</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456</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456</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456</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456</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456</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456</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456</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456</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456</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456</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456</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456</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456</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456</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456</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456</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456</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456</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456</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456</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456</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456</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456</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456</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456</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456</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456</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456</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456</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456</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456</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456</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456</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456</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456</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456</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456</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456</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456</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456</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456</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456</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456</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456</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456</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456</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456</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456</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456</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456</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456</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456</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456</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456</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456</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456</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456</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456</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456</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456</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456</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456</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456</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456</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456</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456</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456</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456</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456</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456</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456</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456</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456</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456</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456</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456</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456</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456</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456</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456</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456</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456</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456</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456</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456</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456</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456</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456</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456</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456</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456</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456</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456</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456</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456</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456</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456</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456</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456</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456</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456</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456</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456</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456</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456</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456</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456</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456</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456</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456</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456</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456</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456</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456</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456</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456</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456</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456</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456</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456</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456</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456</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456</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456</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456</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456</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456</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456</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456</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456</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456</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456</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456</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456</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456</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456</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456</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456</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456</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456</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456</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456</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456</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456</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456</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456</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456</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456</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456</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456</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456</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456</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456</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456</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456</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456</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456</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456</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456</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456</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456</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456</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456</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456</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456</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456</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456</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456</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456</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456</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456</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456</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456</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456</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456</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456</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456</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456</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456</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456</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456</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456</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456</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456</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456</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456</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456</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456</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456</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456</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456</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456</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456</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456</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456</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456</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456</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456</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ht="15">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456</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403</v>
      </c>
      <c r="B1" s="175"/>
      <c r="C1" s="175"/>
    </row>
    <row r="2" spans="1:8" ht="14.25" customHeight="1">
      <c r="A2" s="8" t="s">
        <v>0</v>
      </c>
      <c r="B2" s="8" t="s">
        <v>404</v>
      </c>
      <c r="C2" s="8" t="s">
        <v>405</v>
      </c>
      <c r="E2" t="s">
        <v>406</v>
      </c>
      <c r="F2" t="s">
        <v>407</v>
      </c>
      <c r="G2" t="s">
        <v>408</v>
      </c>
      <c r="H2" t="s">
        <v>409</v>
      </c>
    </row>
    <row r="3" spans="1:8" ht="14.25" customHeight="1">
      <c r="A3" s="11" t="s">
        <v>40</v>
      </c>
      <c r="B3" s="11">
        <v>8</v>
      </c>
      <c r="C3" s="12">
        <v>46142</v>
      </c>
      <c r="E3" t="s">
        <v>410</v>
      </c>
      <c r="F3" s="28">
        <v>46233</v>
      </c>
      <c r="G3" s="28">
        <v>46274</v>
      </c>
    </row>
    <row r="4" spans="1:8" ht="14.25" customHeight="1">
      <c r="A4" s="11" t="s">
        <v>40</v>
      </c>
      <c r="B4" s="11">
        <v>10</v>
      </c>
      <c r="C4" s="12">
        <v>46172</v>
      </c>
      <c r="E4" t="s">
        <v>411</v>
      </c>
      <c r="F4" s="28">
        <v>46264</v>
      </c>
      <c r="G4" s="28">
        <v>46295</v>
      </c>
    </row>
    <row r="5" spans="1:8" ht="14.25" customHeight="1">
      <c r="A5" s="11" t="s">
        <v>40</v>
      </c>
      <c r="B5" s="11">
        <v>9</v>
      </c>
      <c r="C5" s="12">
        <v>46203</v>
      </c>
      <c r="E5" t="s">
        <v>412</v>
      </c>
      <c r="F5" s="28">
        <v>46295</v>
      </c>
      <c r="G5" s="28">
        <v>46325</v>
      </c>
    </row>
    <row r="6" spans="1:8" ht="14.25" customHeight="1">
      <c r="A6" s="11" t="s">
        <v>126</v>
      </c>
      <c r="B6" s="11">
        <v>15</v>
      </c>
      <c r="C6" s="12">
        <v>46233</v>
      </c>
      <c r="E6" t="s">
        <v>413</v>
      </c>
      <c r="F6" s="28">
        <v>46325</v>
      </c>
      <c r="G6" s="28">
        <v>46356</v>
      </c>
    </row>
    <row r="7" spans="1:8" ht="14.25" customHeight="1">
      <c r="A7" s="11" t="s">
        <v>126</v>
      </c>
      <c r="B7" s="11">
        <v>15</v>
      </c>
      <c r="C7" s="12">
        <v>46264</v>
      </c>
      <c r="E7" t="s">
        <v>414</v>
      </c>
      <c r="F7" s="28">
        <v>46356</v>
      </c>
      <c r="G7" s="28">
        <v>46387</v>
      </c>
    </row>
    <row r="8" spans="1:8" ht="14.25" customHeight="1">
      <c r="A8" s="11" t="s">
        <v>126</v>
      </c>
      <c r="B8" s="11">
        <v>17</v>
      </c>
      <c r="C8" s="12">
        <v>46295</v>
      </c>
      <c r="E8" t="s">
        <v>415</v>
      </c>
      <c r="F8" s="28">
        <v>46387</v>
      </c>
      <c r="G8" s="28">
        <v>46417</v>
      </c>
    </row>
    <row r="9" spans="1:8" ht="14.25" customHeight="1">
      <c r="A9" s="11" t="s">
        <v>126</v>
      </c>
      <c r="B9" s="11">
        <v>20</v>
      </c>
      <c r="C9" s="12">
        <v>46325</v>
      </c>
      <c r="E9" t="s">
        <v>416</v>
      </c>
      <c r="F9" s="28">
        <v>46417</v>
      </c>
      <c r="G9" s="28">
        <v>46445</v>
      </c>
    </row>
    <row r="10" spans="1:8" ht="14.25" customHeight="1">
      <c r="A10" s="11" t="s">
        <v>126</v>
      </c>
      <c r="B10" s="11">
        <v>20</v>
      </c>
      <c r="C10" s="12">
        <v>46356</v>
      </c>
      <c r="E10" t="s">
        <v>417</v>
      </c>
      <c r="F10" s="28">
        <v>46446</v>
      </c>
      <c r="G10" s="28">
        <v>46477</v>
      </c>
    </row>
    <row r="11" spans="1:8" ht="14.25" customHeight="1">
      <c r="A11" s="11" t="s">
        <v>418</v>
      </c>
      <c r="B11" s="11">
        <v>18</v>
      </c>
      <c r="C11" s="12">
        <v>46417</v>
      </c>
      <c r="E11" t="s">
        <v>419</v>
      </c>
      <c r="F11" s="28">
        <v>46477</v>
      </c>
      <c r="G11" s="28">
        <v>46480</v>
      </c>
    </row>
    <row r="12" spans="1:8" ht="14.25" customHeight="1">
      <c r="A12" s="11" t="s">
        <v>418</v>
      </c>
      <c r="B12" s="11">
        <v>18</v>
      </c>
      <c r="C12" s="12">
        <v>46446</v>
      </c>
    </row>
    <row r="13" spans="1:8" ht="14.25" customHeight="1">
      <c r="A13" s="11" t="s">
        <v>418</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420</v>
      </c>
      <c r="B1" s="175"/>
      <c r="C1" s="175"/>
      <c r="D1" s="175"/>
      <c r="E1" s="175"/>
      <c r="F1" s="175"/>
      <c r="G1" s="175"/>
      <c r="H1" s="175"/>
      <c r="I1" s="175"/>
      <c r="J1" s="175"/>
    </row>
    <row r="2" spans="1:10" ht="27" customHeight="1">
      <c r="A2" s="8" t="s">
        <v>0</v>
      </c>
      <c r="B2" s="8" t="s">
        <v>421</v>
      </c>
      <c r="C2" s="8" t="s">
        <v>1</v>
      </c>
      <c r="D2" s="8" t="s">
        <v>422</v>
      </c>
      <c r="E2" s="8" t="s">
        <v>423</v>
      </c>
      <c r="F2" s="8" t="s">
        <v>6</v>
      </c>
      <c r="G2" s="8" t="s">
        <v>5</v>
      </c>
      <c r="H2" s="8" t="s">
        <v>424</v>
      </c>
      <c r="I2" s="8" t="s">
        <v>405</v>
      </c>
      <c r="J2" s="8" t="s">
        <v>425</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426</v>
      </c>
      <c r="D13" s="9" t="s">
        <v>427</v>
      </c>
      <c r="E13" s="9" t="s">
        <v>46</v>
      </c>
      <c r="F13" s="9"/>
      <c r="G13" s="9"/>
      <c r="H13" s="10"/>
      <c r="I13" s="10">
        <v>46115</v>
      </c>
      <c r="J13" s="10">
        <v>46115</v>
      </c>
    </row>
    <row r="14" spans="1:10" ht="14.25" customHeight="1">
      <c r="A14" s="9" t="s">
        <v>40</v>
      </c>
      <c r="B14" s="9" t="s">
        <v>189</v>
      </c>
      <c r="C14" s="9" t="s">
        <v>426</v>
      </c>
      <c r="D14" s="9" t="s">
        <v>427</v>
      </c>
      <c r="E14" s="9" t="s">
        <v>46</v>
      </c>
      <c r="F14" s="9"/>
      <c r="G14" s="9"/>
      <c r="H14" s="10">
        <v>46115</v>
      </c>
      <c r="I14" s="10">
        <v>46120</v>
      </c>
      <c r="J14" s="10">
        <v>46120</v>
      </c>
    </row>
    <row r="15" spans="1:10" ht="14.25" customHeight="1">
      <c r="A15" s="9" t="s">
        <v>40</v>
      </c>
      <c r="B15" s="9" t="s">
        <v>173</v>
      </c>
      <c r="C15" s="9" t="s">
        <v>426</v>
      </c>
      <c r="D15" s="9" t="s">
        <v>427</v>
      </c>
      <c r="E15" s="9" t="s">
        <v>46</v>
      </c>
      <c r="F15" s="9"/>
      <c r="G15" s="9"/>
      <c r="H15" s="10">
        <v>46120</v>
      </c>
      <c r="I15" s="10">
        <v>46122</v>
      </c>
      <c r="J15" s="10">
        <v>46122</v>
      </c>
    </row>
    <row r="16" spans="1:10" ht="14.25" customHeight="1">
      <c r="A16" s="9" t="s">
        <v>40</v>
      </c>
      <c r="B16" s="9" t="s">
        <v>164</v>
      </c>
      <c r="C16" s="9" t="s">
        <v>426</v>
      </c>
      <c r="D16" s="9" t="s">
        <v>427</v>
      </c>
      <c r="E16" s="9" t="s">
        <v>46</v>
      </c>
      <c r="F16" s="9"/>
      <c r="G16" s="9"/>
      <c r="H16" s="10">
        <v>46122</v>
      </c>
      <c r="I16" s="10"/>
      <c r="J16" s="10"/>
    </row>
    <row r="17" spans="1:10" ht="14.25" customHeight="1">
      <c r="A17" s="9" t="s">
        <v>40</v>
      </c>
      <c r="B17" s="9" t="s">
        <v>42</v>
      </c>
      <c r="C17" s="9" t="s">
        <v>426</v>
      </c>
      <c r="D17" s="9" t="s">
        <v>427</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427</v>
      </c>
      <c r="E23" s="9" t="s">
        <v>46</v>
      </c>
      <c r="F23" s="9"/>
      <c r="G23" s="9"/>
      <c r="H23" s="10"/>
      <c r="I23" s="10">
        <v>46115</v>
      </c>
      <c r="J23" s="10">
        <v>46115</v>
      </c>
    </row>
    <row r="24" spans="1:10" ht="14.25" customHeight="1">
      <c r="A24" s="9" t="s">
        <v>40</v>
      </c>
      <c r="B24" s="9" t="s">
        <v>189</v>
      </c>
      <c r="C24" s="9" t="s">
        <v>64</v>
      </c>
      <c r="D24" s="9" t="s">
        <v>427</v>
      </c>
      <c r="E24" s="9" t="s">
        <v>46</v>
      </c>
      <c r="F24" s="9"/>
      <c r="G24" s="9"/>
      <c r="H24" s="10">
        <v>46115</v>
      </c>
      <c r="I24" s="10">
        <v>46120</v>
      </c>
      <c r="J24" s="10">
        <v>46120</v>
      </c>
    </row>
    <row r="25" spans="1:10" ht="14.25" customHeight="1">
      <c r="A25" s="9" t="s">
        <v>40</v>
      </c>
      <c r="B25" s="9" t="s">
        <v>173</v>
      </c>
      <c r="C25" s="9" t="s">
        <v>64</v>
      </c>
      <c r="D25" s="9" t="s">
        <v>427</v>
      </c>
      <c r="E25" s="9" t="s">
        <v>46</v>
      </c>
      <c r="F25" s="9"/>
      <c r="G25" s="9"/>
      <c r="H25" s="10">
        <v>46120</v>
      </c>
      <c r="I25" s="10">
        <v>46122</v>
      </c>
      <c r="J25" s="10">
        <v>46122</v>
      </c>
    </row>
    <row r="26" spans="1:10" ht="14.25" customHeight="1">
      <c r="A26" s="9" t="s">
        <v>40</v>
      </c>
      <c r="B26" s="9" t="s">
        <v>164</v>
      </c>
      <c r="C26" s="9" t="s">
        <v>64</v>
      </c>
      <c r="D26" s="9" t="s">
        <v>427</v>
      </c>
      <c r="E26" s="9" t="s">
        <v>46</v>
      </c>
      <c r="F26" s="9"/>
      <c r="G26" s="9"/>
      <c r="H26" s="10">
        <v>46122</v>
      </c>
      <c r="I26" s="10"/>
      <c r="J26" s="10"/>
    </row>
    <row r="27" spans="1:10" ht="14.25" customHeight="1">
      <c r="A27" s="9" t="s">
        <v>40</v>
      </c>
      <c r="B27" s="9" t="s">
        <v>42</v>
      </c>
      <c r="C27" s="9" t="s">
        <v>64</v>
      </c>
      <c r="D27" s="9" t="s">
        <v>427</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427</v>
      </c>
      <c r="E33" s="9" t="s">
        <v>60</v>
      </c>
      <c r="F33" s="9"/>
      <c r="G33" s="9"/>
      <c r="H33" s="10"/>
      <c r="I33" s="10">
        <v>46122</v>
      </c>
      <c r="J33" s="10">
        <v>46122</v>
      </c>
    </row>
    <row r="34" spans="1:10" ht="14.25" customHeight="1">
      <c r="A34" s="9" t="s">
        <v>40</v>
      </c>
      <c r="B34" s="9" t="s">
        <v>189</v>
      </c>
      <c r="C34" s="9" t="s">
        <v>70</v>
      </c>
      <c r="D34" s="9" t="s">
        <v>427</v>
      </c>
      <c r="E34" s="9" t="s">
        <v>60</v>
      </c>
      <c r="F34" s="9"/>
      <c r="G34" s="9"/>
      <c r="H34" s="10">
        <v>46122</v>
      </c>
      <c r="I34" s="10">
        <v>46126</v>
      </c>
      <c r="J34" s="10">
        <v>46126</v>
      </c>
    </row>
    <row r="35" spans="1:10" ht="14.25" customHeight="1">
      <c r="A35" s="9" t="s">
        <v>40</v>
      </c>
      <c r="B35" s="9" t="s">
        <v>173</v>
      </c>
      <c r="C35" s="9" t="s">
        <v>70</v>
      </c>
      <c r="D35" s="9" t="s">
        <v>427</v>
      </c>
      <c r="E35" s="9" t="s">
        <v>60</v>
      </c>
      <c r="F35" s="9"/>
      <c r="G35" s="9"/>
      <c r="H35" s="10">
        <v>46126</v>
      </c>
      <c r="I35" s="10">
        <v>46122</v>
      </c>
      <c r="J35" s="10">
        <v>46122</v>
      </c>
    </row>
    <row r="36" spans="1:10" ht="14.25" customHeight="1">
      <c r="A36" s="9" t="s">
        <v>40</v>
      </c>
      <c r="B36" s="9" t="s">
        <v>164</v>
      </c>
      <c r="C36" s="9" t="s">
        <v>70</v>
      </c>
      <c r="D36" s="9" t="s">
        <v>427</v>
      </c>
      <c r="E36" s="9" t="s">
        <v>60</v>
      </c>
      <c r="F36" s="9"/>
      <c r="G36" s="9"/>
      <c r="H36" s="10">
        <v>46122</v>
      </c>
      <c r="I36" s="10"/>
      <c r="J36" s="10"/>
    </row>
    <row r="37" spans="1:10" ht="14.25" customHeight="1">
      <c r="A37" s="9" t="s">
        <v>40</v>
      </c>
      <c r="B37" s="9" t="s">
        <v>42</v>
      </c>
      <c r="C37" s="9" t="s">
        <v>70</v>
      </c>
      <c r="D37" s="9" t="s">
        <v>427</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427</v>
      </c>
      <c r="E48" s="9" t="s">
        <v>60</v>
      </c>
      <c r="F48" s="9"/>
      <c r="G48" s="9"/>
      <c r="H48" s="10"/>
      <c r="I48" s="10"/>
      <c r="J48" s="10"/>
    </row>
    <row r="49" spans="1:10" ht="14.25" customHeight="1">
      <c r="A49" s="9" t="s">
        <v>40</v>
      </c>
      <c r="B49" s="9" t="s">
        <v>189</v>
      </c>
      <c r="C49" s="9" t="s">
        <v>97</v>
      </c>
      <c r="D49" s="9" t="s">
        <v>427</v>
      </c>
      <c r="E49" s="9" t="s">
        <v>60</v>
      </c>
      <c r="F49" s="9"/>
      <c r="G49" s="9"/>
      <c r="H49" s="10"/>
      <c r="I49" s="10">
        <v>46139</v>
      </c>
      <c r="J49" s="10">
        <v>46139</v>
      </c>
    </row>
    <row r="50" spans="1:10" ht="14.25" customHeight="1">
      <c r="A50" s="9" t="s">
        <v>40</v>
      </c>
      <c r="B50" s="9" t="s">
        <v>173</v>
      </c>
      <c r="C50" s="9" t="s">
        <v>97</v>
      </c>
      <c r="D50" s="9" t="s">
        <v>427</v>
      </c>
      <c r="E50" s="9" t="s">
        <v>60</v>
      </c>
      <c r="F50" s="9"/>
      <c r="G50" s="9"/>
      <c r="H50" s="10">
        <v>46139</v>
      </c>
      <c r="I50" s="10">
        <v>46139</v>
      </c>
      <c r="J50" s="10">
        <v>46139</v>
      </c>
    </row>
    <row r="51" spans="1:10" ht="14.25" customHeight="1">
      <c r="A51" s="9" t="s">
        <v>40</v>
      </c>
      <c r="B51" s="9" t="s">
        <v>164</v>
      </c>
      <c r="C51" s="9" t="s">
        <v>97</v>
      </c>
      <c r="D51" s="9" t="s">
        <v>427</v>
      </c>
      <c r="E51" s="9" t="s">
        <v>60</v>
      </c>
      <c r="F51" s="9"/>
      <c r="G51" s="9"/>
      <c r="H51" s="10">
        <v>46139</v>
      </c>
      <c r="I51" s="10"/>
      <c r="J51" s="10"/>
    </row>
    <row r="52" spans="1:10" ht="14.25" customHeight="1">
      <c r="A52" s="9" t="s">
        <v>40</v>
      </c>
      <c r="B52" s="9" t="s">
        <v>42</v>
      </c>
      <c r="C52" s="9" t="s">
        <v>97</v>
      </c>
      <c r="D52" s="9" t="s">
        <v>427</v>
      </c>
      <c r="E52" s="9" t="s">
        <v>60</v>
      </c>
      <c r="F52" s="9"/>
      <c r="G52" s="9"/>
      <c r="H52" s="10"/>
      <c r="I52" s="10"/>
      <c r="J52" s="10"/>
    </row>
    <row r="53" spans="1:10" ht="14.25" customHeight="1">
      <c r="A53" s="9" t="s">
        <v>40</v>
      </c>
      <c r="B53" s="9" t="s">
        <v>182</v>
      </c>
      <c r="C53" s="9" t="s">
        <v>98</v>
      </c>
      <c r="D53" s="9" t="s">
        <v>427</v>
      </c>
      <c r="E53" s="9" t="s">
        <v>60</v>
      </c>
      <c r="F53" s="9"/>
      <c r="G53" s="9"/>
      <c r="H53" s="10"/>
      <c r="I53" s="10"/>
      <c r="J53" s="10"/>
    </row>
    <row r="54" spans="1:10" ht="14.25" customHeight="1">
      <c r="A54" s="9" t="s">
        <v>40</v>
      </c>
      <c r="B54" s="9" t="s">
        <v>189</v>
      </c>
      <c r="C54" s="9" t="s">
        <v>98</v>
      </c>
      <c r="D54" s="9" t="s">
        <v>427</v>
      </c>
      <c r="E54" s="9" t="s">
        <v>60</v>
      </c>
      <c r="F54" s="9"/>
      <c r="G54" s="9"/>
      <c r="H54" s="9"/>
      <c r="I54" s="10">
        <v>46141</v>
      </c>
      <c r="J54" s="10">
        <v>46141</v>
      </c>
    </row>
    <row r="55" spans="1:10" ht="14.25" customHeight="1">
      <c r="A55" s="9" t="s">
        <v>40</v>
      </c>
      <c r="B55" s="9" t="s">
        <v>173</v>
      </c>
      <c r="C55" s="9" t="s">
        <v>98</v>
      </c>
      <c r="D55" s="9" t="s">
        <v>427</v>
      </c>
      <c r="E55" s="9" t="s">
        <v>60</v>
      </c>
      <c r="F55" s="9"/>
      <c r="G55" s="9"/>
      <c r="H55" s="10">
        <v>46141</v>
      </c>
      <c r="I55" s="10">
        <v>46141</v>
      </c>
      <c r="J55" s="10">
        <v>46141</v>
      </c>
    </row>
    <row r="56" spans="1:10" ht="14.25" customHeight="1">
      <c r="A56" s="9" t="s">
        <v>40</v>
      </c>
      <c r="B56" s="9" t="s">
        <v>164</v>
      </c>
      <c r="C56" s="9" t="s">
        <v>98</v>
      </c>
      <c r="D56" s="9" t="s">
        <v>427</v>
      </c>
      <c r="E56" s="9" t="s">
        <v>60</v>
      </c>
      <c r="F56" s="9"/>
      <c r="G56" s="9"/>
      <c r="H56" s="10">
        <v>46141</v>
      </c>
      <c r="I56" s="10"/>
      <c r="J56" s="10"/>
    </row>
    <row r="57" spans="1:10" ht="14.25" customHeight="1">
      <c r="A57" s="9" t="s">
        <v>40</v>
      </c>
      <c r="B57" s="9" t="s">
        <v>42</v>
      </c>
      <c r="C57" s="9" t="s">
        <v>98</v>
      </c>
      <c r="D57" s="9" t="s">
        <v>427</v>
      </c>
      <c r="E57" s="9" t="s">
        <v>60</v>
      </c>
      <c r="F57" s="9"/>
      <c r="G57" s="9"/>
      <c r="H57" s="10"/>
      <c r="I57" s="10"/>
      <c r="J57" s="10"/>
    </row>
    <row r="58" spans="1:10" ht="14.25" customHeight="1">
      <c r="A58" s="9" t="s">
        <v>40</v>
      </c>
      <c r="B58" s="9" t="s">
        <v>182</v>
      </c>
      <c r="C58" s="9" t="s">
        <v>99</v>
      </c>
      <c r="D58" s="9" t="s">
        <v>427</v>
      </c>
      <c r="E58" s="9" t="s">
        <v>46</v>
      </c>
      <c r="F58" s="9"/>
      <c r="G58" s="9"/>
      <c r="H58" s="9"/>
      <c r="I58" s="10"/>
      <c r="J58" s="10"/>
    </row>
    <row r="59" spans="1:10" ht="14.25" customHeight="1">
      <c r="A59" s="9" t="s">
        <v>40</v>
      </c>
      <c r="B59" s="9" t="s">
        <v>189</v>
      </c>
      <c r="C59" s="9" t="s">
        <v>99</v>
      </c>
      <c r="D59" s="9" t="s">
        <v>427</v>
      </c>
      <c r="E59" s="9" t="s">
        <v>46</v>
      </c>
      <c r="F59" s="9"/>
      <c r="G59" s="9"/>
      <c r="H59" s="10"/>
      <c r="I59" s="10">
        <v>46161</v>
      </c>
      <c r="J59" s="10">
        <v>46161</v>
      </c>
    </row>
    <row r="60" spans="1:10" ht="14.25" customHeight="1">
      <c r="A60" s="9" t="s">
        <v>40</v>
      </c>
      <c r="B60" s="9" t="s">
        <v>173</v>
      </c>
      <c r="C60" s="9" t="s">
        <v>99</v>
      </c>
      <c r="D60" s="9" t="s">
        <v>427</v>
      </c>
      <c r="E60" s="9" t="s">
        <v>46</v>
      </c>
      <c r="F60" s="9"/>
      <c r="G60" s="9"/>
      <c r="H60" s="10">
        <v>46161</v>
      </c>
      <c r="I60" s="10">
        <v>46161</v>
      </c>
      <c r="J60" s="10">
        <v>46161</v>
      </c>
    </row>
    <row r="61" spans="1:10" ht="14.25" customHeight="1">
      <c r="A61" s="9" t="s">
        <v>40</v>
      </c>
      <c r="B61" s="9" t="s">
        <v>164</v>
      </c>
      <c r="C61" s="9" t="s">
        <v>99</v>
      </c>
      <c r="D61" s="9" t="s">
        <v>427</v>
      </c>
      <c r="E61" s="9" t="s">
        <v>46</v>
      </c>
      <c r="F61" s="9"/>
      <c r="G61" s="9"/>
      <c r="H61" s="10">
        <v>46161</v>
      </c>
      <c r="I61" s="10"/>
      <c r="J61" s="10"/>
    </row>
    <row r="62" spans="1:10" ht="14.25" customHeight="1">
      <c r="A62" s="9" t="s">
        <v>40</v>
      </c>
      <c r="B62" s="9" t="s">
        <v>42</v>
      </c>
      <c r="C62" s="9" t="s">
        <v>99</v>
      </c>
      <c r="D62" s="9" t="s">
        <v>427</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428</v>
      </c>
      <c r="F1" s="1" t="s">
        <v>332</v>
      </c>
      <c r="G1" s="5" t="s">
        <v>429</v>
      </c>
      <c r="H1" s="5" t="s">
        <v>20</v>
      </c>
      <c r="I1" t="s">
        <v>35</v>
      </c>
      <c r="J1" s="5" t="s">
        <v>430</v>
      </c>
      <c r="K1" s="5" t="s">
        <v>164</v>
      </c>
      <c r="L1" s="5" t="s">
        <v>351</v>
      </c>
      <c r="M1" s="1" t="s">
        <v>431</v>
      </c>
      <c r="N1" s="1" t="s">
        <v>432</v>
      </c>
      <c r="R1" t="s">
        <v>13</v>
      </c>
      <c r="T1" t="s">
        <v>433</v>
      </c>
    </row>
    <row r="2" spans="1:20" ht="13.5" customHeight="1">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252</v>
      </c>
      <c r="T2" t="s">
        <v>49</v>
      </c>
    </row>
    <row r="3" spans="1:20" ht="15" customHeight="1">
      <c r="A3" t="s">
        <v>40</v>
      </c>
      <c r="B3" t="s">
        <v>44</v>
      </c>
      <c r="C3" t="s">
        <v>60</v>
      </c>
      <c r="D3" t="s">
        <v>129</v>
      </c>
      <c r="E3" t="s">
        <v>50</v>
      </c>
      <c r="F3" t="s">
        <v>225</v>
      </c>
      <c r="G3" t="s">
        <v>44</v>
      </c>
      <c r="H3" t="s">
        <v>47</v>
      </c>
      <c r="I3" t="s">
        <v>53</v>
      </c>
      <c r="J3" t="s">
        <v>182</v>
      </c>
      <c r="K3" t="s">
        <v>48</v>
      </c>
      <c r="L3" t="s">
        <v>53</v>
      </c>
      <c r="M3" t="s">
        <v>44</v>
      </c>
      <c r="N3" t="s">
        <v>447</v>
      </c>
      <c r="R3" t="s">
        <v>45</v>
      </c>
      <c r="T3" t="s">
        <v>94</v>
      </c>
    </row>
    <row r="4" spans="1:20" ht="15" customHeight="1">
      <c r="A4" t="s">
        <v>126</v>
      </c>
      <c r="B4" t="s">
        <v>59</v>
      </c>
      <c r="C4" t="s">
        <v>46</v>
      </c>
      <c r="D4" t="s">
        <v>143</v>
      </c>
      <c r="E4" t="s">
        <v>53</v>
      </c>
      <c r="F4" t="s">
        <v>182</v>
      </c>
      <c r="G4" t="s">
        <v>59</v>
      </c>
      <c r="H4" t="s">
        <v>88</v>
      </c>
      <c r="I4" t="s">
        <v>183</v>
      </c>
      <c r="J4" t="s">
        <v>189</v>
      </c>
      <c r="L4" t="s">
        <v>50</v>
      </c>
      <c r="M4" t="s">
        <v>103</v>
      </c>
      <c r="N4" t="s">
        <v>448</v>
      </c>
      <c r="R4" t="s">
        <v>185</v>
      </c>
      <c r="T4" t="s">
        <v>72</v>
      </c>
    </row>
    <row r="5" spans="1:20" ht="15" customHeight="1">
      <c r="A5" t="s">
        <v>418</v>
      </c>
      <c r="B5" t="s">
        <v>427</v>
      </c>
      <c r="C5" t="s">
        <v>77</v>
      </c>
      <c r="F5" t="s">
        <v>189</v>
      </c>
      <c r="G5" t="s">
        <v>427</v>
      </c>
      <c r="H5" t="s">
        <v>129</v>
      </c>
      <c r="I5" t="s">
        <v>211</v>
      </c>
      <c r="J5" t="s">
        <v>173</v>
      </c>
      <c r="L5" t="s">
        <v>449</v>
      </c>
      <c r="M5" t="s">
        <v>88</v>
      </c>
      <c r="N5" t="s">
        <v>450</v>
      </c>
    </row>
    <row r="6" spans="1:20" ht="15" customHeight="1">
      <c r="A6" t="s">
        <v>305</v>
      </c>
      <c r="B6" t="s">
        <v>84</v>
      </c>
      <c r="F6" t="s">
        <v>173</v>
      </c>
      <c r="G6" t="s">
        <v>84</v>
      </c>
      <c r="H6" t="s">
        <v>143</v>
      </c>
      <c r="I6" t="s">
        <v>191</v>
      </c>
      <c r="J6" t="s">
        <v>164</v>
      </c>
      <c r="M6" t="s">
        <v>48</v>
      </c>
      <c r="N6" t="s">
        <v>450</v>
      </c>
    </row>
    <row r="7" spans="1:20" ht="15" customHeight="1">
      <c r="A7" t="s">
        <v>295</v>
      </c>
      <c r="B7" t="s">
        <v>65</v>
      </c>
      <c r="F7" t="s">
        <v>164</v>
      </c>
      <c r="G7" t="s">
        <v>65</v>
      </c>
      <c r="H7" t="s">
        <v>203</v>
      </c>
      <c r="I7" t="s">
        <v>451</v>
      </c>
      <c r="M7" t="s">
        <v>129</v>
      </c>
      <c r="N7" t="s">
        <v>452</v>
      </c>
    </row>
    <row r="8" spans="1:20" ht="15" customHeight="1">
      <c r="B8" t="s">
        <v>76</v>
      </c>
      <c r="F8" t="s">
        <v>128</v>
      </c>
      <c r="G8" t="s">
        <v>76</v>
      </c>
      <c r="I8" t="s">
        <v>453</v>
      </c>
      <c r="M8" t="s">
        <v>60</v>
      </c>
      <c r="N8" t="s">
        <v>454</v>
      </c>
    </row>
    <row r="9" spans="1:20" ht="15" customHeight="1">
      <c r="B9" t="s">
        <v>103</v>
      </c>
      <c r="F9" t="s">
        <v>42</v>
      </c>
      <c r="G9" t="s">
        <v>103</v>
      </c>
      <c r="I9" t="s">
        <v>455</v>
      </c>
      <c r="M9" t="s">
        <v>154</v>
      </c>
      <c r="N9" t="s">
        <v>456</v>
      </c>
    </row>
    <row r="10" spans="1:20" ht="15" customHeight="1">
      <c r="B10" t="s">
        <v>154</v>
      </c>
      <c r="G10" t="s">
        <v>154</v>
      </c>
      <c r="M10" t="s">
        <v>47</v>
      </c>
      <c r="N10" t="s">
        <v>457</v>
      </c>
    </row>
    <row r="11" spans="1:20" ht="15">
      <c r="B11" t="s">
        <v>458</v>
      </c>
      <c r="G11" t="s">
        <v>60</v>
      </c>
      <c r="M11" t="s">
        <v>76</v>
      </c>
      <c r="N11" t="s">
        <v>459</v>
      </c>
    </row>
    <row r="12" spans="1:20" ht="15">
      <c r="B12" t="s">
        <v>460</v>
      </c>
      <c r="G12" t="s">
        <v>46</v>
      </c>
      <c r="M12" t="s">
        <v>46</v>
      </c>
      <c r="N12" t="s">
        <v>461</v>
      </c>
    </row>
    <row r="13" spans="1:20" ht="15">
      <c r="G13" t="s">
        <v>77</v>
      </c>
      <c r="M13" t="s">
        <v>77</v>
      </c>
      <c r="N13" t="s">
        <v>462</v>
      </c>
    </row>
    <row r="14" spans="1:20" ht="15">
      <c r="M14" t="s">
        <v>84</v>
      </c>
      <c r="N14" t="s">
        <v>463</v>
      </c>
    </row>
    <row r="15" spans="1:20" ht="15">
      <c r="M15" t="s">
        <v>59</v>
      </c>
      <c r="N15" t="s">
        <v>464</v>
      </c>
    </row>
    <row r="16" spans="1:20" ht="15">
      <c r="M16" t="s">
        <v>65</v>
      </c>
      <c r="N16" t="s">
        <v>465</v>
      </c>
    </row>
    <row r="17" spans="13:14" ht="15">
      <c r="M17" t="s">
        <v>427</v>
      </c>
      <c r="N17" t="s">
        <v>465</v>
      </c>
    </row>
    <row r="18" spans="13:14" ht="15">
      <c r="M18" t="s">
        <v>229</v>
      </c>
      <c r="N18" t="s">
        <v>466</v>
      </c>
    </row>
    <row r="19" spans="13:14" ht="15">
      <c r="M19" t="s">
        <v>203</v>
      </c>
      <c r="N19" t="s">
        <v>467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2026-09-17T15:14:20Z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