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32" documentId="13_ncr:1_{52745E9B-3AA1-4770-AAD3-E6166BFC13AE}" xr6:coauthVersionLast="47" xr6:coauthVersionMax="47" xr10:uidLastSave="{F62473A6-F6C1-4EF9-950F-BA485CAFF840}"/>
  <bookViews>
    <workbookView minimized="1" xWindow="-24390" yWindow="97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<sst xmlns="http://schemas.openxmlformats.org/spreadsheetml/2006/main" count="3246" uniqueCount="474">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</sst>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7A4100"/>
      </font>
      <fill>
        <patternFill patternType="solid">
          <fgColor indexed="64"/>
          <bgColor rgb="FFFFC97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B1" activePane="topRight" state="frozen"/>
      <selection pane="topRight" activeCell="AC60" sqref="AC6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c r="Y71" s="36">
        <v>46293</v>
      </c>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C2:C115">
    <cfRule type="expression" dxfId="140" priority="622">
      <formula>LEFT($AK2,4)="Move"</formula>
    </cfRule>
  </conditionalFormatting>
  <conditionalFormatting sqref="D2:D527">
    <cfRule type="expression" dxfId="139" priority="49">
      <formula>OR($D2="On track",$D2="Delivered")</formula>
    </cfRule>
    <cfRule type="expression" dxfId="138" priority="45">
      <formula>ISNUMBER(SEARCH("Blocked",$D2))</formula>
    </cfRule>
    <cfRule type="expression" dxfId="137" priority="46">
      <formula>ISNUMBER(SEARCH("overdue",$D2))</formula>
    </cfRule>
    <cfRule type="expression" dxfId="136" priority="47">
      <formula>ISNUMBER(SEARCH("no target",$D2))</formula>
    </cfRule>
    <cfRule type="expression" dxfId="135" priority="48">
      <formula>ISNUMBER(SEARCH("Review",$D2))</formula>
    </cfRule>
  </conditionalFormatting>
  <conditionalFormatting sqref="D88">
    <cfRule type="expression" dxfId="134" priority="621">
      <formula>AND($B50&lt;&gt;"",MOD(ROW(),2)=0)</formula>
    </cfRule>
  </conditionalFormatting>
  <conditionalFormatting sqref="J2:O115">
    <cfRule type="expression" dxfId="133" priority="23">
      <formula>$AJ2="Yes – needs DB Dev to fix"</formula>
    </cfRule>
  </conditionalFormatting>
  <conditionalFormatting sqref="J116:O192">
    <cfRule type="expression" dxfId="132" priority="28">
      <formula>$AH116="Yes – needs DB Dev to fix"</formula>
    </cfRule>
  </conditionalFormatting>
  <conditionalFormatting sqref="K41">
    <cfRule type="expression" dxfId="131" priority="604">
      <formula>AND($B41&lt;&gt;"",MOD(ROW(),2)=0)</formula>
    </cfRule>
    <cfRule type="expression" dxfId="130" priority="605">
      <formula>$AJ41="Yes – needs DB Dev to fix"</formula>
    </cfRule>
  </conditionalFormatting>
  <conditionalFormatting sqref="K42">
    <cfRule type="expression" dxfId="129" priority="607">
      <formula>$AJ41="Yes – needs DB Dev to fix"</formula>
    </cfRule>
    <cfRule type="expression" dxfId="128" priority="606">
      <formula>AND($B41&lt;&gt;"",MOD(ROW(),2)=0)</formula>
    </cfRule>
  </conditionalFormatting>
  <conditionalFormatting sqref="K73:L100">
    <cfRule type="expression" dxfId="127" priority="120">
      <formula>$AF73="Yes – needs DB Dev to fix"</formula>
    </cfRule>
  </conditionalFormatting>
  <conditionalFormatting sqref="K101:L115">
    <cfRule type="expression" dxfId="126" priority="350">
      <formula>$AA101="Yes – needs DB Dev to fix"</formula>
    </cfRule>
  </conditionalFormatting>
  <conditionalFormatting sqref="K116:L527">
    <cfRule type="expression" dxfId="125" priority="577">
      <formula>$X116="Yes – needs DB Dev to fix"</formula>
    </cfRule>
  </conditionalFormatting>
  <conditionalFormatting sqref="M73">
    <cfRule type="expression" dxfId="124" priority="27">
      <formula>$AF73="Yes – needs DB Dev to fix"</formula>
    </cfRule>
  </conditionalFormatting>
  <conditionalFormatting sqref="M79:M81">
    <cfRule type="expression" dxfId="123" priority="1">
      <formula>$AF79="Yes – needs DB Dev to fix"</formula>
    </cfRule>
  </conditionalFormatting>
  <conditionalFormatting sqref="M83:M84">
    <cfRule type="expression" dxfId="122" priority="3">
      <formula>$AF83="Yes – needs DB Dev to fix"</formula>
    </cfRule>
  </conditionalFormatting>
  <conditionalFormatting sqref="M91">
    <cfRule type="expression" dxfId="121" priority="7">
      <formula>$AF91="Yes – needs DB Dev to fix"</formula>
    </cfRule>
  </conditionalFormatting>
  <conditionalFormatting sqref="M73:P100">
    <cfRule type="expression" dxfId="120" priority="305">
      <formula>$AD73="Yes – needs PBI Dev to fix"</formula>
    </cfRule>
  </conditionalFormatting>
  <conditionalFormatting sqref="M101:P115">
    <cfRule type="expression" dxfId="119" priority="352">
      <formula>$AA101="Yes – needs PBI Dev to fix"</formula>
    </cfRule>
  </conditionalFormatting>
  <conditionalFormatting sqref="M116:P527">
    <cfRule type="expression" dxfId="118" priority="578">
      <formula>$X116="Yes – needs PBI Dev to fix"</formula>
    </cfRule>
  </conditionalFormatting>
  <conditionalFormatting sqref="N58">
    <cfRule type="expression" dxfId="117" priority="8">
      <formula>$AD58="Yes – needs PBI Dev to fix"</formula>
    </cfRule>
  </conditionalFormatting>
  <conditionalFormatting sqref="N70">
    <cfRule type="expression" dxfId="116" priority="9">
      <formula>$AD70="Yes – needs PBI Dev to fix"</formula>
    </cfRule>
  </conditionalFormatting>
  <conditionalFormatting sqref="N82">
    <cfRule type="expression" dxfId="115" priority="5">
      <formula>$AD82="Yes – needs PBI Dev to fix"</formula>
    </cfRule>
  </conditionalFormatting>
  <conditionalFormatting sqref="O101:O113">
    <cfRule type="expression" dxfId="114" priority="2">
      <formula>$AD101="Yes – needs PBI Dev to fix"</formula>
    </cfRule>
  </conditionalFormatting>
  <conditionalFormatting sqref="Q73:Q100">
    <cfRule type="expression" dxfId="113" priority="22">
      <formula>$AF73="Yes – needs DB Dev to fix"</formula>
    </cfRule>
    <cfRule type="expression" dxfId="112" priority="124">
      <formula>$AF73="Yes – needs PBI Dev to fix"</formula>
    </cfRule>
    <cfRule type="expression" dxfId="111" priority="21">
      <formula>$AJ73="Yes – needs DB Dev to fix"</formula>
    </cfRule>
  </conditionalFormatting>
  <conditionalFormatting sqref="Q101:R115 V101:V115 X101:X115">
    <cfRule type="expression" dxfId="110" priority="20">
      <formula>$AA101="Yes – needs QA to fix"</formula>
    </cfRule>
  </conditionalFormatting>
  <conditionalFormatting sqref="Q116:R527">
    <cfRule type="expression" dxfId="109" priority="579">
      <formula>$X116="Yes – needs QA to fix"</formula>
    </cfRule>
  </conditionalFormatting>
  <conditionalFormatting sqref="Q2:U64 U10:V19 X10:X19 J29 M29:P29 J32:J33 M32:P33 K40:K41 M40:P41 Q65 T65:U65 Q66:U115 V101:V115 X101:X115">
    <cfRule type="expression" dxfId="108" priority="35">
      <formula>$AJ2="Yes – needs PBI Dev to fix"</formula>
    </cfRule>
  </conditionalFormatting>
  <conditionalFormatting sqref="R58">
    <cfRule type="expression" dxfId="107" priority="322">
      <formula>$AJ65="Yes – needs PBI Dev to fix"</formula>
    </cfRule>
    <cfRule type="expression" dxfId="106" priority="320">
      <formula>AND($B65&lt;&gt;"",MOD(ROW(),2)=0)</formula>
    </cfRule>
  </conditionalFormatting>
  <conditionalFormatting sqref="R60">
    <cfRule type="expression" dxfId="105" priority="12">
      <formula>AND($B67&lt;&gt;"",MOD(ROW(),2)=0)</formula>
    </cfRule>
    <cfRule type="expression" dxfId="104" priority="13">
      <formula>$AJ67="Yes – needs PBI Dev to fix"</formula>
    </cfRule>
  </conditionalFormatting>
  <conditionalFormatting sqref="R60:S60">
    <cfRule type="expression" dxfId="103" priority="11">
      <formula>$AJ67="Yes – needs PBI Dev to fix"</formula>
    </cfRule>
    <cfRule type="expression" dxfId="102" priority="10">
      <formula>AND($B67&lt;&gt;"",MOD(ROW(),2)=0)</formula>
    </cfRule>
  </conditionalFormatting>
  <conditionalFormatting sqref="R73:U100 T96:T101">
    <cfRule type="expression" dxfId="101" priority="126">
      <formula>$AF73="Yes – needs QA to fix"</formula>
    </cfRule>
  </conditionalFormatting>
  <conditionalFormatting sqref="S101:U115">
    <cfRule type="expression" dxfId="100" priority="366">
      <formula>$AA101="Yes – needs DPO Approval to fix"</formula>
    </cfRule>
  </conditionalFormatting>
  <conditionalFormatting sqref="S116:U527">
    <cfRule type="expression" dxfId="99" priority="580">
      <formula>$X116="Yes – needs DPO Approval to fix"</formula>
    </cfRule>
  </conditionalFormatting>
  <conditionalFormatting sqref="U101:V527 X101:X527">
    <cfRule type="expression" dxfId="98" priority="53">
      <formula>$V101="Yes"</formula>
    </cfRule>
  </conditionalFormatting>
  <conditionalFormatting sqref="U73:Y100">
    <cfRule type="expression" dxfId="97" priority="128">
      <formula>$AF73="Yes – needs DPO Approval to fix"</formula>
    </cfRule>
  </conditionalFormatting>
  <conditionalFormatting sqref="X116:X527">
    <cfRule type="expression" dxfId="96" priority="581">
      <formula>LEFT($X116,3)="Yes"</formula>
    </cfRule>
  </conditionalFormatting>
  <conditionalFormatting sqref="X73:Z100">
    <cfRule type="expression" dxfId="95" priority="480">
      <formula>$Y73="Yes"</formula>
    </cfRule>
  </conditionalFormatting>
  <conditionalFormatting sqref="Z116:AA527">
    <cfRule type="expression" dxfId="94" priority="60">
      <formula>$Z116&lt;&gt;""</formula>
    </cfRule>
    <cfRule type="expression" dxfId="93" priority="58">
      <formula>ISNUMBER(SEARCH("log it",$Z116))</formula>
    </cfRule>
    <cfRule type="expression" dxfId="92" priority="58">
      <formula>ISNUMBER(SEARCH("Open rework",$Z116))</formula>
    </cfRule>
    <cfRule type="expression" dxfId="91" priority="59">
      <formula>ISNUMBER(SEARCH("Duplicate",$Z116))</formula>
    </cfRule>
    <cfRule type="expression" dxfId="90" priority="58">
      <formula>ISNUMBER(SEARCH("Move old",$Z116))</formula>
    </cfRule>
  </conditionalFormatting>
  <conditionalFormatting sqref="Z116:AC527 W2:Y527 A74:V527 A2:F87 G2:V40 N3:N44 L41:V42 G43:V64 G65:Q65 T65:V65 G66:V73 G41:J42 Z2:AL2 Z3 Z4:AL41 Z42:AK42 Z43:AL44 Z45:AK47 Z48:AL72 Z73:AH100 Z101:AE115 AB3:AL3">
    <cfRule type="expression" dxfId="89" priority="61">
      <formula>AND($B2&lt;&gt;"",MOD(ROW(),2)=0)</formula>
    </cfRule>
  </conditionalFormatting>
  <conditionalFormatting sqref="AA3">
    <cfRule type="expression" dxfId="88" priority="609">
      <formula>$AJ3="Yes – needs DPO Approval to fix"</formula>
    </cfRule>
    <cfRule type="expression" dxfId="87" priority="608">
      <formula>AND($B3&lt;&gt;"",MOD(ROW(),2)=0)</formula>
    </cfRule>
  </conditionalFormatting>
  <conditionalFormatting sqref="AA101:AA115 U2:Z115">
    <cfRule type="expression" dxfId="86" priority="18">
      <formula>$AJ2="Yes – needs QA to fix"</formula>
    </cfRule>
  </conditionalFormatting>
  <conditionalFormatting sqref="AA101:AA115">
    <cfRule type="expression" dxfId="85" priority="16">
      <formula>$AA101="Yes – needs QA to fix"</formula>
    </cfRule>
    <cfRule type="expression" dxfId="84" priority="17">
      <formula>$V101="Yes"</formula>
    </cfRule>
    <cfRule type="expression" dxfId="83" priority="374">
      <formula>LEFT($AA101,3)="Yes"</formula>
    </cfRule>
    <cfRule type="expression" dxfId="82" priority="15">
      <formula>$AJ101="Yes – needs PBI Dev to fix"</formula>
    </cfRule>
  </conditionalFormatting>
  <conditionalFormatting sqref="AA2:AE2 AB3:AE3 AA4:AE100">
    <cfRule type="expression" dxfId="81" priority="102">
      <formula>$AJ2="Yes – needs DPO Approval to fix"</formula>
    </cfRule>
  </conditionalFormatting>
  <conditionalFormatting sqref="AB101:AC115">
    <cfRule type="expression" dxfId="80" priority="382">
      <formula>ISNUMBER(SEARCH("Open rework",$AB101))</formula>
    </cfRule>
    <cfRule type="expression" dxfId="79" priority="383">
      <formula>ISNUMBER(SEARCH("Move old",$AB101))</formula>
    </cfRule>
    <cfRule type="expression" dxfId="78" priority="384">
      <formula>ISNUMBER(SEARCH("log it",$AB101))</formula>
    </cfRule>
    <cfRule type="expression" dxfId="77" priority="385">
      <formula>ISNUMBER(SEARCH("Duplicate",$AB101))</formula>
    </cfRule>
    <cfRule type="expression" dxfId="76" priority="386">
      <formula>$AB101&lt;&gt;""</formula>
    </cfRule>
  </conditionalFormatting>
  <conditionalFormatting sqref="AF2:AF115">
    <cfRule type="expression" dxfId="75" priority="74">
      <formula>$AF2="Yes"</formula>
    </cfRule>
  </conditionalFormatting>
  <conditionalFormatting sqref="AF73:AF100">
    <cfRule type="expression" dxfId="74" priority="132">
      <formula>LEFT($AF73,3)="Yes"</formula>
    </cfRule>
  </conditionalFormatting>
  <conditionalFormatting sqref="AG73:AG100">
    <cfRule type="expression" dxfId="73" priority="141">
      <formula>ISNUMBER(SEARCH("Duplicate",$AG73))</formula>
    </cfRule>
    <cfRule type="expression" dxfId="72" priority="140">
      <formula>ISNUMBER(SEARCH("log it",$AG73))</formula>
    </cfRule>
    <cfRule type="expression" dxfId="71" priority="139">
      <formula>ISNUMBER(SEARCH("Move old",$AG73))</formula>
    </cfRule>
    <cfRule type="expression" dxfId="70" priority="138">
      <formula>ISNUMBER(SEARCH("Open rework",$AG73))</formula>
    </cfRule>
    <cfRule type="expression" dxfId="69" priority="142">
      <formula>$AG73&lt;&gt;""</formula>
    </cfRule>
  </conditionalFormatting>
  <conditionalFormatting sqref="AJ2:AJ115">
    <cfRule type="expression" dxfId="68" priority="76">
      <formula>LEFT($AJ2,3)="Yes"</formula>
    </cfRule>
  </conditionalFormatting>
  <conditionalFormatting sqref="AK2:AK115">
    <cfRule type="expression" dxfId="67" priority="82">
      <formula>ISNUMBER(SEARCH("log it",$AK2))</formula>
    </cfRule>
    <cfRule type="expression" dxfId="66" priority="86">
      <formula>$AK2&lt;&gt;""</formula>
    </cfRule>
    <cfRule type="expression" dxfId="65" priority="84">
      <formula>ISNUMBER(SEARCH("Move old",$AK2))</formula>
    </cfRule>
    <cfRule type="expression" dxfId="64" priority="85">
      <formula>ISNUMBER(SEARCH("Duplicate",$AK2))</formula>
    </cfRule>
    <cfRule type="expression" dxfId="63" priority="83">
      <formula>ISNUMBER(SEARCH("Open rework",$AK2))</formula>
    </cfRule>
  </conditionalFormatting>
  <conditionalFormatting sqref="AL45:AL47">
    <cfRule type="expression" dxfId="62"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X62:X72 M84 S73 K2:L115"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217</v>
      </c>
      <c r="D43" s="31" t="s">
        <v>257</v>
      </c>
      <c r="E43" s="31" t="s">
        <v>129</v>
      </c>
      <c r="F43" s="31" t="s">
        <v>406</v>
      </c>
      <c r="G43" s="31" t="s">
        <v>53</v>
      </c>
      <c r="H43" s="32"/>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43">
    <cfRule type="expression" dxfId="13" priority="1">
      <formula>AND($B43&lt;&gt;"",MOD(ROW(),2)=0)</formula>
    </cfRule>
  </conditionalFormatting>
  <conditionalFormatting sqref="A3:H3 K3:M3 A4:M4 M4:M11 B5:M8 A9:M10 B11:M13 A14:M17 B18:M18 A19:M21 B22:M22 A23:M25 B26:M27 A28:M28 A29:K30 M29:M30 B31:M31 A32:M35 B36:M38 A39:M42 B43:M43 A44:M498">
    <cfRule type="expression" dxfId="12" priority="26">
      <formula>AND($A3&lt;&gt;"",$G3="Yes")</formula>
    </cfRule>
    <cfRule type="expression" dxfId="11" priority="27">
      <formula>AND($A3&lt;&gt;"",$J3&lt;&gt;"")</formula>
    </cfRule>
    <cfRule type="expression" dxfId="10" priority="28">
      <formula>$A3&lt;&gt;""</formula>
    </cfRule>
  </conditionalFormatting>
  <conditionalFormatting sqref="C3:C198 G3:G198">
    <cfRule type="expression" dxfId="9" priority="29">
      <formula>$A3=""</formula>
    </cfRule>
  </conditionalFormatting>
  <conditionalFormatting sqref="K3:M3 A4:M4 M4:M11 B5:M8 A9:M10 B11:M13 A14:M17 B18:M18 A19:M21 B22:M22 A23:M25 B26:M27 A28:M28 M29:M30 B31:M31 A32:M35 B36:M38 A39:M42 B43:M43 A44:M498 A3:H3 A29:K30">
    <cfRule type="expression" dxfId="8" priority="25">
      <formula>AND($A3&lt;&gt;"",$G3="Did not pass re-test")</formula>
    </cfRule>
  </conditionalFormatting>
  <conditionalFormatting sqref="M3:M498">
    <cfRule type="expression" dxfId="7" priority="19">
      <formula>ISNUMBER(SEARCH("Sent back again",$M3))</formula>
    </cfRule>
    <cfRule type="expression" dxfId="6" priority="20">
      <formula>ISNUMBER(SEARCH("LATE",$M3))</formula>
    </cfRule>
    <cfRule type="expression" dxfId="5" priority="21">
      <formula>ISNUMBER(SEARCH("UNCLAIMED",$M3))</formula>
    </cfRule>
    <cfRule type="expression" dxfId="4" priority="22">
      <formula>ISNUMBER(SEARCH("Missing",$M3))</formula>
    </cfRule>
    <cfRule type="expression" dxfId="3" priority="23">
      <formula>ISNUMBER(SEARCH("Fixed in",$M3))</formula>
    </cfRule>
    <cfRule type="expression" dxfId="2" priority="24">
      <formula>ISNUMBER(SEARCH("Open",$M3))</formula>
    </cfRule>
  </conditionalFormatting>
  <conditionalFormatting sqref="N25">
    <cfRule type="expression" dxfId="1" priority="2">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2026-09-30T13:50:00Z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