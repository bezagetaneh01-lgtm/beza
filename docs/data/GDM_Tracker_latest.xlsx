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34" documentId="13_ncr:1_{52745E9B-3AA1-4770-AAD3-E6166BFC13AE}" xr6:coauthVersionLast="47" xr6:coauthVersionMax="47" xr10:uidLastSave="{4C805F5B-1B70-4367-8096-E9DDF986B6CE}"/>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<sst xmlns="http://schemas.openxmlformats.org/spreadsheetml/2006/main" count="3234" uniqueCount="474">
  <si>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</si>
  <si>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</si>
  <si>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</si>
  <si>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</si>
  <si>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</si>
  <si>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</si>
  <si>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</si>
  <si>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</si>
  <si>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</si>
  <si>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</si>
  <si>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</si>
  <si>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</si>
  <si>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</si>
  <si>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</si>
  <si>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</si>
  <si>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</si>
  <si>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</si>
  <si>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</si>
  <si>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</si>
  <si>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</si>
  <si>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</si>
  <si>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</si>
  <si>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</si>
  <si>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</si>
  <si>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</si>
  <si>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</si>
  <si>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</si>
  <si>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</si>
  <si>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</si>
  <si>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</si>
  <si>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</si>
  <si>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</si>
  <si>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</si>
  <si>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</si>
  <si>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</si>
  <si>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</si>
  <si>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</si>
  <si>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</si>
  <si>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</si>
  <si>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</si>
  <si>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</si>
  <si>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</si>
  <si>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</si>
  <si>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</si>
  <si>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</si>
  <si>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</si>
  <si>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</si>
  <si>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</si>
  <si>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</si>
  <si>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</si>
  <si>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</si>
  <si>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</si>
  <si>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</si>
  <si>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</si>
  <si>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</si>
  <si>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</si>
  <si>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</si>
  <si>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</si>
  <si>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</si>
  <si>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</si>
  <si>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</si>
  <si>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</si>
  <si>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</si>
  <si>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</si>
  <si>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</si>
  <si>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</si>
  <si>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</si>
  <si>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</si>
  <si>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</si>
  <si>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</si>
  <si>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</si>
  <si>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</si>
  <si>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</si>
  <si>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</si>
  <si>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</si>
  <si>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</si>
  <si>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</si>
  <si>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</si>
  <si>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</si>
  <si>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</si>
  <si>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</si>
  <si>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</si>
  <si>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</si>
  <si>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</si>
  <si>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</si>
  <si>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</si>
  <si>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</si>
  <si>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</si>
  <si>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</si>
  <si>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</si>
  <si>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</si>
  <si>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</si>
  <si>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</si>
  <si>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</si>
  <si>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</si>
  <si>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</si>
  <si>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</si>
  <si>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</si>
  <si>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</si>
  <si>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</si>
  <si>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</si>
  <si>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</si>
  <si>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</si>
  <si>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</si>
  <si>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</si>
  <si>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</si>
  <si>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</si>
  <si>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</si>
  <si>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</si>
  <si>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</si>
  <si>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</si>
  <si>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</si>
  <si>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</si>
  <si>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</si>
  <si>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</si>
  <si>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</si>
  <si>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</si>
  <si>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</si>
  <si>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</si>
  <si>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</si>
  <si>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</si>
  <si>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</si>
  <si>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</si>
  <si>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</si>
  <si>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</si>
  <si>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</si>
  <si>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</si>
  <si>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</si>
  <si>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</si>
  <si>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</si>
  <si>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</si>
  <si>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</si>
  <si>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</si>
  <si>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</si>
  <si>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</si>
  <si>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</si>
  <si>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</si>
  <si>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</si>
  <si>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</si>
  <si>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</si>
  <si>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</si>
  <si>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</si>
  <si>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</si>
  <si>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</si>
  <si>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</si>
  <si>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</si>
  <si>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</si>
  <si>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</si>
  <si>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</si>
  <si>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</si>
  <si>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</si>
  <si>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</si>
  <si>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</si>
  <si>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</si>
  <si>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</si>
  <si>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</si>
  <si>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</si>
  <si>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</si>
  <si>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</si>
  <si>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</si>
  <si>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</si>
  <si>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</si>
  <si>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</si>
  <si>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</si>
  <si>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</si>
  <si>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</si>
  <si>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</si>
  <si>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</si>
  <si>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</si>
  <si>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</si>
  <si>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</si>
  <si>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</si>
  <si>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</si>
  <si>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</si>
  <si>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</si>
  <si>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</si>
  <si>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</si>
  <si>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</si>
  <si>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</si>
  <si>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</si>
  <si>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</si>
  <si>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</si>
  <si>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</si>
  <si>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</si>
  <si>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</si>
  <si>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</si>
  <si>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</si>
  <si>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</si>
  <si>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</si>
  <si>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</si>
  <si>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</si>
  <si>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</si>
  <si>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</si>
  <si>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</si>
  <si>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</si>
  <si>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</si>
  <si>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</si>
  <si>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</si>
  <si>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</si>
  <si>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</si>
  <si>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</si>
  <si>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</si>
  <si>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</si>
  <si>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</si>
  <si>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</si>
  <si>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</si>
  <si>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</si>
  <si>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</si>
  <si>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</si>
  <si>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</si>
  <si>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</si>
  <si>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</si>
  <si>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</si>
  <si>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</si>
  <si>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</si>
  <si>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</si>
  <si>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</si>
  <si>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</si>
  <si>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</si>
  <si>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</si>
  <si>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</si>
  <si>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</si>
  <si>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</si>
  <si>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</si>
  <si>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</si>
  <si>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</si>
  <si>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</si>
  <si>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</si>
  <si>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</si>
  <si>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</si>
  <si>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</si>
  <si>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</si>
  <si>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</si>
  <si>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</si>
  <si>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</si>
  <si>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</si>
  <si>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</si>
  <si>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</si>
  <si>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</si>
  <si>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</si>
  <si>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</si>
  <si>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</si>
  <si>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</si>
  <si>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</si>
  <si>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</si>
  <si>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</si>
  <si>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</si>
  <si>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</si>
  <si>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</si>
  <si>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</si>
  <si>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</si>
  <si>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</si>
  <si>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</si>
  <si>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</si>
  <si>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</si>
  <si>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</si>
  <si>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</si>
  <si>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</si>
  <si>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</si>
  <si>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</si>
  <si>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</si>
  <si>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</si>
  <si>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</si>
  <si>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</si>
  <si>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</si>
  <si>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</si>
  <si>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</si>
  <si>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</si>
  <si>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</si>
  <si>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</si>
  <si>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</si>
  <si>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</si>
  <si>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</si>
  <si>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</si>
  <si>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</si>
  <si>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</si>
  <si>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</si>
  <si>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</si>
  <si>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</si>
  <si>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</si>
  <si>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</si>
  <si>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</si>
  <si>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</si>
  <si>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</si>
  <si>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</si>
  <si>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</si>
  <si>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</si>
  <si>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</si>
  <si>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</si>
  <si>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</si>
  <si>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</si>
  <si>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</si>
  <si>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</si>
  <si>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</si>
  <si>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</si>
  <si>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</si>
  <si>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</si>
  <si>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</si>
  <si>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</si>
  <si>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</si>
  <si>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</si>
  <si>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 S3</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</si>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</sst>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AJ43" sqref="AJ4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c r="Y62" s="36"/>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4"/>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301</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296</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301</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301</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301</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301</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301</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R73:U100 T96:T101">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G66:V73 A2:F87 W2:Y527 A74:V527">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3" t="str">
        <f>IF($B$4="","",IFERROR(INDEX('Combined Delivery Data'!$A:$A,MATCH($B$4,'Combined Delivery Data'!$B:$B,0)),""))</f>
        <v/>
      </c>
      <c r="C6" s="176"/>
      <c r="D6" s="176"/>
      <c r="E6" s="177"/>
    </row>
    <row r="7" spans="1:5">
      <c r="A7" s="42" t="s">
        <v>333</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334</v>
      </c>
      <c r="B14" s="172" t="str">
        <f>IF($B$4="","",IFERROR(INDEX('Combined Delivery Data'!$K:$K,MATCH($B$4,'Combined Delivery Data'!$B:$B,0)),""))</f>
        <v/>
      </c>
      <c r="C14" s="176"/>
      <c r="D14" s="176"/>
      <c r="E14" s="177"/>
    </row>
    <row r="15" spans="1:5">
      <c r="A15" s="42" t="s">
        <v>335</v>
      </c>
      <c r="B15" s="172" t="str">
        <f>IF($B$4="","",IFERROR(INDEX('Combined Delivery Data'!$L:$L,MATCH($B$4,'Combined Delivery Data'!$B:$B,0)),""))</f>
        <v/>
      </c>
      <c r="C15" s="176"/>
      <c r="D15" s="176"/>
      <c r="E15" s="177"/>
    </row>
    <row r="16" spans="1:5">
      <c r="A16" s="42" t="s">
        <v>336</v>
      </c>
      <c r="B16" s="172" t="str">
        <f>IF($B$4="","",IFERROR(INDEX('Combined Delivery Data'!$M:$M,MATCH($B$4,'Combined Delivery Data'!$B:$B,0)),""))</f>
        <v/>
      </c>
      <c r="C16" s="176"/>
      <c r="D16" s="176"/>
      <c r="E16" s="177"/>
    </row>
    <row r="17" spans="1:5">
      <c r="A17" s="42" t="s">
        <v>337</v>
      </c>
      <c r="B17" s="172" t="str">
        <f>IF($B$4="","",IFERROR(INDEX('Combined Delivery Data'!$O:$O,MATCH($B$4,'Combined Delivery Data'!$B:$B,0)),""))</f>
        <v/>
      </c>
      <c r="C17" s="176"/>
      <c r="D17" s="176"/>
      <c r="E17" s="177"/>
    </row>
    <row r="18" spans="1:5">
      <c r="A18" s="42" t="s">
        <v>338</v>
      </c>
      <c r="B18" s="172" t="str">
        <f>IF($B$4="","",IFERROR(INDEX('Combined Delivery Data'!$Q:$Q,MATCH($B$4,'Combined Delivery Data'!$B:$B,0)),""))</f>
        <v/>
      </c>
      <c r="C18" s="176"/>
      <c r="D18" s="176"/>
      <c r="E18" s="177"/>
    </row>
    <row r="19" spans="1:5">
      <c r="A19" s="42" t="s">
        <v>339</v>
      </c>
      <c r="B19" s="172" t="str">
        <f>IF($B$4="","",IFERROR(INDEX('Combined Delivery Data'!$R:$R,MATCH($B$4,'Combined Delivery Data'!$B:$B,0)),""))</f>
        <v/>
      </c>
      <c r="C19" s="176"/>
      <c r="D19" s="176"/>
      <c r="E19" s="177"/>
    </row>
    <row r="20" spans="1:5">
      <c r="A20" s="42" t="s">
        <v>340</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341</v>
      </c>
      <c r="B26" s="173" t="str">
        <f>IF($B$4="","",IFERROR(INDEX('Rework Log'!$Q:$Q,MATCH($B$4,'Rework Log'!$P:$P,0)),""))</f>
        <v/>
      </c>
      <c r="C26" s="176"/>
      <c r="D26" s="176"/>
      <c r="E26" s="177"/>
    </row>
    <row r="27" spans="1:5">
      <c r="A27" s="42" t="s">
        <v>342</v>
      </c>
      <c r="B27" s="173" t="str">
        <f>IF($B$4="","",IFERROR(INDEX('Rework Log'!$R:$R,MATCH($B$4,'Rework Log'!$P:$P,0)),""))</f>
        <v/>
      </c>
      <c r="C27" s="176"/>
      <c r="D27" s="176"/>
      <c r="E27" s="177"/>
    </row>
    <row r="28" spans="1:5">
      <c r="A28" s="42" t="s">
        <v>343</v>
      </c>
      <c r="B28" s="173" t="str">
        <f>IF($B$4="","",IFERROR(INDEX('Rework Log'!$S:$S,MATCH($B$4,'Rework Log'!$P:$P,0)),""))</f>
        <v/>
      </c>
      <c r="C28" s="176"/>
      <c r="D28" s="176"/>
      <c r="E28" s="177"/>
    </row>
    <row r="29" spans="1:5">
      <c r="A29" s="42" t="s">
        <v>344</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L38" sqref="L38"/>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345</v>
      </c>
      <c r="B1" s="171"/>
      <c r="C1" s="171"/>
      <c r="D1" s="171"/>
      <c r="E1" s="171"/>
      <c r="F1" s="171"/>
      <c r="G1" s="171"/>
      <c r="H1" s="171"/>
      <c r="I1" s="171"/>
      <c r="J1" s="171"/>
      <c r="K1" s="171"/>
      <c r="L1" s="171"/>
      <c r="M1" s="171"/>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164</v>
      </c>
      <c r="E43" s="31" t="s">
        <v>129</v>
      </c>
      <c r="F43" s="31" t="s">
        <v>406</v>
      </c>
      <c r="G43" s="31" t="s">
        <v>53</v>
      </c>
      <c r="H43" s="32"/>
      <c r="I43" s="32"/>
      <c r="J43" s="32"/>
      <c r="K43" s="31"/>
      <c r="L43" s="31"/>
      <c r="M43" s="3" t="str">
        <f t="shared" ca="1" si="4"/>
        <v>UNCLAIMED 1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0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306</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2026-09-23T20:06:08Z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