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129" documentId="13_ncr:1_{52745E9B-3AA1-4770-AAD3-E6166BFC13AE}" xr6:coauthVersionLast="47" xr6:coauthVersionMax="47" xr10:uidLastSave="{DB8025FB-4AA5-4CA9-8811-59CFBD37C13E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4" l="1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<sst xmlns="http://schemas.openxmlformats.org/spreadsheetml/2006/main" count="2288" uniqueCount="271">
  <si>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</si>
  <si>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</si>
  <si>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</si>
  <si>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</si>
  <si>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</si>
  <si>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</si>
  <si>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</si>
  <si>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</si>
  <si>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</si>
  <si>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</si>
  <si>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</si>
  <si>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</si>
  <si>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</si>
  <si>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</si>
  <si>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</si>
  <si>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</si>
  <si>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</si>
  <si>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</si>
  <si>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</si>
  <si>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</si>
  <si>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</si>
  <si>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</si>
  <si>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</si>
  <si>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</si>
  <si>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</si>
  <si>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</si>
  <si>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</si>
  <si>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</si>
  <si>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</si>
  <si>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</si>
  <si>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</si>
  <si>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</si>
  <si>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</si>
  <si>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</si>
  <si>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</si>
  <si>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</si>
  <si>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</si>
  <si>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</si>
  <si>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</si>
  <si>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</si>
  <si>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</si>
  <si>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</si>
  <si>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</si>
  <si>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</si>
  <si>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</si>
  <si>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</si>
  <si>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</si>
  <si>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</si>
  <si>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</si>
  <si>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</si>
  <si>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</si>
  <si>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</si>
  <si>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</si>
  <si>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</si>
  <si>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</si>
  <si>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</si>
  <si>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</si>
  <si>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</si>
  <si>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</si>
  <si>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</si>
  <si>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</si>
  <si>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</si>
  <si>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</si>
  <si>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</si>
  <si>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</si>
  <si>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</si>
  <si>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</si>
  <si>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</si>
  <si>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</si>
  <si>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</si>
  <si>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</si>
  <si>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</si>
  <si>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</si>
  <si>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</si>
  <si>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</si>
  <si>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</si>
  <si>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</si>
  <si>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</si>
  <si>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</si>
  <si>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</si>
  <si>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</si>
  <si>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</si>
  <si>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</si>
  <si>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</si>
  <si>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</si>
  <si>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</si>
  <si>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</si>
  <si>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</si>
  <si>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</si>
  <si>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</si>
  <si>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</si>
  <si>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</si>
  <si>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</si>
  <si>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</si>
  <si>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</si>
  <si>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</si>
  <si>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</si>
  <si>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</si>
  <si>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</si>
  <si>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</si>
  <si>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</si>
  <si>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</si>
  <si>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</si>
  <si>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</si>
  <si>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</si>
  <si>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</si>
  <si>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</si>
  <si>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</si>
  <si>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</si>
  <si>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</si>
  <si>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</si>
  <si>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</si>
  <si>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</si>
  <si>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</si>
  <si>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</si>
  <si>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</si>
  <si>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</si>
  <si>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</si>
  <si>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</si>
  <si>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</si>
  <si>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DB Dev</t>
  </si>
  <si>
    <t>Available for Business</t>
  </si>
  <si>
    <t>RPT_02_Warning tag Printout</t>
  </si>
  <si>
    <t>QA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</si>
  <si>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</si>
  <si>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</si>
  <si>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</si>
  <si>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</si>
  <si>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</si>
  <si>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</si>
  <si>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</si>
  <si>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</si>
  <si>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</si>
  <si>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</si>
  <si>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</si>
  <si>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Available for PBI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</si>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</sst>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7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8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7"/>
    <tableColumn id="2" xr3:uid="{00000000-0010-0000-0000-000002000000}" name="Report Name" dataDxfId="46"/>
    <tableColumn id="3" xr3:uid="{00000000-0010-0000-0000-000003000000}" name="Current Status" dataDxfId="45"/>
    <tableColumn id="4" xr3:uid="{00000000-0010-0000-0000-000004000000}" name="Status Flag" dataDxfId="44"/>
    <tableColumn id="5" xr3:uid="{00000000-0010-0000-0000-000005000000}" name="Business Value Rank" dataDxfId="43"/>
    <tableColumn id="6" xr3:uid="{00000000-0010-0000-0000-000006000000}" name="PO" dataDxfId="42"/>
    <tableColumn id="10" xr3:uid="{00000000-0010-0000-0000-00000A000000}" name="Schema" dataDxfId="41"/>
    <tableColumn id="11" xr3:uid="{00000000-0010-0000-0000-00000B000000}" name="Plan Delivery Date" dataDxfId="40"/>
    <tableColumn id="12" xr3:uid="{00000000-0010-0000-0000-00000C000000}" name="Plan Delivery Month" dataDxfId="39"/>
    <tableColumn id="7" xr3:uid="{00000000-0010-0000-0000-000007000000}" name="DB Developer" dataDxfId="38"/>
    <tableColumn id="13" xr3:uid="{00000000-0010-0000-0000-00000D000000}" name="DB Dev Baseline Completion Date" dataDxfId="37"/>
    <tableColumn id="30" xr3:uid="{00000000-0010-0000-0000-00001E000000}" name="DB Dev Reforecast Completion Date" dataDxfId="36"/>
    <tableColumn id="14" xr3:uid="{00000000-0010-0000-0000-00000E000000}" name="DB Dev Actual Completion Date" dataDxfId="35"/>
    <tableColumn id="28" xr3:uid="{EFCDFAEE-1B00-42CE-9649-7541F5DDC136}" name="Sprint DB" dataDxfId="34"/>
    <tableColumn id="8" xr3:uid="{00000000-0010-0000-0000-000008000000}" name="PBI Developer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9" xr3:uid="{00000000-0010-0000-0000-000009000000}" name="QA Tester" dataDxfId="28"/>
    <tableColumn id="17" xr3:uid="{00000000-0010-0000-0000-000011000000}" name="QA Baseline Completion Date" dataDxfId="27"/>
    <tableColumn id="32" xr3:uid="{00000000-0010-0000-0000-000020000000}" name="QA Reforecast Completion Date" dataDxfId="26"/>
    <tableColumn id="18" xr3:uid="{00000000-0010-0000-0000-000012000000}" name="QA Actual Completion Date" dataDxfId="25"/>
    <tableColumn id="34" xr3:uid="{70C5E8CB-08B0-4A84-9B68-89630FC3C5C7}" name="Sprint QA" dataDxfId="24"/>
    <tableColumn id="19" xr3:uid="{00000000-0010-0000-0000-000013000000}" name="DPO Approval Baseline Completion Date" dataDxfId="23"/>
    <tableColumn id="33" xr3:uid="{00000000-0010-0000-0000-000021000000}" name="DPO Approval Reforecast Completion Date" dataDxfId="22"/>
    <tableColumn id="20" xr3:uid="{00000000-0010-0000-0000-000014000000}" name="DPO Approval Reviewer" dataDxfId="21"/>
    <tableColumn id="21" xr3:uid="{00000000-0010-0000-0000-000015000000}" name="Confirmed Deployed?" dataDxfId="20"/>
    <tableColumn id="22" xr3:uid="{00000000-0010-0000-0000-000016000000}" name="Confirmed Deployed Date" dataDxfId="19"/>
    <tableColumn id="23" xr3:uid="{00000000-0010-0000-0000-000017000000}" name="UAT Report URL" dataDxfId="18"/>
    <tableColumn id="24" xr3:uid="{00000000-0010-0000-0000-000018000000}" name="Production URL" dataDxfId="17"/>
    <tableColumn id="25" xr3:uid="{00000000-0010-0000-0000-000019000000}" name="Blocked?" dataDxfId="16"/>
    <tableColumn id="26" xr3:uid="{00000000-0010-0000-0000-00001A000000}" name="Data Check" dataDxfId="15"/>
    <tableColumn id="27" xr3:uid="{00000000-0010-0000-0000-00001B000000}" name="Comments" dataDxfId="14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80" zoomScaleNormal="80" workbookViewId="0">
      <pane xSplit="2" topLeftCell="C1" activePane="topRight" state="frozen"/>
      <selection pane="topRight" activeCell="F34" sqref="F34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9.2851562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On track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/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123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124</v>
      </c>
    </row>
    <row r="32" spans="1:34" ht="14.45">
      <c r="A32" s="33" t="s">
        <v>112</v>
      </c>
      <c r="B32" s="33" t="s">
        <v>125</v>
      </c>
      <c r="C32" s="33" t="s">
        <v>123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126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127</v>
      </c>
    </row>
    <row r="33" spans="1:34" ht="14.45">
      <c r="A33" s="33" t="s">
        <v>112</v>
      </c>
      <c r="B33" s="33" t="s">
        <v>128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46254</v>
      </c>
      <c r="W33" s="36">
        <v>46254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123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131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131</v>
      </c>
      <c r="U34" s="60">
        <v>46227</v>
      </c>
      <c r="V34" s="36">
        <v>46255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132</v>
      </c>
    </row>
    <row r="35" spans="1:34" ht="14.45">
      <c r="A35" s="33" t="s">
        <v>112</v>
      </c>
      <c r="B35" s="33" t="s">
        <v>133</v>
      </c>
      <c r="C35" s="33" t="s">
        <v>134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131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131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131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131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137</v>
      </c>
      <c r="C37" s="33" t="s">
        <v>123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131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46255</v>
      </c>
      <c r="R37" s="36">
        <v>46255</v>
      </c>
      <c r="S37" s="70"/>
      <c r="T37" s="55" t="s">
        <v>131</v>
      </c>
      <c r="U37" s="60">
        <v>46227</v>
      </c>
      <c r="V37" s="36">
        <v>46255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123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33" t="s">
        <v>140</v>
      </c>
      <c r="F38" s="34" t="s">
        <v>131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131</v>
      </c>
      <c r="U38" s="60">
        <v>46227</v>
      </c>
      <c r="V38" s="36">
        <v>46254</v>
      </c>
      <c r="W38" s="36">
        <v>46254</v>
      </c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 t="s">
        <v>142</v>
      </c>
    </row>
    <row r="39" spans="1:34" ht="14.45">
      <c r="A39" s="33" t="s">
        <v>112</v>
      </c>
      <c r="B39" s="33" t="s">
        <v>143</v>
      </c>
      <c r="C39" s="33" t="s">
        <v>123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131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144</v>
      </c>
    </row>
    <row r="40" spans="1:34" ht="14.45">
      <c r="A40" s="33" t="s">
        <v>112</v>
      </c>
      <c r="B40" s="33" t="s">
        <v>145</v>
      </c>
      <c r="C40" s="33" t="s">
        <v>123</v>
      </c>
      <c r="D40" s="3" t="s">
        <v>146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>
        <v>46255</v>
      </c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147</v>
      </c>
    </row>
    <row r="41" spans="1:34" ht="14.45">
      <c r="A41" s="33" t="s">
        <v>112</v>
      </c>
      <c r="B41" s="33" t="s">
        <v>148</v>
      </c>
      <c r="C41" s="33" t="s">
        <v>123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>
        <v>46254</v>
      </c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149</v>
      </c>
    </row>
    <row r="42" spans="1:34" ht="14.45">
      <c r="A42" s="33" t="s">
        <v>112</v>
      </c>
      <c r="B42" s="33" t="s">
        <v>150</v>
      </c>
      <c r="C42" s="33" t="s">
        <v>123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131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151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152</v>
      </c>
      <c r="C43" s="33" t="s">
        <v>134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153</v>
      </c>
      <c r="F43" s="34" t="s">
        <v>131</v>
      </c>
      <c r="G43" s="33"/>
      <c r="H43" s="50">
        <v>46265</v>
      </c>
      <c r="I43" s="62" t="s">
        <v>154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155</v>
      </c>
      <c r="O43" s="66" t="s">
        <v>52</v>
      </c>
      <c r="P43" s="4">
        <v>46241</v>
      </c>
      <c r="Q43" s="36">
        <v>46255</v>
      </c>
      <c r="R43" s="36"/>
      <c r="S43" s="70"/>
      <c r="T43" s="55" t="s">
        <v>40</v>
      </c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156</v>
      </c>
      <c r="C44" s="33" t="s">
        <v>120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131</v>
      </c>
      <c r="G44" s="33"/>
      <c r="H44" s="50">
        <v>46265</v>
      </c>
      <c r="I44" s="62" t="s">
        <v>154</v>
      </c>
      <c r="J44" s="33" t="s">
        <v>51</v>
      </c>
      <c r="K44" s="4">
        <v>46234</v>
      </c>
      <c r="L44" s="36">
        <v>46255</v>
      </c>
      <c r="M44" s="36"/>
      <c r="N44" s="36" t="s">
        <v>155</v>
      </c>
      <c r="O44" s="66" t="s">
        <v>39</v>
      </c>
      <c r="P44" s="4">
        <v>46241</v>
      </c>
      <c r="Q44" s="36"/>
      <c r="R44" s="36"/>
      <c r="S44" s="70"/>
      <c r="T44" s="55" t="s">
        <v>131</v>
      </c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157</v>
      </c>
      <c r="C45" s="33" t="s">
        <v>123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154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155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 t="s">
        <v>115</v>
      </c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158</v>
      </c>
      <c r="C46" s="33" t="s">
        <v>134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154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159</v>
      </c>
      <c r="O46" s="66" t="s">
        <v>52</v>
      </c>
      <c r="P46" s="4">
        <v>46241</v>
      </c>
      <c r="Q46" s="36"/>
      <c r="R46" s="36"/>
      <c r="S46" s="70"/>
      <c r="T46" s="55" t="s">
        <v>115</v>
      </c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160</v>
      </c>
      <c r="C47" s="33" t="s">
        <v>134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154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161</v>
      </c>
      <c r="O47" s="66" t="s">
        <v>69</v>
      </c>
      <c r="P47" s="4">
        <v>46241</v>
      </c>
      <c r="Q47" s="36"/>
      <c r="R47" s="36"/>
      <c r="S47" s="70"/>
      <c r="T47" s="55" t="s">
        <v>115</v>
      </c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162</v>
      </c>
      <c r="C48" s="33" t="s">
        <v>120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131</v>
      </c>
      <c r="G48" s="33"/>
      <c r="H48" s="50">
        <v>46265</v>
      </c>
      <c r="I48" s="62" t="s">
        <v>154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161</v>
      </c>
      <c r="O48" s="66" t="s">
        <v>39</v>
      </c>
      <c r="P48" s="4">
        <v>46241</v>
      </c>
      <c r="Q48" s="36">
        <v>46255</v>
      </c>
      <c r="R48" s="36"/>
      <c r="S48" s="70"/>
      <c r="T48" s="55" t="s">
        <v>131</v>
      </c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163</v>
      </c>
      <c r="C49" s="33" t="s">
        <v>120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154</v>
      </c>
      <c r="J49" s="33" t="s">
        <v>141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 t="s">
        <v>115</v>
      </c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164</v>
      </c>
      <c r="C50" s="33" t="s">
        <v>134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131</v>
      </c>
      <c r="G50" s="33"/>
      <c r="H50" s="50">
        <v>46265</v>
      </c>
      <c r="I50" s="62" t="s">
        <v>154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161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 t="s">
        <v>131</v>
      </c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165</v>
      </c>
      <c r="C51" s="33" t="s">
        <v>134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131</v>
      </c>
      <c r="G51" s="33"/>
      <c r="H51" s="50">
        <v>46265</v>
      </c>
      <c r="I51" s="62" t="s">
        <v>154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161</v>
      </c>
      <c r="O51" s="66" t="s">
        <v>69</v>
      </c>
      <c r="P51" s="4">
        <v>46241</v>
      </c>
      <c r="Q51" s="36">
        <v>46255</v>
      </c>
      <c r="R51" s="36"/>
      <c r="S51" s="70"/>
      <c r="T51" s="55" t="s">
        <v>131</v>
      </c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166</v>
      </c>
      <c r="C52" s="33" t="s">
        <v>120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154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161</v>
      </c>
      <c r="O52" s="66" t="s">
        <v>39</v>
      </c>
      <c r="P52" s="4">
        <v>46241</v>
      </c>
      <c r="Q52" s="36"/>
      <c r="R52" s="36"/>
      <c r="S52" s="70"/>
      <c r="T52" s="55" t="s">
        <v>40</v>
      </c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 t="s">
        <v>167</v>
      </c>
    </row>
    <row r="53" spans="1:34" ht="14.45">
      <c r="A53" s="33" t="s">
        <v>112</v>
      </c>
      <c r="B53" s="33" t="s">
        <v>168</v>
      </c>
      <c r="C53" s="33" t="s">
        <v>134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131</v>
      </c>
      <c r="G53" s="33"/>
      <c r="H53" s="50">
        <v>46265</v>
      </c>
      <c r="I53" s="62" t="s">
        <v>154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 t="s">
        <v>40</v>
      </c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169</v>
      </c>
      <c r="C54" s="33" t="s">
        <v>134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154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 t="s">
        <v>40</v>
      </c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170</v>
      </c>
      <c r="C55" s="33" t="s">
        <v>171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172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173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174</v>
      </c>
      <c r="C56" s="33" t="s">
        <v>171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172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173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 t="s">
        <v>167</v>
      </c>
    </row>
    <row r="57" spans="1:34" ht="14.45">
      <c r="A57" s="33" t="s">
        <v>112</v>
      </c>
      <c r="B57" s="33" t="s">
        <v>175</v>
      </c>
      <c r="C57" s="33" t="s">
        <v>171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172</v>
      </c>
      <c r="J57" s="33" t="s">
        <v>105</v>
      </c>
      <c r="K57" s="4">
        <v>46262</v>
      </c>
      <c r="L57" s="36">
        <v>46254</v>
      </c>
      <c r="M57" s="36"/>
      <c r="N57" s="36" t="s">
        <v>173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 t="s">
        <v>167</v>
      </c>
    </row>
    <row r="58" spans="1:34" ht="14.45">
      <c r="A58" s="33" t="s">
        <v>112</v>
      </c>
      <c r="B58" s="33" t="s">
        <v>176</v>
      </c>
      <c r="C58" s="33" t="s">
        <v>171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172</v>
      </c>
      <c r="J58" s="33" t="s">
        <v>105</v>
      </c>
      <c r="K58" s="4">
        <v>46262</v>
      </c>
      <c r="L58" s="36">
        <v>46254</v>
      </c>
      <c r="M58" s="36"/>
      <c r="N58" s="36" t="s">
        <v>173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177</v>
      </c>
      <c r="C59" s="33" t="s">
        <v>123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172</v>
      </c>
      <c r="J59" s="33" t="s">
        <v>38</v>
      </c>
      <c r="K59" s="4">
        <v>46262</v>
      </c>
      <c r="L59" s="36">
        <v>46253</v>
      </c>
      <c r="M59" s="36">
        <v>46253</v>
      </c>
      <c r="N59" s="36" t="s">
        <v>173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178</v>
      </c>
      <c r="C60" s="33" t="s">
        <v>120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172</v>
      </c>
      <c r="J60" s="33" t="s">
        <v>141</v>
      </c>
      <c r="K60" s="4">
        <v>46262</v>
      </c>
      <c r="L60" s="36">
        <v>46255</v>
      </c>
      <c r="M60" s="36">
        <v>46255</v>
      </c>
      <c r="N60" s="36" t="s">
        <v>173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179</v>
      </c>
      <c r="C61" s="33" t="s">
        <v>123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172</v>
      </c>
      <c r="J61" s="33" t="s">
        <v>38</v>
      </c>
      <c r="K61" s="4">
        <v>46262</v>
      </c>
      <c r="L61" s="36">
        <v>46255</v>
      </c>
      <c r="M61" s="36"/>
      <c r="N61" s="36" t="s">
        <v>173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180</v>
      </c>
      <c r="C62" s="33" t="s">
        <v>171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172</v>
      </c>
      <c r="J62" s="33" t="s">
        <v>76</v>
      </c>
      <c r="K62" s="4">
        <v>46262</v>
      </c>
      <c r="L62" s="36"/>
      <c r="M62" s="36"/>
      <c r="N62" s="36" t="s">
        <v>173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181</v>
      </c>
      <c r="C63" s="33" t="s">
        <v>171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172</v>
      </c>
      <c r="J63" s="33" t="s">
        <v>76</v>
      </c>
      <c r="K63" s="4">
        <v>46276</v>
      </c>
      <c r="L63" s="36"/>
      <c r="M63" s="36"/>
      <c r="N63" s="36" t="s">
        <v>173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182</v>
      </c>
      <c r="C64" s="33" t="s">
        <v>171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172</v>
      </c>
      <c r="J64" s="33" t="s">
        <v>94</v>
      </c>
      <c r="K64" s="4">
        <v>46276</v>
      </c>
      <c r="L64" s="36"/>
      <c r="M64" s="36"/>
      <c r="N64" s="36" t="s">
        <v>173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183</v>
      </c>
      <c r="C65" s="33" t="s">
        <v>120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172</v>
      </c>
      <c r="J65" s="33" t="s">
        <v>141</v>
      </c>
      <c r="K65" s="4">
        <v>46276</v>
      </c>
      <c r="L65" s="36"/>
      <c r="M65" s="36"/>
      <c r="N65" s="36" t="s">
        <v>173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184</v>
      </c>
      <c r="C66" s="33" t="s">
        <v>171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172</v>
      </c>
      <c r="J66" s="33" t="s">
        <v>38</v>
      </c>
      <c r="K66" s="4">
        <v>46276</v>
      </c>
      <c r="L66" s="36"/>
      <c r="M66" s="36"/>
      <c r="N66" s="36" t="s">
        <v>173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185</v>
      </c>
      <c r="C67" s="33" t="s">
        <v>171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172</v>
      </c>
      <c r="J67" s="33" t="s">
        <v>38</v>
      </c>
      <c r="K67" s="4">
        <v>46276</v>
      </c>
      <c r="L67" s="36"/>
      <c r="M67" s="36"/>
      <c r="N67" s="36" t="s">
        <v>173</v>
      </c>
      <c r="O67" s="64" t="s">
        <v>52</v>
      </c>
      <c r="P67" s="4">
        <v>46286</v>
      </c>
      <c r="Q67" s="36">
        <v>46254</v>
      </c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186</v>
      </c>
      <c r="C68" s="33" t="s">
        <v>171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172</v>
      </c>
      <c r="J68" s="33" t="s">
        <v>38</v>
      </c>
      <c r="K68" s="4">
        <v>46276</v>
      </c>
      <c r="L68" s="36"/>
      <c r="M68" s="36"/>
      <c r="N68" s="36" t="s">
        <v>173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187</v>
      </c>
      <c r="C69" s="33" t="s">
        <v>171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172</v>
      </c>
      <c r="J69" s="33" t="s">
        <v>51</v>
      </c>
      <c r="K69" s="4">
        <v>46276</v>
      </c>
      <c r="L69" s="36"/>
      <c r="M69" s="36"/>
      <c r="N69" s="36" t="s">
        <v>173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188</v>
      </c>
      <c r="C70" s="33" t="s">
        <v>171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172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189</v>
      </c>
      <c r="C71" s="33" t="s">
        <v>171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172</v>
      </c>
      <c r="J71" s="33" t="s">
        <v>38</v>
      </c>
      <c r="K71" s="4">
        <v>46276</v>
      </c>
      <c r="L71" s="36"/>
      <c r="M71" s="36"/>
      <c r="N71" s="36" t="s">
        <v>173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190</v>
      </c>
      <c r="C72" s="33" t="s">
        <v>171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172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96" priority="20">
      <formula>ISNUMBER(SEARCH("no target",$D2))</formula>
    </cfRule>
    <cfRule type="expression" dxfId="95" priority="18">
      <formula>ISNUMBER(SEARCH("Blocked",$D2))</formula>
    </cfRule>
    <cfRule type="expression" dxfId="94" priority="19">
      <formula>ISNUMBER(SEARCH("overdue",$D2))</formula>
    </cfRule>
    <cfRule type="expression" dxfId="93" priority="21">
      <formula>ISNUMBER(SEARCH("Review",$D2))</formula>
    </cfRule>
    <cfRule type="expression" dxfId="92" priority="22">
      <formula>OR($D2="On track",$D2="Delivered")</formula>
    </cfRule>
  </conditionalFormatting>
  <conditionalFormatting sqref="J2:N164">
    <cfRule type="expression" dxfId="91" priority="1">
      <formula>$AF2="Yes – needs DB Dev to fix"</formula>
    </cfRule>
  </conditionalFormatting>
  <conditionalFormatting sqref="K40:K41">
    <cfRule type="expression" dxfId="90" priority="8">
      <formula>$AF40="Yes – needs PBI Dev to fix"</formula>
    </cfRule>
  </conditionalFormatting>
  <conditionalFormatting sqref="K41">
    <cfRule type="expression" dxfId="89" priority="285">
      <formula>$AF41="Yes – needs DB Dev to fix"</formula>
    </cfRule>
    <cfRule type="expression" dxfId="88" priority="284">
      <formula>AND($B41&lt;&gt;"",MOD(ROW(),2)=0)</formula>
    </cfRule>
  </conditionalFormatting>
  <conditionalFormatting sqref="K42">
    <cfRule type="expression" dxfId="87" priority="286">
      <formula>AND($B41&lt;&gt;"",MOD(ROW(),2)=0)</formula>
    </cfRule>
    <cfRule type="expression" dxfId="86" priority="287">
      <formula>$AF41="Yes – needs DB Dev to fix"</formula>
    </cfRule>
  </conditionalFormatting>
  <conditionalFormatting sqref="K73:L73">
    <cfRule type="expression" dxfId="85" priority="93">
      <formula>$AB73="Yes – needs DB Dev to fix"</formula>
    </cfRule>
  </conditionalFormatting>
  <conditionalFormatting sqref="K74:L499">
    <cfRule type="expression" dxfId="84" priority="27">
      <formula>$Y74="Yes – needs DB Dev to fix"</formula>
    </cfRule>
  </conditionalFormatting>
  <conditionalFormatting sqref="M73:O73">
    <cfRule type="expression" dxfId="83" priority="278">
      <formula>$AA73="Yes – needs PBI Dev to fix"</formula>
    </cfRule>
  </conditionalFormatting>
  <conditionalFormatting sqref="M74:O499">
    <cfRule type="expression" dxfId="82" priority="280">
      <formula>$Y74="Yes – needs PBI Dev to fix"</formula>
    </cfRule>
  </conditionalFormatting>
  <conditionalFormatting sqref="P73">
    <cfRule type="expression" dxfId="81" priority="97">
      <formula>$AB73="Yes – needs PBI Dev to fix"</formula>
    </cfRule>
  </conditionalFormatting>
  <conditionalFormatting sqref="P74:Q499">
    <cfRule type="expression" dxfId="80" priority="29">
      <formula>$Y74="Yes – needs QA to fix"</formula>
    </cfRule>
  </conditionalFormatting>
  <conditionalFormatting sqref="P2:T73">
    <cfRule type="expression" dxfId="79" priority="15">
      <formula>$AF2="Yes – needs PBI Dev to fix"</formula>
    </cfRule>
  </conditionalFormatting>
  <conditionalFormatting sqref="Q73:T73">
    <cfRule type="expression" dxfId="78" priority="99">
      <formula>$AB73="Yes – needs QA to fix"</formula>
    </cfRule>
  </conditionalFormatting>
  <conditionalFormatting sqref="R74:T499">
    <cfRule type="expression" dxfId="77" priority="30">
      <formula>$Y74="Yes – needs DPO Approval to fix"</formula>
    </cfRule>
  </conditionalFormatting>
  <conditionalFormatting sqref="T10:U19 J29 M29:O29 J32:J33 M32:O33 M40:O41">
    <cfRule type="expression" dxfId="76" priority="17">
      <formula>$AF10="Yes – needs PBI Dev to fix"</formula>
    </cfRule>
  </conditionalFormatting>
  <conditionalFormatting sqref="T74:U499">
    <cfRule type="expression" dxfId="75" priority="26">
      <formula>$U74="Yes"</formula>
    </cfRule>
  </conditionalFormatting>
  <conditionalFormatting sqref="T73:V73">
    <cfRule type="expression" dxfId="74" priority="101">
      <formula>$AB73="Yes – needs DPO Approval to fix"</formula>
    </cfRule>
  </conditionalFormatting>
  <conditionalFormatting sqref="T2:X73">
    <cfRule type="expression" dxfId="73" priority="72">
      <formula>$AF2="Yes – needs QA to fix"</formula>
    </cfRule>
  </conditionalFormatting>
  <conditionalFormatting sqref="V74:AA499 G43:U499 A2:F499 G2:U40 L41:U42 G41:J42 V2:AH2 V3:X3 Z3:AH3 V4:AH72 V73:AD73">
    <cfRule type="expression" dxfId="72" priority="34">
      <formula>AND($B2&lt;&gt;"",MOD(ROW(),2)=0)</formula>
    </cfRule>
  </conditionalFormatting>
  <conditionalFormatting sqref="W73:X73">
    <cfRule type="expression" dxfId="71" priority="103">
      <formula>$W73="Yes"</formula>
    </cfRule>
  </conditionalFormatting>
  <conditionalFormatting sqref="Y3">
    <cfRule type="expression" dxfId="70" priority="289">
      <formula>$AF3="Yes – needs DPO Approval to fix"</formula>
    </cfRule>
    <cfRule type="expression" dxfId="69" priority="288">
      <formula>AND($B3&lt;&gt;"",MOD(ROW(),2)=0)</formula>
    </cfRule>
  </conditionalFormatting>
  <conditionalFormatting sqref="Y74:Y499">
    <cfRule type="expression" dxfId="68" priority="23">
      <formula>LEFT($Y74,3)="Yes"</formula>
    </cfRule>
  </conditionalFormatting>
  <conditionalFormatting sqref="Y2:AA2 Z3:AA3 Y4:AA73">
    <cfRule type="expression" dxfId="67" priority="75">
      <formula>$AF2="Yes – needs DPO Approval to fix"</formula>
    </cfRule>
  </conditionalFormatting>
  <conditionalFormatting sqref="Z74:Z499">
    <cfRule type="expression" dxfId="66" priority="32">
      <formula>ISNUMBER(SEARCH("Duplicate",$Z74))</formula>
    </cfRule>
    <cfRule type="expression" dxfId="65" priority="31">
      <formula>ISNUMBER(SEARCH("Open rework",$Z74))</formula>
    </cfRule>
    <cfRule type="expression" dxfId="64" priority="31">
      <formula>ISNUMBER(SEARCH("Move old",$Z74))</formula>
    </cfRule>
    <cfRule type="expression" dxfId="63" priority="33">
      <formula>$Z74&lt;&gt;""</formula>
    </cfRule>
    <cfRule type="expression" dxfId="62" priority="31">
      <formula>ISNUMBER(SEARCH("log it",$Z74))</formula>
    </cfRule>
  </conditionalFormatting>
  <conditionalFormatting sqref="AB2:AB73">
    <cfRule type="expression" dxfId="61" priority="47">
      <formula>$AB2="Yes"</formula>
    </cfRule>
  </conditionalFormatting>
  <conditionalFormatting sqref="AB73">
    <cfRule type="expression" dxfId="60" priority="105">
      <formula>LEFT($AB73,3)="Yes"</formula>
    </cfRule>
  </conditionalFormatting>
  <conditionalFormatting sqref="AC73"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  <cfRule type="expression" dxfId="55" priority="111">
      <formula>ISNUMBER(SEARCH("Open rework",$AC73))</formula>
    </cfRule>
  </conditionalFormatting>
  <conditionalFormatting sqref="AF2:AF73">
    <cfRule type="expression" dxfId="54" priority="49">
      <formula>LEFT($AF2,3)="Yes"</formula>
    </cfRule>
  </conditionalFormatting>
  <conditionalFormatting sqref="AG2:AG73">
    <cfRule type="expression" dxfId="53" priority="55">
      <formula>ISNUMBER(SEARCH("log it",$AG2))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  <cfRule type="expression" dxfId="49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191</v>
      </c>
    </row>
    <row r="2" spans="1:5">
      <c r="A2" s="6" t="s">
        <v>192</v>
      </c>
    </row>
    <row r="4" spans="1:5" ht="21.95" customHeight="1">
      <c r="A4" s="5" t="s">
        <v>193</v>
      </c>
      <c r="B4" s="79"/>
      <c r="C4" s="80"/>
      <c r="D4" s="80"/>
      <c r="E4" s="80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194</v>
      </c>
      <c r="B14" s="76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195</v>
      </c>
      <c r="B15" s="76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196</v>
      </c>
      <c r="B16" s="76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197</v>
      </c>
      <c r="B17" s="76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198</v>
      </c>
      <c r="B18" s="76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199</v>
      </c>
      <c r="B19" s="76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200</v>
      </c>
      <c r="B20" s="76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201</v>
      </c>
      <c r="B26" s="77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202</v>
      </c>
      <c r="B27" s="77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203</v>
      </c>
      <c r="B28" s="77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204</v>
      </c>
      <c r="B29" s="77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7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19" sqref="B19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8" t="s">
        <v>205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206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207</v>
      </c>
      <c r="C2" s="17" t="s">
        <v>208</v>
      </c>
      <c r="D2" s="17" t="s">
        <v>209</v>
      </c>
      <c r="E2" s="17" t="s">
        <v>210</v>
      </c>
      <c r="F2" s="17" t="s">
        <v>211</v>
      </c>
      <c r="G2" s="17" t="s">
        <v>212</v>
      </c>
      <c r="H2" s="30" t="s">
        <v>213</v>
      </c>
      <c r="I2" s="30" t="s">
        <v>214</v>
      </c>
      <c r="J2" s="30" t="s">
        <v>215</v>
      </c>
      <c r="K2" s="30" t="s">
        <v>216</v>
      </c>
      <c r="L2" s="30" t="s">
        <v>217</v>
      </c>
      <c r="M2" s="21" t="s">
        <v>218</v>
      </c>
      <c r="N2" s="21" t="s">
        <v>219</v>
      </c>
      <c r="P2" s="13" t="s">
        <v>1</v>
      </c>
      <c r="Q2" s="13" t="s">
        <v>201</v>
      </c>
      <c r="R2" s="13" t="s">
        <v>202</v>
      </c>
      <c r="S2" s="13" t="s">
        <v>203</v>
      </c>
      <c r="T2" s="13" t="s">
        <v>204</v>
      </c>
    </row>
    <row r="3" spans="1:20">
      <c r="A3" s="33" t="s">
        <v>130</v>
      </c>
      <c r="B3" s="36">
        <v>46230</v>
      </c>
      <c r="C3" s="33" t="s">
        <v>123</v>
      </c>
      <c r="D3" s="33" t="s">
        <v>120</v>
      </c>
      <c r="E3" s="33" t="s">
        <v>131</v>
      </c>
      <c r="F3" s="33" t="s">
        <v>220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25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123</v>
      </c>
      <c r="D4" s="31" t="s">
        <v>120</v>
      </c>
      <c r="E4" s="31" t="s">
        <v>131</v>
      </c>
      <c r="F4" s="31" t="s">
        <v>221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222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123</v>
      </c>
      <c r="D5" s="31" t="s">
        <v>120</v>
      </c>
      <c r="E5" s="31" t="s">
        <v>115</v>
      </c>
      <c r="F5" s="31" t="s">
        <v>223</v>
      </c>
      <c r="G5" s="31" t="s">
        <v>42</v>
      </c>
      <c r="H5" s="32"/>
      <c r="I5" s="32"/>
      <c r="J5" s="32"/>
      <c r="K5" s="31"/>
      <c r="L5" s="31"/>
      <c r="M5" s="3" t="str">
        <f t="shared" ca="1" si="4"/>
        <v>UNCLAIMED 17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128</v>
      </c>
      <c r="B6" s="32">
        <v>46234</v>
      </c>
      <c r="C6" s="31" t="s">
        <v>123</v>
      </c>
      <c r="D6" s="31" t="s">
        <v>120</v>
      </c>
      <c r="E6" s="31" t="s">
        <v>115</v>
      </c>
      <c r="F6" s="31" t="s">
        <v>224</v>
      </c>
      <c r="G6" s="31" t="s">
        <v>42</v>
      </c>
      <c r="H6" s="32"/>
      <c r="I6" s="32"/>
      <c r="J6" s="32"/>
      <c r="K6" s="31"/>
      <c r="L6" s="31"/>
      <c r="M6" s="3" t="str">
        <f t="shared" ca="1" si="4"/>
        <v>UNCLAIMED 21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123</v>
      </c>
      <c r="D7" s="31" t="s">
        <v>120</v>
      </c>
      <c r="E7" s="31" t="s">
        <v>115</v>
      </c>
      <c r="F7" s="31" t="s">
        <v>225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16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123</v>
      </c>
      <c r="D8" s="31" t="s">
        <v>120</v>
      </c>
      <c r="E8" s="31" t="s">
        <v>115</v>
      </c>
      <c r="F8" s="31" t="s">
        <v>226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9 d</v>
      </c>
      <c r="N8" t="s">
        <v>227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130</v>
      </c>
      <c r="B9" s="32">
        <v>46251</v>
      </c>
      <c r="C9" s="31" t="s">
        <v>123</v>
      </c>
      <c r="D9" s="31" t="s">
        <v>120</v>
      </c>
      <c r="E9" s="31" t="s">
        <v>131</v>
      </c>
      <c r="F9" s="31" t="s">
        <v>228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4 d</v>
      </c>
      <c r="N9" t="s">
        <v>227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139</v>
      </c>
      <c r="B10" s="32">
        <v>46237</v>
      </c>
      <c r="C10" s="31" t="s">
        <v>123</v>
      </c>
      <c r="D10" s="31" t="s">
        <v>120</v>
      </c>
      <c r="E10" s="31" t="s">
        <v>131</v>
      </c>
      <c r="F10" s="31" t="s">
        <v>221</v>
      </c>
      <c r="G10" s="31" t="s">
        <v>42</v>
      </c>
      <c r="H10" s="32"/>
      <c r="I10" s="32"/>
      <c r="J10" s="32"/>
      <c r="K10" s="31"/>
      <c r="L10" s="31"/>
      <c r="M10" s="3" t="str">
        <f t="shared" ca="1" si="4"/>
        <v>UNCLAIMED 18 d</v>
      </c>
      <c r="N10" t="s">
        <v>227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119</v>
      </c>
      <c r="B11" s="32">
        <v>46254</v>
      </c>
      <c r="C11" s="31" t="s">
        <v>123</v>
      </c>
      <c r="D11" s="31" t="s">
        <v>120</v>
      </c>
      <c r="E11" s="31" t="s">
        <v>115</v>
      </c>
      <c r="F11" s="31" t="s">
        <v>223</v>
      </c>
      <c r="G11" s="31" t="s">
        <v>45</v>
      </c>
      <c r="H11" s="32"/>
      <c r="I11" s="32"/>
      <c r="J11" s="32"/>
      <c r="K11" s="31"/>
      <c r="L11" s="31"/>
      <c r="M11" s="3" t="str">
        <f t="shared" ca="1" si="4"/>
        <v>UNCLAIMED 1 d</v>
      </c>
      <c r="N11" t="s">
        <v>42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139</v>
      </c>
      <c r="B12" s="32">
        <v>46254</v>
      </c>
      <c r="C12" s="31" t="s">
        <v>123</v>
      </c>
      <c r="D12" s="31" t="s">
        <v>120</v>
      </c>
      <c r="E12" s="31" t="s">
        <v>131</v>
      </c>
      <c r="F12" s="31" t="s">
        <v>229</v>
      </c>
      <c r="G12" s="31" t="s">
        <v>45</v>
      </c>
      <c r="H12" s="32"/>
      <c r="I12" s="32"/>
      <c r="J12" s="32"/>
      <c r="K12" s="31"/>
      <c r="L12" s="31"/>
      <c r="M12" s="3" t="str">
        <f t="shared" ca="1" si="4"/>
        <v>UNCLAIMED 1 d</v>
      </c>
      <c r="N12" t="s">
        <v>45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123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123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123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123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123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123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123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123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123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123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123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123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123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123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123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123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123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123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123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123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3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123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123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123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123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1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123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123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123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123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3</v>
      </c>
      <c r="R40">
        <f t="shared" si="1"/>
        <v>1</v>
      </c>
      <c r="S40" s="28">
        <f t="shared" si="2"/>
        <v>46254</v>
      </c>
      <c r="T40" t="str">
        <f t="shared" si="3"/>
        <v>QA -&gt; DB Dev</v>
      </c>
    </row>
    <row r="41" spans="1:20">
      <c r="A41" s="31"/>
      <c r="B41" s="32"/>
      <c r="C41" s="31" t="s">
        <v>123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123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123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123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123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123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123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123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123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123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123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123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123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123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123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123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123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123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123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123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123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123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123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123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123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123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123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123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123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123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123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123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123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123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123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488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123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488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123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488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123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488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123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488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123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488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123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488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123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488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123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488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123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488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123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488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123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488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123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488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123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488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123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488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123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488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123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488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123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488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123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488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123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488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123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488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123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488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123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488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123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488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123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488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123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488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123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488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123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488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123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488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123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488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123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488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123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488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123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488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123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488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123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488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123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488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123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488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123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488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123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488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123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488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123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488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123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488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123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488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123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488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123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488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123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488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123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488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123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488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123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488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123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488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123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488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123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488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123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488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123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488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123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488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123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488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123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488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123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488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123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488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123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488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123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488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123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488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123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488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123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488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123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488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123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488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123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488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123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488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123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488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123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488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123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488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123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488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123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488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123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488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123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488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123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488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123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488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123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488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123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488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123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488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123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488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123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488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123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488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123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488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123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488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123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488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123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488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123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488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123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488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123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488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123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488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123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488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123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488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123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488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123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488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123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488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123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488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123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488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123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488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123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488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123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488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123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488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123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488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123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488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123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488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123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488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123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488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123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488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123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488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123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488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123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488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123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488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123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488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123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488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123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488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123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488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123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488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123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488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123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488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123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488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123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488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123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488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123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488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123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488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123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488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123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488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488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488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488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488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488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488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488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488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488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488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488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488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488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488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488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488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488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488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488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488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488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488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488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488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488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488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488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488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488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488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488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488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488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488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488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488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488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488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488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488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488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488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488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488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488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488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488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488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488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488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488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488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488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488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488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488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488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488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488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488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488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488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488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488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488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488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488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488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488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488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488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488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488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488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488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488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488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488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488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488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488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488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488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488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488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488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488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488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488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488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488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488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488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488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488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488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488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488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488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488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488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488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488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488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488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488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488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488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488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488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488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488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488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488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488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488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488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488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488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488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488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488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488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488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488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488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488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488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488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488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488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488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488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488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488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488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488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488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488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488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488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488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488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488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488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488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488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488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488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488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488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488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488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488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488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488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488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488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488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488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488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488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488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488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488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488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488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488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488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488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488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488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488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488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488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488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488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488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488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488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488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488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488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488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488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488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488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488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488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488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488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488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488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488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488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488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488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488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488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488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488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488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488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488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488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488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488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488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488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488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488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488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488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488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488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488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488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488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488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488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488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488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488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488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488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488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488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488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488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488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488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488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488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488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488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488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488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488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488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488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488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488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488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488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488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488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488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488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488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488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488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488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488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488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488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488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488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488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488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488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488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488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488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488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488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488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488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488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488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488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488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488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488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488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488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488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488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488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488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488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488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488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488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488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488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488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488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488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488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488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488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488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488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488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488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488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488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488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488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488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3">
      <formula>AND($B5&lt;&gt;"",MOD(ROW(),2)=0)</formula>
    </cfRule>
  </conditionalFormatting>
  <conditionalFormatting sqref="A3:H3 K3:M3 A4:M4 M4:M11 B5:M8 A9:M10 A13:M500 B11:M12">
    <cfRule type="expression" dxfId="12" priority="13">
      <formula>AND($A3&lt;&gt;"",$G3="Yes")</formula>
    </cfRule>
    <cfRule type="expression" dxfId="11" priority="14">
      <formula>AND($A3&lt;&gt;"",$J3&lt;&gt;"")</formula>
    </cfRule>
    <cfRule type="expression" dxfId="10" priority="15">
      <formula>$A3&lt;&gt;""</formula>
    </cfRule>
  </conditionalFormatting>
  <conditionalFormatting sqref="C3:C200">
    <cfRule type="expression" dxfId="9" priority="16">
      <formula>$A3=""</formula>
    </cfRule>
  </conditionalFormatting>
  <conditionalFormatting sqref="G3:G200">
    <cfRule type="expression" dxfId="8" priority="17">
      <formula>$A3=""</formula>
    </cfRule>
  </conditionalFormatting>
  <conditionalFormatting sqref="K3:M3 A4:M4 M4:M11 B5:M8 A3:H3 A9:M10 A13:M500 B11:M12">
    <cfRule type="expression" dxfId="7" priority="12">
      <formula>AND($A3&lt;&gt;"",$G3="Did not pass re-test")</formula>
    </cfRule>
  </conditionalFormatting>
  <conditionalFormatting sqref="M3:M500">
    <cfRule type="expression" dxfId="6" priority="6">
      <formula>ISNUMBER(SEARCH("Sent back again",$M3))</formula>
    </cfRule>
    <cfRule type="expression" dxfId="5" priority="7">
      <formula>ISNUMBER(SEARCH("LATE",$M3))</formula>
    </cfRule>
    <cfRule type="expression" dxfId="4" priority="8">
      <formula>ISNUMBER(SEARCH("UNCLAIMED",$M3))</formula>
    </cfRule>
    <cfRule type="expression" dxfId="3" priority="9">
      <formula>ISNUMBER(SEARCH("Missing",$M3))</formula>
    </cfRule>
    <cfRule type="expression" dxfId="2" priority="10">
      <formula>ISNUMBER(SEARCH("Fixed in",$M3))</formula>
    </cfRule>
    <cfRule type="expression" dxfId="1" priority="11">
      <formula>ISNUMBER(SEARCH("Open",$M3))</formula>
    </cfRule>
  </conditionalFormatting>
  <conditionalFormatting sqref="A11:A12">
    <cfRule type="expression" dxfId="0" priority="1">
      <formula>AND($B11&lt;&gt;"",MOD(ROW(),2)=0)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A9:A10 A12:A500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230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231</v>
      </c>
      <c r="C2" s="8" t="s">
        <v>1</v>
      </c>
      <c r="D2" s="8" t="s">
        <v>232</v>
      </c>
      <c r="E2" s="8" t="s">
        <v>233</v>
      </c>
      <c r="F2" s="8" t="s">
        <v>6</v>
      </c>
      <c r="G2" s="8" t="s">
        <v>5</v>
      </c>
      <c r="H2" s="8" t="s">
        <v>234</v>
      </c>
      <c r="I2" s="8" t="s">
        <v>235</v>
      </c>
      <c r="J2" s="8" t="s">
        <v>236</v>
      </c>
    </row>
    <row r="3" spans="1:10" ht="14.25" customHeight="1">
      <c r="A3" s="9" t="s">
        <v>34</v>
      </c>
      <c r="B3" s="9" t="s">
        <v>120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134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123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120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134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123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120</v>
      </c>
      <c r="C13" s="9" t="s">
        <v>237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134</v>
      </c>
      <c r="C14" s="9" t="s">
        <v>237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123</v>
      </c>
      <c r="C15" s="9" t="s">
        <v>237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237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237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120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134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123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120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134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123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120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134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123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120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134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123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120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134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123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120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134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123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120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134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123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120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134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123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120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134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123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120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134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123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120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134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123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120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134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123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120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134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123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120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134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123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120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134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123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120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134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123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120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134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123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120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134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123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120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134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123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120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134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123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120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134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123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120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134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123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120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134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123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120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134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123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120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134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123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120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134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123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120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134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123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120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134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123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120</v>
      </c>
      <c r="C150" s="9" t="s">
        <v>125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134</v>
      </c>
      <c r="C151" s="9" t="s">
        <v>125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123</v>
      </c>
      <c r="C152" s="9" t="s">
        <v>125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120</v>
      </c>
      <c r="C153" s="9" t="s">
        <v>128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134</v>
      </c>
      <c r="C154" s="9" t="s">
        <v>128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123</v>
      </c>
      <c r="C155" s="9" t="s">
        <v>128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120</v>
      </c>
      <c r="C156" s="9" t="s">
        <v>130</v>
      </c>
      <c r="D156" s="9" t="s">
        <v>76</v>
      </c>
      <c r="E156" s="9" t="s">
        <v>52</v>
      </c>
      <c r="F156" s="9"/>
      <c r="G156" s="9" t="s">
        <v>131</v>
      </c>
      <c r="H156" s="9"/>
      <c r="I156" s="9"/>
      <c r="J156" s="9"/>
    </row>
    <row r="157" spans="1:10">
      <c r="A157" s="3" t="s">
        <v>112</v>
      </c>
      <c r="B157" s="3" t="s">
        <v>120</v>
      </c>
      <c r="C157" s="3" t="s">
        <v>133</v>
      </c>
      <c r="D157" s="3" t="s">
        <v>105</v>
      </c>
      <c r="E157" s="3" t="s">
        <v>39</v>
      </c>
      <c r="F157" s="3"/>
      <c r="G157" s="3" t="s">
        <v>131</v>
      </c>
      <c r="H157" s="3"/>
      <c r="I157" s="3"/>
      <c r="J157" s="3"/>
    </row>
    <row r="158" spans="1:10">
      <c r="A158" s="3" t="s">
        <v>112</v>
      </c>
      <c r="B158" s="3" t="s">
        <v>120</v>
      </c>
      <c r="C158" s="3" t="s">
        <v>136</v>
      </c>
      <c r="D158" s="3" t="s">
        <v>105</v>
      </c>
      <c r="E158" s="3" t="s">
        <v>39</v>
      </c>
      <c r="F158" s="3"/>
      <c r="G158" s="3" t="s">
        <v>131</v>
      </c>
      <c r="H158" s="3"/>
      <c r="I158" s="3"/>
      <c r="J158" s="3"/>
    </row>
    <row r="159" spans="1:10">
      <c r="A159" s="3" t="s">
        <v>112</v>
      </c>
      <c r="B159" s="3" t="s">
        <v>134</v>
      </c>
      <c r="C159" s="3" t="s">
        <v>136</v>
      </c>
      <c r="D159" s="3" t="s">
        <v>105</v>
      </c>
      <c r="E159" s="3" t="s">
        <v>39</v>
      </c>
      <c r="F159" s="3"/>
      <c r="G159" s="3" t="s">
        <v>131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123</v>
      </c>
      <c r="C160" s="3" t="s">
        <v>136</v>
      </c>
      <c r="D160" s="3" t="s">
        <v>105</v>
      </c>
      <c r="E160" s="3" t="s">
        <v>39</v>
      </c>
      <c r="F160" s="3"/>
      <c r="G160" s="3" t="s">
        <v>131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120</v>
      </c>
      <c r="C161" s="3" t="s">
        <v>137</v>
      </c>
      <c r="D161" s="3" t="s">
        <v>76</v>
      </c>
      <c r="E161" s="3" t="s">
        <v>52</v>
      </c>
      <c r="F161" s="3"/>
      <c r="G161" s="3" t="s">
        <v>131</v>
      </c>
      <c r="H161" s="3"/>
      <c r="I161" s="3"/>
      <c r="J161" s="3"/>
    </row>
    <row r="162" spans="1:10">
      <c r="A162" s="3" t="s">
        <v>112</v>
      </c>
      <c r="B162" s="3" t="s">
        <v>134</v>
      </c>
      <c r="C162" s="3" t="s">
        <v>137</v>
      </c>
      <c r="D162" s="3" t="s">
        <v>76</v>
      </c>
      <c r="E162" s="3" t="s">
        <v>52</v>
      </c>
      <c r="F162" s="3"/>
      <c r="G162" s="3" t="s">
        <v>131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123</v>
      </c>
      <c r="C163" s="3" t="s">
        <v>137</v>
      </c>
      <c r="D163" s="3" t="s">
        <v>76</v>
      </c>
      <c r="E163" s="3" t="s">
        <v>52</v>
      </c>
      <c r="F163" s="3"/>
      <c r="G163" s="3" t="s">
        <v>131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120</v>
      </c>
      <c r="C164" s="3" t="s">
        <v>139</v>
      </c>
      <c r="D164" s="3" t="s">
        <v>141</v>
      </c>
      <c r="E164" s="3" t="s">
        <v>52</v>
      </c>
      <c r="F164" s="3"/>
      <c r="G164" s="3" t="s">
        <v>131</v>
      </c>
      <c r="H164" s="3"/>
      <c r="I164" s="3"/>
      <c r="J164" s="3"/>
    </row>
    <row r="165" spans="1:10">
      <c r="A165" s="3" t="s">
        <v>112</v>
      </c>
      <c r="B165" s="3" t="s">
        <v>134</v>
      </c>
      <c r="C165" s="3" t="s">
        <v>139</v>
      </c>
      <c r="D165" s="3" t="s">
        <v>141</v>
      </c>
      <c r="E165" s="3" t="s">
        <v>52</v>
      </c>
      <c r="F165" s="3"/>
      <c r="G165" s="3" t="s">
        <v>131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123</v>
      </c>
      <c r="C166" s="3" t="s">
        <v>139</v>
      </c>
      <c r="D166" s="3" t="s">
        <v>141</v>
      </c>
      <c r="E166" s="3" t="s">
        <v>52</v>
      </c>
      <c r="F166" s="3"/>
      <c r="G166" s="3" t="s">
        <v>131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120</v>
      </c>
      <c r="C167" s="3" t="s">
        <v>143</v>
      </c>
      <c r="D167" s="3" t="s">
        <v>141</v>
      </c>
      <c r="E167" s="3" t="s">
        <v>69</v>
      </c>
      <c r="F167" s="3"/>
      <c r="G167" s="3" t="s">
        <v>131</v>
      </c>
      <c r="H167" s="3"/>
      <c r="I167" s="3"/>
      <c r="J167" s="3"/>
    </row>
    <row r="168" spans="1:10">
      <c r="A168" s="3" t="s">
        <v>112</v>
      </c>
      <c r="B168" s="3" t="s">
        <v>134</v>
      </c>
      <c r="C168" s="3" t="s">
        <v>143</v>
      </c>
      <c r="D168" s="3" t="s">
        <v>141</v>
      </c>
      <c r="E168" s="3" t="s">
        <v>69</v>
      </c>
      <c r="F168" s="3"/>
      <c r="G168" s="3" t="s">
        <v>131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123</v>
      </c>
      <c r="C169" s="3" t="s">
        <v>143</v>
      </c>
      <c r="D169" s="3" t="s">
        <v>141</v>
      </c>
      <c r="E169" s="3" t="s">
        <v>69</v>
      </c>
      <c r="F169" s="3"/>
      <c r="G169" s="3" t="s">
        <v>131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120</v>
      </c>
      <c r="C170" s="3" t="s">
        <v>145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134</v>
      </c>
      <c r="C171" s="3" t="s">
        <v>145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123</v>
      </c>
      <c r="C172" s="3" t="s">
        <v>145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120</v>
      </c>
      <c r="C173" s="3" t="s">
        <v>148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134</v>
      </c>
      <c r="C174" s="3" t="s">
        <v>148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123</v>
      </c>
      <c r="C175" s="3" t="s">
        <v>148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120</v>
      </c>
      <c r="C176" s="3" t="s">
        <v>150</v>
      </c>
      <c r="D176" s="3" t="s">
        <v>68</v>
      </c>
      <c r="E176" s="3" t="s">
        <v>69</v>
      </c>
      <c r="F176" s="3"/>
      <c r="G176" s="3" t="s">
        <v>131</v>
      </c>
      <c r="H176" s="3"/>
      <c r="I176" s="3"/>
      <c r="J176" s="3"/>
    </row>
    <row r="177" spans="1:10">
      <c r="A177" s="3" t="s">
        <v>112</v>
      </c>
      <c r="B177" s="3" t="s">
        <v>134</v>
      </c>
      <c r="C177" s="3" t="s">
        <v>150</v>
      </c>
      <c r="D177" s="3" t="s">
        <v>68</v>
      </c>
      <c r="E177" s="3" t="s">
        <v>69</v>
      </c>
      <c r="F177" s="3"/>
      <c r="G177" s="3" t="s">
        <v>131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123</v>
      </c>
      <c r="C178" s="3" t="s">
        <v>150</v>
      </c>
      <c r="D178" s="3" t="s">
        <v>68</v>
      </c>
      <c r="E178" s="3" t="s">
        <v>69</v>
      </c>
      <c r="F178" s="3"/>
      <c r="G178" s="3" t="s">
        <v>131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120</v>
      </c>
      <c r="C179" s="3" t="s">
        <v>152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134</v>
      </c>
      <c r="C180" s="3" t="s">
        <v>152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123</v>
      </c>
      <c r="C181" s="3" t="s">
        <v>152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120</v>
      </c>
      <c r="C182" s="3" t="s">
        <v>158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134</v>
      </c>
      <c r="C183" s="3" t="s">
        <v>158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123</v>
      </c>
      <c r="C184" s="3" t="s">
        <v>158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238</v>
      </c>
      <c r="B1" s="80"/>
      <c r="C1" s="80"/>
    </row>
    <row r="2" spans="1:3" ht="14.25" customHeight="1">
      <c r="A2" s="8" t="s">
        <v>0</v>
      </c>
      <c r="B2" s="8" t="s">
        <v>239</v>
      </c>
      <c r="C2" s="8" t="s">
        <v>235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240</v>
      </c>
      <c r="B11" s="11">
        <v>18</v>
      </c>
      <c r="C11" s="12">
        <v>46386</v>
      </c>
    </row>
    <row r="12" spans="1:3" ht="14.25" customHeight="1">
      <c r="A12" s="11" t="s">
        <v>240</v>
      </c>
      <c r="B12" s="11">
        <v>18</v>
      </c>
      <c r="C12" s="12">
        <v>46417</v>
      </c>
    </row>
    <row r="13" spans="1:3" ht="14.25" customHeight="1">
      <c r="A13" s="11" t="s">
        <v>240</v>
      </c>
      <c r="B13" s="11">
        <v>19</v>
      </c>
      <c r="C13" s="12">
        <v>46446</v>
      </c>
    </row>
    <row r="14" spans="1:3" ht="14.25" customHeight="1">
      <c r="A14" s="11" t="s">
        <v>241</v>
      </c>
      <c r="B14" s="11">
        <v>9</v>
      </c>
      <c r="C14" s="12">
        <v>46476</v>
      </c>
    </row>
    <row r="15" spans="1:3" ht="14.25" customHeight="1">
      <c r="A15" s="11" t="s">
        <v>242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243</v>
      </c>
      <c r="F1" s="1" t="s">
        <v>2</v>
      </c>
      <c r="G1" s="5" t="s">
        <v>244</v>
      </c>
      <c r="H1" s="5" t="s">
        <v>19</v>
      </c>
      <c r="I1" t="s">
        <v>31</v>
      </c>
      <c r="J1" s="5" t="s">
        <v>245</v>
      </c>
      <c r="K1" s="5" t="s">
        <v>114</v>
      </c>
      <c r="L1" s="5" t="s">
        <v>212</v>
      </c>
      <c r="M1" s="1" t="s">
        <v>246</v>
      </c>
      <c r="N1" s="1" t="s">
        <v>247</v>
      </c>
    </row>
    <row r="2" spans="1:14" ht="13.5" customHeight="1">
      <c r="A2" s="2" t="s">
        <v>248</v>
      </c>
      <c r="B2" s="2" t="s">
        <v>249</v>
      </c>
      <c r="C2" s="2" t="s">
        <v>250</v>
      </c>
      <c r="D2" s="2" t="s">
        <v>251</v>
      </c>
      <c r="E2" s="2" t="s">
        <v>252</v>
      </c>
      <c r="F2" s="2" t="s">
        <v>253</v>
      </c>
      <c r="G2" t="s">
        <v>254</v>
      </c>
      <c r="H2" t="s">
        <v>255</v>
      </c>
      <c r="I2" t="s">
        <v>256</v>
      </c>
      <c r="J2" s="29" t="s">
        <v>257</v>
      </c>
      <c r="K2" s="29" t="s">
        <v>258</v>
      </c>
      <c r="L2" s="29" t="s">
        <v>259</v>
      </c>
      <c r="M2" t="s">
        <v>131</v>
      </c>
      <c r="N2" s="45" t="s">
        <v>260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171</v>
      </c>
      <c r="G3" t="s">
        <v>38</v>
      </c>
      <c r="H3" t="s">
        <v>40</v>
      </c>
      <c r="I3" t="s">
        <v>45</v>
      </c>
      <c r="J3" t="s">
        <v>120</v>
      </c>
      <c r="K3" t="s">
        <v>41</v>
      </c>
      <c r="L3" t="s">
        <v>45</v>
      </c>
      <c r="M3" t="s">
        <v>38</v>
      </c>
      <c r="N3" s="45" t="s">
        <v>261</v>
      </c>
    </row>
    <row r="4" spans="1:14" ht="15" customHeight="1">
      <c r="A4" t="s">
        <v>112</v>
      </c>
      <c r="B4" t="s">
        <v>51</v>
      </c>
      <c r="C4" t="s">
        <v>39</v>
      </c>
      <c r="D4" t="s">
        <v>131</v>
      </c>
      <c r="E4" t="s">
        <v>45</v>
      </c>
      <c r="F4" t="s">
        <v>120</v>
      </c>
      <c r="G4" t="s">
        <v>51</v>
      </c>
      <c r="H4" t="s">
        <v>80</v>
      </c>
      <c r="I4" t="s">
        <v>262</v>
      </c>
      <c r="J4" t="s">
        <v>134</v>
      </c>
      <c r="L4" t="s">
        <v>42</v>
      </c>
      <c r="M4" t="s">
        <v>94</v>
      </c>
      <c r="N4" s="45" t="s">
        <v>261</v>
      </c>
    </row>
    <row r="5" spans="1:14" ht="15" customHeight="1">
      <c r="A5" t="s">
        <v>240</v>
      </c>
      <c r="B5" t="s">
        <v>57</v>
      </c>
      <c r="C5" t="s">
        <v>69</v>
      </c>
      <c r="F5" t="s">
        <v>134</v>
      </c>
      <c r="G5" t="s">
        <v>57</v>
      </c>
      <c r="H5" t="s">
        <v>115</v>
      </c>
      <c r="I5" t="s">
        <v>126</v>
      </c>
      <c r="J5" t="s">
        <v>123</v>
      </c>
      <c r="L5" t="s">
        <v>263</v>
      </c>
      <c r="M5" t="s">
        <v>80</v>
      </c>
      <c r="N5" s="45" t="s">
        <v>261</v>
      </c>
    </row>
    <row r="6" spans="1:14" ht="15" customHeight="1">
      <c r="A6" t="s">
        <v>241</v>
      </c>
      <c r="B6" t="s">
        <v>76</v>
      </c>
      <c r="F6" t="s">
        <v>123</v>
      </c>
      <c r="G6" t="s">
        <v>76</v>
      </c>
      <c r="H6" t="s">
        <v>131</v>
      </c>
      <c r="I6" t="s">
        <v>264</v>
      </c>
      <c r="J6" t="s">
        <v>114</v>
      </c>
      <c r="M6" t="s">
        <v>41</v>
      </c>
      <c r="N6" s="45" t="s">
        <v>261</v>
      </c>
    </row>
    <row r="7" spans="1:14" ht="15" customHeight="1">
      <c r="A7" t="s">
        <v>242</v>
      </c>
      <c r="B7" t="s">
        <v>105</v>
      </c>
      <c r="F7" t="s">
        <v>114</v>
      </c>
      <c r="G7" t="s">
        <v>105</v>
      </c>
      <c r="I7" t="s">
        <v>265</v>
      </c>
      <c r="M7" t="s">
        <v>115</v>
      </c>
      <c r="N7" s="45" t="s">
        <v>261</v>
      </c>
    </row>
    <row r="8" spans="1:14" ht="15" customHeight="1">
      <c r="B8" t="s">
        <v>68</v>
      </c>
      <c r="F8" t="s">
        <v>36</v>
      </c>
      <c r="G8" t="s">
        <v>68</v>
      </c>
      <c r="I8" t="s">
        <v>266</v>
      </c>
      <c r="M8" t="s">
        <v>52</v>
      </c>
      <c r="N8" s="45" t="s">
        <v>261</v>
      </c>
    </row>
    <row r="9" spans="1:14" ht="15" customHeight="1">
      <c r="B9" t="s">
        <v>94</v>
      </c>
      <c r="G9" t="s">
        <v>94</v>
      </c>
      <c r="I9" t="s">
        <v>267</v>
      </c>
      <c r="M9" t="s">
        <v>141</v>
      </c>
      <c r="N9" s="45" t="s">
        <v>261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261</v>
      </c>
    </row>
    <row r="11" spans="1:14">
      <c r="B11" t="s">
        <v>268</v>
      </c>
      <c r="G11" t="s">
        <v>52</v>
      </c>
      <c r="M11" t="s">
        <v>68</v>
      </c>
      <c r="N11" s="45" t="s">
        <v>261</v>
      </c>
    </row>
    <row r="12" spans="1:14">
      <c r="B12" t="s">
        <v>269</v>
      </c>
      <c r="G12" t="s">
        <v>39</v>
      </c>
      <c r="M12" t="s">
        <v>39</v>
      </c>
      <c r="N12" s="45" t="s">
        <v>261</v>
      </c>
    </row>
    <row r="13" spans="1:14">
      <c r="G13" t="s">
        <v>69</v>
      </c>
      <c r="M13" t="s">
        <v>69</v>
      </c>
      <c r="N13" s="45" t="s">
        <v>261</v>
      </c>
    </row>
    <row r="14" spans="1:14">
      <c r="M14" t="s">
        <v>76</v>
      </c>
      <c r="N14" s="45" t="s">
        <v>270</v>
      </c>
    </row>
    <row r="15" spans="1:14">
      <c r="M15" t="s">
        <v>51</v>
      </c>
      <c r="N15" s="45" t="s">
        <v>261</v>
      </c>
    </row>
    <row r="16" spans="1:14">
      <c r="M16" t="s">
        <v>105</v>
      </c>
      <c r="N16" s="45" t="s">
        <v>261</v>
      </c>
    </row>
    <row r="17" spans="13:14">
      <c r="M17" t="s">
        <v>57</v>
      </c>
      <c r="N17" s="45" t="s">
        <v>261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Bardia Mouhebat</cp:lastModifiedBy>
  <cp:revision>0</cp:revision>
  <dcterms:created xsi:type="dcterms:W3CDTF">2026-07-21T14:32:59Z</dcterms:created>
  <dcterms:modified xsi:type="dcterms:W3CDTF">2026-08-21T17:55:32Z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