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76" documentId="13_ncr:1_{52745E9B-3AA1-4770-AAD3-E6166BFC13AE}" xr6:coauthVersionLast="47" xr6:coauthVersionMax="47" xr10:uidLastSave="{680E4A97-F302-4DDB-8D54-9B17F5BB5368}"/>
  <bookViews>
    <workbookView minimized="1" xWindow="15190" yWindow="4380" windowWidth="17630" windowHeight="863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D47" i="2" s="1" a="1"/>
  <c r="D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<sst xmlns="http://schemas.openxmlformats.org/spreadsheetml/2006/main" count="2925" uniqueCount="409">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</sst>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  <filterColumn colId="8">
      <filters>
        <filter val="August"/>
        <filter val="September"/>
      </filters>
    </filterColumn>
    <filterColumn colId="15">
      <filters>
        <filter val="Shraddha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opLeftCell="A39" zoomScaleNormal="100" workbookViewId="0">
      <pane xSplit="2" topLeftCell="R22" activePane="topRight" state="frozen"/>
      <selection pane="topRight" activeCell="W35" sqref="W35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46</v>
      </c>
      <c r="V45" s="60">
        <v>46255</v>
      </c>
      <c r="W45" s="36">
        <v>46265</v>
      </c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 hidden="1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140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 hidden="1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 hidden="1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hidden="1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idden="1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 hidden="1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210</v>
      </c>
      <c r="C61" s="33" t="s">
        <v>205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 hidden="1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 hidden="1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Overdue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4">
        <v>46262</v>
      </c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 hidden="1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 hidden="1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222</v>
      </c>
      <c r="C68" s="82" t="s">
        <v>178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223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224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225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226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 hidden="1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 hidden="1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 hidden="1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idden="1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idden="1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idden="1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idden="1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idden="1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idden="1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idden="1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idden="1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idden="1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idden="1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idden="1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idden="1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idden="1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idden="1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idden="1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idden="1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idden="1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idden="1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idden="1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idden="1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idden="1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idden="1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idden="1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idden="1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idden="1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idden="1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idden="1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idden="1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 hidden="1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 hidden="1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 hidden="1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 hidden="1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 hidden="1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 hidden="1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 hidden="1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 hidden="1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 hidden="1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 hidden="1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 hidden="1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 hidden="1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 hidden="1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 hidden="1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 hidden="1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2:F115 A101:AD526 W46:AK46 W45:AJ45 W42:AJ42 A74:AG100 W4:AK41 W48:AK72 G43:V73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102"/>
      <c r="C4" s="103"/>
      <c r="D4" s="103"/>
      <c r="E4" s="103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4"/>
      <c r="D6" s="104"/>
      <c r="E6" s="105"/>
    </row>
    <row r="7" spans="1:5">
      <c r="A7" s="42" t="s">
        <v>323</v>
      </c>
      <c r="B7" s="101" t="str">
        <f>IF($B$4="","",IFERROR(INDEX('Combined Delivery Data'!$C:$C,MATCH($B$4,'Combined Delivery Data'!$B:$B,0)),""))</f>
        <v/>
      </c>
      <c r="C7" s="104"/>
      <c r="D7" s="104"/>
      <c r="E7" s="105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4"/>
      <c r="D8" s="104"/>
      <c r="E8" s="105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4"/>
      <c r="D9" s="104"/>
      <c r="E9" s="105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4"/>
      <c r="D10" s="104"/>
      <c r="E10" s="105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4"/>
      <c r="D11" s="104"/>
      <c r="E11" s="105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4"/>
      <c r="D12" s="104"/>
      <c r="E12" s="105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4"/>
      <c r="D13" s="104"/>
      <c r="E13" s="105"/>
    </row>
    <row r="14" spans="1:5">
      <c r="A14" s="42" t="s">
        <v>324</v>
      </c>
      <c r="B14" s="100" t="str">
        <f>IF($B$4="","",IFERROR(INDEX('Combined Delivery Data'!$K:$K,MATCH($B$4,'Combined Delivery Data'!$B:$B,0)),""))</f>
        <v/>
      </c>
      <c r="C14" s="104"/>
      <c r="D14" s="104"/>
      <c r="E14" s="105"/>
    </row>
    <row r="15" spans="1:5">
      <c r="A15" s="42" t="s">
        <v>325</v>
      </c>
      <c r="B15" s="100" t="str">
        <f>IF($B$4="","",IFERROR(INDEX('Combined Delivery Data'!$L:$L,MATCH($B$4,'Combined Delivery Data'!$B:$B,0)),""))</f>
        <v/>
      </c>
      <c r="C15" s="104"/>
      <c r="D15" s="104"/>
      <c r="E15" s="105"/>
    </row>
    <row r="16" spans="1:5">
      <c r="A16" s="42" t="s">
        <v>326</v>
      </c>
      <c r="B16" s="100" t="str">
        <f>IF($B$4="","",IFERROR(INDEX('Combined Delivery Data'!$M:$M,MATCH($B$4,'Combined Delivery Data'!$B:$B,0)),""))</f>
        <v/>
      </c>
      <c r="C16" s="104"/>
      <c r="D16" s="104"/>
      <c r="E16" s="105"/>
    </row>
    <row r="17" spans="1:5">
      <c r="A17" s="42" t="s">
        <v>327</v>
      </c>
      <c r="B17" s="100" t="str">
        <f>IF($B$4="","",IFERROR(INDEX('Combined Delivery Data'!$O:$O,MATCH($B$4,'Combined Delivery Data'!$B:$B,0)),""))</f>
        <v/>
      </c>
      <c r="C17" s="104"/>
      <c r="D17" s="104"/>
      <c r="E17" s="105"/>
    </row>
    <row r="18" spans="1:5">
      <c r="A18" s="42" t="s">
        <v>328</v>
      </c>
      <c r="B18" s="100" t="str">
        <f>IF($B$4="","",IFERROR(INDEX('Combined Delivery Data'!$Q:$Q,MATCH($B$4,'Combined Delivery Data'!$B:$B,0)),""))</f>
        <v/>
      </c>
      <c r="C18" s="104"/>
      <c r="D18" s="104"/>
      <c r="E18" s="105"/>
    </row>
    <row r="19" spans="1:5">
      <c r="A19" s="42" t="s">
        <v>329</v>
      </c>
      <c r="B19" s="100" t="str">
        <f>IF($B$4="","",IFERROR(INDEX('Combined Delivery Data'!$R:$R,MATCH($B$4,'Combined Delivery Data'!$B:$B,0)),""))</f>
        <v/>
      </c>
      <c r="C19" s="104"/>
      <c r="D19" s="104"/>
      <c r="E19" s="105"/>
    </row>
    <row r="20" spans="1:5">
      <c r="A20" s="42" t="s">
        <v>330</v>
      </c>
      <c r="B20" s="100" t="str">
        <f>IF($B$4="","",IFERROR(INDEX('Combined Delivery Data'!$S:$S,MATCH($B$4,'Combined Delivery Data'!$B:$B,0)),""))</f>
        <v/>
      </c>
      <c r="C20" s="104"/>
      <c r="D20" s="104"/>
      <c r="E20" s="105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4"/>
      <c r="D21" s="104"/>
      <c r="E21" s="105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4"/>
      <c r="D22" s="104"/>
      <c r="E22" s="105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4"/>
      <c r="D23" s="104"/>
      <c r="E23" s="105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4"/>
      <c r="D24" s="104"/>
      <c r="E24" s="105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4"/>
      <c r="D25" s="104"/>
      <c r="E25" s="105"/>
    </row>
    <row r="26" spans="1:5">
      <c r="A26" s="42" t="s">
        <v>331</v>
      </c>
      <c r="B26" s="101" t="str">
        <f>IF($B$4="","",IFERROR(INDEX('Rework Log'!$Q:$Q,MATCH($B$4,'Rework Log'!$P:$P,0)),""))</f>
        <v/>
      </c>
      <c r="C26" s="104"/>
      <c r="D26" s="104"/>
      <c r="E26" s="105"/>
    </row>
    <row r="27" spans="1:5">
      <c r="A27" s="42" t="s">
        <v>332</v>
      </c>
      <c r="B27" s="101" t="str">
        <f>IF($B$4="","",IFERROR(INDEX('Rework Log'!$R:$R,MATCH($B$4,'Rework Log'!$P:$P,0)),""))</f>
        <v/>
      </c>
      <c r="C27" s="104"/>
      <c r="D27" s="104"/>
      <c r="E27" s="105"/>
    </row>
    <row r="28" spans="1:5">
      <c r="A28" s="42" t="s">
        <v>333</v>
      </c>
      <c r="B28" s="101" t="str">
        <f>IF($B$4="","",IFERROR(INDEX('Rework Log'!$S:$S,MATCH($B$4,'Rework Log'!$P:$P,0)),""))</f>
        <v/>
      </c>
      <c r="C28" s="104"/>
      <c r="D28" s="104"/>
      <c r="E28" s="105"/>
    </row>
    <row r="29" spans="1:5">
      <c r="A29" s="42" t="s">
        <v>334</v>
      </c>
      <c r="B29" s="101" t="str">
        <f>IF($B$4="","",IFERROR(INDEX('Rework Log'!$T:$T,MATCH($B$4,'Rework Log'!$P:$P,0)),""))</f>
        <v/>
      </c>
      <c r="C29" s="104"/>
      <c r="D29" s="104"/>
      <c r="E29" s="105"/>
    </row>
    <row r="30" spans="1:5" ht="15.6" customHeight="1">
      <c r="A30" s="42"/>
      <c r="B30" s="101"/>
      <c r="C30" s="104"/>
      <c r="D30" s="104"/>
      <c r="E30" s="105"/>
    </row>
    <row r="31" spans="1:5" ht="15.6" customHeight="1">
      <c r="A31" s="5" t="s">
        <v>36</v>
      </c>
      <c r="B31" s="106" t="str">
        <f>IF($B$4="","",IFERROR(INDEX('Combined Delivery Data'!$AC:$AC,MATCH($B$4,'Combined Delivery Data'!$B:$B,0)),""))</f>
        <v/>
      </c>
      <c r="C31" s="103"/>
      <c r="D31" s="103"/>
      <c r="E31" s="10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F21" sqref="F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99" t="s">
        <v>335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P1" s="107" t="s">
        <v>336</v>
      </c>
      <c r="Q1" s="107"/>
      <c r="R1" s="107"/>
      <c r="S1" s="107"/>
      <c r="T1" s="107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34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3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140</v>
      </c>
      <c r="D19" s="31" t="s">
        <v>178</v>
      </c>
      <c r="E19" s="31" t="s">
        <v>146</v>
      </c>
      <c r="F19" s="31" t="s">
        <v>367</v>
      </c>
      <c r="G19" s="31" t="s">
        <v>52</v>
      </c>
      <c r="H19" s="32"/>
      <c r="I19" s="32"/>
      <c r="J19" s="32"/>
      <c r="K19" s="31"/>
      <c r="L19" s="31"/>
      <c r="M19" s="3" t="str">
        <f t="shared" ca="1" si="0"/>
        <v>UNCLAIMED 2 d</v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3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46262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481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481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481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481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481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481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481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481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481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481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481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481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481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481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481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481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481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481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481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481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481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481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481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481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481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481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481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481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481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481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481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481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481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481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481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481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481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481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481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481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481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481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481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481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481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481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481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481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481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481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481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481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481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481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481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481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481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481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481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481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481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481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481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481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481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481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481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481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481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481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481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481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481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481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481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481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481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481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481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481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481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481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481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481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481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481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481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481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481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481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481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481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481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481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481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481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481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481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481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481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481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481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481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481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481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481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481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481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481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481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481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481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481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481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481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481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481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481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481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481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481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481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481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481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481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481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481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481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481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481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481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481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481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481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481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481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481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481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481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481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481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481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481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481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481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481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481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481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481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481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481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481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481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481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481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481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481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481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481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481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481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481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481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481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481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481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481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481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481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481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481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481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481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481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481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481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481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481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481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481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481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481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481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481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481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481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481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481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481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481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481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481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481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481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481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481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481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481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481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481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481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481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481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481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481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481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481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481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481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481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481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481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481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481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481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481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481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481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481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481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481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481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481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481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481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481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481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481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481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481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481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481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481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481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481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481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481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481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481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481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481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481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481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481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481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481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481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481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481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481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481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481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481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481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481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481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481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481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481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481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481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481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481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481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481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481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481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481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481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481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481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481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481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481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481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481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481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481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481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481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481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481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481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481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481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481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481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481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481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481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481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481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481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481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481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481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481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481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481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481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481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481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481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481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481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481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481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481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481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481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481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481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481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481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481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481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481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481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481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481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481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481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481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481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481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481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481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481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481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481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481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481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481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481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481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481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481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481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481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481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481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481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481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481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481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481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481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481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481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481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481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481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481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481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481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481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481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481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481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481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481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481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481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481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481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481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481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481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481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481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481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481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481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481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481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481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481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481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481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481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481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481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481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481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481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481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481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481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481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481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481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481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481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481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481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481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481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481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481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481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481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481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481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481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481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481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481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481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481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481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8" t="s">
        <v>368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0" ht="27" customHeight="1">
      <c r="A2" s="8" t="s">
        <v>0</v>
      </c>
      <c r="B2" s="8" t="s">
        <v>369</v>
      </c>
      <c r="C2" s="8" t="s">
        <v>1</v>
      </c>
      <c r="D2" s="8" t="s">
        <v>370</v>
      </c>
      <c r="E2" s="8" t="s">
        <v>371</v>
      </c>
      <c r="F2" s="8" t="s">
        <v>6</v>
      </c>
      <c r="G2" s="8" t="s">
        <v>5</v>
      </c>
      <c r="H2" s="8" t="s">
        <v>372</v>
      </c>
      <c r="I2" s="8" t="s">
        <v>373</v>
      </c>
      <c r="J2" s="8" t="s">
        <v>374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375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375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375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375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375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09" t="s">
        <v>376</v>
      </c>
      <c r="B1" s="103"/>
      <c r="C1" s="103"/>
    </row>
    <row r="2" spans="1:3" ht="14.25" customHeight="1">
      <c r="A2" s="8" t="s">
        <v>0</v>
      </c>
      <c r="B2" s="8" t="s">
        <v>377</v>
      </c>
      <c r="C2" s="8" t="s">
        <v>373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378</v>
      </c>
      <c r="B11" s="11">
        <v>18</v>
      </c>
      <c r="C11" s="12">
        <v>46386</v>
      </c>
    </row>
    <row r="12" spans="1:3" ht="14.25" customHeight="1">
      <c r="A12" s="11" t="s">
        <v>378</v>
      </c>
      <c r="B12" s="11">
        <v>18</v>
      </c>
      <c r="C12" s="12">
        <v>46417</v>
      </c>
    </row>
    <row r="13" spans="1:3" ht="14.25" customHeight="1">
      <c r="A13" s="11" t="s">
        <v>378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379</v>
      </c>
      <c r="F1" s="1" t="s">
        <v>323</v>
      </c>
      <c r="G1" s="5" t="s">
        <v>380</v>
      </c>
      <c r="H1" s="5" t="s">
        <v>20</v>
      </c>
      <c r="I1" t="s">
        <v>34</v>
      </c>
      <c r="J1" s="5" t="s">
        <v>381</v>
      </c>
      <c r="K1" s="5" t="s">
        <v>128</v>
      </c>
      <c r="L1" s="5" t="s">
        <v>342</v>
      </c>
      <c r="M1" s="1" t="s">
        <v>382</v>
      </c>
      <c r="N1" s="1" t="s">
        <v>383</v>
      </c>
      <c r="R1" t="s">
        <v>13</v>
      </c>
      <c r="T1" t="s">
        <v>384</v>
      </c>
    </row>
    <row r="2" spans="1:20" ht="13.5" customHeight="1">
      <c r="A2" s="2" t="s">
        <v>385</v>
      </c>
      <c r="B2" s="2" t="s">
        <v>386</v>
      </c>
      <c r="C2" s="2" t="s">
        <v>387</v>
      </c>
      <c r="D2" s="2" t="s">
        <v>388</v>
      </c>
      <c r="E2" s="2" t="s">
        <v>389</v>
      </c>
      <c r="F2" s="2" t="s">
        <v>390</v>
      </c>
      <c r="G2" t="s">
        <v>391</v>
      </c>
      <c r="H2" t="s">
        <v>392</v>
      </c>
      <c r="I2" t="s">
        <v>393</v>
      </c>
      <c r="J2" s="29" t="s">
        <v>394</v>
      </c>
      <c r="K2" s="29" t="s">
        <v>395</v>
      </c>
      <c r="L2" s="29" t="s">
        <v>396</v>
      </c>
      <c r="M2" t="s">
        <v>146</v>
      </c>
      <c r="N2" s="45" t="s">
        <v>397</v>
      </c>
      <c r="R2" t="s">
        <v>398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399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400</v>
      </c>
      <c r="J4" t="s">
        <v>178</v>
      </c>
      <c r="L4" t="s">
        <v>49</v>
      </c>
      <c r="M4" t="s">
        <v>102</v>
      </c>
      <c r="N4" s="45" t="s">
        <v>399</v>
      </c>
      <c r="R4" t="s">
        <v>193</v>
      </c>
      <c r="T4" t="s">
        <v>71</v>
      </c>
    </row>
    <row r="5" spans="1:20" ht="15" customHeight="1">
      <c r="A5" t="s">
        <v>378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401</v>
      </c>
      <c r="J5" t="s">
        <v>140</v>
      </c>
      <c r="L5" t="s">
        <v>402</v>
      </c>
      <c r="M5" t="s">
        <v>87</v>
      </c>
      <c r="N5" s="45" t="s">
        <v>399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399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403</v>
      </c>
      <c r="M7" t="s">
        <v>129</v>
      </c>
      <c r="N7" s="45" t="s">
        <v>399</v>
      </c>
    </row>
    <row r="8" spans="1:20" ht="15" customHeight="1">
      <c r="B8" t="s">
        <v>75</v>
      </c>
      <c r="F8" t="s">
        <v>41</v>
      </c>
      <c r="G8" t="s">
        <v>75</v>
      </c>
      <c r="I8" t="s">
        <v>404</v>
      </c>
      <c r="M8" t="s">
        <v>59</v>
      </c>
      <c r="N8" s="45" t="s">
        <v>399</v>
      </c>
    </row>
    <row r="9" spans="1:20" ht="15" customHeight="1">
      <c r="B9" t="s">
        <v>102</v>
      </c>
      <c r="G9" t="s">
        <v>102</v>
      </c>
      <c r="I9" t="s">
        <v>405</v>
      </c>
      <c r="M9" t="s">
        <v>158</v>
      </c>
      <c r="N9" s="45" t="s">
        <v>399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399</v>
      </c>
    </row>
    <row r="11" spans="1:20">
      <c r="B11" t="s">
        <v>406</v>
      </c>
      <c r="G11" t="s">
        <v>59</v>
      </c>
      <c r="M11" t="s">
        <v>75</v>
      </c>
      <c r="N11" s="45" t="s">
        <v>399</v>
      </c>
    </row>
    <row r="12" spans="1:20">
      <c r="B12" t="s">
        <v>407</v>
      </c>
      <c r="G12" t="s">
        <v>45</v>
      </c>
      <c r="M12" t="s">
        <v>45</v>
      </c>
      <c r="N12" s="45" t="s">
        <v>399</v>
      </c>
    </row>
    <row r="13" spans="1:20">
      <c r="G13" t="s">
        <v>76</v>
      </c>
      <c r="M13" t="s">
        <v>76</v>
      </c>
      <c r="N13" s="45" t="s">
        <v>399</v>
      </c>
    </row>
    <row r="14" spans="1:20">
      <c r="M14" t="s">
        <v>83</v>
      </c>
      <c r="N14" s="45" t="s">
        <v>408</v>
      </c>
    </row>
    <row r="15" spans="1:20">
      <c r="M15" t="s">
        <v>58</v>
      </c>
      <c r="N15" s="45" t="s">
        <v>399</v>
      </c>
    </row>
    <row r="16" spans="1:20">
      <c r="M16" t="s">
        <v>117</v>
      </c>
      <c r="N16" s="45" t="s">
        <v>399</v>
      </c>
    </row>
    <row r="17" spans="13:14">
      <c r="M17" t="s">
        <v>64</v>
      </c>
      <c r="N17" s="45" t="s">
        <v>399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2026-08-31T03:05:54Z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