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02" documentId="13_ncr:1_{52745E9B-3AA1-4770-AAD3-E6166BFC13AE}" xr6:coauthVersionLast="47" xr6:coauthVersionMax="47" xr10:uidLastSave="{8AB626DF-44F8-47FF-AB64-747AE1A58AA5}"/>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<sst xmlns="http://schemas.openxmlformats.org/spreadsheetml/2006/main" count="3226" uniqueCount="473">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</sst>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H121" sqref="H12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193</v>
      </c>
      <c r="P79" s="74" t="s">
        <v>46</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251</v>
      </c>
      <c r="O81" s="149" t="s">
        <v>248</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255</v>
      </c>
      <c r="U82" s="46"/>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257</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251</v>
      </c>
      <c r="O84" s="44" t="s">
        <v>248</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c r="M86" s="44"/>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270</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273</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272</v>
      </c>
      <c r="P93" s="74"/>
      <c r="Q93" s="49">
        <v>46339</v>
      </c>
      <c r="R93" s="43"/>
      <c r="S93" s="44"/>
      <c r="T93" s="68" t="s">
        <v>269</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272</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272</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287</v>
      </c>
      <c r="P97" s="74"/>
      <c r="Q97" s="49">
        <v>46339</v>
      </c>
      <c r="R97" s="43"/>
      <c r="S97" s="44"/>
      <c r="T97" s="68" t="s">
        <v>282</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c r="K98" s="49">
        <v>46332</v>
      </c>
      <c r="L98" s="43"/>
      <c r="M98" s="44"/>
      <c r="N98" s="44"/>
      <c r="O98" s="36" t="s">
        <v>287</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248</v>
      </c>
      <c r="P99" s="74"/>
      <c r="Q99" s="49">
        <v>46339</v>
      </c>
      <c r="R99" s="43"/>
      <c r="S99" s="44"/>
      <c r="T99" s="68" t="s">
        <v>282</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287</v>
      </c>
      <c r="P100" s="74"/>
      <c r="Q100" s="49">
        <v>46339</v>
      </c>
      <c r="R100" s="43"/>
      <c r="S100" s="44"/>
      <c r="T100" s="68" t="s">
        <v>282</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295</v>
      </c>
      <c r="B101" s="31" t="s">
        <v>296</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282</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295</v>
      </c>
      <c r="B102" s="31" t="s">
        <v>300</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295</v>
      </c>
      <c r="B103" s="31" t="s">
        <v>303</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295</v>
      </c>
      <c r="B105" s="31" t="s">
        <v>308</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295</v>
      </c>
      <c r="B106" s="31" t="s">
        <v>310</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295</v>
      </c>
      <c r="B107" s="31" t="s">
        <v>312</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295</v>
      </c>
      <c r="B108" s="31" t="s">
        <v>314</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295</v>
      </c>
      <c r="B110" s="31" t="s">
        <v>320</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3" t="str">
        <f>IF($B$4="","",IFERROR(INDEX('Combined Delivery Data'!$A:$A,MATCH($B$4,'Combined Delivery Data'!$B:$B,0)),""))</f>
        <v/>
      </c>
      <c r="C6" s="176"/>
      <c r="D6" s="176"/>
      <c r="E6" s="177"/>
    </row>
    <row r="7" spans="1:5">
      <c r="A7" s="42" t="s">
        <v>332</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333</v>
      </c>
      <c r="B14" s="172" t="str">
        <f>IF($B$4="","",IFERROR(INDEX('Combined Delivery Data'!$K:$K,MATCH($B$4,'Combined Delivery Data'!$B:$B,0)),""))</f>
        <v/>
      </c>
      <c r="C14" s="176"/>
      <c r="D14" s="176"/>
      <c r="E14" s="177"/>
    </row>
    <row r="15" spans="1:5">
      <c r="A15" s="42" t="s">
        <v>334</v>
      </c>
      <c r="B15" s="172" t="str">
        <f>IF($B$4="","",IFERROR(INDEX('Combined Delivery Data'!$L:$L,MATCH($B$4,'Combined Delivery Data'!$B:$B,0)),""))</f>
        <v/>
      </c>
      <c r="C15" s="176"/>
      <c r="D15" s="176"/>
      <c r="E15" s="177"/>
    </row>
    <row r="16" spans="1:5">
      <c r="A16" s="42" t="s">
        <v>335</v>
      </c>
      <c r="B16" s="172" t="str">
        <f>IF($B$4="","",IFERROR(INDEX('Combined Delivery Data'!$M:$M,MATCH($B$4,'Combined Delivery Data'!$B:$B,0)),""))</f>
        <v/>
      </c>
      <c r="C16" s="176"/>
      <c r="D16" s="176"/>
      <c r="E16" s="177"/>
    </row>
    <row r="17" spans="1:5">
      <c r="A17" s="42" t="s">
        <v>336</v>
      </c>
      <c r="B17" s="172" t="str">
        <f>IF($B$4="","",IFERROR(INDEX('Combined Delivery Data'!$O:$O,MATCH($B$4,'Combined Delivery Data'!$B:$B,0)),""))</f>
        <v/>
      </c>
      <c r="C17" s="176"/>
      <c r="D17" s="176"/>
      <c r="E17" s="177"/>
    </row>
    <row r="18" spans="1:5">
      <c r="A18" s="42" t="s">
        <v>337</v>
      </c>
      <c r="B18" s="172" t="str">
        <f>IF($B$4="","",IFERROR(INDEX('Combined Delivery Data'!$Q:$Q,MATCH($B$4,'Combined Delivery Data'!$B:$B,0)),""))</f>
        <v/>
      </c>
      <c r="C18" s="176"/>
      <c r="D18" s="176"/>
      <c r="E18" s="177"/>
    </row>
    <row r="19" spans="1:5">
      <c r="A19" s="42" t="s">
        <v>338</v>
      </c>
      <c r="B19" s="172" t="str">
        <f>IF($B$4="","",IFERROR(INDEX('Combined Delivery Data'!$R:$R,MATCH($B$4,'Combined Delivery Data'!$B:$B,0)),""))</f>
        <v/>
      </c>
      <c r="C19" s="176"/>
      <c r="D19" s="176"/>
      <c r="E19" s="177"/>
    </row>
    <row r="20" spans="1:5">
      <c r="A20" s="42" t="s">
        <v>339</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340</v>
      </c>
      <c r="B26" s="173" t="str">
        <f>IF($B$4="","",IFERROR(INDEX('Rework Log'!$Q:$Q,MATCH($B$4,'Rework Log'!$P:$P,0)),""))</f>
        <v/>
      </c>
      <c r="C26" s="176"/>
      <c r="D26" s="176"/>
      <c r="E26" s="177"/>
    </row>
    <row r="27" spans="1:5">
      <c r="A27" s="42" t="s">
        <v>341</v>
      </c>
      <c r="B27" s="173" t="str">
        <f>IF($B$4="","",IFERROR(INDEX('Rework Log'!$R:$R,MATCH($B$4,'Rework Log'!$P:$P,0)),""))</f>
        <v/>
      </c>
      <c r="C27" s="176"/>
      <c r="D27" s="176"/>
      <c r="E27" s="177"/>
    </row>
    <row r="28" spans="1:5">
      <c r="A28" s="42" t="s">
        <v>342</v>
      </c>
      <c r="B28" s="173" t="str">
        <f>IF($B$4="","",IFERROR(INDEX('Rework Log'!$S:$S,MATCH($B$4,'Rework Log'!$P:$P,0)),""))</f>
        <v/>
      </c>
      <c r="C28" s="176"/>
      <c r="D28" s="176"/>
      <c r="E28" s="177"/>
    </row>
    <row r="29" spans="1:5">
      <c r="A29" s="42" t="s">
        <v>343</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344</v>
      </c>
      <c r="B1" s="171"/>
      <c r="C1" s="171"/>
      <c r="D1" s="171"/>
      <c r="E1" s="171"/>
      <c r="F1" s="171"/>
      <c r="G1" s="171"/>
      <c r="H1" s="171"/>
      <c r="I1" s="171"/>
      <c r="J1" s="171"/>
      <c r="K1" s="171"/>
      <c r="L1" s="171"/>
      <c r="M1" s="171"/>
      <c r="P1" s="179" t="s">
        <v>345</v>
      </c>
      <c r="Q1" s="179"/>
      <c r="R1" s="179"/>
      <c r="S1" s="179"/>
      <c r="T1" s="179"/>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185</v>
      </c>
      <c r="D3" s="33" t="s">
        <v>257</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257</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257</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257</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257</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257</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257</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257</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257</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257</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257</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257</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374</v>
      </c>
      <c r="G17" s="31" t="s">
        <v>50</v>
      </c>
      <c r="H17" s="32" t="s">
        <v>46</v>
      </c>
      <c r="I17" s="32"/>
      <c r="J17" s="32"/>
      <c r="K17" s="31"/>
      <c r="L17" s="31"/>
      <c r="M17" s="3"/>
      <c r="S17" s="28"/>
    </row>
    <row r="18" spans="1:20">
      <c r="A18" s="33" t="s">
        <v>180</v>
      </c>
      <c r="B18" s="32">
        <v>46261</v>
      </c>
      <c r="C18" s="31" t="s">
        <v>185</v>
      </c>
      <c r="D18" s="31" t="s">
        <v>257</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257</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257</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257</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257</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257</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257</v>
      </c>
      <c r="E33" s="31" t="s">
        <v>198</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257</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257</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257</v>
      </c>
      <c r="E37" s="31" t="s">
        <v>129</v>
      </c>
      <c r="F37" s="31" t="s">
        <v>395</v>
      </c>
      <c r="G37" s="31" t="s">
        <v>53</v>
      </c>
      <c r="H37" s="32" t="s">
        <v>65</v>
      </c>
      <c r="I37" s="32"/>
      <c r="J37" s="32">
        <v>46288</v>
      </c>
      <c r="K37" s="31"/>
      <c r="L37" s="31"/>
      <c r="M37" s="3" t="str">
        <f t="shared" ca="1" si="4"/>
        <v>Fixed</v>
      </c>
      <c r="N37" t="s">
        <v>369</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257</v>
      </c>
      <c r="E38" s="31" t="s">
        <v>129</v>
      </c>
      <c r="F38" s="31" t="s">
        <v>396</v>
      </c>
      <c r="G38" s="31" t="s">
        <v>50</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257</v>
      </c>
      <c r="E40" s="31" t="s">
        <v>47</v>
      </c>
      <c r="F40" s="31" t="s">
        <v>400</v>
      </c>
      <c r="G40" s="31" t="s">
        <v>50</v>
      </c>
      <c r="H40" s="32" t="s">
        <v>44</v>
      </c>
      <c r="I40" s="32">
        <v>46283</v>
      </c>
      <c r="J40" s="32">
        <v>46283</v>
      </c>
      <c r="K40" s="31"/>
      <c r="L40" s="31" t="s">
        <v>401</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402</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257</v>
      </c>
      <c r="E42" s="31" t="s">
        <v>47</v>
      </c>
      <c r="F42" s="31" t="s">
        <v>403</v>
      </c>
      <c r="G42" s="31" t="s">
        <v>50</v>
      </c>
      <c r="H42" s="32" t="s">
        <v>154</v>
      </c>
      <c r="I42" s="32">
        <v>46282</v>
      </c>
      <c r="J42" s="32">
        <v>46282</v>
      </c>
      <c r="K42" s="31"/>
      <c r="L42" s="31" t="s">
        <v>404</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405</v>
      </c>
      <c r="G43" s="31" t="s">
        <v>53</v>
      </c>
      <c r="H43" s="32"/>
      <c r="I43" s="32"/>
      <c r="J43" s="32"/>
      <c r="K43" s="31"/>
      <c r="L43" s="31"/>
      <c r="M43" s="3" t="str">
        <f t="shared" ca="1" si="4"/>
        <v>UNCLAIMED 1 d</v>
      </c>
      <c r="N43" t="s">
        <v>50</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257</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257</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257</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332</v>
      </c>
      <c r="G1" s="5" t="s">
        <v>432</v>
      </c>
      <c r="H1" s="5" t="s">
        <v>20</v>
      </c>
      <c r="I1" t="s">
        <v>35</v>
      </c>
      <c r="J1" s="5" t="s">
        <v>433</v>
      </c>
      <c r="K1" s="5" t="s">
        <v>164</v>
      </c>
      <c r="L1" s="5" t="s">
        <v>351</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450</v>
      </c>
      <c r="R3" t="s">
        <v>45</v>
      </c>
      <c r="T3" t="s">
        <v>94</v>
      </c>
    </row>
    <row r="4" spans="1:20" ht="15" customHeight="1">
      <c r="A4" t="s">
        <v>126</v>
      </c>
      <c r="B4" t="s">
        <v>59</v>
      </c>
      <c r="C4" t="s">
        <v>46</v>
      </c>
      <c r="D4" t="s">
        <v>143</v>
      </c>
      <c r="E4" t="s">
        <v>53</v>
      </c>
      <c r="F4" t="s">
        <v>257</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213</v>
      </c>
      <c r="J5" t="s">
        <v>185</v>
      </c>
      <c r="L5" t="s">
        <v>453</v>
      </c>
      <c r="M5" t="s">
        <v>88</v>
      </c>
      <c r="N5" t="s">
        <v>454</v>
      </c>
    </row>
    <row r="6" spans="1:20" ht="15" customHeight="1">
      <c r="A6" t="s">
        <v>305</v>
      </c>
      <c r="B6" t="s">
        <v>84</v>
      </c>
      <c r="F6" t="s">
        <v>185</v>
      </c>
      <c r="G6" t="s">
        <v>84</v>
      </c>
      <c r="H6" t="s">
        <v>143</v>
      </c>
      <c r="I6" t="s">
        <v>455</v>
      </c>
      <c r="J6" t="s">
        <v>164</v>
      </c>
      <c r="M6" t="s">
        <v>48</v>
      </c>
      <c r="N6" t="s">
        <v>454</v>
      </c>
    </row>
    <row r="7" spans="1:20" ht="15" customHeight="1">
      <c r="A7" t="s">
        <v>295</v>
      </c>
      <c r="B7" t="s">
        <v>65</v>
      </c>
      <c r="F7" t="s">
        <v>164</v>
      </c>
      <c r="G7" t="s">
        <v>65</v>
      </c>
      <c r="H7" t="s">
        <v>198</v>
      </c>
      <c r="I7" t="s">
        <v>456</v>
      </c>
      <c r="M7" t="s">
        <v>129</v>
      </c>
      <c r="N7" t="s">
        <v>457</v>
      </c>
    </row>
    <row r="8" spans="1:20" ht="15" customHeight="1">
      <c r="B8" t="s">
        <v>76</v>
      </c>
      <c r="F8" t="s">
        <v>128</v>
      </c>
      <c r="G8" t="s">
        <v>76</v>
      </c>
      <c r="I8" t="s">
        <v>458</v>
      </c>
      <c r="M8" t="s">
        <v>60</v>
      </c>
      <c r="N8" t="s">
        <v>459</v>
      </c>
    </row>
    <row r="9" spans="1:20" ht="15" customHeight="1">
      <c r="B9" t="s">
        <v>103</v>
      </c>
      <c r="F9" t="s">
        <v>42</v>
      </c>
      <c r="G9" t="s">
        <v>103</v>
      </c>
      <c r="I9" t="s">
        <v>460</v>
      </c>
      <c r="M9" t="s">
        <v>154</v>
      </c>
      <c r="N9" t="s">
        <v>461</v>
      </c>
    </row>
    <row r="10" spans="1:20" ht="15" customHeight="1">
      <c r="B10" t="s">
        <v>154</v>
      </c>
      <c r="G10" t="s">
        <v>154</v>
      </c>
      <c r="M10" t="s">
        <v>47</v>
      </c>
      <c r="N10" t="s">
        <v>462</v>
      </c>
    </row>
    <row r="11" spans="1:20">
      <c r="B11" t="s">
        <v>463</v>
      </c>
      <c r="G11" t="s">
        <v>60</v>
      </c>
      <c r="M11" t="s">
        <v>76</v>
      </c>
      <c r="N11" t="s">
        <v>464</v>
      </c>
    </row>
    <row r="12" spans="1:20">
      <c r="B12" t="s">
        <v>465</v>
      </c>
      <c r="G12" t="s">
        <v>46</v>
      </c>
      <c r="M12" t="s">
        <v>46</v>
      </c>
      <c r="N12" t="s">
        <v>466</v>
      </c>
    </row>
    <row r="13" spans="1:20">
      <c r="G13" t="s">
        <v>77</v>
      </c>
      <c r="M13" t="s">
        <v>77</v>
      </c>
      <c r="N13" t="s">
        <v>467</v>
      </c>
    </row>
    <row r="14" spans="1:20">
      <c r="M14" t="s">
        <v>84</v>
      </c>
      <c r="N14" t="s">
        <v>468</v>
      </c>
    </row>
    <row r="15" spans="1:20">
      <c r="M15" t="s">
        <v>59</v>
      </c>
      <c r="N15" t="s">
        <v>469</v>
      </c>
    </row>
    <row r="16" spans="1:20">
      <c r="M16" t="s">
        <v>65</v>
      </c>
      <c r="N16" t="s">
        <v>470</v>
      </c>
    </row>
    <row r="17" spans="13:14">
      <c r="M17" t="s">
        <v>430</v>
      </c>
      <c r="N17" t="s">
        <v>470</v>
      </c>
    </row>
    <row r="18" spans="13:14">
      <c r="M18" t="s">
        <v>226</v>
      </c>
      <c r="N18" t="s">
        <v>471</v>
      </c>
    </row>
    <row r="19" spans="13:14">
      <c r="M19" t="s">
        <v>198</v>
      </c>
      <c r="N19" t="s">
        <v>472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Sreevarsha Potluri</cp:lastModifiedBy>
  <cp:revision>0</cp:revision>
  <dcterms:created xsi:type="dcterms:W3CDTF">2026-07-21T14:32:59Z</dcterms:created>
  <dcterms:modified xsi:type="dcterms:W3CDTF">2026-09-23T17:34:48Z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