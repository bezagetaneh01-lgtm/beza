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84" documentId="13_ncr:1_{52745E9B-3AA1-4770-AAD3-E6166BFC13AE}" xr6:coauthVersionLast="47" xr6:coauthVersionMax="47" xr10:uidLastSave="{E7383EFA-7228-4DE7-8678-1CB6ACAB9E57}"/>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<sst xmlns="http://schemas.openxmlformats.org/spreadsheetml/2006/main" count="3548" uniqueCount="497">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</sst>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T60" activePane="topRight" state="frozen"/>
      <selection pane="topRight" activeCell="X67" sqref="X67"/>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193</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296</v>
      </c>
      <c r="B101" s="31" t="s">
        <v>297</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296</v>
      </c>
      <c r="B102" s="31" t="s">
        <v>300</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296</v>
      </c>
      <c r="B103" s="31" t="s">
        <v>303</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296</v>
      </c>
      <c r="B105" s="31" t="s">
        <v>308</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296</v>
      </c>
      <c r="B108" s="31" t="s">
        <v>315</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72:Y116 W2:Y54 W55:X55 W56:Y58 W60:Y70 W59:X59 W71">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U72:Z116 Z71 U2:Z54 Z55 U55:X55 U56:Z58 U60:Z70 Z59 U59:X59 U71:W71">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17"/>
      <c r="C4" s="218"/>
      <c r="D4" s="218"/>
      <c r="E4" s="218"/>
    </row>
    <row r="6" spans="1:5">
      <c r="A6" s="42" t="s">
        <v>0</v>
      </c>
      <c r="B6" s="201" t="str">
        <f>IF($B$4="","",IFERROR(INDEX('Combined Delivery Data'!$A:$A,MATCH($B$4,'Combined Delivery Data'!$B:$B,0)),""))</f>
        <v/>
      </c>
      <c r="C6" s="219"/>
      <c r="D6" s="219"/>
      <c r="E6" s="220"/>
    </row>
    <row r="7" spans="1:5">
      <c r="A7" s="42" t="s">
        <v>334</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335</v>
      </c>
      <c r="B14" s="200" t="str">
        <f>IF($B$4="","",IFERROR(INDEX('Combined Delivery Data'!$K:$K,MATCH($B$4,'Combined Delivery Data'!$B:$B,0)),""))</f>
        <v/>
      </c>
      <c r="C14" s="219"/>
      <c r="D14" s="219"/>
      <c r="E14" s="220"/>
    </row>
    <row r="15" spans="1:5">
      <c r="A15" s="42" t="s">
        <v>336</v>
      </c>
      <c r="B15" s="200" t="str">
        <f>IF($B$4="","",IFERROR(INDEX('Combined Delivery Data'!$L:$L,MATCH($B$4,'Combined Delivery Data'!$B:$B,0)),""))</f>
        <v/>
      </c>
      <c r="C15" s="219"/>
      <c r="D15" s="219"/>
      <c r="E15" s="220"/>
    </row>
    <row r="16" spans="1:5">
      <c r="A16" s="42" t="s">
        <v>337</v>
      </c>
      <c r="B16" s="200" t="str">
        <f>IF($B$4="","",IFERROR(INDEX('Combined Delivery Data'!$M:$M,MATCH($B$4,'Combined Delivery Data'!$B:$B,0)),""))</f>
        <v/>
      </c>
      <c r="C16" s="219"/>
      <c r="D16" s="219"/>
      <c r="E16" s="220"/>
    </row>
    <row r="17" spans="1:5">
      <c r="A17" s="42" t="s">
        <v>338</v>
      </c>
      <c r="B17" s="200" t="str">
        <f>IF($B$4="","",IFERROR(INDEX('Combined Delivery Data'!$O:$O,MATCH($B$4,'Combined Delivery Data'!$B:$B,0)),""))</f>
        <v/>
      </c>
      <c r="C17" s="219"/>
      <c r="D17" s="219"/>
      <c r="E17" s="220"/>
    </row>
    <row r="18" spans="1:5">
      <c r="A18" s="42" t="s">
        <v>339</v>
      </c>
      <c r="B18" s="200" t="str">
        <f>IF($B$4="","",IFERROR(INDEX('Combined Delivery Data'!$Q:$Q,MATCH($B$4,'Combined Delivery Data'!$B:$B,0)),""))</f>
        <v/>
      </c>
      <c r="C18" s="219"/>
      <c r="D18" s="219"/>
      <c r="E18" s="220"/>
    </row>
    <row r="19" spans="1:5">
      <c r="A19" s="42" t="s">
        <v>340</v>
      </c>
      <c r="B19" s="200" t="str">
        <f>IF($B$4="","",IFERROR(INDEX('Combined Delivery Data'!$R:$R,MATCH($B$4,'Combined Delivery Data'!$B:$B,0)),""))</f>
        <v/>
      </c>
      <c r="C19" s="219"/>
      <c r="D19" s="219"/>
      <c r="E19" s="220"/>
    </row>
    <row r="20" spans="1:5">
      <c r="A20" s="42" t="s">
        <v>341</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342</v>
      </c>
      <c r="B26" s="201" t="str">
        <f>IF($B$4="","",IFERROR(INDEX('Rework Log'!$Q:$Q,MATCH($B$4,'Rework Log'!$P:$P,0)),""))</f>
        <v/>
      </c>
      <c r="C26" s="219"/>
      <c r="D26" s="219"/>
      <c r="E26" s="220"/>
    </row>
    <row r="27" spans="1:5">
      <c r="A27" s="42" t="s">
        <v>343</v>
      </c>
      <c r="B27" s="201" t="str">
        <f>IF($B$4="","",IFERROR(INDEX('Rework Log'!$R:$R,MATCH($B$4,'Rework Log'!$P:$P,0)),""))</f>
        <v/>
      </c>
      <c r="C27" s="219"/>
      <c r="D27" s="219"/>
      <c r="E27" s="220"/>
    </row>
    <row r="28" spans="1:5">
      <c r="A28" s="42" t="s">
        <v>344</v>
      </c>
      <c r="B28" s="201" t="str">
        <f>IF($B$4="","",IFERROR(INDEX('Rework Log'!$S:$S,MATCH($B$4,'Rework Log'!$P:$P,0)),""))</f>
        <v/>
      </c>
      <c r="C28" s="219"/>
      <c r="D28" s="219"/>
      <c r="E28" s="220"/>
    </row>
    <row r="29" spans="1:5">
      <c r="A29" s="42" t="s">
        <v>345</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346</v>
      </c>
      <c r="B1" s="202"/>
      <c r="C1" s="202"/>
      <c r="D1" s="202"/>
      <c r="E1" s="202"/>
      <c r="F1" s="202"/>
      <c r="G1" s="202"/>
      <c r="H1" s="202"/>
      <c r="I1" s="202"/>
      <c r="J1" s="202"/>
      <c r="K1" s="202"/>
      <c r="L1" s="202"/>
      <c r="M1" s="202"/>
      <c r="P1" s="222" t="s">
        <v>347</v>
      </c>
      <c r="Q1" s="222"/>
      <c r="R1" s="222"/>
      <c r="S1" s="222"/>
      <c r="T1" s="222"/>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224</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376</v>
      </c>
      <c r="G17" s="31" t="s">
        <v>50</v>
      </c>
      <c r="H17" s="32" t="s">
        <v>46</v>
      </c>
      <c r="I17" s="32"/>
      <c r="J17" s="32"/>
      <c r="K17" s="31"/>
      <c r="L17" s="31"/>
      <c r="M17" s="3"/>
      <c r="S17" s="28"/>
    </row>
    <row r="18" spans="1:20">
      <c r="A18" s="33" t="s">
        <v>180</v>
      </c>
      <c r="B18" s="32">
        <v>46261</v>
      </c>
      <c r="C18" s="31" t="s">
        <v>164</v>
      </c>
      <c r="D18" s="31" t="s">
        <v>224</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410</v>
      </c>
      <c r="B1" s="218"/>
      <c r="C1" s="218"/>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427</v>
      </c>
      <c r="B1" s="218"/>
      <c r="C1" s="218"/>
      <c r="D1" s="218"/>
      <c r="E1" s="218"/>
      <c r="F1" s="218"/>
      <c r="G1" s="218"/>
      <c r="H1" s="218"/>
      <c r="I1" s="218"/>
      <c r="J1" s="218"/>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433</v>
      </c>
      <c r="D13" s="9" t="s">
        <v>434</v>
      </c>
      <c r="E13" s="9" t="s">
        <v>46</v>
      </c>
      <c r="F13" s="9"/>
      <c r="G13" s="9"/>
      <c r="H13" s="10"/>
      <c r="I13" s="10">
        <v>46115</v>
      </c>
      <c r="J13" s="10">
        <v>46115</v>
      </c>
    </row>
    <row r="14" spans="1:10" ht="14.25" customHeight="1">
      <c r="A14" s="9" t="s">
        <v>40</v>
      </c>
      <c r="B14" s="9" t="s">
        <v>204</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434</v>
      </c>
      <c r="E23" s="9" t="s">
        <v>46</v>
      </c>
      <c r="F23" s="9"/>
      <c r="G23" s="9"/>
      <c r="H23" s="10"/>
      <c r="I23" s="10">
        <v>46115</v>
      </c>
      <c r="J23" s="10">
        <v>46115</v>
      </c>
    </row>
    <row r="24" spans="1:10" ht="14.25" customHeight="1">
      <c r="A24" s="9" t="s">
        <v>40</v>
      </c>
      <c r="B24" s="9" t="s">
        <v>204</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434</v>
      </c>
      <c r="E33" s="9" t="s">
        <v>60</v>
      </c>
      <c r="F33" s="9"/>
      <c r="G33" s="9"/>
      <c r="H33" s="10"/>
      <c r="I33" s="10">
        <v>46122</v>
      </c>
      <c r="J33" s="10">
        <v>46122</v>
      </c>
    </row>
    <row r="34" spans="1:10" ht="14.25" customHeight="1">
      <c r="A34" s="9" t="s">
        <v>40</v>
      </c>
      <c r="B34" s="9" t="s">
        <v>204</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434</v>
      </c>
      <c r="E48" s="9" t="s">
        <v>60</v>
      </c>
      <c r="F48" s="9"/>
      <c r="G48" s="9"/>
      <c r="H48" s="10"/>
      <c r="I48" s="10"/>
      <c r="J48" s="10"/>
    </row>
    <row r="49" spans="1:10" ht="14.25" customHeight="1">
      <c r="A49" s="9" t="s">
        <v>40</v>
      </c>
      <c r="B49" s="9" t="s">
        <v>204</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224</v>
      </c>
      <c r="C53" s="9" t="s">
        <v>98</v>
      </c>
      <c r="D53" s="9" t="s">
        <v>434</v>
      </c>
      <c r="E53" s="9" t="s">
        <v>60</v>
      </c>
      <c r="F53" s="9"/>
      <c r="G53" s="9"/>
      <c r="H53" s="10"/>
      <c r="I53" s="10"/>
      <c r="J53" s="10"/>
    </row>
    <row r="54" spans="1:10" ht="14.25" customHeight="1">
      <c r="A54" s="9" t="s">
        <v>40</v>
      </c>
      <c r="B54" s="9" t="s">
        <v>204</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224</v>
      </c>
      <c r="C58" s="9" t="s">
        <v>99</v>
      </c>
      <c r="D58" s="9" t="s">
        <v>434</v>
      </c>
      <c r="E58" s="9" t="s">
        <v>46</v>
      </c>
      <c r="F58" s="9"/>
      <c r="G58" s="9"/>
      <c r="H58" s="9"/>
      <c r="I58" s="10"/>
      <c r="J58" s="10"/>
    </row>
    <row r="59" spans="1:10" ht="14.25" customHeight="1">
      <c r="A59" s="9" t="s">
        <v>40</v>
      </c>
      <c r="B59" s="9" t="s">
        <v>204</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454</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455</v>
      </c>
      <c r="R4" t="s">
        <v>456</v>
      </c>
      <c r="T4" t="s">
        <v>72</v>
      </c>
    </row>
    <row r="5" spans="1:20" ht="15" customHeight="1">
      <c r="A5" t="s">
        <v>425</v>
      </c>
      <c r="B5" t="s">
        <v>434</v>
      </c>
      <c r="C5" t="s">
        <v>77</v>
      </c>
      <c r="F5" t="s">
        <v>204</v>
      </c>
      <c r="G5" t="s">
        <v>434</v>
      </c>
      <c r="H5" t="s">
        <v>129</v>
      </c>
      <c r="I5" t="s">
        <v>214</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227</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477</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478</v>
      </c>
      <c r="C10" s="213"/>
      <c r="D10" s="215" t="s">
        <v>479</v>
      </c>
      <c r="E10" s="213"/>
      <c r="F10" s="215" t="s">
        <v>480</v>
      </c>
      <c r="G10" s="213"/>
      <c r="H10" s="213"/>
      <c r="I10" s="215" t="s">
        <v>481</v>
      </c>
      <c r="J10" s="213"/>
      <c r="K10" s="213"/>
    </row>
    <row r="11" spans="2:12" ht="12" customHeight="1"/>
    <row r="12" spans="2:12" ht="15.75" customHeight="1">
      <c r="B12" s="175" t="s">
        <v>482</v>
      </c>
    </row>
    <row r="13" spans="2:12" ht="30" customHeight="1">
      <c r="B13" s="176" t="s">
        <v>483</v>
      </c>
      <c r="C13" s="177" t="s">
        <v>484</v>
      </c>
      <c r="D13" s="177" t="s">
        <v>485</v>
      </c>
      <c r="E13" s="177" t="s">
        <v>486</v>
      </c>
      <c r="F13" s="177" t="s">
        <v>181</v>
      </c>
      <c r="G13" s="177" t="s">
        <v>164</v>
      </c>
      <c r="H13" s="177" t="s">
        <v>204</v>
      </c>
      <c r="I13" s="177" t="s">
        <v>224</v>
      </c>
      <c r="J13" s="177" t="s">
        <v>487</v>
      </c>
      <c r="K13" s="176" t="s">
        <v>488</v>
      </c>
      <c r="L13" s="176" t="s">
        <v>428</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489</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490</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491</v>
      </c>
      <c r="H39" s="175" t="s">
        <v>492</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493</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494</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483</v>
      </c>
      <c r="C1" t="s">
        <v>495</v>
      </c>
      <c r="D1" t="s">
        <v>35</v>
      </c>
      <c r="E1" t="s">
        <v>496</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204</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330</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243</v>
      </c>
      <c r="B47" t="s">
        <v>241</v>
      </c>
      <c r="C47" t="s">
        <v>204</v>
      </c>
      <c r="E47" t="str">
        <f>IF(C47="Ready for Release in Prod","Blocked in Prod",IF(C47="RELEASED IN PROD","Released",IF(LEFT(D47,3)="Yes","Blocked - Build/QA",IF(C47="NOT STARTED","Not Started",C47))))</f>
        <v>PBI Dev</v>
      </c>
    </row>
    <row r="48" spans="1:5">
      <c r="A48" t="s">
        <v>244</v>
      </c>
      <c r="B48" t="s">
        <v>241</v>
      </c>
      <c r="C48" t="s">
        <v>232</v>
      </c>
      <c r="E48" t="str">
        <f>IF(C48="Ready for Release in Prod","Blocked in Prod",IF(C48="RELEASED IN PROD","Released",IF(LEFT(D48,3)="Yes","Blocked - Build/QA",IF(C48="NOT STARTED","Not Started",C48))))</f>
        <v>Not Started</v>
      </c>
    </row>
    <row r="49" spans="1:5">
      <c r="A49" t="s">
        <v>246</v>
      </c>
      <c r="B49" t="s">
        <v>241</v>
      </c>
      <c r="C49" t="s">
        <v>232</v>
      </c>
      <c r="E49" t="str">
        <f>IF(C49="Ready for Release in Prod","Blocked in Prod",IF(C49="RELEASED IN PROD","Released",IF(LEFT(D49,3)="Yes","Blocked - Build/QA",IF(C49="NOT STARTED","Not Started",C49))))</f>
        <v>Not Started</v>
      </c>
    </row>
    <row r="50" spans="1:5">
      <c r="A50" t="s">
        <v>247</v>
      </c>
      <c r="B50" t="s">
        <v>241</v>
      </c>
      <c r="C50" t="s">
        <v>232</v>
      </c>
      <c r="E50" t="str">
        <f>IF(C50="Ready for Release in Prod","Blocked in Prod",IF(C50="RELEASED IN PROD","Released",IF(LEFT(D50,3)="Yes","Blocked - Build/QA",IF(C50="NOT STARTED","Not Started",C50))))</f>
        <v>Not Started</v>
      </c>
    </row>
    <row r="51" spans="1:5">
      <c r="A51" t="s">
        <v>248</v>
      </c>
      <c r="B51" t="s">
        <v>241</v>
      </c>
      <c r="C51" t="s">
        <v>204</v>
      </c>
      <c r="D51" t="s">
        <v>214</v>
      </c>
      <c r="E51" t="str">
        <f>IF(C51="Ready for Release in Prod","Blocked in Prod",IF(C51="RELEASED IN PROD","Released",IF(LEFT(D51,3)="Yes","Blocked - Build/QA",IF(C51="NOT STARTED","Not Started",C51))))</f>
        <v>Blocked - Build/QA</v>
      </c>
    </row>
    <row r="52" spans="1:5">
      <c r="A52" t="s">
        <v>251</v>
      </c>
      <c r="B52" t="s">
        <v>241</v>
      </c>
      <c r="C52" t="s">
        <v>204</v>
      </c>
      <c r="E52" t="str">
        <f>IF(C52="Ready for Release in Prod","Blocked in Prod",IF(C52="RELEASED IN PROD","Released",IF(LEFT(D52,3)="Yes","Blocked - Build/QA",IF(C52="NOT STARTED","Not Started",C52))))</f>
        <v>PBI Dev</v>
      </c>
    </row>
    <row r="53" spans="1:5">
      <c r="A53" t="s">
        <v>254</v>
      </c>
      <c r="B53" t="s">
        <v>241</v>
      </c>
      <c r="C53" t="s">
        <v>232</v>
      </c>
      <c r="E53" t="str">
        <f>IF(C53="Ready for Release in Prod","Blocked in Prod",IF(C53="RELEASED IN PROD","Released",IF(LEFT(D53,3)="Yes","Blocked - Build/QA",IF(C53="NOT STARTED","Not Started",C53))))</f>
        <v>Not Started</v>
      </c>
    </row>
    <row r="54" spans="1:5">
      <c r="A54" t="s">
        <v>255</v>
      </c>
      <c r="B54" t="s">
        <v>241</v>
      </c>
      <c r="C54" t="s">
        <v>232</v>
      </c>
      <c r="E54" t="str">
        <f>IF(C54="Ready for Release in Prod","Blocked in Prod",IF(C54="RELEASED IN PROD","Released",IF(LEFT(D54,3)="Yes","Blocked - Build/QA",IF(C54="NOT STARTED","Not Started",C54))))</f>
        <v>Not Started</v>
      </c>
    </row>
    <row r="55" spans="1:5">
      <c r="A55" t="s">
        <v>257</v>
      </c>
      <c r="B55" t="s">
        <v>241</v>
      </c>
      <c r="C55" t="s">
        <v>224</v>
      </c>
      <c r="E55" t="str">
        <f>IF(C55="Ready for Release in Prod","Blocked in Prod",IF(C55="RELEASED IN PROD","Released",IF(LEFT(D55,3)="Yes","Blocked - Build/QA",IF(C55="NOT STARTED","Not Started",C55))))</f>
        <v>DB Dev</v>
      </c>
    </row>
    <row r="56" spans="1:5">
      <c r="A56" t="s">
        <v>259</v>
      </c>
      <c r="B56" t="s">
        <v>241</v>
      </c>
      <c r="C56" t="s">
        <v>204</v>
      </c>
      <c r="E56" t="str">
        <f>IF(C56="Ready for Release in Prod","Blocked in Prod",IF(C56="RELEASED IN PROD","Released",IF(LEFT(D56,3)="Yes","Blocked - Build/QA",IF(C56="NOT STARTED","Not Started",C56))))</f>
        <v>PBI Dev</v>
      </c>
    </row>
    <row r="57" spans="1:5">
      <c r="A57" t="s">
        <v>261</v>
      </c>
      <c r="B57" t="s">
        <v>241</v>
      </c>
      <c r="C57" t="s">
        <v>204</v>
      </c>
      <c r="E57" t="str">
        <f>IF(C57="Ready for Release in Prod","Blocked in Prod",IF(C57="RELEASED IN PROD","Released",IF(LEFT(D57,3)="Yes","Blocked - Build/QA",IF(C57="NOT STARTED","Not Started",C57))))</f>
        <v>PBI Dev</v>
      </c>
    </row>
    <row r="58" spans="1:5">
      <c r="A58" t="s">
        <v>262</v>
      </c>
      <c r="B58" t="s">
        <v>241</v>
      </c>
      <c r="C58" t="s">
        <v>232</v>
      </c>
      <c r="E58" t="str">
        <f>IF(C58="Ready for Release in Prod","Blocked in Prod",IF(C58="RELEASED IN PROD","Released",IF(LEFT(D58,3)="Yes","Blocked - Build/QA",IF(C58="NOT STARTED","Not Started",C58))))</f>
        <v>Not Started</v>
      </c>
    </row>
    <row r="59" spans="1:5">
      <c r="A59" t="s">
        <v>264</v>
      </c>
      <c r="B59" t="s">
        <v>489</v>
      </c>
      <c r="C59" t="s">
        <v>232</v>
      </c>
      <c r="E59" t="str">
        <f>IF(C59="Ready for Release in Prod","Blocked in Prod",IF(C59="RELEASED IN PROD","Released",IF(LEFT(D59,3)="Yes","Blocked - Build/QA",IF(C59="NOT STARTED","Not Started",C59))))</f>
        <v>Not Started</v>
      </c>
    </row>
    <row r="60" spans="1:5">
      <c r="A60" t="s">
        <v>268</v>
      </c>
      <c r="B60" t="s">
        <v>489</v>
      </c>
      <c r="C60" t="s">
        <v>232</v>
      </c>
      <c r="E60" t="str">
        <f>IF(C60="Ready for Release in Prod","Blocked in Prod",IF(C60="RELEASED IN PROD","Released",IF(LEFT(D60,3)="Yes","Blocked - Build/QA",IF(C60="NOT STARTED","Not Started",C60))))</f>
        <v>Not Started</v>
      </c>
    </row>
    <row r="61" spans="1:5">
      <c r="A61" t="s">
        <v>269</v>
      </c>
      <c r="B61" t="s">
        <v>489</v>
      </c>
      <c r="C61" t="s">
        <v>232</v>
      </c>
      <c r="E61" t="str">
        <f>IF(C61="Ready for Release in Prod","Blocked in Prod",IF(C61="RELEASED IN PROD","Released",IF(LEFT(D61,3)="Yes","Blocked - Build/QA",IF(C61="NOT STARTED","Not Started",C61))))</f>
        <v>Not Started</v>
      </c>
    </row>
    <row r="62" spans="1:5">
      <c r="A62" t="s">
        <v>271</v>
      </c>
      <c r="B62" t="s">
        <v>489</v>
      </c>
      <c r="C62" t="s">
        <v>232</v>
      </c>
      <c r="E62" t="str">
        <f>IF(C62="Ready for Release in Prod","Blocked in Prod",IF(C62="RELEASED IN PROD","Released",IF(LEFT(D62,3)="Yes","Blocked - Build/QA",IF(C62="NOT STARTED","Not Started",C62))))</f>
        <v>Not Started</v>
      </c>
    </row>
    <row r="63" spans="1:5">
      <c r="A63" t="s">
        <v>272</v>
      </c>
      <c r="B63" t="s">
        <v>489</v>
      </c>
      <c r="C63" t="s">
        <v>232</v>
      </c>
      <c r="E63" t="str">
        <f>IF(C63="Ready for Release in Prod","Blocked in Prod",IF(C63="RELEASED IN PROD","Released",IF(LEFT(D63,3)="Yes","Blocked - Build/QA",IF(C63="NOT STARTED","Not Started",C63))))</f>
        <v>Not Started</v>
      </c>
    </row>
    <row r="64" spans="1:5">
      <c r="A64" t="s">
        <v>274</v>
      </c>
      <c r="B64" t="s">
        <v>489</v>
      </c>
      <c r="C64" t="s">
        <v>232</v>
      </c>
      <c r="E64" t="str">
        <f>IF(C64="Ready for Release in Prod","Blocked in Prod",IF(C64="RELEASED IN PROD","Released",IF(LEFT(D64,3)="Yes","Blocked - Build/QA",IF(C64="NOT STARTED","Not Started",C64))))</f>
        <v>Not Started</v>
      </c>
    </row>
    <row r="65" spans="1:5">
      <c r="A65" t="s">
        <v>277</v>
      </c>
      <c r="B65" t="s">
        <v>489</v>
      </c>
      <c r="C65" t="s">
        <v>232</v>
      </c>
      <c r="E65" t="str">
        <f>IF(C65="Ready for Release in Prod","Blocked in Prod",IF(C65="RELEASED IN PROD","Released",IF(LEFT(D65,3)="Yes","Blocked - Build/QA",IF(C65="NOT STARTED","Not Started",C65))))</f>
        <v>Not Started</v>
      </c>
    </row>
    <row r="66" spans="1:5">
      <c r="A66" t="s">
        <v>279</v>
      </c>
      <c r="B66" t="s">
        <v>489</v>
      </c>
      <c r="C66" t="s">
        <v>232</v>
      </c>
      <c r="E66" t="str">
        <f>IF(C66="Ready for Release in Prod","Blocked in Prod",IF(C66="RELEASED IN PROD","Released",IF(LEFT(D66,3)="Yes","Blocked - Build/QA",IF(C66="NOT STARTED","Not Started",C66))))</f>
        <v>Not Started</v>
      </c>
    </row>
    <row r="67" spans="1:5">
      <c r="A67" t="s">
        <v>281</v>
      </c>
      <c r="B67" t="s">
        <v>489</v>
      </c>
      <c r="C67" t="s">
        <v>232</v>
      </c>
      <c r="E67" t="str">
        <f>IF(C67="Ready for Release in Prod","Blocked in Prod",IF(C67="RELEASED IN PROD","Released",IF(LEFT(D67,3)="Yes","Blocked - Build/QA",IF(C67="NOT STARTED","Not Started",C67))))</f>
        <v>Not Started</v>
      </c>
    </row>
    <row r="68" spans="1:5">
      <c r="A68" t="s">
        <v>282</v>
      </c>
      <c r="B68" t="s">
        <v>489</v>
      </c>
      <c r="C68" t="s">
        <v>232</v>
      </c>
      <c r="E68" t="str">
        <f>IF(C68="Ready for Release in Prod","Blocked in Prod",IF(C68="RELEASED IN PROD","Released",IF(LEFT(D68,3)="Yes","Blocked - Build/QA",IF(C68="NOT STARTED","Not Started",C68))))</f>
        <v>Not Started</v>
      </c>
    </row>
    <row r="69" spans="1:5">
      <c r="A69" t="s">
        <v>285</v>
      </c>
      <c r="B69" t="s">
        <v>489</v>
      </c>
      <c r="C69" t="s">
        <v>232</v>
      </c>
      <c r="E69" t="str">
        <f>IF(C69="Ready for Release in Prod","Blocked in Prod",IF(C69="RELEASED IN PROD","Released",IF(LEFT(D69,3)="Yes","Blocked - Build/QA",IF(C69="NOT STARTED","Not Started",C69))))</f>
        <v>Not Started</v>
      </c>
    </row>
    <row r="70" spans="1:5">
      <c r="A70" t="s">
        <v>287</v>
      </c>
      <c r="B70" t="s">
        <v>489</v>
      </c>
      <c r="C70" t="s">
        <v>232</v>
      </c>
      <c r="E70" t="str">
        <f>IF(C70="Ready for Release in Prod","Blocked in Prod",IF(C70="RELEASED IN PROD","Released",IF(LEFT(D70,3)="Yes","Blocked - Build/QA",IF(C70="NOT STARTED","Not Started",C70))))</f>
        <v>Not Started</v>
      </c>
    </row>
    <row r="71" spans="1:5">
      <c r="A71" t="s">
        <v>290</v>
      </c>
      <c r="B71" t="s">
        <v>489</v>
      </c>
      <c r="C71" t="s">
        <v>232</v>
      </c>
      <c r="E71" t="str">
        <f>IF(C71="Ready for Release in Prod","Blocked in Prod",IF(C71="RELEASED IN PROD","Released",IF(LEFT(D71,3)="Yes","Blocked - Build/QA",IF(C71="NOT STARTED","Not Started",C71))))</f>
        <v>Not Started</v>
      </c>
    </row>
    <row r="72" spans="1:5">
      <c r="A72" t="s">
        <v>291</v>
      </c>
      <c r="B72" t="s">
        <v>489</v>
      </c>
      <c r="C72" t="s">
        <v>232</v>
      </c>
      <c r="E72" t="str">
        <f>IF(C72="Ready for Release in Prod","Blocked in Prod",IF(C72="RELEASED IN PROD","Released",IF(LEFT(D72,3)="Yes","Blocked - Build/QA",IF(C72="NOT STARTED","Not Started",C72))))</f>
        <v>Not Started</v>
      </c>
    </row>
    <row r="73" spans="1:5">
      <c r="A73" t="s">
        <v>294</v>
      </c>
      <c r="B73" t="s">
        <v>489</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2026-10-01T13:35:15Z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