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4898" documentId="13_ncr:1_{52745E9B-3AA1-4770-AAD3-E6166BFC13AE}" xr6:coauthVersionLast="47" xr6:coauthVersionMax="47" xr10:uidLastSave="{52215D12-7D82-4975-A90E-AE7D1F358228}"/>
  <bookViews>
    <workbookView xWindow="-28920" yWindow="-105" windowWidth="29040" windowHeight="15720" tabRatio="500" activeTab="6"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 name="Exec Status" sheetId="8" r:id="rId7"/>
    <sheet name="Data" sheetId="9" state="hidden" r:id="rId8"/>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'Exec Status'!$A$1:$L$45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8" l="1"/>
  <c r="C19" i="8"/>
  <c r="D19" i="8"/>
  <c r="E19" i="8"/>
  <c r="F19" i="8"/>
  <c r="G19" i="8"/>
  <c r="H19" i="8"/>
  <c r="I19" i="8"/>
  <c r="J19" i="8"/>
  <c r="L18" i="8"/>
  <c r="C18" i="8"/>
  <c r="D18" i="8"/>
  <c r="E18" i="8"/>
  <c r="F18" i="8"/>
  <c r="G18" i="8"/>
  <c r="H18" i="8"/>
  <c r="I18" i="8"/>
  <c r="J18" i="8"/>
  <c r="L17" i="8"/>
  <c r="C17" i="8"/>
  <c r="D17" i="8"/>
  <c r="E17" i="8"/>
  <c r="F17" i="8"/>
  <c r="G17" i="8"/>
  <c r="H17" i="8"/>
  <c r="I17" i="8"/>
  <c r="J17" i="8"/>
  <c r="L16" i="8"/>
  <c r="C16" i="8"/>
  <c r="D16" i="8"/>
  <c r="E16" i="8"/>
  <c r="F16" i="8"/>
  <c r="G16" i="8"/>
  <c r="H16" i="8"/>
  <c r="I16" i="8"/>
  <c r="J16" i="8"/>
  <c r="L15" i="8"/>
  <c r="C15" i="8"/>
  <c r="D15" i="8"/>
  <c r="E15" i="8"/>
  <c r="F15" i="8"/>
  <c r="G15" i="8"/>
  <c r="H15" i="8"/>
  <c r="I15" i="8"/>
  <c r="J15" i="8"/>
  <c r="L14" i="8"/>
  <c r="C14" i="8"/>
  <c r="D14" i="8"/>
  <c r="E14" i="8"/>
  <c r="F14" i="8"/>
  <c r="G14" i="8"/>
  <c r="H14" i="8"/>
  <c r="I14" i="8"/>
  <c r="J14" i="8"/>
  <c r="I9" i="8"/>
  <c r="D9" i="8"/>
  <c r="B9" i="8"/>
  <c r="B5" i="8"/>
  <c r="B3" i="8"/>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tc={CF3FBDBF-47EF-4784-8F0A-0B1D6CD0D150}</author>
  </authors>
  <commentList>
    <comment ref="F9" authorId="0" shapeId="0" xr:uid="{CF3FBDBF-47EF-4784-8F0A-0B1D6CD0D150}">
      <text>
        <t>[Threaded comment]
Your version of Excel allows you to read this threaded comment; however, any edits to it will get removed if the file is opened in a newer version of Excel. Learn more: https://go.microsoft.com/fwlink/?linkid=870924
Comment:
    Manual input - update by hand each week: number of reports approved by the business this week.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<sst xmlns="http://schemas.openxmlformats.org/spreadsheetml/2006/main" count="3551" uniqueCount="498">
  <si>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</si>
  <si>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</si>
  <si>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</si>
  <si>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</si>
  <si>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</si>
  <si>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</si>
  <si>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</si>
  <si>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</si>
  <si>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</si>
  <si>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</si>
  <si>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</si>
  <si>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</si>
  <si>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</si>
  <si>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</si>
  <si>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</si>
  <si>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</si>
  <si>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</si>
  <si>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</si>
  <si>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</si>
  <si>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</si>
  <si>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</si>
  <si>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</si>
  <si>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</si>
  <si>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</si>
  <si>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</si>
  <si>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</si>
  <si>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</si>
  <si>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</si>
  <si>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</si>
  <si>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</si>
  <si>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</si>
  <si>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</si>
  <si>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</si>
  <si>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</si>
  <si>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</si>
  <si>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</si>
  <si>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</si>
  <si>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</si>
  <si>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</si>
  <si>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</si>
  <si>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</si>
  <si>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</si>
  <si>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</si>
  <si>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</si>
  <si>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</si>
  <si>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</si>
  <si>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</si>
  <si>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</si>
  <si>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</si>
  <si>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</si>
  <si>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</si>
  <si>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</si>
  <si>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</si>
  <si>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</si>
  <si>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</si>
  <si>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</si>
  <si>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</si>
  <si>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</si>
  <si>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</si>
  <si>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</si>
  <si>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</si>
  <si>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</si>
  <si>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</si>
  <si>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</si>
  <si>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</si>
  <si>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</si>
  <si>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</si>
  <si>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</si>
  <si>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</si>
  <si>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</si>
  <si>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</si>
  <si>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</si>
  <si>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</si>
  <si>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</si>
  <si>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</si>
  <si>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</si>
  <si>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</si>
  <si>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</si>
  <si>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</si>
  <si>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</si>
  <si>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</si>
  <si>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</si>
  <si>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</si>
  <si>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</si>
  <si>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</si>
  <si>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</si>
  <si>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</si>
  <si>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</si>
  <si>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</si>
  <si>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</si>
  <si>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</si>
  <si>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</si>
  <si>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</si>
  <si>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</si>
  <si>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</si>
  <si>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</si>
  <si>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</si>
  <si>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</si>
  <si>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</si>
  <si>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</si>
  <si>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</si>
  <si>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</si>
  <si>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</si>
  <si>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</si>
  <si>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</si>
  <si>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</si>
  <si>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</si>
  <si>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</si>
  <si>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</si>
  <si>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</si>
  <si>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</si>
  <si>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</si>
  <si>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</si>
  <si>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</si>
  <si>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</si>
  <si>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</si>
  <si>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</si>
  <si>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</si>
  <si>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</si>
  <si>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</si>
  <si>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</si>
  <si>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</si>
  <si>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</si>
  <si>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</si>
  <si>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</si>
  <si>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</si>
  <si>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</si>
  <si>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</si>
  <si>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</si>
  <si>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</si>
  <si>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</si>
  <si>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</si>
  <si>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</si>
  <si>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</si>
  <si>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</si>
  <si>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</si>
  <si>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</si>
  <si>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</si>
  <si>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</si>
  <si>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</si>
  <si>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</si>
  <si>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</si>
  <si>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</si>
  <si>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</si>
  <si>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</si>
  <si>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</si>
  <si>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</si>
  <si>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</si>
  <si>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</si>
  <si>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</si>
  <si>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</si>
  <si>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</si>
  <si>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</si>
  <si>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</si>
  <si>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</si>
  <si>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</si>
  <si>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</si>
  <si>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</si>
  <si>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</si>
  <si>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</si>
  <si>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</si>
  <si>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</si>
  <si>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</si>
  <si>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</si>
  <si>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</si>
  <si>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</si>
  <si>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</si>
  <si>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</si>
  <si>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</si>
  <si>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</si>
  <si>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</si>
  <si>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</si>
  <si>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</si>
  <si>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</si>
  <si>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</si>
  <si>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</si>
  <si>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</si>
  <si>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</si>
  <si>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</si>
  <si>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</si>
  <si>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</si>
  <si>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</si>
  <si>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</si>
  <si>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</si>
  <si>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</si>
  <si>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</si>
  <si>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</si>
  <si>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</si>
  <si>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</si>
  <si>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</si>
  <si>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</si>
  <si>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</si>
  <si>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</si>
  <si>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</si>
  <si>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</si>
  <si>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</si>
  <si>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</si>
  <si>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</si>
  <si>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</si>
  <si>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</si>
  <si>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</si>
  <si>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</si>
  <si>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</si>
  <si>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</si>
  <si>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</si>
  <si>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</si>
  <si>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</si>
  <si>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</si>
  <si>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</si>
  <si>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</si>
  <si>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</si>
  <si>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</si>
  <si>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</si>
  <si>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</si>
  <si>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</si>
  <si>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</si>
  <si>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</si>
  <si>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</si>
  <si>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</si>
  <si>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</si>
  <si>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</si>
  <si>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</si>
  <si>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</si>
  <si>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</si>
  <si>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</si>
  <si>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</si>
  <si>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</si>
  <si>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</si>
  <si>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</si>
  <si>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</si>
  <si>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</si>
  <si>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</si>
  <si>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</si>
  <si>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</si>
  <si>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</si>
  <si>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</si>
  <si>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</si>
  <si>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</si>
  <si>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</si>
  <si>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</si>
  <si>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</si>
  <si>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</si>
  <si>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</si>
  <si>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 xml:space="preserve">Ready for Olu's review </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</si>
  <si>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</si>
  <si>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</si>
  <si>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</si>
  <si>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</si>
  <si>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</si>
  <si>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</si>
  <si>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</si>
  <si>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</si>
  <si>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</si>
  <si>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</si>
  <si>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</si>
  <si>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</si>
  <si>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</si>
  <si>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</si>
  <si>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</si>
  <si>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</si>
  <si>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</si>
  <si>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</si>
  <si>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</si>
  <si>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</si>
  <si>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</si>
  <si>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</si>
  <si>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</si>
  <si>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</si>
  <si>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</si>
  <si>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</si>
  <si>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</si>
  <si>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</si>
  <si>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</si>
  <si>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</si>
  <si>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</si>
  <si>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</si>
  <si>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</si>
  <si>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</si>
  <si>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</si>
  <si>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</si>
  <si>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</si>
  <si>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</si>
  <si>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</si>
  <si>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</si>
  <si>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</si>
  <si>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</si>
  <si>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</si>
  <si>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</si>
  <si>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</si>
  <si>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</si>
  <si>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</si>
  <si>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</si>
  <si>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hybrid</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</si>
  <si>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</si>
  <si>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</si>
  <si>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</si>
  <si>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</si>
  <si>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</si>
  <si>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</si>
  <si>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</si>
  <si>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</si>
  <si>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</si>
  <si>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</si>
  <si>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</si>
  <si>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</si>
  <si>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</si>
  <si>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</si>
  <si>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</si>
  <si>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</si>
  <si>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</si>
  <si>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</si>
  <si>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</si>
  <si>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</si>
  <si>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</si>
  <si>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</si>
  <si>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</si>
  <si>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</si>
  <si>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</si>
  <si>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</si>
  <si>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</si>
  <si>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</si>
  <si>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</si>
  <si>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</si>
  <si>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</si>
  <si>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</si>
  <si>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</si>
  <si>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</si>
  <si>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</si>
  <si>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</si>
  <si>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</si>
  <si>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</si>
  <si>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</si>
  <si>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</si>
  <si>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</si>
  <si>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</si>
  <si>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</si>
  <si>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</si>
  <si>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</si>
  <si>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</si>
  <si>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</si>
  <si>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</si>
  <si>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</si>
  <si>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</si>
  <si>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</si>
  <si>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</si>
  <si>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</si>
  <si>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</si>
  <si>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</si>
  <si>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</si>
  <si>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</si>
  <si>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</si>
  <si>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</si>
  <si>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</si>
  <si>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</si>
  <si>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</si>
  <si>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</si>
  <si>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</si>
  <si>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</si>
  <si>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</si>
  <si>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</si>
  <si>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</si>
  <si>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</si>
  <si>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</si>
  <si>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</si>
  <si>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</si>
  <si>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</si>
  <si>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</si>
  <si>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</si>
  <si>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</si>
  <si>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</si>
  <si>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</si>
  <si>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</si>
  <si>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</si>
  <si>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</si>
  <si>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</si>
  <si>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</si>
  <si>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</si>
  <si>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</si>
  <si>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</si>
  <si>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</si>
  <si>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</si>
  <si>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</si>
  <si>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</si>
  <si>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</si>
  <si>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</si>
  <si>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</si>
  <si>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</si>
  <si>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</si>
  <si>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</si>
  <si>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</si>
  <si>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</si>
  <si>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</si>
  <si>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</si>
  <si>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</si>
  <si>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</si>
  <si>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</si>
  <si>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</si>
  <si>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</si>
  <si>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</si>
  <si>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</si>
  <si>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</si>
  <si>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</si>
  <si>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</si>
  <si>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</si>
  <si>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</si>
  <si>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</si>
  <si>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</si>
  <si>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</si>
  <si>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</si>
  <si>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</si>
  <si>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</si>
  <si>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</si>
  <si>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</si>
  <si>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</si>
  <si>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</si>
  <si>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</si>
  <si>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</si>
  <si>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</si>
  <si>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</si>
  <si>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</si>
  <si>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</si>
  <si>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</si>
  <si>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</si>
  <si>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</si>
  <si>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</si>
  <si>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</si>
  <si>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</si>
  <si>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</si>
  <si>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</si>
  <si>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</si>
  <si>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</si>
  <si>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</si>
  <si>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</si>
  <si>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</si>
  <si>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</si>
  <si>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</si>
  <si>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</si>
  <si>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</si>
  <si>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</si>
  <si>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</si>
  <si>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</si>
  <si>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</si>
  <si>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</si>
  <si>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</si>
  <si>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</si>
  <si>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</si>
  <si>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</si>
  <si>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</si>
  <si>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</si>
  <si>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</si>
  <si>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</si>
  <si>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</si>
  <si>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</si>
  <si>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</si>
  <si>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</si>
  <si>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</si>
  <si>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</si>
  <si>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</si>
  <si>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</si>
  <si>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</si>
  <si>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</si>
  <si>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</si>
  <si>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</si>
  <si>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</si>
  <si>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</si>
  <si>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</si>
  <si>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</si>
  <si>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</si>
  <si>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</si>
  <si>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</si>
  <si>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</si>
  <si>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</si>
  <si>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</si>
  <si>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</si>
  <si>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</si>
  <si>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</si>
  <si>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</si>
  <si>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</si>
  <si>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GDM Migration — CMS Reports</t>
  </si>
  <si>
    <t>Blocked in Prod
approved, not released</t>
  </si>
  <si>
    <t>Blocked in build / QA
owners assigned</t>
  </si>
  <si>
    <t>Approved by the business
this week</t>
  </si>
  <si>
    <t>Released to production
to date</t>
  </si>
  <si>
    <t>BY DELIVERY WAVE</t>
  </si>
  <si>
    <t>Wave</t>
  </si>
  <si>
    <t>Reports</t>
  </si>
  <si>
    <t>Blocked in Prod</t>
  </si>
  <si>
    <t>Blocked - Build/QA</t>
  </si>
  <si>
    <t>Not Started</t>
  </si>
  <si>
    <t>Due</t>
  </si>
  <si>
    <t>November</t>
  </si>
  <si>
    <t>Total</t>
  </si>
  <si>
    <t>DECISION NEEDED</t>
  </si>
  <si>
    <t>ALSO FOR CONFIRMATION</t>
  </si>
  <si>
    <t>Descope two September reports (AMI Contractor Completion, Collection Statistic) so the wave is measured against 16, not 18.</t>
  </si>
  <si>
    <t>Blocked in Prod = tracker status "Ready for Release in Prod" with no confirmed deployment. Data tab holds one row per report; every number on this sheet is a COUNTIF off it. Source: GDM Tracker, Sept 30.</t>
  </si>
  <si>
    <t>Tracker Status</t>
  </si>
  <si>
    <t>Bucket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</si>
</sst>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quot;&quot;"/>
    <numFmt numFmtId="165" formatCode="mmm\ d"/>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1F1F1F"/>
      <name val="Arial"/>
    </font>
    <font>
      <b/>
      <sz val="20"/>
      <color rgb="FF1F1F1F"/>
      <name val="Arial"/>
    </font>
    <font>
      <sz val="10"/>
      <color rgb="FF6B6B6B"/>
      <name val="Arial"/>
    </font>
    <font>
      <sz val="12"/>
      <color rgb="FF1F1F1F"/>
      <name val="Calibri"/>
      <family val="2"/>
      <charset val="1"/>
    </font>
    <font>
      <b/>
      <sz val="28"/>
      <color rgb="FF7A3A33"/>
      <name val="Calibri"/>
      <family val="2"/>
      <charset val="1"/>
    </font>
    <font>
      <sz val="9"/>
      <color rgb="FF6B6B6B"/>
      <name val="Calibri"/>
      <family val="2"/>
      <charset val="1"/>
    </font>
    <font>
      <b/>
      <sz val="28"/>
      <color rgb="FF1F1F1F"/>
      <name val="Calibri"/>
      <family val="2"/>
      <charset val="1"/>
    </font>
    <font>
      <b/>
      <sz val="8"/>
      <color rgb="FF6B6B6B"/>
      <name val="Arial"/>
    </font>
    <font>
      <b/>
      <sz val="9"/>
      <color rgb="FF6B6B6B"/>
      <name val="Arial"/>
    </font>
    <font>
      <sz val="10"/>
      <color rgb="FF7A3A33"/>
      <name val="Arial"/>
    </font>
    <font>
      <sz val="10"/>
      <color rgb="FFB7791F"/>
      <name val="Arial"/>
    </font>
    <font>
      <sz val="10"/>
      <color rgb="FF3B7A57"/>
      <name val="Arial"/>
    </font>
    <font>
      <b/>
      <sz val="10"/>
      <color rgb="FF1F1F1F"/>
      <name val="Arial"/>
    </font>
    <font>
      <b/>
      <sz val="8"/>
      <color rgb="FF7A3A33"/>
      <name val="Arial"/>
    </font>
    <font>
      <sz val="10"/>
      <color rgb="FF1F1F1F"/>
      <name val="Calibri"/>
      <family val="2"/>
      <charset val="1"/>
    </font>
    <font>
      <sz val="8"/>
      <color rgb="FF8C8C8C"/>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7F7F5"/>
        <bgColor indexed="64"/>
      </patternFill>
    </fill>
    <fill>
      <patternFill patternType="solid">
        <fgColor rgb="FFF8F3F2"/>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style="medium">
        <color rgb="FFFFFFFF"/>
      </left>
      <right/>
      <top/>
      <bottom/>
      <diagonal/>
    </border>
    <border>
      <left/>
      <right/>
      <top style="medium">
        <color rgb="FF333333"/>
      </top>
      <bottom style="thin">
        <color rgb="FFE3E1DC"/>
      </bottom>
      <diagonal/>
    </border>
    <border>
      <left/>
      <right/>
      <top style="thin">
        <color rgb="FFE3E1DC"/>
      </top>
      <bottom style="thin">
        <color rgb="FFE3E1DC"/>
      </bottom>
      <diagonal/>
    </border>
    <border>
      <left/>
      <right/>
      <top style="thin">
        <color rgb="FFE3E1DC"/>
      </top>
      <bottom/>
      <diagonal/>
    </border>
    <border>
      <left/>
      <right/>
      <top style="medium">
        <color rgb="FF333333"/>
      </top>
      <bottom/>
      <diagonal/>
    </border>
  </borders>
  <cellStyleXfs count="2">
    <xf numFmtId="0" fontId="0" fillId="0" borderId="0"/>
    <xf numFmtId="0" fontId="17" fillId="0" borderId="0" applyNumberFormat="0" applyFill="0" applyBorder="0" applyAlignment="0" applyProtection="0"/>
  </cellStyleXfs>
  <cellXfs count="225">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0" borderId="0" xfId="0" applyFont="1"/>
    <xf numFmtId="0" fontId="37" fillId="0" borderId="0" xfId="0" applyFont="1" applyAlignment="1">
      <alignment horizontal="left"/>
    </xf>
    <xf numFmtId="0" fontId="38" fillId="0" borderId="0" xfId="0" applyFont="1" applyAlignment="1">
      <alignment horizontal="left" vertical="top"/>
    </xf>
    <xf numFmtId="0" fontId="43" fillId="0" borderId="0" xfId="0" applyFont="1" applyAlignment="1">
      <alignment horizontal="left"/>
    </xf>
    <xf numFmtId="0" fontId="44" fillId="0" borderId="0" xfId="0" applyFont="1" applyAlignment="1">
      <alignment horizontal="left" wrapText="1"/>
    </xf>
    <xf numFmtId="0" fontId="44" fillId="0" borderId="0" xfId="0" applyFont="1" applyAlignment="1">
      <alignment horizontal="center" wrapText="1"/>
    </xf>
    <xf numFmtId="0" fontId="36" fillId="0" borderId="18" xfId="0" applyFont="1" applyBorder="1" applyAlignment="1">
      <alignment horizontal="left" vertical="center"/>
    </xf>
    <xf numFmtId="1" fontId="36" fillId="0" borderId="18" xfId="0" applyNumberFormat="1" applyFont="1" applyBorder="1" applyAlignment="1">
      <alignment horizontal="center" vertical="center"/>
    </xf>
    <xf numFmtId="164" fontId="36" fillId="0" borderId="18" xfId="0" applyNumberFormat="1" applyFont="1" applyBorder="1" applyAlignment="1">
      <alignment horizontal="center" vertical="center"/>
    </xf>
    <xf numFmtId="165" fontId="36" fillId="0" borderId="18" xfId="0" applyNumberFormat="1" applyFont="1" applyBorder="1" applyAlignment="1">
      <alignment horizontal="left" vertical="center"/>
    </xf>
    <xf numFmtId="0" fontId="45" fillId="0" borderId="18" xfId="0" applyFont="1" applyBorder="1" applyAlignment="1">
      <alignment horizontal="left" vertical="center"/>
    </xf>
    <xf numFmtId="0" fontId="36" fillId="0" borderId="19" xfId="0" applyFont="1" applyBorder="1" applyAlignment="1">
      <alignment horizontal="left" vertical="center"/>
    </xf>
    <xf numFmtId="1" fontId="36" fillId="0" borderId="19" xfId="0" applyNumberFormat="1" applyFont="1" applyBorder="1" applyAlignment="1">
      <alignment horizontal="center" vertical="center"/>
    </xf>
    <xf numFmtId="164" fontId="36" fillId="0" borderId="19" xfId="0" applyNumberFormat="1" applyFont="1" applyBorder="1" applyAlignment="1">
      <alignment horizontal="center" vertical="center"/>
    </xf>
    <xf numFmtId="165" fontId="36" fillId="0" borderId="19" xfId="0" applyNumberFormat="1" applyFont="1" applyBorder="1" applyAlignment="1">
      <alignment horizontal="left" vertical="center"/>
    </xf>
    <xf numFmtId="0" fontId="45" fillId="0" borderId="19" xfId="0" applyFont="1" applyBorder="1" applyAlignment="1">
      <alignment horizontal="left" vertical="center"/>
    </xf>
    <xf numFmtId="0" fontId="46" fillId="0" borderId="19" xfId="0" applyFont="1" applyBorder="1" applyAlignment="1">
      <alignment horizontal="left" vertical="center"/>
    </xf>
    <xf numFmtId="0" fontId="47" fillId="0" borderId="19" xfId="0" applyFont="1" applyBorder="1" applyAlignment="1">
      <alignment horizontal="left" vertical="center"/>
    </xf>
    <xf numFmtId="0" fontId="36" fillId="0" borderId="20" xfId="0" applyFont="1" applyBorder="1" applyAlignment="1">
      <alignment horizontal="left" vertical="center"/>
    </xf>
    <xf numFmtId="1" fontId="36" fillId="0" borderId="20" xfId="0" applyNumberFormat="1" applyFont="1" applyBorder="1" applyAlignment="1">
      <alignment horizontal="center" vertical="center"/>
    </xf>
    <xf numFmtId="164" fontId="36" fillId="0" borderId="20" xfId="0" applyNumberFormat="1" applyFont="1" applyBorder="1" applyAlignment="1">
      <alignment horizontal="center" vertical="center"/>
    </xf>
    <xf numFmtId="165" fontId="36" fillId="0" borderId="20" xfId="0" applyNumberFormat="1" applyFont="1" applyBorder="1" applyAlignment="1">
      <alignment horizontal="left" vertical="center"/>
    </xf>
    <xf numFmtId="0" fontId="47" fillId="0" borderId="20" xfId="0" applyFont="1" applyBorder="1" applyAlignment="1">
      <alignment horizontal="left" vertical="center"/>
    </xf>
    <xf numFmtId="0" fontId="48" fillId="0" borderId="21" xfId="0" applyFont="1" applyBorder="1" applyAlignment="1">
      <alignment horizontal="left" vertical="center"/>
    </xf>
    <xf numFmtId="1" fontId="48" fillId="0" borderId="21" xfId="0" applyNumberFormat="1" applyFont="1" applyBorder="1" applyAlignment="1">
      <alignment horizontal="center" vertical="center"/>
    </xf>
    <xf numFmtId="164" fontId="48" fillId="0" borderId="21" xfId="0" applyNumberFormat="1" applyFont="1" applyBorder="1" applyAlignment="1">
      <alignment horizontal="center" vertical="center"/>
    </xf>
    <xf numFmtId="0" fontId="48" fillId="0" borderId="21" xfId="0" applyFont="1" applyBorder="1"/>
    <xf numFmtId="0" fontId="49" fillId="0" borderId="0" xfId="0" applyFont="1" applyAlignment="1">
      <alignment horizontal="left"/>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50" fillId="21" borderId="0" xfId="0" applyFont="1" applyFill="1" applyAlignment="1">
      <alignment horizontal="left" vertical="top" wrapText="1" indent="1"/>
    </xf>
    <xf numFmtId="0" fontId="0" fillId="21" borderId="0" xfId="0" applyFill="1" applyAlignment="1">
      <alignment horizontal="left" vertical="top" wrapText="1" indent="1"/>
    </xf>
    <xf numFmtId="0" fontId="50" fillId="20" borderId="0" xfId="0" applyFont="1" applyFill="1" applyAlignment="1">
      <alignment horizontal="left" vertical="top" wrapText="1" indent="1"/>
    </xf>
    <xf numFmtId="0" fontId="0" fillId="20" borderId="0" xfId="0" applyFill="1" applyAlignment="1">
      <alignment horizontal="left" vertical="top" wrapText="1" indent="1"/>
    </xf>
    <xf numFmtId="0" fontId="51" fillId="0" borderId="0" xfId="0" applyFont="1" applyAlignment="1">
      <alignment horizontal="left" vertical="top" wrapText="1"/>
    </xf>
    <xf numFmtId="0" fontId="0" fillId="0" borderId="0" xfId="0" applyAlignment="1">
      <alignment horizontal="left" vertical="top" wrapText="1"/>
    </xf>
    <xf numFmtId="0" fontId="39" fillId="0" borderId="0" xfId="0" applyFont="1" applyAlignment="1">
      <alignment horizontal="left" vertical="top" wrapText="1"/>
    </xf>
    <xf numFmtId="1" fontId="40" fillId="0" borderId="0" xfId="0" applyNumberFormat="1" applyFont="1" applyAlignment="1">
      <alignment horizontal="left" indent="1"/>
    </xf>
    <xf numFmtId="0" fontId="0" fillId="0" borderId="0" xfId="0" applyAlignment="1">
      <alignment horizontal="left" indent="1"/>
    </xf>
    <xf numFmtId="0" fontId="41" fillId="0" borderId="0" xfId="0" applyFont="1" applyAlignment="1">
      <alignment horizontal="left" vertical="top" wrapText="1" indent="1"/>
    </xf>
    <xf numFmtId="0" fontId="0" fillId="0" borderId="0" xfId="0" applyAlignment="1">
      <alignment horizontal="left" vertical="top" wrapText="1" indent="1"/>
    </xf>
    <xf numFmtId="1" fontId="40" fillId="0" borderId="17" xfId="0" applyNumberFormat="1" applyFont="1" applyBorder="1" applyAlignment="1">
      <alignment horizontal="left" indent="1"/>
    </xf>
    <xf numFmtId="0" fontId="41" fillId="0" borderId="17" xfId="0" applyFont="1" applyBorder="1" applyAlignment="1">
      <alignment horizontal="left" vertical="top" wrapText="1" indent="1"/>
    </xf>
    <xf numFmtId="1" fontId="42" fillId="0" borderId="17" xfId="0" applyNumberFormat="1" applyFont="1" applyBorder="1" applyAlignment="1">
      <alignment horizontal="left"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1"/>
          <c:order val="0"/>
          <c:tx>
            <c:strRef>
              <c:f>'Exec Status'!$D$13</c:f>
              <c:strCache>
                <c:ptCount val="1"/>
                <c:pt idx="0">
                  <c:v>Blocked in Prod</c:v>
                </c:pt>
              </c:strCache>
            </c:strRef>
          </c:tx>
          <c:spPr>
            <a:solidFill>
              <a:srgbClr val="A8574E"/>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Status'!$D$14:$D$18</c:f>
              <c:numCache>
                <c:formatCode>0;\-0;""</c:formatCode>
                <c:ptCount val="5"/>
                <c:pt idx="0">
                  <c:v>14</c:v>
                </c:pt>
                <c:pt idx="1">
                  <c:v>9</c:v>
                </c:pt>
                <c:pt idx="2">
                  <c:v>2</c:v>
                </c:pt>
                <c:pt idx="3">
                  <c:v>0</c:v>
                </c:pt>
                <c:pt idx="4">
                  <c:v>0</c:v>
                </c:pt>
              </c:numCache>
            </c:numRef>
          </c:val>
          <c:extLst>
            <c:ext xmlns:c16="http://schemas.microsoft.com/office/drawing/2014/chart" uri="{C3380CC4-5D6E-409C-BE32-E72D297353CC}">
              <c16:uniqueId val="{00000002-5940-486C-8463-0953DC72621F}"/>
            </c:ext>
          </c:extLst>
        </c:ser>
        <c:ser>
          <c:idx val="2"/>
          <c:order val="1"/>
          <c:tx>
            <c:strRef>
              <c:f>'Exec Status'!$E$13</c:f>
              <c:strCache>
                <c:ptCount val="1"/>
                <c:pt idx="0">
                  <c:v>Blocked - Build/QA</c:v>
                </c:pt>
              </c:strCache>
            </c:strRef>
          </c:tx>
          <c:spPr>
            <a:solidFill>
              <a:srgbClr val="7D3A34"/>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Status'!$E$14:$E$18</c:f>
              <c:numCache>
                <c:formatCode>0;\-0;""</c:formatCode>
                <c:ptCount val="5"/>
                <c:pt idx="0">
                  <c:v>0</c:v>
                </c:pt>
                <c:pt idx="1">
                  <c:v>1</c:v>
                </c:pt>
                <c:pt idx="2">
                  <c:v>3</c:v>
                </c:pt>
                <c:pt idx="3">
                  <c:v>1</c:v>
                </c:pt>
                <c:pt idx="4">
                  <c:v>0</c:v>
                </c:pt>
              </c:numCache>
            </c:numRef>
          </c:val>
          <c:extLst>
            <c:ext xmlns:c16="http://schemas.microsoft.com/office/drawing/2014/chart" uri="{C3380CC4-5D6E-409C-BE32-E72D297353CC}">
              <c16:uniqueId val="{00000004-5940-486C-8463-0953DC72621F}"/>
            </c:ext>
          </c:extLst>
        </c:ser>
        <c:ser>
          <c:idx val="3"/>
          <c:order val="2"/>
          <c:tx>
            <c:strRef>
              <c:f>'Exec Status'!$F$13</c:f>
              <c:strCache>
                <c:ptCount val="1"/>
                <c:pt idx="0">
                  <c:v>DPO Approval</c:v>
                </c:pt>
              </c:strCache>
            </c:strRef>
          </c:tx>
          <c:spPr>
            <a:solidFill>
              <a:srgbClr val="35619A"/>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Status'!$F$14:$F$18</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6-5940-486C-8463-0953DC72621F}"/>
            </c:ext>
          </c:extLst>
        </c:ser>
        <c:ser>
          <c:idx val="4"/>
          <c:order val="3"/>
          <c:tx>
            <c:strRef>
              <c:f>'Exec Status'!$G$13</c:f>
              <c:strCache>
                <c:ptCount val="1"/>
                <c:pt idx="0">
                  <c:v>QA</c:v>
                </c:pt>
              </c:strCache>
            </c:strRef>
          </c:tx>
          <c:spPr>
            <a:solidFill>
              <a:srgbClr val="5C88BD"/>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Status'!$G$14:$G$18</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8-5940-486C-8463-0953DC72621F}"/>
            </c:ext>
          </c:extLst>
        </c:ser>
        <c:ser>
          <c:idx val="5"/>
          <c:order val="4"/>
          <c:tx>
            <c:strRef>
              <c:f>'Exec Status'!$H$13</c:f>
              <c:strCache>
                <c:ptCount val="1"/>
                <c:pt idx="0">
                  <c:v>PBI Dev</c:v>
                </c:pt>
              </c:strCache>
            </c:strRef>
          </c:tx>
          <c:spPr>
            <a:solidFill>
              <a:srgbClr val="8DB0D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Status'!$H$14:$H$18</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A-5940-486C-8463-0953DC72621F}"/>
            </c:ext>
          </c:extLst>
        </c:ser>
        <c:ser>
          <c:idx val="6"/>
          <c:order val="5"/>
          <c:tx>
            <c:strRef>
              <c:f>'Exec Status'!$I$13</c:f>
              <c:strCache>
                <c:ptCount val="1"/>
                <c:pt idx="0">
                  <c:v>DB Dev</c:v>
                </c:pt>
              </c:strCache>
            </c:strRef>
          </c:tx>
          <c:spPr>
            <a:solidFill>
              <a:srgbClr val="B9CFE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Status'!$I$14:$I$18</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C-5940-486C-8463-0953DC72621F}"/>
            </c:ext>
          </c:extLst>
        </c:ser>
        <c:ser>
          <c:idx val="7"/>
          <c:order val="6"/>
          <c:tx>
            <c:strRef>
              <c:f>'Exec Status'!$J$13</c:f>
              <c:strCache>
                <c:ptCount val="1"/>
                <c:pt idx="0">
                  <c:v>Not Started</c:v>
                </c:pt>
              </c:strCache>
            </c:strRef>
          </c:tx>
          <c:spPr>
            <a:solidFill>
              <a:srgbClr val="DEDCD6"/>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Status'!$J$14:$J$18</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E-5940-486C-8463-0953DC72621F}"/>
            </c:ext>
          </c:extLst>
        </c:ser>
        <c:dLbls>
          <c:showLegendKey val="0"/>
          <c:showVal val="0"/>
          <c:showCatName val="0"/>
          <c:showSerName val="0"/>
          <c:showPercent val="0"/>
          <c:showBubbleSize val="0"/>
        </c:dLbls>
        <c:gapWidth val="45"/>
        <c:overlap val="100"/>
        <c:axId val="17470471"/>
        <c:axId val="17472519"/>
      </c:barChart>
      <c:catAx>
        <c:axId val="17470471"/>
        <c:scaling>
          <c:orientation val="maxMin"/>
        </c:scaling>
        <c:delete val="0"/>
        <c:axPos val="l"/>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900" b="0" i="0" u="none" strike="noStrike" kern="1200" baseline="0">
                <a:solidFill>
                  <a:srgbClr val="1F1F1F"/>
                </a:solidFill>
                <a:latin typeface="Arial"/>
                <a:ea typeface="Arial"/>
                <a:cs typeface="Arial"/>
              </a:defRPr>
            </a:pPr>
            <a:endParaRPr lang="en-US"/>
          </a:p>
        </c:txPr>
        <c:crossAx val="17472519"/>
        <c:crosses val="autoZero"/>
        <c:auto val="1"/>
        <c:lblAlgn val="ctr"/>
        <c:lblOffset val="100"/>
        <c:noMultiLvlLbl val="0"/>
      </c:catAx>
      <c:valAx>
        <c:axId val="17472519"/>
        <c:scaling>
          <c:orientation val="minMax"/>
        </c:scaling>
        <c:delete val="1"/>
        <c:axPos val="t"/>
        <c:numFmt formatCode="0%" sourceLinked="1"/>
        <c:majorTickMark val="none"/>
        <c:minorTickMark val="none"/>
        <c:tickLblPos val="nextTo"/>
        <c:crossAx val="17470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6B6B6B"/>
              </a:solidFill>
              <a:latin typeface="Arial"/>
              <a:ea typeface="Arial"/>
              <a:cs typeface="Arial"/>
            </a:defRPr>
          </a:pPr>
          <a:endParaRPr lang="en-US"/>
        </a:p>
      </c:txPr>
    </c:legend>
    <c:plotVisOnly val="1"/>
    <c:dispBlanksAs val="gap"/>
    <c:showDLblsOverMax val="0"/>
  </c:chart>
  <c:spPr>
    <a:solidFill>
      <a:schemeClr val="bg1"/>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12</xdr:col>
      <xdr:colOff>0</xdr:colOff>
      <xdr:row>37</xdr:row>
      <xdr:rowOff>0</xdr:rowOff>
    </xdr:to>
    <xdr:graphicFrame macro="">
      <xdr:nvGraphicFramePr>
        <xdr:cNvPr id="4" name="cmsWaveChart">
          <a:extLst>
            <a:ext uri="{FF2B5EF4-FFF2-40B4-BE49-F238E27FC236}">
              <a16:creationId xmlns:a16="http://schemas.microsoft.com/office/drawing/2014/main" id="{0D64F5BA-28E0-B4EF-CDE4-C59EA407F3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 displayName="Bezawit Getaneh" id="{3AEBE0AD-1299-415D-A9CF-18F15C6DDFD6}" userId="S::bezawit.getaneh1@nationalgrid.com::ab4731d7-d4d5-43e2-86c9-6ae655e582b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November"/>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threadedComments/threadedComment2.xml><?xml version="1.0" encoding="utf-8"?>
<ThreadedComments xmlns="http://schemas.microsoft.com/office/spreadsheetml/2018/threadedcomments" xmlns:x="http://schemas.openxmlformats.org/spreadsheetml/2006/main">
  <threadedComment ref="F9" dT="2026-09-30T23:38:13.67" personId="{3AEBE0AD-1299-415D-A9CF-18F15C6DDFD6}" id="{CF3FBDBF-47EF-4784-8F0A-0B1D6CD0D150}">
    <text>Manual input - update by hand each week: number of reports approved by the business this week.</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J82" activePane="topRight" state="frozen"/>
      <selection pane="topRight" activeCell="K34" sqref="K34"/>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Move status back to PBI Dev</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203</v>
      </c>
      <c r="C58" s="33" t="s">
        <v>204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207</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211</v>
      </c>
      <c r="C61" s="33" t="s">
        <v>181</v>
      </c>
      <c r="D61" t="s">
        <v>212</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202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215</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217</v>
      </c>
      <c r="C63" s="33" t="s">
        <v>164</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218</v>
      </c>
      <c r="AE63" s="33" t="s">
        <v>72</v>
      </c>
      <c r="AF63" s="38"/>
      <c r="AG63" s="36"/>
      <c r="AH63" s="39"/>
      <c r="AI63" s="33"/>
      <c r="AJ63" s="40" t="s">
        <v>53</v>
      </c>
      <c r="AK63" s="72"/>
      <c r="AL63" s="41" t="s">
        <v>202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hidden="1">
      <c r="A64" s="116" t="s">
        <v>126</v>
      </c>
      <c r="B64" s="116" t="s">
        <v>219</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hidden="1">
      <c r="A66" s="155" t="s">
        <v>126</v>
      </c>
      <c r="B66" s="155" t="s">
        <v>222</v>
      </c>
      <c r="C66" s="155" t="s">
        <v>204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223</v>
      </c>
      <c r="C67" s="33" t="s">
        <v>224</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226</v>
      </c>
      <c r="C68" s="80" t="s">
        <v>204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227</v>
      </c>
      <c r="K68" s="85">
        <v>46276</v>
      </c>
      <c r="L68" s="86">
        <v>46258</v>
      </c>
      <c r="M68" s="86">
        <v>46258</v>
      </c>
      <c r="N68" s="86"/>
      <c r="O68" s="86" t="s">
        <v>193</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208</v>
      </c>
      <c r="G69" s="97"/>
      <c r="H69" s="99">
        <v>46295</v>
      </c>
      <c r="I69" s="100" t="s">
        <v>192</v>
      </c>
      <c r="J69" s="97" t="s">
        <v>59</v>
      </c>
      <c r="K69" s="101">
        <v>46276</v>
      </c>
      <c r="L69" s="102"/>
      <c r="M69" s="102"/>
      <c r="N69" s="102"/>
      <c r="O69" s="102" t="s">
        <v>193</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235</v>
      </c>
      <c r="C70" s="33" t="s">
        <v>204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192</v>
      </c>
      <c r="J70" s="33" t="s">
        <v>65</v>
      </c>
      <c r="K70" s="4">
        <v>46276</v>
      </c>
      <c r="L70" s="36">
        <v>46262</v>
      </c>
      <c r="M70" s="36">
        <v>46276</v>
      </c>
      <c r="N70" s="46" t="s">
        <v>146</v>
      </c>
      <c r="O70" s="36" t="s">
        <v>193</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236</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192</v>
      </c>
      <c r="J71" s="33" t="s">
        <v>44</v>
      </c>
      <c r="K71" s="4">
        <v>46276</v>
      </c>
      <c r="L71" s="36">
        <v>46259</v>
      </c>
      <c r="M71" s="36">
        <v>46259</v>
      </c>
      <c r="N71" s="36"/>
      <c r="O71" s="36" t="s">
        <v>193</v>
      </c>
      <c r="P71" s="62" t="s">
        <v>60</v>
      </c>
      <c r="Q71" s="4">
        <v>46286</v>
      </c>
      <c r="R71" s="36">
        <v>46281</v>
      </c>
      <c r="S71" s="36">
        <v>46281</v>
      </c>
      <c r="T71" s="68" t="s">
        <v>228</v>
      </c>
      <c r="U71" s="33" t="s">
        <v>47</v>
      </c>
      <c r="V71" s="58">
        <v>46290</v>
      </c>
      <c r="W71" s="36">
        <v>46296</v>
      </c>
      <c r="X71" s="46"/>
      <c r="Y71" s="46"/>
      <c r="Z71" s="36"/>
      <c r="AA71" s="51">
        <v>46295</v>
      </c>
      <c r="AB71" s="36">
        <v>46304</v>
      </c>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239</v>
      </c>
      <c r="C72" s="33" t="s">
        <v>204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228</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164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241</v>
      </c>
      <c r="J73" s="31" t="s">
        <v>76</v>
      </c>
      <c r="K73" s="43">
        <v>46304</v>
      </c>
      <c r="L73" s="43">
        <v>46259</v>
      </c>
      <c r="M73" s="46">
        <v>46259</v>
      </c>
      <c r="N73" s="44" t="s">
        <v>45</v>
      </c>
      <c r="O73" s="44" t="s">
        <v>193</v>
      </c>
      <c r="P73" s="65" t="s">
        <v>77</v>
      </c>
      <c r="Q73" s="43">
        <v>46313</v>
      </c>
      <c r="R73" s="43">
        <v>46289</v>
      </c>
      <c r="S73" s="43">
        <v>46289</v>
      </c>
      <c r="T73" s="69" t="s">
        <v>242</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243</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204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241</v>
      </c>
      <c r="J74" s="53" t="s">
        <v>227</v>
      </c>
      <c r="K74" s="43">
        <v>46304</v>
      </c>
      <c r="L74" s="43">
        <v>46269</v>
      </c>
      <c r="M74" s="44">
        <v>46269</v>
      </c>
      <c r="N74" s="44"/>
      <c r="O74" s="44" t="s">
        <v>193</v>
      </c>
      <c r="P74" s="74" t="s">
        <v>77</v>
      </c>
      <c r="Q74" s="43">
        <v>46313</v>
      </c>
      <c r="R74" s="43">
        <v>46300</v>
      </c>
      <c r="S74" s="44"/>
      <c r="T74" s="69" t="s">
        <v>242</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245</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193</v>
      </c>
      <c r="P75" s="139"/>
      <c r="Q75" s="137">
        <v>46313</v>
      </c>
      <c r="R75" s="137"/>
      <c r="S75" s="138"/>
      <c r="T75" s="140" t="s">
        <v>242</v>
      </c>
      <c r="U75" s="141"/>
      <c r="V75" s="142">
        <v>46316</v>
      </c>
      <c r="W75" s="137"/>
      <c r="X75" s="133"/>
      <c r="Y75" s="133"/>
      <c r="Z75" s="143"/>
      <c r="AA75" s="142">
        <v>46325</v>
      </c>
      <c r="AB75" s="137"/>
      <c r="AC75" s="137"/>
      <c r="AD75" s="133" t="s">
        <v>246</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247</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193</v>
      </c>
      <c r="P76" s="139"/>
      <c r="Q76" s="137">
        <v>46313</v>
      </c>
      <c r="R76" s="137"/>
      <c r="S76" s="138"/>
      <c r="T76" s="140" t="s">
        <v>242</v>
      </c>
      <c r="U76" s="141"/>
      <c r="V76" s="142">
        <v>46316</v>
      </c>
      <c r="W76" s="137"/>
      <c r="X76" s="133"/>
      <c r="Y76" s="133"/>
      <c r="Z76" s="143"/>
      <c r="AA76" s="142">
        <v>46325</v>
      </c>
      <c r="AB76" s="137"/>
      <c r="AC76" s="137"/>
      <c r="AD76" s="133" t="s">
        <v>246</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248</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193</v>
      </c>
      <c r="P77" s="139"/>
      <c r="Q77" s="137">
        <v>46313</v>
      </c>
      <c r="R77" s="137"/>
      <c r="S77" s="138"/>
      <c r="T77" s="140" t="s">
        <v>242</v>
      </c>
      <c r="U77" s="141"/>
      <c r="V77" s="142">
        <v>46316</v>
      </c>
      <c r="W77" s="137"/>
      <c r="X77" s="133"/>
      <c r="Y77" s="133"/>
      <c r="Z77" s="143"/>
      <c r="AA77" s="142">
        <v>46325</v>
      </c>
      <c r="AB77" s="137"/>
      <c r="AC77" s="137"/>
      <c r="AD77" s="133" t="s">
        <v>246</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249</v>
      </c>
      <c r="C78" s="144" t="s">
        <v>204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250</v>
      </c>
      <c r="P78" s="150" t="s">
        <v>60</v>
      </c>
      <c r="Q78" s="148">
        <v>46313</v>
      </c>
      <c r="R78" s="148">
        <v>46296</v>
      </c>
      <c r="S78" s="149"/>
      <c r="T78" s="151" t="s">
        <v>242</v>
      </c>
      <c r="U78" s="152"/>
      <c r="V78" s="153">
        <v>46316</v>
      </c>
      <c r="W78" s="148">
        <v>46296</v>
      </c>
      <c r="X78" s="144"/>
      <c r="Y78" s="144"/>
      <c r="Z78" s="154"/>
      <c r="AA78" s="153">
        <v>46325</v>
      </c>
      <c r="AB78" s="148"/>
      <c r="AC78" s="148"/>
      <c r="AD78" s="144" t="s">
        <v>186</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251</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252</v>
      </c>
      <c r="C79" s="31" t="s">
        <v>204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253</v>
      </c>
      <c r="O79" s="44" t="s">
        <v>193</v>
      </c>
      <c r="P79" s="74" t="s">
        <v>60</v>
      </c>
      <c r="Q79" s="43">
        <v>46313</v>
      </c>
      <c r="R79" s="43"/>
      <c r="S79" s="44"/>
      <c r="T79" s="69" t="s">
        <v>242</v>
      </c>
      <c r="U79" s="46"/>
      <c r="V79" s="28">
        <v>46316</v>
      </c>
      <c r="W79" s="43"/>
      <c r="X79" s="31"/>
      <c r="Y79" s="31"/>
      <c r="Z79" s="36"/>
      <c r="AA79" s="28">
        <v>46325</v>
      </c>
      <c r="AB79" s="43"/>
      <c r="AC79" s="43"/>
      <c r="AD79" s="31" t="s">
        <v>254</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250</v>
      </c>
      <c r="P80" s="74" t="s">
        <v>60</v>
      </c>
      <c r="Q80" s="43">
        <v>46313</v>
      </c>
      <c r="R80" s="43"/>
      <c r="S80" s="44"/>
      <c r="T80" s="69" t="s">
        <v>242</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256</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8">
        <v>46287</v>
      </c>
      <c r="N81" s="149" t="s">
        <v>253</v>
      </c>
      <c r="O81" s="149" t="s">
        <v>250</v>
      </c>
      <c r="P81" s="150" t="s">
        <v>60</v>
      </c>
      <c r="Q81" s="148">
        <v>46313</v>
      </c>
      <c r="R81" s="148">
        <v>46295</v>
      </c>
      <c r="S81" s="149">
        <v>46294</v>
      </c>
      <c r="T81" s="167" t="s">
        <v>257</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258</v>
      </c>
      <c r="C82" s="31" t="s">
        <v>224</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250</v>
      </c>
      <c r="P82" s="74" t="s">
        <v>77</v>
      </c>
      <c r="Q82" s="43">
        <v>46313</v>
      </c>
      <c r="R82" s="43">
        <v>46304</v>
      </c>
      <c r="S82" s="44"/>
      <c r="T82" s="68" t="s">
        <v>257</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204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253</v>
      </c>
      <c r="O83" s="44" t="s">
        <v>250</v>
      </c>
      <c r="P83" s="74" t="s">
        <v>77</v>
      </c>
      <c r="Q83" s="43">
        <v>46313</v>
      </c>
      <c r="R83" s="43">
        <v>46294</v>
      </c>
      <c r="S83" s="44">
        <v>46294</v>
      </c>
      <c r="T83" s="68" t="s">
        <v>257</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262</v>
      </c>
      <c r="C84" s="31" t="s">
        <v>204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241</v>
      </c>
      <c r="J84" s="53" t="s">
        <v>76</v>
      </c>
      <c r="K84" s="43">
        <v>46304</v>
      </c>
      <c r="L84" s="43">
        <v>46286</v>
      </c>
      <c r="M84" s="46">
        <v>46286</v>
      </c>
      <c r="N84" s="44" t="s">
        <v>253</v>
      </c>
      <c r="O84" s="44" t="s">
        <v>250</v>
      </c>
      <c r="P84" s="74" t="s">
        <v>60</v>
      </c>
      <c r="Q84" s="43">
        <v>46313</v>
      </c>
      <c r="R84" s="43"/>
      <c r="S84" s="44"/>
      <c r="T84" s="68" t="s">
        <v>257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241</v>
      </c>
      <c r="J85" s="53" t="s">
        <v>44</v>
      </c>
      <c r="K85" s="43">
        <v>46304</v>
      </c>
      <c r="L85" s="43">
        <v>46276</v>
      </c>
      <c r="M85" s="44"/>
      <c r="N85" s="44"/>
      <c r="O85" s="44" t="s">
        <v>250</v>
      </c>
      <c r="P85" s="74" t="s">
        <v>60</v>
      </c>
      <c r="Q85" s="43">
        <v>46313</v>
      </c>
      <c r="R85" s="43"/>
      <c r="S85" s="44"/>
      <c r="T85" s="68" t="s">
        <v>257</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250</v>
      </c>
      <c r="P86" s="74"/>
      <c r="Q86" s="49">
        <v>46339</v>
      </c>
      <c r="R86" s="43"/>
      <c r="S86" s="44"/>
      <c r="T86" s="68" t="s">
        <v>257</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250</v>
      </c>
      <c r="P87" s="74"/>
      <c r="Q87" s="49">
        <v>46339</v>
      </c>
      <c r="R87" s="43"/>
      <c r="S87" s="44"/>
      <c r="T87" s="68" t="s">
        <v>257</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250</v>
      </c>
      <c r="P88" s="74"/>
      <c r="Q88" s="49">
        <v>46339</v>
      </c>
      <c r="R88" s="43"/>
      <c r="S88" s="44"/>
      <c r="T88" s="68" t="s">
        <v>271</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227</v>
      </c>
      <c r="K89" s="49">
        <v>46332</v>
      </c>
      <c r="L89" s="43">
        <v>46282</v>
      </c>
      <c r="M89" s="44">
        <v>46282</v>
      </c>
      <c r="N89" s="44"/>
      <c r="O89" s="44" t="s">
        <v>250</v>
      </c>
      <c r="P89" s="74"/>
      <c r="Q89" s="49">
        <v>46339</v>
      </c>
      <c r="R89" s="43"/>
      <c r="S89" s="44"/>
      <c r="T89" s="68" t="s">
        <v>271</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227</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250</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250</v>
      </c>
      <c r="P92" s="74"/>
      <c r="Q92" s="49">
        <v>46339</v>
      </c>
      <c r="R92" s="43"/>
      <c r="S92" s="44"/>
      <c r="T92" s="68" t="s">
        <v>271</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9">
        <v>46332</v>
      </c>
      <c r="M98" s="44">
        <v>46296</v>
      </c>
      <c r="N98" s="44" t="s">
        <v>292</v>
      </c>
      <c r="O98" s="36" t="s">
        <v>274</v>
      </c>
      <c r="P98" s="74"/>
      <c r="Q98" s="49">
        <v>46339</v>
      </c>
      <c r="R98" s="43"/>
      <c r="S98" s="44"/>
      <c r="T98" s="68" t="s">
        <v>284</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293</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294</v>
      </c>
      <c r="F99" s="31" t="s">
        <v>129</v>
      </c>
      <c r="G99" s="31"/>
      <c r="H99" s="49">
        <v>46356</v>
      </c>
      <c r="I99" s="55" t="s">
        <v>266</v>
      </c>
      <c r="J99" s="53" t="s">
        <v>65</v>
      </c>
      <c r="K99" s="49">
        <v>46332</v>
      </c>
      <c r="L99" s="43"/>
      <c r="M99" s="44"/>
      <c r="N99" s="44"/>
      <c r="O99" s="44" t="s">
        <v>250</v>
      </c>
      <c r="P99" s="74"/>
      <c r="Q99" s="49">
        <v>46339</v>
      </c>
      <c r="R99" s="43"/>
      <c r="S99" s="44"/>
      <c r="T99" s="68" t="s">
        <v>284</v>
      </c>
      <c r="U99" s="46"/>
      <c r="V99" s="28">
        <v>46344</v>
      </c>
      <c r="W99" s="43"/>
      <c r="X99" s="31"/>
      <c r="Y99" s="31"/>
      <c r="Z99" s="36"/>
      <c r="AA99" s="28">
        <v>46356</v>
      </c>
      <c r="AB99" s="43"/>
      <c r="AC99" s="43"/>
      <c r="AD99" s="31" t="s">
        <v>295</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296</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297</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298</v>
      </c>
      <c r="B101" s="31" t="s">
        <v>299</v>
      </c>
      <c r="C101" s="31" t="s">
        <v>224</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300</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301</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298</v>
      </c>
      <c r="B102" s="31" t="s">
        <v>302</v>
      </c>
      <c r="C102" s="31" t="s">
        <v>204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300</v>
      </c>
      <c r="J102" s="53" t="s">
        <v>44</v>
      </c>
      <c r="K102" s="28">
        <v>46363</v>
      </c>
      <c r="L102" s="43"/>
      <c r="M102" s="31"/>
      <c r="N102" s="31"/>
      <c r="O102" s="36" t="s">
        <v>274</v>
      </c>
      <c r="P102" s="74"/>
      <c r="Q102" s="28">
        <v>46370</v>
      </c>
      <c r="R102" s="43"/>
      <c r="S102" s="31"/>
      <c r="T102" s="68" t="s">
        <v>303</v>
      </c>
      <c r="U102" s="46"/>
      <c r="V102" s="28">
        <v>46373</v>
      </c>
      <c r="W102" s="43"/>
      <c r="X102" s="31"/>
      <c r="Y102" s="31"/>
      <c r="Z102" s="36"/>
      <c r="AA102" s="28">
        <v>46386</v>
      </c>
      <c r="AB102" s="43"/>
      <c r="AC102" s="43"/>
      <c r="AD102" s="31" t="s">
        <v>304</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298</v>
      </c>
      <c r="B103" s="31" t="s">
        <v>305</v>
      </c>
      <c r="C103" s="31" t="s">
        <v>204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300</v>
      </c>
      <c r="J103" s="53" t="s">
        <v>44</v>
      </c>
      <c r="K103" s="28">
        <v>46363</v>
      </c>
      <c r="L103" s="43"/>
      <c r="M103" s="31"/>
      <c r="N103" s="31"/>
      <c r="O103" s="36" t="s">
        <v>274</v>
      </c>
      <c r="P103" s="74"/>
      <c r="Q103" s="28">
        <v>46370</v>
      </c>
      <c r="R103" s="43"/>
      <c r="S103" s="31"/>
      <c r="T103" s="68" t="s">
        <v>303</v>
      </c>
      <c r="U103" s="46"/>
      <c r="V103" s="28">
        <v>46373</v>
      </c>
      <c r="W103" s="43"/>
      <c r="X103" s="31"/>
      <c r="Y103" s="31"/>
      <c r="Z103" s="36"/>
      <c r="AA103" s="28">
        <v>46386</v>
      </c>
      <c r="AB103" s="43"/>
      <c r="AC103" s="43"/>
      <c r="AD103" s="31" t="s">
        <v>306</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307</v>
      </c>
      <c r="B104" s="31" t="s">
        <v>308</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300</v>
      </c>
      <c r="J104" s="53" t="s">
        <v>84</v>
      </c>
      <c r="K104" s="28">
        <v>46363</v>
      </c>
      <c r="L104" s="43"/>
      <c r="M104" s="31"/>
      <c r="N104" s="31"/>
      <c r="O104" s="36" t="s">
        <v>274</v>
      </c>
      <c r="P104" s="74"/>
      <c r="Q104" s="28">
        <v>46370</v>
      </c>
      <c r="R104" s="43"/>
      <c r="S104" s="31"/>
      <c r="T104" s="68" t="s">
        <v>303</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298</v>
      </c>
      <c r="B105" s="31" t="s">
        <v>310</v>
      </c>
      <c r="C105" s="31" t="s">
        <v>204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300</v>
      </c>
      <c r="J105" s="53"/>
      <c r="K105" s="28">
        <v>46363</v>
      </c>
      <c r="L105" s="43"/>
      <c r="M105" s="31"/>
      <c r="N105" s="31"/>
      <c r="O105" s="36" t="s">
        <v>311</v>
      </c>
      <c r="P105" s="74"/>
      <c r="Q105" s="28">
        <v>46370</v>
      </c>
      <c r="R105" s="43"/>
      <c r="S105" s="31"/>
      <c r="T105" s="68" t="s">
        <v>303</v>
      </c>
      <c r="U105" s="46"/>
      <c r="V105" s="28">
        <v>46373</v>
      </c>
      <c r="W105" s="43"/>
      <c r="X105" s="31"/>
      <c r="Y105" s="31"/>
      <c r="Z105" s="36"/>
      <c r="AA105" s="28">
        <v>46386</v>
      </c>
      <c r="AB105" s="43"/>
      <c r="AC105" s="43"/>
      <c r="AD105" s="31" t="s">
        <v>312</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298</v>
      </c>
      <c r="B106" s="31" t="s">
        <v>313</v>
      </c>
      <c r="C106" s="31" t="s">
        <v>204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300</v>
      </c>
      <c r="J106" s="53"/>
      <c r="K106" s="28">
        <v>46363</v>
      </c>
      <c r="L106" s="43"/>
      <c r="M106" s="31"/>
      <c r="N106" s="31"/>
      <c r="O106" s="36" t="s">
        <v>311</v>
      </c>
      <c r="P106" s="74"/>
      <c r="Q106" s="28">
        <v>46370</v>
      </c>
      <c r="R106" s="43"/>
      <c r="S106" s="31"/>
      <c r="T106" s="68" t="s">
        <v>303</v>
      </c>
      <c r="U106" s="46"/>
      <c r="V106" s="28">
        <v>46373</v>
      </c>
      <c r="W106" s="43"/>
      <c r="X106" s="31"/>
      <c r="Y106" s="31"/>
      <c r="Z106" s="36"/>
      <c r="AA106" s="28">
        <v>46386</v>
      </c>
      <c r="AB106" s="43"/>
      <c r="AC106" s="43"/>
      <c r="AD106" s="31" t="s">
        <v>314</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298</v>
      </c>
      <c r="B107" s="31" t="s">
        <v>315</v>
      </c>
      <c r="C107" s="31" t="s">
        <v>204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300</v>
      </c>
      <c r="J107" s="53"/>
      <c r="K107" s="28">
        <v>46363</v>
      </c>
      <c r="L107" s="43"/>
      <c r="M107" s="31"/>
      <c r="N107" s="31"/>
      <c r="O107" s="36" t="s">
        <v>311</v>
      </c>
      <c r="P107" s="74"/>
      <c r="Q107" s="28">
        <v>46370</v>
      </c>
      <c r="R107" s="43"/>
      <c r="S107" s="31"/>
      <c r="T107" s="68" t="s">
        <v>303</v>
      </c>
      <c r="U107" s="46"/>
      <c r="V107" s="28">
        <v>46373</v>
      </c>
      <c r="W107" s="43"/>
      <c r="X107" s="31"/>
      <c r="Y107" s="31"/>
      <c r="Z107" s="36"/>
      <c r="AA107" s="28">
        <v>46386</v>
      </c>
      <c r="AB107" s="43"/>
      <c r="AC107" s="43"/>
      <c r="AD107" s="31" t="s">
        <v>316</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298</v>
      </c>
      <c r="B108" s="31" t="s">
        <v>317</v>
      </c>
      <c r="C108" s="31" t="s">
        <v>224</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300</v>
      </c>
      <c r="J108" s="53"/>
      <c r="K108" s="28">
        <v>46363</v>
      </c>
      <c r="L108" s="43"/>
      <c r="M108" s="31"/>
      <c r="N108" s="31"/>
      <c r="O108" s="36" t="s">
        <v>318</v>
      </c>
      <c r="P108" s="74"/>
      <c r="Q108" s="28">
        <v>46370</v>
      </c>
      <c r="R108" s="43"/>
      <c r="S108" s="31"/>
      <c r="T108" s="68" t="s">
        <v>303</v>
      </c>
      <c r="U108" s="46"/>
      <c r="V108" s="28">
        <v>46373</v>
      </c>
      <c r="W108" s="43"/>
      <c r="X108" s="31"/>
      <c r="Y108" s="31"/>
      <c r="Z108" s="36"/>
      <c r="AA108" s="28">
        <v>46386</v>
      </c>
      <c r="AB108" s="43"/>
      <c r="AC108" s="43"/>
      <c r="AD108" s="31" t="s">
        <v>319</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307</v>
      </c>
      <c r="B109" s="31" t="s">
        <v>320</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300</v>
      </c>
      <c r="J109" s="53"/>
      <c r="K109" s="28">
        <v>46363</v>
      </c>
      <c r="L109" s="43"/>
      <c r="M109" s="31"/>
      <c r="N109" s="31"/>
      <c r="O109" s="36" t="s">
        <v>318</v>
      </c>
      <c r="P109" s="74"/>
      <c r="Q109" s="28">
        <v>46370</v>
      </c>
      <c r="R109" s="43"/>
      <c r="S109" s="31"/>
      <c r="T109" s="68" t="s">
        <v>321</v>
      </c>
      <c r="U109" s="46"/>
      <c r="V109" s="28">
        <v>46373</v>
      </c>
      <c r="W109" s="43"/>
      <c r="X109" s="31"/>
      <c r="Y109" s="31"/>
      <c r="Z109" s="36"/>
      <c r="AA109" s="28">
        <v>46386</v>
      </c>
      <c r="AB109" s="43"/>
      <c r="AC109" s="43"/>
      <c r="AD109" s="31" t="s">
        <v>322</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298</v>
      </c>
      <c r="B110" s="31" t="s">
        <v>323</v>
      </c>
      <c r="C110" s="31" t="s">
        <v>204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300</v>
      </c>
      <c r="J110" s="53"/>
      <c r="K110" s="28">
        <v>46363</v>
      </c>
      <c r="L110" s="43"/>
      <c r="M110" s="31"/>
      <c r="N110" s="31"/>
      <c r="O110" s="36" t="s">
        <v>318</v>
      </c>
      <c r="P110" s="74"/>
      <c r="Q110" s="28">
        <v>46370</v>
      </c>
      <c r="R110" s="43"/>
      <c r="S110" s="31"/>
      <c r="T110" s="68" t="s">
        <v>321</v>
      </c>
      <c r="U110" s="46"/>
      <c r="V110" s="28">
        <v>46373</v>
      </c>
      <c r="W110" s="43"/>
      <c r="X110" s="31"/>
      <c r="Y110" s="31"/>
      <c r="Z110" s="36"/>
      <c r="AA110" s="28">
        <v>46386</v>
      </c>
      <c r="AB110" s="43"/>
      <c r="AC110" s="43"/>
      <c r="AD110" s="31" t="s">
        <v>324</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307</v>
      </c>
      <c r="B111" s="31" t="s">
        <v>325</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300</v>
      </c>
      <c r="J111" s="53"/>
      <c r="K111" s="28">
        <v>46363</v>
      </c>
      <c r="L111" s="43"/>
      <c r="M111" s="31"/>
      <c r="N111" s="31"/>
      <c r="O111" s="36" t="s">
        <v>318</v>
      </c>
      <c r="P111" s="74"/>
      <c r="Q111" s="28">
        <v>46370</v>
      </c>
      <c r="R111" s="43"/>
      <c r="S111" s="31"/>
      <c r="T111" s="68" t="s">
        <v>321</v>
      </c>
      <c r="U111" s="46"/>
      <c r="V111" s="28">
        <v>46373</v>
      </c>
      <c r="W111" s="43"/>
      <c r="X111" s="31"/>
      <c r="Y111" s="31"/>
      <c r="Z111" s="36"/>
      <c r="AA111" s="28">
        <v>46386</v>
      </c>
      <c r="AB111" s="43"/>
      <c r="AC111" s="43"/>
      <c r="AD111" s="31" t="s">
        <v>326</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307</v>
      </c>
      <c r="B112" s="31" t="s">
        <v>327</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300</v>
      </c>
      <c r="J112" s="53"/>
      <c r="K112" s="28">
        <v>46363</v>
      </c>
      <c r="L112" s="43"/>
      <c r="M112" s="31"/>
      <c r="N112" s="31"/>
      <c r="O112" s="36" t="s">
        <v>318</v>
      </c>
      <c r="P112" s="74"/>
      <c r="Q112" s="28">
        <v>46370</v>
      </c>
      <c r="R112" s="43"/>
      <c r="S112" s="31"/>
      <c r="T112" s="68" t="s">
        <v>321</v>
      </c>
      <c r="U112" s="46"/>
      <c r="V112" s="28">
        <v>46373</v>
      </c>
      <c r="W112" s="43"/>
      <c r="X112" s="31"/>
      <c r="Y112" s="31"/>
      <c r="Z112" s="36"/>
      <c r="AA112" s="28">
        <v>46386</v>
      </c>
      <c r="AB112" s="43"/>
      <c r="AC112" s="43"/>
      <c r="AD112" s="31" t="s">
        <v>322</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307</v>
      </c>
      <c r="B113" s="31" t="s">
        <v>328</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300</v>
      </c>
      <c r="J113" s="53"/>
      <c r="K113" s="28">
        <v>46363</v>
      </c>
      <c r="L113" s="43"/>
      <c r="M113" s="31"/>
      <c r="N113" s="31"/>
      <c r="O113" s="36" t="s">
        <v>318</v>
      </c>
      <c r="P113" s="74"/>
      <c r="Q113" s="28">
        <v>46370</v>
      </c>
      <c r="R113" s="43"/>
      <c r="S113" s="31"/>
      <c r="T113" s="68" t="s">
        <v>321</v>
      </c>
      <c r="U113" s="46"/>
      <c r="V113" s="28">
        <v>46373</v>
      </c>
      <c r="W113" s="43"/>
      <c r="X113" s="31"/>
      <c r="Y113" s="31"/>
      <c r="Z113" s="36"/>
      <c r="AA113" s="28">
        <v>46386</v>
      </c>
      <c r="AB113" s="43"/>
      <c r="AC113" s="43"/>
      <c r="AD113" s="31" t="s">
        <v>322</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307</v>
      </c>
      <c r="B114" s="31" t="s">
        <v>329</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300</v>
      </c>
      <c r="J114" s="53"/>
      <c r="K114" s="28">
        <v>46363</v>
      </c>
      <c r="L114" s="43"/>
      <c r="M114" s="31"/>
      <c r="N114" s="31"/>
      <c r="O114" s="36" t="s">
        <v>330</v>
      </c>
      <c r="P114" s="74"/>
      <c r="Q114" s="28">
        <v>46370</v>
      </c>
      <c r="R114" s="43"/>
      <c r="S114" s="31"/>
      <c r="T114" s="68" t="s">
        <v>321</v>
      </c>
      <c r="U114" s="46"/>
      <c r="V114" s="28">
        <v>46373</v>
      </c>
      <c r="W114" s="43"/>
      <c r="X114" s="31"/>
      <c r="Y114" s="31"/>
      <c r="Z114" s="36"/>
      <c r="AA114" s="28">
        <v>46386</v>
      </c>
      <c r="AB114" s="43"/>
      <c r="AC114" s="43"/>
      <c r="AD114" s="31" t="s">
        <v>326</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307</v>
      </c>
      <c r="B115" s="31" t="s">
        <v>331</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300</v>
      </c>
      <c r="J115" s="53"/>
      <c r="K115" s="28">
        <v>46363</v>
      </c>
      <c r="L115" s="43"/>
      <c r="M115" s="31"/>
      <c r="N115" s="31"/>
      <c r="O115" s="36" t="s">
        <v>330</v>
      </c>
      <c r="P115" s="74"/>
      <c r="Q115" s="28">
        <v>46370</v>
      </c>
      <c r="R115" s="43"/>
      <c r="S115" s="31"/>
      <c r="T115" s="68" t="s">
        <v>321</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332</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74:V115 A117:AC528 A116:AE116 AJ116 AJ30:AJ42 AJ44:AJ48 Z48:AL72 W2:Y54 W55:X55 W56:Y58 W60:Y70 W59:X59 W71 W72:Y116">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116:AA116 Z71 U2:Z54 Z55 U55:X55 U56:Z58 U60:Z70 Z59 U59:X59 U71:W71 U72:Z116">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333</v>
      </c>
    </row>
    <row r="2" spans="1:5">
      <c r="A2" s="6" t="s">
        <v>334</v>
      </c>
    </row>
    <row r="4" spans="1:5" ht="21.95" customHeight="1">
      <c r="A4" s="5" t="s">
        <v>335</v>
      </c>
      <c r="B4" s="217"/>
      <c r="C4" s="218"/>
      <c r="D4" s="218"/>
      <c r="E4" s="218"/>
    </row>
    <row r="6" spans="1:5">
      <c r="A6" s="42" t="s">
        <v>0</v>
      </c>
      <c r="B6" s="201" t="str">
        <f>IF($B$4="","",IFERROR(INDEX('Combined Delivery Data'!$A:$A,MATCH($B$4,'Combined Delivery Data'!$B:$B,0)),""))</f>
        <v/>
      </c>
      <c r="C6" s="219"/>
      <c r="D6" s="219"/>
      <c r="E6" s="220"/>
    </row>
    <row r="7" spans="1:5">
      <c r="A7" s="42" t="s">
        <v>336</v>
      </c>
      <c r="B7" s="201" t="str">
        <f>IF($B$4="","",IFERROR(INDEX('Combined Delivery Data'!$C:$C,MATCH($B$4,'Combined Delivery Data'!$B:$B,0)),""))</f>
        <v/>
      </c>
      <c r="C7" s="219"/>
      <c r="D7" s="219"/>
      <c r="E7" s="220"/>
    </row>
    <row r="8" spans="1:5">
      <c r="A8" s="42" t="s">
        <v>3</v>
      </c>
      <c r="B8" s="201" t="str">
        <f>IF($B$4="","",IFERROR(INDEX('Combined Delivery Data'!$D:$D,MATCH($B$4,'Combined Delivery Data'!$B:$B,0)),""))</f>
        <v/>
      </c>
      <c r="C8" s="219"/>
      <c r="D8" s="219"/>
      <c r="E8" s="220"/>
    </row>
    <row r="9" spans="1:5">
      <c r="A9" s="42" t="s">
        <v>4</v>
      </c>
      <c r="B9" s="201" t="str">
        <f>IF($B$4="","",IFERROR(INDEX('Combined Delivery Data'!$E:$E,MATCH($B$4,'Combined Delivery Data'!$B:$B,0)),""))</f>
        <v/>
      </c>
      <c r="C9" s="219"/>
      <c r="D9" s="219"/>
      <c r="E9" s="220"/>
    </row>
    <row r="10" spans="1:5">
      <c r="A10" s="42" t="s">
        <v>5</v>
      </c>
      <c r="B10" s="201" t="str">
        <f>IF($B$4="","",IFERROR(INDEX('Combined Delivery Data'!$F:$F,MATCH($B$4,'Combined Delivery Data'!$B:$B,0)),""))</f>
        <v/>
      </c>
      <c r="C10" s="219"/>
      <c r="D10" s="219"/>
      <c r="E10" s="220"/>
    </row>
    <row r="11" spans="1:5">
      <c r="A11" s="42" t="s">
        <v>9</v>
      </c>
      <c r="B11" s="201" t="str">
        <f>IF($B$4="","",IFERROR(INDEX('Combined Delivery Data'!$J:$J,MATCH($B$4,'Combined Delivery Data'!$B:$B,0)),""))</f>
        <v/>
      </c>
      <c r="C11" s="219"/>
      <c r="D11" s="219"/>
      <c r="E11" s="220"/>
    </row>
    <row r="12" spans="1:5">
      <c r="A12" s="42" t="s">
        <v>15</v>
      </c>
      <c r="B12" s="201" t="str">
        <f>IF($B$4="","",IFERROR(INDEX('Combined Delivery Data'!$P:$P,MATCH($B$4,'Combined Delivery Data'!$B:$B,0)),""))</f>
        <v/>
      </c>
      <c r="C12" s="219"/>
      <c r="D12" s="219"/>
      <c r="E12" s="220"/>
    </row>
    <row r="13" spans="1:5">
      <c r="A13" s="42" t="s">
        <v>20</v>
      </c>
      <c r="B13" s="201" t="str">
        <f>IF($B$4="","",IFERROR(INDEX('Combined Delivery Data'!$U:$U,MATCH($B$4,'Combined Delivery Data'!$B:$B,0)),""))</f>
        <v/>
      </c>
      <c r="C13" s="219"/>
      <c r="D13" s="219"/>
      <c r="E13" s="220"/>
    </row>
    <row r="14" spans="1:5">
      <c r="A14" s="42" t="s">
        <v>337</v>
      </c>
      <c r="B14" s="200" t="str">
        <f>IF($B$4="","",IFERROR(INDEX('Combined Delivery Data'!$K:$K,MATCH($B$4,'Combined Delivery Data'!$B:$B,0)),""))</f>
        <v/>
      </c>
      <c r="C14" s="219"/>
      <c r="D14" s="219"/>
      <c r="E14" s="220"/>
    </row>
    <row r="15" spans="1:5">
      <c r="A15" s="42" t="s">
        <v>338</v>
      </c>
      <c r="B15" s="200" t="str">
        <f>IF($B$4="","",IFERROR(INDEX('Combined Delivery Data'!$L:$L,MATCH($B$4,'Combined Delivery Data'!$B:$B,0)),""))</f>
        <v/>
      </c>
      <c r="C15" s="219"/>
      <c r="D15" s="219"/>
      <c r="E15" s="220"/>
    </row>
    <row r="16" spans="1:5">
      <c r="A16" s="42" t="s">
        <v>339</v>
      </c>
      <c r="B16" s="200" t="str">
        <f>IF($B$4="","",IFERROR(INDEX('Combined Delivery Data'!$M:$M,MATCH($B$4,'Combined Delivery Data'!$B:$B,0)),""))</f>
        <v/>
      </c>
      <c r="C16" s="219"/>
      <c r="D16" s="219"/>
      <c r="E16" s="220"/>
    </row>
    <row r="17" spans="1:5">
      <c r="A17" s="42" t="s">
        <v>340</v>
      </c>
      <c r="B17" s="200" t="str">
        <f>IF($B$4="","",IFERROR(INDEX('Combined Delivery Data'!$O:$O,MATCH($B$4,'Combined Delivery Data'!$B:$B,0)),""))</f>
        <v/>
      </c>
      <c r="C17" s="219"/>
      <c r="D17" s="219"/>
      <c r="E17" s="220"/>
    </row>
    <row r="18" spans="1:5">
      <c r="A18" s="42" t="s">
        <v>341</v>
      </c>
      <c r="B18" s="200" t="str">
        <f>IF($B$4="","",IFERROR(INDEX('Combined Delivery Data'!$Q:$Q,MATCH($B$4,'Combined Delivery Data'!$B:$B,0)),""))</f>
        <v/>
      </c>
      <c r="C18" s="219"/>
      <c r="D18" s="219"/>
      <c r="E18" s="220"/>
    </row>
    <row r="19" spans="1:5">
      <c r="A19" s="42" t="s">
        <v>342</v>
      </c>
      <c r="B19" s="200" t="str">
        <f>IF($B$4="","",IFERROR(INDEX('Combined Delivery Data'!$R:$R,MATCH($B$4,'Combined Delivery Data'!$B:$B,0)),""))</f>
        <v/>
      </c>
      <c r="C19" s="219"/>
      <c r="D19" s="219"/>
      <c r="E19" s="220"/>
    </row>
    <row r="20" spans="1:5">
      <c r="A20" s="42" t="s">
        <v>343</v>
      </c>
      <c r="B20" s="200" t="str">
        <f>IF($B$4="","",IFERROR(INDEX('Combined Delivery Data'!$S:$S,MATCH($B$4,'Combined Delivery Data'!$B:$B,0)),""))</f>
        <v/>
      </c>
      <c r="C20" s="219"/>
      <c r="D20" s="219"/>
      <c r="E20" s="220"/>
    </row>
    <row r="21" spans="1:5">
      <c r="A21" s="42" t="s">
        <v>29</v>
      </c>
      <c r="B21" s="201" t="str">
        <f>IF($B$4="","",IFERROR(INDEX('Combined Delivery Data'!$T:$T,MATCH($B$4,'Combined Delivery Data'!$B:$B,0)),""))</f>
        <v/>
      </c>
      <c r="C21" s="219"/>
      <c r="D21" s="219"/>
      <c r="E21" s="220"/>
    </row>
    <row r="22" spans="1:5">
      <c r="A22" s="42" t="s">
        <v>31</v>
      </c>
      <c r="B22" s="201" t="str">
        <f>IF($B$4="","",IFERROR(INDEX('Combined Delivery Data'!$V:$V,MATCH($B$4,'Combined Delivery Data'!$B:$B,0)),""))</f>
        <v/>
      </c>
      <c r="C22" s="219"/>
      <c r="D22" s="219"/>
      <c r="E22" s="220"/>
    </row>
    <row r="23" spans="1:5">
      <c r="A23" s="42" t="s">
        <v>32</v>
      </c>
      <c r="B23" s="200" t="str">
        <f>IF($B$4="","",IFERROR(INDEX('Combined Delivery Data'!$W:$W,MATCH($B$4,'Combined Delivery Data'!$B:$B,0)),""))</f>
        <v/>
      </c>
      <c r="C23" s="219"/>
      <c r="D23" s="219"/>
      <c r="E23" s="220"/>
    </row>
    <row r="24" spans="1:5">
      <c r="A24" s="42" t="s">
        <v>35</v>
      </c>
      <c r="B24" s="201" t="str">
        <f>IF($B$4="","",IFERROR(INDEX('Combined Delivery Data'!$X:$X,MATCH($B$4,'Combined Delivery Data'!$B:$B,0)),""))</f>
        <v/>
      </c>
      <c r="C24" s="219"/>
      <c r="D24" s="219"/>
      <c r="E24" s="220"/>
    </row>
    <row r="25" spans="1:5">
      <c r="A25" s="42" t="s">
        <v>36</v>
      </c>
      <c r="B25" s="201" t="str">
        <f>IF($B$4="","",IFERROR(INDEX('Combined Delivery Data'!$Z:$Z,MATCH($B$4,'Combined Delivery Data'!$B:$B,0)),""))</f>
        <v/>
      </c>
      <c r="C25" s="219"/>
      <c r="D25" s="219"/>
      <c r="E25" s="220"/>
    </row>
    <row r="26" spans="1:5">
      <c r="A26" s="42" t="s">
        <v>344</v>
      </c>
      <c r="B26" s="201" t="str">
        <f>IF($B$4="","",IFERROR(INDEX('Rework Log'!$Q:$Q,MATCH($B$4,'Rework Log'!$P:$P,0)),""))</f>
        <v/>
      </c>
      <c r="C26" s="219"/>
      <c r="D26" s="219"/>
      <c r="E26" s="220"/>
    </row>
    <row r="27" spans="1:5">
      <c r="A27" s="42" t="s">
        <v>345</v>
      </c>
      <c r="B27" s="201" t="str">
        <f>IF($B$4="","",IFERROR(INDEX('Rework Log'!$R:$R,MATCH($B$4,'Rework Log'!$P:$P,0)),""))</f>
        <v/>
      </c>
      <c r="C27" s="219"/>
      <c r="D27" s="219"/>
      <c r="E27" s="220"/>
    </row>
    <row r="28" spans="1:5">
      <c r="A28" s="42" t="s">
        <v>346</v>
      </c>
      <c r="B28" s="201" t="str">
        <f>IF($B$4="","",IFERROR(INDEX('Rework Log'!$S:$S,MATCH($B$4,'Rework Log'!$P:$P,0)),""))</f>
        <v/>
      </c>
      <c r="C28" s="219"/>
      <c r="D28" s="219"/>
      <c r="E28" s="220"/>
    </row>
    <row r="29" spans="1:5">
      <c r="A29" s="42" t="s">
        <v>347</v>
      </c>
      <c r="B29" s="201" t="str">
        <f>IF($B$4="","",IFERROR(INDEX('Rework Log'!$T:$T,MATCH($B$4,'Rework Log'!$P:$P,0)),""))</f>
        <v/>
      </c>
      <c r="C29" s="219"/>
      <c r="D29" s="219"/>
      <c r="E29" s="220"/>
    </row>
    <row r="30" spans="1:5" ht="15.6" customHeight="1">
      <c r="A30" s="42"/>
      <c r="B30" s="201"/>
      <c r="C30" s="219"/>
      <c r="D30" s="219"/>
      <c r="E30" s="220"/>
    </row>
    <row r="31" spans="1:5" ht="15.6" customHeight="1">
      <c r="A31" s="5" t="s">
        <v>37</v>
      </c>
      <c r="B31" s="221" t="str">
        <f>IF($B$4="","",IFERROR(INDEX('Combined Delivery Data'!$AB:$AB,MATCH($B$4,'Combined Delivery Data'!$B:$B,0)),""))</f>
        <v/>
      </c>
      <c r="C31" s="218"/>
      <c r="D31" s="218"/>
      <c r="E31" s="218"/>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3" activePane="bottomLeft" state="frozen"/>
      <selection pane="bottomLeft" activeCell="A46" sqref="A46:XFD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02" t="s">
        <v>348</v>
      </c>
      <c r="B1" s="202"/>
      <c r="C1" s="202"/>
      <c r="D1" s="202"/>
      <c r="E1" s="202"/>
      <c r="F1" s="202"/>
      <c r="G1" s="202"/>
      <c r="H1" s="202"/>
      <c r="I1" s="202"/>
      <c r="J1" s="202"/>
      <c r="K1" s="202"/>
      <c r="L1" s="202"/>
      <c r="M1" s="202"/>
      <c r="P1" s="222" t="s">
        <v>349</v>
      </c>
      <c r="Q1" s="222"/>
      <c r="R1" s="222"/>
      <c r="S1" s="222"/>
      <c r="T1" s="222"/>
    </row>
    <row r="2" spans="1:20" ht="30" customHeight="1">
      <c r="A2" s="17" t="s">
        <v>1</v>
      </c>
      <c r="B2" s="17" t="s">
        <v>350</v>
      </c>
      <c r="C2" s="17" t="s">
        <v>351</v>
      </c>
      <c r="D2" s="17" t="s">
        <v>352</v>
      </c>
      <c r="E2" s="17" t="s">
        <v>353</v>
      </c>
      <c r="F2" s="17" t="s">
        <v>354</v>
      </c>
      <c r="G2" s="17" t="s">
        <v>355</v>
      </c>
      <c r="H2" s="56" t="s">
        <v>356</v>
      </c>
      <c r="I2" s="30" t="s">
        <v>357</v>
      </c>
      <c r="J2" s="30" t="s">
        <v>358</v>
      </c>
      <c r="K2" s="30" t="s">
        <v>359</v>
      </c>
      <c r="L2" s="30" t="s">
        <v>360</v>
      </c>
      <c r="M2" s="21" t="s">
        <v>361</v>
      </c>
      <c r="N2" s="21" t="s">
        <v>362</v>
      </c>
      <c r="P2" s="13" t="s">
        <v>1</v>
      </c>
      <c r="Q2" s="13" t="s">
        <v>344</v>
      </c>
      <c r="R2" s="13" t="s">
        <v>345</v>
      </c>
      <c r="S2" s="13" t="s">
        <v>346</v>
      </c>
      <c r="T2" s="13" t="s">
        <v>347</v>
      </c>
    </row>
    <row r="3" spans="1:20">
      <c r="A3" s="33" t="s">
        <v>142</v>
      </c>
      <c r="B3" s="36">
        <v>46230</v>
      </c>
      <c r="C3" s="33" t="s">
        <v>164</v>
      </c>
      <c r="D3" s="33" t="s">
        <v>224</v>
      </c>
      <c r="E3" s="33" t="s">
        <v>143</v>
      </c>
      <c r="F3" s="33" t="s">
        <v>363</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164</v>
      </c>
      <c r="D4" s="31" t="s">
        <v>224</v>
      </c>
      <c r="E4" s="31" t="s">
        <v>143</v>
      </c>
      <c r="F4" s="31" t="s">
        <v>364</v>
      </c>
      <c r="G4" s="31" t="s">
        <v>50</v>
      </c>
      <c r="H4" s="32" t="s">
        <v>154</v>
      </c>
      <c r="I4" s="32"/>
      <c r="J4" s="32">
        <v>46247</v>
      </c>
      <c r="K4" s="31" t="s">
        <v>60</v>
      </c>
      <c r="L4" s="31" t="s">
        <v>365</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164</v>
      </c>
      <c r="D5" s="31" t="s">
        <v>224</v>
      </c>
      <c r="E5" s="31" t="s">
        <v>129</v>
      </c>
      <c r="F5" s="31" t="s">
        <v>366</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164</v>
      </c>
      <c r="D6" s="31" t="s">
        <v>224</v>
      </c>
      <c r="E6" s="31" t="s">
        <v>129</v>
      </c>
      <c r="F6" s="31" t="s">
        <v>367</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164</v>
      </c>
      <c r="D7" s="31" t="s">
        <v>224</v>
      </c>
      <c r="E7" s="31" t="s">
        <v>129</v>
      </c>
      <c r="F7" s="31" t="s">
        <v>368</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164</v>
      </c>
      <c r="D8" s="31" t="s">
        <v>224</v>
      </c>
      <c r="E8" s="31" t="s">
        <v>129</v>
      </c>
      <c r="F8" s="31" t="s">
        <v>369</v>
      </c>
      <c r="G8" s="31" t="s">
        <v>50</v>
      </c>
      <c r="H8" s="32" t="s">
        <v>65</v>
      </c>
      <c r="I8" s="32"/>
      <c r="J8" s="32">
        <v>46251</v>
      </c>
      <c r="K8" s="31"/>
      <c r="L8" s="31"/>
      <c r="M8" s="3" t="str">
        <f t="shared" ca="1" si="4"/>
        <v>Fixed</v>
      </c>
      <c r="N8" t="s">
        <v>370</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164</v>
      </c>
      <c r="D9" s="31" t="s">
        <v>224</v>
      </c>
      <c r="E9" s="31" t="s">
        <v>143</v>
      </c>
      <c r="F9" s="31" t="s">
        <v>371</v>
      </c>
      <c r="G9" s="31" t="s">
        <v>50</v>
      </c>
      <c r="H9" s="32" t="s">
        <v>154</v>
      </c>
      <c r="I9" s="32"/>
      <c r="J9" s="32">
        <v>46254</v>
      </c>
      <c r="K9" s="31"/>
      <c r="L9" s="31"/>
      <c r="M9" s="3" t="str">
        <f t="shared" ca="1" si="4"/>
        <v>Fixed</v>
      </c>
      <c r="N9" t="s">
        <v>370</v>
      </c>
      <c r="P9" t="str">
        <f>'Combined Delivery Data'!B11</f>
        <v>RPT_04_SEI Leak Activity</v>
      </c>
      <c r="Q9">
        <f t="shared" si="0"/>
        <v>0</v>
      </c>
      <c r="R9">
        <f t="shared" si="1"/>
        <v>0</v>
      </c>
      <c r="S9" s="28" t="str">
        <f t="shared" si="2"/>
        <v/>
      </c>
      <c r="T9" t="str">
        <f t="shared" si="3"/>
        <v/>
      </c>
    </row>
    <row r="10" spans="1:20">
      <c r="A10" s="31" t="s">
        <v>142</v>
      </c>
      <c r="B10" s="32">
        <v>46237</v>
      </c>
      <c r="C10" s="31" t="s">
        <v>164</v>
      </c>
      <c r="D10" s="31" t="s">
        <v>224</v>
      </c>
      <c r="E10" s="31" t="s">
        <v>143</v>
      </c>
      <c r="F10" s="31" t="s">
        <v>364</v>
      </c>
      <c r="G10" s="31" t="s">
        <v>50</v>
      </c>
      <c r="H10" s="32" t="s">
        <v>84</v>
      </c>
      <c r="I10" s="32"/>
      <c r="J10" s="32">
        <v>46252</v>
      </c>
      <c r="K10" s="31"/>
      <c r="L10" s="31"/>
      <c r="M10" s="3" t="str">
        <f t="shared" ca="1" si="4"/>
        <v>Fixed</v>
      </c>
      <c r="N10" t="s">
        <v>370</v>
      </c>
      <c r="P10" t="str">
        <f>'Combined Delivery Data'!B12</f>
        <v>RPT_04_CMS Leak Productivity</v>
      </c>
      <c r="Q10">
        <f t="shared" si="0"/>
        <v>0</v>
      </c>
      <c r="R10">
        <f t="shared" si="1"/>
        <v>0</v>
      </c>
      <c r="S10" s="28" t="str">
        <f t="shared" si="2"/>
        <v/>
      </c>
      <c r="T10" t="str">
        <f t="shared" si="3"/>
        <v/>
      </c>
    </row>
    <row r="11" spans="1:20">
      <c r="A11" s="53" t="s">
        <v>134</v>
      </c>
      <c r="B11" s="32">
        <v>46254</v>
      </c>
      <c r="C11" s="31" t="s">
        <v>164</v>
      </c>
      <c r="D11" s="31" t="s">
        <v>224</v>
      </c>
      <c r="E11" s="31" t="s">
        <v>129</v>
      </c>
      <c r="F11" s="31" t="s">
        <v>366</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164</v>
      </c>
      <c r="D12" s="31" t="s">
        <v>224</v>
      </c>
      <c r="E12" s="31" t="s">
        <v>143</v>
      </c>
      <c r="F12" s="31" t="s">
        <v>372</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373</v>
      </c>
      <c r="P12" t="str">
        <f>'Combined Delivery Data'!B14</f>
        <v>RPT_04_Leak Summary Status</v>
      </c>
      <c r="Q12">
        <f t="shared" si="0"/>
        <v>0</v>
      </c>
      <c r="R12">
        <f t="shared" si="1"/>
        <v>0</v>
      </c>
      <c r="S12" s="28" t="str">
        <f t="shared" si="2"/>
        <v/>
      </c>
      <c r="T12" t="str">
        <f t="shared" si="3"/>
        <v/>
      </c>
    </row>
    <row r="13" spans="1:20">
      <c r="A13" s="53" t="s">
        <v>138</v>
      </c>
      <c r="B13" s="32">
        <v>46258</v>
      </c>
      <c r="C13" s="31" t="s">
        <v>164</v>
      </c>
      <c r="D13" s="31" t="s">
        <v>224</v>
      </c>
      <c r="E13" s="31" t="s">
        <v>129</v>
      </c>
      <c r="F13" s="31" t="s">
        <v>374</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164</v>
      </c>
      <c r="D14" s="31" t="s">
        <v>204</v>
      </c>
      <c r="E14" s="31" t="s">
        <v>143</v>
      </c>
      <c r="F14" s="31" t="s">
        <v>375</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164</v>
      </c>
      <c r="D15" s="31" t="s">
        <v>204</v>
      </c>
      <c r="E15" s="31" t="s">
        <v>143</v>
      </c>
      <c r="F15" s="31" t="s">
        <v>376</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164</v>
      </c>
      <c r="D16" s="31" t="s">
        <v>224</v>
      </c>
      <c r="E16" s="31" t="s">
        <v>143</v>
      </c>
      <c r="F16" s="31" t="s">
        <v>377</v>
      </c>
      <c r="G16" s="31" t="s">
        <v>50</v>
      </c>
      <c r="H16" s="32" t="s">
        <v>65</v>
      </c>
      <c r="I16" s="32"/>
      <c r="J16" s="32">
        <v>46258</v>
      </c>
      <c r="K16" s="31"/>
      <c r="L16" s="31"/>
      <c r="M16" s="3" t="str">
        <f t="shared" ca="1" si="4"/>
        <v>Fixed</v>
      </c>
      <c r="N16" t="s">
        <v>373</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164</v>
      </c>
      <c r="D17" s="31" t="s">
        <v>204</v>
      </c>
      <c r="E17" s="31" t="s">
        <v>143</v>
      </c>
      <c r="F17" s="31" t="s">
        <v>378</v>
      </c>
      <c r="G17" s="31" t="s">
        <v>50</v>
      </c>
      <c r="H17" s="32" t="s">
        <v>46</v>
      </c>
      <c r="I17" s="32"/>
      <c r="J17" s="32"/>
      <c r="K17" s="31"/>
      <c r="L17" s="31"/>
      <c r="M17" s="3"/>
      <c r="S17" s="28"/>
    </row>
    <row r="18" spans="1:20">
      <c r="A18" s="33" t="s">
        <v>180</v>
      </c>
      <c r="B18" s="32">
        <v>46261</v>
      </c>
      <c r="C18" s="31" t="s">
        <v>164</v>
      </c>
      <c r="D18" s="31" t="s">
        <v>224</v>
      </c>
      <c r="E18" s="31" t="s">
        <v>129</v>
      </c>
      <c r="F18" s="31" t="s">
        <v>379</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164</v>
      </c>
      <c r="D19" s="31" t="s">
        <v>204</v>
      </c>
      <c r="E19" s="31" t="s">
        <v>143</v>
      </c>
      <c r="F19" s="31" t="s">
        <v>380</v>
      </c>
      <c r="G19" s="31" t="s">
        <v>50</v>
      </c>
      <c r="H19" s="32" t="s">
        <v>46</v>
      </c>
      <c r="I19" s="32"/>
      <c r="J19" s="32">
        <v>46266</v>
      </c>
      <c r="K19" s="31"/>
      <c r="L19" s="31"/>
      <c r="M19" s="3" t="str">
        <f t="shared" ca="1" si="4"/>
        <v>Fixed</v>
      </c>
      <c r="N19" t="s">
        <v>370</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164</v>
      </c>
      <c r="D20" s="31" t="s">
        <v>204</v>
      </c>
      <c r="E20" s="31" t="s">
        <v>47</v>
      </c>
      <c r="F20" s="31" t="s">
        <v>381</v>
      </c>
      <c r="G20" s="31" t="s">
        <v>50</v>
      </c>
      <c r="H20" s="32" t="s">
        <v>77</v>
      </c>
      <c r="I20" s="32">
        <v>46265</v>
      </c>
      <c r="J20" s="32">
        <v>46265</v>
      </c>
      <c r="K20" s="31" t="s">
        <v>77</v>
      </c>
      <c r="L20" s="31" t="s">
        <v>382</v>
      </c>
      <c r="M20" s="3" t="str">
        <f t="shared" ca="1" si="4"/>
        <v>Fixed</v>
      </c>
      <c r="N20" t="s">
        <v>373</v>
      </c>
      <c r="P20" t="str">
        <f>'Combined Delivery Data'!B14</f>
        <v>RPT_04_Leak Summary Status</v>
      </c>
      <c r="Q20">
        <f t="shared" si="5"/>
        <v>0</v>
      </c>
      <c r="R20">
        <f t="shared" si="6"/>
        <v>0</v>
      </c>
      <c r="S20" s="28" t="str">
        <f t="shared" si="7"/>
        <v/>
      </c>
      <c r="T20" t="str">
        <f t="shared" si="8"/>
        <v/>
      </c>
    </row>
    <row r="21" spans="1:20">
      <c r="A21" s="31" t="s">
        <v>174</v>
      </c>
      <c r="B21" s="32">
        <v>46265</v>
      </c>
      <c r="C21" s="31" t="s">
        <v>164</v>
      </c>
      <c r="D21" s="31" t="s">
        <v>224</v>
      </c>
      <c r="E21" s="31" t="s">
        <v>47</v>
      </c>
      <c r="F21" s="31" t="s">
        <v>383</v>
      </c>
      <c r="G21" s="31" t="s">
        <v>50</v>
      </c>
      <c r="H21" s="32" t="s">
        <v>84</v>
      </c>
      <c r="I21" s="32">
        <v>46266</v>
      </c>
      <c r="J21" s="32">
        <v>46266</v>
      </c>
      <c r="K21" s="31"/>
      <c r="L21" s="31" t="s">
        <v>384</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164</v>
      </c>
      <c r="D22" s="31" t="s">
        <v>224</v>
      </c>
      <c r="E22" s="31" t="s">
        <v>129</v>
      </c>
      <c r="F22" s="31" t="s">
        <v>385</v>
      </c>
      <c r="G22" s="31" t="s">
        <v>50</v>
      </c>
      <c r="H22" s="32" t="s">
        <v>59</v>
      </c>
      <c r="I22" s="32"/>
      <c r="J22" s="32">
        <v>46266</v>
      </c>
      <c r="K22" s="31" t="s">
        <v>59</v>
      </c>
      <c r="L22" s="31"/>
      <c r="M22" s="3" t="str">
        <f t="shared" ca="1" si="4"/>
        <v>Fixed</v>
      </c>
      <c r="N22" t="s">
        <v>373</v>
      </c>
      <c r="P22" t="str">
        <f>'Combined Delivery Data'!B21</f>
        <v>RPT_04_Leak Life Cycle</v>
      </c>
      <c r="Q22">
        <f t="shared" si="5"/>
        <v>0</v>
      </c>
      <c r="R22">
        <f t="shared" si="6"/>
        <v>0</v>
      </c>
      <c r="S22" s="28" t="str">
        <f t="shared" si="7"/>
        <v/>
      </c>
      <c r="T22" t="str">
        <f t="shared" si="8"/>
        <v/>
      </c>
    </row>
    <row r="23" spans="1:20">
      <c r="A23" s="31" t="s">
        <v>169</v>
      </c>
      <c r="B23" s="32">
        <v>46266</v>
      </c>
      <c r="C23" s="31" t="s">
        <v>164</v>
      </c>
      <c r="D23" s="31" t="s">
        <v>204</v>
      </c>
      <c r="E23" s="31" t="s">
        <v>47</v>
      </c>
      <c r="F23" s="31" t="s">
        <v>386</v>
      </c>
      <c r="G23" s="31" t="s">
        <v>50</v>
      </c>
      <c r="H23" s="32" t="s">
        <v>46</v>
      </c>
      <c r="I23" s="32">
        <v>46267</v>
      </c>
      <c r="J23" s="32">
        <v>46268</v>
      </c>
      <c r="K23" s="31" t="s">
        <v>46</v>
      </c>
      <c r="L23" s="31" t="s">
        <v>384</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164</v>
      </c>
      <c r="D24" s="31" t="s">
        <v>204</v>
      </c>
      <c r="E24" s="31" t="s">
        <v>47</v>
      </c>
      <c r="F24" s="31" t="s">
        <v>387</v>
      </c>
      <c r="G24" s="31" t="s">
        <v>50</v>
      </c>
      <c r="H24" s="32" t="s">
        <v>46</v>
      </c>
      <c r="I24" s="168">
        <v>46267</v>
      </c>
      <c r="J24" s="32">
        <v>46268</v>
      </c>
      <c r="K24" s="31" t="s">
        <v>46</v>
      </c>
      <c r="L24" s="31" t="s">
        <v>384</v>
      </c>
      <c r="M24" s="3" t="str">
        <f t="shared" ca="1" si="4"/>
        <v>Fixed</v>
      </c>
      <c r="N24" t="s">
        <v>373</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164</v>
      </c>
      <c r="D25" s="31" t="s">
        <v>204</v>
      </c>
      <c r="E25" s="31" t="s">
        <v>47</v>
      </c>
      <c r="F25" s="76" t="s">
        <v>388</v>
      </c>
      <c r="G25" s="31" t="s">
        <v>50</v>
      </c>
      <c r="H25" s="32" t="s">
        <v>46</v>
      </c>
      <c r="I25" s="32">
        <v>46267</v>
      </c>
      <c r="J25" s="32">
        <v>46268</v>
      </c>
      <c r="K25" s="31" t="s">
        <v>46</v>
      </c>
      <c r="L25" s="31" t="s">
        <v>384</v>
      </c>
      <c r="M25" s="3" t="str">
        <f t="shared" ca="1" si="4"/>
        <v>Fixed</v>
      </c>
      <c r="N25" s="33" t="s">
        <v>373</v>
      </c>
      <c r="P25" t="str">
        <f>'Combined Delivery Data'!B24</f>
        <v>Leak 360 Dashboard</v>
      </c>
      <c r="Q25">
        <f t="shared" si="5"/>
        <v>0</v>
      </c>
      <c r="R25">
        <f t="shared" si="6"/>
        <v>0</v>
      </c>
      <c r="S25" s="28" t="str">
        <f t="shared" si="7"/>
        <v/>
      </c>
      <c r="T25" t="str">
        <f t="shared" si="8"/>
        <v/>
      </c>
    </row>
    <row r="26" spans="1:20">
      <c r="A26" s="53" t="s">
        <v>185</v>
      </c>
      <c r="B26" s="32">
        <v>46267</v>
      </c>
      <c r="C26" s="31" t="s">
        <v>164</v>
      </c>
      <c r="D26" s="31" t="s">
        <v>204</v>
      </c>
      <c r="E26" s="31" t="s">
        <v>129</v>
      </c>
      <c r="F26" s="31" t="s">
        <v>389</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29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164</v>
      </c>
      <c r="D27" s="31" t="s">
        <v>224</v>
      </c>
      <c r="E27" s="31" t="s">
        <v>129</v>
      </c>
      <c r="F27" s="31" t="s">
        <v>379</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373</v>
      </c>
      <c r="P27" t="str">
        <f>'Combined Delivery Data'!B26</f>
        <v>RPT_04_Main_Replacement Report</v>
      </c>
      <c r="Q27">
        <f t="shared" si="5"/>
        <v>0</v>
      </c>
      <c r="R27">
        <f t="shared" si="6"/>
        <v>0</v>
      </c>
      <c r="S27" s="28" t="str">
        <f t="shared" si="7"/>
        <v/>
      </c>
      <c r="T27" t="str">
        <f t="shared" si="8"/>
        <v/>
      </c>
    </row>
    <row r="28" spans="1:20">
      <c r="A28" s="31" t="s">
        <v>155</v>
      </c>
      <c r="B28" s="32">
        <v>46267</v>
      </c>
      <c r="C28" s="31" t="s">
        <v>164</v>
      </c>
      <c r="D28" s="31" t="s">
        <v>204</v>
      </c>
      <c r="E28" s="31" t="s">
        <v>143</v>
      </c>
      <c r="F28" s="31" t="s">
        <v>390</v>
      </c>
      <c r="G28" s="31" t="s">
        <v>50</v>
      </c>
      <c r="H28" s="32" t="s">
        <v>77</v>
      </c>
      <c r="I28" s="32"/>
      <c r="J28" s="32">
        <v>46267</v>
      </c>
      <c r="K28" s="31" t="s">
        <v>77</v>
      </c>
      <c r="L28" s="31" t="s">
        <v>391</v>
      </c>
      <c r="M28" s="3" t="str">
        <f t="shared" ca="1" si="4"/>
        <v>Fixed</v>
      </c>
      <c r="N28" t="s">
        <v>373</v>
      </c>
      <c r="P28" t="str">
        <f>'Combined Delivery Data'!B27</f>
        <v>New Report: Leak Repair Exception</v>
      </c>
      <c r="Q28">
        <f t="shared" si="5"/>
        <v>0</v>
      </c>
      <c r="R28">
        <f t="shared" si="6"/>
        <v>0</v>
      </c>
      <c r="S28" s="28" t="str">
        <f t="shared" si="7"/>
        <v/>
      </c>
      <c r="T28" t="str">
        <f t="shared" si="8"/>
        <v/>
      </c>
    </row>
    <row r="29" spans="1:20">
      <c r="A29" s="31" t="s">
        <v>136</v>
      </c>
      <c r="B29" s="32">
        <v>46267</v>
      </c>
      <c r="C29" s="31" t="s">
        <v>164</v>
      </c>
      <c r="D29" s="31" t="s">
        <v>204</v>
      </c>
      <c r="E29" s="31" t="s">
        <v>129</v>
      </c>
      <c r="F29" s="31" t="s">
        <v>390</v>
      </c>
      <c r="G29" s="31" t="s">
        <v>50</v>
      </c>
      <c r="H29" s="32" t="s">
        <v>77</v>
      </c>
      <c r="I29" s="32"/>
      <c r="J29" s="32">
        <v>46267</v>
      </c>
      <c r="K29" s="31" t="s">
        <v>77</v>
      </c>
      <c r="L29" s="113" t="s">
        <v>391</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164</v>
      </c>
      <c r="D30" s="31" t="s">
        <v>204</v>
      </c>
      <c r="E30" s="31" t="s">
        <v>129</v>
      </c>
      <c r="F30" s="31" t="s">
        <v>390</v>
      </c>
      <c r="G30" s="31" t="s">
        <v>50</v>
      </c>
      <c r="H30" s="32" t="s">
        <v>77</v>
      </c>
      <c r="I30" s="32"/>
      <c r="J30" s="32">
        <v>46267</v>
      </c>
      <c r="K30" s="31" t="s">
        <v>77</v>
      </c>
      <c r="L30" s="113" t="s">
        <v>391</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164</v>
      </c>
      <c r="D31" s="31" t="s">
        <v>224</v>
      </c>
      <c r="E31" s="31" t="s">
        <v>129</v>
      </c>
      <c r="F31" s="31" t="s">
        <v>392</v>
      </c>
      <c r="G31" s="31" t="s">
        <v>50</v>
      </c>
      <c r="H31" s="32" t="s">
        <v>154</v>
      </c>
      <c r="I31" s="32"/>
      <c r="J31" s="32">
        <v>46267</v>
      </c>
      <c r="K31" s="31" t="s">
        <v>154</v>
      </c>
      <c r="L31" s="31"/>
      <c r="M31" s="3" t="str">
        <f t="shared" ca="1" si="4"/>
        <v>Fixed</v>
      </c>
      <c r="N31" t="s">
        <v>373</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164</v>
      </c>
      <c r="D32" s="31" t="s">
        <v>224</v>
      </c>
      <c r="E32" s="31" t="s">
        <v>47</v>
      </c>
      <c r="F32" s="31" t="s">
        <v>393</v>
      </c>
      <c r="G32" s="31" t="s">
        <v>50</v>
      </c>
      <c r="H32" s="32" t="s">
        <v>103</v>
      </c>
      <c r="I32" s="32">
        <v>46269</v>
      </c>
      <c r="J32" s="32">
        <v>46269</v>
      </c>
      <c r="K32" s="31"/>
      <c r="L32" s="31" t="s">
        <v>384</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164</v>
      </c>
      <c r="D33" s="31" t="s">
        <v>224</v>
      </c>
      <c r="E33" s="31" t="s">
        <v>198</v>
      </c>
      <c r="F33" s="31" t="s">
        <v>394</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164</v>
      </c>
      <c r="D34" s="31" t="s">
        <v>224</v>
      </c>
      <c r="E34" s="31" t="s">
        <v>47</v>
      </c>
      <c r="F34" s="31" t="s">
        <v>395</v>
      </c>
      <c r="G34" s="31" t="s">
        <v>50</v>
      </c>
      <c r="H34" s="32" t="s">
        <v>103</v>
      </c>
      <c r="I34" s="32">
        <v>46274</v>
      </c>
      <c r="J34" s="32">
        <v>46274</v>
      </c>
      <c r="K34" s="31"/>
      <c r="L34" s="31" t="s">
        <v>384</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164</v>
      </c>
      <c r="D35" s="31" t="s">
        <v>204</v>
      </c>
      <c r="E35" s="31" t="s">
        <v>47</v>
      </c>
      <c r="F35" s="76" t="s">
        <v>396</v>
      </c>
      <c r="G35" s="31" t="s">
        <v>50</v>
      </c>
      <c r="H35" s="32" t="s">
        <v>77</v>
      </c>
      <c r="I35" s="32">
        <v>46275</v>
      </c>
      <c r="J35" s="32">
        <v>46275</v>
      </c>
      <c r="K35" s="31" t="s">
        <v>77</v>
      </c>
      <c r="L35" s="31" t="s">
        <v>397</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164</v>
      </c>
      <c r="D36" s="31" t="s">
        <v>224</v>
      </c>
      <c r="E36" s="31" t="s">
        <v>129</v>
      </c>
      <c r="F36" s="31" t="s">
        <v>398</v>
      </c>
      <c r="G36" s="31" t="s">
        <v>50</v>
      </c>
      <c r="H36" s="32" t="s">
        <v>154</v>
      </c>
      <c r="I36" s="32"/>
      <c r="J36" s="32">
        <v>46276</v>
      </c>
      <c r="K36" s="31" t="s">
        <v>154</v>
      </c>
      <c r="L36" s="31"/>
      <c r="M36" s="3" t="str">
        <f t="shared" ca="1" si="4"/>
        <v>Fixed</v>
      </c>
      <c r="N36" t="s">
        <v>373</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164</v>
      </c>
      <c r="D37" s="31" t="s">
        <v>224</v>
      </c>
      <c r="E37" s="31" t="s">
        <v>129</v>
      </c>
      <c r="F37" s="31" t="s">
        <v>399</v>
      </c>
      <c r="G37" s="31" t="s">
        <v>53</v>
      </c>
      <c r="H37" s="32" t="s">
        <v>65</v>
      </c>
      <c r="I37" s="32"/>
      <c r="J37" s="32">
        <v>46288</v>
      </c>
      <c r="K37" s="31"/>
      <c r="L37" s="31"/>
      <c r="M37" s="3" t="str">
        <f t="shared" ca="1" si="4"/>
        <v>Fixed</v>
      </c>
      <c r="N37" t="s">
        <v>373</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164</v>
      </c>
      <c r="D38" s="31" t="s">
        <v>224</v>
      </c>
      <c r="E38" s="31" t="s">
        <v>129</v>
      </c>
      <c r="F38" s="31" t="s">
        <v>400</v>
      </c>
      <c r="G38" s="31" t="s">
        <v>50</v>
      </c>
      <c r="H38" s="32" t="s">
        <v>154</v>
      </c>
      <c r="I38" s="32">
        <v>46282</v>
      </c>
      <c r="J38" s="32">
        <v>46282</v>
      </c>
      <c r="K38" s="31" t="s">
        <v>154</v>
      </c>
      <c r="L38" s="31" t="s">
        <v>401</v>
      </c>
      <c r="M38" s="3" t="str">
        <f t="shared" ca="1" si="4"/>
        <v>Fixed</v>
      </c>
      <c r="N38" t="s">
        <v>373</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164</v>
      </c>
      <c r="D39" s="31" t="s">
        <v>204</v>
      </c>
      <c r="E39" s="31" t="s">
        <v>143</v>
      </c>
      <c r="F39" s="31" t="s">
        <v>402</v>
      </c>
      <c r="G39" s="31" t="s">
        <v>50</v>
      </c>
      <c r="H39" s="32" t="s">
        <v>77</v>
      </c>
      <c r="I39" s="32">
        <v>46281</v>
      </c>
      <c r="J39" s="32">
        <v>46281</v>
      </c>
      <c r="K39" s="31" t="s">
        <v>77</v>
      </c>
      <c r="L39" s="31" t="s">
        <v>403</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164</v>
      </c>
      <c r="D40" s="31" t="s">
        <v>224</v>
      </c>
      <c r="E40" s="31" t="s">
        <v>47</v>
      </c>
      <c r="F40" s="31" t="s">
        <v>404</v>
      </c>
      <c r="G40" s="31" t="s">
        <v>50</v>
      </c>
      <c r="H40" s="32" t="s">
        <v>44</v>
      </c>
      <c r="I40" s="32">
        <v>46283</v>
      </c>
      <c r="J40" s="32">
        <v>46283</v>
      </c>
      <c r="K40" s="31"/>
      <c r="L40" s="31" t="s">
        <v>405</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164</v>
      </c>
      <c r="D41" s="31" t="s">
        <v>204</v>
      </c>
      <c r="E41" s="31" t="s">
        <v>198</v>
      </c>
      <c r="F41" s="31" t="s">
        <v>406</v>
      </c>
      <c r="G41" s="31" t="s">
        <v>50</v>
      </c>
      <c r="H41" s="32" t="s">
        <v>46</v>
      </c>
      <c r="I41" s="32"/>
      <c r="J41" s="32"/>
      <c r="K41" s="31"/>
      <c r="L41" s="31"/>
      <c r="M41" s="3" t="str">
        <f t="shared" ca="1" si="4"/>
        <v>UNCLAIMED 15 d</v>
      </c>
      <c r="P41" t="str">
        <f>'Combined Delivery Data'!B41</f>
        <v>RPT_02_GRO Control</v>
      </c>
      <c r="Q41">
        <f t="shared" si="5"/>
        <v>0</v>
      </c>
      <c r="R41">
        <f t="shared" si="6"/>
        <v>0</v>
      </c>
      <c r="S41" s="28" t="str">
        <f t="shared" si="7"/>
        <v/>
      </c>
      <c r="T41" t="str">
        <f t="shared" si="8"/>
        <v/>
      </c>
    </row>
    <row r="42" spans="1:20" hidden="1">
      <c r="A42" s="31" t="s">
        <v>209</v>
      </c>
      <c r="B42" s="32">
        <v>46282</v>
      </c>
      <c r="C42" s="31" t="s">
        <v>164</v>
      </c>
      <c r="D42" s="31" t="s">
        <v>224</v>
      </c>
      <c r="E42" s="31" t="s">
        <v>47</v>
      </c>
      <c r="F42" s="31" t="s">
        <v>407</v>
      </c>
      <c r="G42" s="31" t="s">
        <v>50</v>
      </c>
      <c r="H42" s="32" t="s">
        <v>154</v>
      </c>
      <c r="I42" s="32">
        <v>46282</v>
      </c>
      <c r="J42" s="32">
        <v>46282</v>
      </c>
      <c r="K42" s="31"/>
      <c r="L42" s="31" t="s">
        <v>408</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164</v>
      </c>
      <c r="D43" s="31" t="s">
        <v>224</v>
      </c>
      <c r="E43" s="31" t="s">
        <v>129</v>
      </c>
      <c r="F43" s="31" t="s">
        <v>409</v>
      </c>
      <c r="G43" s="31" t="s">
        <v>50</v>
      </c>
      <c r="H43" s="32" t="s">
        <v>44</v>
      </c>
      <c r="I43" s="32"/>
      <c r="J43" s="32"/>
      <c r="K43" s="31"/>
      <c r="L43" s="31"/>
      <c r="M43" s="3" t="str">
        <f t="shared" ca="1" si="4"/>
        <v>UNCLAIMED 9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181</v>
      </c>
      <c r="D44" s="31" t="s">
        <v>204</v>
      </c>
      <c r="E44" s="31" t="s">
        <v>143</v>
      </c>
      <c r="F44" s="31" t="s">
        <v>410</v>
      </c>
      <c r="G44" s="31" t="s">
        <v>53</v>
      </c>
      <c r="H44" s="32" t="s">
        <v>60</v>
      </c>
      <c r="I44" s="32">
        <v>46294</v>
      </c>
      <c r="J44" s="32"/>
      <c r="K44" s="31"/>
      <c r="L44" s="31"/>
      <c r="M44" s="3" t="str">
        <f t="shared" ca="1" si="4"/>
        <v>2 d LATE</v>
      </c>
      <c r="P44" t="str">
        <f>'Combined Delivery Data'!B44</f>
        <v>RPT_02_Investigate Wall Check and Service Check</v>
      </c>
      <c r="Q44">
        <f t="shared" si="5"/>
        <v>3</v>
      </c>
      <c r="R44">
        <f t="shared" si="6"/>
        <v>0</v>
      </c>
      <c r="S44" s="28">
        <f t="shared" si="7"/>
        <v>46267</v>
      </c>
      <c r="T44" t="str">
        <f t="shared" si="8"/>
        <v>QA -&gt; PBI Dev</v>
      </c>
    </row>
    <row r="45" spans="1:20" ht="15">
      <c r="A45" s="33" t="s">
        <v>223</v>
      </c>
      <c r="B45" s="32">
        <v>46295</v>
      </c>
      <c r="C45" s="31" t="s">
        <v>164</v>
      </c>
      <c r="D45" s="31" t="s">
        <v>224</v>
      </c>
      <c r="E45" s="31" t="s">
        <v>129</v>
      </c>
      <c r="F45" s="31" t="s">
        <v>411</v>
      </c>
      <c r="G45" s="31" t="s">
        <v>53</v>
      </c>
      <c r="H45" s="32"/>
      <c r="I45" s="32"/>
      <c r="J45" s="32"/>
      <c r="K45" s="31"/>
      <c r="L45" s="31"/>
      <c r="M45" s="3" t="str">
        <f t="shared" ca="1" si="4"/>
        <v>UNCLAIMED 1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164</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164</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164</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164</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164</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164</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164</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164</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164</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164</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164</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164</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164</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164</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164</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164</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164</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164</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164</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164</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164</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164</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164</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164</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164</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164</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164</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164</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164</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164</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164</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164</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164</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164</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164</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164</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164</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164</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164</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164</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164</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164</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164</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164</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164</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164</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164</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164</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164</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164</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164</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164</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164</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164</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164</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164</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164</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164</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164</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164</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164</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164</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164</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164</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164</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164</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164</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164</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164</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164</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164</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164</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164</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164</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164</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164</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164</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164</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164</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164</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164</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164</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164</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164</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164</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164</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164</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164</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164</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164</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164</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164</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164</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164</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164</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164</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164</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164</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164</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164</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164</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164</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164</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164</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164</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164</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164</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164</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164</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164</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164</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164</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164</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164</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164</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164</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164</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164</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164</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164</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164</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164</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164</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164</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164</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164</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164</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164</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164</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164</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164</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164</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164</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164</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164</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164</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164</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164</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164</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164</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164</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164</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164</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164</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164</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164</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164</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164</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164</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164</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164</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164</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23" t="s">
        <v>412</v>
      </c>
      <c r="B1" s="218"/>
      <c r="C1" s="218"/>
    </row>
    <row r="2" spans="1:8" ht="14.25" customHeight="1">
      <c r="A2" s="8" t="s">
        <v>0</v>
      </c>
      <c r="B2" s="8" t="s">
        <v>413</v>
      </c>
      <c r="C2" s="8" t="s">
        <v>414</v>
      </c>
      <c r="E2" t="s">
        <v>415</v>
      </c>
      <c r="F2" t="s">
        <v>416</v>
      </c>
      <c r="G2" t="s">
        <v>417</v>
      </c>
      <c r="H2" t="s">
        <v>418</v>
      </c>
    </row>
    <row r="3" spans="1:8" ht="14.25" customHeight="1">
      <c r="A3" s="11" t="s">
        <v>40</v>
      </c>
      <c r="B3" s="11">
        <v>8</v>
      </c>
      <c r="C3" s="12">
        <v>46142</v>
      </c>
      <c r="E3" t="s">
        <v>419</v>
      </c>
      <c r="F3" s="28">
        <v>46233</v>
      </c>
      <c r="G3" s="28">
        <v>46274</v>
      </c>
    </row>
    <row r="4" spans="1:8" ht="14.25" customHeight="1">
      <c r="A4" s="11" t="s">
        <v>40</v>
      </c>
      <c r="B4" s="11">
        <v>10</v>
      </c>
      <c r="C4" s="12">
        <v>46172</v>
      </c>
      <c r="E4" t="s">
        <v>420</v>
      </c>
      <c r="F4" s="28">
        <v>46264</v>
      </c>
      <c r="G4" s="28">
        <v>46295</v>
      </c>
    </row>
    <row r="5" spans="1:8" ht="14.25" customHeight="1">
      <c r="A5" s="11" t="s">
        <v>40</v>
      </c>
      <c r="B5" s="11">
        <v>9</v>
      </c>
      <c r="C5" s="12">
        <v>46203</v>
      </c>
      <c r="E5" t="s">
        <v>421</v>
      </c>
      <c r="F5" s="28">
        <v>46295</v>
      </c>
      <c r="G5" s="28">
        <v>46325</v>
      </c>
    </row>
    <row r="6" spans="1:8" ht="14.25" customHeight="1">
      <c r="A6" s="11" t="s">
        <v>126</v>
      </c>
      <c r="B6" s="11">
        <v>15</v>
      </c>
      <c r="C6" s="12">
        <v>46233</v>
      </c>
      <c r="E6" t="s">
        <v>422</v>
      </c>
      <c r="F6" s="28">
        <v>46325</v>
      </c>
      <c r="G6" s="28">
        <v>46356</v>
      </c>
    </row>
    <row r="7" spans="1:8" ht="14.25" customHeight="1">
      <c r="A7" s="11" t="s">
        <v>126</v>
      </c>
      <c r="B7" s="11">
        <v>15</v>
      </c>
      <c r="C7" s="12">
        <v>46264</v>
      </c>
      <c r="E7" t="s">
        <v>423</v>
      </c>
      <c r="F7" s="28">
        <v>46356</v>
      </c>
      <c r="G7" s="28">
        <v>46387</v>
      </c>
    </row>
    <row r="8" spans="1:8" ht="14.25" customHeight="1">
      <c r="A8" s="11" t="s">
        <v>126</v>
      </c>
      <c r="B8" s="11">
        <v>17</v>
      </c>
      <c r="C8" s="12">
        <v>46295</v>
      </c>
      <c r="E8" t="s">
        <v>424</v>
      </c>
      <c r="F8" s="28">
        <v>46387</v>
      </c>
      <c r="G8" s="28">
        <v>46417</v>
      </c>
    </row>
    <row r="9" spans="1:8" ht="14.25" customHeight="1">
      <c r="A9" s="11" t="s">
        <v>126</v>
      </c>
      <c r="B9" s="11">
        <v>20</v>
      </c>
      <c r="C9" s="12">
        <v>46325</v>
      </c>
      <c r="E9" t="s">
        <v>425</v>
      </c>
      <c r="F9" s="28">
        <v>46417</v>
      </c>
      <c r="G9" s="28">
        <v>46445</v>
      </c>
    </row>
    <row r="10" spans="1:8" ht="14.25" customHeight="1">
      <c r="A10" s="11" t="s">
        <v>126</v>
      </c>
      <c r="B10" s="11">
        <v>20</v>
      </c>
      <c r="C10" s="12">
        <v>46356</v>
      </c>
      <c r="E10" t="s">
        <v>426</v>
      </c>
      <c r="F10" s="28">
        <v>46446</v>
      </c>
      <c r="G10" s="28">
        <v>46477</v>
      </c>
    </row>
    <row r="11" spans="1:8" ht="14.25" customHeight="1">
      <c r="A11" s="11" t="s">
        <v>427</v>
      </c>
      <c r="B11" s="11">
        <v>18</v>
      </c>
      <c r="C11" s="12">
        <v>46417</v>
      </c>
      <c r="E11" t="s">
        <v>428</v>
      </c>
      <c r="F11" s="28">
        <v>46477</v>
      </c>
      <c r="G11" s="28">
        <v>46480</v>
      </c>
    </row>
    <row r="12" spans="1:8" ht="14.25" customHeight="1">
      <c r="A12" s="11" t="s">
        <v>427</v>
      </c>
      <c r="B12" s="11">
        <v>18</v>
      </c>
      <c r="C12" s="12">
        <v>46446</v>
      </c>
    </row>
    <row r="13" spans="1:8" ht="14.25" customHeight="1">
      <c r="A13" s="11" t="s">
        <v>427</v>
      </c>
      <c r="B13" s="11">
        <v>19</v>
      </c>
      <c r="C13" s="12">
        <v>46477</v>
      </c>
    </row>
    <row r="14" spans="1:8" ht="14.25" customHeight="1">
      <c r="A14" s="11" t="s">
        <v>307</v>
      </c>
      <c r="B14" s="11">
        <v>9</v>
      </c>
      <c r="C14" s="12">
        <v>46387</v>
      </c>
    </row>
    <row r="15" spans="1:8" ht="14.25" customHeight="1">
      <c r="A15" s="11" t="s">
        <v>298</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24" t="s">
        <v>429</v>
      </c>
      <c r="B1" s="218"/>
      <c r="C1" s="218"/>
      <c r="D1" s="218"/>
      <c r="E1" s="218"/>
      <c r="F1" s="218"/>
      <c r="G1" s="218"/>
      <c r="H1" s="218"/>
      <c r="I1" s="218"/>
      <c r="J1" s="218"/>
    </row>
    <row r="2" spans="1:10" ht="27" customHeight="1">
      <c r="A2" s="8" t="s">
        <v>0</v>
      </c>
      <c r="B2" s="8" t="s">
        <v>430</v>
      </c>
      <c r="C2" s="8" t="s">
        <v>1</v>
      </c>
      <c r="D2" s="8" t="s">
        <v>431</v>
      </c>
      <c r="E2" s="8" t="s">
        <v>432</v>
      </c>
      <c r="F2" s="8" t="s">
        <v>6</v>
      </c>
      <c r="G2" s="8" t="s">
        <v>5</v>
      </c>
      <c r="H2" s="8" t="s">
        <v>433</v>
      </c>
      <c r="I2" s="8" t="s">
        <v>414</v>
      </c>
      <c r="J2" s="8" t="s">
        <v>434</v>
      </c>
    </row>
    <row r="3" spans="1:10" ht="14.25" customHeight="1">
      <c r="A3" s="9" t="s">
        <v>40</v>
      </c>
      <c r="B3" s="9" t="s">
        <v>224</v>
      </c>
      <c r="C3" s="9" t="s">
        <v>41</v>
      </c>
      <c r="D3" s="9" t="s">
        <v>44</v>
      </c>
      <c r="E3" s="9" t="s">
        <v>46</v>
      </c>
      <c r="F3" s="9"/>
      <c r="G3" s="9"/>
      <c r="H3" s="9"/>
      <c r="I3" s="10">
        <v>46115</v>
      </c>
      <c r="J3" s="10">
        <v>46115</v>
      </c>
    </row>
    <row r="4" spans="1:10" ht="14.25" customHeight="1">
      <c r="A4" s="9" t="s">
        <v>40</v>
      </c>
      <c r="B4" s="9" t="s">
        <v>204</v>
      </c>
      <c r="C4" s="9" t="s">
        <v>41</v>
      </c>
      <c r="D4" s="9" t="s">
        <v>44</v>
      </c>
      <c r="E4" s="9" t="s">
        <v>46</v>
      </c>
      <c r="F4" s="9"/>
      <c r="G4" s="9"/>
      <c r="H4" s="10">
        <v>46115</v>
      </c>
      <c r="I4" s="10">
        <v>46114</v>
      </c>
      <c r="J4" s="10">
        <v>46114</v>
      </c>
    </row>
    <row r="5" spans="1:10" ht="14.25" customHeight="1">
      <c r="A5" s="9" t="s">
        <v>40</v>
      </c>
      <c r="B5" s="9" t="s">
        <v>164</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224</v>
      </c>
      <c r="C8" s="9" t="s">
        <v>55</v>
      </c>
      <c r="D8" s="9" t="s">
        <v>44</v>
      </c>
      <c r="E8" s="9" t="s">
        <v>46</v>
      </c>
      <c r="F8" s="9"/>
      <c r="G8" s="9"/>
      <c r="H8" s="10"/>
      <c r="I8" s="10">
        <v>46115</v>
      </c>
      <c r="J8" s="10">
        <v>46115</v>
      </c>
    </row>
    <row r="9" spans="1:10" ht="14.25" customHeight="1">
      <c r="A9" s="9" t="s">
        <v>40</v>
      </c>
      <c r="B9" s="9" t="s">
        <v>204</v>
      </c>
      <c r="C9" s="9" t="s">
        <v>55</v>
      </c>
      <c r="D9" s="9" t="s">
        <v>44</v>
      </c>
      <c r="E9" s="9" t="s">
        <v>46</v>
      </c>
      <c r="F9" s="9"/>
      <c r="G9" s="9"/>
      <c r="H9" s="10">
        <v>46115</v>
      </c>
      <c r="I9" s="10">
        <v>46114</v>
      </c>
      <c r="J9" s="10">
        <v>46114</v>
      </c>
    </row>
    <row r="10" spans="1:10" ht="14.25" customHeight="1">
      <c r="A10" s="9" t="s">
        <v>40</v>
      </c>
      <c r="B10" s="9" t="s">
        <v>164</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224</v>
      </c>
      <c r="C13" s="9" t="s">
        <v>435</v>
      </c>
      <c r="D13" s="9" t="s">
        <v>436</v>
      </c>
      <c r="E13" s="9" t="s">
        <v>46</v>
      </c>
      <c r="F13" s="9"/>
      <c r="G13" s="9"/>
      <c r="H13" s="10"/>
      <c r="I13" s="10">
        <v>46115</v>
      </c>
      <c r="J13" s="10">
        <v>46115</v>
      </c>
    </row>
    <row r="14" spans="1:10" ht="14.25" customHeight="1">
      <c r="A14" s="9" t="s">
        <v>40</v>
      </c>
      <c r="B14" s="9" t="s">
        <v>204</v>
      </c>
      <c r="C14" s="9" t="s">
        <v>435</v>
      </c>
      <c r="D14" s="9" t="s">
        <v>436</v>
      </c>
      <c r="E14" s="9" t="s">
        <v>46</v>
      </c>
      <c r="F14" s="9"/>
      <c r="G14" s="9"/>
      <c r="H14" s="10">
        <v>46115</v>
      </c>
      <c r="I14" s="10">
        <v>46120</v>
      </c>
      <c r="J14" s="10">
        <v>46120</v>
      </c>
    </row>
    <row r="15" spans="1:10" ht="14.25" customHeight="1">
      <c r="A15" s="9" t="s">
        <v>40</v>
      </c>
      <c r="B15" s="9" t="s">
        <v>164</v>
      </c>
      <c r="C15" s="9" t="s">
        <v>435</v>
      </c>
      <c r="D15" s="9" t="s">
        <v>436</v>
      </c>
      <c r="E15" s="9" t="s">
        <v>46</v>
      </c>
      <c r="F15" s="9"/>
      <c r="G15" s="9"/>
      <c r="H15" s="10">
        <v>46120</v>
      </c>
      <c r="I15" s="10">
        <v>46122</v>
      </c>
      <c r="J15" s="10">
        <v>46122</v>
      </c>
    </row>
    <row r="16" spans="1:10" ht="14.25" customHeight="1">
      <c r="A16" s="9" t="s">
        <v>40</v>
      </c>
      <c r="B16" s="9" t="s">
        <v>181</v>
      </c>
      <c r="C16" s="9" t="s">
        <v>435</v>
      </c>
      <c r="D16" s="9" t="s">
        <v>436</v>
      </c>
      <c r="E16" s="9" t="s">
        <v>46</v>
      </c>
      <c r="F16" s="9"/>
      <c r="G16" s="9"/>
      <c r="H16" s="10">
        <v>46122</v>
      </c>
      <c r="I16" s="10"/>
      <c r="J16" s="10"/>
    </row>
    <row r="17" spans="1:10" ht="14.25" customHeight="1">
      <c r="A17" s="9" t="s">
        <v>40</v>
      </c>
      <c r="B17" s="9" t="s">
        <v>42</v>
      </c>
      <c r="C17" s="9" t="s">
        <v>435</v>
      </c>
      <c r="D17" s="9" t="s">
        <v>436</v>
      </c>
      <c r="E17" s="9" t="s">
        <v>46</v>
      </c>
      <c r="F17" s="9"/>
      <c r="G17" s="9"/>
      <c r="H17" s="10"/>
      <c r="I17" s="10"/>
      <c r="J17" s="10"/>
    </row>
    <row r="18" spans="1:10" ht="14.25" customHeight="1">
      <c r="A18" s="9" t="s">
        <v>40</v>
      </c>
      <c r="B18" s="9" t="s">
        <v>224</v>
      </c>
      <c r="C18" s="9" t="s">
        <v>58</v>
      </c>
      <c r="D18" s="9" t="s">
        <v>59</v>
      </c>
      <c r="E18" s="9" t="s">
        <v>60</v>
      </c>
      <c r="F18" s="9"/>
      <c r="G18" s="9"/>
      <c r="H18" s="9"/>
      <c r="I18" s="10">
        <v>46115</v>
      </c>
      <c r="J18" s="10">
        <v>46115</v>
      </c>
    </row>
    <row r="19" spans="1:10" ht="14.25" customHeight="1">
      <c r="A19" s="9" t="s">
        <v>40</v>
      </c>
      <c r="B19" s="9" t="s">
        <v>204</v>
      </c>
      <c r="C19" s="9" t="s">
        <v>58</v>
      </c>
      <c r="D19" s="9" t="s">
        <v>59</v>
      </c>
      <c r="E19" s="9" t="s">
        <v>60</v>
      </c>
      <c r="F19" s="9"/>
      <c r="G19" s="9"/>
      <c r="H19" s="10">
        <v>46115</v>
      </c>
      <c r="I19" s="10">
        <v>46126</v>
      </c>
      <c r="J19" s="10">
        <v>46126</v>
      </c>
    </row>
    <row r="20" spans="1:10" ht="14.25" customHeight="1">
      <c r="A20" s="9" t="s">
        <v>40</v>
      </c>
      <c r="B20" s="9" t="s">
        <v>164</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224</v>
      </c>
      <c r="C23" s="9" t="s">
        <v>64</v>
      </c>
      <c r="D23" s="9" t="s">
        <v>436</v>
      </c>
      <c r="E23" s="9" t="s">
        <v>46</v>
      </c>
      <c r="F23" s="9"/>
      <c r="G23" s="9"/>
      <c r="H23" s="10"/>
      <c r="I23" s="10">
        <v>46115</v>
      </c>
      <c r="J23" s="10">
        <v>46115</v>
      </c>
    </row>
    <row r="24" spans="1:10" ht="14.25" customHeight="1">
      <c r="A24" s="9" t="s">
        <v>40</v>
      </c>
      <c r="B24" s="9" t="s">
        <v>204</v>
      </c>
      <c r="C24" s="9" t="s">
        <v>64</v>
      </c>
      <c r="D24" s="9" t="s">
        <v>436</v>
      </c>
      <c r="E24" s="9" t="s">
        <v>46</v>
      </c>
      <c r="F24" s="9"/>
      <c r="G24" s="9"/>
      <c r="H24" s="10">
        <v>46115</v>
      </c>
      <c r="I24" s="10">
        <v>46120</v>
      </c>
      <c r="J24" s="10">
        <v>46120</v>
      </c>
    </row>
    <row r="25" spans="1:10" ht="14.25" customHeight="1">
      <c r="A25" s="9" t="s">
        <v>40</v>
      </c>
      <c r="B25" s="9" t="s">
        <v>164</v>
      </c>
      <c r="C25" s="9" t="s">
        <v>64</v>
      </c>
      <c r="D25" s="9" t="s">
        <v>436</v>
      </c>
      <c r="E25" s="9" t="s">
        <v>46</v>
      </c>
      <c r="F25" s="9"/>
      <c r="G25" s="9"/>
      <c r="H25" s="10">
        <v>46120</v>
      </c>
      <c r="I25" s="10">
        <v>46122</v>
      </c>
      <c r="J25" s="10">
        <v>46122</v>
      </c>
    </row>
    <row r="26" spans="1:10" ht="14.25" customHeight="1">
      <c r="A26" s="9" t="s">
        <v>40</v>
      </c>
      <c r="B26" s="9" t="s">
        <v>181</v>
      </c>
      <c r="C26" s="9" t="s">
        <v>64</v>
      </c>
      <c r="D26" s="9" t="s">
        <v>436</v>
      </c>
      <c r="E26" s="9" t="s">
        <v>46</v>
      </c>
      <c r="F26" s="9"/>
      <c r="G26" s="9"/>
      <c r="H26" s="10">
        <v>46122</v>
      </c>
      <c r="I26" s="10"/>
      <c r="J26" s="10"/>
    </row>
    <row r="27" spans="1:10" ht="14.25" customHeight="1">
      <c r="A27" s="9" t="s">
        <v>40</v>
      </c>
      <c r="B27" s="9" t="s">
        <v>42</v>
      </c>
      <c r="C27" s="9" t="s">
        <v>64</v>
      </c>
      <c r="D27" s="9" t="s">
        <v>436</v>
      </c>
      <c r="E27" s="9" t="s">
        <v>46</v>
      </c>
      <c r="F27" s="9"/>
      <c r="G27" s="9"/>
      <c r="H27" s="10"/>
      <c r="I27" s="10"/>
      <c r="J27" s="10"/>
    </row>
    <row r="28" spans="1:10" ht="14.25" customHeight="1">
      <c r="A28" s="9" t="s">
        <v>40</v>
      </c>
      <c r="B28" s="9" t="s">
        <v>224</v>
      </c>
      <c r="C28" s="9" t="s">
        <v>69</v>
      </c>
      <c r="D28" s="9" t="s">
        <v>76</v>
      </c>
      <c r="E28" s="9" t="s">
        <v>60</v>
      </c>
      <c r="F28" s="9"/>
      <c r="G28" s="9"/>
      <c r="H28" s="10"/>
      <c r="I28" s="10">
        <v>46115</v>
      </c>
      <c r="J28" s="10">
        <v>46115</v>
      </c>
    </row>
    <row r="29" spans="1:10" ht="14.25" customHeight="1">
      <c r="A29" s="9" t="s">
        <v>40</v>
      </c>
      <c r="B29" s="9" t="s">
        <v>204</v>
      </c>
      <c r="C29" s="9" t="s">
        <v>69</v>
      </c>
      <c r="D29" s="9" t="s">
        <v>76</v>
      </c>
      <c r="E29" s="9" t="s">
        <v>60</v>
      </c>
      <c r="F29" s="9"/>
      <c r="G29" s="9"/>
      <c r="H29" s="10">
        <v>46115</v>
      </c>
      <c r="I29" s="10">
        <v>46126</v>
      </c>
      <c r="J29" s="10">
        <v>46126</v>
      </c>
    </row>
    <row r="30" spans="1:10" ht="14.25" customHeight="1">
      <c r="A30" s="9" t="s">
        <v>40</v>
      </c>
      <c r="B30" s="9" t="s">
        <v>164</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224</v>
      </c>
      <c r="C33" s="9" t="s">
        <v>70</v>
      </c>
      <c r="D33" s="9" t="s">
        <v>436</v>
      </c>
      <c r="E33" s="9" t="s">
        <v>60</v>
      </c>
      <c r="F33" s="9"/>
      <c r="G33" s="9"/>
      <c r="H33" s="10"/>
      <c r="I33" s="10">
        <v>46122</v>
      </c>
      <c r="J33" s="10">
        <v>46122</v>
      </c>
    </row>
    <row r="34" spans="1:10" ht="14.25" customHeight="1">
      <c r="A34" s="9" t="s">
        <v>40</v>
      </c>
      <c r="B34" s="9" t="s">
        <v>204</v>
      </c>
      <c r="C34" s="9" t="s">
        <v>70</v>
      </c>
      <c r="D34" s="9" t="s">
        <v>436</v>
      </c>
      <c r="E34" s="9" t="s">
        <v>60</v>
      </c>
      <c r="F34" s="9"/>
      <c r="G34" s="9"/>
      <c r="H34" s="10">
        <v>46122</v>
      </c>
      <c r="I34" s="10">
        <v>46126</v>
      </c>
      <c r="J34" s="10">
        <v>46126</v>
      </c>
    </row>
    <row r="35" spans="1:10" ht="14.25" customHeight="1">
      <c r="A35" s="9" t="s">
        <v>40</v>
      </c>
      <c r="B35" s="9" t="s">
        <v>164</v>
      </c>
      <c r="C35" s="9" t="s">
        <v>70</v>
      </c>
      <c r="D35" s="9" t="s">
        <v>436</v>
      </c>
      <c r="E35" s="9" t="s">
        <v>60</v>
      </c>
      <c r="F35" s="9"/>
      <c r="G35" s="9"/>
      <c r="H35" s="10">
        <v>46126</v>
      </c>
      <c r="I35" s="10">
        <v>46122</v>
      </c>
      <c r="J35" s="10">
        <v>46122</v>
      </c>
    </row>
    <row r="36" spans="1:10" ht="14.25" customHeight="1">
      <c r="A36" s="9" t="s">
        <v>40</v>
      </c>
      <c r="B36" s="9" t="s">
        <v>181</v>
      </c>
      <c r="C36" s="9" t="s">
        <v>70</v>
      </c>
      <c r="D36" s="9" t="s">
        <v>436</v>
      </c>
      <c r="E36" s="9" t="s">
        <v>60</v>
      </c>
      <c r="F36" s="9"/>
      <c r="G36" s="9"/>
      <c r="H36" s="10">
        <v>46122</v>
      </c>
      <c r="I36" s="10"/>
      <c r="J36" s="10"/>
    </row>
    <row r="37" spans="1:10" ht="14.25" customHeight="1">
      <c r="A37" s="9" t="s">
        <v>40</v>
      </c>
      <c r="B37" s="9" t="s">
        <v>42</v>
      </c>
      <c r="C37" s="9" t="s">
        <v>70</v>
      </c>
      <c r="D37" s="9" t="s">
        <v>436</v>
      </c>
      <c r="E37" s="9" t="s">
        <v>60</v>
      </c>
      <c r="F37" s="9"/>
      <c r="G37" s="9"/>
      <c r="H37" s="10"/>
      <c r="I37" s="10"/>
      <c r="J37" s="10"/>
    </row>
    <row r="38" spans="1:10" ht="14.25" customHeight="1">
      <c r="A38" s="9" t="s">
        <v>40</v>
      </c>
      <c r="B38" s="9" t="s">
        <v>224</v>
      </c>
      <c r="C38" s="9" t="s">
        <v>71</v>
      </c>
      <c r="D38" s="9" t="s">
        <v>84</v>
      </c>
      <c r="E38" s="9" t="s">
        <v>60</v>
      </c>
      <c r="F38" s="9"/>
      <c r="G38" s="9"/>
      <c r="H38" s="9"/>
      <c r="I38" s="10">
        <v>46122</v>
      </c>
      <c r="J38" s="10">
        <v>46122</v>
      </c>
    </row>
    <row r="39" spans="1:10" ht="14.25" customHeight="1">
      <c r="A39" s="9" t="s">
        <v>40</v>
      </c>
      <c r="B39" s="9" t="s">
        <v>204</v>
      </c>
      <c r="C39" s="9" t="s">
        <v>71</v>
      </c>
      <c r="D39" s="9" t="s">
        <v>84</v>
      </c>
      <c r="E39" s="9" t="s">
        <v>60</v>
      </c>
      <c r="F39" s="9"/>
      <c r="G39" s="9"/>
      <c r="H39" s="10">
        <v>46122</v>
      </c>
      <c r="I39" s="10">
        <v>46126</v>
      </c>
      <c r="J39" s="10">
        <v>46126</v>
      </c>
    </row>
    <row r="40" spans="1:10" ht="14.25" customHeight="1">
      <c r="A40" s="9" t="s">
        <v>40</v>
      </c>
      <c r="B40" s="9" t="s">
        <v>164</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224</v>
      </c>
      <c r="C43" s="9" t="s">
        <v>73</v>
      </c>
      <c r="D43" s="9" t="s">
        <v>59</v>
      </c>
      <c r="E43" s="9" t="s">
        <v>60</v>
      </c>
      <c r="F43" s="9"/>
      <c r="G43" s="9"/>
      <c r="H43" s="10"/>
      <c r="I43" s="10">
        <v>46127</v>
      </c>
      <c r="J43" s="10">
        <v>46127</v>
      </c>
    </row>
    <row r="44" spans="1:10" ht="14.25" customHeight="1">
      <c r="A44" s="9" t="s">
        <v>40</v>
      </c>
      <c r="B44" s="9" t="s">
        <v>204</v>
      </c>
      <c r="C44" s="9" t="s">
        <v>73</v>
      </c>
      <c r="D44" s="9" t="s">
        <v>59</v>
      </c>
      <c r="E44" s="9" t="s">
        <v>60</v>
      </c>
      <c r="F44" s="9"/>
      <c r="G44" s="9"/>
      <c r="H44" s="10">
        <v>46127</v>
      </c>
      <c r="I44" s="10">
        <v>46126</v>
      </c>
      <c r="J44" s="10">
        <v>46126</v>
      </c>
    </row>
    <row r="45" spans="1:10" ht="14.25" customHeight="1">
      <c r="A45" s="9" t="s">
        <v>40</v>
      </c>
      <c r="B45" s="9" t="s">
        <v>164</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224</v>
      </c>
      <c r="C48" s="9" t="s">
        <v>97</v>
      </c>
      <c r="D48" s="9" t="s">
        <v>436</v>
      </c>
      <c r="E48" s="9" t="s">
        <v>60</v>
      </c>
      <c r="F48" s="9"/>
      <c r="G48" s="9"/>
      <c r="H48" s="10"/>
      <c r="I48" s="10"/>
      <c r="J48" s="10"/>
    </row>
    <row r="49" spans="1:10" ht="14.25" customHeight="1">
      <c r="A49" s="9" t="s">
        <v>40</v>
      </c>
      <c r="B49" s="9" t="s">
        <v>204</v>
      </c>
      <c r="C49" s="9" t="s">
        <v>97</v>
      </c>
      <c r="D49" s="9" t="s">
        <v>436</v>
      </c>
      <c r="E49" s="9" t="s">
        <v>60</v>
      </c>
      <c r="F49" s="9"/>
      <c r="G49" s="9"/>
      <c r="H49" s="10"/>
      <c r="I49" s="10">
        <v>46139</v>
      </c>
      <c r="J49" s="10">
        <v>46139</v>
      </c>
    </row>
    <row r="50" spans="1:10" ht="14.25" customHeight="1">
      <c r="A50" s="9" t="s">
        <v>40</v>
      </c>
      <c r="B50" s="9" t="s">
        <v>164</v>
      </c>
      <c r="C50" s="9" t="s">
        <v>97</v>
      </c>
      <c r="D50" s="9" t="s">
        <v>436</v>
      </c>
      <c r="E50" s="9" t="s">
        <v>60</v>
      </c>
      <c r="F50" s="9"/>
      <c r="G50" s="9"/>
      <c r="H50" s="10">
        <v>46139</v>
      </c>
      <c r="I50" s="10">
        <v>46139</v>
      </c>
      <c r="J50" s="10">
        <v>46139</v>
      </c>
    </row>
    <row r="51" spans="1:10" ht="14.25" customHeight="1">
      <c r="A51" s="9" t="s">
        <v>40</v>
      </c>
      <c r="B51" s="9" t="s">
        <v>181</v>
      </c>
      <c r="C51" s="9" t="s">
        <v>97</v>
      </c>
      <c r="D51" s="9" t="s">
        <v>436</v>
      </c>
      <c r="E51" s="9" t="s">
        <v>60</v>
      </c>
      <c r="F51" s="9"/>
      <c r="G51" s="9"/>
      <c r="H51" s="10">
        <v>46139</v>
      </c>
      <c r="I51" s="10"/>
      <c r="J51" s="10"/>
    </row>
    <row r="52" spans="1:10" ht="14.25" customHeight="1">
      <c r="A52" s="9" t="s">
        <v>40</v>
      </c>
      <c r="B52" s="9" t="s">
        <v>42</v>
      </c>
      <c r="C52" s="9" t="s">
        <v>97</v>
      </c>
      <c r="D52" s="9" t="s">
        <v>436</v>
      </c>
      <c r="E52" s="9" t="s">
        <v>60</v>
      </c>
      <c r="F52" s="9"/>
      <c r="G52" s="9"/>
      <c r="H52" s="10"/>
      <c r="I52" s="10"/>
      <c r="J52" s="10"/>
    </row>
    <row r="53" spans="1:10" ht="14.25" customHeight="1">
      <c r="A53" s="9" t="s">
        <v>40</v>
      </c>
      <c r="B53" s="9" t="s">
        <v>224</v>
      </c>
      <c r="C53" s="9" t="s">
        <v>98</v>
      </c>
      <c r="D53" s="9" t="s">
        <v>436</v>
      </c>
      <c r="E53" s="9" t="s">
        <v>60</v>
      </c>
      <c r="F53" s="9"/>
      <c r="G53" s="9"/>
      <c r="H53" s="10"/>
      <c r="I53" s="10"/>
      <c r="J53" s="10"/>
    </row>
    <row r="54" spans="1:10" ht="14.25" customHeight="1">
      <c r="A54" s="9" t="s">
        <v>40</v>
      </c>
      <c r="B54" s="9" t="s">
        <v>204</v>
      </c>
      <c r="C54" s="9" t="s">
        <v>98</v>
      </c>
      <c r="D54" s="9" t="s">
        <v>436</v>
      </c>
      <c r="E54" s="9" t="s">
        <v>60</v>
      </c>
      <c r="F54" s="9"/>
      <c r="G54" s="9"/>
      <c r="H54" s="9"/>
      <c r="I54" s="10">
        <v>46141</v>
      </c>
      <c r="J54" s="10">
        <v>46141</v>
      </c>
    </row>
    <row r="55" spans="1:10" ht="14.25" customHeight="1">
      <c r="A55" s="9" t="s">
        <v>40</v>
      </c>
      <c r="B55" s="9" t="s">
        <v>164</v>
      </c>
      <c r="C55" s="9" t="s">
        <v>98</v>
      </c>
      <c r="D55" s="9" t="s">
        <v>436</v>
      </c>
      <c r="E55" s="9" t="s">
        <v>60</v>
      </c>
      <c r="F55" s="9"/>
      <c r="G55" s="9"/>
      <c r="H55" s="10">
        <v>46141</v>
      </c>
      <c r="I55" s="10">
        <v>46141</v>
      </c>
      <c r="J55" s="10">
        <v>46141</v>
      </c>
    </row>
    <row r="56" spans="1:10" ht="14.25" customHeight="1">
      <c r="A56" s="9" t="s">
        <v>40</v>
      </c>
      <c r="B56" s="9" t="s">
        <v>181</v>
      </c>
      <c r="C56" s="9" t="s">
        <v>98</v>
      </c>
      <c r="D56" s="9" t="s">
        <v>436</v>
      </c>
      <c r="E56" s="9" t="s">
        <v>60</v>
      </c>
      <c r="F56" s="9"/>
      <c r="G56" s="9"/>
      <c r="H56" s="10">
        <v>46141</v>
      </c>
      <c r="I56" s="10"/>
      <c r="J56" s="10"/>
    </row>
    <row r="57" spans="1:10" ht="14.25" customHeight="1">
      <c r="A57" s="9" t="s">
        <v>40</v>
      </c>
      <c r="B57" s="9" t="s">
        <v>42</v>
      </c>
      <c r="C57" s="9" t="s">
        <v>98</v>
      </c>
      <c r="D57" s="9" t="s">
        <v>436</v>
      </c>
      <c r="E57" s="9" t="s">
        <v>60</v>
      </c>
      <c r="F57" s="9"/>
      <c r="G57" s="9"/>
      <c r="H57" s="10"/>
      <c r="I57" s="10"/>
      <c r="J57" s="10"/>
    </row>
    <row r="58" spans="1:10" ht="14.25" customHeight="1">
      <c r="A58" s="9" t="s">
        <v>40</v>
      </c>
      <c r="B58" s="9" t="s">
        <v>224</v>
      </c>
      <c r="C58" s="9" t="s">
        <v>99</v>
      </c>
      <c r="D58" s="9" t="s">
        <v>436</v>
      </c>
      <c r="E58" s="9" t="s">
        <v>46</v>
      </c>
      <c r="F58" s="9"/>
      <c r="G58" s="9"/>
      <c r="H58" s="9"/>
      <c r="I58" s="10"/>
      <c r="J58" s="10"/>
    </row>
    <row r="59" spans="1:10" ht="14.25" customHeight="1">
      <c r="A59" s="9" t="s">
        <v>40</v>
      </c>
      <c r="B59" s="9" t="s">
        <v>204</v>
      </c>
      <c r="C59" s="9" t="s">
        <v>99</v>
      </c>
      <c r="D59" s="9" t="s">
        <v>436</v>
      </c>
      <c r="E59" s="9" t="s">
        <v>46</v>
      </c>
      <c r="F59" s="9"/>
      <c r="G59" s="9"/>
      <c r="H59" s="10"/>
      <c r="I59" s="10">
        <v>46161</v>
      </c>
      <c r="J59" s="10">
        <v>46161</v>
      </c>
    </row>
    <row r="60" spans="1:10" ht="14.25" customHeight="1">
      <c r="A60" s="9" t="s">
        <v>40</v>
      </c>
      <c r="B60" s="9" t="s">
        <v>164</v>
      </c>
      <c r="C60" s="9" t="s">
        <v>99</v>
      </c>
      <c r="D60" s="9" t="s">
        <v>436</v>
      </c>
      <c r="E60" s="9" t="s">
        <v>46</v>
      </c>
      <c r="F60" s="9"/>
      <c r="G60" s="9"/>
      <c r="H60" s="10">
        <v>46161</v>
      </c>
      <c r="I60" s="10">
        <v>46161</v>
      </c>
      <c r="J60" s="10">
        <v>46161</v>
      </c>
    </row>
    <row r="61" spans="1:10" ht="14.25" customHeight="1">
      <c r="A61" s="9" t="s">
        <v>40</v>
      </c>
      <c r="B61" s="9" t="s">
        <v>181</v>
      </c>
      <c r="C61" s="9" t="s">
        <v>99</v>
      </c>
      <c r="D61" s="9" t="s">
        <v>436</v>
      </c>
      <c r="E61" s="9" t="s">
        <v>46</v>
      </c>
      <c r="F61" s="9"/>
      <c r="G61" s="9"/>
      <c r="H61" s="10">
        <v>46161</v>
      </c>
      <c r="I61" s="10"/>
      <c r="J61" s="10"/>
    </row>
    <row r="62" spans="1:10" ht="14.25" customHeight="1">
      <c r="A62" s="9" t="s">
        <v>40</v>
      </c>
      <c r="B62" s="9" t="s">
        <v>42</v>
      </c>
      <c r="C62" s="9" t="s">
        <v>99</v>
      </c>
      <c r="D62" s="9" t="s">
        <v>436</v>
      </c>
      <c r="E62" s="9" t="s">
        <v>46</v>
      </c>
      <c r="F62" s="9"/>
      <c r="G62" s="9"/>
      <c r="H62" s="9"/>
      <c r="I62" s="10"/>
      <c r="J62" s="10"/>
    </row>
    <row r="63" spans="1:10" ht="14.25" customHeight="1">
      <c r="A63" s="9" t="s">
        <v>40</v>
      </c>
      <c r="B63" s="9" t="s">
        <v>224</v>
      </c>
      <c r="C63" s="9" t="s">
        <v>100</v>
      </c>
      <c r="D63" s="9" t="s">
        <v>103</v>
      </c>
      <c r="E63" s="9" t="s">
        <v>46</v>
      </c>
      <c r="F63" s="9"/>
      <c r="G63" s="9"/>
      <c r="H63" s="10"/>
      <c r="I63" s="10"/>
      <c r="J63" s="10"/>
    </row>
    <row r="64" spans="1:10" ht="14.25" customHeight="1">
      <c r="A64" s="9" t="s">
        <v>40</v>
      </c>
      <c r="B64" s="9" t="s">
        <v>204</v>
      </c>
      <c r="C64" s="9" t="s">
        <v>100</v>
      </c>
      <c r="D64" s="9" t="s">
        <v>103</v>
      </c>
      <c r="E64" s="9" t="s">
        <v>46</v>
      </c>
      <c r="F64" s="9"/>
      <c r="G64" s="9"/>
      <c r="H64" s="10"/>
      <c r="I64" s="10">
        <v>46175</v>
      </c>
      <c r="J64" s="10">
        <v>46175</v>
      </c>
    </row>
    <row r="65" spans="1:10" ht="14.25" customHeight="1">
      <c r="A65" s="9" t="s">
        <v>40</v>
      </c>
      <c r="B65" s="9" t="s">
        <v>164</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224</v>
      </c>
      <c r="C68" s="9" t="s">
        <v>74</v>
      </c>
      <c r="D68" s="9" t="s">
        <v>76</v>
      </c>
      <c r="E68" s="9" t="s">
        <v>77</v>
      </c>
      <c r="F68" s="9"/>
      <c r="G68" s="9"/>
      <c r="H68" s="10"/>
      <c r="I68" s="10"/>
      <c r="J68" s="9"/>
    </row>
    <row r="69" spans="1:10" ht="14.25" customHeight="1">
      <c r="A69" s="9" t="s">
        <v>40</v>
      </c>
      <c r="B69" s="9" t="s">
        <v>204</v>
      </c>
      <c r="C69" s="9" t="s">
        <v>74</v>
      </c>
      <c r="D69" s="9" t="s">
        <v>76</v>
      </c>
      <c r="E69" s="9" t="s">
        <v>77</v>
      </c>
      <c r="F69" s="9"/>
      <c r="G69" s="9"/>
      <c r="H69" s="9"/>
      <c r="I69" s="10">
        <v>46134</v>
      </c>
      <c r="J69" s="10">
        <v>46134</v>
      </c>
    </row>
    <row r="70" spans="1:10" ht="14.25" customHeight="1">
      <c r="A70" s="9" t="s">
        <v>40</v>
      </c>
      <c r="B70" s="9" t="s">
        <v>164</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224</v>
      </c>
      <c r="C73" s="9" t="s">
        <v>80</v>
      </c>
      <c r="D73" s="9" t="s">
        <v>59</v>
      </c>
      <c r="E73" s="9" t="s">
        <v>77</v>
      </c>
      <c r="F73" s="9"/>
      <c r="G73" s="9"/>
      <c r="H73" s="9"/>
      <c r="I73" s="10"/>
      <c r="J73" s="10"/>
    </row>
    <row r="74" spans="1:10" ht="14.25" customHeight="1">
      <c r="A74" s="9" t="s">
        <v>40</v>
      </c>
      <c r="B74" s="9" t="s">
        <v>204</v>
      </c>
      <c r="C74" s="9" t="s">
        <v>80</v>
      </c>
      <c r="D74" s="9" t="s">
        <v>59</v>
      </c>
      <c r="E74" s="9" t="s">
        <v>77</v>
      </c>
      <c r="F74" s="9"/>
      <c r="G74" s="9"/>
      <c r="H74" s="10"/>
      <c r="I74" s="10">
        <v>46139</v>
      </c>
      <c r="J74" s="10">
        <v>46139</v>
      </c>
    </row>
    <row r="75" spans="1:10" ht="14.25" customHeight="1">
      <c r="A75" s="9" t="s">
        <v>40</v>
      </c>
      <c r="B75" s="9" t="s">
        <v>164</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224</v>
      </c>
      <c r="C78" s="9" t="s">
        <v>83</v>
      </c>
      <c r="D78" s="9" t="s">
        <v>84</v>
      </c>
      <c r="E78" s="9" t="s">
        <v>60</v>
      </c>
      <c r="F78" s="9"/>
      <c r="G78" s="9"/>
      <c r="H78" s="10"/>
      <c r="I78" s="10"/>
      <c r="J78" s="9"/>
    </row>
    <row r="79" spans="1:10" ht="14.25" customHeight="1">
      <c r="A79" s="9" t="s">
        <v>40</v>
      </c>
      <c r="B79" s="9" t="s">
        <v>204</v>
      </c>
      <c r="C79" s="9" t="s">
        <v>83</v>
      </c>
      <c r="D79" s="9" t="s">
        <v>84</v>
      </c>
      <c r="E79" s="9" t="s">
        <v>60</v>
      </c>
      <c r="F79" s="9"/>
      <c r="G79" s="9"/>
      <c r="H79" s="9"/>
      <c r="I79" s="10">
        <v>46147</v>
      </c>
      <c r="J79" s="10">
        <v>46147</v>
      </c>
    </row>
    <row r="80" spans="1:10" ht="14.25" customHeight="1">
      <c r="A80" s="9" t="s">
        <v>40</v>
      </c>
      <c r="B80" s="9" t="s">
        <v>164</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224</v>
      </c>
      <c r="C83" s="9" t="s">
        <v>87</v>
      </c>
      <c r="D83" s="9" t="s">
        <v>84</v>
      </c>
      <c r="E83" s="9" t="s">
        <v>46</v>
      </c>
      <c r="F83" s="9"/>
      <c r="G83" s="9"/>
      <c r="H83" s="9"/>
      <c r="I83" s="10"/>
      <c r="J83" s="10"/>
    </row>
    <row r="84" spans="1:10" ht="14.25" customHeight="1">
      <c r="A84" s="9" t="s">
        <v>40</v>
      </c>
      <c r="B84" s="9" t="s">
        <v>204</v>
      </c>
      <c r="C84" s="9" t="s">
        <v>87</v>
      </c>
      <c r="D84" s="9" t="s">
        <v>84</v>
      </c>
      <c r="E84" s="9" t="s">
        <v>46</v>
      </c>
      <c r="F84" s="9"/>
      <c r="G84" s="9"/>
      <c r="H84" s="10"/>
      <c r="I84" s="10">
        <v>46175</v>
      </c>
      <c r="J84" s="10">
        <v>46175</v>
      </c>
    </row>
    <row r="85" spans="1:10" ht="14.25" customHeight="1">
      <c r="A85" s="9" t="s">
        <v>40</v>
      </c>
      <c r="B85" s="9" t="s">
        <v>164</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224</v>
      </c>
      <c r="C88" s="9" t="s">
        <v>90</v>
      </c>
      <c r="D88" s="9" t="s">
        <v>44</v>
      </c>
      <c r="E88" s="9" t="s">
        <v>60</v>
      </c>
      <c r="F88" s="9"/>
      <c r="G88" s="9"/>
      <c r="H88" s="10"/>
      <c r="I88" s="10"/>
      <c r="J88" s="9"/>
    </row>
    <row r="89" spans="1:10" ht="14.25" customHeight="1">
      <c r="A89" s="9" t="s">
        <v>40</v>
      </c>
      <c r="B89" s="9" t="s">
        <v>204</v>
      </c>
      <c r="C89" s="9" t="s">
        <v>90</v>
      </c>
      <c r="D89" s="9" t="s">
        <v>44</v>
      </c>
      <c r="E89" s="9" t="s">
        <v>60</v>
      </c>
      <c r="F89" s="9"/>
      <c r="G89" s="9"/>
      <c r="H89" s="9"/>
      <c r="I89" s="10">
        <v>46143</v>
      </c>
      <c r="J89" s="10">
        <v>46143</v>
      </c>
    </row>
    <row r="90" spans="1:10" ht="14.25" customHeight="1">
      <c r="A90" s="9" t="s">
        <v>40</v>
      </c>
      <c r="B90" s="9" t="s">
        <v>164</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224</v>
      </c>
      <c r="C93" s="9" t="s">
        <v>93</v>
      </c>
      <c r="D93" s="9" t="s">
        <v>44</v>
      </c>
      <c r="E93" s="9" t="s">
        <v>77</v>
      </c>
      <c r="F93" s="9"/>
      <c r="G93" s="9"/>
      <c r="H93" s="9"/>
      <c r="I93" s="10">
        <v>46175</v>
      </c>
      <c r="J93" s="10">
        <v>46175</v>
      </c>
    </row>
    <row r="94" spans="1:10" ht="14.25" customHeight="1">
      <c r="A94" s="9" t="s">
        <v>40</v>
      </c>
      <c r="B94" s="9" t="s">
        <v>204</v>
      </c>
      <c r="C94" s="9" t="s">
        <v>93</v>
      </c>
      <c r="D94" s="9" t="s">
        <v>44</v>
      </c>
      <c r="E94" s="9" t="s">
        <v>77</v>
      </c>
      <c r="F94" s="9"/>
      <c r="G94" s="9"/>
      <c r="H94" s="10">
        <v>46175</v>
      </c>
      <c r="I94" s="10">
        <v>46178</v>
      </c>
      <c r="J94" s="10">
        <v>46178</v>
      </c>
    </row>
    <row r="95" spans="1:10" ht="14.25" customHeight="1">
      <c r="A95" s="9" t="s">
        <v>40</v>
      </c>
      <c r="B95" s="9" t="s">
        <v>164</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224</v>
      </c>
      <c r="C98" s="9" t="s">
        <v>101</v>
      </c>
      <c r="D98" s="9" t="s">
        <v>103</v>
      </c>
      <c r="E98" s="9" t="s">
        <v>60</v>
      </c>
      <c r="F98" s="9"/>
      <c r="G98" s="9"/>
      <c r="H98" s="10"/>
      <c r="I98" s="10">
        <v>46148</v>
      </c>
      <c r="J98" s="10">
        <v>46148</v>
      </c>
    </row>
    <row r="99" spans="1:10" ht="14.25" customHeight="1">
      <c r="A99" s="9" t="s">
        <v>40</v>
      </c>
      <c r="B99" s="9" t="s">
        <v>204</v>
      </c>
      <c r="C99" s="9" t="s">
        <v>101</v>
      </c>
      <c r="D99" s="9" t="s">
        <v>103</v>
      </c>
      <c r="E99" s="9" t="s">
        <v>60</v>
      </c>
      <c r="F99" s="9"/>
      <c r="G99" s="9"/>
      <c r="H99" s="10">
        <v>46148</v>
      </c>
      <c r="I99" s="10">
        <v>46183</v>
      </c>
      <c r="J99" s="10">
        <v>46183</v>
      </c>
    </row>
    <row r="100" spans="1:10" ht="14.25" customHeight="1">
      <c r="A100" s="9" t="s">
        <v>40</v>
      </c>
      <c r="B100" s="9" t="s">
        <v>164</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224</v>
      </c>
      <c r="C103" s="9" t="s">
        <v>105</v>
      </c>
      <c r="D103" s="9" t="s">
        <v>103</v>
      </c>
      <c r="E103" s="9" t="s">
        <v>77</v>
      </c>
      <c r="F103" s="9"/>
      <c r="G103" s="9"/>
      <c r="H103" s="9"/>
      <c r="I103" s="10">
        <v>46162</v>
      </c>
      <c r="J103" s="10">
        <v>46162</v>
      </c>
    </row>
    <row r="104" spans="1:10" ht="14.25" customHeight="1">
      <c r="A104" s="9" t="s">
        <v>40</v>
      </c>
      <c r="B104" s="9" t="s">
        <v>204</v>
      </c>
      <c r="C104" s="9" t="s">
        <v>105</v>
      </c>
      <c r="D104" s="9" t="s">
        <v>103</v>
      </c>
      <c r="E104" s="9" t="s">
        <v>77</v>
      </c>
      <c r="F104" s="9"/>
      <c r="G104" s="9"/>
      <c r="H104" s="10">
        <v>46162</v>
      </c>
      <c r="I104" s="10">
        <v>46182</v>
      </c>
      <c r="J104" s="10">
        <v>46182</v>
      </c>
    </row>
    <row r="105" spans="1:10" ht="14.25" customHeight="1">
      <c r="A105" s="9" t="s">
        <v>40</v>
      </c>
      <c r="B105" s="9" t="s">
        <v>164</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224</v>
      </c>
      <c r="C108" s="9" t="s">
        <v>108</v>
      </c>
      <c r="D108" s="9" t="s">
        <v>44</v>
      </c>
      <c r="E108" s="9" t="s">
        <v>60</v>
      </c>
      <c r="F108" s="9"/>
      <c r="G108" s="9"/>
      <c r="H108" s="10"/>
      <c r="I108" s="10">
        <v>46168</v>
      </c>
      <c r="J108" s="10">
        <v>46168</v>
      </c>
    </row>
    <row r="109" spans="1:10" ht="14.25" customHeight="1">
      <c r="A109" s="9" t="s">
        <v>40</v>
      </c>
      <c r="B109" s="9" t="s">
        <v>204</v>
      </c>
      <c r="C109" s="9" t="s">
        <v>108</v>
      </c>
      <c r="D109" s="9" t="s">
        <v>44</v>
      </c>
      <c r="E109" s="9" t="s">
        <v>60</v>
      </c>
      <c r="F109" s="9"/>
      <c r="G109" s="9"/>
      <c r="H109" s="10">
        <v>46168</v>
      </c>
      <c r="I109" s="10">
        <v>46183</v>
      </c>
      <c r="J109" s="10">
        <v>46183</v>
      </c>
    </row>
    <row r="110" spans="1:10" ht="14.25" customHeight="1">
      <c r="A110" s="9" t="s">
        <v>40</v>
      </c>
      <c r="B110" s="9" t="s">
        <v>164</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224</v>
      </c>
      <c r="C113" s="9" t="s">
        <v>109</v>
      </c>
      <c r="D113" s="9" t="s">
        <v>44</v>
      </c>
      <c r="E113" s="9" t="s">
        <v>60</v>
      </c>
      <c r="F113" s="9"/>
      <c r="G113" s="9"/>
      <c r="H113" s="9"/>
      <c r="I113" s="10">
        <v>46165</v>
      </c>
      <c r="J113" s="10">
        <v>46165</v>
      </c>
    </row>
    <row r="114" spans="1:10" ht="14.25" customHeight="1">
      <c r="A114" s="9" t="s">
        <v>40</v>
      </c>
      <c r="B114" s="9" t="s">
        <v>204</v>
      </c>
      <c r="C114" s="9" t="s">
        <v>109</v>
      </c>
      <c r="D114" s="9" t="s">
        <v>44</v>
      </c>
      <c r="E114" s="9" t="s">
        <v>60</v>
      </c>
      <c r="F114" s="9"/>
      <c r="G114" s="9"/>
      <c r="H114" s="10">
        <v>46165</v>
      </c>
      <c r="I114" s="10">
        <v>46153</v>
      </c>
      <c r="J114" s="10">
        <v>46153</v>
      </c>
    </row>
    <row r="115" spans="1:10" ht="14.25" customHeight="1">
      <c r="A115" s="9" t="s">
        <v>40</v>
      </c>
      <c r="B115" s="9" t="s">
        <v>164</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224</v>
      </c>
      <c r="C118" s="9" t="s">
        <v>113</v>
      </c>
      <c r="D118" s="9" t="s">
        <v>59</v>
      </c>
      <c r="E118" s="9" t="s">
        <v>46</v>
      </c>
      <c r="F118" s="9"/>
      <c r="G118" s="9"/>
      <c r="H118" s="10"/>
      <c r="I118" s="10">
        <v>46162</v>
      </c>
      <c r="J118" s="10">
        <v>46162</v>
      </c>
    </row>
    <row r="119" spans="1:10" ht="14.25" customHeight="1">
      <c r="A119" s="9" t="s">
        <v>40</v>
      </c>
      <c r="B119" s="9" t="s">
        <v>204</v>
      </c>
      <c r="C119" s="9" t="s">
        <v>113</v>
      </c>
      <c r="D119" s="9" t="s">
        <v>59</v>
      </c>
      <c r="E119" s="9" t="s">
        <v>46</v>
      </c>
      <c r="F119" s="9"/>
      <c r="G119" s="9"/>
      <c r="H119" s="10">
        <v>46162</v>
      </c>
      <c r="I119" s="10">
        <v>46186</v>
      </c>
      <c r="J119" s="10">
        <v>46186</v>
      </c>
    </row>
    <row r="120" spans="1:10" ht="14.25" customHeight="1">
      <c r="A120" s="9" t="s">
        <v>40</v>
      </c>
      <c r="B120" s="9" t="s">
        <v>164</v>
      </c>
      <c r="C120" s="9" t="s">
        <v>113</v>
      </c>
      <c r="D120" s="9" t="s">
        <v>59</v>
      </c>
      <c r="E120" s="9" t="s">
        <v>46</v>
      </c>
      <c r="F120" s="9"/>
      <c r="G120" s="9"/>
      <c r="H120" s="10">
        <v>46186</v>
      </c>
      <c r="I120" s="10">
        <v>46188</v>
      </c>
      <c r="J120" s="10">
        <v>46188</v>
      </c>
    </row>
    <row r="121" spans="1:10" ht="14.25" customHeight="1">
      <c r="A121" s="9" t="s">
        <v>40</v>
      </c>
      <c r="B121" s="9" t="s">
        <v>224</v>
      </c>
      <c r="C121" s="9" t="s">
        <v>116</v>
      </c>
      <c r="D121" s="9" t="s">
        <v>59</v>
      </c>
      <c r="E121" s="9" t="s">
        <v>77</v>
      </c>
      <c r="F121" s="9"/>
      <c r="G121" s="9"/>
      <c r="H121" s="9"/>
      <c r="I121" s="10">
        <v>46162</v>
      </c>
      <c r="J121" s="10">
        <v>46162</v>
      </c>
    </row>
    <row r="122" spans="1:10" ht="14.25" customHeight="1">
      <c r="A122" s="9" t="s">
        <v>40</v>
      </c>
      <c r="B122" s="9" t="s">
        <v>204</v>
      </c>
      <c r="C122" s="9" t="s">
        <v>116</v>
      </c>
      <c r="D122" s="9" t="s">
        <v>59</v>
      </c>
      <c r="E122" s="9" t="s">
        <v>77</v>
      </c>
      <c r="F122" s="9"/>
      <c r="G122" s="9"/>
      <c r="H122" s="10">
        <v>46162</v>
      </c>
      <c r="I122" s="10">
        <v>46164</v>
      </c>
      <c r="J122" s="10">
        <v>46164</v>
      </c>
    </row>
    <row r="123" spans="1:10" ht="14.25" customHeight="1">
      <c r="A123" s="9" t="s">
        <v>40</v>
      </c>
      <c r="B123" s="9" t="s">
        <v>164</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224</v>
      </c>
      <c r="C126" s="9" t="s">
        <v>117</v>
      </c>
      <c r="D126" s="9" t="s">
        <v>65</v>
      </c>
      <c r="E126" s="9" t="s">
        <v>60</v>
      </c>
      <c r="F126" s="9"/>
      <c r="G126" s="9"/>
      <c r="H126" s="10"/>
      <c r="I126" s="10">
        <v>46169</v>
      </c>
      <c r="J126" s="10">
        <v>46169</v>
      </c>
    </row>
    <row r="127" spans="1:10" ht="14.25" customHeight="1">
      <c r="A127" s="9" t="s">
        <v>40</v>
      </c>
      <c r="B127" s="9" t="s">
        <v>204</v>
      </c>
      <c r="C127" s="9" t="s">
        <v>117</v>
      </c>
      <c r="D127" s="9" t="s">
        <v>65</v>
      </c>
      <c r="E127" s="9" t="s">
        <v>60</v>
      </c>
      <c r="F127" s="9"/>
      <c r="G127" s="9"/>
      <c r="H127" s="10">
        <v>46169</v>
      </c>
      <c r="I127" s="10">
        <v>46191</v>
      </c>
      <c r="J127" s="10">
        <v>46191</v>
      </c>
    </row>
    <row r="128" spans="1:10" ht="14.25" customHeight="1">
      <c r="A128" s="9" t="s">
        <v>40</v>
      </c>
      <c r="B128" s="9" t="s">
        <v>164</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224</v>
      </c>
      <c r="C131" s="9" t="s">
        <v>121</v>
      </c>
      <c r="D131" s="9" t="s">
        <v>103</v>
      </c>
      <c r="E131" s="9" t="s">
        <v>77</v>
      </c>
      <c r="F131" s="9"/>
      <c r="G131" s="9"/>
      <c r="H131" s="9"/>
      <c r="I131" s="10">
        <v>46168</v>
      </c>
      <c r="J131" s="10">
        <v>46168</v>
      </c>
    </row>
    <row r="132" spans="1:10" ht="14.25" customHeight="1">
      <c r="A132" s="9" t="s">
        <v>40</v>
      </c>
      <c r="B132" s="9" t="s">
        <v>204</v>
      </c>
      <c r="C132" s="9" t="s">
        <v>121</v>
      </c>
      <c r="D132" s="9" t="s">
        <v>103</v>
      </c>
      <c r="E132" s="9" t="s">
        <v>77</v>
      </c>
      <c r="F132" s="9"/>
      <c r="G132" s="9"/>
      <c r="H132" s="10">
        <v>46168</v>
      </c>
      <c r="I132" s="10">
        <v>46189</v>
      </c>
      <c r="J132" s="10">
        <v>46189</v>
      </c>
    </row>
    <row r="133" spans="1:10" ht="14.25" customHeight="1">
      <c r="A133" s="9" t="s">
        <v>40</v>
      </c>
      <c r="B133" s="9" t="s">
        <v>164</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224</v>
      </c>
      <c r="C136" s="9" t="s">
        <v>123</v>
      </c>
      <c r="D136" s="9" t="s">
        <v>84</v>
      </c>
      <c r="E136" s="9" t="s">
        <v>77</v>
      </c>
      <c r="F136" s="9"/>
      <c r="G136" s="9"/>
      <c r="H136" s="9"/>
      <c r="I136" s="10">
        <v>46169</v>
      </c>
      <c r="J136" s="10">
        <v>46169</v>
      </c>
    </row>
    <row r="137" spans="1:10" ht="14.25" customHeight="1">
      <c r="A137" s="9" t="s">
        <v>40</v>
      </c>
      <c r="B137" s="9" t="s">
        <v>204</v>
      </c>
      <c r="C137" s="9" t="s">
        <v>123</v>
      </c>
      <c r="D137" s="9" t="s">
        <v>84</v>
      </c>
      <c r="E137" s="9" t="s">
        <v>77</v>
      </c>
      <c r="F137" s="9"/>
      <c r="G137" s="9"/>
      <c r="H137" s="10">
        <v>46169</v>
      </c>
      <c r="I137" s="10">
        <v>46195</v>
      </c>
      <c r="J137" s="10">
        <v>46195</v>
      </c>
    </row>
    <row r="138" spans="1:10" ht="14.25" customHeight="1">
      <c r="A138" s="9" t="s">
        <v>40</v>
      </c>
      <c r="B138" s="9" t="s">
        <v>164</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224</v>
      </c>
      <c r="C141" s="9" t="s">
        <v>127</v>
      </c>
      <c r="D141" s="9" t="s">
        <v>76</v>
      </c>
      <c r="E141" s="9" t="s">
        <v>60</v>
      </c>
      <c r="F141" s="9"/>
      <c r="G141" s="9" t="s">
        <v>129</v>
      </c>
      <c r="H141" s="9"/>
      <c r="I141" s="9"/>
      <c r="J141" s="9"/>
    </row>
    <row r="142" spans="1:10" ht="14.25" customHeight="1">
      <c r="A142" s="9" t="s">
        <v>126</v>
      </c>
      <c r="B142" s="9" t="s">
        <v>204</v>
      </c>
      <c r="C142" s="9" t="s">
        <v>127</v>
      </c>
      <c r="D142" s="9" t="s">
        <v>76</v>
      </c>
      <c r="E142" s="9" t="s">
        <v>60</v>
      </c>
      <c r="F142" s="9"/>
      <c r="G142" s="9" t="s">
        <v>129</v>
      </c>
      <c r="H142" s="9"/>
      <c r="I142" s="10">
        <v>46213</v>
      </c>
      <c r="J142" s="10">
        <v>46213</v>
      </c>
    </row>
    <row r="143" spans="1:10" ht="14.25" customHeight="1">
      <c r="A143" s="9" t="s">
        <v>126</v>
      </c>
      <c r="B143" s="9" t="s">
        <v>164</v>
      </c>
      <c r="C143" s="9" t="s">
        <v>127</v>
      </c>
      <c r="D143" s="9" t="s">
        <v>76</v>
      </c>
      <c r="E143" s="9" t="s">
        <v>60</v>
      </c>
      <c r="F143" s="9"/>
      <c r="G143" s="9" t="s">
        <v>129</v>
      </c>
      <c r="H143" s="10">
        <v>46213</v>
      </c>
      <c r="I143" s="10">
        <v>46223</v>
      </c>
      <c r="J143" s="10">
        <v>46223</v>
      </c>
    </row>
    <row r="144" spans="1:10" ht="14.25" customHeight="1">
      <c r="A144" s="9" t="s">
        <v>126</v>
      </c>
      <c r="B144" s="9" t="s">
        <v>224</v>
      </c>
      <c r="C144" s="9" t="s">
        <v>134</v>
      </c>
      <c r="D144" s="9" t="s">
        <v>65</v>
      </c>
      <c r="E144" s="9" t="s">
        <v>77</v>
      </c>
      <c r="F144" s="9"/>
      <c r="G144" s="9" t="s">
        <v>129</v>
      </c>
      <c r="H144" s="9"/>
      <c r="I144" s="9"/>
      <c r="J144" s="9"/>
    </row>
    <row r="145" spans="1:10" ht="14.25" customHeight="1">
      <c r="A145" s="9" t="s">
        <v>126</v>
      </c>
      <c r="B145" s="9" t="s">
        <v>204</v>
      </c>
      <c r="C145" s="9" t="s">
        <v>134</v>
      </c>
      <c r="D145" s="9" t="s">
        <v>65</v>
      </c>
      <c r="E145" s="9" t="s">
        <v>77</v>
      </c>
      <c r="F145" s="9"/>
      <c r="G145" s="9" t="s">
        <v>129</v>
      </c>
      <c r="H145" s="9"/>
      <c r="I145" s="10">
        <v>46218</v>
      </c>
      <c r="J145" s="10">
        <v>46218</v>
      </c>
    </row>
    <row r="146" spans="1:10" ht="14.25" customHeight="1">
      <c r="A146" s="9" t="s">
        <v>126</v>
      </c>
      <c r="B146" s="9" t="s">
        <v>164</v>
      </c>
      <c r="C146" s="9" t="s">
        <v>134</v>
      </c>
      <c r="D146" s="9" t="s">
        <v>65</v>
      </c>
      <c r="E146" s="9" t="s">
        <v>77</v>
      </c>
      <c r="F146" s="9"/>
      <c r="G146" s="9" t="s">
        <v>129</v>
      </c>
      <c r="H146" s="10">
        <v>46218</v>
      </c>
      <c r="I146" s="10">
        <v>46223</v>
      </c>
      <c r="J146" s="10">
        <v>46223</v>
      </c>
    </row>
    <row r="147" spans="1:10" ht="14.25" customHeight="1">
      <c r="A147" s="9" t="s">
        <v>126</v>
      </c>
      <c r="B147" s="9" t="s">
        <v>224</v>
      </c>
      <c r="C147" s="9" t="s">
        <v>136</v>
      </c>
      <c r="D147" s="9" t="s">
        <v>65</v>
      </c>
      <c r="E147" s="9" t="s">
        <v>77</v>
      </c>
      <c r="F147" s="9"/>
      <c r="G147" s="9" t="s">
        <v>129</v>
      </c>
      <c r="H147" s="9"/>
      <c r="I147" s="9"/>
      <c r="J147" s="9"/>
    </row>
    <row r="148" spans="1:10" ht="14.25" customHeight="1">
      <c r="A148" s="9" t="s">
        <v>126</v>
      </c>
      <c r="B148" s="9" t="s">
        <v>204</v>
      </c>
      <c r="C148" s="9" t="s">
        <v>136</v>
      </c>
      <c r="D148" s="9" t="s">
        <v>65</v>
      </c>
      <c r="E148" s="9" t="s">
        <v>77</v>
      </c>
      <c r="F148" s="9"/>
      <c r="G148" s="9" t="s">
        <v>129</v>
      </c>
      <c r="H148" s="9"/>
      <c r="I148" s="10">
        <v>46225</v>
      </c>
      <c r="J148" s="10">
        <v>46225</v>
      </c>
    </row>
    <row r="149" spans="1:10" ht="14.25" customHeight="1">
      <c r="A149" s="9" t="s">
        <v>126</v>
      </c>
      <c r="B149" s="9" t="s">
        <v>164</v>
      </c>
      <c r="C149" s="9" t="s">
        <v>136</v>
      </c>
      <c r="D149" s="9" t="s">
        <v>65</v>
      </c>
      <c r="E149" s="9" t="s">
        <v>77</v>
      </c>
      <c r="F149" s="9"/>
      <c r="G149" s="9" t="s">
        <v>129</v>
      </c>
      <c r="H149" s="10">
        <v>46225</v>
      </c>
      <c r="I149" s="10">
        <v>46223</v>
      </c>
      <c r="J149" s="10">
        <v>46223</v>
      </c>
    </row>
    <row r="150" spans="1:10" ht="14.25" customHeight="1">
      <c r="A150" s="9" t="s">
        <v>126</v>
      </c>
      <c r="B150" s="9" t="s">
        <v>224</v>
      </c>
      <c r="C150" s="9" t="s">
        <v>138</v>
      </c>
      <c r="D150" s="9" t="s">
        <v>59</v>
      </c>
      <c r="E150" s="9" t="s">
        <v>46</v>
      </c>
      <c r="F150" s="9"/>
      <c r="G150" s="9" t="s">
        <v>129</v>
      </c>
      <c r="H150" s="9"/>
      <c r="I150" s="9"/>
      <c r="J150" s="9"/>
    </row>
    <row r="151" spans="1:10" ht="14.25" customHeight="1">
      <c r="A151" s="9" t="s">
        <v>126</v>
      </c>
      <c r="B151" s="9" t="s">
        <v>204</v>
      </c>
      <c r="C151" s="9" t="s">
        <v>138</v>
      </c>
      <c r="D151" s="9" t="s">
        <v>59</v>
      </c>
      <c r="E151" s="9" t="s">
        <v>46</v>
      </c>
      <c r="F151" s="9"/>
      <c r="G151" s="9" t="s">
        <v>129</v>
      </c>
      <c r="H151" s="9"/>
      <c r="I151" s="10">
        <v>46227</v>
      </c>
      <c r="J151" s="10">
        <v>46227</v>
      </c>
    </row>
    <row r="152" spans="1:10" ht="14.25" customHeight="1">
      <c r="A152" s="9" t="s">
        <v>126</v>
      </c>
      <c r="B152" s="9" t="s">
        <v>164</v>
      </c>
      <c r="C152" s="9" t="s">
        <v>138</v>
      </c>
      <c r="D152" s="9" t="s">
        <v>59</v>
      </c>
      <c r="E152" s="9" t="s">
        <v>46</v>
      </c>
      <c r="F152" s="9"/>
      <c r="G152" s="9" t="s">
        <v>129</v>
      </c>
      <c r="H152" s="10">
        <v>46227</v>
      </c>
      <c r="I152" s="10">
        <v>46223</v>
      </c>
      <c r="J152" s="10">
        <v>46223</v>
      </c>
    </row>
    <row r="153" spans="1:10" ht="14.25" customHeight="1">
      <c r="A153" s="9" t="s">
        <v>126</v>
      </c>
      <c r="B153" s="9" t="s">
        <v>224</v>
      </c>
      <c r="C153" s="9" t="s">
        <v>140</v>
      </c>
      <c r="D153" s="9" t="s">
        <v>103</v>
      </c>
      <c r="E153" s="9" t="s">
        <v>77</v>
      </c>
      <c r="F153" s="9"/>
      <c r="G153" s="9" t="s">
        <v>129</v>
      </c>
      <c r="H153" s="9"/>
      <c r="I153" s="9"/>
      <c r="J153" s="9"/>
    </row>
    <row r="154" spans="1:10" ht="14.25" customHeight="1">
      <c r="A154" s="9" t="s">
        <v>126</v>
      </c>
      <c r="B154" s="9" t="s">
        <v>204</v>
      </c>
      <c r="C154" s="9" t="s">
        <v>140</v>
      </c>
      <c r="D154" s="9" t="s">
        <v>103</v>
      </c>
      <c r="E154" s="9" t="s">
        <v>77</v>
      </c>
      <c r="F154" s="9"/>
      <c r="G154" s="9" t="s">
        <v>129</v>
      </c>
      <c r="H154" s="9"/>
      <c r="I154" s="10">
        <v>46216</v>
      </c>
      <c r="J154" s="10">
        <v>46216</v>
      </c>
    </row>
    <row r="155" spans="1:10" ht="14.25" customHeight="1">
      <c r="A155" s="9" t="s">
        <v>126</v>
      </c>
      <c r="B155" s="9" t="s">
        <v>164</v>
      </c>
      <c r="C155" s="9" t="s">
        <v>140</v>
      </c>
      <c r="D155" s="9" t="s">
        <v>103</v>
      </c>
      <c r="E155" s="9" t="s">
        <v>77</v>
      </c>
      <c r="F155" s="9"/>
      <c r="G155" s="9" t="s">
        <v>129</v>
      </c>
      <c r="H155" s="10">
        <v>46216</v>
      </c>
      <c r="I155" s="10">
        <v>46225</v>
      </c>
      <c r="J155" s="10">
        <v>46225</v>
      </c>
    </row>
    <row r="156" spans="1:10" ht="14.25" customHeight="1">
      <c r="A156" s="9" t="s">
        <v>126</v>
      </c>
      <c r="B156" s="9" t="s">
        <v>224</v>
      </c>
      <c r="C156" s="9" t="s">
        <v>142</v>
      </c>
      <c r="D156" s="9" t="s">
        <v>84</v>
      </c>
      <c r="E156" s="9" t="s">
        <v>60</v>
      </c>
      <c r="F156" s="9"/>
      <c r="G156" s="9" t="s">
        <v>143</v>
      </c>
      <c r="H156" s="9"/>
      <c r="I156" s="9"/>
      <c r="J156" s="9"/>
    </row>
    <row r="157" spans="1:10">
      <c r="A157" s="3" t="s">
        <v>126</v>
      </c>
      <c r="B157" s="3" t="s">
        <v>224</v>
      </c>
      <c r="C157" s="3" t="s">
        <v>145</v>
      </c>
      <c r="D157" s="3" t="s">
        <v>65</v>
      </c>
      <c r="E157" s="3" t="s">
        <v>46</v>
      </c>
      <c r="F157" s="3"/>
      <c r="G157" s="3" t="s">
        <v>143</v>
      </c>
      <c r="H157" s="3"/>
      <c r="I157" s="3"/>
      <c r="J157" s="3"/>
    </row>
    <row r="158" spans="1:10">
      <c r="A158" s="3" t="s">
        <v>126</v>
      </c>
      <c r="B158" s="3" t="s">
        <v>224</v>
      </c>
      <c r="C158" s="3" t="s">
        <v>148</v>
      </c>
      <c r="D158" s="3" t="s">
        <v>65</v>
      </c>
      <c r="E158" s="3" t="s">
        <v>46</v>
      </c>
      <c r="F158" s="3"/>
      <c r="G158" s="3" t="s">
        <v>143</v>
      </c>
      <c r="H158" s="3"/>
      <c r="I158" s="3"/>
      <c r="J158" s="3"/>
    </row>
    <row r="159" spans="1:10">
      <c r="A159" s="3" t="s">
        <v>126</v>
      </c>
      <c r="B159" s="3" t="s">
        <v>204</v>
      </c>
      <c r="C159" s="3" t="s">
        <v>148</v>
      </c>
      <c r="D159" s="3" t="s">
        <v>65</v>
      </c>
      <c r="E159" s="3" t="s">
        <v>46</v>
      </c>
      <c r="F159" s="3"/>
      <c r="G159" s="3" t="s">
        <v>143</v>
      </c>
      <c r="H159" s="3"/>
      <c r="I159" s="4">
        <v>46221</v>
      </c>
      <c r="J159" s="4">
        <v>46221</v>
      </c>
    </row>
    <row r="160" spans="1:10">
      <c r="A160" s="3" t="s">
        <v>126</v>
      </c>
      <c r="B160" s="3" t="s">
        <v>164</v>
      </c>
      <c r="C160" s="3" t="s">
        <v>148</v>
      </c>
      <c r="D160" s="3" t="s">
        <v>65</v>
      </c>
      <c r="E160" s="3" t="s">
        <v>46</v>
      </c>
      <c r="F160" s="3"/>
      <c r="G160" s="3" t="s">
        <v>143</v>
      </c>
      <c r="H160" s="4">
        <v>46221</v>
      </c>
      <c r="I160" s="4">
        <v>46223</v>
      </c>
      <c r="J160" s="4">
        <v>46223</v>
      </c>
    </row>
    <row r="161" spans="1:10">
      <c r="A161" s="3" t="s">
        <v>126</v>
      </c>
      <c r="B161" s="3" t="s">
        <v>224</v>
      </c>
      <c r="C161" s="3" t="s">
        <v>149</v>
      </c>
      <c r="D161" s="3" t="s">
        <v>84</v>
      </c>
      <c r="E161" s="3" t="s">
        <v>60</v>
      </c>
      <c r="F161" s="3"/>
      <c r="G161" s="3" t="s">
        <v>143</v>
      </c>
      <c r="H161" s="3"/>
      <c r="I161" s="3"/>
      <c r="J161" s="3"/>
    </row>
    <row r="162" spans="1:10">
      <c r="A162" s="3" t="s">
        <v>126</v>
      </c>
      <c r="B162" s="3" t="s">
        <v>204</v>
      </c>
      <c r="C162" s="3" t="s">
        <v>149</v>
      </c>
      <c r="D162" s="3" t="s">
        <v>84</v>
      </c>
      <c r="E162" s="3" t="s">
        <v>60</v>
      </c>
      <c r="F162" s="3"/>
      <c r="G162" s="3" t="s">
        <v>143</v>
      </c>
      <c r="H162" s="3"/>
      <c r="I162" s="4">
        <v>46220</v>
      </c>
      <c r="J162" s="4">
        <v>46220</v>
      </c>
    </row>
    <row r="163" spans="1:10">
      <c r="A163" s="3" t="s">
        <v>126</v>
      </c>
      <c r="B163" s="3" t="s">
        <v>164</v>
      </c>
      <c r="C163" s="3" t="s">
        <v>149</v>
      </c>
      <c r="D163" s="3" t="s">
        <v>84</v>
      </c>
      <c r="E163" s="3" t="s">
        <v>60</v>
      </c>
      <c r="F163" s="3"/>
      <c r="G163" s="3" t="s">
        <v>143</v>
      </c>
      <c r="H163" s="4">
        <v>46220</v>
      </c>
      <c r="I163" s="4">
        <v>46223</v>
      </c>
      <c r="J163" s="4">
        <v>46223</v>
      </c>
    </row>
    <row r="164" spans="1:10">
      <c r="A164" s="3" t="s">
        <v>126</v>
      </c>
      <c r="B164" s="3" t="s">
        <v>224</v>
      </c>
      <c r="C164" s="3" t="s">
        <v>152</v>
      </c>
      <c r="D164" s="3" t="s">
        <v>154</v>
      </c>
      <c r="E164" s="3" t="s">
        <v>60</v>
      </c>
      <c r="F164" s="3"/>
      <c r="G164" s="3" t="s">
        <v>143</v>
      </c>
      <c r="H164" s="3"/>
      <c r="I164" s="3"/>
      <c r="J164" s="3"/>
    </row>
    <row r="165" spans="1:10">
      <c r="A165" s="3" t="s">
        <v>126</v>
      </c>
      <c r="B165" s="3" t="s">
        <v>204</v>
      </c>
      <c r="C165" s="3" t="s">
        <v>152</v>
      </c>
      <c r="D165" s="3" t="s">
        <v>154</v>
      </c>
      <c r="E165" s="3" t="s">
        <v>60</v>
      </c>
      <c r="F165" s="3"/>
      <c r="G165" s="3" t="s">
        <v>143</v>
      </c>
      <c r="H165" s="3"/>
      <c r="I165" s="4">
        <v>46224</v>
      </c>
      <c r="J165" s="4">
        <v>46224</v>
      </c>
    </row>
    <row r="166" spans="1:10">
      <c r="A166" s="3" t="s">
        <v>126</v>
      </c>
      <c r="B166" s="3" t="s">
        <v>164</v>
      </c>
      <c r="C166" s="3" t="s">
        <v>152</v>
      </c>
      <c r="D166" s="3" t="s">
        <v>154</v>
      </c>
      <c r="E166" s="3" t="s">
        <v>60</v>
      </c>
      <c r="F166" s="3"/>
      <c r="G166" s="3" t="s">
        <v>143</v>
      </c>
      <c r="H166" s="4">
        <v>46224</v>
      </c>
      <c r="I166" s="4">
        <v>46223</v>
      </c>
      <c r="J166" s="4">
        <v>46223</v>
      </c>
    </row>
    <row r="167" spans="1:10">
      <c r="A167" s="3" t="s">
        <v>126</v>
      </c>
      <c r="B167" s="3" t="s">
        <v>224</v>
      </c>
      <c r="C167" s="3" t="s">
        <v>155</v>
      </c>
      <c r="D167" s="3" t="s">
        <v>154</v>
      </c>
      <c r="E167" s="3" t="s">
        <v>77</v>
      </c>
      <c r="F167" s="3"/>
      <c r="G167" s="3" t="s">
        <v>143</v>
      </c>
      <c r="H167" s="3"/>
      <c r="I167" s="3"/>
      <c r="J167" s="3"/>
    </row>
    <row r="168" spans="1:10">
      <c r="A168" s="3" t="s">
        <v>126</v>
      </c>
      <c r="B168" s="3" t="s">
        <v>204</v>
      </c>
      <c r="C168" s="3" t="s">
        <v>155</v>
      </c>
      <c r="D168" s="3" t="s">
        <v>154</v>
      </c>
      <c r="E168" s="3" t="s">
        <v>77</v>
      </c>
      <c r="F168" s="3"/>
      <c r="G168" s="3" t="s">
        <v>143</v>
      </c>
      <c r="H168" s="3"/>
      <c r="I168" s="4">
        <v>46225</v>
      </c>
      <c r="J168" s="4">
        <v>46225</v>
      </c>
    </row>
    <row r="169" spans="1:10">
      <c r="A169" s="3" t="s">
        <v>126</v>
      </c>
      <c r="B169" s="3" t="s">
        <v>164</v>
      </c>
      <c r="C169" s="3" t="s">
        <v>155</v>
      </c>
      <c r="D169" s="3" t="s">
        <v>154</v>
      </c>
      <c r="E169" s="3" t="s">
        <v>77</v>
      </c>
      <c r="F169" s="3"/>
      <c r="G169" s="3" t="s">
        <v>143</v>
      </c>
      <c r="H169" s="4">
        <v>46225</v>
      </c>
      <c r="I169" s="4">
        <v>46223</v>
      </c>
      <c r="J169" s="4">
        <v>46223</v>
      </c>
    </row>
    <row r="170" spans="1:10">
      <c r="A170" s="3" t="s">
        <v>126</v>
      </c>
      <c r="B170" s="3" t="s">
        <v>224</v>
      </c>
      <c r="C170" s="3" t="s">
        <v>156</v>
      </c>
      <c r="D170" s="3" t="s">
        <v>76</v>
      </c>
      <c r="E170" s="3" t="s">
        <v>46</v>
      </c>
      <c r="F170" s="3"/>
      <c r="G170" s="3" t="s">
        <v>129</v>
      </c>
      <c r="H170" s="3"/>
      <c r="I170" s="3"/>
      <c r="J170" s="3"/>
    </row>
    <row r="171" spans="1:10">
      <c r="A171" s="3" t="s">
        <v>126</v>
      </c>
      <c r="B171" s="3" t="s">
        <v>204</v>
      </c>
      <c r="C171" s="3" t="s">
        <v>156</v>
      </c>
      <c r="D171" s="3" t="s">
        <v>76</v>
      </c>
      <c r="E171" s="3" t="s">
        <v>46</v>
      </c>
      <c r="F171" s="3"/>
      <c r="G171" s="3" t="s">
        <v>129</v>
      </c>
      <c r="H171" s="3"/>
      <c r="I171" s="4">
        <v>46226</v>
      </c>
      <c r="J171" s="4">
        <v>46226</v>
      </c>
    </row>
    <row r="172" spans="1:10">
      <c r="A172" s="3" t="s">
        <v>126</v>
      </c>
      <c r="B172" s="3" t="s">
        <v>164</v>
      </c>
      <c r="C172" s="3" t="s">
        <v>156</v>
      </c>
      <c r="D172" s="3" t="s">
        <v>76</v>
      </c>
      <c r="E172" s="3" t="s">
        <v>46</v>
      </c>
      <c r="F172" s="3"/>
      <c r="G172" s="3" t="s">
        <v>129</v>
      </c>
      <c r="H172" s="4">
        <v>46226</v>
      </c>
      <c r="I172" s="4">
        <v>46223</v>
      </c>
      <c r="J172" s="4">
        <v>46223</v>
      </c>
    </row>
    <row r="173" spans="1:10">
      <c r="A173" s="3" t="s">
        <v>126</v>
      </c>
      <c r="B173" s="3" t="s">
        <v>224</v>
      </c>
      <c r="C173" s="3" t="s">
        <v>158</v>
      </c>
      <c r="D173" s="3" t="s">
        <v>59</v>
      </c>
      <c r="E173" s="3" t="s">
        <v>60</v>
      </c>
      <c r="F173" s="3"/>
      <c r="G173" s="3" t="s">
        <v>129</v>
      </c>
      <c r="H173" s="3"/>
      <c r="I173" s="3"/>
      <c r="J173" s="3"/>
    </row>
    <row r="174" spans="1:10">
      <c r="A174" s="3" t="s">
        <v>126</v>
      </c>
      <c r="B174" s="3" t="s">
        <v>204</v>
      </c>
      <c r="C174" s="3" t="s">
        <v>158</v>
      </c>
      <c r="D174" s="3" t="s">
        <v>59</v>
      </c>
      <c r="E174" s="3" t="s">
        <v>60</v>
      </c>
      <c r="F174" s="3"/>
      <c r="G174" s="3" t="s">
        <v>129</v>
      </c>
      <c r="H174" s="3"/>
      <c r="I174" s="4">
        <v>46225</v>
      </c>
      <c r="J174" s="4">
        <v>46225</v>
      </c>
    </row>
    <row r="175" spans="1:10">
      <c r="A175" s="3" t="s">
        <v>126</v>
      </c>
      <c r="B175" s="3" t="s">
        <v>164</v>
      </c>
      <c r="C175" s="3" t="s">
        <v>158</v>
      </c>
      <c r="D175" s="3" t="s">
        <v>59</v>
      </c>
      <c r="E175" s="3" t="s">
        <v>60</v>
      </c>
      <c r="F175" s="3"/>
      <c r="G175" s="3" t="s">
        <v>129</v>
      </c>
      <c r="H175" s="4">
        <v>46225</v>
      </c>
      <c r="I175" s="4">
        <v>46223</v>
      </c>
      <c r="J175" s="4">
        <v>46223</v>
      </c>
    </row>
    <row r="176" spans="1:10">
      <c r="A176" s="3" t="s">
        <v>126</v>
      </c>
      <c r="B176" s="3" t="s">
        <v>224</v>
      </c>
      <c r="C176" s="3" t="s">
        <v>160</v>
      </c>
      <c r="D176" s="3" t="s">
        <v>76</v>
      </c>
      <c r="E176" s="3" t="s">
        <v>77</v>
      </c>
      <c r="F176" s="3"/>
      <c r="G176" s="3" t="s">
        <v>143</v>
      </c>
      <c r="H176" s="3"/>
      <c r="I176" s="3"/>
      <c r="J176" s="3"/>
    </row>
    <row r="177" spans="1:10">
      <c r="A177" s="3" t="s">
        <v>126</v>
      </c>
      <c r="B177" s="3" t="s">
        <v>204</v>
      </c>
      <c r="C177" s="3" t="s">
        <v>160</v>
      </c>
      <c r="D177" s="3" t="s">
        <v>76</v>
      </c>
      <c r="E177" s="3" t="s">
        <v>77</v>
      </c>
      <c r="F177" s="3"/>
      <c r="G177" s="3" t="s">
        <v>143</v>
      </c>
      <c r="H177" s="3"/>
      <c r="I177" s="4">
        <v>46225</v>
      </c>
      <c r="J177" s="4">
        <v>46225</v>
      </c>
    </row>
    <row r="178" spans="1:10">
      <c r="A178" s="3" t="s">
        <v>126</v>
      </c>
      <c r="B178" s="3" t="s">
        <v>164</v>
      </c>
      <c r="C178" s="3" t="s">
        <v>160</v>
      </c>
      <c r="D178" s="3" t="s">
        <v>76</v>
      </c>
      <c r="E178" s="3" t="s">
        <v>77</v>
      </c>
      <c r="F178" s="3"/>
      <c r="G178" s="3" t="s">
        <v>143</v>
      </c>
      <c r="H178" s="4">
        <v>46225</v>
      </c>
      <c r="I178" s="4">
        <v>46230</v>
      </c>
      <c r="J178" s="4">
        <v>46230</v>
      </c>
    </row>
    <row r="179" spans="1:10">
      <c r="A179" s="3" t="s">
        <v>126</v>
      </c>
      <c r="B179" s="3" t="s">
        <v>224</v>
      </c>
      <c r="C179" s="3" t="s">
        <v>163</v>
      </c>
      <c r="D179" s="3" t="s">
        <v>103</v>
      </c>
      <c r="E179" s="3"/>
      <c r="F179" s="3"/>
      <c r="G179" s="3"/>
      <c r="H179" s="3"/>
      <c r="I179" s="3"/>
      <c r="J179" s="3"/>
    </row>
    <row r="180" spans="1:10">
      <c r="A180" s="3" t="s">
        <v>126</v>
      </c>
      <c r="B180" s="3" t="s">
        <v>204</v>
      </c>
      <c r="C180" s="3" t="s">
        <v>163</v>
      </c>
      <c r="D180" s="3" t="s">
        <v>103</v>
      </c>
      <c r="E180" s="3"/>
      <c r="F180" s="3"/>
      <c r="G180" s="3"/>
      <c r="H180" s="3"/>
      <c r="I180" s="3"/>
      <c r="J180" s="3"/>
    </row>
    <row r="181" spans="1:10">
      <c r="A181" s="3" t="s">
        <v>126</v>
      </c>
      <c r="B181" s="3" t="s">
        <v>164</v>
      </c>
      <c r="C181" s="3" t="s">
        <v>163</v>
      </c>
      <c r="D181" s="3" t="s">
        <v>103</v>
      </c>
      <c r="E181" s="3"/>
      <c r="F181" s="3"/>
      <c r="G181" s="3"/>
      <c r="H181" s="3"/>
      <c r="I181" s="3"/>
      <c r="J181" s="3"/>
    </row>
    <row r="182" spans="1:10">
      <c r="A182" s="3" t="s">
        <v>126</v>
      </c>
      <c r="B182" s="3" t="s">
        <v>224</v>
      </c>
      <c r="C182" s="3" t="s">
        <v>174</v>
      </c>
      <c r="D182" s="3" t="s">
        <v>84</v>
      </c>
      <c r="E182" s="3"/>
      <c r="F182" s="3"/>
      <c r="G182" s="3"/>
      <c r="H182" s="3"/>
      <c r="I182" s="3"/>
      <c r="J182" s="3"/>
    </row>
    <row r="183" spans="1:10">
      <c r="A183" s="3" t="s">
        <v>126</v>
      </c>
      <c r="B183" s="3" t="s">
        <v>204</v>
      </c>
      <c r="C183" s="3" t="s">
        <v>174</v>
      </c>
      <c r="D183" s="3" t="s">
        <v>84</v>
      </c>
      <c r="E183" s="3"/>
      <c r="F183" s="3"/>
      <c r="G183" s="3"/>
      <c r="H183" s="3"/>
      <c r="I183" s="3"/>
      <c r="J183" s="3"/>
    </row>
    <row r="184" spans="1:10">
      <c r="A184" s="3" t="s">
        <v>126</v>
      </c>
      <c r="B184" s="3" t="s">
        <v>164</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437</v>
      </c>
      <c r="F1" s="1" t="s">
        <v>336</v>
      </c>
      <c r="G1" s="5" t="s">
        <v>438</v>
      </c>
      <c r="H1" s="5" t="s">
        <v>20</v>
      </c>
      <c r="I1" t="s">
        <v>35</v>
      </c>
      <c r="J1" s="5" t="s">
        <v>439</v>
      </c>
      <c r="K1" s="5" t="s">
        <v>181</v>
      </c>
      <c r="L1" s="5" t="s">
        <v>355</v>
      </c>
      <c r="M1" s="1" t="s">
        <v>440</v>
      </c>
      <c r="N1" s="1" t="s">
        <v>441</v>
      </c>
      <c r="R1" t="s">
        <v>13</v>
      </c>
      <c r="T1" t="s">
        <v>442</v>
      </c>
    </row>
    <row r="2" spans="1:20" ht="13.5" customHeight="1">
      <c r="A2" s="2" t="s">
        <v>443</v>
      </c>
      <c r="B2" s="2" t="s">
        <v>444</v>
      </c>
      <c r="C2" s="2" t="s">
        <v>445</v>
      </c>
      <c r="D2" s="2" t="s">
        <v>446</v>
      </c>
      <c r="E2" s="2" t="s">
        <v>447</v>
      </c>
      <c r="F2" s="2" t="s">
        <v>448</v>
      </c>
      <c r="G2" t="s">
        <v>449</v>
      </c>
      <c r="H2" t="s">
        <v>450</v>
      </c>
      <c r="I2" t="s">
        <v>451</v>
      </c>
      <c r="J2" s="29" t="s">
        <v>452</v>
      </c>
      <c r="K2" s="29" t="s">
        <v>453</v>
      </c>
      <c r="L2" s="29" t="s">
        <v>454</v>
      </c>
      <c r="M2" t="s">
        <v>143</v>
      </c>
      <c r="N2" t="s">
        <v>455</v>
      </c>
      <c r="R2" t="s">
        <v>253</v>
      </c>
      <c r="T2" t="s">
        <v>49</v>
      </c>
    </row>
    <row r="3" spans="1:20" ht="15" customHeight="1">
      <c r="A3" t="s">
        <v>40</v>
      </c>
      <c r="B3" t="s">
        <v>44</v>
      </c>
      <c r="C3" t="s">
        <v>60</v>
      </c>
      <c r="D3" t="s">
        <v>129</v>
      </c>
      <c r="E3" t="s">
        <v>50</v>
      </c>
      <c r="F3" t="s">
        <v>232</v>
      </c>
      <c r="G3" t="s">
        <v>44</v>
      </c>
      <c r="H3" t="s">
        <v>47</v>
      </c>
      <c r="I3" t="s">
        <v>53</v>
      </c>
      <c r="J3" t="s">
        <v>224</v>
      </c>
      <c r="K3" t="s">
        <v>48</v>
      </c>
      <c r="L3" t="s">
        <v>53</v>
      </c>
      <c r="M3" t="s">
        <v>44</v>
      </c>
      <c r="N3" t="s">
        <v>456</v>
      </c>
      <c r="R3" t="s">
        <v>45</v>
      </c>
      <c r="T3" t="s">
        <v>94</v>
      </c>
    </row>
    <row r="4" spans="1:20" ht="15" customHeight="1">
      <c r="A4" t="s">
        <v>126</v>
      </c>
      <c r="B4" t="s">
        <v>59</v>
      </c>
      <c r="C4" t="s">
        <v>46</v>
      </c>
      <c r="D4" t="s">
        <v>143</v>
      </c>
      <c r="E4" t="s">
        <v>53</v>
      </c>
      <c r="F4" t="s">
        <v>224</v>
      </c>
      <c r="G4" t="s">
        <v>59</v>
      </c>
      <c r="H4" t="s">
        <v>88</v>
      </c>
      <c r="I4" t="s">
        <v>205</v>
      </c>
      <c r="J4" t="s">
        <v>204</v>
      </c>
      <c r="L4" t="s">
        <v>50</v>
      </c>
      <c r="M4" t="s">
        <v>103</v>
      </c>
      <c r="N4" t="s">
        <v>457</v>
      </c>
      <c r="R4" t="s">
        <v>292</v>
      </c>
      <c r="T4" t="s">
        <v>72</v>
      </c>
    </row>
    <row r="5" spans="1:20" ht="15" customHeight="1">
      <c r="A5" t="s">
        <v>427</v>
      </c>
      <c r="B5" t="s">
        <v>436</v>
      </c>
      <c r="C5" t="s">
        <v>77</v>
      </c>
      <c r="F5" t="s">
        <v>204</v>
      </c>
      <c r="G5" t="s">
        <v>436</v>
      </c>
      <c r="H5" t="s">
        <v>129</v>
      </c>
      <c r="I5" t="s">
        <v>214</v>
      </c>
      <c r="J5" t="s">
        <v>164</v>
      </c>
      <c r="L5" t="s">
        <v>458</v>
      </c>
      <c r="M5" t="s">
        <v>88</v>
      </c>
      <c r="N5" t="s">
        <v>459</v>
      </c>
    </row>
    <row r="6" spans="1:20" ht="15" customHeight="1">
      <c r="A6" t="s">
        <v>307</v>
      </c>
      <c r="B6" t="s">
        <v>84</v>
      </c>
      <c r="F6" t="s">
        <v>164</v>
      </c>
      <c r="G6" t="s">
        <v>84</v>
      </c>
      <c r="H6" t="s">
        <v>143</v>
      </c>
      <c r="I6" t="s">
        <v>460</v>
      </c>
      <c r="J6" t="s">
        <v>181</v>
      </c>
      <c r="M6" t="s">
        <v>48</v>
      </c>
      <c r="N6" t="s">
        <v>459</v>
      </c>
    </row>
    <row r="7" spans="1:20" ht="15" customHeight="1">
      <c r="A7" t="s">
        <v>298</v>
      </c>
      <c r="B7" t="s">
        <v>65</v>
      </c>
      <c r="F7" t="s">
        <v>181</v>
      </c>
      <c r="G7" t="s">
        <v>65</v>
      </c>
      <c r="H7" t="s">
        <v>198</v>
      </c>
      <c r="I7" t="s">
        <v>461</v>
      </c>
      <c r="M7" t="s">
        <v>129</v>
      </c>
      <c r="N7" t="s">
        <v>462</v>
      </c>
    </row>
    <row r="8" spans="1:20" ht="15" customHeight="1">
      <c r="B8" t="s">
        <v>76</v>
      </c>
      <c r="F8" t="s">
        <v>128</v>
      </c>
      <c r="G8" t="s">
        <v>76</v>
      </c>
      <c r="I8" t="s">
        <v>463</v>
      </c>
      <c r="M8" t="s">
        <v>60</v>
      </c>
      <c r="N8" t="s">
        <v>464</v>
      </c>
    </row>
    <row r="9" spans="1:20" ht="15" customHeight="1">
      <c r="B9" t="s">
        <v>103</v>
      </c>
      <c r="F9" t="s">
        <v>42</v>
      </c>
      <c r="G9" t="s">
        <v>103</v>
      </c>
      <c r="I9" t="s">
        <v>332</v>
      </c>
      <c r="M9" t="s">
        <v>154</v>
      </c>
      <c r="N9" t="s">
        <v>465</v>
      </c>
    </row>
    <row r="10" spans="1:20" ht="15" customHeight="1">
      <c r="B10" t="s">
        <v>154</v>
      </c>
      <c r="G10" t="s">
        <v>154</v>
      </c>
      <c r="I10" t="s">
        <v>466</v>
      </c>
      <c r="M10" t="s">
        <v>47</v>
      </c>
      <c r="N10" t="s">
        <v>467</v>
      </c>
    </row>
    <row r="11" spans="1:20" ht="15">
      <c r="B11" t="s">
        <v>468</v>
      </c>
      <c r="G11" t="s">
        <v>60</v>
      </c>
      <c r="M11" t="s">
        <v>76</v>
      </c>
      <c r="N11" t="s">
        <v>469</v>
      </c>
    </row>
    <row r="12" spans="1:20" ht="15">
      <c r="B12" t="s">
        <v>470</v>
      </c>
      <c r="G12" t="s">
        <v>46</v>
      </c>
      <c r="M12" t="s">
        <v>46</v>
      </c>
      <c r="N12" t="s">
        <v>471</v>
      </c>
    </row>
    <row r="13" spans="1:20" ht="15">
      <c r="G13" t="s">
        <v>77</v>
      </c>
      <c r="M13" t="s">
        <v>77</v>
      </c>
      <c r="N13" t="s">
        <v>472</v>
      </c>
    </row>
    <row r="14" spans="1:20" ht="15">
      <c r="M14" t="s">
        <v>84</v>
      </c>
      <c r="N14" t="s">
        <v>473</v>
      </c>
    </row>
    <row r="15" spans="1:20" ht="15">
      <c r="M15" t="s">
        <v>59</v>
      </c>
      <c r="N15" t="s">
        <v>474</v>
      </c>
    </row>
    <row r="16" spans="1:20" ht="15">
      <c r="M16" t="s">
        <v>65</v>
      </c>
      <c r="N16" t="s">
        <v>475</v>
      </c>
    </row>
    <row r="17" spans="13:14" ht="15">
      <c r="M17" t="s">
        <v>436</v>
      </c>
      <c r="N17" t="s">
        <v>475</v>
      </c>
    </row>
    <row r="18" spans="13:14" ht="15">
      <c r="M18" t="s">
        <v>227</v>
      </c>
      <c r="N18" t="s">
        <v>476</v>
      </c>
    </row>
    <row r="19" spans="13:14" ht="15">
      <c r="M19" t="s">
        <v>198</v>
      </c>
      <c r="N19" t="s">
        <v>477</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B1:L44"/>
  <sheetViews>
    <sheetView showGridLines="0" tabSelected="1" workbookViewId="0"/>
  </sheetViews>
  <sheetFormatPr defaultRowHeight="12.75"/>
  <cols>
    <col min="1" max="1" width="2.28515625" style="172" customWidth="1"/>
    <col min="2" max="2" width="14.85546875" style="172" customWidth="1"/>
    <col min="3" max="3" width="11" style="172" customWidth="1"/>
    <col min="4" max="4" width="13.7109375" style="172" customWidth="1"/>
    <col min="5" max="5" width="15.5703125" style="172" customWidth="1"/>
    <col min="6" max="6" width="13.28515625" style="172" customWidth="1"/>
    <col min="7" max="7" width="8.7109375" style="172" customWidth="1"/>
    <col min="8" max="9" width="10.7109375" style="172" customWidth="1"/>
    <col min="10" max="10" width="11.85546875" style="172" customWidth="1"/>
    <col min="11" max="11" width="10.7109375" style="172" customWidth="1"/>
    <col min="12" max="12" width="38.140625" style="172" customWidth="1"/>
    <col min="13" max="16384" width="9.140625" style="172"/>
  </cols>
  <sheetData>
    <row r="1" spans="2:12" ht="9.75" customHeight="1"/>
    <row r="2" spans="2:12" ht="32.25" customHeight="1">
      <c r="B2" s="173" t="s">
        <v>478</v>
      </c>
    </row>
    <row r="3" spans="2:12" ht="18" customHeight="1">
      <c r="B3" s="174" t="str">
        <f>"Executive status · Week ending Sept 30, 2026 · "&amp;C19&amp;" reports · July–November waves"</f>
        <v>Executive status · Week ending Sept 30, 2026 · 72 reports · July–November waves</v>
      </c>
    </row>
    <row r="4" spans="2:12" ht="8.25" customHeight="1"/>
    <row r="5" spans="2:12" ht="32.25" customHeight="1">
      <c r="B5" s="209" t="str">
        <f>(D19+E19)&amp;" of "&amp;C19&amp;" CMS reports are blocked — "&amp;B9&amp;" of them in production. Those "&amp;B9&amp;" have cleared build, QA and business approval and are stalled at the production release step. The July wave is fully approved and three weeks past its milestone; August reaches the same point this week."</f>
        <v>30 of 72 CMS reports are blocked — 25 of them in production. Those 25 have cleared build, QA and business approval and are stalled at the production release step. The July wave is fully approved and three weeks past its milestone; August reaches the same point this week.</v>
      </c>
      <c r="C5" s="208"/>
      <c r="D5" s="208"/>
      <c r="E5" s="208"/>
      <c r="F5" s="208"/>
      <c r="G5" s="208"/>
      <c r="H5" s="208"/>
      <c r="I5" s="208"/>
      <c r="J5" s="208"/>
      <c r="K5" s="208"/>
    </row>
    <row r="6" spans="2:12" ht="32.25" customHeight="1">
      <c r="B6" s="208"/>
      <c r="C6" s="208"/>
      <c r="D6" s="208"/>
      <c r="E6" s="208"/>
      <c r="F6" s="208"/>
      <c r="G6" s="208"/>
      <c r="H6" s="208"/>
      <c r="I6" s="208"/>
      <c r="J6" s="208"/>
      <c r="K6" s="208"/>
    </row>
    <row r="7" spans="2:12" ht="8.25" customHeight="1"/>
    <row r="8" spans="2:12" ht="6" customHeight="1"/>
    <row r="9" spans="2:12" ht="45.75" customHeight="1">
      <c r="B9" s="210">
        <f>COUNTIF(Data!E:E,"Blocked in Prod")</f>
        <v>25</v>
      </c>
      <c r="C9" s="211"/>
      <c r="D9" s="214">
        <f>COUNTIF(Data!E:E,"Blocked - Build/QA")</f>
        <v>5</v>
      </c>
      <c r="E9" s="211"/>
      <c r="F9" s="216">
        <v>11</v>
      </c>
      <c r="G9" s="211"/>
      <c r="H9" s="211"/>
      <c r="I9" s="216">
        <f>COUNTIF(Data!E:E,"Released")</f>
        <v>0</v>
      </c>
      <c r="J9" s="211"/>
      <c r="K9" s="211"/>
    </row>
    <row r="10" spans="2:12" ht="30" customHeight="1">
      <c r="B10" s="212" t="s">
        <v>479</v>
      </c>
      <c r="C10" s="213"/>
      <c r="D10" s="215" t="s">
        <v>480</v>
      </c>
      <c r="E10" s="213"/>
      <c r="F10" s="215" t="s">
        <v>481</v>
      </c>
      <c r="G10" s="213"/>
      <c r="H10" s="213"/>
      <c r="I10" s="215" t="s">
        <v>482</v>
      </c>
      <c r="J10" s="213"/>
      <c r="K10" s="213"/>
    </row>
    <row r="11" spans="2:12" ht="12" customHeight="1"/>
    <row r="12" spans="2:12" ht="15.75" customHeight="1">
      <c r="B12" s="175" t="s">
        <v>483</v>
      </c>
    </row>
    <row r="13" spans="2:12" ht="30" customHeight="1">
      <c r="B13" s="176" t="s">
        <v>484</v>
      </c>
      <c r="C13" s="177" t="s">
        <v>485</v>
      </c>
      <c r="D13" s="177" t="s">
        <v>486</v>
      </c>
      <c r="E13" s="177" t="s">
        <v>487</v>
      </c>
      <c r="F13" s="177" t="s">
        <v>181</v>
      </c>
      <c r="G13" s="177" t="s">
        <v>164</v>
      </c>
      <c r="H13" s="177" t="s">
        <v>204</v>
      </c>
      <c r="I13" s="177" t="s">
        <v>224</v>
      </c>
      <c r="J13" s="177" t="s">
        <v>488</v>
      </c>
      <c r="K13" s="176" t="s">
        <v>489</v>
      </c>
      <c r="L13" s="176" t="s">
        <v>430</v>
      </c>
    </row>
    <row r="14" spans="2:12" ht="20.25" customHeight="1">
      <c r="B14" s="178" t="s">
        <v>130</v>
      </c>
      <c r="C14" s="179">
        <f>COUNTIF(Data!B:B,$B14)</f>
        <v>14</v>
      </c>
      <c r="D14" s="180">
        <f>COUNTIFS(Data!B:B,$B14,Data!E:E,"Blocked in Prod")</f>
        <v>14</v>
      </c>
      <c r="E14" s="180">
        <f>COUNTIFS(Data!B:B,$B14,Data!E:E,"Blocked - Build/QA")</f>
        <v>0</v>
      </c>
      <c r="F14" s="180">
        <f>COUNTIFS(Data!B:B,$B14,Data!E:E,"DPO Approval")</f>
        <v>0</v>
      </c>
      <c r="G14" s="180">
        <f>COUNTIFS(Data!B:B,$B14,Data!E:E,"QA")</f>
        <v>0</v>
      </c>
      <c r="H14" s="180">
        <f>COUNTIFS(Data!B:B,$B14,Data!E:E,"PBI Dev")</f>
        <v>0</v>
      </c>
      <c r="I14" s="180">
        <f>COUNTIFS(Data!B:B,$B14,Data!E:E,"DB Dev")</f>
        <v>0</v>
      </c>
      <c r="J14" s="180">
        <f>COUNTIFS(Data!B:B,$B14,Data!E:E,"Not Started")</f>
        <v>0</v>
      </c>
      <c r="K14" s="181">
        <v>46274</v>
      </c>
      <c r="L14" s="182" t="str">
        <f>IF(D14=C14,"● All "&amp;C14&amp;" blocked in prod",IF(D14+E14&gt;=C14/2,"● Missed · "&amp;(D14+E14)&amp;" of "&amp;C14&amp;" blocked",IF(E14&gt;0,"● On plan · "&amp;E14&amp;IF(E14=1," blocker"," blockers")&amp;" to clear","● On plan")))</f>
        <v>● All 14 blocked in prod</v>
      </c>
    </row>
    <row r="15" spans="2:12" ht="20.25" customHeight="1">
      <c r="B15" s="183" t="s">
        <v>166</v>
      </c>
      <c r="C15" s="184">
        <f>COUNTIF(Data!B:B,$B15)</f>
        <v>12</v>
      </c>
      <c r="D15" s="185">
        <f>COUNTIFS(Data!B:B,$B15,Data!E:E,"Blocked in Prod")</f>
        <v>9</v>
      </c>
      <c r="E15" s="185">
        <f>COUNTIFS(Data!B:B,$B15,Data!E:E,"Blocked - Build/QA")</f>
        <v>1</v>
      </c>
      <c r="F15" s="185">
        <f>COUNTIFS(Data!B:B,$B15,Data!E:E,"DPO Approval")</f>
        <v>2</v>
      </c>
      <c r="G15" s="185">
        <f>COUNTIFS(Data!B:B,$B15,Data!E:E,"QA")</f>
        <v>0</v>
      </c>
      <c r="H15" s="185">
        <f>COUNTIFS(Data!B:B,$B15,Data!E:E,"PBI Dev")</f>
        <v>0</v>
      </c>
      <c r="I15" s="185">
        <f>COUNTIFS(Data!B:B,$B15,Data!E:E,"DB Dev")</f>
        <v>0</v>
      </c>
      <c r="J15" s="185">
        <f>COUNTIFS(Data!B:B,$B15,Data!E:E,"Not Started")</f>
        <v>0</v>
      </c>
      <c r="K15" s="186">
        <v>46295</v>
      </c>
      <c r="L15" s="187" t="str">
        <f>IF(D15=C15,"● All "&amp;C15&amp;" blocked in prod",IF(D15+E15&gt;=C15/2,"● Missed · "&amp;(D15+E15)&amp;" of "&amp;C15&amp;" blocked",IF(E15&gt;0,"● On plan · "&amp;E15&amp;IF(E15=1," blocker"," blockers")&amp;" to clear","● On plan")))</f>
        <v>● Missed · 10 of 12 blocked</v>
      </c>
    </row>
    <row r="16" spans="2:12" ht="20.25" customHeight="1">
      <c r="B16" s="183" t="s">
        <v>192</v>
      </c>
      <c r="C16" s="184">
        <f>COUNTIF(Data!B:B,$B16)</f>
        <v>18</v>
      </c>
      <c r="D16" s="185">
        <f>COUNTIFS(Data!B:B,$B16,Data!E:E,"Blocked in Prod")</f>
        <v>2</v>
      </c>
      <c r="E16" s="185">
        <f>COUNTIFS(Data!B:B,$B16,Data!E:E,"Blocked - Build/QA")</f>
        <v>3</v>
      </c>
      <c r="F16" s="185">
        <f>COUNTIFS(Data!B:B,$B16,Data!E:E,"DPO Approval")</f>
        <v>6</v>
      </c>
      <c r="G16" s="185">
        <f>COUNTIFS(Data!B:B,$B16,Data!E:E,"QA")</f>
        <v>2</v>
      </c>
      <c r="H16" s="185">
        <f>COUNTIFS(Data!B:B,$B16,Data!E:E,"PBI Dev")</f>
        <v>3</v>
      </c>
      <c r="I16" s="185">
        <f>COUNTIFS(Data!B:B,$B16,Data!E:E,"DB Dev")</f>
        <v>1</v>
      </c>
      <c r="J16" s="185">
        <f>COUNTIFS(Data!B:B,$B16,Data!E:E,"Not Started")</f>
        <v>1</v>
      </c>
      <c r="K16" s="186">
        <v>46325</v>
      </c>
      <c r="L16" s="188" t="str">
        <f>IF(D16=C16,"● All "&amp;C16&amp;" blocked in prod",IF(D16+E16&gt;=C16/2,"● Missed · "&amp;(D16+E16)&amp;" of "&amp;C16&amp;" blocked",IF(E16&gt;0,"● On plan · "&amp;E16&amp;IF(E16=1," blocker"," blockers")&amp;" to clear","● On plan")))</f>
        <v>● On plan · 3 blockers to clear</v>
      </c>
    </row>
    <row r="17" spans="2:12" ht="20.25" customHeight="1">
      <c r="B17" s="183" t="s">
        <v>241</v>
      </c>
      <c r="C17" s="184">
        <f>COUNTIF(Data!B:B,$B17)</f>
        <v>13</v>
      </c>
      <c r="D17" s="185">
        <f>COUNTIFS(Data!B:B,$B17,Data!E:E,"Blocked in Prod")</f>
        <v>0</v>
      </c>
      <c r="E17" s="185">
        <f>COUNTIFS(Data!B:B,$B17,Data!E:E,"Blocked - Build/QA")</f>
        <v>1</v>
      </c>
      <c r="F17" s="185">
        <f>COUNTIFS(Data!B:B,$B17,Data!E:E,"DPO Approval")</f>
        <v>0</v>
      </c>
      <c r="G17" s="185">
        <f>COUNTIFS(Data!B:B,$B17,Data!E:E,"QA")</f>
        <v>1</v>
      </c>
      <c r="H17" s="185">
        <f>COUNTIFS(Data!B:B,$B17,Data!E:E,"PBI Dev")</f>
        <v>4</v>
      </c>
      <c r="I17" s="185">
        <f>COUNTIFS(Data!B:B,$B17,Data!E:E,"DB Dev")</f>
        <v>1</v>
      </c>
      <c r="J17" s="185">
        <f>COUNTIFS(Data!B:B,$B17,Data!E:E,"Not Started")</f>
        <v>6</v>
      </c>
      <c r="K17" s="186">
        <v>46356</v>
      </c>
      <c r="L17" s="189" t="str">
        <f>IF(D17=C17,"● All "&amp;C17&amp;" blocked in prod",IF(D17+E17&gt;=C17/2,"● Missed · "&amp;(D17+E17)&amp;" of "&amp;C17&amp;" blocked",IF(E17&gt;0,"● On plan · "&amp;E17&amp;IF(E17=1," blocker"," blockers")&amp;" to clear","● On plan")))</f>
        <v>● On plan · 1 blocker to clear</v>
      </c>
    </row>
    <row r="18" spans="2:12" ht="20.25" customHeight="1">
      <c r="B18" s="190" t="s">
        <v>490</v>
      </c>
      <c r="C18" s="191">
        <f>COUNTIF(Data!B:B,$B18)</f>
        <v>15</v>
      </c>
      <c r="D18" s="192">
        <f>COUNTIFS(Data!B:B,$B18,Data!E:E,"Blocked in Prod")</f>
        <v>0</v>
      </c>
      <c r="E18" s="192">
        <f>COUNTIFS(Data!B:B,$B18,Data!E:E,"Blocked - Build/QA")</f>
        <v>0</v>
      </c>
      <c r="F18" s="192">
        <f>COUNTIFS(Data!B:B,$B18,Data!E:E,"DPO Approval")</f>
        <v>0</v>
      </c>
      <c r="G18" s="192">
        <f>COUNTIFS(Data!B:B,$B18,Data!E:E,"QA")</f>
        <v>0</v>
      </c>
      <c r="H18" s="192">
        <f>COUNTIFS(Data!B:B,$B18,Data!E:E,"PBI Dev")</f>
        <v>0</v>
      </c>
      <c r="I18" s="192">
        <f>COUNTIFS(Data!B:B,$B18,Data!E:E,"DB Dev")</f>
        <v>0</v>
      </c>
      <c r="J18" s="192">
        <f>COUNTIFS(Data!B:B,$B18,Data!E:E,"Not Started")</f>
        <v>15</v>
      </c>
      <c r="K18" s="193">
        <v>46387</v>
      </c>
      <c r="L18" s="194" t="str">
        <f>IF(D18=C18,"● All "&amp;C18&amp;" blocked in prod",IF(D18+E18&gt;=C18/2,"● Missed · "&amp;(D18+E18)&amp;" of "&amp;C18&amp;" blocked",IF(E18&gt;0,"● On plan · "&amp;E18&amp;IF(E18=1," blocker"," blockers")&amp;" to clear","● On plan")))</f>
        <v>● On plan</v>
      </c>
    </row>
    <row r="19" spans="2:12" ht="20.25" customHeight="1">
      <c r="B19" s="195" t="s">
        <v>491</v>
      </c>
      <c r="C19" s="196">
        <f>SUM(C14:C18)</f>
        <v>72</v>
      </c>
      <c r="D19" s="197">
        <f>SUM(D14:D18)</f>
        <v>25</v>
      </c>
      <c r="E19" s="197">
        <f>SUM(E14:E18)</f>
        <v>5</v>
      </c>
      <c r="F19" s="197">
        <f>SUM(F14:F18)</f>
        <v>8</v>
      </c>
      <c r="G19" s="197">
        <f>SUM(G14:G18)</f>
        <v>3</v>
      </c>
      <c r="H19" s="197">
        <f>SUM(H14:H18)</f>
        <v>7</v>
      </c>
      <c r="I19" s="197">
        <f>SUM(I14:I18)</f>
        <v>2</v>
      </c>
      <c r="J19" s="197">
        <f>SUM(J14:J18)</f>
        <v>22</v>
      </c>
      <c r="K19" s="198"/>
      <c r="L19" s="195"/>
    </row>
    <row r="20" spans="2:12" ht="8.25" customHeight="1"/>
    <row r="38" spans="2:12" ht="8.25" customHeight="1"/>
    <row r="39" spans="2:12" ht="15.75" customHeight="1">
      <c r="B39" s="199" t="s">
        <v>492</v>
      </c>
      <c r="H39" s="175" t="s">
        <v>493</v>
      </c>
    </row>
    <row r="40" spans="2:12" ht="21.75" customHeight="1">
      <c r="B40" s="203" t="str">
        <f>"Name a production release owner and set a release date for the "&amp;B9&amp;" approved reports. One action moves July and August from 'approved' to 'delivered.'"</f>
        <v>Name a production release owner and set a release date for the 25 approved reports. One action moves July and August from 'approved' to 'delivered.'</v>
      </c>
      <c r="C40" s="204"/>
      <c r="D40" s="204"/>
      <c r="E40" s="204"/>
      <c r="F40" s="204"/>
      <c r="H40" s="205" t="s">
        <v>494</v>
      </c>
      <c r="I40" s="206"/>
      <c r="J40" s="206"/>
      <c r="K40" s="206"/>
    </row>
    <row r="41" spans="2:12" ht="21.75" customHeight="1">
      <c r="B41" s="204"/>
      <c r="C41" s="204"/>
      <c r="D41" s="204"/>
      <c r="E41" s="204"/>
      <c r="F41" s="204"/>
      <c r="H41" s="206"/>
      <c r="I41" s="206"/>
      <c r="J41" s="206"/>
      <c r="K41" s="206"/>
    </row>
    <row r="42" spans="2:12" ht="21.75" customHeight="1">
      <c r="B42" s="204"/>
      <c r="C42" s="204"/>
      <c r="D42" s="204"/>
      <c r="E42" s="204"/>
      <c r="F42" s="204"/>
      <c r="H42" s="206"/>
      <c r="I42" s="206"/>
      <c r="J42" s="206"/>
      <c r="K42" s="206"/>
    </row>
    <row r="43" spans="2:12" ht="8.25" customHeight="1"/>
    <row r="44" spans="2:12" ht="24" customHeight="1">
      <c r="B44" s="207" t="s">
        <v>495</v>
      </c>
      <c r="C44" s="208"/>
      <c r="D44" s="208"/>
      <c r="E44" s="208"/>
      <c r="F44" s="208"/>
      <c r="G44" s="208"/>
      <c r="H44" s="208"/>
      <c r="I44" s="208"/>
      <c r="J44" s="208"/>
      <c r="K44" s="208"/>
      <c r="L44" s="208"/>
    </row>
  </sheetData>
  <mergeCells count="12">
    <mergeCell ref="B40:F42"/>
    <mergeCell ref="H40:K42"/>
    <mergeCell ref="B44:L44"/>
    <mergeCell ref="B5:K6"/>
    <mergeCell ref="B9:C9"/>
    <mergeCell ref="B10:C10"/>
    <mergeCell ref="D9:E9"/>
    <mergeCell ref="D10:E10"/>
    <mergeCell ref="F9:H9"/>
    <mergeCell ref="F10:H10"/>
    <mergeCell ref="I9:K9"/>
    <mergeCell ref="I10:K10"/>
  </mergeCells>
  <printOptions horizontalCentered="1" gridLinesSet="0"/>
  <pageMargins left="0.7" right="0.7" top="0.75" bottom="0.75" header="0.3" footer="0.3"/>
  <pageSetup paperSize="0" firstPageNumber="0" orientation="landscape" horizontalDpi="0" verticalDpi="0" copies="0"/>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46" activePane="bottomLeft" state="frozen"/>
      <selection pane="bottomLeft"/>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484</v>
      </c>
      <c r="C1" t="s">
        <v>496</v>
      </c>
      <c r="D1" t="s">
        <v>35</v>
      </c>
      <c r="E1" t="s">
        <v>497</v>
      </c>
    </row>
    <row r="2" spans="1:5">
      <c r="A2" t="s">
        <v>127</v>
      </c>
      <c r="B2" t="s">
        <v>130</v>
      </c>
      <c r="C2" t="s">
        <v>128</v>
      </c>
      <c r="D2" t="s">
        <v>332</v>
      </c>
      <c r="E2" t="str">
        <f>IF(C2="Ready for Release in Prod","Blocked in Prod",IF(C2="RELEASED IN PROD","Released",IF(LEFT(D2,3)="Yes","Blocked - Build/QA",IF(C2="NOT STARTED","Not Started",C2))))</f>
        <v>Blocked in Prod</v>
      </c>
    </row>
    <row r="3" spans="1:5">
      <c r="A3" t="s">
        <v>134</v>
      </c>
      <c r="B3" t="s">
        <v>130</v>
      </c>
      <c r="C3" t="s">
        <v>128</v>
      </c>
      <c r="D3" t="s">
        <v>332</v>
      </c>
      <c r="E3" t="str">
        <f>IF(C3="Ready for Release in Prod","Blocked in Prod",IF(C3="RELEASED IN PROD","Released",IF(LEFT(D3,3)="Yes","Blocked - Build/QA",IF(C3="NOT STARTED","Not Started",C3))))</f>
        <v>Blocked in Prod</v>
      </c>
    </row>
    <row r="4" spans="1:5">
      <c r="A4" t="s">
        <v>136</v>
      </c>
      <c r="B4" t="s">
        <v>130</v>
      </c>
      <c r="C4" t="s">
        <v>128</v>
      </c>
      <c r="D4" t="s">
        <v>332</v>
      </c>
      <c r="E4" t="str">
        <f>IF(C4="Ready for Release in Prod","Blocked in Prod",IF(C4="RELEASED IN PROD","Released",IF(LEFT(D4,3)="Yes","Blocked - Build/QA",IF(C4="NOT STARTED","Not Started",C4))))</f>
        <v>Blocked in Prod</v>
      </c>
    </row>
    <row r="5" spans="1:5">
      <c r="A5" t="s">
        <v>138</v>
      </c>
      <c r="B5" t="s">
        <v>130</v>
      </c>
      <c r="C5" t="s">
        <v>128</v>
      </c>
      <c r="D5" t="s">
        <v>332</v>
      </c>
      <c r="E5" t="str">
        <f>IF(C5="Ready for Release in Prod","Blocked in Prod",IF(C5="RELEASED IN PROD","Released",IF(LEFT(D5,3)="Yes","Blocked - Build/QA",IF(C5="NOT STARTED","Not Started",C5))))</f>
        <v>Blocked in Prod</v>
      </c>
    </row>
    <row r="6" spans="1:5">
      <c r="A6" t="s">
        <v>140</v>
      </c>
      <c r="B6" t="s">
        <v>130</v>
      </c>
      <c r="C6" t="s">
        <v>128</v>
      </c>
      <c r="D6" t="s">
        <v>332</v>
      </c>
      <c r="E6" t="str">
        <f>IF(C6="Ready for Release in Prod","Blocked in Prod",IF(C6="RELEASED IN PROD","Released",IF(LEFT(D6,3)="Yes","Blocked - Build/QA",IF(C6="NOT STARTED","Not Started",C6))))</f>
        <v>Blocked in Prod</v>
      </c>
    </row>
    <row r="7" spans="1:5">
      <c r="A7" t="s">
        <v>142</v>
      </c>
      <c r="B7" t="s">
        <v>130</v>
      </c>
      <c r="C7" t="s">
        <v>128</v>
      </c>
      <c r="D7" t="s">
        <v>332</v>
      </c>
      <c r="E7" t="str">
        <f>IF(C7="Ready for Release in Prod","Blocked in Prod",IF(C7="RELEASED IN PROD","Released",IF(LEFT(D7,3)="Yes","Blocked - Build/QA",IF(C7="NOT STARTED","Not Started",C7))))</f>
        <v>Blocked in Prod</v>
      </c>
    </row>
    <row r="8" spans="1:5">
      <c r="A8" t="s">
        <v>145</v>
      </c>
      <c r="B8" t="s">
        <v>130</v>
      </c>
      <c r="C8" t="s">
        <v>128</v>
      </c>
      <c r="D8" t="s">
        <v>332</v>
      </c>
      <c r="E8" t="str">
        <f>IF(C8="Ready for Release in Prod","Blocked in Prod",IF(C8="RELEASED IN PROD","Released",IF(LEFT(D8,3)="Yes","Blocked - Build/QA",IF(C8="NOT STARTED","Not Started",C8))))</f>
        <v>Blocked in Prod</v>
      </c>
    </row>
    <row r="9" spans="1:5">
      <c r="A9" t="s">
        <v>148</v>
      </c>
      <c r="B9" t="s">
        <v>130</v>
      </c>
      <c r="C9" t="s">
        <v>128</v>
      </c>
      <c r="D9" t="s">
        <v>332</v>
      </c>
      <c r="E9" t="str">
        <f>IF(C9="Ready for Release in Prod","Blocked in Prod",IF(C9="RELEASED IN PROD","Released",IF(LEFT(D9,3)="Yes","Blocked - Build/QA",IF(C9="NOT STARTED","Not Started",C9))))</f>
        <v>Blocked in Prod</v>
      </c>
    </row>
    <row r="10" spans="1:5">
      <c r="A10" t="s">
        <v>149</v>
      </c>
      <c r="B10" t="s">
        <v>130</v>
      </c>
      <c r="C10" t="s">
        <v>128</v>
      </c>
      <c r="D10" t="s">
        <v>332</v>
      </c>
      <c r="E10" t="str">
        <f>IF(C10="Ready for Release in Prod","Blocked in Prod",IF(C10="RELEASED IN PROD","Released",IF(LEFT(D10,3)="Yes","Blocked - Build/QA",IF(C10="NOT STARTED","Not Started",C10))))</f>
        <v>Blocked in Prod</v>
      </c>
    </row>
    <row r="11" spans="1:5">
      <c r="A11" t="s">
        <v>152</v>
      </c>
      <c r="B11" t="s">
        <v>130</v>
      </c>
      <c r="C11" t="s">
        <v>128</v>
      </c>
      <c r="D11" t="s">
        <v>332</v>
      </c>
      <c r="E11" t="str">
        <f>IF(C11="Ready for Release in Prod","Blocked in Prod",IF(C11="RELEASED IN PROD","Released",IF(LEFT(D11,3)="Yes","Blocked - Build/QA",IF(C11="NOT STARTED","Not Started",C11))))</f>
        <v>Blocked in Prod</v>
      </c>
    </row>
    <row r="12" spans="1:5">
      <c r="A12" t="s">
        <v>155</v>
      </c>
      <c r="B12" t="s">
        <v>130</v>
      </c>
      <c r="C12" t="s">
        <v>128</v>
      </c>
      <c r="D12" t="s">
        <v>332</v>
      </c>
      <c r="E12" t="str">
        <f>IF(C12="Ready for Release in Prod","Blocked in Prod",IF(C12="RELEASED IN PROD","Released",IF(LEFT(D12,3)="Yes","Blocked - Build/QA",IF(C12="NOT STARTED","Not Started",C12))))</f>
        <v>Blocked in Prod</v>
      </c>
    </row>
    <row r="13" spans="1:5">
      <c r="A13" t="s">
        <v>156</v>
      </c>
      <c r="B13" t="s">
        <v>130</v>
      </c>
      <c r="C13" t="s">
        <v>128</v>
      </c>
      <c r="D13" t="s">
        <v>332</v>
      </c>
      <c r="E13" t="str">
        <f>IF(C13="Ready for Release in Prod","Blocked in Prod",IF(C13="RELEASED IN PROD","Released",IF(LEFT(D13,3)="Yes","Blocked - Build/QA",IF(C13="NOT STARTED","Not Started",C13))))</f>
        <v>Blocked in Prod</v>
      </c>
    </row>
    <row r="14" spans="1:5">
      <c r="A14" t="s">
        <v>158</v>
      </c>
      <c r="B14" t="s">
        <v>130</v>
      </c>
      <c r="C14" t="s">
        <v>128</v>
      </c>
      <c r="D14" t="s">
        <v>332</v>
      </c>
      <c r="E14" t="str">
        <f>IF(C14="Ready for Release in Prod","Blocked in Prod",IF(C14="RELEASED IN PROD","Released",IF(LEFT(D14,3)="Yes","Blocked - Build/QA",IF(C14="NOT STARTED","Not Started",C14))))</f>
        <v>Blocked in Prod</v>
      </c>
    </row>
    <row r="15" spans="1:5">
      <c r="A15" t="s">
        <v>160</v>
      </c>
      <c r="B15" t="s">
        <v>130</v>
      </c>
      <c r="C15" t="s">
        <v>128</v>
      </c>
      <c r="D15" t="s">
        <v>332</v>
      </c>
      <c r="E15" t="str">
        <f>IF(C15="Ready for Release in Prod","Blocked in Prod",IF(C15="RELEASED IN PROD","Released",IF(LEFT(D15,3)="Yes","Blocked - Build/QA",IF(C15="NOT STARTED","Not Started",C15))))</f>
        <v>Blocked in Prod</v>
      </c>
    </row>
    <row r="16" spans="1:5">
      <c r="A16" t="s">
        <v>163</v>
      </c>
      <c r="B16" t="s">
        <v>166</v>
      </c>
      <c r="C16" t="s">
        <v>204</v>
      </c>
      <c r="D16" t="s">
        <v>460</v>
      </c>
      <c r="E16" t="str">
        <f>IF(C16="Ready for Release in Prod","Blocked in Prod",IF(C16="RELEASED IN PROD","Released",IF(LEFT(D16,3)="Yes","Blocked - Build/QA",IF(C16="NOT STARTED","Not Started",C16))))</f>
        <v>Blocked - Build/QA</v>
      </c>
    </row>
    <row r="17" spans="1:5">
      <c r="A17" t="s">
        <v>169</v>
      </c>
      <c r="B17" t="s">
        <v>166</v>
      </c>
      <c r="C17" t="s">
        <v>128</v>
      </c>
      <c r="D17" t="s">
        <v>332</v>
      </c>
      <c r="E17" t="str">
        <f>IF(C17="Ready for Release in Prod","Blocked in Prod",IF(C17="RELEASED IN PROD","Released",IF(LEFT(D17,3)="Yes","Blocked - Build/QA",IF(C17="NOT STARTED","Not Started",C17))))</f>
        <v>Blocked in Prod</v>
      </c>
    </row>
    <row r="18" spans="1:5">
      <c r="A18" t="s">
        <v>172</v>
      </c>
      <c r="B18" t="s">
        <v>166</v>
      </c>
      <c r="C18" t="s">
        <v>128</v>
      </c>
      <c r="D18" t="s">
        <v>332</v>
      </c>
      <c r="E18" t="str">
        <f>IF(C18="Ready for Release in Prod","Blocked in Prod",IF(C18="RELEASED IN PROD","Released",IF(LEFT(D18,3)="Yes","Blocked - Build/QA",IF(C18="NOT STARTED","Not Started",C18))))</f>
        <v>Blocked in Prod</v>
      </c>
    </row>
    <row r="19" spans="1:5">
      <c r="A19" t="s">
        <v>174</v>
      </c>
      <c r="B19" t="s">
        <v>166</v>
      </c>
      <c r="C19" t="s">
        <v>128</v>
      </c>
      <c r="D19" t="s">
        <v>332</v>
      </c>
      <c r="E19" t="str">
        <f>IF(C19="Ready for Release in Prod","Blocked in Prod",IF(C19="RELEASED IN PROD","Released",IF(LEFT(D19,3)="Yes","Blocked - Build/QA",IF(C19="NOT STARTED","Not Started",C19))))</f>
        <v>Blocked in Prod</v>
      </c>
    </row>
    <row r="20" spans="1:5">
      <c r="A20" t="s">
        <v>176</v>
      </c>
      <c r="B20" t="s">
        <v>166</v>
      </c>
      <c r="C20" t="s">
        <v>128</v>
      </c>
      <c r="D20" t="s">
        <v>332</v>
      </c>
      <c r="E20" t="str">
        <f>IF(C20="Ready for Release in Prod","Blocked in Prod",IF(C20="RELEASED IN PROD","Released",IF(LEFT(D20,3)="Yes","Blocked - Build/QA",IF(C20="NOT STARTED","Not Started",C20))))</f>
        <v>Blocked in Prod</v>
      </c>
    </row>
    <row r="21" spans="1:5">
      <c r="A21" t="s">
        <v>178</v>
      </c>
      <c r="B21" t="s">
        <v>166</v>
      </c>
      <c r="C21" t="s">
        <v>128</v>
      </c>
      <c r="D21" t="s">
        <v>332</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332</v>
      </c>
      <c r="E23" t="str">
        <f>IF(C23="Ready for Release in Prod","Blocked in Prod",IF(C23="RELEASED IN PROD","Released",IF(LEFT(D23,3)="Yes","Blocked - Build/QA",IF(C23="NOT STARTED","Not Started",C23))))</f>
        <v>Blocked in Prod</v>
      </c>
    </row>
    <row r="24" spans="1:5">
      <c r="A24" t="s">
        <v>183</v>
      </c>
      <c r="B24" t="s">
        <v>166</v>
      </c>
      <c r="C24" t="s">
        <v>128</v>
      </c>
      <c r="D24" t="s">
        <v>332</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332</v>
      </c>
      <c r="E26" t="str">
        <f>IF(C26="Ready for Release in Prod","Blocked in Prod",IF(C26="RELEASED IN PROD","Released",IF(LEFT(D26,3)="Yes","Blocked - Build/QA",IF(C26="NOT STARTED","Not Started",C26))))</f>
        <v>Blocked in Prod</v>
      </c>
    </row>
    <row r="27" spans="1:5">
      <c r="A27" t="s">
        <v>189</v>
      </c>
      <c r="B27" t="s">
        <v>166</v>
      </c>
      <c r="C27" t="s">
        <v>128</v>
      </c>
      <c r="D27" t="s">
        <v>332</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332</v>
      </c>
      <c r="E30" t="str">
        <f>IF(C30="Ready for Release in Prod","Blocked in Prod",IF(C30="RELEASED IN PROD","Released",IF(LEFT(D30,3)="Yes","Blocked - Build/QA",IF(C30="NOT STARTED","Not Started",C30))))</f>
        <v>Blocked in Prod</v>
      </c>
    </row>
    <row r="31" spans="1:5">
      <c r="A31" t="s">
        <v>203</v>
      </c>
      <c r="B31" t="s">
        <v>192</v>
      </c>
      <c r="C31" t="s">
        <v>204</v>
      </c>
      <c r="D31" t="s">
        <v>205</v>
      </c>
      <c r="E31" t="str">
        <f>IF(C31="Ready for Release in Prod","Blocked in Prod",IF(C31="RELEASED IN PROD","Released",IF(LEFT(D31,3)="Yes","Blocked - Build/QA",IF(C31="NOT STARTED","Not Started",C31))))</f>
        <v>Blocked - Build/QA</v>
      </c>
    </row>
    <row r="32" spans="1:5">
      <c r="A32" t="s">
        <v>207</v>
      </c>
      <c r="B32" t="s">
        <v>192</v>
      </c>
      <c r="C32" t="s">
        <v>181</v>
      </c>
      <c r="D32" t="s">
        <v>53</v>
      </c>
      <c r="E32" t="str">
        <f>IF(C32="Ready for Release in Prod","Blocked in Prod",IF(C32="RELEASED IN PROD","Released",IF(LEFT(D32,3)="Yes","Blocked - Build/QA",IF(C32="NOT STARTED","Not Started",C32))))</f>
        <v>DPO Approval</v>
      </c>
    </row>
    <row r="33" spans="1:5">
      <c r="A33" t="s">
        <v>209</v>
      </c>
      <c r="B33" t="s">
        <v>192</v>
      </c>
      <c r="C33" t="s">
        <v>128</v>
      </c>
      <c r="D33" t="s">
        <v>332</v>
      </c>
      <c r="E33" t="str">
        <f>IF(C33="Ready for Release in Prod","Blocked in Prod",IF(C33="RELEASED IN PROD","Released",IF(LEFT(D33,3)="Yes","Blocked - Build/QA",IF(C33="NOT STARTED","Not Started",C33))))</f>
        <v>Blocked in Prod</v>
      </c>
    </row>
    <row r="34" spans="1:5">
      <c r="A34" t="s">
        <v>211</v>
      </c>
      <c r="B34" t="s">
        <v>192</v>
      </c>
      <c r="C34" t="s">
        <v>181</v>
      </c>
      <c r="D34" t="s">
        <v>214</v>
      </c>
      <c r="E34" t="str">
        <f>IF(C34="Ready for Release in Prod","Blocked in Prod",IF(C34="RELEASED IN PROD","Released",IF(LEFT(D34,3)="Yes","Blocked - Build/QA",IF(C34="NOT STARTED","Not Started",C34))))</f>
        <v>Blocked - Build/QA</v>
      </c>
    </row>
    <row r="35" spans="1:5">
      <c r="A35" t="s">
        <v>215</v>
      </c>
      <c r="B35" t="s">
        <v>192</v>
      </c>
      <c r="C35" t="s">
        <v>181</v>
      </c>
      <c r="D35" t="s">
        <v>53</v>
      </c>
      <c r="E35" t="str">
        <f>IF(C35="Ready for Release in Prod","Blocked in Prod",IF(C35="RELEASED IN PROD","Released",IF(LEFT(D35,3)="Yes","Blocked - Build/QA",IF(C35="NOT STARTED","Not Started",C35))))</f>
        <v>DPO Approval</v>
      </c>
    </row>
    <row r="36" spans="1:5">
      <c r="A36" t="s">
        <v>217</v>
      </c>
      <c r="B36" t="s">
        <v>192</v>
      </c>
      <c r="C36" t="s">
        <v>164</v>
      </c>
      <c r="D36" t="s">
        <v>53</v>
      </c>
      <c r="E36" t="str">
        <f>IF(C36="Ready for Release in Prod","Blocked in Prod",IF(C36="RELEASED IN PROD","Released",IF(LEFT(D36,3)="Yes","Blocked - Build/QA",IF(C36="NOT STARTED","Not Started",C36))))</f>
        <v>QA</v>
      </c>
    </row>
    <row r="37" spans="1:5">
      <c r="A37" t="s">
        <v>219</v>
      </c>
      <c r="B37" t="s">
        <v>192</v>
      </c>
      <c r="C37" t="s">
        <v>164</v>
      </c>
      <c r="D37" t="s">
        <v>53</v>
      </c>
      <c r="E37" t="str">
        <f>IF(C37="Ready for Release in Prod","Blocked in Prod",IF(C37="RELEASED IN PROD","Released",IF(LEFT(D37,3)="Yes","Blocked - Build/QA",IF(C37="NOT STARTED","Not Started",C37))))</f>
        <v>QA</v>
      </c>
    </row>
    <row r="38" spans="1:5">
      <c r="A38" t="s">
        <v>221</v>
      </c>
      <c r="B38" t="s">
        <v>192</v>
      </c>
      <c r="C38" t="s">
        <v>181</v>
      </c>
      <c r="D38" t="s">
        <v>53</v>
      </c>
      <c r="E38" t="str">
        <f>IF(C38="Ready for Release in Prod","Blocked in Prod",IF(C38="RELEASED IN PROD","Released",IF(LEFT(D38,3)="Yes","Blocked - Build/QA",IF(C38="NOT STARTED","Not Started",C38))))</f>
        <v>DPO Approval</v>
      </c>
    </row>
    <row r="39" spans="1:5">
      <c r="A39" t="s">
        <v>222</v>
      </c>
      <c r="B39" t="s">
        <v>192</v>
      </c>
      <c r="C39" t="s">
        <v>204</v>
      </c>
      <c r="D39" t="s">
        <v>53</v>
      </c>
      <c r="E39" t="str">
        <f>IF(C39="Ready for Release in Prod","Blocked in Prod",IF(C39="RELEASED IN PROD","Released",IF(LEFT(D39,3)="Yes","Blocked - Build/QA",IF(C39="NOT STARTED","Not Started",C39))))</f>
        <v>PBI Dev</v>
      </c>
    </row>
    <row r="40" spans="1:5">
      <c r="A40" t="s">
        <v>223</v>
      </c>
      <c r="B40" t="s">
        <v>192</v>
      </c>
      <c r="C40" t="s">
        <v>224</v>
      </c>
      <c r="D40" t="s">
        <v>53</v>
      </c>
      <c r="E40" t="str">
        <f>IF(C40="Ready for Release in Prod","Blocked in Prod",IF(C40="RELEASED IN PROD","Released",IF(LEFT(D40,3)="Yes","Blocked - Build/QA",IF(C40="NOT STARTED","Not Started",C40))))</f>
        <v>DB Dev</v>
      </c>
    </row>
    <row r="41" spans="1:5">
      <c r="A41" t="s">
        <v>226</v>
      </c>
      <c r="B41" t="s">
        <v>192</v>
      </c>
      <c r="C41" t="s">
        <v>204</v>
      </c>
      <c r="D41" t="s">
        <v>53</v>
      </c>
      <c r="E41" t="str">
        <f>IF(C41="Ready for Release in Prod","Blocked in Prod",IF(C41="RELEASED IN PROD","Released",IF(LEFT(D41,3)="Yes","Blocked - Build/QA",IF(C41="NOT STARTED","Not Started",C41))))</f>
        <v>PBI Dev</v>
      </c>
    </row>
    <row r="42" spans="1:5">
      <c r="A42" t="s">
        <v>231</v>
      </c>
      <c r="B42" t="s">
        <v>192</v>
      </c>
      <c r="C42" t="s">
        <v>232</v>
      </c>
      <c r="D42" t="s">
        <v>53</v>
      </c>
      <c r="E42" t="str">
        <f>IF(C42="Ready for Release in Prod","Blocked in Prod",IF(C42="RELEASED IN PROD","Released",IF(LEFT(D42,3)="Yes","Blocked - Build/QA",IF(C42="NOT STARTED","Not Started",C42))))</f>
        <v>Not Started</v>
      </c>
    </row>
    <row r="43" spans="1:5">
      <c r="A43" t="s">
        <v>235</v>
      </c>
      <c r="B43" t="s">
        <v>192</v>
      </c>
      <c r="C43" t="s">
        <v>204</v>
      </c>
      <c r="D43" t="s">
        <v>205</v>
      </c>
      <c r="E43" t="str">
        <f>IF(C43="Ready for Release in Prod","Blocked in Prod",IF(C43="RELEASED IN PROD","Released",IF(LEFT(D43,3)="Yes","Blocked - Build/QA",IF(C43="NOT STARTED","Not Started",C43))))</f>
        <v>Blocked - Build/QA</v>
      </c>
    </row>
    <row r="44" spans="1:5">
      <c r="A44" t="s">
        <v>236</v>
      </c>
      <c r="B44" t="s">
        <v>192</v>
      </c>
      <c r="C44" t="s">
        <v>181</v>
      </c>
      <c r="D44" t="s">
        <v>53</v>
      </c>
      <c r="E44" t="str">
        <f>IF(C44="Ready for Release in Prod","Blocked in Prod",IF(C44="RELEASED IN PROD","Released",IF(LEFT(D44,3)="Yes","Blocked - Build/QA",IF(C44="NOT STARTED","Not Started",C44))))</f>
        <v>DPO Approval</v>
      </c>
    </row>
    <row r="45" spans="1:5">
      <c r="A45" t="s">
        <v>239</v>
      </c>
      <c r="B45" t="s">
        <v>192</v>
      </c>
      <c r="C45" t="s">
        <v>204</v>
      </c>
      <c r="D45" t="s">
        <v>53</v>
      </c>
      <c r="E45" t="str">
        <f>IF(C45="Ready for Release in Prod","Blocked in Prod",IF(C45="RELEASED IN PROD","Released",IF(LEFT(D45,3)="Yes","Blocked - Build/QA",IF(C45="NOT STARTED","Not Started",C45))))</f>
        <v>PBI Dev</v>
      </c>
    </row>
    <row r="46" spans="1:5">
      <c r="A46" t="s">
        <v>240</v>
      </c>
      <c r="B46" t="s">
        <v>241</v>
      </c>
      <c r="C46" t="s">
        <v>164</v>
      </c>
      <c r="E46" t="str">
        <f>IF(C46="Ready for Release in Prod","Blocked in Prod",IF(C46="RELEASED IN PROD","Released",IF(LEFT(D46,3)="Yes","Blocked - Build/QA",IF(C46="NOT STARTED","Not Started",C46))))</f>
        <v>QA</v>
      </c>
    </row>
    <row r="47" spans="1:5">
      <c r="A47" t="s">
        <v>244</v>
      </c>
      <c r="B47" t="s">
        <v>241</v>
      </c>
      <c r="C47" t="s">
        <v>204</v>
      </c>
      <c r="E47" t="str">
        <f>IF(C47="Ready for Release in Prod","Blocked in Prod",IF(C47="RELEASED IN PROD","Released",IF(LEFT(D47,3)="Yes","Blocked - Build/QA",IF(C47="NOT STARTED","Not Started",C47))))</f>
        <v>PBI Dev</v>
      </c>
    </row>
    <row r="48" spans="1:5">
      <c r="A48" t="s">
        <v>245</v>
      </c>
      <c r="B48" t="s">
        <v>241</v>
      </c>
      <c r="C48" t="s">
        <v>232</v>
      </c>
      <c r="E48" t="str">
        <f>IF(C48="Ready for Release in Prod","Blocked in Prod",IF(C48="RELEASED IN PROD","Released",IF(LEFT(D48,3)="Yes","Blocked - Build/QA",IF(C48="NOT STARTED","Not Started",C48))))</f>
        <v>Not Started</v>
      </c>
    </row>
    <row r="49" spans="1:5">
      <c r="A49" t="s">
        <v>247</v>
      </c>
      <c r="B49" t="s">
        <v>241</v>
      </c>
      <c r="C49" t="s">
        <v>232</v>
      </c>
      <c r="E49" t="str">
        <f>IF(C49="Ready for Release in Prod","Blocked in Prod",IF(C49="RELEASED IN PROD","Released",IF(LEFT(D49,3)="Yes","Blocked - Build/QA",IF(C49="NOT STARTED","Not Started",C49))))</f>
        <v>Not Started</v>
      </c>
    </row>
    <row r="50" spans="1:5">
      <c r="A50" t="s">
        <v>248</v>
      </c>
      <c r="B50" t="s">
        <v>241</v>
      </c>
      <c r="C50" t="s">
        <v>232</v>
      </c>
      <c r="E50" t="str">
        <f>IF(C50="Ready for Release in Prod","Blocked in Prod",IF(C50="RELEASED IN PROD","Released",IF(LEFT(D50,3)="Yes","Blocked - Build/QA",IF(C50="NOT STARTED","Not Started",C50))))</f>
        <v>Not Started</v>
      </c>
    </row>
    <row r="51" spans="1:5">
      <c r="A51" t="s">
        <v>249</v>
      </c>
      <c r="B51" t="s">
        <v>241</v>
      </c>
      <c r="C51" t="s">
        <v>204</v>
      </c>
      <c r="D51" t="s">
        <v>214</v>
      </c>
      <c r="E51" t="str">
        <f>IF(C51="Ready for Release in Prod","Blocked in Prod",IF(C51="RELEASED IN PROD","Released",IF(LEFT(D51,3)="Yes","Blocked - Build/QA",IF(C51="NOT STARTED","Not Started",C51))))</f>
        <v>Blocked - Build/QA</v>
      </c>
    </row>
    <row r="52" spans="1:5">
      <c r="A52" t="s">
        <v>252</v>
      </c>
      <c r="B52" t="s">
        <v>241</v>
      </c>
      <c r="C52" t="s">
        <v>204</v>
      </c>
      <c r="E52" t="str">
        <f>IF(C52="Ready for Release in Prod","Blocked in Prod",IF(C52="RELEASED IN PROD","Released",IF(LEFT(D52,3)="Yes","Blocked - Build/QA",IF(C52="NOT STARTED","Not Started",C52))))</f>
        <v>PBI Dev</v>
      </c>
    </row>
    <row r="53" spans="1:5">
      <c r="A53" t="s">
        <v>255</v>
      </c>
      <c r="B53" t="s">
        <v>241</v>
      </c>
      <c r="C53" t="s">
        <v>232</v>
      </c>
      <c r="E53" t="str">
        <f>IF(C53="Ready for Release in Prod","Blocked in Prod",IF(C53="RELEASED IN PROD","Released",IF(LEFT(D53,3)="Yes","Blocked - Build/QA",IF(C53="NOT STARTED","Not Started",C53))))</f>
        <v>Not Started</v>
      </c>
    </row>
    <row r="54" spans="1:5">
      <c r="A54" t="s">
        <v>256</v>
      </c>
      <c r="B54" t="s">
        <v>241</v>
      </c>
      <c r="C54" t="s">
        <v>232</v>
      </c>
      <c r="E54" t="str">
        <f>IF(C54="Ready for Release in Prod","Blocked in Prod",IF(C54="RELEASED IN PROD","Released",IF(LEFT(D54,3)="Yes","Blocked - Build/QA",IF(C54="NOT STARTED","Not Started",C54))))</f>
        <v>Not Started</v>
      </c>
    </row>
    <row r="55" spans="1:5">
      <c r="A55" t="s">
        <v>258</v>
      </c>
      <c r="B55" t="s">
        <v>241</v>
      </c>
      <c r="C55" t="s">
        <v>224</v>
      </c>
      <c r="E55" t="str">
        <f>IF(C55="Ready for Release in Prod","Blocked in Prod",IF(C55="RELEASED IN PROD","Released",IF(LEFT(D55,3)="Yes","Blocked - Build/QA",IF(C55="NOT STARTED","Not Started",C55))))</f>
        <v>DB Dev</v>
      </c>
    </row>
    <row r="56" spans="1:5">
      <c r="A56" t="s">
        <v>260</v>
      </c>
      <c r="B56" t="s">
        <v>241</v>
      </c>
      <c r="C56" t="s">
        <v>204</v>
      </c>
      <c r="E56" t="str">
        <f>IF(C56="Ready for Release in Prod","Blocked in Prod",IF(C56="RELEASED IN PROD","Released",IF(LEFT(D56,3)="Yes","Blocked - Build/QA",IF(C56="NOT STARTED","Not Started",C56))))</f>
        <v>PBI Dev</v>
      </c>
    </row>
    <row r="57" spans="1:5">
      <c r="A57" t="s">
        <v>262</v>
      </c>
      <c r="B57" t="s">
        <v>241</v>
      </c>
      <c r="C57" t="s">
        <v>204</v>
      </c>
      <c r="E57" t="str">
        <f>IF(C57="Ready for Release in Prod","Blocked in Prod",IF(C57="RELEASED IN PROD","Released",IF(LEFT(D57,3)="Yes","Blocked - Build/QA",IF(C57="NOT STARTED","Not Started",C57))))</f>
        <v>PBI Dev</v>
      </c>
    </row>
    <row r="58" spans="1:5">
      <c r="A58" t="s">
        <v>263</v>
      </c>
      <c r="B58" t="s">
        <v>241</v>
      </c>
      <c r="C58" t="s">
        <v>232</v>
      </c>
      <c r="E58" t="str">
        <f>IF(C58="Ready for Release in Prod","Blocked in Prod",IF(C58="RELEASED IN PROD","Released",IF(LEFT(D58,3)="Yes","Blocked - Build/QA",IF(C58="NOT STARTED","Not Started",C58))))</f>
        <v>Not Started</v>
      </c>
    </row>
    <row r="59" spans="1:5">
      <c r="A59" t="s">
        <v>265</v>
      </c>
      <c r="B59" t="s">
        <v>490</v>
      </c>
      <c r="C59" t="s">
        <v>232</v>
      </c>
      <c r="E59" t="str">
        <f>IF(C59="Ready for Release in Prod","Blocked in Prod",IF(C59="RELEASED IN PROD","Released",IF(LEFT(D59,3)="Yes","Blocked - Build/QA",IF(C59="NOT STARTED","Not Started",C59))))</f>
        <v>Not Started</v>
      </c>
    </row>
    <row r="60" spans="1:5">
      <c r="A60" t="s">
        <v>269</v>
      </c>
      <c r="B60" t="s">
        <v>490</v>
      </c>
      <c r="C60" t="s">
        <v>232</v>
      </c>
      <c r="E60" t="str">
        <f>IF(C60="Ready for Release in Prod","Blocked in Prod",IF(C60="RELEASED IN PROD","Released",IF(LEFT(D60,3)="Yes","Blocked - Build/QA",IF(C60="NOT STARTED","Not Started",C60))))</f>
        <v>Not Started</v>
      </c>
    </row>
    <row r="61" spans="1:5">
      <c r="A61" t="s">
        <v>270</v>
      </c>
      <c r="B61" t="s">
        <v>490</v>
      </c>
      <c r="C61" t="s">
        <v>232</v>
      </c>
      <c r="E61" t="str">
        <f>IF(C61="Ready for Release in Prod","Blocked in Prod",IF(C61="RELEASED IN PROD","Released",IF(LEFT(D61,3)="Yes","Blocked - Build/QA",IF(C61="NOT STARTED","Not Started",C61))))</f>
        <v>Not Started</v>
      </c>
    </row>
    <row r="62" spans="1:5">
      <c r="A62" t="s">
        <v>272</v>
      </c>
      <c r="B62" t="s">
        <v>490</v>
      </c>
      <c r="C62" t="s">
        <v>232</v>
      </c>
      <c r="E62" t="str">
        <f>IF(C62="Ready for Release in Prod","Blocked in Prod",IF(C62="RELEASED IN PROD","Released",IF(LEFT(D62,3)="Yes","Blocked - Build/QA",IF(C62="NOT STARTED","Not Started",C62))))</f>
        <v>Not Started</v>
      </c>
    </row>
    <row r="63" spans="1:5">
      <c r="A63" t="s">
        <v>273</v>
      </c>
      <c r="B63" t="s">
        <v>490</v>
      </c>
      <c r="C63" t="s">
        <v>232</v>
      </c>
      <c r="E63" t="str">
        <f>IF(C63="Ready for Release in Prod","Blocked in Prod",IF(C63="RELEASED IN PROD","Released",IF(LEFT(D63,3)="Yes","Blocked - Build/QA",IF(C63="NOT STARTED","Not Started",C63))))</f>
        <v>Not Started</v>
      </c>
    </row>
    <row r="64" spans="1:5">
      <c r="A64" t="s">
        <v>275</v>
      </c>
      <c r="B64" t="s">
        <v>490</v>
      </c>
      <c r="C64" t="s">
        <v>232</v>
      </c>
      <c r="E64" t="str">
        <f>IF(C64="Ready for Release in Prod","Blocked in Prod",IF(C64="RELEASED IN PROD","Released",IF(LEFT(D64,3)="Yes","Blocked - Build/QA",IF(C64="NOT STARTED","Not Started",C64))))</f>
        <v>Not Started</v>
      </c>
    </row>
    <row r="65" spans="1:5">
      <c r="A65" t="s">
        <v>278</v>
      </c>
      <c r="B65" t="s">
        <v>490</v>
      </c>
      <c r="C65" t="s">
        <v>232</v>
      </c>
      <c r="E65" t="str">
        <f>IF(C65="Ready for Release in Prod","Blocked in Prod",IF(C65="RELEASED IN PROD","Released",IF(LEFT(D65,3)="Yes","Blocked - Build/QA",IF(C65="NOT STARTED","Not Started",C65))))</f>
        <v>Not Started</v>
      </c>
    </row>
    <row r="66" spans="1:5">
      <c r="A66" t="s">
        <v>280</v>
      </c>
      <c r="B66" t="s">
        <v>490</v>
      </c>
      <c r="C66" t="s">
        <v>232</v>
      </c>
      <c r="E66" t="str">
        <f>IF(C66="Ready for Release in Prod","Blocked in Prod",IF(C66="RELEASED IN PROD","Released",IF(LEFT(D66,3)="Yes","Blocked - Build/QA",IF(C66="NOT STARTED","Not Started",C66))))</f>
        <v>Not Started</v>
      </c>
    </row>
    <row r="67" spans="1:5">
      <c r="A67" t="s">
        <v>282</v>
      </c>
      <c r="B67" t="s">
        <v>490</v>
      </c>
      <c r="C67" t="s">
        <v>232</v>
      </c>
      <c r="E67" t="str">
        <f>IF(C67="Ready for Release in Prod","Blocked in Prod",IF(C67="RELEASED IN PROD","Released",IF(LEFT(D67,3)="Yes","Blocked - Build/QA",IF(C67="NOT STARTED","Not Started",C67))))</f>
        <v>Not Started</v>
      </c>
    </row>
    <row r="68" spans="1:5">
      <c r="A68" t="s">
        <v>283</v>
      </c>
      <c r="B68" t="s">
        <v>490</v>
      </c>
      <c r="C68" t="s">
        <v>232</v>
      </c>
      <c r="E68" t="str">
        <f>IF(C68="Ready for Release in Prod","Blocked in Prod",IF(C68="RELEASED IN PROD","Released",IF(LEFT(D68,3)="Yes","Blocked - Build/QA",IF(C68="NOT STARTED","Not Started",C68))))</f>
        <v>Not Started</v>
      </c>
    </row>
    <row r="69" spans="1:5">
      <c r="A69" t="s">
        <v>286</v>
      </c>
      <c r="B69" t="s">
        <v>490</v>
      </c>
      <c r="C69" t="s">
        <v>232</v>
      </c>
      <c r="E69" t="str">
        <f>IF(C69="Ready for Release in Prod","Blocked in Prod",IF(C69="RELEASED IN PROD","Released",IF(LEFT(D69,3)="Yes","Blocked - Build/QA",IF(C69="NOT STARTED","Not Started",C69))))</f>
        <v>Not Started</v>
      </c>
    </row>
    <row r="70" spans="1:5">
      <c r="A70" t="s">
        <v>288</v>
      </c>
      <c r="B70" t="s">
        <v>490</v>
      </c>
      <c r="C70" t="s">
        <v>232</v>
      </c>
      <c r="E70" t="str">
        <f>IF(C70="Ready for Release in Prod","Blocked in Prod",IF(C70="RELEASED IN PROD","Released",IF(LEFT(D70,3)="Yes","Blocked - Build/QA",IF(C70="NOT STARTED","Not Started",C70))))</f>
        <v>Not Started</v>
      </c>
    </row>
    <row r="71" spans="1:5">
      <c r="A71" t="s">
        <v>291</v>
      </c>
      <c r="B71" t="s">
        <v>490</v>
      </c>
      <c r="C71" t="s">
        <v>232</v>
      </c>
      <c r="E71" t="str">
        <f>IF(C71="Ready for Release in Prod","Blocked in Prod",IF(C71="RELEASED IN PROD","Released",IF(LEFT(D71,3)="Yes","Blocked - Build/QA",IF(C71="NOT STARTED","Not Started",C71))))</f>
        <v>Not Started</v>
      </c>
    </row>
    <row r="72" spans="1:5">
      <c r="A72" t="s">
        <v>293</v>
      </c>
      <c r="B72" t="s">
        <v>490</v>
      </c>
      <c r="C72" t="s">
        <v>232</v>
      </c>
      <c r="E72" t="str">
        <f>IF(C72="Ready for Release in Prod","Blocked in Prod",IF(C72="RELEASED IN PROD","Released",IF(LEFT(D72,3)="Yes","Blocked - Build/QA",IF(C72="NOT STARTED","Not Started",C72))))</f>
        <v>Not Started</v>
      </c>
    </row>
    <row r="73" spans="1:5">
      <c r="A73" t="s">
        <v>296</v>
      </c>
      <c r="B73" t="s">
        <v>490</v>
      </c>
      <c r="C73" t="s">
        <v>232</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2026-10-01T17:48:53Z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