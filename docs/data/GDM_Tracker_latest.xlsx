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342" documentId="13_ncr:1_{52745E9B-3AA1-4770-AAD3-E6166BFC13AE}" xr6:coauthVersionLast="47" xr6:coauthVersionMax="47" xr10:uidLastSave="{DD97FBF2-6BC7-45DE-B0A2-877F8EF368F7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state="hidden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G72" i="2"/>
  <c r="D72" i="2"/>
  <c r="AG71" i="2"/>
  <c r="D71" i="2"/>
  <c r="AG70" i="2"/>
  <c r="D70" i="2"/>
  <c r="AG69" i="2"/>
  <c r="D69" i="2"/>
  <c r="AG68" i="2"/>
  <c r="D68" i="2"/>
  <c r="AG67" i="2"/>
  <c r="D67" i="2"/>
  <c r="AG66" i="2"/>
  <c r="D66" i="2"/>
  <c r="AG65" i="2"/>
  <c r="D65" i="2"/>
  <c r="AG64" i="2"/>
  <c r="D64" i="2"/>
  <c r="AG63" i="2"/>
  <c r="D63" i="2"/>
  <c r="AG62" i="2"/>
  <c r="D62" i="2"/>
  <c r="AG61" i="2"/>
  <c r="D61" i="2"/>
  <c r="AG60" i="2"/>
  <c r="D60" i="2"/>
  <c r="AG59" i="2"/>
  <c r="D59" i="2"/>
  <c r="AG58" i="2"/>
  <c r="D58" i="2"/>
  <c r="AG57" i="2"/>
  <c r="D57" i="2"/>
  <c r="AG56" i="2"/>
  <c r="D56" i="2"/>
  <c r="D55" i="2"/>
  <c r="AG54" i="2"/>
  <c r="D54" i="2"/>
  <c r="AG53" i="2"/>
  <c r="D53" i="2"/>
  <c r="AG52" i="2"/>
  <c r="D52" i="2"/>
  <c r="AG51" i="2"/>
  <c r="D51" i="2"/>
  <c r="AG50" i="2"/>
  <c r="D50" i="2"/>
  <c r="AG49" i="2"/>
  <c r="D49" i="2"/>
  <c r="AG48" i="2"/>
  <c r="D48" i="2"/>
  <c r="AG47" i="2"/>
  <c r="D47" i="2"/>
  <c r="AG46" i="2"/>
  <c r="D46" i="2"/>
  <c r="AG45" i="2"/>
  <c r="D45" i="2"/>
  <c r="AG44" i="2"/>
  <c r="D44" i="2"/>
  <c r="AG43" i="2"/>
  <c r="D43" i="2"/>
  <c r="D42" i="2"/>
  <c r="AG41" i="2"/>
  <c r="D41" i="2"/>
  <c r="AG40" i="2"/>
  <c r="AG39" i="2"/>
  <c r="D39" i="2"/>
  <c r="AG38" i="2"/>
  <c r="D38" i="2"/>
  <c r="AG37" i="2"/>
  <c r="D37" i="2"/>
  <c r="AG36" i="2"/>
  <c r="D36" i="2"/>
  <c r="AG35" i="2"/>
  <c r="D35" i="2"/>
  <c r="AG34" i="2"/>
  <c r="D34" i="2"/>
  <c r="AG33" i="2"/>
  <c r="D33" i="2"/>
  <c r="AG32" i="2"/>
  <c r="D32" i="2"/>
  <c r="AG31" i="2"/>
  <c r="D31" i="2"/>
  <c r="AG30" i="2"/>
  <c r="D30" i="2"/>
  <c r="AG29" i="2"/>
  <c r="D29" i="2"/>
  <c r="AG28" i="2"/>
  <c r="D28" i="2"/>
  <c r="AG27" i="2"/>
  <c r="D27" i="2"/>
  <c r="AG26" i="2"/>
  <c r="D26" i="2"/>
  <c r="AG25" i="2"/>
  <c r="D25" i="2"/>
  <c r="AG24" i="2"/>
  <c r="D24" i="2"/>
  <c r="AG23" i="2"/>
  <c r="D23" i="2"/>
  <c r="AG22" i="2"/>
  <c r="D22" i="2"/>
  <c r="AG21" i="2"/>
  <c r="D21" i="2"/>
  <c r="AG20" i="2"/>
  <c r="D20" i="2"/>
  <c r="AG15" i="2"/>
  <c r="D15" i="2"/>
  <c r="AG14" i="2"/>
  <c r="D14" i="2"/>
  <c r="AG13" i="2"/>
  <c r="D13" i="2"/>
  <c r="AG12" i="2"/>
  <c r="D12" i="2"/>
  <c r="AG11" i="2"/>
  <c r="D11" i="2"/>
  <c r="AG10" i="2"/>
  <c r="D10" i="2"/>
  <c r="AG5" i="2"/>
  <c r="D5" i="2"/>
  <c r="AG4" i="2"/>
  <c r="D4" i="2"/>
  <c r="AG3" i="2"/>
  <c r="D3" i="2"/>
  <c r="AG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<sst xmlns="http://schemas.openxmlformats.org/spreadsheetml/2006/main" count="2168" uniqueCount="261">
  <si>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</si>
  <si>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</si>
  <si>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</si>
  <si>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</si>
  <si>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</si>
  <si>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</si>
  <si>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</si>
  <si>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</si>
  <si>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</si>
  <si>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</si>
  <si>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</si>
  <si>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</si>
  <si>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 Date</t>
  </si>
  <si>
    <t>DB Dev Reforecast Completion Date</t>
  </si>
  <si>
    <t>DB Dev Actual Completion Date</t>
  </si>
  <si>
    <t>Sprint DB</t>
  </si>
  <si>
    <t>PBI Dev Baseline Completion Date</t>
  </si>
  <si>
    <t>PBI Dev Reforecast Completion Date</t>
  </si>
  <si>
    <t>PBI Dev Actual Completion Date</t>
  </si>
  <si>
    <t>Sprint PBI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</si>
  <si>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</si>
  <si>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</si>
  <si>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</si>
  <si>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</si>
  <si>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</si>
  <si>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</si>
  <si>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</si>
  <si>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</si>
  <si>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</si>
  <si>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</si>
  <si>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</si>
  <si>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</si>
  <si>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</si>
  <si>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</si>
  <si>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</si>
  <si>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</si>
  <si>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</si>
  <si>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</si>
  <si>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</si>
  <si>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</si>
  <si>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</si>
  <si>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</si>
  <si>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</si>
  <si>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</si>
  <si>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</si>
  <si>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</si>
  <si>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</si>
  <si>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</si>
  <si>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</si>
  <si>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</si>
  <si>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</si>
  <si>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</si>
  <si>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</si>
  <si>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</si>
  <si>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</si>
  <si>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</si>
  <si>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</si>
  <si>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</si>
  <si>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</si>
  <si>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</si>
  <si>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</si>
  <si>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</si>
  <si>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</si>
  <si>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</si>
  <si>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</si>
  <si>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</si>
  <si>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</si>
  <si>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Rupa</t>
  </si>
  <si>
    <t>Shraddha</t>
  </si>
  <si>
    <t>May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</si>
  <si>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</si>
  <si>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</si>
  <si>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</si>
  <si>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</si>
  <si>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</si>
  <si>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</si>
  <si>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</si>
  <si>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</si>
  <si>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</si>
  <si>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</si>
  <si>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</si>
  <si>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</si>
  <si>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</si>
  <si>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</si>
  <si>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</si>
  <si>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</si>
  <si>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</si>
  <si>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</si>
  <si>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</si>
  <si>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</si>
  <si>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</si>
  <si>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</si>
  <si>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</si>
  <si>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Geetha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</si>
  <si>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</si>
  <si>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</si>
  <si>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</si>
  <si>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</si>
  <si>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</si>
  <si>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</si>
  <si>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</si>
  <si>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</si>
  <si>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</si>
  <si>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</si>
  <si>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</si>
  <si>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</si>
  <si>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</si>
  <si>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</si>
  <si>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</si>
  <si>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</si>
  <si>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</si>
  <si>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</si>
  <si>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</si>
  <si>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</si>
  <si>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</si>
  <si>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</si>
  <si>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</si>
  <si>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S4, S6</t>
  </si>
  <si>
    <t>Blocked with  https://jira.prod.nationalgrid.com/browse/GDMP-2875</t>
  </si>
  <si>
    <t>RPT_02_Warning Tag HEFPA</t>
  </si>
  <si>
    <t>S4, S6, S1</t>
  </si>
  <si>
    <t>Count Msimatches Found between ODS and GDM
[QA note, 07/2026]: Observing count mismatch, Sree looking into it (07/22/2026).</t>
  </si>
  <si>
    <t>RPT_02_Warning tag Printout</t>
  </si>
  <si>
    <t>PBI Dev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</si>
  <si>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</si>
  <si>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</si>
  <si>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S4, S6, S1, S2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</si>
  <si>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</si>
  <si>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</si>
  <si>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</si>
  <si>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</si>
  <si>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DB Dev</t>
  </si>
  <si>
    <t>Bardia</t>
  </si>
  <si>
    <t>Yes – needs PBI Dev to fix</t>
  </si>
  <si>
    <t>GDM_RPT.VW_REQUIRED_REGULATOR_INSPECTIONS_PERFORMED_CONTROL
[QA note, 07/2026]: Defects found and sent back for development.</t>
  </si>
  <si>
    <t>RPT_02_Service Regulator Inspections</t>
  </si>
  <si>
    <t>QA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</si>
  <si>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</si>
  <si>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</si>
  <si>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</si>
  <si>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</si>
  <si>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</si>
  <si>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</si>
  <si>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</si>
  <si>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</si>
  <si>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PI2, S1, S2</t>
  </si>
  <si>
    <t>RPT_02_Fixed Factor Printout</t>
  </si>
  <si>
    <t>PI2, S2</t>
  </si>
  <si>
    <t>[QA note, 07/2026]: Development is completed, QA validation in progress.</t>
  </si>
  <si>
    <t>RPT_02_Work Order Completion Printout</t>
  </si>
  <si>
    <t>Blocked on requirements- Need Business confirmation</t>
  </si>
  <si>
    <t>Yes – other</t>
  </si>
  <si>
    <t>RPT_02_GRO Control</t>
  </si>
  <si>
    <t>RPT_02_GRO Monitor</t>
  </si>
  <si>
    <t>PI2, S2,S3</t>
  </si>
  <si>
    <t>RPT_02_Public Buildings Inspection</t>
  </si>
  <si>
    <t>16,17,24, 28</t>
  </si>
  <si>
    <t>August</t>
  </si>
  <si>
    <t>RPT_02_Investigate Wall Check and Service Check</t>
  </si>
  <si>
    <t>NOT STARTED</t>
  </si>
  <si>
    <t>RPT_02_Cut Out Orders</t>
  </si>
  <si>
    <t>RPT_02_Gas Trouble</t>
  </si>
  <si>
    <t>RPT_02_Wall Check Control</t>
  </si>
  <si>
    <t>PI2, S3</t>
  </si>
  <si>
    <t>RPT_02_High Pressure Steel Inside Inspection</t>
  </si>
  <si>
    <t>RPT_02_Large Gas Outage</t>
  </si>
  <si>
    <t>PI2, S4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</si>
  <si>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</si>
  <si>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</si>
  <si>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</si>
  <si>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</si>
  <si>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</si>
  <si>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</si>
  <si>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</si>
  <si>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</si>
  <si>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</si>
  <si>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</si>
  <si>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</si>
  <si>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</si>
  <si>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</si>
  <si>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</si>
  <si>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</si>
  <si>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</si>
  <si>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</si>
  <si>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</si>
  <si>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</si>
  <si>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</si>
  <si>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</si>
  <si>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</si>
  <si>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</si>
  <si>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</si>
  <si>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</si>
  <si>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</si>
  <si>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</si>
  <si>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</si>
  <si>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</si>
  <si>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</si>
  <si>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</si>
  <si>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</si>
  <si>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</si>
  <si>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</si>
  <si>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</si>
  <si>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</si>
  <si>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</si>
  <si>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</si>
  <si>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</si>
  <si>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</si>
  <si>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</si>
  <si>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</si>
  <si>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</si>
  <si>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</si>
  <si>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</si>
  <si>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</si>
  <si>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</si>
  <si>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</si>
  <si>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</si>
  <si>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</si>
  <si>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</si>
  <si>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</si>
  <si>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</si>
  <si>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</si>
  <si>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</si>
  <si>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>yes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</si>
  <si>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</si>
  <si>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</si>
  <si>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</si>
  <si>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</si>
  <si>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</si>
  <si>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</si>
  <si>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</si>
  <si>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</si>
  <si>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</si>
  <si>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</si>
  <si>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</si>
  <si>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</si>
  <si>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</si>
  <si>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</si>
  <si>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</si>
  <si>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</si>
  <si>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</si>
  <si>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</si>
  <si>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</si>
  <si>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</si>
  <si>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</si>
  <si>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</si>
  <si>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</si>
  <si>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</si>
  <si>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</si>
  <si>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</si>
  <si>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</si>
  <si>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</si>
  <si>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</si>
  <si>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</si>
  <si>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</si>
  <si>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</si>
  <si>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needs DB Dev to fix</t>
  </si>
  <si>
    <t>Did not pass re-test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</si>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</sst>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3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2" xfId="0" applyFont="1" applyBorder="1" applyProtection="1">
      <protection locked="0"/>
    </xf>
    <xf numFmtId="0" fontId="6" fillId="0" borderId="14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3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6" borderId="0" xfId="0" applyFont="1" applyFill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14" fontId="6" fillId="0" borderId="7" xfId="0" applyNumberFormat="1" applyFont="1" applyBorder="1"/>
    <xf numFmtId="0" fontId="11" fillId="9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0" fontId="11" fillId="10" borderId="9" xfId="0" applyFont="1" applyFill="1" applyBorder="1" applyAlignment="1">
      <alignment vertical="center" wrapText="1"/>
    </xf>
    <xf numFmtId="14" fontId="6" fillId="0" borderId="9" xfId="0" applyNumberFormat="1" applyFont="1" applyBorder="1"/>
    <xf numFmtId="0" fontId="11" fillId="7" borderId="6" xfId="0" applyFont="1" applyFill="1" applyBorder="1" applyAlignment="1">
      <alignment vertical="center" wrapText="1"/>
    </xf>
    <xf numFmtId="14" fontId="6" fillId="0" borderId="6" xfId="0" applyNumberFormat="1" applyFont="1" applyBorder="1"/>
    <xf numFmtId="14" fontId="18" fillId="0" borderId="0" xfId="0" applyNumberFormat="1" applyFont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0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6">
  <autoFilter ref="A1:AH73" xr:uid="{00000000-0009-0000-0100-000001000000}">
    <filterColumn colId="0">
      <filters>
        <filter val="CMS"/>
      </filters>
    </filterColumn>
  </autoFilter>
  <tableColumns count="34">
    <tableColumn id="1" xr3:uid="{00000000-0010-0000-0000-000001000000}" name="Domain" dataDxfId="45"/>
    <tableColumn id="2" xr3:uid="{00000000-0010-0000-0000-000002000000}" name="Report Name" dataDxfId="44"/>
    <tableColumn id="3" xr3:uid="{00000000-0010-0000-0000-000003000000}" name="Current Status" dataDxfId="43"/>
    <tableColumn id="4" xr3:uid="{00000000-0010-0000-0000-000004000000}" name="Status Flag" dataDxfId="42"/>
    <tableColumn id="5" xr3:uid="{00000000-0010-0000-0000-000005000000}" name="Business Value Rank" dataDxfId="41"/>
    <tableColumn id="6" xr3:uid="{00000000-0010-0000-0000-000006000000}" name="PO" dataDxfId="40"/>
    <tableColumn id="7" xr3:uid="{00000000-0010-0000-0000-000007000000}" name="DB Developer" dataDxfId="39"/>
    <tableColumn id="8" xr3:uid="{00000000-0010-0000-0000-000008000000}" name="PBI Developer" dataDxfId="38"/>
    <tableColumn id="9" xr3:uid="{00000000-0010-0000-0000-000009000000}" name="QA Tester" dataDxfId="37"/>
    <tableColumn id="10" xr3:uid="{00000000-0010-0000-0000-00000A000000}" name="Schema" dataDxfId="36"/>
    <tableColumn id="11" xr3:uid="{00000000-0010-0000-0000-00000B000000}" name="Plan Delivery Date" dataDxfId="35"/>
    <tableColumn id="12" xr3:uid="{00000000-0010-0000-0000-00000C000000}" name="Plan Delivery Month" dataDxfId="34"/>
    <tableColumn id="13" xr3:uid="{00000000-0010-0000-0000-00000D000000}" name="DB Dev Baseline Completion Date" dataDxfId="33"/>
    <tableColumn id="30" xr3:uid="{00000000-0010-0000-0000-00001E000000}" name="DB Dev Reforecast Completion Date" dataDxfId="32"/>
    <tableColumn id="14" xr3:uid="{00000000-0010-0000-0000-00000E000000}" name="DB Dev Actual Completion Date" dataDxfId="31"/>
    <tableColumn id="28" xr3:uid="{EFCDFAEE-1B00-42CE-9649-7541F5DDC136}" name="Sprint DB" dataDxfId="30"/>
    <tableColumn id="15" xr3:uid="{00000000-0010-0000-0000-00000F000000}" name="PBI Dev Baseline Completion Date" dataDxfId="29"/>
    <tableColumn id="31" xr3:uid="{00000000-0010-0000-0000-00001F000000}" name="PBI Dev Reforecast Completion Date" dataDxfId="28"/>
    <tableColumn id="16" xr3:uid="{00000000-0010-0000-0000-000010000000}" name="PBI Dev Actual Completion Date" dataDxfId="27"/>
    <tableColumn id="29" xr3:uid="{4630D178-9B47-4360-A40B-22C7384DB9C9}" name="Sprint PBI" dataDxfId="26"/>
    <tableColumn id="17" xr3:uid="{00000000-0010-0000-0000-000011000000}" name="QA Baseline Completion Date" dataDxfId="25"/>
    <tableColumn id="32" xr3:uid="{00000000-0010-0000-0000-000020000000}" name="QA Reforecast Completion Date" dataDxfId="24"/>
    <tableColumn id="18" xr3:uid="{00000000-0010-0000-0000-000012000000}" name="QA Actual Completion Date" dataDxfId="23"/>
    <tableColumn id="34" xr3:uid="{70C5E8CB-08B0-4A84-9B68-89630FC3C5C7}" name="Sprint QA" dataDxfId="22"/>
    <tableColumn id="19" xr3:uid="{00000000-0010-0000-0000-000013000000}" name="DPO Approval Baseline Completion Date" dataDxfId="21"/>
    <tableColumn id="33" xr3:uid="{00000000-0010-0000-0000-000021000000}" name="DPO Approval Reforecast Completion Date" dataDxfId="20"/>
    <tableColumn id="20" xr3:uid="{00000000-0010-0000-0000-000014000000}" name="DPO Approval Reviewer" dataDxfId="19"/>
    <tableColumn id="21" xr3:uid="{00000000-0010-0000-0000-000015000000}" name="Confirmed Deployed?" dataDxfId="18"/>
    <tableColumn id="22" xr3:uid="{00000000-0010-0000-0000-000016000000}" name="Confirmed Deployed Date" dataDxfId="17"/>
    <tableColumn id="23" xr3:uid="{00000000-0010-0000-0000-000017000000}" name="UAT Report URL" dataDxfId="16"/>
    <tableColumn id="24" xr3:uid="{00000000-0010-0000-0000-000018000000}" name="Production URL" dataDxfId="15"/>
    <tableColumn id="25" xr3:uid="{00000000-0010-0000-0000-000019000000}" name="Blocked?" dataDxfId="14"/>
    <tableColumn id="26" xr3:uid="{00000000-0010-0000-0000-00001A000000}" name="Data Check" dataDxfId="13"/>
    <tableColumn id="27" xr3:uid="{00000000-0010-0000-0000-00001B000000}" name="Comments" dataDxfId="12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="60" zoomScaleNormal="60" workbookViewId="0">
      <pane xSplit="2" ySplit="1" topLeftCell="P29" activePane="bottomRight" state="frozen"/>
      <selection pane="bottomRight" activeCell="A34" sqref="A34:XFD39"/>
      <selection pane="bottomLeft"/>
      <selection pane="topRight"/>
    </sheetView>
  </sheetViews>
  <sheetFormatPr defaultRowHeight="14.45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8" width="13" customWidth="1"/>
    <col min="9" max="9" width="11" customWidth="1"/>
    <col min="10" max="10" width="10" customWidth="1"/>
    <col min="11" max="11" width="15" customWidth="1"/>
    <col min="12" max="12" width="10.85546875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49" t="s">
        <v>10</v>
      </c>
      <c r="L1" s="52" t="s">
        <v>11</v>
      </c>
      <c r="M1" s="59" t="s">
        <v>12</v>
      </c>
      <c r="N1" s="15" t="s">
        <v>13</v>
      </c>
      <c r="O1" s="15" t="s">
        <v>14</v>
      </c>
      <c r="P1" s="15" t="s">
        <v>15</v>
      </c>
      <c r="Q1" s="53" t="s">
        <v>16</v>
      </c>
      <c r="R1" s="16" t="s">
        <v>17</v>
      </c>
      <c r="S1" s="16" t="s">
        <v>18</v>
      </c>
      <c r="T1" s="16" t="s">
        <v>19</v>
      </c>
      <c r="U1" s="55" t="s">
        <v>20</v>
      </c>
      <c r="V1" s="17" t="s">
        <v>21</v>
      </c>
      <c r="W1" s="17" t="s">
        <v>22</v>
      </c>
      <c r="X1" s="17" t="s">
        <v>23</v>
      </c>
      <c r="Y1" s="57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idden="1">
      <c r="A2" s="33" t="s">
        <v>34</v>
      </c>
      <c r="B2" s="33" t="s">
        <v>35</v>
      </c>
      <c r="C2" s="33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Dev",IF(Q2="","No target set",IF(AND(Q2&lt;TODAY(),S2=""),"Overdue","On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 t="s">
        <v>37</v>
      </c>
      <c r="H2" s="33" t="s">
        <v>38</v>
      </c>
      <c r="I2" s="33" t="s">
        <v>39</v>
      </c>
      <c r="J2" s="33"/>
      <c r="K2" s="50">
        <v>46142</v>
      </c>
      <c r="L2" s="3" t="s">
        <v>40</v>
      </c>
      <c r="M2" s="60">
        <v>46122</v>
      </c>
      <c r="N2" s="36"/>
      <c r="O2" s="36">
        <v>46115</v>
      </c>
      <c r="P2" s="36"/>
      <c r="Q2" s="54">
        <v>46129</v>
      </c>
      <c r="R2" s="36"/>
      <c r="S2" s="36">
        <v>46114</v>
      </c>
      <c r="T2" s="36"/>
      <c r="U2" s="56">
        <v>46136</v>
      </c>
      <c r="V2" s="36"/>
      <c r="W2" s="36">
        <v>46122</v>
      </c>
      <c r="X2" s="36"/>
      <c r="Y2" s="58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48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Log'!$A$3:$A$500,$B2)&gt;0,"",IF(AND(U2&lt;&gt;"",M2&lt;&gt;"",U2&lt;M2),"QA target is before DB Dev target",IF(AND(U2&lt;&gt;"",Q2&lt;&gt;"",U2&lt;Q2),"QA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idden="1">
      <c r="A3" s="33" t="s">
        <v>34</v>
      </c>
      <c r="B3" s="33" t="s">
        <v>47</v>
      </c>
      <c r="C3" s="33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Dev",IF(Q3="","No target set",IF(AND(Q3&lt;TODAY(),S3=""),"Overdue","On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 t="s">
        <v>37</v>
      </c>
      <c r="H3" s="33" t="s">
        <v>38</v>
      </c>
      <c r="I3" s="33" t="s">
        <v>39</v>
      </c>
      <c r="J3" s="33"/>
      <c r="K3" s="50">
        <v>46142</v>
      </c>
      <c r="L3" s="3" t="s">
        <v>40</v>
      </c>
      <c r="M3" s="60">
        <v>46122</v>
      </c>
      <c r="N3" s="36"/>
      <c r="O3" s="36">
        <v>46115</v>
      </c>
      <c r="P3" s="36"/>
      <c r="Q3" s="54">
        <v>46129</v>
      </c>
      <c r="R3" s="36"/>
      <c r="S3" s="36">
        <v>46114</v>
      </c>
      <c r="T3" s="36"/>
      <c r="U3" s="56">
        <v>46136</v>
      </c>
      <c r="V3" s="36"/>
      <c r="W3" s="36">
        <v>46122</v>
      </c>
      <c r="X3" s="36"/>
      <c r="Y3" s="58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48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Log'!$A$3:$A$500,$B3)&gt;0,"",IF(AND(U3&lt;&gt;"",M3&lt;&gt;"",U3&lt;M3),"QA target is before DB Dev target",IF(AND(U3&lt;&gt;"",Q3&lt;&gt;"",U3&lt;Q3),"QA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idden="1">
      <c r="A4" s="33" t="s">
        <v>34</v>
      </c>
      <c r="B4" s="33" t="s">
        <v>50</v>
      </c>
      <c r="C4" s="33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Dev",IF(Q4="","No target set",IF(AND(Q4&lt;TODAY(),S4=""),"Overdue","On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 t="s">
        <v>51</v>
      </c>
      <c r="H4" s="33" t="s">
        <v>52</v>
      </c>
      <c r="I4" s="33" t="s">
        <v>39</v>
      </c>
      <c r="J4" s="33"/>
      <c r="K4" s="50">
        <v>46142</v>
      </c>
      <c r="L4" s="3" t="s">
        <v>40</v>
      </c>
      <c r="M4" s="60">
        <v>46122</v>
      </c>
      <c r="N4" s="36"/>
      <c r="O4" s="36">
        <v>46115</v>
      </c>
      <c r="P4" s="36"/>
      <c r="Q4" s="54">
        <v>46129</v>
      </c>
      <c r="R4" s="36"/>
      <c r="S4" s="36">
        <v>46126</v>
      </c>
      <c r="T4" s="36"/>
      <c r="U4" s="56">
        <v>46136</v>
      </c>
      <c r="V4" s="36"/>
      <c r="W4" s="36">
        <v>46122</v>
      </c>
      <c r="X4" s="36"/>
      <c r="Y4" s="58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48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Log'!$A$3:$A$500,$B4)&gt;0,"",IF(AND(U4&lt;&gt;"",M4&lt;&gt;"",U4&lt;M4),"QA target is before DB Dev target",IF(AND(U4&lt;&gt;"",Q4&lt;&gt;"",U4&lt;Q4),"QA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idden="1">
      <c r="A5" s="33" t="s">
        <v>34</v>
      </c>
      <c r="B5" s="33" t="s">
        <v>56</v>
      </c>
      <c r="C5" s="33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Dev",IF(Q5="","No target set",IF(AND(Q5&lt;TODAY(),S5=""),"Overdue","On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 t="s">
        <v>57</v>
      </c>
      <c r="H5" s="33" t="s">
        <v>38</v>
      </c>
      <c r="I5" s="33" t="s">
        <v>39</v>
      </c>
      <c r="J5" s="33"/>
      <c r="K5" s="50">
        <v>46142</v>
      </c>
      <c r="L5" s="3" t="s">
        <v>40</v>
      </c>
      <c r="M5" s="60">
        <v>46122</v>
      </c>
      <c r="N5" s="36"/>
      <c r="O5" s="36">
        <v>46115</v>
      </c>
      <c r="P5" s="36"/>
      <c r="Q5" s="54">
        <v>46129</v>
      </c>
      <c r="R5" s="36"/>
      <c r="S5" s="36">
        <v>46120</v>
      </c>
      <c r="T5" s="36"/>
      <c r="U5" s="56">
        <v>46136</v>
      </c>
      <c r="V5" s="36"/>
      <c r="W5" s="36">
        <v>46122</v>
      </c>
      <c r="X5" s="36"/>
      <c r="Y5" s="58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48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Log'!$A$3:$A$500,$B5)&gt;0,"",IF(AND(U5&lt;&gt;"",M5&lt;&gt;"",U5&lt;M5),"QA target is before DB Dev target",IF(AND(U5&lt;&gt;"",Q5&lt;&gt;"",U5&lt;Q5),"QA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33"/>
      <c r="I6" s="33"/>
      <c r="J6" s="33"/>
      <c r="K6" s="50">
        <v>46142</v>
      </c>
      <c r="L6" s="3" t="s">
        <v>40</v>
      </c>
      <c r="M6" s="60"/>
      <c r="N6" s="47"/>
      <c r="O6" s="36"/>
      <c r="P6" s="36"/>
      <c r="Q6" s="4"/>
      <c r="R6" s="43"/>
      <c r="S6" s="36"/>
      <c r="T6" s="36"/>
      <c r="U6" s="4"/>
      <c r="V6" s="43"/>
      <c r="W6" s="36"/>
      <c r="X6" s="36"/>
      <c r="Y6" s="58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33"/>
      <c r="I7" s="33"/>
      <c r="J7" s="33"/>
      <c r="K7" s="50">
        <v>46142</v>
      </c>
      <c r="L7" s="3" t="s">
        <v>40</v>
      </c>
      <c r="M7" s="60"/>
      <c r="N7" s="47"/>
      <c r="O7" s="36"/>
      <c r="P7" s="36"/>
      <c r="Q7" s="4"/>
      <c r="R7" s="43"/>
      <c r="S7" s="36"/>
      <c r="T7" s="36"/>
      <c r="U7" s="4"/>
      <c r="V7" s="43"/>
      <c r="W7" s="36"/>
      <c r="X7" s="36"/>
      <c r="Y7" s="58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33"/>
      <c r="I8" s="33"/>
      <c r="J8" s="33"/>
      <c r="K8" s="50">
        <v>46142</v>
      </c>
      <c r="L8" s="3" t="s">
        <v>40</v>
      </c>
      <c r="M8" s="60"/>
      <c r="N8" s="47"/>
      <c r="O8" s="36"/>
      <c r="P8" s="36"/>
      <c r="Q8" s="4"/>
      <c r="R8" s="43"/>
      <c r="S8" s="36"/>
      <c r="T8" s="36"/>
      <c r="U8" s="4"/>
      <c r="V8" s="43"/>
      <c r="W8" s="36"/>
      <c r="X8" s="36"/>
      <c r="Y8" s="58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33"/>
      <c r="I9" s="33"/>
      <c r="J9" s="33"/>
      <c r="K9" s="50">
        <v>46142</v>
      </c>
      <c r="L9" s="3" t="s">
        <v>40</v>
      </c>
      <c r="M9" s="60"/>
      <c r="N9" s="47"/>
      <c r="O9" s="36"/>
      <c r="P9" s="36"/>
      <c r="Q9" s="4"/>
      <c r="R9" s="43"/>
      <c r="S9" s="36"/>
      <c r="T9" s="36"/>
      <c r="U9" s="4"/>
      <c r="V9" s="43"/>
      <c r="W9" s="36"/>
      <c r="X9" s="36"/>
      <c r="Y9" s="58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idden="1">
      <c r="A10" s="33" t="s">
        <v>34</v>
      </c>
      <c r="B10" s="33" t="s">
        <v>66</v>
      </c>
      <c r="C10" s="33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STARTED",IF(K10="","No plan date set",IF(K10&lt;TODAY(),"Review - planned start passed","On track")),IF(C10="DB Dev",IF(M10="","No target set",IF(AND(M10&lt;TODAY(),O10=""),"Overdue","On track")),IF(C10="PBI Dev",IF(Q10="","No target set",IF(AND(Q10&lt;TODAY(),S10=""),"Overdue","On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 t="s">
        <v>67</v>
      </c>
      <c r="H10" s="33" t="s">
        <v>68</v>
      </c>
      <c r="I10" s="33" t="s">
        <v>39</v>
      </c>
      <c r="J10" s="33"/>
      <c r="K10" s="50">
        <v>46173</v>
      </c>
      <c r="L10" s="3" t="s">
        <v>69</v>
      </c>
      <c r="M10" s="60">
        <v>46150</v>
      </c>
      <c r="N10" s="36"/>
      <c r="O10" s="36">
        <v>46157</v>
      </c>
      <c r="P10" s="36"/>
      <c r="Q10" s="4">
        <v>46157</v>
      </c>
      <c r="R10" s="36"/>
      <c r="S10" s="36">
        <v>46134</v>
      </c>
      <c r="T10" s="36"/>
      <c r="U10" s="54">
        <v>46164</v>
      </c>
      <c r="V10" s="36"/>
      <c r="W10" s="36">
        <v>46134</v>
      </c>
      <c r="X10" s="36"/>
      <c r="Y10" s="58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48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Log'!$A$3:$A$500,$B10)&gt;0,"",IF(AND(U10&lt;&gt;"",M10&lt;&gt;"",U10&lt;M10),"QA target is before DB Dev target",IF(AND(U10&lt;&gt;"",Q10&lt;&gt;"",U10&lt;Q10),"QA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idden="1">
      <c r="A11" s="33" t="s">
        <v>34</v>
      </c>
      <c r="B11" s="33" t="s">
        <v>72</v>
      </c>
      <c r="C11" s="33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Dev",IF(Q11="","No target set",IF(AND(Q11&lt;TODAY(),S11=""),"Overdue","On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 t="s">
        <v>51</v>
      </c>
      <c r="H11" s="3" t="s">
        <v>68</v>
      </c>
      <c r="I11" s="33" t="s">
        <v>39</v>
      </c>
      <c r="J11" s="33"/>
      <c r="K11" s="50">
        <v>46173</v>
      </c>
      <c r="L11" s="3" t="s">
        <v>69</v>
      </c>
      <c r="M11" s="60">
        <v>46150</v>
      </c>
      <c r="N11" s="36"/>
      <c r="O11" s="36">
        <v>46157</v>
      </c>
      <c r="P11" s="36"/>
      <c r="Q11" s="4">
        <v>46157</v>
      </c>
      <c r="R11" s="36"/>
      <c r="S11" s="36">
        <v>46139</v>
      </c>
      <c r="T11" s="36"/>
      <c r="U11" s="54">
        <v>46164</v>
      </c>
      <c r="V11" s="36"/>
      <c r="W11" s="36">
        <v>46139</v>
      </c>
      <c r="X11" s="36"/>
      <c r="Y11" s="58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48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Log'!$A$3:$A$500,$B11)&gt;0,"",IF(AND(U11&lt;&gt;"",M11&lt;&gt;"",U11&lt;M11),"QA target is before DB Dev target",IF(AND(U11&lt;&gt;"",Q11&lt;&gt;"",U11&lt;Q11),"QA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idden="1">
      <c r="A12" s="33" t="s">
        <v>34</v>
      </c>
      <c r="B12" s="33" t="s">
        <v>75</v>
      </c>
      <c r="C12" s="33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Dev",IF(Q12="","No target set",IF(AND(Q12&lt;TODAY(),S12=""),"Overdue","On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 t="s">
        <v>76</v>
      </c>
      <c r="H12" s="33" t="s">
        <v>52</v>
      </c>
      <c r="I12" s="33" t="s">
        <v>39</v>
      </c>
      <c r="J12" s="33"/>
      <c r="K12" s="50">
        <v>46173</v>
      </c>
      <c r="L12" s="3" t="s">
        <v>69</v>
      </c>
      <c r="M12" s="60">
        <v>46150</v>
      </c>
      <c r="N12" s="36"/>
      <c r="O12" s="36">
        <v>46157</v>
      </c>
      <c r="P12" s="36"/>
      <c r="Q12" s="4">
        <v>46157</v>
      </c>
      <c r="R12" s="36"/>
      <c r="S12" s="36">
        <v>46147</v>
      </c>
      <c r="T12" s="36"/>
      <c r="U12" s="54">
        <v>46164</v>
      </c>
      <c r="V12" s="36"/>
      <c r="W12" s="36">
        <v>46147</v>
      </c>
      <c r="X12" s="36"/>
      <c r="Y12" s="58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48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Log'!$A$3:$A$500,$B12)&gt;0,"",IF(AND(U12&lt;&gt;"",M12&lt;&gt;"",U12&lt;M12),"QA target is before DB Dev target",IF(AND(U12&lt;&gt;"",Q12&lt;&gt;"",U12&lt;Q12),"QA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idden="1">
      <c r="A13" s="33" t="s">
        <v>34</v>
      </c>
      <c r="B13" s="33" t="s">
        <v>79</v>
      </c>
      <c r="C13" s="33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Dev",IF(Q13="","No target set",IF(AND(Q13&lt;TODAY(),S13=""),"Overdue","On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 t="s">
        <v>76</v>
      </c>
      <c r="H13" s="33" t="s">
        <v>38</v>
      </c>
      <c r="I13" s="33" t="s">
        <v>80</v>
      </c>
      <c r="J13" s="33"/>
      <c r="K13" s="50">
        <v>46173</v>
      </c>
      <c r="L13" s="3" t="s">
        <v>69</v>
      </c>
      <c r="M13" s="60">
        <v>46150</v>
      </c>
      <c r="N13" s="36"/>
      <c r="O13" s="36">
        <v>46157</v>
      </c>
      <c r="P13" s="36"/>
      <c r="Q13" s="4">
        <v>46157</v>
      </c>
      <c r="R13" s="36"/>
      <c r="S13" s="36">
        <v>46175</v>
      </c>
      <c r="T13" s="36"/>
      <c r="U13" s="54">
        <v>46164</v>
      </c>
      <c r="V13" s="36"/>
      <c r="W13" s="36">
        <v>46179</v>
      </c>
      <c r="X13" s="36"/>
      <c r="Y13" s="58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48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Log'!$A$3:$A$500,$B13)&gt;0,"",IF(AND(U13&lt;&gt;"",M13&lt;&gt;"",U13&lt;M13),"QA target is before DB Dev target",IF(AND(U13&lt;&gt;"",Q13&lt;&gt;"",U13&lt;Q13),"QA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idden="1">
      <c r="A14" s="33" t="s">
        <v>34</v>
      </c>
      <c r="B14" s="33" t="s">
        <v>82</v>
      </c>
      <c r="C14" s="33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Dev",IF(Q14="","No target set",IF(AND(Q14&lt;TODAY(),S14=""),"Overdue","On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 t="s">
        <v>37</v>
      </c>
      <c r="H14" s="33" t="s">
        <v>52</v>
      </c>
      <c r="I14" s="33" t="s">
        <v>80</v>
      </c>
      <c r="J14" s="33"/>
      <c r="K14" s="50">
        <v>46173</v>
      </c>
      <c r="L14" s="3" t="s">
        <v>69</v>
      </c>
      <c r="M14" s="60">
        <v>46150</v>
      </c>
      <c r="N14" s="36"/>
      <c r="O14" s="36">
        <v>46157</v>
      </c>
      <c r="P14" s="36"/>
      <c r="Q14" s="4">
        <v>46157</v>
      </c>
      <c r="R14" s="36"/>
      <c r="S14" s="36">
        <v>46143</v>
      </c>
      <c r="T14" s="36"/>
      <c r="U14" s="54">
        <v>46164</v>
      </c>
      <c r="V14" s="36"/>
      <c r="W14" s="36">
        <v>46175</v>
      </c>
      <c r="X14" s="36"/>
      <c r="Y14" s="58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48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Log'!$A$3:$A$500,$B14)&gt;0,"",IF(AND(U14&lt;&gt;"",M14&lt;&gt;"",U14&lt;M14),"QA target is before DB Dev target",IF(AND(U14&lt;&gt;"",Q14&lt;&gt;"",U14&lt;Q14),"QA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idden="1">
      <c r="A15" s="33" t="s">
        <v>34</v>
      </c>
      <c r="B15" s="33" t="s">
        <v>85</v>
      </c>
      <c r="C15" s="33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Dev",IF(Q15="","No target set",IF(AND(Q15&lt;TODAY(),S15=""),"Overdue","On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 t="s">
        <v>37</v>
      </c>
      <c r="H15" s="33" t="s">
        <v>68</v>
      </c>
      <c r="I15" s="33" t="s">
        <v>39</v>
      </c>
      <c r="J15" s="33"/>
      <c r="K15" s="50">
        <v>46173</v>
      </c>
      <c r="L15" s="3" t="s">
        <v>69</v>
      </c>
      <c r="M15" s="60">
        <v>46150</v>
      </c>
      <c r="N15" s="36"/>
      <c r="O15" s="36">
        <v>46157</v>
      </c>
      <c r="P15" s="36"/>
      <c r="Q15" s="4">
        <v>46157</v>
      </c>
      <c r="R15" s="36"/>
      <c r="S15" s="36">
        <v>46178</v>
      </c>
      <c r="T15" s="36"/>
      <c r="U15" s="54">
        <v>46164</v>
      </c>
      <c r="V15" s="36"/>
      <c r="W15" s="36">
        <v>46175</v>
      </c>
      <c r="X15" s="36"/>
      <c r="Y15" s="58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48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Log'!$A$3:$A$500,$B15)&gt;0,"",IF(AND(U15&lt;&gt;"",M15&lt;&gt;"",U15&lt;M15),"QA target is before DB Dev target",IF(AND(U15&lt;&gt;"",Q15&lt;&gt;"",U15&lt;Q15),"QA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33"/>
      <c r="I16" s="33"/>
      <c r="J16" s="33"/>
      <c r="K16" s="50">
        <v>46173</v>
      </c>
      <c r="L16" s="3" t="s">
        <v>69</v>
      </c>
      <c r="M16" s="60"/>
      <c r="N16" s="43"/>
      <c r="O16" s="36"/>
      <c r="P16" s="36"/>
      <c r="Q16" s="4"/>
      <c r="R16" s="43"/>
      <c r="S16" s="36"/>
      <c r="T16" s="36"/>
      <c r="U16" s="4"/>
      <c r="V16" s="43"/>
      <c r="W16" s="36"/>
      <c r="X16" s="36"/>
      <c r="Y16" s="58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33"/>
      <c r="I17" s="33"/>
      <c r="J17" s="33"/>
      <c r="K17" s="50">
        <v>46173</v>
      </c>
      <c r="L17" s="3" t="s">
        <v>69</v>
      </c>
      <c r="M17" s="60"/>
      <c r="N17" s="43"/>
      <c r="O17" s="36"/>
      <c r="P17" s="36"/>
      <c r="Q17" s="4"/>
      <c r="R17" s="43"/>
      <c r="S17" s="36"/>
      <c r="T17" s="36"/>
      <c r="U17" s="4"/>
      <c r="V17" s="43"/>
      <c r="W17" s="36"/>
      <c r="X17" s="36"/>
      <c r="Y17" s="58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33"/>
      <c r="I18" s="33"/>
      <c r="J18" s="33"/>
      <c r="K18" s="50">
        <v>46173</v>
      </c>
      <c r="L18" s="3" t="s">
        <v>69</v>
      </c>
      <c r="M18" s="60"/>
      <c r="N18" s="43"/>
      <c r="O18" s="36"/>
      <c r="P18" s="36"/>
      <c r="Q18" s="4"/>
      <c r="R18" s="43"/>
      <c r="S18" s="36"/>
      <c r="T18" s="36"/>
      <c r="U18" s="4"/>
      <c r="V18" s="43"/>
      <c r="W18" s="36"/>
      <c r="X18" s="36"/>
      <c r="Y18" s="58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33"/>
      <c r="I19" s="33"/>
      <c r="J19" s="33"/>
      <c r="K19" s="50">
        <v>46173</v>
      </c>
      <c r="L19" s="3" t="s">
        <v>69</v>
      </c>
      <c r="M19" s="60"/>
      <c r="N19" s="43"/>
      <c r="O19" s="36"/>
      <c r="P19" s="36"/>
      <c r="Q19" s="4"/>
      <c r="R19" s="43"/>
      <c r="S19" s="36"/>
      <c r="T19" s="36"/>
      <c r="U19" s="4"/>
      <c r="V19" s="43"/>
      <c r="W19" s="36"/>
      <c r="X19" s="36"/>
      <c r="Y19" s="58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idden="1">
      <c r="A20" s="33" t="s">
        <v>34</v>
      </c>
      <c r="B20" s="33" t="s">
        <v>92</v>
      </c>
      <c r="C20" s="33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Dev",IF(Q20="","No target set",IF(AND(Q20&lt;TODAY(),S20=""),"Overdue","On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 t="s">
        <v>93</v>
      </c>
      <c r="H20" s="33" t="s">
        <v>52</v>
      </c>
      <c r="I20" s="33" t="s">
        <v>39</v>
      </c>
      <c r="J20" s="33"/>
      <c r="K20" s="50">
        <v>46203</v>
      </c>
      <c r="L20" s="3" t="s">
        <v>94</v>
      </c>
      <c r="M20" s="60">
        <v>46185</v>
      </c>
      <c r="N20" s="36"/>
      <c r="O20" s="36">
        <v>46148</v>
      </c>
      <c r="P20" s="36"/>
      <c r="Q20" s="54">
        <v>46192</v>
      </c>
      <c r="R20" s="36"/>
      <c r="S20" s="36">
        <v>46183</v>
      </c>
      <c r="T20" s="36"/>
      <c r="U20" s="56">
        <v>46199</v>
      </c>
      <c r="V20" s="36"/>
      <c r="W20" s="36">
        <v>46195</v>
      </c>
      <c r="X20" s="36"/>
      <c r="Y20" s="58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48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Log'!$A$3:$A$500,$B20)&gt;0,"",IF(AND(U20&lt;&gt;"",M20&lt;&gt;"",U20&lt;M20),"QA target is before DB Dev target",IF(AND(U20&lt;&gt;"",Q20&lt;&gt;"",U20&lt;Q20),"QA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idden="1">
      <c r="A21" s="33" t="s">
        <v>34</v>
      </c>
      <c r="B21" s="33" t="s">
        <v>95</v>
      </c>
      <c r="C21" s="33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Dev",IF(Q21="","No target set",IF(AND(Q21&lt;TODAY(),S21=""),"Overdue","On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 t="s">
        <v>93</v>
      </c>
      <c r="H21" s="33" t="s">
        <v>68</v>
      </c>
      <c r="I21" s="33" t="s">
        <v>39</v>
      </c>
      <c r="J21" s="33"/>
      <c r="K21" s="50">
        <v>46203</v>
      </c>
      <c r="L21" s="3" t="s">
        <v>94</v>
      </c>
      <c r="M21" s="60">
        <v>46185</v>
      </c>
      <c r="N21" s="36"/>
      <c r="O21" s="36">
        <v>46162</v>
      </c>
      <c r="P21" s="36"/>
      <c r="Q21" s="54">
        <v>46192</v>
      </c>
      <c r="R21" s="36"/>
      <c r="S21" s="36">
        <v>46182</v>
      </c>
      <c r="T21" s="36"/>
      <c r="U21" s="56">
        <v>46199</v>
      </c>
      <c r="V21" s="36"/>
      <c r="W21" s="36">
        <v>46198</v>
      </c>
      <c r="X21" s="36"/>
      <c r="Y21" s="58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48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Log'!$A$3:$A$500,$B21)&gt;0,"",IF(AND(U21&lt;&gt;"",M21&lt;&gt;"",U21&lt;M21),"QA target is before DB Dev target",IF(AND(U21&lt;&gt;"",Q21&lt;&gt;"",U21&lt;Q21),"QA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idden="1">
      <c r="A22" s="33" t="s">
        <v>34</v>
      </c>
      <c r="B22" s="33" t="s">
        <v>97</v>
      </c>
      <c r="C22" s="33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Dev",IF(Q22="","No target set",IF(AND(Q22&lt;TODAY(),S22=""),"Overdue","On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 t="s">
        <v>37</v>
      </c>
      <c r="H22" s="33" t="s">
        <v>52</v>
      </c>
      <c r="I22" s="33" t="s">
        <v>39</v>
      </c>
      <c r="J22" s="33"/>
      <c r="K22" s="50">
        <v>46203</v>
      </c>
      <c r="L22" s="3" t="s">
        <v>94</v>
      </c>
      <c r="M22" s="60">
        <v>46185</v>
      </c>
      <c r="N22" s="36"/>
      <c r="O22" s="36">
        <v>46168</v>
      </c>
      <c r="P22" s="36"/>
      <c r="Q22" s="54">
        <v>46192</v>
      </c>
      <c r="R22" s="36"/>
      <c r="S22" s="36">
        <v>46183</v>
      </c>
      <c r="T22" s="36"/>
      <c r="U22" s="56">
        <v>46199</v>
      </c>
      <c r="V22" s="36"/>
      <c r="W22" s="36">
        <v>46198</v>
      </c>
      <c r="X22" s="36"/>
      <c r="Y22" s="58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48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Log'!$A$3:$A$500,$B22)&gt;0,"",IF(AND(U22&lt;&gt;"",M22&lt;&gt;"",U22&lt;M22),"QA target is before DB Dev target",IF(AND(U22&lt;&gt;"",Q22&lt;&gt;"",U22&lt;Q22),"QA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idden="1">
      <c r="A23" s="33" t="s">
        <v>34</v>
      </c>
      <c r="B23" s="33" t="s">
        <v>98</v>
      </c>
      <c r="C23" s="33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Dev",IF(Q23="","No target set",IF(AND(Q23&lt;TODAY(),S23=""),"Overdue","On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 t="s">
        <v>37</v>
      </c>
      <c r="H23" s="33" t="s">
        <v>52</v>
      </c>
      <c r="I23" s="33" t="s">
        <v>39</v>
      </c>
      <c r="J23" s="33"/>
      <c r="K23" s="50">
        <v>46203</v>
      </c>
      <c r="L23" s="3" t="s">
        <v>94</v>
      </c>
      <c r="M23" s="60">
        <v>46185</v>
      </c>
      <c r="N23" s="36"/>
      <c r="O23" s="36">
        <v>46165</v>
      </c>
      <c r="P23" s="36"/>
      <c r="Q23" s="54">
        <v>46192</v>
      </c>
      <c r="R23" s="36"/>
      <c r="S23" s="36">
        <v>46153</v>
      </c>
      <c r="T23" s="36"/>
      <c r="U23" s="56">
        <v>46199</v>
      </c>
      <c r="V23" s="36"/>
      <c r="W23" s="36">
        <v>46154</v>
      </c>
      <c r="X23" s="36"/>
      <c r="Y23" s="58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48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Log'!$A$3:$A$500,$B23)&gt;0,"",IF(AND(U23&lt;&gt;"",M23&lt;&gt;"",U23&lt;M23),"QA target is before DB Dev target",IF(AND(U23&lt;&gt;"",Q23&lt;&gt;"",U23&lt;Q23),"QA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idden="1">
      <c r="A24" s="33" t="s">
        <v>34</v>
      </c>
      <c r="B24" s="33" t="s">
        <v>101</v>
      </c>
      <c r="C24" s="33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Dev",IF(Q24="","No target set",IF(AND(Q24&lt;TODAY(),S24=""),"Overdue","On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 t="s">
        <v>51</v>
      </c>
      <c r="H24" s="33" t="s">
        <v>38</v>
      </c>
      <c r="I24" s="33" t="s">
        <v>80</v>
      </c>
      <c r="J24" s="33"/>
      <c r="K24" s="50">
        <v>46203</v>
      </c>
      <c r="L24" s="3" t="s">
        <v>94</v>
      </c>
      <c r="M24" s="60">
        <v>46185</v>
      </c>
      <c r="N24" s="36"/>
      <c r="O24" s="36">
        <v>46162</v>
      </c>
      <c r="P24" s="36"/>
      <c r="Q24" s="54">
        <v>46192</v>
      </c>
      <c r="R24" s="36"/>
      <c r="S24" s="36">
        <v>46186</v>
      </c>
      <c r="T24" s="36"/>
      <c r="U24" s="56">
        <v>46199</v>
      </c>
      <c r="V24" s="36"/>
      <c r="W24" s="36"/>
      <c r="X24" s="36"/>
      <c r="Y24" s="58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48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Log'!$A$3:$A$500,$B24)&gt;0,"",IF(AND(U24&lt;&gt;"",M24&lt;&gt;"",U24&lt;M24),"QA target is before DB Dev target",IF(AND(U24&lt;&gt;"",Q24&lt;&gt;"",U24&lt;Q24),"QA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idden="1">
      <c r="A25" s="33" t="s">
        <v>34</v>
      </c>
      <c r="B25" s="33" t="s">
        <v>103</v>
      </c>
      <c r="C25" s="33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Dev",IF(Q25="","No target set",IF(AND(Q25&lt;TODAY(),S25=""),"Overdue","On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 t="s">
        <v>51</v>
      </c>
      <c r="H25" s="33" t="s">
        <v>68</v>
      </c>
      <c r="I25" s="33" t="s">
        <v>39</v>
      </c>
      <c r="J25" s="33"/>
      <c r="K25" s="50">
        <v>46203</v>
      </c>
      <c r="L25" s="3" t="s">
        <v>94</v>
      </c>
      <c r="M25" s="60">
        <v>46185</v>
      </c>
      <c r="N25" s="36"/>
      <c r="O25" s="36">
        <v>46162</v>
      </c>
      <c r="P25" s="36"/>
      <c r="Q25" s="54">
        <v>46192</v>
      </c>
      <c r="R25" s="36"/>
      <c r="S25" s="36">
        <v>46164</v>
      </c>
      <c r="T25" s="36"/>
      <c r="U25" s="56">
        <v>46199</v>
      </c>
      <c r="V25" s="36"/>
      <c r="W25" s="36">
        <v>46204</v>
      </c>
      <c r="X25" s="36"/>
      <c r="Y25" s="58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48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Log'!$A$3:$A$500,$B25)&gt;0,"",IF(AND(U25&lt;&gt;"",M25&lt;&gt;"",U25&lt;M25),"QA target is before DB Dev target",IF(AND(U25&lt;&gt;"",Q25&lt;&gt;"",U25&lt;Q25),"QA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idden="1">
      <c r="A26" s="33" t="s">
        <v>34</v>
      </c>
      <c r="B26" s="33" t="s">
        <v>104</v>
      </c>
      <c r="C26" s="33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Dev",IF(Q26="","No target set",IF(AND(Q26&lt;TODAY(),S26=""),"Overdue","On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 t="s">
        <v>105</v>
      </c>
      <c r="H26" s="33" t="s">
        <v>52</v>
      </c>
      <c r="I26" s="33" t="s">
        <v>80</v>
      </c>
      <c r="J26" s="33"/>
      <c r="K26" s="50">
        <v>46203</v>
      </c>
      <c r="L26" s="3" t="s">
        <v>94</v>
      </c>
      <c r="M26" s="60">
        <v>46185</v>
      </c>
      <c r="N26" s="36"/>
      <c r="O26" s="36">
        <v>46169</v>
      </c>
      <c r="P26" s="36"/>
      <c r="Q26" s="54">
        <v>46192</v>
      </c>
      <c r="R26" s="36"/>
      <c r="S26" s="36">
        <v>46191</v>
      </c>
      <c r="T26" s="36"/>
      <c r="U26" s="56">
        <v>46199</v>
      </c>
      <c r="V26" s="36"/>
      <c r="W26" s="36">
        <v>46196</v>
      </c>
      <c r="X26" s="36"/>
      <c r="Y26" s="58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48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Log'!$A$3:$A$500,$B26)&gt;0,"",IF(AND(U26&lt;&gt;"",M26&lt;&gt;"",U26&lt;M26),"QA target is before DB Dev target",IF(AND(U26&lt;&gt;"",Q26&lt;&gt;"",U26&lt;Q26),"QA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idden="1">
      <c r="A27" s="33" t="s">
        <v>34</v>
      </c>
      <c r="B27" s="33" t="s">
        <v>108</v>
      </c>
      <c r="C27" s="33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Dev",IF(Q27="","No target set",IF(AND(Q27&lt;TODAY(),S27=""),"Overdue","On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 t="s">
        <v>93</v>
      </c>
      <c r="H27" s="33" t="s">
        <v>68</v>
      </c>
      <c r="I27" s="33" t="s">
        <v>80</v>
      </c>
      <c r="J27" s="33"/>
      <c r="K27" s="50">
        <v>46203</v>
      </c>
      <c r="L27" s="3" t="s">
        <v>94</v>
      </c>
      <c r="M27" s="60">
        <v>46185</v>
      </c>
      <c r="N27" s="36"/>
      <c r="O27" s="36">
        <v>46168</v>
      </c>
      <c r="P27" s="36"/>
      <c r="Q27" s="54">
        <v>46192</v>
      </c>
      <c r="R27" s="36"/>
      <c r="S27" s="36">
        <v>46189</v>
      </c>
      <c r="T27" s="36"/>
      <c r="U27" s="56">
        <v>46199</v>
      </c>
      <c r="V27" s="36"/>
      <c r="W27" s="36">
        <v>46189</v>
      </c>
      <c r="X27" s="36"/>
      <c r="Y27" s="58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48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Log'!$A$3:$A$500,$B27)&gt;0,"",IF(AND(U27&lt;&gt;"",M27&lt;&gt;"",U27&lt;M27),"QA target is before DB Dev target",IF(AND(U27&lt;&gt;"",Q27&lt;&gt;"",U27&lt;Q27),"QA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idden="1">
      <c r="A28" s="33" t="s">
        <v>34</v>
      </c>
      <c r="B28" s="33" t="s">
        <v>110</v>
      </c>
      <c r="C28" s="33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Dev",IF(Q28="","No target set",IF(AND(Q28&lt;TODAY(),S28=""),"Overdue","On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 t="s">
        <v>76</v>
      </c>
      <c r="H28" s="33" t="s">
        <v>68</v>
      </c>
      <c r="I28" s="33"/>
      <c r="J28" s="33"/>
      <c r="K28" s="50">
        <v>46203</v>
      </c>
      <c r="L28" s="3" t="s">
        <v>94</v>
      </c>
      <c r="M28" s="60">
        <v>46185</v>
      </c>
      <c r="N28" s="36"/>
      <c r="O28" s="36">
        <v>46169</v>
      </c>
      <c r="P28" s="36"/>
      <c r="Q28" s="54">
        <v>46192</v>
      </c>
      <c r="R28" s="36"/>
      <c r="S28" s="36">
        <v>46195</v>
      </c>
      <c r="T28" s="36"/>
      <c r="U28" s="56">
        <v>46199</v>
      </c>
      <c r="V28" s="36"/>
      <c r="W28" s="36">
        <v>46197</v>
      </c>
      <c r="X28" s="36"/>
      <c r="Y28" s="58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48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Log'!$A$3:$A$500,$B28)&gt;0,"",IF(AND(U28&lt;&gt;"",M28&lt;&gt;"",U28&lt;M28),"QA target is before DB Dev target",IF(AND(U28&lt;&gt;"",Q28&lt;&gt;"",U28&lt;Q28),"QA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>
      <c r="A29" s="33" t="s">
        <v>112</v>
      </c>
      <c r="B29" s="33" t="s">
        <v>113</v>
      </c>
      <c r="C29" s="33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Dev",IF(Q29="","No target set",IF(AND(Q29&lt;TODAY(),S29=""),"Overdue","On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 t="s">
        <v>67</v>
      </c>
      <c r="H29" s="33" t="s">
        <v>52</v>
      </c>
      <c r="I29" s="33" t="s">
        <v>115</v>
      </c>
      <c r="J29" s="33"/>
      <c r="K29" s="50">
        <v>46234</v>
      </c>
      <c r="L29" s="3" t="s">
        <v>116</v>
      </c>
      <c r="M29" s="54">
        <v>46213</v>
      </c>
      <c r="N29" s="36">
        <v>46213</v>
      </c>
      <c r="O29" s="37">
        <v>46213</v>
      </c>
      <c r="P29" s="37" t="s">
        <v>117</v>
      </c>
      <c r="Q29" s="54">
        <v>46220</v>
      </c>
      <c r="R29" s="36">
        <v>46223</v>
      </c>
      <c r="S29" s="36">
        <v>46223</v>
      </c>
      <c r="T29" s="36"/>
      <c r="U29" s="56">
        <v>46227</v>
      </c>
      <c r="V29" s="36">
        <v>46227</v>
      </c>
      <c r="W29" s="36">
        <v>46227</v>
      </c>
      <c r="X29" s="36"/>
      <c r="Y29" s="58">
        <v>46232</v>
      </c>
      <c r="Z29" s="36"/>
      <c r="AA29" s="33"/>
      <c r="AB29" s="38"/>
      <c r="AC29" s="36"/>
      <c r="AD29" s="39"/>
      <c r="AE29" s="33"/>
      <c r="AF29" s="40" t="s">
        <v>45</v>
      </c>
      <c r="AG29" s="48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Log'!$A$3:$A$500,$B29)&gt;0,"",IF(AND(U29&lt;&gt;"",M29&lt;&gt;"",U29&lt;M29),"QA target is before DB Dev target",IF(AND(U29&lt;&gt;"",Q29&lt;&gt;"",U29&lt;Q29),"QA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118</v>
      </c>
    </row>
    <row r="30" spans="1:34">
      <c r="A30" s="33" t="s">
        <v>112</v>
      </c>
      <c r="B30" s="33" t="s">
        <v>119</v>
      </c>
      <c r="C30" s="33" t="s">
        <v>114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Dev",IF(Q30="","No target set",IF(AND(Q30&lt;TODAY(),S30=""),"Overdue","On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 t="s">
        <v>105</v>
      </c>
      <c r="H30" s="33" t="s">
        <v>68</v>
      </c>
      <c r="I30" s="33" t="s">
        <v>115</v>
      </c>
      <c r="J30" s="33"/>
      <c r="K30" s="50">
        <v>46234</v>
      </c>
      <c r="L30" s="3" t="s">
        <v>116</v>
      </c>
      <c r="M30" s="60">
        <v>46213</v>
      </c>
      <c r="N30" s="36">
        <v>46224</v>
      </c>
      <c r="O30" s="35">
        <v>46224</v>
      </c>
      <c r="P30" s="36" t="s">
        <v>120</v>
      </c>
      <c r="Q30" s="54">
        <v>46220</v>
      </c>
      <c r="R30" s="36">
        <v>46224</v>
      </c>
      <c r="S30" s="36">
        <v>46224</v>
      </c>
      <c r="T30" s="36"/>
      <c r="U30" s="56">
        <v>46227</v>
      </c>
      <c r="V30" s="36">
        <v>46227</v>
      </c>
      <c r="W30" s="36">
        <v>46227</v>
      </c>
      <c r="X30" s="36"/>
      <c r="Y30" s="58">
        <v>46232</v>
      </c>
      <c r="Z30" s="36"/>
      <c r="AA30" s="33"/>
      <c r="AB30" s="38"/>
      <c r="AC30" s="36"/>
      <c r="AD30" s="39"/>
      <c r="AE30" s="33"/>
      <c r="AF30" s="40" t="s">
        <v>45</v>
      </c>
      <c r="AG30" s="48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Log'!$A$3:$A$500,$B30)&gt;0,"",IF(AND(U30&lt;&gt;"",M30&lt;&gt;"",U30&lt;M30),"QA target is before DB Dev target",IF(AND(U30&lt;&gt;"",Q30&lt;&gt;"",U30&lt;Q30),"QA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41" t="s">
        <v>121</v>
      </c>
    </row>
    <row r="31" spans="1:34">
      <c r="A31" s="33" t="s">
        <v>112</v>
      </c>
      <c r="B31" s="33" t="s">
        <v>122</v>
      </c>
      <c r="C31" s="33" t="s">
        <v>123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Dev",IF(Q31="","No target set",IF(AND(Q31&lt;TODAY(),S31=""),"Overdue","On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 t="s">
        <v>105</v>
      </c>
      <c r="H31" s="33" t="s">
        <v>68</v>
      </c>
      <c r="I31" s="33" t="s">
        <v>115</v>
      </c>
      <c r="J31" s="33"/>
      <c r="K31" s="50">
        <v>46234</v>
      </c>
      <c r="L31" s="3" t="s">
        <v>116</v>
      </c>
      <c r="M31" s="60">
        <v>46213</v>
      </c>
      <c r="N31" s="36">
        <v>46224</v>
      </c>
      <c r="O31" s="35">
        <v>46224</v>
      </c>
      <c r="P31" s="36" t="s">
        <v>120</v>
      </c>
      <c r="Q31" s="54">
        <v>46220</v>
      </c>
      <c r="R31" s="36">
        <v>46230</v>
      </c>
      <c r="S31" s="36"/>
      <c r="T31" s="36"/>
      <c r="U31" s="56">
        <v>46227</v>
      </c>
      <c r="V31" s="36"/>
      <c r="W31" s="36"/>
      <c r="X31" s="36"/>
      <c r="Y31" s="58">
        <v>46232</v>
      </c>
      <c r="Z31" s="36"/>
      <c r="AA31" s="33"/>
      <c r="AB31" s="38"/>
      <c r="AC31" s="36"/>
      <c r="AD31" s="39"/>
      <c r="AE31" s="33"/>
      <c r="AF31" s="40" t="s">
        <v>45</v>
      </c>
      <c r="AG31" s="48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Log'!$A$3:$A$500,$B31)&gt;0,"",IF(AND(U31&lt;&gt;"",M31&lt;&gt;"",U31&lt;M31),"QA target is before DB Dev target",IF(AND(U31&lt;&gt;"",Q31&lt;&gt;"",U31&lt;Q31),"QA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124</v>
      </c>
    </row>
    <row r="32" spans="1:34">
      <c r="A32" s="33" t="s">
        <v>112</v>
      </c>
      <c r="B32" s="33" t="s">
        <v>125</v>
      </c>
      <c r="C32" s="33" t="s">
        <v>114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Dev",IF(Q32="","No target set",IF(AND(Q32&lt;TODAY(),S32=""),"Overdue","On track")),IF(C32="QA",IF(U32="","No target set",IF(AND(U32&lt;TODAY(),W32=""),"Overdue","On track")),IF(C32="DPO Approval",IF(Y32="","No target set",IF(Y32&lt;TODAY(),"Overdue","On track")),IF(C32="RELEASED IN PROD","Delivered",""))))))))</f>
        <v>Overdue</v>
      </c>
      <c r="E32" s="33">
        <v>4</v>
      </c>
      <c r="F32" s="34" t="s">
        <v>115</v>
      </c>
      <c r="G32" s="33" t="s">
        <v>51</v>
      </c>
      <c r="H32" s="33" t="s">
        <v>38</v>
      </c>
      <c r="I32" s="33" t="s">
        <v>115</v>
      </c>
      <c r="J32" s="33"/>
      <c r="K32" s="50">
        <v>46234</v>
      </c>
      <c r="L32" s="3" t="s">
        <v>116</v>
      </c>
      <c r="M32" s="54">
        <v>46213</v>
      </c>
      <c r="N32" s="36">
        <v>46217</v>
      </c>
      <c r="O32" s="37">
        <v>46217</v>
      </c>
      <c r="P32" s="37" t="s">
        <v>126</v>
      </c>
      <c r="Q32" s="54">
        <v>46220</v>
      </c>
      <c r="R32" s="36">
        <v>46230</v>
      </c>
      <c r="S32" s="36">
        <v>46234</v>
      </c>
      <c r="T32" s="36"/>
      <c r="U32" s="56">
        <v>46227</v>
      </c>
      <c r="V32" s="36"/>
      <c r="W32" s="36"/>
      <c r="X32" s="36"/>
      <c r="Y32" s="58">
        <v>46232</v>
      </c>
      <c r="Z32" s="36"/>
      <c r="AA32" s="33"/>
      <c r="AB32" s="38"/>
      <c r="AC32" s="36"/>
      <c r="AD32" s="39"/>
      <c r="AE32" s="33"/>
      <c r="AF32" s="40" t="s">
        <v>45</v>
      </c>
      <c r="AG32" s="48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Log'!$A$3:$A$500,$B32)&gt;0,"",IF(AND(U32&lt;&gt;"",M32&lt;&gt;"",U32&lt;M32),"QA target is before DB Dev target",IF(AND(U32&lt;&gt;"",Q32&lt;&gt;"",U32&lt;Q32),"QA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41" t="s">
        <v>127</v>
      </c>
    </row>
    <row r="33" spans="1:34">
      <c r="A33" s="33" t="s">
        <v>112</v>
      </c>
      <c r="B33" s="33" t="s">
        <v>128</v>
      </c>
      <c r="C33" s="33" t="s">
        <v>114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STARTED",IF(K33="","No plan date set",IF(K33&lt;TODAY(),"Review - planned start passed","On track")),IF(C33="DB Dev",IF(M33="","No target set",IF(AND(M33&lt;TODAY(),O33=""),"Overdue","On track")),IF(C33="PBI Dev",IF(Q33="","No target set",IF(AND(Q33&lt;TODAY(),S33=""),"Overdue","On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33">
        <v>5</v>
      </c>
      <c r="F33" s="34" t="s">
        <v>115</v>
      </c>
      <c r="G33" s="33" t="s">
        <v>93</v>
      </c>
      <c r="H33" s="33" t="s">
        <v>68</v>
      </c>
      <c r="I33" s="33" t="s">
        <v>39</v>
      </c>
      <c r="J33" s="33"/>
      <c r="K33" s="50">
        <v>46234</v>
      </c>
      <c r="L33" s="3" t="s">
        <v>116</v>
      </c>
      <c r="M33" s="54">
        <v>46213</v>
      </c>
      <c r="N33" s="36">
        <v>46215</v>
      </c>
      <c r="O33" s="37">
        <v>46215</v>
      </c>
      <c r="P33" s="37" t="s">
        <v>117</v>
      </c>
      <c r="Q33" s="54">
        <v>46220</v>
      </c>
      <c r="R33" s="36">
        <v>46218</v>
      </c>
      <c r="S33" s="36">
        <v>46226</v>
      </c>
      <c r="T33" s="36"/>
      <c r="U33" s="56">
        <v>46227</v>
      </c>
      <c r="V33" s="36">
        <v>46225</v>
      </c>
      <c r="W33" s="36">
        <v>46234</v>
      </c>
      <c r="X33" s="36"/>
      <c r="Y33" s="58">
        <v>46232</v>
      </c>
      <c r="Z33" s="36"/>
      <c r="AA33" s="33"/>
      <c r="AB33" s="38"/>
      <c r="AC33" s="36"/>
      <c r="AD33" s="39"/>
      <c r="AE33" s="33"/>
      <c r="AF33" s="40" t="s">
        <v>45</v>
      </c>
      <c r="AG33" s="48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fix",S33&lt;&gt;"",SUMPRODUCT(MAX((('Rework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Log'!$A$3:$A$500,$B33)&gt;0,"",IF(AND(U33&lt;&gt;"",M33&lt;&gt;"",U33&lt;M33),"QA target is before DB Dev target",IF(AND(U33&lt;&gt;"",Q33&lt;&gt;"",U33&lt;Q33),"QA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1" t="s">
        <v>129</v>
      </c>
    </row>
    <row r="34" spans="1:34">
      <c r="A34" s="33" t="s">
        <v>112</v>
      </c>
      <c r="B34" s="33" t="s">
        <v>130</v>
      </c>
      <c r="C34" s="33" t="s">
        <v>131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Dev",IF(M34="","No target set",IF(AND(M34&lt;TODAY(),O34=""),"Overdue","On track")),IF(C34="PBI Dev",IF(Q34="","No target set",IF(AND(Q34&lt;TODAY(),S34=""),"Overdue","On track")),IF(C34="QA",IF(U34="","No target set",IF(AND(U34&lt;TODAY(),W34=""),"Overdue","On track")),IF(C34="DPO Approval",IF(Y34="","No target set",IF(Y34&lt;TODAY(),"Overdue","On track")),IF(C34="RELEASED IN PROD","Delivered",""))))))))</f>
        <v>Blocked - needs PBI Dev to fix - unclaimed</v>
      </c>
      <c r="E34" s="33">
        <v>6</v>
      </c>
      <c r="F34" s="34" t="s">
        <v>132</v>
      </c>
      <c r="G34" s="33" t="s">
        <v>76</v>
      </c>
      <c r="H34" s="33" t="s">
        <v>52</v>
      </c>
      <c r="I34" s="33" t="s">
        <v>132</v>
      </c>
      <c r="J34" s="33"/>
      <c r="K34" s="50">
        <v>46234</v>
      </c>
      <c r="L34" s="3" t="s">
        <v>116</v>
      </c>
      <c r="M34" s="60">
        <v>46213</v>
      </c>
      <c r="N34" s="36">
        <v>46234</v>
      </c>
      <c r="O34" s="36">
        <v>46239</v>
      </c>
      <c r="P34" s="36" t="s">
        <v>120</v>
      </c>
      <c r="Q34" s="54">
        <v>46220</v>
      </c>
      <c r="R34" s="36">
        <v>46220</v>
      </c>
      <c r="S34" s="36">
        <v>46220</v>
      </c>
      <c r="T34" s="36"/>
      <c r="U34" s="56">
        <v>46227</v>
      </c>
      <c r="V34" s="36">
        <v>46225</v>
      </c>
      <c r="W34" s="36">
        <v>46225</v>
      </c>
      <c r="X34" s="36"/>
      <c r="Y34" s="58">
        <v>46232</v>
      </c>
      <c r="Z34" s="36"/>
      <c r="AA34" s="33"/>
      <c r="AB34" s="38"/>
      <c r="AC34" s="36"/>
      <c r="AD34" s="39"/>
      <c r="AE34" s="33"/>
      <c r="AF34" s="40" t="s">
        <v>133</v>
      </c>
      <c r="AG34" s="48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Log'!$A$3:$A$500,$B34)&gt;0,"",IF(AND(U34&lt;&gt;"",M34&lt;&gt;"",U34&lt;M34),"QA target is before DB Dev target",IF(AND(U34&lt;&gt;"",Q34&lt;&gt;"",U34&lt;Q34),"QA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134</v>
      </c>
    </row>
    <row r="35" spans="1:34">
      <c r="A35" s="33" t="s">
        <v>112</v>
      </c>
      <c r="B35" s="33" t="s">
        <v>135</v>
      </c>
      <c r="C35" s="33" t="s">
        <v>136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Dev",IF(M35="","No target set",IF(AND(M35&lt;TODAY(),O35=""),"Overdue","On track")),IF(C35="PBI Dev",IF(Q35="","No target set",IF(AND(Q35&lt;TODAY(),S35=""),"Overdue","On track")),IF(C35="QA",IF(U35="","No target set",IF(AND(U35&lt;TODAY(),W35=""),"Overdue","On track")),IF(C35="DPO Approval",IF(Y35="","No target set",IF(Y35&lt;TODAY(),"Overdue","On track")),IF(C35="RELEASED IN PROD","Delivered",""))))))))</f>
        <v>Overdue</v>
      </c>
      <c r="E35" s="33">
        <v>7</v>
      </c>
      <c r="F35" s="34" t="s">
        <v>132</v>
      </c>
      <c r="G35" s="33" t="s">
        <v>105</v>
      </c>
      <c r="H35" s="33" t="s">
        <v>38</v>
      </c>
      <c r="I35" s="33" t="s">
        <v>132</v>
      </c>
      <c r="J35" s="33"/>
      <c r="K35" s="50">
        <v>46234</v>
      </c>
      <c r="L35" s="3" t="s">
        <v>116</v>
      </c>
      <c r="M35" s="60">
        <v>46213</v>
      </c>
      <c r="N35" s="36">
        <v>46227</v>
      </c>
      <c r="O35" s="35">
        <v>46227</v>
      </c>
      <c r="P35" s="36" t="s">
        <v>120</v>
      </c>
      <c r="Q35" s="54">
        <v>46220</v>
      </c>
      <c r="R35" s="36">
        <v>46223</v>
      </c>
      <c r="S35" s="36">
        <v>46223</v>
      </c>
      <c r="T35" s="36"/>
      <c r="U35" s="56">
        <v>46227</v>
      </c>
      <c r="V35" s="36">
        <v>46241</v>
      </c>
      <c r="W35" s="36"/>
      <c r="X35" s="36"/>
      <c r="Y35" s="58">
        <v>46232</v>
      </c>
      <c r="Z35" s="36"/>
      <c r="AA35" s="33"/>
      <c r="AB35" s="38"/>
      <c r="AC35" s="36"/>
      <c r="AD35" s="39"/>
      <c r="AE35" s="33"/>
      <c r="AF35" s="40" t="s">
        <v>45</v>
      </c>
      <c r="AG35" s="48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Log'!$A$3:$A$500,$B35)&gt;0,"",IF(AND(U35&lt;&gt;"",M35&lt;&gt;"",U35&lt;M35),"QA target is before DB Dev target",IF(AND(U35&lt;&gt;"",Q35&lt;&gt;"",U35&lt;Q35),"QA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137</v>
      </c>
    </row>
    <row r="36" spans="1:34">
      <c r="A36" s="33" t="s">
        <v>112</v>
      </c>
      <c r="B36" s="33" t="s">
        <v>138</v>
      </c>
      <c r="C36" s="33" t="s">
        <v>136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Dev",IF(Q36="","No target set",IF(AND(Q36&lt;TODAY(),S36=""),"Overdue","On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132</v>
      </c>
      <c r="G36" s="33" t="s">
        <v>105</v>
      </c>
      <c r="H36" s="33" t="s">
        <v>68</v>
      </c>
      <c r="I36" s="33" t="s">
        <v>132</v>
      </c>
      <c r="J36" s="33"/>
      <c r="K36" s="50">
        <v>46234</v>
      </c>
      <c r="L36" s="3" t="s">
        <v>116</v>
      </c>
      <c r="M36" s="60">
        <v>46213</v>
      </c>
      <c r="N36" s="36">
        <v>46231</v>
      </c>
      <c r="O36" s="36">
        <v>46231</v>
      </c>
      <c r="P36" s="36" t="s">
        <v>117</v>
      </c>
      <c r="Q36" s="54">
        <v>46220</v>
      </c>
      <c r="R36" s="36">
        <v>46224</v>
      </c>
      <c r="S36" s="36">
        <v>46234</v>
      </c>
      <c r="T36" s="36"/>
      <c r="U36" s="56">
        <v>46227</v>
      </c>
      <c r="V36" s="36">
        <v>46240</v>
      </c>
      <c r="W36" s="36"/>
      <c r="X36" s="36"/>
      <c r="Y36" s="58">
        <v>46232</v>
      </c>
      <c r="Z36" s="36"/>
      <c r="AA36" s="33"/>
      <c r="AB36" s="38"/>
      <c r="AC36" s="36"/>
      <c r="AD36" s="39"/>
      <c r="AE36" s="33"/>
      <c r="AF36" s="40" t="s">
        <v>45</v>
      </c>
      <c r="AG36" s="48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Log'!$A$3:$A$500,$B36)&gt;0,"",IF(AND(U36&lt;&gt;"",M36&lt;&gt;"",U36&lt;M36),"QA target is before DB Dev target",IF(AND(U36&lt;&gt;"",Q36&lt;&gt;"",U36&lt;Q36),"QA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139</v>
      </c>
    </row>
    <row r="37" spans="1:34">
      <c r="A37" s="33" t="s">
        <v>112</v>
      </c>
      <c r="B37" s="33" t="s">
        <v>140</v>
      </c>
      <c r="C37" s="33" t="s">
        <v>136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STARTED",IF(K37="","No plan date set",IF(K37&lt;TODAY(),"Review - planned start passed","On track")),IF(C37="DB Dev",IF(M37="","No target set",IF(AND(M37&lt;TODAY(),O37=""),"Overdue","On track")),IF(C37="PBI Dev",IF(Q37="","No target set",IF(AND(Q37&lt;TODAY(),S37=""),"Overdue","On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132</v>
      </c>
      <c r="G37" s="33" t="s">
        <v>76</v>
      </c>
      <c r="H37" s="33" t="s">
        <v>52</v>
      </c>
      <c r="I37" s="33" t="s">
        <v>132</v>
      </c>
      <c r="J37" s="33"/>
      <c r="K37" s="50">
        <v>46234</v>
      </c>
      <c r="L37" s="3" t="s">
        <v>116</v>
      </c>
      <c r="M37" s="60">
        <v>46213</v>
      </c>
      <c r="N37" s="36">
        <v>46234</v>
      </c>
      <c r="O37" s="36">
        <v>46239</v>
      </c>
      <c r="P37" s="36" t="s">
        <v>126</v>
      </c>
      <c r="Q37" s="54">
        <v>46220</v>
      </c>
      <c r="R37" s="36">
        <v>46230</v>
      </c>
      <c r="S37" s="36"/>
      <c r="T37" s="36"/>
      <c r="U37" s="56">
        <v>46227</v>
      </c>
      <c r="V37" s="36">
        <v>46240</v>
      </c>
      <c r="W37" s="36"/>
      <c r="X37" s="36"/>
      <c r="Y37" s="58">
        <v>46232</v>
      </c>
      <c r="Z37" s="36"/>
      <c r="AA37" s="33"/>
      <c r="AB37" s="38"/>
      <c r="AC37" s="36"/>
      <c r="AD37" s="39"/>
      <c r="AE37" s="33"/>
      <c r="AF37" s="40" t="s">
        <v>45</v>
      </c>
      <c r="AG37" s="48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Log'!$A$3:$A$500,$B37)&gt;0,"",IF(AND(U37&lt;&gt;"",M37&lt;&gt;"",U37&lt;M37),"QA target is before DB Dev target",IF(AND(U37&lt;&gt;"",Q37&lt;&gt;"",U37&lt;Q37),"QA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141</v>
      </c>
    </row>
    <row r="38" spans="1:34">
      <c r="A38" s="33" t="s">
        <v>112</v>
      </c>
      <c r="B38" s="33" t="s">
        <v>142</v>
      </c>
      <c r="C38" s="33" t="s">
        <v>123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Dev",IF(M38="","No target set",IF(AND(M38&lt;TODAY(),O38=""),"Overdue","On track")),IF(C38="PBI Dev",IF(Q38="","No target set",IF(AND(Q38&lt;TODAY(),S38=""),"Overdue","On track")),IF(C38="QA",IF(U38="","No target set",IF(AND(U38&lt;TODAY(),W38=""),"Overdue","On track")),IF(C38="DPO Approval",IF(Y38="","No target set",IF(Y38&lt;TODAY(),"Overdue","On track")),IF(C38="RELEASED IN PROD","Delivered",""))))))))</f>
        <v>Blocked - needs PBI Dev to fix - unclaimed</v>
      </c>
      <c r="E38" s="33" t="s">
        <v>143</v>
      </c>
      <c r="F38" s="34" t="s">
        <v>132</v>
      </c>
      <c r="G38" s="33" t="s">
        <v>144</v>
      </c>
      <c r="H38" s="33" t="s">
        <v>52</v>
      </c>
      <c r="I38" s="33" t="s">
        <v>132</v>
      </c>
      <c r="J38" s="33"/>
      <c r="K38" s="50">
        <v>46234</v>
      </c>
      <c r="L38" s="3" t="s">
        <v>116</v>
      </c>
      <c r="M38" s="60">
        <v>46213</v>
      </c>
      <c r="N38" s="36">
        <v>46227</v>
      </c>
      <c r="O38" s="35">
        <v>46227</v>
      </c>
      <c r="P38" s="36" t="s">
        <v>145</v>
      </c>
      <c r="Q38" s="54">
        <v>46220</v>
      </c>
      <c r="R38" s="36">
        <v>46230</v>
      </c>
      <c r="S38" s="36"/>
      <c r="T38" s="36"/>
      <c r="U38" s="56">
        <v>46227</v>
      </c>
      <c r="V38" s="36">
        <v>46238</v>
      </c>
      <c r="W38" s="36"/>
      <c r="X38" s="36"/>
      <c r="Y38" s="58">
        <v>46232</v>
      </c>
      <c r="Z38" s="36"/>
      <c r="AA38" s="33"/>
      <c r="AB38" s="38"/>
      <c r="AC38" s="36"/>
      <c r="AD38" s="39"/>
      <c r="AE38" s="33"/>
      <c r="AF38" s="40" t="s">
        <v>133</v>
      </c>
      <c r="AG38" s="48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Log'!$A$3:$A$500,$B38)&gt;0,"",IF(AND(U38&lt;&gt;"",M38&lt;&gt;"",U38&lt;M38),"QA target is before DB Dev target",IF(AND(U38&lt;&gt;"",Q38&lt;&gt;"",U38&lt;Q38),"QA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>
      <c r="A39" s="33" t="s">
        <v>112</v>
      </c>
      <c r="B39" s="33" t="s">
        <v>146</v>
      </c>
      <c r="C39" s="33" t="s">
        <v>136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Dev",IF(M39="","No target set",IF(AND(M39&lt;TODAY(),O39=""),"Overdue","On track")),IF(C39="PBI Dev",IF(Q39="","No target set",IF(AND(Q39&lt;TODAY(),S39=""),"Overdue","On track")),IF(C39="QA",IF(U39="","No target set",IF(AND(U39&lt;TODAY(),W39=""),"Overdue","On track")),IF(C39="DPO Approval",IF(Y39="","No target set",IF(Y39&lt;TODAY(),"Overdue","On track")),IF(C39="RELEASED IN PROD","Delivered",""))))))))</f>
        <v>Overdue</v>
      </c>
      <c r="E39" s="33">
        <v>11</v>
      </c>
      <c r="F39" s="34" t="s">
        <v>132</v>
      </c>
      <c r="G39" s="33" t="s">
        <v>144</v>
      </c>
      <c r="H39" s="33" t="s">
        <v>68</v>
      </c>
      <c r="I39" s="33" t="s">
        <v>39</v>
      </c>
      <c r="J39" s="33"/>
      <c r="K39" s="50">
        <v>46234</v>
      </c>
      <c r="L39" s="3" t="s">
        <v>116</v>
      </c>
      <c r="M39" s="60">
        <v>46213</v>
      </c>
      <c r="N39" s="36">
        <v>46223</v>
      </c>
      <c r="O39" s="36">
        <v>46223</v>
      </c>
      <c r="P39" s="36" t="s">
        <v>147</v>
      </c>
      <c r="Q39" s="54">
        <v>46220</v>
      </c>
      <c r="R39" s="36">
        <v>46230</v>
      </c>
      <c r="S39" s="36">
        <v>46226</v>
      </c>
      <c r="T39" s="36"/>
      <c r="U39" s="56">
        <v>46227</v>
      </c>
      <c r="V39" s="36">
        <v>46238</v>
      </c>
      <c r="W39" s="36"/>
      <c r="X39" s="36"/>
      <c r="Y39" s="58">
        <v>46232</v>
      </c>
      <c r="Z39" s="36"/>
      <c r="AA39" s="33"/>
      <c r="AB39" s="38"/>
      <c r="AC39" s="36"/>
      <c r="AD39" s="39"/>
      <c r="AE39" s="33"/>
      <c r="AF39" s="40" t="s">
        <v>45</v>
      </c>
      <c r="AG39" s="48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Log'!$A$3:$A$500,$B39)&gt;0,"",IF(AND(U39&lt;&gt;"",M39&lt;&gt;"",U39&lt;M39),"QA target is before DB Dev target",IF(AND(U39&lt;&gt;"",Q39&lt;&gt;"",U39&lt;Q39),"QA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148</v>
      </c>
    </row>
    <row r="40" spans="1:34">
      <c r="A40" s="33" t="s">
        <v>112</v>
      </c>
      <c r="B40" s="33" t="s">
        <v>149</v>
      </c>
      <c r="C40" s="33" t="s">
        <v>123</v>
      </c>
      <c r="D40" s="3" t="s">
        <v>150</v>
      </c>
      <c r="E40" s="33">
        <v>13</v>
      </c>
      <c r="F40" s="34" t="s">
        <v>115</v>
      </c>
      <c r="G40" s="33" t="s">
        <v>67</v>
      </c>
      <c r="H40" s="33" t="s">
        <v>38</v>
      </c>
      <c r="I40" s="33" t="s">
        <v>39</v>
      </c>
      <c r="J40" s="33"/>
      <c r="K40" s="50">
        <v>46234</v>
      </c>
      <c r="L40" s="3" t="s">
        <v>116</v>
      </c>
      <c r="M40" s="54">
        <v>46213</v>
      </c>
      <c r="N40" s="36">
        <v>46234</v>
      </c>
      <c r="O40" s="37">
        <v>46234</v>
      </c>
      <c r="P40" s="37" t="s">
        <v>147</v>
      </c>
      <c r="Q40" s="54">
        <v>46220</v>
      </c>
      <c r="R40" s="36">
        <v>46230</v>
      </c>
      <c r="S40" s="36"/>
      <c r="T40" s="36"/>
      <c r="U40" s="56">
        <v>46227</v>
      </c>
      <c r="V40" s="36"/>
      <c r="W40" s="36"/>
      <c r="X40" s="36"/>
      <c r="Y40" s="58">
        <v>46232</v>
      </c>
      <c r="Z40" s="36"/>
      <c r="AA40" s="33"/>
      <c r="AB40" s="38"/>
      <c r="AC40" s="36"/>
      <c r="AD40" s="39"/>
      <c r="AE40" s="33"/>
      <c r="AF40" s="40" t="s">
        <v>151</v>
      </c>
      <c r="AG40" s="48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Log'!$A$3:$A$500,$B40)&gt;0,"",IF(AND(U40&lt;&gt;"",M40&lt;&gt;"",U40&lt;M40),"QA target is before DB Dev target",IF(AND(U40&lt;&gt;"",Q40&lt;&gt;"",U40&lt;Q40),"QA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>
      <c r="A41" s="33" t="s">
        <v>112</v>
      </c>
      <c r="B41" s="33" t="s">
        <v>152</v>
      </c>
      <c r="C41" s="33" t="s">
        <v>123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Dev",IF(M42="","No target set",IF(AND(M42&lt;TODAY(),O41=""),"Overdue","On track")),IF(C41="PBI Dev",IF(Q41="","No target set",IF(AND(Q41&lt;TODAY(),S41=""),"Overdue","On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3">
        <v>14</v>
      </c>
      <c r="F41" s="34" t="s">
        <v>115</v>
      </c>
      <c r="G41" s="33" t="s">
        <v>51</v>
      </c>
      <c r="H41" s="33" t="s">
        <v>52</v>
      </c>
      <c r="I41" s="33" t="s">
        <v>39</v>
      </c>
      <c r="J41" s="33"/>
      <c r="K41" s="50">
        <v>46234</v>
      </c>
      <c r="L41" s="3" t="s">
        <v>116</v>
      </c>
      <c r="M41" s="54">
        <v>46213</v>
      </c>
      <c r="N41" s="35">
        <v>46226</v>
      </c>
      <c r="O41" s="37">
        <v>46233</v>
      </c>
      <c r="P41" s="37" t="s">
        <v>145</v>
      </c>
      <c r="Q41" s="54">
        <v>46220</v>
      </c>
      <c r="R41" s="36">
        <v>46230</v>
      </c>
      <c r="S41" s="36"/>
      <c r="T41" s="36"/>
      <c r="U41" s="56">
        <v>46227</v>
      </c>
      <c r="V41" s="36"/>
      <c r="W41" s="36"/>
      <c r="X41" s="36"/>
      <c r="Y41" s="58">
        <v>46232</v>
      </c>
      <c r="Z41" s="36"/>
      <c r="AA41" s="33"/>
      <c r="AB41" s="38"/>
      <c r="AC41" s="36"/>
      <c r="AD41" s="39"/>
      <c r="AE41" s="33"/>
      <c r="AF41" s="40" t="s">
        <v>45</v>
      </c>
      <c r="AG41" s="48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Log'!$A$3:$A$500,$B41)&gt;0,"",IF(AND(U41&lt;&gt;"",M42&lt;&gt;"",U41&lt;M42),"QA target is before DB Dev target",IF(AND(U41&lt;&gt;"",Q41&lt;&gt;"",U41&lt;Q41),"QA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/>
    </row>
    <row r="42" spans="1:34">
      <c r="A42" s="33" t="s">
        <v>112</v>
      </c>
      <c r="B42" s="33" t="s">
        <v>153</v>
      </c>
      <c r="C42" s="33" t="s">
        <v>123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Dev",IF(#REF!="","No target set",IF(AND(#REF!&lt;TODAY(),O42=""),"Overdue","On track")),IF(C42="PBI Dev",IF(Q42="","No target set",IF(AND(Q42&lt;TODAY(),S42=""),"Overdue","On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132</v>
      </c>
      <c r="G42" s="33" t="s">
        <v>67</v>
      </c>
      <c r="H42" s="33" t="s">
        <v>68</v>
      </c>
      <c r="I42" s="33" t="s">
        <v>39</v>
      </c>
      <c r="J42" s="33"/>
      <c r="K42" s="50">
        <v>46234</v>
      </c>
      <c r="L42" s="3" t="s">
        <v>116</v>
      </c>
      <c r="M42" s="60">
        <v>46213</v>
      </c>
      <c r="N42" s="36">
        <v>46239</v>
      </c>
      <c r="O42" s="36"/>
      <c r="P42" s="36" t="s">
        <v>154</v>
      </c>
      <c r="Q42" s="54">
        <v>46220</v>
      </c>
      <c r="R42" s="36">
        <v>46230</v>
      </c>
      <c r="S42" s="36"/>
      <c r="T42" s="36"/>
      <c r="U42" s="56">
        <v>46227</v>
      </c>
      <c r="V42" s="36"/>
      <c r="W42" s="36"/>
      <c r="X42" s="36"/>
      <c r="Y42" s="58">
        <v>46232</v>
      </c>
      <c r="Z42" s="36"/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>
      <c r="A43" s="33" t="s">
        <v>112</v>
      </c>
      <c r="B43" s="33" t="s">
        <v>155</v>
      </c>
      <c r="C43" s="33" t="s">
        <v>131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Dev",IF(Q43="","No target set",IF(AND(Q43&lt;TODAY(),S43=""),"Overdue","On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156</v>
      </c>
      <c r="F43" s="34"/>
      <c r="G43" s="33" t="s">
        <v>93</v>
      </c>
      <c r="H43" s="33"/>
      <c r="I43" s="33"/>
      <c r="J43" s="33"/>
      <c r="K43" s="50">
        <v>46265</v>
      </c>
      <c r="L43" s="3" t="s">
        <v>157</v>
      </c>
      <c r="M43" s="60">
        <v>46234</v>
      </c>
      <c r="N43" s="36">
        <v>46246</v>
      </c>
      <c r="O43" s="36"/>
      <c r="P43" s="36" t="s">
        <v>147</v>
      </c>
      <c r="Q43" s="54">
        <v>46241</v>
      </c>
      <c r="R43" s="36"/>
      <c r="S43" s="36"/>
      <c r="T43" s="36"/>
      <c r="U43" s="56">
        <v>46255</v>
      </c>
      <c r="V43" s="36"/>
      <c r="W43" s="36"/>
      <c r="X43" s="36"/>
      <c r="Y43" s="58">
        <v>46260</v>
      </c>
      <c r="Z43" s="36"/>
      <c r="AA43" s="33"/>
      <c r="AB43" s="38"/>
      <c r="AC43" s="36"/>
      <c r="AD43" s="39"/>
      <c r="AE43" s="33"/>
      <c r="AF43" s="40" t="s">
        <v>45</v>
      </c>
      <c r="AG43" s="48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Log'!$A$3:$A$500,$B43)&gt;0,"",IF(AND(U43&lt;&gt;"",M43&lt;&gt;"",U43&lt;M43),"QA target is before DB Dev target",IF(AND(U43&lt;&gt;"",Q43&lt;&gt;"",U43&lt;Q43),"QA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>
      <c r="A44" s="33" t="s">
        <v>112</v>
      </c>
      <c r="B44" s="33" t="s">
        <v>158</v>
      </c>
      <c r="C44" s="33" t="s">
        <v>159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Dev",IF(Q44="","No target set",IF(AND(Q44&lt;TODAY(),S44=""),"Overdue","On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3">
        <v>18</v>
      </c>
      <c r="F44" s="34"/>
      <c r="G44" s="33" t="s">
        <v>51</v>
      </c>
      <c r="H44" s="33"/>
      <c r="I44" s="33"/>
      <c r="J44" s="33"/>
      <c r="K44" s="50">
        <v>46265</v>
      </c>
      <c r="L44" s="3" t="s">
        <v>157</v>
      </c>
      <c r="M44" s="60">
        <v>46234</v>
      </c>
      <c r="N44" s="36"/>
      <c r="O44" s="36"/>
      <c r="P44" s="36" t="s">
        <v>147</v>
      </c>
      <c r="Q44" s="54">
        <v>46241</v>
      </c>
      <c r="R44" s="36"/>
      <c r="S44" s="36"/>
      <c r="T44" s="36"/>
      <c r="U44" s="56">
        <v>46255</v>
      </c>
      <c r="V44" s="36"/>
      <c r="W44" s="36"/>
      <c r="X44" s="36"/>
      <c r="Y44" s="58">
        <v>46260</v>
      </c>
      <c r="Z44" s="36"/>
      <c r="AA44" s="33"/>
      <c r="AB44" s="38"/>
      <c r="AC44" s="36"/>
      <c r="AD44" s="39"/>
      <c r="AE44" s="33"/>
      <c r="AF44" s="40" t="s">
        <v>45</v>
      </c>
      <c r="AG44" s="48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Log'!$A$3:$A$500,$B44)&gt;0,"",IF(AND(U44&lt;&gt;"",M44&lt;&gt;"",U44&lt;M44),"QA target is before DB Dev target",IF(AND(U44&lt;&gt;"",Q44&lt;&gt;"",U44&lt;Q44),"QA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>
      <c r="A45" s="33" t="s">
        <v>112</v>
      </c>
      <c r="B45" s="33" t="s">
        <v>160</v>
      </c>
      <c r="C45" s="33" t="s">
        <v>159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Dev",IF(Q45="","No target set",IF(AND(Q45&lt;TODAY(),S45=""),"Overdue","On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 t="s">
        <v>37</v>
      </c>
      <c r="H45" s="33"/>
      <c r="I45" s="33"/>
      <c r="J45" s="33"/>
      <c r="K45" s="50">
        <v>46265</v>
      </c>
      <c r="L45" s="3" t="s">
        <v>157</v>
      </c>
      <c r="M45" s="60">
        <v>46234</v>
      </c>
      <c r="N45" s="36"/>
      <c r="O45" s="36"/>
      <c r="P45" s="36" t="s">
        <v>147</v>
      </c>
      <c r="Q45" s="54">
        <v>46241</v>
      </c>
      <c r="R45" s="36"/>
      <c r="S45" s="36"/>
      <c r="T45" s="36"/>
      <c r="U45" s="56">
        <v>46255</v>
      </c>
      <c r="V45" s="36"/>
      <c r="W45" s="36"/>
      <c r="X45" s="36"/>
      <c r="Y45" s="58">
        <v>46260</v>
      </c>
      <c r="Z45" s="36"/>
      <c r="AA45" s="33"/>
      <c r="AB45" s="38"/>
      <c r="AC45" s="36"/>
      <c r="AD45" s="39"/>
      <c r="AE45" s="33"/>
      <c r="AF45" s="40" t="s">
        <v>45</v>
      </c>
      <c r="AG45" s="48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Log'!$A$3:$A$500,$B45)&gt;0,"",IF(AND(U45&lt;&gt;"",M45&lt;&gt;"",U45&lt;M45),"QA target is before DB Dev target",IF(AND(U45&lt;&gt;"",Q45&lt;&gt;"",U45&lt;Q45),"QA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>
      <c r="A46" s="33" t="s">
        <v>112</v>
      </c>
      <c r="B46" s="33" t="s">
        <v>161</v>
      </c>
      <c r="C46" s="33" t="s">
        <v>131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Dev",IF(Q46="","No target set",IF(AND(Q46&lt;TODAY(),S46=""),"Overdue","On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33">
        <v>20</v>
      </c>
      <c r="F46" s="34"/>
      <c r="G46" s="33" t="s">
        <v>76</v>
      </c>
      <c r="H46" s="33"/>
      <c r="I46" s="33"/>
      <c r="J46" s="33"/>
      <c r="K46" s="50">
        <v>46265</v>
      </c>
      <c r="L46" s="3" t="s">
        <v>157</v>
      </c>
      <c r="M46" s="60">
        <v>46234</v>
      </c>
      <c r="N46" s="36">
        <v>46213</v>
      </c>
      <c r="O46" s="36">
        <v>46213</v>
      </c>
      <c r="P46" s="36" t="s">
        <v>147</v>
      </c>
      <c r="Q46" s="54">
        <v>46241</v>
      </c>
      <c r="R46" s="36"/>
      <c r="S46" s="36"/>
      <c r="T46" s="36"/>
      <c r="U46" s="56">
        <v>46255</v>
      </c>
      <c r="V46" s="36"/>
      <c r="W46" s="36"/>
      <c r="X46" s="36"/>
      <c r="Y46" s="58">
        <v>46260</v>
      </c>
      <c r="Z46" s="36"/>
      <c r="AA46" s="33"/>
      <c r="AB46" s="38"/>
      <c r="AC46" s="36"/>
      <c r="AD46" s="39"/>
      <c r="AE46" s="33"/>
      <c r="AF46" s="40" t="s">
        <v>45</v>
      </c>
      <c r="AG46" s="48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Log'!$A$3:$A$500,$B46)&gt;0,"",IF(AND(U46&lt;&gt;"",M46&lt;&gt;"",U46&lt;M46),"QA target is before DB Dev target",IF(AND(U46&lt;&gt;"",Q46&lt;&gt;"",U46&lt;Q46),"QA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>
      <c r="A47" s="33" t="s">
        <v>112</v>
      </c>
      <c r="B47" s="33" t="s">
        <v>162</v>
      </c>
      <c r="C47" s="33" t="s">
        <v>159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Dev",IF(Q47="","No target set",IF(AND(Q47&lt;TODAY(),S47=""),"Overdue","On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33">
        <v>21</v>
      </c>
      <c r="F47" s="34"/>
      <c r="G47" s="33" t="s">
        <v>144</v>
      </c>
      <c r="H47" s="33"/>
      <c r="I47" s="33"/>
      <c r="J47" s="33"/>
      <c r="K47" s="50">
        <v>46265</v>
      </c>
      <c r="L47" s="3" t="s">
        <v>157</v>
      </c>
      <c r="M47" s="60">
        <v>46234</v>
      </c>
      <c r="N47" s="36">
        <v>46239</v>
      </c>
      <c r="O47" s="36"/>
      <c r="P47" s="36" t="s">
        <v>163</v>
      </c>
      <c r="Q47" s="54">
        <v>46241</v>
      </c>
      <c r="R47" s="36"/>
      <c r="S47" s="36"/>
      <c r="T47" s="36"/>
      <c r="U47" s="56">
        <v>46255</v>
      </c>
      <c r="V47" s="36"/>
      <c r="W47" s="36"/>
      <c r="X47" s="36"/>
      <c r="Y47" s="58">
        <v>46260</v>
      </c>
      <c r="Z47" s="36"/>
      <c r="AA47" s="33"/>
      <c r="AB47" s="38"/>
      <c r="AC47" s="36"/>
      <c r="AD47" s="39"/>
      <c r="AE47" s="33"/>
      <c r="AF47" s="40" t="s">
        <v>45</v>
      </c>
      <c r="AG47" s="48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Log'!$A$3:$A$500,$B47)&gt;0,"",IF(AND(U47&lt;&gt;"",M47&lt;&gt;"",U47&lt;M47),"QA target is before DB Dev target",IF(AND(U47&lt;&gt;"",Q47&lt;&gt;"",U47&lt;Q47),"QA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>
      <c r="A48" s="33" t="s">
        <v>112</v>
      </c>
      <c r="B48" s="33" t="s">
        <v>164</v>
      </c>
      <c r="C48" s="33" t="s">
        <v>159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Dev",IF(Q48="","No target set",IF(AND(Q48&lt;TODAY(),S48=""),"Overdue","On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/>
      <c r="G48" s="33" t="s">
        <v>51</v>
      </c>
      <c r="H48" s="33"/>
      <c r="I48" s="33"/>
      <c r="J48" s="33"/>
      <c r="K48" s="50">
        <v>46265</v>
      </c>
      <c r="L48" s="3" t="s">
        <v>157</v>
      </c>
      <c r="M48" s="60">
        <v>46234</v>
      </c>
      <c r="N48" s="36"/>
      <c r="O48" s="36"/>
      <c r="P48" s="36" t="s">
        <v>163</v>
      </c>
      <c r="Q48" s="54">
        <v>46241</v>
      </c>
      <c r="R48" s="36"/>
      <c r="S48" s="36"/>
      <c r="T48" s="36"/>
      <c r="U48" s="56">
        <v>46255</v>
      </c>
      <c r="V48" s="36"/>
      <c r="W48" s="36"/>
      <c r="X48" s="36"/>
      <c r="Y48" s="58">
        <v>46260</v>
      </c>
      <c r="Z48" s="36"/>
      <c r="AA48" s="33"/>
      <c r="AB48" s="38"/>
      <c r="AC48" s="36"/>
      <c r="AD48" s="39"/>
      <c r="AE48" s="33"/>
      <c r="AF48" s="40" t="s">
        <v>45</v>
      </c>
      <c r="AG48" s="48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Log'!$A$3:$A$500,$B48)&gt;0,"",IF(AND(U48&lt;&gt;"",M48&lt;&gt;"",U48&lt;M48),"QA target is before DB Dev target",IF(AND(U48&lt;&gt;"",Q48&lt;&gt;"",U48&lt;Q48),"QA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>
      <c r="A49" s="33" t="s">
        <v>112</v>
      </c>
      <c r="B49" s="33" t="s">
        <v>165</v>
      </c>
      <c r="C49" s="33" t="s">
        <v>159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Dev",IF(Q49="","No target set",IF(AND(Q49&lt;TODAY(),S49=""),"Overdue","On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/>
      <c r="G49" s="33" t="s">
        <v>144</v>
      </c>
      <c r="H49" s="33"/>
      <c r="I49" s="33"/>
      <c r="J49" s="33"/>
      <c r="K49" s="50">
        <v>46265</v>
      </c>
      <c r="L49" s="3" t="s">
        <v>157</v>
      </c>
      <c r="M49" s="60">
        <v>46234</v>
      </c>
      <c r="N49" s="36">
        <v>46253</v>
      </c>
      <c r="O49" s="36"/>
      <c r="P49" s="36" t="s">
        <v>166</v>
      </c>
      <c r="Q49" s="54">
        <v>46241</v>
      </c>
      <c r="R49" s="36"/>
      <c r="S49" s="36"/>
      <c r="T49" s="36"/>
      <c r="U49" s="56">
        <v>46255</v>
      </c>
      <c r="V49" s="36"/>
      <c r="W49" s="36"/>
      <c r="X49" s="36"/>
      <c r="Y49" s="58">
        <v>46260</v>
      </c>
      <c r="Z49" s="36"/>
      <c r="AA49" s="33"/>
      <c r="AB49" s="38"/>
      <c r="AC49" s="36"/>
      <c r="AD49" s="39"/>
      <c r="AE49" s="33"/>
      <c r="AF49" s="40" t="s">
        <v>45</v>
      </c>
      <c r="AG49" s="48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Log'!$A$3:$A$500,$B49)&gt;0,"",IF(AND(U49&lt;&gt;"",M49&lt;&gt;"",U49&lt;M49),"QA target is before DB Dev target",IF(AND(U49&lt;&gt;"",Q49&lt;&gt;"",U49&lt;Q49),"QA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>
      <c r="A50" s="33" t="s">
        <v>112</v>
      </c>
      <c r="B50" s="33" t="s">
        <v>167</v>
      </c>
      <c r="C50" s="33" t="s">
        <v>159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Dev",IF(Q50="","No target set",IF(AND(Q50&lt;TODAY(),S50=""),"Overdue","On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 t="s">
        <v>37</v>
      </c>
      <c r="H50" s="33"/>
      <c r="I50" s="33"/>
      <c r="J50" s="33"/>
      <c r="K50" s="50">
        <v>46265</v>
      </c>
      <c r="L50" s="3" t="s">
        <v>157</v>
      </c>
      <c r="M50" s="60">
        <v>46234</v>
      </c>
      <c r="N50" s="36"/>
      <c r="O50" s="36"/>
      <c r="P50" s="36" t="s">
        <v>163</v>
      </c>
      <c r="Q50" s="54">
        <v>46241</v>
      </c>
      <c r="R50" s="36"/>
      <c r="S50" s="36"/>
      <c r="T50" s="36"/>
      <c r="U50" s="56">
        <v>46255</v>
      </c>
      <c r="V50" s="36"/>
      <c r="W50" s="36"/>
      <c r="X50" s="36"/>
      <c r="Y50" s="58">
        <v>46260</v>
      </c>
      <c r="Z50" s="36"/>
      <c r="AA50" s="33"/>
      <c r="AB50" s="38"/>
      <c r="AC50" s="36"/>
      <c r="AD50" s="39"/>
      <c r="AE50" s="33"/>
      <c r="AF50" s="40" t="s">
        <v>45</v>
      </c>
      <c r="AG50" s="48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Log'!$A$3:$A$500,$B50)&gt;0,"",IF(AND(U50&lt;&gt;"",M50&lt;&gt;"",U50&lt;M50),"QA target is before DB Dev target",IF(AND(U50&lt;&gt;"",Q50&lt;&gt;"",U50&lt;Q50),"QA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>
      <c r="A51" s="33" t="s">
        <v>112</v>
      </c>
      <c r="B51" s="33" t="s">
        <v>168</v>
      </c>
      <c r="C51" s="33" t="s">
        <v>159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Dev",IF(Q51="","No target set",IF(AND(Q51&lt;TODAY(),S51=""),"Overdue","On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3">
        <v>26</v>
      </c>
      <c r="F51" s="34"/>
      <c r="G51" s="33" t="s">
        <v>76</v>
      </c>
      <c r="H51" s="33"/>
      <c r="I51" s="33"/>
      <c r="J51" s="33"/>
      <c r="K51" s="50">
        <v>46265</v>
      </c>
      <c r="L51" s="3" t="s">
        <v>157</v>
      </c>
      <c r="M51" s="60">
        <v>46234</v>
      </c>
      <c r="N51" s="36">
        <v>46255</v>
      </c>
      <c r="O51" s="36">
        <v>46255</v>
      </c>
      <c r="P51" s="36" t="s">
        <v>163</v>
      </c>
      <c r="Q51" s="54">
        <v>46241</v>
      </c>
      <c r="R51" s="36"/>
      <c r="S51" s="36"/>
      <c r="T51" s="36"/>
      <c r="U51" s="56">
        <v>46255</v>
      </c>
      <c r="V51" s="36"/>
      <c r="W51" s="36"/>
      <c r="X51" s="36"/>
      <c r="Y51" s="58">
        <v>46260</v>
      </c>
      <c r="Z51" s="36"/>
      <c r="AA51" s="33"/>
      <c r="AB51" s="38"/>
      <c r="AC51" s="36"/>
      <c r="AD51" s="39"/>
      <c r="AE51" s="33"/>
      <c r="AF51" s="40" t="s">
        <v>45</v>
      </c>
      <c r="AG51" s="48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Log'!$A$3:$A$500,$B51)&gt;0,"",IF(AND(U51&lt;&gt;"",M51&lt;&gt;"",U51&lt;M51),"QA target is before DB Dev target",IF(AND(U51&lt;&gt;"",Q51&lt;&gt;"",U51&lt;Q51),"QA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>
      <c r="A52" s="33" t="s">
        <v>112</v>
      </c>
      <c r="B52" s="33" t="s">
        <v>169</v>
      </c>
      <c r="C52" s="33" t="s">
        <v>159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Dev",IF(Q52="","No target set",IF(AND(Q52&lt;TODAY(),S52=""),"Overdue","On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/>
      <c r="G52" s="33" t="s">
        <v>105</v>
      </c>
      <c r="H52" s="33"/>
      <c r="I52" s="33"/>
      <c r="J52" s="33"/>
      <c r="K52" s="50">
        <v>46265</v>
      </c>
      <c r="L52" s="3" t="s">
        <v>157</v>
      </c>
      <c r="M52" s="60">
        <v>46234</v>
      </c>
      <c r="N52" s="36">
        <v>46253</v>
      </c>
      <c r="O52" s="36"/>
      <c r="P52" s="36" t="s">
        <v>163</v>
      </c>
      <c r="Q52" s="54">
        <v>46241</v>
      </c>
      <c r="R52" s="36"/>
      <c r="S52" s="36"/>
      <c r="T52" s="36"/>
      <c r="U52" s="56">
        <v>46255</v>
      </c>
      <c r="V52" s="36"/>
      <c r="W52" s="36"/>
      <c r="X52" s="36"/>
      <c r="Y52" s="58">
        <v>46260</v>
      </c>
      <c r="Z52" s="36"/>
      <c r="AA52" s="33"/>
      <c r="AB52" s="38"/>
      <c r="AC52" s="36"/>
      <c r="AD52" s="39"/>
      <c r="AE52" s="33"/>
      <c r="AF52" s="40" t="s">
        <v>45</v>
      </c>
      <c r="AG52" s="48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Log'!$A$3:$A$500,$B52)&gt;0,"",IF(AND(U52&lt;&gt;"",M52&lt;&gt;"",U52&lt;M52),"QA target is before DB Dev target",IF(AND(U52&lt;&gt;"",Q52&lt;&gt;"",U52&lt;Q52),"QA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>
      <c r="A53" s="33" t="s">
        <v>112</v>
      </c>
      <c r="B53" s="33" t="s">
        <v>170</v>
      </c>
      <c r="C53" s="33" t="s">
        <v>159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Dev",IF(Q53="","No target set",IF(AND(Q53&lt;TODAY(),S53=""),"Overdue","On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33">
        <v>29</v>
      </c>
      <c r="F53" s="34"/>
      <c r="G53" s="33" t="s">
        <v>67</v>
      </c>
      <c r="H53" s="33"/>
      <c r="I53" s="33"/>
      <c r="J53" s="33"/>
      <c r="K53" s="50">
        <v>46265</v>
      </c>
      <c r="L53" s="3" t="s">
        <v>157</v>
      </c>
      <c r="M53" s="60">
        <v>46234</v>
      </c>
      <c r="N53" s="36"/>
      <c r="O53" s="36"/>
      <c r="P53" s="36" t="s">
        <v>166</v>
      </c>
      <c r="Q53" s="54">
        <v>46241</v>
      </c>
      <c r="R53" s="36"/>
      <c r="S53" s="36"/>
      <c r="T53" s="36"/>
      <c r="U53" s="56">
        <v>46255</v>
      </c>
      <c r="V53" s="36"/>
      <c r="W53" s="36"/>
      <c r="X53" s="36"/>
      <c r="Y53" s="58">
        <v>46260</v>
      </c>
      <c r="Z53" s="36"/>
      <c r="AA53" s="33"/>
      <c r="AB53" s="38"/>
      <c r="AC53" s="36"/>
      <c r="AD53" s="39"/>
      <c r="AE53" s="33"/>
      <c r="AF53" s="40" t="s">
        <v>45</v>
      </c>
      <c r="AG53" s="48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Log'!$A$3:$A$500,$B53)&gt;0,"",IF(AND(U53&lt;&gt;"",M53&lt;&gt;"",U53&lt;M53),"QA target is before DB Dev target",IF(AND(U53&lt;&gt;"",Q53&lt;&gt;"",U53&lt;Q53),"QA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>
      <c r="A54" s="33" t="s">
        <v>112</v>
      </c>
      <c r="B54" s="33" t="s">
        <v>171</v>
      </c>
      <c r="C54" s="33" t="s">
        <v>159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Dev",IF(Q54="","No target set",IF(AND(Q54&lt;TODAY(),S54=""),"Overdue","On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/>
      <c r="G54" s="33"/>
      <c r="H54" s="33"/>
      <c r="I54" s="33"/>
      <c r="J54" s="33"/>
      <c r="K54" s="50">
        <v>46265</v>
      </c>
      <c r="L54" s="3" t="s">
        <v>157</v>
      </c>
      <c r="M54" s="60">
        <v>46234</v>
      </c>
      <c r="N54" s="36"/>
      <c r="O54" s="36"/>
      <c r="P54" s="36" t="s">
        <v>166</v>
      </c>
      <c r="Q54" s="54">
        <v>46241</v>
      </c>
      <c r="R54" s="36"/>
      <c r="S54" s="36"/>
      <c r="T54" s="36"/>
      <c r="U54" s="56">
        <v>46255</v>
      </c>
      <c r="V54" s="36"/>
      <c r="W54" s="36"/>
      <c r="X54" s="36"/>
      <c r="Y54" s="58">
        <v>46260</v>
      </c>
      <c r="Z54" s="36"/>
      <c r="AA54" s="33"/>
      <c r="AB54" s="38"/>
      <c r="AC54" s="36"/>
      <c r="AD54" s="39"/>
      <c r="AE54" s="33"/>
      <c r="AF54" s="40" t="s">
        <v>45</v>
      </c>
      <c r="AG54" s="48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Log'!$A$3:$A$500,$B54)&gt;0,"",IF(AND(U54&lt;&gt;"",M54&lt;&gt;"",U54&lt;M54),"QA target is before DB Dev target",IF(AND(U54&lt;&gt;"",Q54&lt;&gt;"",U54&lt;Q54),"QA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>
      <c r="A55" s="33" t="s">
        <v>112</v>
      </c>
      <c r="B55" s="33" t="s">
        <v>172</v>
      </c>
      <c r="C55" s="33" t="s">
        <v>159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Dev",IF(Q55="","No target set",IF(AND(Q55&lt;TODAY(),S55=""),"Overdue","On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33"/>
      <c r="I55" s="33"/>
      <c r="J55" s="33"/>
      <c r="K55" s="50">
        <v>46295</v>
      </c>
      <c r="L55" s="3" t="s">
        <v>173</v>
      </c>
      <c r="M55" s="60">
        <v>46262</v>
      </c>
      <c r="N55" s="36"/>
      <c r="O55" s="36"/>
      <c r="P55" s="36"/>
      <c r="Q55" s="54">
        <v>46269</v>
      </c>
      <c r="R55" s="36"/>
      <c r="S55" s="36"/>
      <c r="T55" s="36"/>
      <c r="U55" s="56">
        <v>46276</v>
      </c>
      <c r="V55" s="36"/>
      <c r="W55" s="36"/>
      <c r="X55" s="36"/>
      <c r="Y55" s="58">
        <v>46290</v>
      </c>
      <c r="Z55" s="36"/>
      <c r="AA55" s="33"/>
      <c r="AB55" s="38"/>
      <c r="AC55" s="36"/>
      <c r="AD55" s="39"/>
      <c r="AE55" s="33"/>
      <c r="AF55" s="40" t="s">
        <v>45</v>
      </c>
      <c r="AG55" s="48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Log'!$A$3:$A$500,$B55)&gt;0,"",IF(AND(U55&lt;&gt;"",M55&lt;&gt;"",U55&lt;M55),"QA target is before DB Dev target",IF(AND(U55&lt;&gt;"",Q55&lt;&gt;"",U55&lt;Q55),"QA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>
      <c r="A56" s="33" t="s">
        <v>112</v>
      </c>
      <c r="B56" s="33" t="s">
        <v>174</v>
      </c>
      <c r="C56" s="33" t="s">
        <v>159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Dev",IF(Q56="","No target set",IF(AND(Q56&lt;TODAY(),S56=""),"Overdue","On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33"/>
      <c r="I56" s="33"/>
      <c r="J56" s="33"/>
      <c r="K56" s="50">
        <v>46295</v>
      </c>
      <c r="L56" s="3" t="s">
        <v>173</v>
      </c>
      <c r="M56" s="60">
        <v>46262</v>
      </c>
      <c r="N56" s="36"/>
      <c r="O56" s="36"/>
      <c r="P56" s="36"/>
      <c r="Q56" s="54">
        <v>46269</v>
      </c>
      <c r="R56" s="36"/>
      <c r="S56" s="36"/>
      <c r="T56" s="36"/>
      <c r="U56" s="56">
        <v>46276</v>
      </c>
      <c r="V56" s="36"/>
      <c r="W56" s="36"/>
      <c r="X56" s="36"/>
      <c r="Y56" s="58">
        <v>46290</v>
      </c>
      <c r="Z56" s="36"/>
      <c r="AA56" s="33"/>
      <c r="AB56" s="38"/>
      <c r="AC56" s="36"/>
      <c r="AD56" s="39"/>
      <c r="AE56" s="33"/>
      <c r="AF56" s="40" t="s">
        <v>45</v>
      </c>
      <c r="AG56" s="48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Log'!$A$3:$A$500,$B56)&gt;0,"",IF(AND(U56&lt;&gt;"",M56&lt;&gt;"",U56&lt;M56),"QA target is before DB Dev target",IF(AND(U56&lt;&gt;"",Q56&lt;&gt;"",U56&lt;Q56),"QA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>
      <c r="A57" s="33" t="s">
        <v>112</v>
      </c>
      <c r="B57" s="33" t="s">
        <v>175</v>
      </c>
      <c r="C57" s="33" t="s">
        <v>159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Dev",IF(Q57="","No target set",IF(AND(Q57&lt;TODAY(),S57=""),"Overdue","On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33"/>
      <c r="I57" s="33"/>
      <c r="J57" s="33"/>
      <c r="K57" s="50">
        <v>46295</v>
      </c>
      <c r="L57" s="3" t="s">
        <v>173</v>
      </c>
      <c r="M57" s="60">
        <v>46262</v>
      </c>
      <c r="N57" s="36"/>
      <c r="O57" s="36"/>
      <c r="P57" s="36"/>
      <c r="Q57" s="54">
        <v>46269</v>
      </c>
      <c r="R57" s="36"/>
      <c r="S57" s="36"/>
      <c r="T57" s="36"/>
      <c r="U57" s="56">
        <v>46276</v>
      </c>
      <c r="V57" s="36"/>
      <c r="W57" s="36"/>
      <c r="X57" s="36"/>
      <c r="Y57" s="58">
        <v>46290</v>
      </c>
      <c r="Z57" s="36"/>
      <c r="AA57" s="33"/>
      <c r="AB57" s="38"/>
      <c r="AC57" s="36"/>
      <c r="AD57" s="39"/>
      <c r="AE57" s="33"/>
      <c r="AF57" s="40" t="s">
        <v>45</v>
      </c>
      <c r="AG57" s="48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Log'!$A$3:$A$500,$B57)&gt;0,"",IF(AND(U57&lt;&gt;"",M57&lt;&gt;"",U57&lt;M57),"QA target is before DB Dev target",IF(AND(U57&lt;&gt;"",Q57&lt;&gt;"",U57&lt;Q57),"QA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>
      <c r="A58" s="33" t="s">
        <v>112</v>
      </c>
      <c r="B58" s="33" t="s">
        <v>176</v>
      </c>
      <c r="C58" s="33" t="s">
        <v>159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Dev",IF(Q58="","No target set",IF(AND(Q58&lt;TODAY(),S58=""),"Overdue","On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33"/>
      <c r="I58" s="33"/>
      <c r="J58" s="33"/>
      <c r="K58" s="50">
        <v>46295</v>
      </c>
      <c r="L58" s="3" t="s">
        <v>173</v>
      </c>
      <c r="M58" s="60">
        <v>46262</v>
      </c>
      <c r="N58" s="36"/>
      <c r="O58" s="36"/>
      <c r="P58" s="36"/>
      <c r="Q58" s="54">
        <v>46269</v>
      </c>
      <c r="R58" s="36"/>
      <c r="S58" s="36"/>
      <c r="T58" s="36"/>
      <c r="U58" s="56">
        <v>46276</v>
      </c>
      <c r="V58" s="36"/>
      <c r="W58" s="36"/>
      <c r="X58" s="36"/>
      <c r="Y58" s="58">
        <v>46290</v>
      </c>
      <c r="Z58" s="36"/>
      <c r="AA58" s="33"/>
      <c r="AB58" s="38"/>
      <c r="AC58" s="36"/>
      <c r="AD58" s="39"/>
      <c r="AE58" s="33"/>
      <c r="AF58" s="40" t="s">
        <v>45</v>
      </c>
      <c r="AG58" s="48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Log'!$A$3:$A$500,$B58)&gt;0,"",IF(AND(U58&lt;&gt;"",M58&lt;&gt;"",U58&lt;M58),"QA target is before DB Dev target",IF(AND(U58&lt;&gt;"",Q58&lt;&gt;"",U58&lt;Q58),"QA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>
      <c r="A59" s="33" t="s">
        <v>112</v>
      </c>
      <c r="B59" s="33" t="s">
        <v>177</v>
      </c>
      <c r="C59" s="33" t="s">
        <v>159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Dev",IF(Q59="","No target set",IF(AND(Q59&lt;TODAY(),S59=""),"Overdue","On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33"/>
      <c r="I59" s="33"/>
      <c r="J59" s="33"/>
      <c r="K59" s="50">
        <v>46295</v>
      </c>
      <c r="L59" s="3" t="s">
        <v>173</v>
      </c>
      <c r="M59" s="60">
        <v>46262</v>
      </c>
      <c r="N59" s="36"/>
      <c r="O59" s="36"/>
      <c r="P59" s="36"/>
      <c r="Q59" s="54">
        <v>46269</v>
      </c>
      <c r="R59" s="36"/>
      <c r="S59" s="36"/>
      <c r="T59" s="36"/>
      <c r="U59" s="56">
        <v>46276</v>
      </c>
      <c r="V59" s="36"/>
      <c r="W59" s="36"/>
      <c r="X59" s="36"/>
      <c r="Y59" s="58">
        <v>46290</v>
      </c>
      <c r="Z59" s="36"/>
      <c r="AA59" s="33"/>
      <c r="AB59" s="38"/>
      <c r="AC59" s="36"/>
      <c r="AD59" s="39"/>
      <c r="AE59" s="33"/>
      <c r="AF59" s="40" t="s">
        <v>45</v>
      </c>
      <c r="AG59" s="48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Log'!$A$3:$A$500,$B59)&gt;0,"",IF(AND(U59&lt;&gt;"",M59&lt;&gt;"",U59&lt;M59),"QA target is before DB Dev target",IF(AND(U59&lt;&gt;"",Q59&lt;&gt;"",U59&lt;Q59),"QA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>
      <c r="A60" s="33" t="s">
        <v>112</v>
      </c>
      <c r="B60" s="33" t="s">
        <v>178</v>
      </c>
      <c r="C60" s="33" t="s">
        <v>159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Dev",IF(Q60="","No target set",IF(AND(Q60&lt;TODAY(),S60=""),"Overdue","On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33"/>
      <c r="I60" s="33"/>
      <c r="J60" s="33"/>
      <c r="K60" s="50">
        <v>46295</v>
      </c>
      <c r="L60" s="3" t="s">
        <v>173</v>
      </c>
      <c r="M60" s="60">
        <v>46262</v>
      </c>
      <c r="N60" s="36"/>
      <c r="O60" s="36"/>
      <c r="P60" s="36"/>
      <c r="Q60" s="54">
        <v>46269</v>
      </c>
      <c r="R60" s="36"/>
      <c r="S60" s="36"/>
      <c r="T60" s="36"/>
      <c r="U60" s="56">
        <v>46276</v>
      </c>
      <c r="V60" s="36"/>
      <c r="W60" s="36"/>
      <c r="X60" s="36"/>
      <c r="Y60" s="58">
        <v>46290</v>
      </c>
      <c r="Z60" s="36"/>
      <c r="AA60" s="33"/>
      <c r="AB60" s="38"/>
      <c r="AC60" s="36"/>
      <c r="AD60" s="39"/>
      <c r="AE60" s="33"/>
      <c r="AF60" s="40" t="s">
        <v>45</v>
      </c>
      <c r="AG60" s="48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Log'!$A$3:$A$500,$B60)&gt;0,"",IF(AND(U60&lt;&gt;"",M60&lt;&gt;"",U60&lt;M60),"QA target is before DB Dev target",IF(AND(U60&lt;&gt;"",Q60&lt;&gt;"",U60&lt;Q60),"QA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>
      <c r="A61" s="33" t="s">
        <v>112</v>
      </c>
      <c r="B61" s="33" t="s">
        <v>179</v>
      </c>
      <c r="C61" s="33" t="s">
        <v>159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Dev",IF(Q61="","No target set",IF(AND(Q61&lt;TODAY(),S61=""),"Overdue","On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33"/>
      <c r="I61" s="33"/>
      <c r="J61" s="33"/>
      <c r="K61" s="50">
        <v>46295</v>
      </c>
      <c r="L61" s="3" t="s">
        <v>173</v>
      </c>
      <c r="M61" s="60">
        <v>46262</v>
      </c>
      <c r="N61" s="36"/>
      <c r="O61" s="36"/>
      <c r="P61" s="36"/>
      <c r="Q61" s="54">
        <v>46269</v>
      </c>
      <c r="R61" s="36"/>
      <c r="S61" s="36"/>
      <c r="T61" s="36"/>
      <c r="U61" s="56">
        <v>46276</v>
      </c>
      <c r="V61" s="36"/>
      <c r="W61" s="36"/>
      <c r="X61" s="36"/>
      <c r="Y61" s="58">
        <v>46290</v>
      </c>
      <c r="Z61" s="36"/>
      <c r="AA61" s="33"/>
      <c r="AB61" s="38"/>
      <c r="AC61" s="36"/>
      <c r="AD61" s="39"/>
      <c r="AE61" s="33"/>
      <c r="AF61" s="40" t="s">
        <v>45</v>
      </c>
      <c r="AG61" s="48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Log'!$A$3:$A$500,$B61)&gt;0,"",IF(AND(U61&lt;&gt;"",M61&lt;&gt;"",U61&lt;M61),"QA target is before DB Dev target",IF(AND(U61&lt;&gt;"",Q61&lt;&gt;"",U61&lt;Q61),"QA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>
      <c r="A62" s="33" t="s">
        <v>112</v>
      </c>
      <c r="B62" s="33" t="s">
        <v>180</v>
      </c>
      <c r="C62" s="33" t="s">
        <v>159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Dev",IF(Q62="","No target set",IF(AND(Q62&lt;TODAY(),S62=""),"Overdue","On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33"/>
      <c r="I62" s="33"/>
      <c r="J62" s="33"/>
      <c r="K62" s="50">
        <v>46295</v>
      </c>
      <c r="L62" s="3" t="s">
        <v>173</v>
      </c>
      <c r="M62" s="60">
        <v>46262</v>
      </c>
      <c r="N62" s="36"/>
      <c r="O62" s="36"/>
      <c r="P62" s="36"/>
      <c r="Q62" s="54">
        <v>46269</v>
      </c>
      <c r="R62" s="36"/>
      <c r="S62" s="36"/>
      <c r="T62" s="36"/>
      <c r="U62" s="56">
        <v>46276</v>
      </c>
      <c r="V62" s="36"/>
      <c r="W62" s="36"/>
      <c r="X62" s="36"/>
      <c r="Y62" s="58">
        <v>46290</v>
      </c>
      <c r="Z62" s="36"/>
      <c r="AA62" s="33"/>
      <c r="AB62" s="38"/>
      <c r="AC62" s="36"/>
      <c r="AD62" s="39"/>
      <c r="AE62" s="33"/>
      <c r="AF62" s="40" t="s">
        <v>45</v>
      </c>
      <c r="AG62" s="48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Log'!$A$3:$A$500,$B62)&gt;0,"",IF(AND(U62&lt;&gt;"",M62&lt;&gt;"",U62&lt;M62),"QA target is before DB Dev target",IF(AND(U62&lt;&gt;"",Q62&lt;&gt;"",U62&lt;Q62),"QA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>
      <c r="A63" s="33" t="s">
        <v>112</v>
      </c>
      <c r="B63" s="33" t="s">
        <v>181</v>
      </c>
      <c r="C63" s="33" t="s">
        <v>159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Dev",IF(Q63="","No target set",IF(AND(Q63&lt;TODAY(),S63=""),"Overdue","On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33"/>
      <c r="I63" s="33"/>
      <c r="J63" s="33"/>
      <c r="K63" s="50">
        <v>46295</v>
      </c>
      <c r="L63" s="3" t="s">
        <v>173</v>
      </c>
      <c r="M63" s="60">
        <v>46276</v>
      </c>
      <c r="N63" s="36"/>
      <c r="O63" s="36"/>
      <c r="P63" s="36"/>
      <c r="Q63" s="54">
        <v>46286</v>
      </c>
      <c r="R63" s="36"/>
      <c r="S63" s="36"/>
      <c r="T63" s="36"/>
      <c r="U63" s="56">
        <v>46290</v>
      </c>
      <c r="V63" s="36"/>
      <c r="W63" s="36"/>
      <c r="X63" s="36"/>
      <c r="Y63" s="58">
        <v>46295</v>
      </c>
      <c r="Z63" s="36"/>
      <c r="AA63" s="33"/>
      <c r="AB63" s="38"/>
      <c r="AC63" s="36"/>
      <c r="AD63" s="39"/>
      <c r="AE63" s="33"/>
      <c r="AF63" s="40" t="s">
        <v>45</v>
      </c>
      <c r="AG63" s="48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Log'!$A$3:$A$500,$B63)&gt;0,"",IF(AND(U63&lt;&gt;"",M63&lt;&gt;"",U63&lt;M63),"QA target is before DB Dev target",IF(AND(U63&lt;&gt;"",Q63&lt;&gt;"",U63&lt;Q63),"QA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>
      <c r="A64" s="33" t="s">
        <v>112</v>
      </c>
      <c r="B64" s="33" t="s">
        <v>182</v>
      </c>
      <c r="C64" s="33" t="s">
        <v>159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Dev",IF(Q64="","No target set",IF(AND(Q64&lt;TODAY(),S64=""),"Overdue","On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33"/>
      <c r="I64" s="33"/>
      <c r="J64" s="33"/>
      <c r="K64" s="50">
        <v>46295</v>
      </c>
      <c r="L64" s="3" t="s">
        <v>173</v>
      </c>
      <c r="M64" s="60">
        <v>46276</v>
      </c>
      <c r="N64" s="36"/>
      <c r="O64" s="36"/>
      <c r="P64" s="36"/>
      <c r="Q64" s="54">
        <v>46286</v>
      </c>
      <c r="R64" s="36"/>
      <c r="S64" s="36"/>
      <c r="T64" s="36"/>
      <c r="U64" s="56">
        <v>46290</v>
      </c>
      <c r="V64" s="36"/>
      <c r="W64" s="36"/>
      <c r="X64" s="36"/>
      <c r="Y64" s="58">
        <v>46295</v>
      </c>
      <c r="Z64" s="36"/>
      <c r="AA64" s="33"/>
      <c r="AB64" s="38"/>
      <c r="AC64" s="36"/>
      <c r="AD64" s="39"/>
      <c r="AE64" s="33"/>
      <c r="AF64" s="40" t="s">
        <v>45</v>
      </c>
      <c r="AG64" s="48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Log'!$A$3:$A$500,$B64)&gt;0,"",IF(AND(U64&lt;&gt;"",M64&lt;&gt;"",U64&lt;M64),"QA target is before DB Dev target",IF(AND(U64&lt;&gt;"",Q64&lt;&gt;"",U64&lt;Q64),"QA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>
      <c r="A65" s="33" t="s">
        <v>112</v>
      </c>
      <c r="B65" s="33" t="s">
        <v>183</v>
      </c>
      <c r="C65" s="33" t="s">
        <v>159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Dev",IF(Q65="","No target set",IF(AND(Q65&lt;TODAY(),S65=""),"Overdue","On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33"/>
      <c r="I65" s="33"/>
      <c r="J65" s="33"/>
      <c r="K65" s="50">
        <v>46295</v>
      </c>
      <c r="L65" s="3" t="s">
        <v>173</v>
      </c>
      <c r="M65" s="60">
        <v>46276</v>
      </c>
      <c r="N65" s="36"/>
      <c r="O65" s="36"/>
      <c r="P65" s="36"/>
      <c r="Q65" s="54">
        <v>46286</v>
      </c>
      <c r="R65" s="36"/>
      <c r="S65" s="36"/>
      <c r="T65" s="36"/>
      <c r="U65" s="56">
        <v>46290</v>
      </c>
      <c r="V65" s="36"/>
      <c r="W65" s="36"/>
      <c r="X65" s="36"/>
      <c r="Y65" s="58">
        <v>46295</v>
      </c>
      <c r="Z65" s="36"/>
      <c r="AA65" s="33"/>
      <c r="AB65" s="38"/>
      <c r="AC65" s="36"/>
      <c r="AD65" s="39"/>
      <c r="AE65" s="33"/>
      <c r="AF65" s="40" t="s">
        <v>45</v>
      </c>
      <c r="AG65" s="48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Log'!$A$3:$A$500,$B65)&gt;0,"",IF(AND(U65&lt;&gt;"",M65&lt;&gt;"",U65&lt;M65),"QA target is before DB Dev target",IF(AND(U65&lt;&gt;"",Q65&lt;&gt;"",U65&lt;Q65),"QA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>
      <c r="A66" s="33" t="s">
        <v>112</v>
      </c>
      <c r="B66" s="33" t="s">
        <v>184</v>
      </c>
      <c r="C66" s="33" t="s">
        <v>159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STARTED",IF(K66="","No plan date set",IF(K66&lt;TODAY(),"Review - planned start passed","On track")),IF(C66="DB Dev",IF(M66="","No target set",IF(AND(M66&lt;TODAY(),O66=""),"Overdue","On track")),IF(C66="PBI Dev",IF(Q66="","No target set",IF(AND(Q66&lt;TODAY(),S66=""),"Overdue","On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33"/>
      <c r="I66" s="33"/>
      <c r="J66" s="33"/>
      <c r="K66" s="50">
        <v>46295</v>
      </c>
      <c r="L66" s="3" t="s">
        <v>173</v>
      </c>
      <c r="M66" s="60">
        <v>46276</v>
      </c>
      <c r="N66" s="36"/>
      <c r="O66" s="36"/>
      <c r="P66" s="36"/>
      <c r="Q66" s="54">
        <v>46286</v>
      </c>
      <c r="R66" s="36"/>
      <c r="S66" s="36"/>
      <c r="T66" s="36"/>
      <c r="U66" s="56">
        <v>46290</v>
      </c>
      <c r="V66" s="36"/>
      <c r="W66" s="36"/>
      <c r="X66" s="36"/>
      <c r="Y66" s="58">
        <v>46295</v>
      </c>
      <c r="Z66" s="36"/>
      <c r="AA66" s="33"/>
      <c r="AB66" s="38"/>
      <c r="AC66" s="36"/>
      <c r="AD66" s="39"/>
      <c r="AE66" s="33"/>
      <c r="AF66" s="40" t="s">
        <v>45</v>
      </c>
      <c r="AG66" s="48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fix",O66&lt;&gt;"",SUMPRODUCT(MAX((('Rework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Log'!$A$3:$A$500,$B66)&gt;0,"",IF(AND(U66&lt;&gt;"",M66&lt;&gt;"",U66&lt;M66),"QA target is before DB Dev target",IF(AND(U66&lt;&gt;"",Q66&lt;&gt;"",U66&lt;Q66),"QA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>
      <c r="A67" s="33" t="s">
        <v>112</v>
      </c>
      <c r="B67" s="33" t="s">
        <v>185</v>
      </c>
      <c r="C67" s="33" t="s">
        <v>159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STARTED",IF(K67="","No plan date set",IF(K67&lt;TODAY(),"Review - planned start passed","On track")),IF(C67="DB Dev",IF(M67="","No target set",IF(AND(M67&lt;TODAY(),O67=""),"Overdue","On track")),IF(C67="PBI Dev",IF(Q67="","No target set",IF(AND(Q67&lt;TODAY(),S67=""),"Overdue","On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33"/>
      <c r="I67" s="33"/>
      <c r="J67" s="33"/>
      <c r="K67" s="50">
        <v>46295</v>
      </c>
      <c r="L67" s="3" t="s">
        <v>173</v>
      </c>
      <c r="M67" s="60">
        <v>46276</v>
      </c>
      <c r="N67" s="36"/>
      <c r="O67" s="36"/>
      <c r="P67" s="36"/>
      <c r="Q67" s="54">
        <v>46286</v>
      </c>
      <c r="R67" s="36"/>
      <c r="S67" s="36"/>
      <c r="T67" s="36"/>
      <c r="U67" s="56">
        <v>46290</v>
      </c>
      <c r="V67" s="36"/>
      <c r="W67" s="36"/>
      <c r="X67" s="36"/>
      <c r="Y67" s="58">
        <v>46295</v>
      </c>
      <c r="Z67" s="36"/>
      <c r="AA67" s="33"/>
      <c r="AB67" s="38"/>
      <c r="AC67" s="36"/>
      <c r="AD67" s="39"/>
      <c r="AE67" s="33"/>
      <c r="AF67" s="40" t="s">
        <v>45</v>
      </c>
      <c r="AG67" s="48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fix",O67&lt;&gt;"",SUMPRODUCT(MAX((('Rework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Log'!$A$3:$A$500,$B67)&gt;0,"",IF(AND(U67&lt;&gt;"",M67&lt;&gt;"",U67&lt;M67),"QA target is before DB Dev target",IF(AND(U67&lt;&gt;"",Q67&lt;&gt;"",U67&lt;Q67),"QA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>
      <c r="A68" s="33" t="s">
        <v>112</v>
      </c>
      <c r="B68" s="33" t="s">
        <v>186</v>
      </c>
      <c r="C68" s="33" t="s">
        <v>159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STARTED",IF(K68="","No plan date set",IF(K68&lt;TODAY(),"Review - planned start passed","On track")),IF(C68="DB Dev",IF(M68="","No target set",IF(AND(M68&lt;TODAY(),O68=""),"Overdue","On track")),IF(C68="PBI Dev",IF(Q68="","No target set",IF(AND(Q68&lt;TODAY(),S68=""),"Overdue","On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33"/>
      <c r="I68" s="33"/>
      <c r="J68" s="33"/>
      <c r="K68" s="50">
        <v>46295</v>
      </c>
      <c r="L68" s="3" t="s">
        <v>173</v>
      </c>
      <c r="M68" s="60">
        <v>46276</v>
      </c>
      <c r="N68" s="36"/>
      <c r="O68" s="36"/>
      <c r="P68" s="36"/>
      <c r="Q68" s="54">
        <v>46286</v>
      </c>
      <c r="R68" s="36"/>
      <c r="S68" s="36"/>
      <c r="T68" s="36"/>
      <c r="U68" s="56">
        <v>46290</v>
      </c>
      <c r="V68" s="36"/>
      <c r="W68" s="36"/>
      <c r="X68" s="36"/>
      <c r="Y68" s="58">
        <v>46295</v>
      </c>
      <c r="Z68" s="36"/>
      <c r="AA68" s="33"/>
      <c r="AB68" s="38"/>
      <c r="AC68" s="36"/>
      <c r="AD68" s="39"/>
      <c r="AE68" s="33"/>
      <c r="AF68" s="40" t="s">
        <v>45</v>
      </c>
      <c r="AG68" s="48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fix",O68&lt;&gt;"",SUMPRODUCT(MAX((('Rework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Log'!$A$3:$A$500,$B68)&gt;0,"",IF(AND(U68&lt;&gt;"",M68&lt;&gt;"",U68&lt;M68),"QA target is before DB Dev target",IF(AND(U68&lt;&gt;"",Q68&lt;&gt;"",U68&lt;Q68),"QA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>
      <c r="A69" s="33" t="s">
        <v>112</v>
      </c>
      <c r="B69" s="33" t="s">
        <v>187</v>
      </c>
      <c r="C69" s="33" t="s">
        <v>159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STARTED",IF(K69="","No plan date set",IF(K69&lt;TODAY(),"Review - planned start passed","On track")),IF(C69="DB Dev",IF(M69="","No target set",IF(AND(M69&lt;TODAY(),O69=""),"Overdue","On track")),IF(C69="PBI Dev",IF(Q69="","No target set",IF(AND(Q69&lt;TODAY(),S69=""),"Overdue","On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33"/>
      <c r="I69" s="33"/>
      <c r="J69" s="33"/>
      <c r="K69" s="50">
        <v>46295</v>
      </c>
      <c r="L69" s="3" t="s">
        <v>173</v>
      </c>
      <c r="M69" s="60">
        <v>46276</v>
      </c>
      <c r="N69" s="36"/>
      <c r="O69" s="36"/>
      <c r="P69" s="36"/>
      <c r="Q69" s="54">
        <v>46286</v>
      </c>
      <c r="R69" s="36"/>
      <c r="S69" s="36"/>
      <c r="T69" s="36"/>
      <c r="U69" s="56">
        <v>46290</v>
      </c>
      <c r="V69" s="36"/>
      <c r="W69" s="36"/>
      <c r="X69" s="36"/>
      <c r="Y69" s="58">
        <v>46295</v>
      </c>
      <c r="Z69" s="36"/>
      <c r="AA69" s="33"/>
      <c r="AB69" s="38"/>
      <c r="AC69" s="36"/>
      <c r="AD69" s="39"/>
      <c r="AE69" s="33"/>
      <c r="AF69" s="40" t="s">
        <v>45</v>
      </c>
      <c r="AG69" s="48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fix",O69&lt;&gt;"",SUMPRODUCT(MAX((('Rework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Log'!$A$3:$A$500,$B69)&gt;0,"",IF(AND(U69&lt;&gt;"",M69&lt;&gt;"",U69&lt;M69),"QA target is before DB Dev target",IF(AND(U69&lt;&gt;"",Q69&lt;&gt;"",U69&lt;Q69),"QA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>
      <c r="A70" s="33" t="s">
        <v>112</v>
      </c>
      <c r="B70" s="33" t="s">
        <v>188</v>
      </c>
      <c r="C70" s="33" t="s">
        <v>159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STARTED",IF(K70="","No plan date set",IF(K70&lt;TODAY(),"Review - planned start passed","On track")),IF(C70="DB Dev",IF(M70="","No target set",IF(AND(M70&lt;TODAY(),O70=""),"Overdue","On track")),IF(C70="PBI Dev",IF(Q70="","No target set",IF(AND(Q70&lt;TODAY(),S70=""),"Overdue","On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33"/>
      <c r="I70" s="33"/>
      <c r="J70" s="33"/>
      <c r="K70" s="50">
        <v>46295</v>
      </c>
      <c r="L70" s="3" t="s">
        <v>173</v>
      </c>
      <c r="M70" s="60">
        <v>46276</v>
      </c>
      <c r="N70" s="36"/>
      <c r="O70" s="36"/>
      <c r="P70" s="36"/>
      <c r="Q70" s="54">
        <v>46286</v>
      </c>
      <c r="R70" s="36"/>
      <c r="S70" s="36"/>
      <c r="T70" s="36"/>
      <c r="U70" s="56">
        <v>46290</v>
      </c>
      <c r="V70" s="36"/>
      <c r="W70" s="36"/>
      <c r="X70" s="36"/>
      <c r="Y70" s="58">
        <v>46295</v>
      </c>
      <c r="Z70" s="36"/>
      <c r="AA70" s="33"/>
      <c r="AB70" s="38"/>
      <c r="AC70" s="36"/>
      <c r="AD70" s="39"/>
      <c r="AE70" s="33"/>
      <c r="AF70" s="40" t="s">
        <v>45</v>
      </c>
      <c r="AG70" s="48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fix",O70&lt;&gt;"",SUMPRODUCT(MAX((('Rework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Log'!$A$3:$A$500,$B70)&gt;0,"",IF(AND(U70&lt;&gt;"",M70&lt;&gt;"",U70&lt;M70),"QA target is before DB Dev target",IF(AND(U70&lt;&gt;"",Q70&lt;&gt;"",U70&lt;Q70),"QA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>
      <c r="A71" s="33" t="s">
        <v>112</v>
      </c>
      <c r="B71" s="33" t="s">
        <v>189</v>
      </c>
      <c r="C71" s="33" t="s">
        <v>159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STARTED",IF(K71="","No plan date set",IF(K71&lt;TODAY(),"Review - planned start passed","On track")),IF(C71="DB Dev",IF(M71="","No target set",IF(AND(M71&lt;TODAY(),O71=""),"Overdue","On track")),IF(C71="PBI Dev",IF(Q71="","No target set",IF(AND(Q71&lt;TODAY(),S71=""),"Overdue","On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33"/>
      <c r="I71" s="33"/>
      <c r="J71" s="33"/>
      <c r="K71" s="50">
        <v>46295</v>
      </c>
      <c r="L71" s="3" t="s">
        <v>173</v>
      </c>
      <c r="M71" s="60">
        <v>46276</v>
      </c>
      <c r="N71" s="36"/>
      <c r="O71" s="36"/>
      <c r="P71" s="36"/>
      <c r="Q71" s="54">
        <v>46286</v>
      </c>
      <c r="R71" s="36"/>
      <c r="S71" s="36"/>
      <c r="T71" s="36"/>
      <c r="U71" s="56">
        <v>46290</v>
      </c>
      <c r="V71" s="36"/>
      <c r="W71" s="36"/>
      <c r="X71" s="36"/>
      <c r="Y71" s="58">
        <v>46295</v>
      </c>
      <c r="Z71" s="36"/>
      <c r="AA71" s="33"/>
      <c r="AB71" s="38"/>
      <c r="AC71" s="36"/>
      <c r="AD71" s="39"/>
      <c r="AE71" s="33"/>
      <c r="AF71" s="40" t="s">
        <v>45</v>
      </c>
      <c r="AG71" s="48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fix",O71&lt;&gt;"",SUMPRODUCT(MAX((('Rework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Log'!$A$3:$A$500,$B71)&gt;0,"",IF(AND(U71&lt;&gt;"",M71&lt;&gt;"",U71&lt;M71),"QA target is before DB Dev target",IF(AND(U71&lt;&gt;"",Q71&lt;&gt;"",U71&lt;Q71),"QA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>
      <c r="A72" s="33" t="s">
        <v>112</v>
      </c>
      <c r="B72" s="33" t="s">
        <v>190</v>
      </c>
      <c r="C72" s="33" t="s">
        <v>159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STARTED",IF(K72="","No plan date set",IF(K72&lt;TODAY(),"Review - planned start passed","On track")),IF(C72="DB Dev",IF(M72="","No target set",IF(AND(M72&lt;TODAY(),O72=""),"Overdue","On track")),IF(C72="PBI Dev",IF(Q72="","No target set",IF(AND(Q72&lt;TODAY(),S72=""),"Overdue","On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33"/>
      <c r="I72" s="33"/>
      <c r="J72" s="33"/>
      <c r="K72" s="50">
        <v>46295</v>
      </c>
      <c r="L72" s="3" t="s">
        <v>173</v>
      </c>
      <c r="M72" s="60">
        <v>46276</v>
      </c>
      <c r="N72" s="36"/>
      <c r="O72" s="36"/>
      <c r="P72" s="36"/>
      <c r="Q72" s="54">
        <v>46286</v>
      </c>
      <c r="R72" s="36"/>
      <c r="S72" s="36"/>
      <c r="T72" s="36"/>
      <c r="U72" s="56">
        <v>46290</v>
      </c>
      <c r="V72" s="36"/>
      <c r="W72" s="36"/>
      <c r="X72" s="36"/>
      <c r="Y72" s="58">
        <v>46295</v>
      </c>
      <c r="Z72" s="36"/>
      <c r="AA72" s="33"/>
      <c r="AB72" s="38"/>
      <c r="AC72" s="36"/>
      <c r="AD72" s="39"/>
      <c r="AE72" s="33"/>
      <c r="AF72" s="40" t="s">
        <v>45</v>
      </c>
      <c r="AG72" s="48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fix",O72&lt;&gt;"",SUMPRODUCT(MAX((('Rework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Log'!$A$3:$A$500,$B72)&gt;0,"",IF(AND(U72&lt;&gt;"",M72&lt;&gt;"",U72&lt;M72),"QA target is before DB Dev target",IF(AND(U72&lt;&gt;"",Q72&lt;&gt;"",U72&lt;Q72),"QA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>
      <c r="A73" s="31" t="s">
        <v>112</v>
      </c>
      <c r="B73" s="31"/>
      <c r="C73" s="31"/>
      <c r="D73" s="3"/>
      <c r="E73" s="31"/>
      <c r="F73" s="31"/>
      <c r="G73" s="31"/>
      <c r="H73" s="31"/>
      <c r="I73" s="31"/>
      <c r="J73" s="31"/>
      <c r="K73" s="51"/>
      <c r="M73" s="51"/>
      <c r="N73" s="43"/>
      <c r="O73" s="44"/>
      <c r="P73" s="44"/>
      <c r="Q73" s="51"/>
      <c r="R73" s="43"/>
      <c r="S73" s="44"/>
      <c r="T73" s="44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>
      <c r="A74" s="31"/>
      <c r="B74" s="31"/>
      <c r="C74" s="31"/>
      <c r="E74" s="31"/>
      <c r="F74" s="31"/>
      <c r="G74" s="31"/>
      <c r="H74" s="31"/>
      <c r="I74" s="31"/>
      <c r="J74" s="31"/>
      <c r="N74" s="31"/>
      <c r="O74" s="31"/>
      <c r="P74" s="31"/>
      <c r="R74" s="31"/>
      <c r="S74" s="31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>
      <c r="A75" s="31"/>
      <c r="B75" s="31"/>
      <c r="C75" s="31"/>
      <c r="E75" s="31"/>
      <c r="F75" s="31"/>
      <c r="G75" s="31"/>
      <c r="H75" s="31"/>
      <c r="I75" s="31"/>
      <c r="J75" s="31"/>
      <c r="N75" s="31"/>
      <c r="O75" s="31"/>
      <c r="P75" s="31"/>
      <c r="R75" s="31"/>
      <c r="S75" s="31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>
      <c r="A76" s="31"/>
      <c r="B76" s="31"/>
      <c r="C76" s="31"/>
      <c r="E76" s="31"/>
      <c r="F76" s="31"/>
      <c r="G76" s="31"/>
      <c r="H76" s="31"/>
      <c r="I76" s="31"/>
      <c r="J76" s="31"/>
      <c r="N76" s="31"/>
      <c r="O76" s="31"/>
      <c r="P76" s="31"/>
      <c r="R76" s="31"/>
      <c r="S76" s="31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>
      <c r="A77" s="31"/>
      <c r="B77" s="31"/>
      <c r="C77" s="31"/>
      <c r="E77" s="31"/>
      <c r="F77" s="31"/>
      <c r="G77" s="31"/>
      <c r="H77" s="31"/>
      <c r="I77" s="31"/>
      <c r="J77" s="31"/>
      <c r="N77" s="31"/>
      <c r="O77" s="31"/>
      <c r="P77" s="31"/>
      <c r="R77" s="31"/>
      <c r="S77" s="31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>
      <c r="A78" s="31"/>
      <c r="B78" s="31"/>
      <c r="C78" s="31"/>
      <c r="E78" s="31"/>
      <c r="F78" s="31"/>
      <c r="G78" s="31"/>
      <c r="H78" s="31"/>
      <c r="I78" s="31"/>
      <c r="J78" s="31"/>
      <c r="N78" s="31"/>
      <c r="O78" s="31"/>
      <c r="P78" s="31"/>
      <c r="R78" s="31"/>
      <c r="S78" s="31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>
      <c r="A79" s="31"/>
      <c r="B79" s="31"/>
      <c r="C79" s="31"/>
      <c r="E79" s="31"/>
      <c r="F79" s="31"/>
      <c r="G79" s="31"/>
      <c r="H79" s="31"/>
      <c r="I79" s="31"/>
      <c r="J79" s="31"/>
      <c r="N79" s="31"/>
      <c r="O79" s="31"/>
      <c r="P79" s="31"/>
      <c r="R79" s="31"/>
      <c r="S79" s="31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>
      <c r="A80" s="31"/>
      <c r="B80" s="31"/>
      <c r="C80" s="31"/>
      <c r="E80" s="31"/>
      <c r="F80" s="31"/>
      <c r="G80" s="31"/>
      <c r="H80" s="31"/>
      <c r="I80" s="31"/>
      <c r="J80" s="31"/>
      <c r="N80" s="31"/>
      <c r="O80" s="31"/>
      <c r="P80" s="31"/>
      <c r="R80" s="31"/>
      <c r="S80" s="31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>
      <c r="A81" s="31"/>
      <c r="B81" s="31"/>
      <c r="C81" s="31"/>
      <c r="E81" s="31"/>
      <c r="F81" s="31"/>
      <c r="G81" s="31"/>
      <c r="H81" s="31"/>
      <c r="I81" s="31"/>
      <c r="J81" s="31"/>
      <c r="N81" s="31"/>
      <c r="O81" s="31"/>
      <c r="P81" s="31"/>
      <c r="R81" s="31"/>
      <c r="S81" s="31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>
      <c r="A82" s="31"/>
      <c r="B82" s="31"/>
      <c r="C82" s="31"/>
      <c r="E82" s="31"/>
      <c r="F82" s="31"/>
      <c r="G82" s="31"/>
      <c r="H82" s="31"/>
      <c r="I82" s="31"/>
      <c r="J82" s="31"/>
      <c r="N82" s="31"/>
      <c r="O82" s="31"/>
      <c r="P82" s="31"/>
      <c r="R82" s="31"/>
      <c r="S82" s="31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>
      <c r="A83" s="31"/>
      <c r="B83" s="31"/>
      <c r="C83" s="31"/>
      <c r="E83" s="31"/>
      <c r="F83" s="31"/>
      <c r="G83" s="31"/>
      <c r="H83" s="31"/>
      <c r="I83" s="31"/>
      <c r="J83" s="31"/>
      <c r="N83" s="31"/>
      <c r="O83" s="31"/>
      <c r="P83" s="31"/>
      <c r="R83" s="31"/>
      <c r="S83" s="31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>
      <c r="A84" s="31"/>
      <c r="B84" s="31"/>
      <c r="C84" s="31"/>
      <c r="E84" s="31"/>
      <c r="F84" s="31"/>
      <c r="G84" s="31"/>
      <c r="H84" s="31"/>
      <c r="I84" s="31"/>
      <c r="J84" s="31"/>
      <c r="N84" s="31"/>
      <c r="O84" s="31"/>
      <c r="P84" s="31"/>
      <c r="R84" s="31"/>
      <c r="S84" s="31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>
      <c r="A85" s="31"/>
      <c r="B85" s="31"/>
      <c r="C85" s="31"/>
      <c r="E85" s="31"/>
      <c r="F85" s="31"/>
      <c r="G85" s="31"/>
      <c r="H85" s="31"/>
      <c r="I85" s="31"/>
      <c r="J85" s="31"/>
      <c r="N85" s="31"/>
      <c r="O85" s="31"/>
      <c r="P85" s="31"/>
      <c r="R85" s="31"/>
      <c r="S85" s="31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>
      <c r="A86" s="31"/>
      <c r="B86" s="31"/>
      <c r="C86" s="31"/>
      <c r="E86" s="31"/>
      <c r="F86" s="31"/>
      <c r="G86" s="31"/>
      <c r="H86" s="31"/>
      <c r="I86" s="31"/>
      <c r="J86" s="31"/>
      <c r="N86" s="31"/>
      <c r="O86" s="31"/>
      <c r="P86" s="31"/>
      <c r="R86" s="31"/>
      <c r="S86" s="31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>
      <c r="A87" s="31"/>
      <c r="B87" s="31"/>
      <c r="C87" s="31"/>
      <c r="E87" s="31"/>
      <c r="F87" s="31"/>
      <c r="G87" s="31"/>
      <c r="H87" s="31"/>
      <c r="I87" s="31"/>
      <c r="J87" s="31"/>
      <c r="N87" s="31"/>
      <c r="O87" s="31"/>
      <c r="P87" s="31"/>
      <c r="R87" s="31"/>
      <c r="S87" s="31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>
      <c r="A88" s="31"/>
      <c r="B88" s="31"/>
      <c r="C88" s="31"/>
      <c r="E88" s="31"/>
      <c r="F88" s="31"/>
      <c r="G88" s="31"/>
      <c r="H88" s="31"/>
      <c r="I88" s="31"/>
      <c r="J88" s="31"/>
      <c r="N88" s="31"/>
      <c r="O88" s="31"/>
      <c r="P88" s="31"/>
      <c r="R88" s="31"/>
      <c r="S88" s="31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>
      <c r="A89" s="31"/>
      <c r="B89" s="31"/>
      <c r="C89" s="31"/>
      <c r="E89" s="31"/>
      <c r="F89" s="31"/>
      <c r="G89" s="31"/>
      <c r="H89" s="31"/>
      <c r="I89" s="31"/>
      <c r="J89" s="31"/>
      <c r="N89" s="31"/>
      <c r="O89" s="31"/>
      <c r="P89" s="31"/>
      <c r="R89" s="31"/>
      <c r="S89" s="31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>
      <c r="A90" s="31"/>
      <c r="B90" s="31"/>
      <c r="C90" s="31"/>
      <c r="E90" s="31"/>
      <c r="F90" s="31"/>
      <c r="G90" s="31"/>
      <c r="H90" s="31"/>
      <c r="I90" s="31"/>
      <c r="J90" s="31"/>
      <c r="N90" s="31"/>
      <c r="O90" s="31"/>
      <c r="P90" s="31"/>
      <c r="R90" s="31"/>
      <c r="S90" s="31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>
      <c r="A91" s="31"/>
      <c r="B91" s="31"/>
      <c r="C91" s="31"/>
      <c r="E91" s="31"/>
      <c r="F91" s="31"/>
      <c r="G91" s="31"/>
      <c r="H91" s="31"/>
      <c r="I91" s="31"/>
      <c r="J91" s="31"/>
      <c r="N91" s="31"/>
      <c r="O91" s="31"/>
      <c r="P91" s="31"/>
      <c r="R91" s="31"/>
      <c r="S91" s="31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>
      <c r="A92" s="31"/>
      <c r="B92" s="31"/>
      <c r="C92" s="31"/>
      <c r="E92" s="31"/>
      <c r="F92" s="31"/>
      <c r="G92" s="31"/>
      <c r="H92" s="31"/>
      <c r="I92" s="31"/>
      <c r="J92" s="31"/>
      <c r="N92" s="31"/>
      <c r="O92" s="31"/>
      <c r="P92" s="31"/>
      <c r="R92" s="31"/>
      <c r="S92" s="31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>
      <c r="A93" s="31"/>
      <c r="B93" s="31"/>
      <c r="C93" s="31"/>
      <c r="E93" s="31"/>
      <c r="F93" s="31"/>
      <c r="G93" s="31"/>
      <c r="H93" s="31"/>
      <c r="I93" s="31"/>
      <c r="J93" s="31"/>
      <c r="N93" s="31"/>
      <c r="O93" s="31"/>
      <c r="P93" s="31"/>
      <c r="R93" s="31"/>
      <c r="S93" s="31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>
      <c r="A94" s="31"/>
      <c r="B94" s="31"/>
      <c r="C94" s="31"/>
      <c r="E94" s="31"/>
      <c r="F94" s="31"/>
      <c r="G94" s="31"/>
      <c r="H94" s="31"/>
      <c r="I94" s="31"/>
      <c r="J94" s="31"/>
      <c r="N94" s="31"/>
      <c r="O94" s="31"/>
      <c r="P94" s="31"/>
      <c r="R94" s="31"/>
      <c r="S94" s="31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>
      <c r="A95" s="31"/>
      <c r="B95" s="31"/>
      <c r="C95" s="31"/>
      <c r="E95" s="31"/>
      <c r="F95" s="31"/>
      <c r="G95" s="31"/>
      <c r="H95" s="31"/>
      <c r="I95" s="31"/>
      <c r="J95" s="31"/>
      <c r="N95" s="31"/>
      <c r="O95" s="31"/>
      <c r="P95" s="31"/>
      <c r="R95" s="31"/>
      <c r="S95" s="31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>
      <c r="A96" s="31"/>
      <c r="B96" s="31"/>
      <c r="C96" s="31"/>
      <c r="E96" s="31"/>
      <c r="F96" s="31"/>
      <c r="G96" s="31"/>
      <c r="H96" s="31"/>
      <c r="I96" s="31"/>
      <c r="J96" s="31"/>
      <c r="N96" s="31"/>
      <c r="O96" s="31"/>
      <c r="P96" s="31"/>
      <c r="R96" s="31"/>
      <c r="S96" s="31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>
      <c r="A97" s="31"/>
      <c r="B97" s="31"/>
      <c r="C97" s="31"/>
      <c r="E97" s="31"/>
      <c r="F97" s="31"/>
      <c r="G97" s="31"/>
      <c r="H97" s="31"/>
      <c r="I97" s="31"/>
      <c r="J97" s="31"/>
      <c r="N97" s="31"/>
      <c r="O97" s="31"/>
      <c r="P97" s="31"/>
      <c r="R97" s="31"/>
      <c r="S97" s="31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>
      <c r="A98" s="31"/>
      <c r="B98" s="31"/>
      <c r="C98" s="31"/>
      <c r="E98" s="31"/>
      <c r="F98" s="31"/>
      <c r="G98" s="31"/>
      <c r="H98" s="31"/>
      <c r="I98" s="31"/>
      <c r="J98" s="31"/>
      <c r="N98" s="31"/>
      <c r="O98" s="31"/>
      <c r="P98" s="31"/>
      <c r="R98" s="31"/>
      <c r="S98" s="31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>
      <c r="A99" s="31"/>
      <c r="B99" s="31"/>
      <c r="C99" s="31"/>
      <c r="E99" s="31"/>
      <c r="F99" s="31"/>
      <c r="G99" s="31"/>
      <c r="H99" s="31"/>
      <c r="I99" s="31"/>
      <c r="J99" s="31"/>
      <c r="N99" s="31"/>
      <c r="O99" s="31"/>
      <c r="P99" s="31"/>
      <c r="R99" s="31"/>
      <c r="S99" s="31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>
      <c r="A100" s="31"/>
      <c r="B100" s="31"/>
      <c r="C100" s="31"/>
      <c r="E100" s="31"/>
      <c r="F100" s="31"/>
      <c r="G100" s="31"/>
      <c r="H100" s="31"/>
      <c r="I100" s="31"/>
      <c r="J100" s="31"/>
      <c r="N100" s="31"/>
      <c r="O100" s="31"/>
      <c r="P100" s="31"/>
      <c r="R100" s="31"/>
      <c r="S100" s="31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>
      <c r="A101" s="31"/>
      <c r="B101" s="31"/>
      <c r="C101" s="31"/>
      <c r="E101" s="31"/>
      <c r="F101" s="31"/>
      <c r="G101" s="31"/>
      <c r="H101" s="31"/>
      <c r="I101" s="31"/>
      <c r="J101" s="31"/>
      <c r="N101" s="31"/>
      <c r="O101" s="31"/>
      <c r="P101" s="31"/>
      <c r="R101" s="31"/>
      <c r="S101" s="31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>
      <c r="A102" s="31"/>
      <c r="B102" s="31"/>
      <c r="C102" s="31"/>
      <c r="E102" s="31"/>
      <c r="F102" s="31"/>
      <c r="G102" s="31"/>
      <c r="H102" s="31"/>
      <c r="I102" s="31"/>
      <c r="J102" s="31"/>
      <c r="N102" s="31"/>
      <c r="O102" s="31"/>
      <c r="P102" s="31"/>
      <c r="R102" s="31"/>
      <c r="S102" s="31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>
      <c r="A103" s="31"/>
      <c r="B103" s="31"/>
      <c r="C103" s="31"/>
      <c r="E103" s="31"/>
      <c r="F103" s="31"/>
      <c r="G103" s="31"/>
      <c r="H103" s="31"/>
      <c r="I103" s="31"/>
      <c r="J103" s="31"/>
      <c r="N103" s="31"/>
      <c r="O103" s="31"/>
      <c r="P103" s="31"/>
      <c r="R103" s="31"/>
      <c r="S103" s="31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>
      <c r="A104" s="31"/>
      <c r="B104" s="31"/>
      <c r="C104" s="31"/>
      <c r="E104" s="31"/>
      <c r="F104" s="31"/>
      <c r="G104" s="31"/>
      <c r="H104" s="31"/>
      <c r="I104" s="31"/>
      <c r="J104" s="31"/>
      <c r="N104" s="31"/>
      <c r="O104" s="31"/>
      <c r="P104" s="31"/>
      <c r="R104" s="31"/>
      <c r="S104" s="31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>
      <c r="A105" s="31"/>
      <c r="B105" s="31"/>
      <c r="C105" s="31"/>
      <c r="E105" s="31"/>
      <c r="F105" s="31"/>
      <c r="G105" s="31"/>
      <c r="H105" s="31"/>
      <c r="I105" s="31"/>
      <c r="J105" s="31"/>
      <c r="N105" s="31"/>
      <c r="O105" s="31"/>
      <c r="P105" s="31"/>
      <c r="R105" s="31"/>
      <c r="S105" s="31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>
      <c r="A106" s="31"/>
      <c r="B106" s="31"/>
      <c r="C106" s="31"/>
      <c r="E106" s="31"/>
      <c r="F106" s="31"/>
      <c r="G106" s="31"/>
      <c r="H106" s="31"/>
      <c r="I106" s="31"/>
      <c r="J106" s="31"/>
      <c r="N106" s="31"/>
      <c r="O106" s="31"/>
      <c r="P106" s="31"/>
      <c r="R106" s="31"/>
      <c r="S106" s="31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>
      <c r="A107" s="31"/>
      <c r="B107" s="31"/>
      <c r="C107" s="31"/>
      <c r="E107" s="31"/>
      <c r="F107" s="31"/>
      <c r="G107" s="31"/>
      <c r="H107" s="31"/>
      <c r="I107" s="31"/>
      <c r="J107" s="31"/>
      <c r="N107" s="31"/>
      <c r="O107" s="31"/>
      <c r="P107" s="31"/>
      <c r="R107" s="31"/>
      <c r="S107" s="31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>
      <c r="A108" s="31"/>
      <c r="B108" s="31"/>
      <c r="C108" s="31"/>
      <c r="E108" s="31"/>
      <c r="F108" s="31"/>
      <c r="G108" s="31"/>
      <c r="H108" s="31"/>
      <c r="I108" s="31"/>
      <c r="J108" s="31"/>
      <c r="N108" s="31"/>
      <c r="O108" s="31"/>
      <c r="P108" s="31"/>
      <c r="R108" s="31"/>
      <c r="S108" s="31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>
      <c r="A109" s="31"/>
      <c r="B109" s="31"/>
      <c r="C109" s="31"/>
      <c r="E109" s="31"/>
      <c r="F109" s="31"/>
      <c r="G109" s="31"/>
      <c r="H109" s="31"/>
      <c r="I109" s="31"/>
      <c r="J109" s="31"/>
      <c r="N109" s="31"/>
      <c r="O109" s="31"/>
      <c r="P109" s="31"/>
      <c r="R109" s="31"/>
      <c r="S109" s="31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>
      <c r="A110" s="31"/>
      <c r="B110" s="31"/>
      <c r="C110" s="31"/>
      <c r="E110" s="31"/>
      <c r="F110" s="31"/>
      <c r="G110" s="31"/>
      <c r="H110" s="31"/>
      <c r="I110" s="31"/>
      <c r="J110" s="31"/>
      <c r="N110" s="31"/>
      <c r="O110" s="31"/>
      <c r="P110" s="31"/>
      <c r="R110" s="31"/>
      <c r="S110" s="31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>
      <c r="A111" s="31"/>
      <c r="B111" s="31"/>
      <c r="C111" s="31"/>
      <c r="E111" s="31"/>
      <c r="F111" s="31"/>
      <c r="G111" s="31"/>
      <c r="H111" s="31"/>
      <c r="I111" s="31"/>
      <c r="J111" s="31"/>
      <c r="N111" s="31"/>
      <c r="O111" s="31"/>
      <c r="P111" s="31"/>
      <c r="R111" s="31"/>
      <c r="S111" s="31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>
      <c r="A112" s="31"/>
      <c r="B112" s="31"/>
      <c r="C112" s="31"/>
      <c r="E112" s="31"/>
      <c r="F112" s="31"/>
      <c r="G112" s="31"/>
      <c r="H112" s="31"/>
      <c r="I112" s="31"/>
      <c r="J112" s="31"/>
      <c r="N112" s="31"/>
      <c r="O112" s="31"/>
      <c r="P112" s="31"/>
      <c r="R112" s="31"/>
      <c r="S112" s="31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>
      <c r="A113" s="31"/>
      <c r="B113" s="31"/>
      <c r="C113" s="31"/>
      <c r="E113" s="31"/>
      <c r="F113" s="31"/>
      <c r="G113" s="31"/>
      <c r="H113" s="31"/>
      <c r="I113" s="31"/>
      <c r="J113" s="31"/>
      <c r="N113" s="31"/>
      <c r="O113" s="31"/>
      <c r="P113" s="31"/>
      <c r="R113" s="31"/>
      <c r="S113" s="31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>
      <c r="A114" s="31"/>
      <c r="B114" s="31"/>
      <c r="C114" s="31"/>
      <c r="E114" s="31"/>
      <c r="F114" s="31"/>
      <c r="G114" s="31"/>
      <c r="H114" s="31"/>
      <c r="I114" s="31"/>
      <c r="J114" s="31"/>
      <c r="N114" s="31"/>
      <c r="O114" s="31"/>
      <c r="P114" s="31"/>
      <c r="R114" s="31"/>
      <c r="S114" s="31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>
      <c r="A115" s="31"/>
      <c r="B115" s="31"/>
      <c r="C115" s="31"/>
      <c r="E115" s="31"/>
      <c r="F115" s="31"/>
      <c r="G115" s="31"/>
      <c r="H115" s="31"/>
      <c r="I115" s="31"/>
      <c r="J115" s="31"/>
      <c r="N115" s="31"/>
      <c r="O115" s="31"/>
      <c r="P115" s="31"/>
      <c r="R115" s="31"/>
      <c r="S115" s="31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>
      <c r="A116" s="31"/>
      <c r="B116" s="31"/>
      <c r="C116" s="31"/>
      <c r="E116" s="31"/>
      <c r="F116" s="31"/>
      <c r="G116" s="31"/>
      <c r="H116" s="31"/>
      <c r="I116" s="31"/>
      <c r="J116" s="31"/>
      <c r="N116" s="31"/>
      <c r="O116" s="31"/>
      <c r="P116" s="31"/>
      <c r="R116" s="31"/>
      <c r="S116" s="31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>
      <c r="A117" s="31"/>
      <c r="B117" s="31"/>
      <c r="C117" s="31"/>
      <c r="E117" s="31"/>
      <c r="F117" s="31"/>
      <c r="G117" s="31"/>
      <c r="H117" s="31"/>
      <c r="I117" s="31"/>
      <c r="J117" s="31"/>
      <c r="N117" s="31"/>
      <c r="O117" s="31"/>
      <c r="P117" s="31"/>
      <c r="R117" s="31"/>
      <c r="S117" s="31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>
      <c r="A118" s="31"/>
      <c r="B118" s="31"/>
      <c r="C118" s="31"/>
      <c r="E118" s="31"/>
      <c r="F118" s="31"/>
      <c r="G118" s="31"/>
      <c r="H118" s="31"/>
      <c r="I118" s="31"/>
      <c r="J118" s="31"/>
      <c r="N118" s="31"/>
      <c r="O118" s="31"/>
      <c r="P118" s="31"/>
      <c r="R118" s="31"/>
      <c r="S118" s="31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>
      <c r="A119" s="31"/>
      <c r="B119" s="31"/>
      <c r="C119" s="31"/>
      <c r="E119" s="31"/>
      <c r="F119" s="31"/>
      <c r="G119" s="31"/>
      <c r="H119" s="31"/>
      <c r="I119" s="31"/>
      <c r="J119" s="31"/>
      <c r="N119" s="31"/>
      <c r="O119" s="31"/>
      <c r="P119" s="31"/>
      <c r="R119" s="31"/>
      <c r="S119" s="31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>
      <c r="A120" s="31"/>
      <c r="B120" s="31"/>
      <c r="C120" s="31"/>
      <c r="E120" s="31"/>
      <c r="F120" s="31"/>
      <c r="G120" s="31"/>
      <c r="H120" s="31"/>
      <c r="I120" s="31"/>
      <c r="J120" s="31"/>
      <c r="N120" s="31"/>
      <c r="O120" s="31"/>
      <c r="P120" s="31"/>
      <c r="R120" s="31"/>
      <c r="S120" s="31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>
      <c r="A121" s="31"/>
      <c r="B121" s="31"/>
      <c r="C121" s="31"/>
      <c r="E121" s="31"/>
      <c r="F121" s="31"/>
      <c r="G121" s="31"/>
      <c r="H121" s="31"/>
      <c r="I121" s="31"/>
      <c r="J121" s="31"/>
      <c r="N121" s="31"/>
      <c r="O121" s="31"/>
      <c r="P121" s="31"/>
      <c r="R121" s="31"/>
      <c r="S121" s="31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>
      <c r="A122" s="31"/>
      <c r="B122" s="31"/>
      <c r="C122" s="31"/>
      <c r="E122" s="31"/>
      <c r="F122" s="31"/>
      <c r="G122" s="31"/>
      <c r="H122" s="31"/>
      <c r="I122" s="31"/>
      <c r="J122" s="31"/>
      <c r="N122" s="31"/>
      <c r="O122" s="31"/>
      <c r="P122" s="31"/>
      <c r="R122" s="31"/>
      <c r="S122" s="31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>
      <c r="A123" s="31"/>
      <c r="B123" s="31"/>
      <c r="C123" s="31"/>
      <c r="E123" s="31"/>
      <c r="F123" s="31"/>
      <c r="G123" s="31"/>
      <c r="H123" s="31"/>
      <c r="I123" s="31"/>
      <c r="J123" s="31"/>
      <c r="N123" s="31"/>
      <c r="O123" s="31"/>
      <c r="P123" s="31"/>
      <c r="R123" s="31"/>
      <c r="S123" s="31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>
      <c r="A124" s="31"/>
      <c r="B124" s="31"/>
      <c r="C124" s="31"/>
      <c r="E124" s="31"/>
      <c r="F124" s="31"/>
      <c r="G124" s="31"/>
      <c r="H124" s="31"/>
      <c r="I124" s="31"/>
      <c r="J124" s="31"/>
      <c r="N124" s="31"/>
      <c r="O124" s="31"/>
      <c r="P124" s="31"/>
      <c r="R124" s="31"/>
      <c r="S124" s="31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>
      <c r="A125" s="31"/>
      <c r="B125" s="31"/>
      <c r="C125" s="31"/>
      <c r="E125" s="31"/>
      <c r="F125" s="31"/>
      <c r="G125" s="31"/>
      <c r="H125" s="31"/>
      <c r="I125" s="31"/>
      <c r="J125" s="31"/>
      <c r="N125" s="31"/>
      <c r="O125" s="31"/>
      <c r="P125" s="31"/>
      <c r="R125" s="31"/>
      <c r="S125" s="31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>
      <c r="A126" s="31"/>
      <c r="B126" s="31"/>
      <c r="C126" s="31"/>
      <c r="E126" s="31"/>
      <c r="F126" s="31"/>
      <c r="G126" s="31"/>
      <c r="H126" s="31"/>
      <c r="I126" s="31"/>
      <c r="J126" s="31"/>
      <c r="N126" s="31"/>
      <c r="O126" s="31"/>
      <c r="P126" s="31"/>
      <c r="R126" s="31"/>
      <c r="S126" s="31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>
      <c r="A127" s="31"/>
      <c r="B127" s="31"/>
      <c r="C127" s="31"/>
      <c r="E127" s="31"/>
      <c r="F127" s="31"/>
      <c r="G127" s="31"/>
      <c r="H127" s="31"/>
      <c r="I127" s="31"/>
      <c r="J127" s="31"/>
      <c r="N127" s="31"/>
      <c r="O127" s="31"/>
      <c r="P127" s="31"/>
      <c r="R127" s="31"/>
      <c r="S127" s="31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>
      <c r="A128" s="31"/>
      <c r="B128" s="31"/>
      <c r="C128" s="31"/>
      <c r="E128" s="31"/>
      <c r="F128" s="31"/>
      <c r="G128" s="31"/>
      <c r="H128" s="31"/>
      <c r="I128" s="31"/>
      <c r="J128" s="31"/>
      <c r="N128" s="31"/>
      <c r="O128" s="31"/>
      <c r="P128" s="31"/>
      <c r="R128" s="31"/>
      <c r="S128" s="31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>
      <c r="A129" s="31"/>
      <c r="B129" s="31"/>
      <c r="C129" s="31"/>
      <c r="E129" s="31"/>
      <c r="F129" s="31"/>
      <c r="G129" s="31"/>
      <c r="H129" s="31"/>
      <c r="I129" s="31"/>
      <c r="J129" s="31"/>
      <c r="N129" s="31"/>
      <c r="O129" s="31"/>
      <c r="P129" s="31"/>
      <c r="R129" s="31"/>
      <c r="S129" s="31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>
      <c r="A130" s="31"/>
      <c r="B130" s="31"/>
      <c r="C130" s="31"/>
      <c r="E130" s="31"/>
      <c r="F130" s="31"/>
      <c r="G130" s="31"/>
      <c r="H130" s="31"/>
      <c r="I130" s="31"/>
      <c r="J130" s="31"/>
      <c r="N130" s="31"/>
      <c r="O130" s="31"/>
      <c r="P130" s="31"/>
      <c r="R130" s="31"/>
      <c r="S130" s="31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>
      <c r="A131" s="31"/>
      <c r="B131" s="31"/>
      <c r="C131" s="31"/>
      <c r="E131" s="31"/>
      <c r="F131" s="31"/>
      <c r="G131" s="31"/>
      <c r="H131" s="31"/>
      <c r="I131" s="31"/>
      <c r="J131" s="31"/>
      <c r="N131" s="31"/>
      <c r="O131" s="31"/>
      <c r="P131" s="31"/>
      <c r="R131" s="31"/>
      <c r="S131" s="31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>
      <c r="A132" s="31"/>
      <c r="B132" s="31"/>
      <c r="C132" s="31"/>
      <c r="E132" s="31"/>
      <c r="F132" s="31"/>
      <c r="G132" s="31"/>
      <c r="H132" s="31"/>
      <c r="I132" s="31"/>
      <c r="J132" s="31"/>
      <c r="N132" s="31"/>
      <c r="O132" s="31"/>
      <c r="P132" s="31"/>
      <c r="R132" s="31"/>
      <c r="S132" s="31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>
      <c r="A133" s="31"/>
      <c r="B133" s="31"/>
      <c r="C133" s="31"/>
      <c r="E133" s="31"/>
      <c r="F133" s="31"/>
      <c r="G133" s="31"/>
      <c r="H133" s="31"/>
      <c r="I133" s="31"/>
      <c r="J133" s="31"/>
      <c r="N133" s="31"/>
      <c r="O133" s="31"/>
      <c r="P133" s="31"/>
      <c r="R133" s="31"/>
      <c r="S133" s="31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>
      <c r="A134" s="31"/>
      <c r="B134" s="31"/>
      <c r="C134" s="31"/>
      <c r="E134" s="31"/>
      <c r="F134" s="31"/>
      <c r="G134" s="31"/>
      <c r="H134" s="31"/>
      <c r="I134" s="31"/>
      <c r="J134" s="31"/>
      <c r="N134" s="31"/>
      <c r="O134" s="31"/>
      <c r="P134" s="31"/>
      <c r="R134" s="31"/>
      <c r="S134" s="31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>
      <c r="A135" s="31"/>
      <c r="B135" s="31"/>
      <c r="C135" s="31"/>
      <c r="E135" s="31"/>
      <c r="F135" s="31"/>
      <c r="G135" s="31"/>
      <c r="H135" s="31"/>
      <c r="I135" s="31"/>
      <c r="J135" s="31"/>
      <c r="N135" s="31"/>
      <c r="O135" s="31"/>
      <c r="P135" s="31"/>
      <c r="R135" s="31"/>
      <c r="S135" s="31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>
      <c r="A136" s="31"/>
      <c r="B136" s="31"/>
      <c r="C136" s="31"/>
      <c r="E136" s="31"/>
      <c r="F136" s="31"/>
      <c r="G136" s="31"/>
      <c r="H136" s="31"/>
      <c r="I136" s="31"/>
      <c r="J136" s="31"/>
      <c r="N136" s="31"/>
      <c r="O136" s="31"/>
      <c r="P136" s="31"/>
      <c r="R136" s="31"/>
      <c r="S136" s="31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>
      <c r="A137" s="31"/>
      <c r="B137" s="31"/>
      <c r="C137" s="31"/>
      <c r="E137" s="31"/>
      <c r="F137" s="31"/>
      <c r="G137" s="31"/>
      <c r="H137" s="31"/>
      <c r="I137" s="31"/>
      <c r="J137" s="31"/>
      <c r="N137" s="31"/>
      <c r="O137" s="31"/>
      <c r="P137" s="31"/>
      <c r="R137" s="31"/>
      <c r="S137" s="31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>
      <c r="A138" s="31"/>
      <c r="B138" s="31"/>
      <c r="C138" s="31"/>
      <c r="E138" s="31"/>
      <c r="F138" s="31"/>
      <c r="G138" s="31"/>
      <c r="H138" s="31"/>
      <c r="I138" s="31"/>
      <c r="J138" s="31"/>
      <c r="N138" s="31"/>
      <c r="O138" s="31"/>
      <c r="P138" s="31"/>
      <c r="R138" s="31"/>
      <c r="S138" s="31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>
      <c r="A139" s="31"/>
      <c r="B139" s="31"/>
      <c r="C139" s="31"/>
      <c r="E139" s="31"/>
      <c r="F139" s="31"/>
      <c r="G139" s="31"/>
      <c r="H139" s="31"/>
      <c r="I139" s="31"/>
      <c r="J139" s="31"/>
      <c r="N139" s="31"/>
      <c r="O139" s="31"/>
      <c r="P139" s="31"/>
      <c r="R139" s="31"/>
      <c r="S139" s="31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>
      <c r="A140" s="31"/>
      <c r="B140" s="31"/>
      <c r="C140" s="31"/>
      <c r="E140" s="31"/>
      <c r="F140" s="31"/>
      <c r="G140" s="31"/>
      <c r="H140" s="31"/>
      <c r="I140" s="31"/>
      <c r="J140" s="31"/>
      <c r="N140" s="31"/>
      <c r="O140" s="31"/>
      <c r="P140" s="31"/>
      <c r="R140" s="31"/>
      <c r="S140" s="31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>
      <c r="A141" s="31"/>
      <c r="B141" s="31"/>
      <c r="C141" s="31"/>
      <c r="E141" s="31"/>
      <c r="F141" s="31"/>
      <c r="G141" s="31"/>
      <c r="H141" s="31"/>
      <c r="I141" s="31"/>
      <c r="J141" s="31"/>
      <c r="N141" s="31"/>
      <c r="O141" s="31"/>
      <c r="P141" s="31"/>
      <c r="R141" s="31"/>
      <c r="S141" s="31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>
      <c r="A142" s="31"/>
      <c r="B142" s="31"/>
      <c r="C142" s="31"/>
      <c r="E142" s="31"/>
      <c r="F142" s="31"/>
      <c r="G142" s="31"/>
      <c r="H142" s="31"/>
      <c r="I142" s="31"/>
      <c r="J142" s="31"/>
      <c r="N142" s="31"/>
      <c r="O142" s="31"/>
      <c r="P142" s="31"/>
      <c r="R142" s="31"/>
      <c r="S142" s="31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>
      <c r="A143" s="31"/>
      <c r="B143" s="31"/>
      <c r="C143" s="31"/>
      <c r="E143" s="31"/>
      <c r="F143" s="31"/>
      <c r="G143" s="31"/>
      <c r="H143" s="31"/>
      <c r="I143" s="31"/>
      <c r="J143" s="31"/>
      <c r="N143" s="31"/>
      <c r="O143" s="31"/>
      <c r="P143" s="31"/>
      <c r="R143" s="31"/>
      <c r="S143" s="31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>
      <c r="A144" s="31"/>
      <c r="B144" s="31"/>
      <c r="C144" s="31"/>
      <c r="E144" s="31"/>
      <c r="F144" s="31"/>
      <c r="G144" s="31"/>
      <c r="H144" s="31"/>
      <c r="I144" s="31"/>
      <c r="J144" s="31"/>
      <c r="N144" s="31"/>
      <c r="O144" s="31"/>
      <c r="P144" s="31"/>
      <c r="R144" s="31"/>
      <c r="S144" s="31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>
      <c r="A145" s="31"/>
      <c r="B145" s="31"/>
      <c r="C145" s="31"/>
      <c r="E145" s="31"/>
      <c r="F145" s="31"/>
      <c r="G145" s="31"/>
      <c r="H145" s="31"/>
      <c r="I145" s="31"/>
      <c r="J145" s="31"/>
      <c r="N145" s="31"/>
      <c r="O145" s="31"/>
      <c r="P145" s="31"/>
      <c r="R145" s="31"/>
      <c r="S145" s="31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>
      <c r="A146" s="31"/>
      <c r="B146" s="31"/>
      <c r="C146" s="31"/>
      <c r="E146" s="31"/>
      <c r="F146" s="31"/>
      <c r="G146" s="31"/>
      <c r="H146" s="31"/>
      <c r="I146" s="31"/>
      <c r="J146" s="31"/>
      <c r="N146" s="31"/>
      <c r="O146" s="31"/>
      <c r="P146" s="31"/>
      <c r="R146" s="31"/>
      <c r="S146" s="31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>
      <c r="A147" s="31"/>
      <c r="B147" s="31"/>
      <c r="C147" s="31"/>
      <c r="E147" s="31"/>
      <c r="F147" s="31"/>
      <c r="G147" s="31"/>
      <c r="H147" s="31"/>
      <c r="I147" s="31"/>
      <c r="J147" s="31"/>
      <c r="N147" s="31"/>
      <c r="O147" s="31"/>
      <c r="P147" s="31"/>
      <c r="R147" s="31"/>
      <c r="S147" s="31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>
      <c r="A148" s="31"/>
      <c r="B148" s="31"/>
      <c r="C148" s="31"/>
      <c r="E148" s="31"/>
      <c r="F148" s="31"/>
      <c r="G148" s="31"/>
      <c r="H148" s="31"/>
      <c r="I148" s="31"/>
      <c r="J148" s="31"/>
      <c r="N148" s="31"/>
      <c r="O148" s="31"/>
      <c r="P148" s="31"/>
      <c r="R148" s="31"/>
      <c r="S148" s="31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>
      <c r="A149" s="31"/>
      <c r="B149" s="31"/>
      <c r="C149" s="31"/>
      <c r="E149" s="31"/>
      <c r="F149" s="31"/>
      <c r="G149" s="31"/>
      <c r="H149" s="31"/>
      <c r="I149" s="31"/>
      <c r="J149" s="31"/>
      <c r="N149" s="31"/>
      <c r="O149" s="31"/>
      <c r="P149" s="31"/>
      <c r="R149" s="31"/>
      <c r="S149" s="31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>
      <c r="A150" s="31"/>
      <c r="B150" s="31"/>
      <c r="C150" s="31"/>
      <c r="E150" s="31"/>
      <c r="F150" s="31"/>
      <c r="G150" s="31"/>
      <c r="H150" s="31"/>
      <c r="I150" s="31"/>
      <c r="J150" s="31"/>
      <c r="N150" s="31"/>
      <c r="O150" s="31"/>
      <c r="P150" s="31"/>
      <c r="R150" s="31"/>
      <c r="S150" s="31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>
      <c r="A151" s="31"/>
      <c r="B151" s="31"/>
      <c r="C151" s="31"/>
      <c r="E151" s="31"/>
      <c r="F151" s="31"/>
      <c r="G151" s="31"/>
      <c r="H151" s="31"/>
      <c r="I151" s="31"/>
      <c r="J151" s="31"/>
      <c r="N151" s="31"/>
      <c r="O151" s="31"/>
      <c r="P151" s="31"/>
      <c r="R151" s="31"/>
      <c r="S151" s="31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>
      <c r="A152" s="31"/>
      <c r="B152" s="31"/>
      <c r="C152" s="31"/>
      <c r="E152" s="31"/>
      <c r="F152" s="31"/>
      <c r="G152" s="31"/>
      <c r="H152" s="31"/>
      <c r="I152" s="31"/>
      <c r="J152" s="31"/>
      <c r="N152" s="31"/>
      <c r="O152" s="31"/>
      <c r="P152" s="31"/>
      <c r="R152" s="31"/>
      <c r="S152" s="31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>
      <c r="A153" s="31"/>
      <c r="B153" s="31"/>
      <c r="C153" s="31"/>
      <c r="E153" s="31"/>
      <c r="F153" s="31"/>
      <c r="G153" s="31"/>
      <c r="H153" s="31"/>
      <c r="I153" s="31"/>
      <c r="J153" s="31"/>
      <c r="N153" s="31"/>
      <c r="O153" s="31"/>
      <c r="P153" s="31"/>
      <c r="R153" s="31"/>
      <c r="S153" s="31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>
      <c r="A154" s="31"/>
      <c r="B154" s="31"/>
      <c r="C154" s="31"/>
      <c r="E154" s="31"/>
      <c r="F154" s="31"/>
      <c r="G154" s="31"/>
      <c r="H154" s="31"/>
      <c r="I154" s="31"/>
      <c r="J154" s="31"/>
      <c r="N154" s="31"/>
      <c r="O154" s="31"/>
      <c r="P154" s="31"/>
      <c r="R154" s="31"/>
      <c r="S154" s="31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>
      <c r="A155" s="31"/>
      <c r="B155" s="31"/>
      <c r="C155" s="31"/>
      <c r="E155" s="31"/>
      <c r="F155" s="31"/>
      <c r="G155" s="31"/>
      <c r="H155" s="31"/>
      <c r="I155" s="31"/>
      <c r="J155" s="31"/>
      <c r="N155" s="31"/>
      <c r="O155" s="31"/>
      <c r="P155" s="31"/>
      <c r="R155" s="31"/>
      <c r="S155" s="31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>
      <c r="A156" s="31"/>
      <c r="B156" s="31"/>
      <c r="C156" s="31"/>
      <c r="E156" s="31"/>
      <c r="F156" s="31"/>
      <c r="G156" s="31"/>
      <c r="H156" s="31"/>
      <c r="I156" s="31"/>
      <c r="J156" s="31"/>
      <c r="N156" s="31"/>
      <c r="O156" s="31"/>
      <c r="P156" s="31"/>
      <c r="R156" s="31"/>
      <c r="S156" s="31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>
      <c r="A157" s="31"/>
      <c r="B157" s="31"/>
      <c r="C157" s="31"/>
      <c r="E157" s="31"/>
      <c r="F157" s="31"/>
      <c r="G157" s="31"/>
      <c r="H157" s="31"/>
      <c r="I157" s="31"/>
      <c r="J157" s="31"/>
      <c r="N157" s="31"/>
      <c r="O157" s="31"/>
      <c r="P157" s="31"/>
      <c r="R157" s="31"/>
      <c r="S157" s="31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>
      <c r="A158" s="31"/>
      <c r="B158" s="31"/>
      <c r="C158" s="31"/>
      <c r="E158" s="31"/>
      <c r="F158" s="31"/>
      <c r="G158" s="31"/>
      <c r="H158" s="31"/>
      <c r="I158" s="31"/>
      <c r="J158" s="31"/>
      <c r="N158" s="31"/>
      <c r="O158" s="31"/>
      <c r="P158" s="31"/>
      <c r="R158" s="31"/>
      <c r="S158" s="31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>
      <c r="A159" s="31"/>
      <c r="B159" s="31"/>
      <c r="C159" s="31"/>
      <c r="E159" s="31"/>
      <c r="F159" s="31"/>
      <c r="G159" s="31"/>
      <c r="H159" s="31"/>
      <c r="I159" s="31"/>
      <c r="J159" s="31"/>
      <c r="N159" s="31"/>
      <c r="O159" s="31"/>
      <c r="P159" s="31"/>
      <c r="R159" s="31"/>
      <c r="S159" s="31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>
      <c r="A160" s="31"/>
      <c r="B160" s="31"/>
      <c r="C160" s="31"/>
      <c r="E160" s="31"/>
      <c r="F160" s="31"/>
      <c r="G160" s="31"/>
      <c r="H160" s="31"/>
      <c r="I160" s="31"/>
      <c r="J160" s="31"/>
      <c r="N160" s="31"/>
      <c r="O160" s="31"/>
      <c r="P160" s="31"/>
      <c r="R160" s="31"/>
      <c r="S160" s="31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>
      <c r="A161" s="31"/>
      <c r="B161" s="31"/>
      <c r="C161" s="31"/>
      <c r="E161" s="31"/>
      <c r="F161" s="31"/>
      <c r="G161" s="31"/>
      <c r="H161" s="31"/>
      <c r="I161" s="31"/>
      <c r="J161" s="31"/>
      <c r="N161" s="31"/>
      <c r="O161" s="31"/>
      <c r="P161" s="31"/>
      <c r="R161" s="31"/>
      <c r="S161" s="31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>
      <c r="A162" s="31"/>
      <c r="B162" s="31"/>
      <c r="C162" s="31"/>
      <c r="E162" s="31"/>
      <c r="F162" s="31"/>
      <c r="G162" s="31"/>
      <c r="H162" s="31"/>
      <c r="I162" s="31"/>
      <c r="J162" s="31"/>
      <c r="N162" s="31"/>
      <c r="O162" s="31"/>
      <c r="P162" s="31"/>
      <c r="R162" s="31"/>
      <c r="S162" s="31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>
      <c r="A163" s="31"/>
      <c r="B163" s="31"/>
      <c r="C163" s="31"/>
      <c r="E163" s="31"/>
      <c r="F163" s="31"/>
      <c r="G163" s="31"/>
      <c r="H163" s="31"/>
      <c r="I163" s="31"/>
      <c r="J163" s="31"/>
      <c r="N163" s="31"/>
      <c r="O163" s="31"/>
      <c r="P163" s="31"/>
      <c r="R163" s="31"/>
      <c r="S163" s="31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>
      <c r="A164" s="31"/>
      <c r="B164" s="31"/>
      <c r="C164" s="31"/>
      <c r="E164" s="31"/>
      <c r="F164" s="31"/>
      <c r="G164" s="31"/>
      <c r="H164" s="31"/>
      <c r="I164" s="31"/>
      <c r="J164" s="31"/>
      <c r="N164" s="31"/>
      <c r="O164" s="31"/>
      <c r="P164" s="31"/>
      <c r="R164" s="31"/>
      <c r="S164" s="31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>
      <c r="A165" s="31"/>
      <c r="B165" s="31"/>
      <c r="C165" s="31"/>
      <c r="E165" s="31"/>
      <c r="F165" s="31"/>
      <c r="G165" s="31"/>
      <c r="H165" s="31"/>
      <c r="I165" s="31"/>
      <c r="J165" s="31"/>
      <c r="N165" s="31"/>
      <c r="O165" s="31"/>
      <c r="P165" s="31"/>
      <c r="R165" s="31"/>
      <c r="S165" s="31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>
      <c r="A166" s="31"/>
      <c r="B166" s="31"/>
      <c r="C166" s="31"/>
      <c r="E166" s="31"/>
      <c r="F166" s="31"/>
      <c r="G166" s="31"/>
      <c r="H166" s="31"/>
      <c r="I166" s="31"/>
      <c r="J166" s="31"/>
      <c r="N166" s="31"/>
      <c r="O166" s="31"/>
      <c r="P166" s="31"/>
      <c r="R166" s="31"/>
      <c r="S166" s="31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>
      <c r="A167" s="31"/>
      <c r="B167" s="31"/>
      <c r="C167" s="31"/>
      <c r="E167" s="31"/>
      <c r="F167" s="31"/>
      <c r="G167" s="31"/>
      <c r="H167" s="31"/>
      <c r="I167" s="31"/>
      <c r="J167" s="31"/>
      <c r="N167" s="31"/>
      <c r="O167" s="31"/>
      <c r="P167" s="31"/>
      <c r="R167" s="31"/>
      <c r="S167" s="31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>
      <c r="A168" s="31"/>
      <c r="B168" s="31"/>
      <c r="C168" s="31"/>
      <c r="E168" s="31"/>
      <c r="F168" s="31"/>
      <c r="G168" s="31"/>
      <c r="H168" s="31"/>
      <c r="I168" s="31"/>
      <c r="J168" s="31"/>
      <c r="N168" s="31"/>
      <c r="O168" s="31"/>
      <c r="P168" s="31"/>
      <c r="R168" s="31"/>
      <c r="S168" s="31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>
      <c r="A169" s="31"/>
      <c r="B169" s="31"/>
      <c r="C169" s="31"/>
      <c r="E169" s="31"/>
      <c r="F169" s="31"/>
      <c r="G169" s="31"/>
      <c r="H169" s="31"/>
      <c r="I169" s="31"/>
      <c r="J169" s="31"/>
      <c r="N169" s="31"/>
      <c r="O169" s="31"/>
      <c r="P169" s="31"/>
      <c r="R169" s="31"/>
      <c r="S169" s="31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>
      <c r="A170" s="31"/>
      <c r="B170" s="31"/>
      <c r="C170" s="31"/>
      <c r="E170" s="31"/>
      <c r="F170" s="31"/>
      <c r="G170" s="31"/>
      <c r="H170" s="31"/>
      <c r="I170" s="31"/>
      <c r="J170" s="31"/>
      <c r="N170" s="31"/>
      <c r="O170" s="31"/>
      <c r="P170" s="31"/>
      <c r="R170" s="31"/>
      <c r="S170" s="31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>
      <c r="A171" s="31"/>
      <c r="B171" s="31"/>
      <c r="C171" s="31"/>
      <c r="E171" s="31"/>
      <c r="F171" s="31"/>
      <c r="G171" s="31"/>
      <c r="H171" s="31"/>
      <c r="I171" s="31"/>
      <c r="J171" s="31"/>
      <c r="N171" s="31"/>
      <c r="O171" s="31"/>
      <c r="P171" s="31"/>
      <c r="R171" s="31"/>
      <c r="S171" s="31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>
      <c r="A172" s="31"/>
      <c r="B172" s="31"/>
      <c r="C172" s="31"/>
      <c r="E172" s="31"/>
      <c r="F172" s="31"/>
      <c r="G172" s="31"/>
      <c r="H172" s="31"/>
      <c r="I172" s="31"/>
      <c r="J172" s="31"/>
      <c r="N172" s="31"/>
      <c r="O172" s="31"/>
      <c r="P172" s="31"/>
      <c r="R172" s="31"/>
      <c r="S172" s="31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>
      <c r="A173" s="31"/>
      <c r="B173" s="31"/>
      <c r="C173" s="31"/>
      <c r="E173" s="31"/>
      <c r="F173" s="31"/>
      <c r="G173" s="31"/>
      <c r="H173" s="31"/>
      <c r="I173" s="31"/>
      <c r="J173" s="31"/>
      <c r="N173" s="31"/>
      <c r="O173" s="31"/>
      <c r="P173" s="31"/>
      <c r="R173" s="31"/>
      <c r="S173" s="31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>
      <c r="A174" s="31"/>
      <c r="B174" s="31"/>
      <c r="C174" s="31"/>
      <c r="E174" s="31"/>
      <c r="F174" s="31"/>
      <c r="G174" s="31"/>
      <c r="H174" s="31"/>
      <c r="I174" s="31"/>
      <c r="J174" s="31"/>
      <c r="N174" s="31"/>
      <c r="O174" s="31"/>
      <c r="P174" s="31"/>
      <c r="R174" s="31"/>
      <c r="S174" s="31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>
      <c r="A175" s="31"/>
      <c r="B175" s="31"/>
      <c r="C175" s="31"/>
      <c r="E175" s="31"/>
      <c r="F175" s="31"/>
      <c r="G175" s="31"/>
      <c r="H175" s="31"/>
      <c r="I175" s="31"/>
      <c r="J175" s="31"/>
      <c r="N175" s="31"/>
      <c r="O175" s="31"/>
      <c r="P175" s="31"/>
      <c r="R175" s="31"/>
      <c r="S175" s="31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>
      <c r="A176" s="31"/>
      <c r="B176" s="31"/>
      <c r="C176" s="31"/>
      <c r="E176" s="31"/>
      <c r="F176" s="31"/>
      <c r="G176" s="31"/>
      <c r="H176" s="31"/>
      <c r="I176" s="31"/>
      <c r="J176" s="31"/>
      <c r="N176" s="31"/>
      <c r="O176" s="31"/>
      <c r="P176" s="31"/>
      <c r="R176" s="31"/>
      <c r="S176" s="31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>
      <c r="A177" s="31"/>
      <c r="B177" s="31"/>
      <c r="C177" s="31"/>
      <c r="E177" s="31"/>
      <c r="F177" s="31"/>
      <c r="G177" s="31"/>
      <c r="H177" s="31"/>
      <c r="I177" s="31"/>
      <c r="J177" s="31"/>
      <c r="N177" s="31"/>
      <c r="O177" s="31"/>
      <c r="P177" s="31"/>
      <c r="R177" s="31"/>
      <c r="S177" s="31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>
      <c r="A178" s="31"/>
      <c r="B178" s="31"/>
      <c r="C178" s="31"/>
      <c r="E178" s="31"/>
      <c r="F178" s="31"/>
      <c r="G178" s="31"/>
      <c r="H178" s="31"/>
      <c r="I178" s="31"/>
      <c r="J178" s="31"/>
      <c r="N178" s="31"/>
      <c r="O178" s="31"/>
      <c r="P178" s="31"/>
      <c r="R178" s="31"/>
      <c r="S178" s="31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>
      <c r="A179" s="31"/>
      <c r="B179" s="31"/>
      <c r="C179" s="31"/>
      <c r="E179" s="31"/>
      <c r="F179" s="31"/>
      <c r="G179" s="31"/>
      <c r="H179" s="31"/>
      <c r="I179" s="31"/>
      <c r="J179" s="31"/>
      <c r="N179" s="31"/>
      <c r="O179" s="31"/>
      <c r="P179" s="31"/>
      <c r="R179" s="31"/>
      <c r="S179" s="31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>
      <c r="A180" s="31"/>
      <c r="B180" s="31"/>
      <c r="C180" s="31"/>
      <c r="E180" s="31"/>
      <c r="F180" s="31"/>
      <c r="G180" s="31"/>
      <c r="H180" s="31"/>
      <c r="I180" s="31"/>
      <c r="J180" s="31"/>
      <c r="N180" s="31"/>
      <c r="O180" s="31"/>
      <c r="P180" s="31"/>
      <c r="R180" s="31"/>
      <c r="S180" s="31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>
      <c r="A181" s="31"/>
      <c r="B181" s="31"/>
      <c r="C181" s="31"/>
      <c r="E181" s="31"/>
      <c r="F181" s="31"/>
      <c r="G181" s="31"/>
      <c r="H181" s="31"/>
      <c r="I181" s="31"/>
      <c r="J181" s="31"/>
      <c r="N181" s="31"/>
      <c r="O181" s="31"/>
      <c r="P181" s="31"/>
      <c r="R181" s="31"/>
      <c r="S181" s="31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>
      <c r="A182" s="31"/>
      <c r="B182" s="31"/>
      <c r="C182" s="31"/>
      <c r="E182" s="31"/>
      <c r="F182" s="31"/>
      <c r="G182" s="31"/>
      <c r="H182" s="31"/>
      <c r="I182" s="31"/>
      <c r="J182" s="31"/>
      <c r="N182" s="31"/>
      <c r="O182" s="31"/>
      <c r="P182" s="31"/>
      <c r="R182" s="31"/>
      <c r="S182" s="31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>
      <c r="A183" s="31"/>
      <c r="B183" s="31"/>
      <c r="C183" s="31"/>
      <c r="E183" s="31"/>
      <c r="F183" s="31"/>
      <c r="G183" s="31"/>
      <c r="H183" s="31"/>
      <c r="I183" s="31"/>
      <c r="J183" s="31"/>
      <c r="N183" s="31"/>
      <c r="O183" s="31"/>
      <c r="P183" s="31"/>
      <c r="R183" s="31"/>
      <c r="S183" s="31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>
      <c r="A184" s="31"/>
      <c r="B184" s="31"/>
      <c r="C184" s="31"/>
      <c r="E184" s="31"/>
      <c r="F184" s="31"/>
      <c r="G184" s="31"/>
      <c r="H184" s="31"/>
      <c r="I184" s="31"/>
      <c r="J184" s="31"/>
      <c r="N184" s="31"/>
      <c r="O184" s="31"/>
      <c r="P184" s="31"/>
      <c r="R184" s="31"/>
      <c r="S184" s="31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>
      <c r="A185" s="31"/>
      <c r="B185" s="31"/>
      <c r="C185" s="31"/>
      <c r="E185" s="31"/>
      <c r="F185" s="31"/>
      <c r="G185" s="31"/>
      <c r="H185" s="31"/>
      <c r="I185" s="31"/>
      <c r="J185" s="31"/>
      <c r="N185" s="31"/>
      <c r="O185" s="31"/>
      <c r="P185" s="31"/>
      <c r="R185" s="31"/>
      <c r="S185" s="31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>
      <c r="A186" s="31"/>
      <c r="B186" s="31"/>
      <c r="C186" s="31"/>
      <c r="E186" s="31"/>
      <c r="F186" s="31"/>
      <c r="G186" s="31"/>
      <c r="H186" s="31"/>
      <c r="I186" s="31"/>
      <c r="J186" s="31"/>
      <c r="N186" s="31"/>
      <c r="O186" s="31"/>
      <c r="P186" s="31"/>
      <c r="R186" s="31"/>
      <c r="S186" s="31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>
      <c r="A187" s="31"/>
      <c r="B187" s="31"/>
      <c r="C187" s="31"/>
      <c r="E187" s="31"/>
      <c r="F187" s="31"/>
      <c r="G187" s="31"/>
      <c r="H187" s="31"/>
      <c r="I187" s="31"/>
      <c r="J187" s="31"/>
      <c r="N187" s="31"/>
      <c r="O187" s="31"/>
      <c r="P187" s="31"/>
      <c r="R187" s="31"/>
      <c r="S187" s="31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>
      <c r="A188" s="31"/>
      <c r="B188" s="31"/>
      <c r="C188" s="31"/>
      <c r="E188" s="31"/>
      <c r="F188" s="31"/>
      <c r="G188" s="31"/>
      <c r="H188" s="31"/>
      <c r="I188" s="31"/>
      <c r="J188" s="31"/>
      <c r="N188" s="31"/>
      <c r="O188" s="31"/>
      <c r="P188" s="31"/>
      <c r="R188" s="31"/>
      <c r="S188" s="31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>
      <c r="A189" s="31"/>
      <c r="B189" s="31"/>
      <c r="C189" s="31"/>
      <c r="E189" s="31"/>
      <c r="F189" s="31"/>
      <c r="G189" s="31"/>
      <c r="H189" s="31"/>
      <c r="I189" s="31"/>
      <c r="J189" s="31"/>
      <c r="N189" s="31"/>
      <c r="O189" s="31"/>
      <c r="P189" s="31"/>
      <c r="R189" s="31"/>
      <c r="S189" s="31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>
      <c r="A190" s="31"/>
      <c r="B190" s="31"/>
      <c r="C190" s="31"/>
      <c r="E190" s="31"/>
      <c r="F190" s="31"/>
      <c r="G190" s="31"/>
      <c r="H190" s="31"/>
      <c r="I190" s="31"/>
      <c r="J190" s="31"/>
      <c r="N190" s="31"/>
      <c r="O190" s="31"/>
      <c r="P190" s="31"/>
      <c r="R190" s="31"/>
      <c r="S190" s="31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>
      <c r="A191" s="31"/>
      <c r="B191" s="31"/>
      <c r="C191" s="31"/>
      <c r="E191" s="31"/>
      <c r="F191" s="31"/>
      <c r="G191" s="31"/>
      <c r="H191" s="31"/>
      <c r="I191" s="31"/>
      <c r="J191" s="31"/>
      <c r="N191" s="31"/>
      <c r="O191" s="31"/>
      <c r="P191" s="31"/>
      <c r="R191" s="31"/>
      <c r="S191" s="31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>
      <c r="A192" s="31"/>
      <c r="B192" s="31"/>
      <c r="C192" s="31"/>
      <c r="E192" s="31"/>
      <c r="F192" s="31"/>
      <c r="G192" s="31"/>
      <c r="H192" s="31"/>
      <c r="I192" s="31"/>
      <c r="J192" s="31"/>
      <c r="N192" s="31"/>
      <c r="O192" s="31"/>
      <c r="P192" s="31"/>
      <c r="R192" s="31"/>
      <c r="S192" s="31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>
      <c r="A193" s="31"/>
      <c r="B193" s="31"/>
      <c r="C193" s="31"/>
      <c r="E193" s="31"/>
      <c r="F193" s="31"/>
      <c r="G193" s="31"/>
      <c r="H193" s="31"/>
      <c r="I193" s="31"/>
      <c r="J193" s="31"/>
      <c r="N193" s="31"/>
      <c r="O193" s="31"/>
      <c r="P193" s="31"/>
      <c r="R193" s="31"/>
      <c r="S193" s="31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>
      <c r="A194" s="31"/>
      <c r="B194" s="31"/>
      <c r="C194" s="31"/>
      <c r="E194" s="31"/>
      <c r="F194" s="31"/>
      <c r="G194" s="31"/>
      <c r="H194" s="31"/>
      <c r="I194" s="31"/>
      <c r="J194" s="31"/>
      <c r="N194" s="31"/>
      <c r="O194" s="31"/>
      <c r="P194" s="31"/>
      <c r="R194" s="31"/>
      <c r="S194" s="31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>
      <c r="A195" s="31"/>
      <c r="B195" s="31"/>
      <c r="C195" s="31"/>
      <c r="E195" s="31"/>
      <c r="F195" s="31"/>
      <c r="G195" s="31"/>
      <c r="H195" s="31"/>
      <c r="I195" s="31"/>
      <c r="J195" s="31"/>
      <c r="N195" s="31"/>
      <c r="O195" s="31"/>
      <c r="P195" s="31"/>
      <c r="R195" s="31"/>
      <c r="S195" s="31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>
      <c r="A196" s="31"/>
      <c r="B196" s="31"/>
      <c r="C196" s="31"/>
      <c r="E196" s="31"/>
      <c r="F196" s="31"/>
      <c r="G196" s="31"/>
      <c r="H196" s="31"/>
      <c r="I196" s="31"/>
      <c r="J196" s="31"/>
      <c r="N196" s="31"/>
      <c r="O196" s="31"/>
      <c r="P196" s="31"/>
      <c r="R196" s="31"/>
      <c r="S196" s="31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>
      <c r="A197" s="31"/>
      <c r="B197" s="31"/>
      <c r="C197" s="31"/>
      <c r="E197" s="31"/>
      <c r="F197" s="31"/>
      <c r="G197" s="31"/>
      <c r="H197" s="31"/>
      <c r="I197" s="31"/>
      <c r="J197" s="31"/>
      <c r="N197" s="31"/>
      <c r="O197" s="31"/>
      <c r="P197" s="31"/>
      <c r="R197" s="31"/>
      <c r="S197" s="31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>
      <c r="A198" s="31"/>
      <c r="B198" s="31"/>
      <c r="C198" s="31"/>
      <c r="E198" s="31"/>
      <c r="F198" s="31"/>
      <c r="G198" s="31"/>
      <c r="H198" s="31"/>
      <c r="I198" s="31"/>
      <c r="J198" s="31"/>
      <c r="N198" s="31"/>
      <c r="O198" s="31"/>
      <c r="P198" s="31"/>
      <c r="R198" s="31"/>
      <c r="S198" s="31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>
      <c r="A199" s="31"/>
      <c r="B199" s="31"/>
      <c r="C199" s="31"/>
      <c r="E199" s="31"/>
      <c r="F199" s="31"/>
      <c r="G199" s="31"/>
      <c r="H199" s="31"/>
      <c r="I199" s="31"/>
      <c r="J199" s="31"/>
      <c r="N199" s="31"/>
      <c r="O199" s="31"/>
      <c r="P199" s="31"/>
      <c r="R199" s="31"/>
      <c r="S199" s="31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>
      <c r="A200" s="31"/>
      <c r="B200" s="31"/>
      <c r="C200" s="31"/>
      <c r="E200" s="31"/>
      <c r="F200" s="31"/>
      <c r="G200" s="31"/>
      <c r="H200" s="31"/>
      <c r="I200" s="31"/>
      <c r="J200" s="31"/>
      <c r="N200" s="31"/>
      <c r="O200" s="31"/>
      <c r="P200" s="31"/>
      <c r="R200" s="31"/>
      <c r="S200" s="31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>
      <c r="A201" s="31"/>
      <c r="B201" s="31"/>
      <c r="C201" s="31"/>
      <c r="E201" s="31"/>
      <c r="F201" s="31"/>
      <c r="G201" s="31"/>
      <c r="H201" s="31"/>
      <c r="I201" s="31"/>
      <c r="J201" s="31"/>
      <c r="N201" s="31"/>
      <c r="O201" s="31"/>
      <c r="P201" s="31"/>
      <c r="R201" s="31"/>
      <c r="S201" s="31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>
      <c r="A202" s="31"/>
      <c r="B202" s="31"/>
      <c r="C202" s="31"/>
      <c r="E202" s="31"/>
      <c r="F202" s="31"/>
      <c r="G202" s="31"/>
      <c r="H202" s="31"/>
      <c r="I202" s="31"/>
      <c r="J202" s="31"/>
      <c r="N202" s="31"/>
      <c r="O202" s="31"/>
      <c r="P202" s="31"/>
      <c r="R202" s="31"/>
      <c r="S202" s="31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>
      <c r="A203" s="31"/>
      <c r="B203" s="31"/>
      <c r="C203" s="31"/>
      <c r="E203" s="31"/>
      <c r="F203" s="31"/>
      <c r="G203" s="31"/>
      <c r="H203" s="31"/>
      <c r="I203" s="31"/>
      <c r="J203" s="31"/>
      <c r="N203" s="31"/>
      <c r="O203" s="31"/>
      <c r="P203" s="31"/>
      <c r="R203" s="31"/>
      <c r="S203" s="31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>
      <c r="A204" s="31"/>
      <c r="B204" s="31"/>
      <c r="C204" s="31"/>
      <c r="E204" s="31"/>
      <c r="F204" s="31"/>
      <c r="G204" s="31"/>
      <c r="H204" s="31"/>
      <c r="I204" s="31"/>
      <c r="J204" s="31"/>
      <c r="N204" s="31"/>
      <c r="O204" s="31"/>
      <c r="P204" s="31"/>
      <c r="R204" s="31"/>
      <c r="S204" s="31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>
      <c r="A205" s="31"/>
      <c r="B205" s="31"/>
      <c r="C205" s="31"/>
      <c r="E205" s="31"/>
      <c r="F205" s="31"/>
      <c r="G205" s="31"/>
      <c r="H205" s="31"/>
      <c r="I205" s="31"/>
      <c r="J205" s="31"/>
      <c r="N205" s="31"/>
      <c r="O205" s="31"/>
      <c r="P205" s="31"/>
      <c r="R205" s="31"/>
      <c r="S205" s="31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>
      <c r="A206" s="31"/>
      <c r="B206" s="31"/>
      <c r="C206" s="31"/>
      <c r="E206" s="31"/>
      <c r="F206" s="31"/>
      <c r="G206" s="31"/>
      <c r="H206" s="31"/>
      <c r="I206" s="31"/>
      <c r="J206" s="31"/>
      <c r="N206" s="31"/>
      <c r="O206" s="31"/>
      <c r="P206" s="31"/>
      <c r="R206" s="31"/>
      <c r="S206" s="31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>
      <c r="A207" s="31"/>
      <c r="B207" s="31"/>
      <c r="C207" s="31"/>
      <c r="E207" s="31"/>
      <c r="F207" s="31"/>
      <c r="G207" s="31"/>
      <c r="H207" s="31"/>
      <c r="I207" s="31"/>
      <c r="J207" s="31"/>
      <c r="N207" s="31"/>
      <c r="O207" s="31"/>
      <c r="P207" s="31"/>
      <c r="R207" s="31"/>
      <c r="S207" s="31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>
      <c r="A208" s="31"/>
      <c r="B208" s="31"/>
      <c r="C208" s="31"/>
      <c r="E208" s="31"/>
      <c r="F208" s="31"/>
      <c r="G208" s="31"/>
      <c r="H208" s="31"/>
      <c r="I208" s="31"/>
      <c r="J208" s="31"/>
      <c r="N208" s="31"/>
      <c r="O208" s="31"/>
      <c r="P208" s="31"/>
      <c r="R208" s="31"/>
      <c r="S208" s="31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>
      <c r="A209" s="31"/>
      <c r="B209" s="31"/>
      <c r="C209" s="31"/>
      <c r="E209" s="31"/>
      <c r="F209" s="31"/>
      <c r="G209" s="31"/>
      <c r="H209" s="31"/>
      <c r="I209" s="31"/>
      <c r="J209" s="31"/>
      <c r="N209" s="31"/>
      <c r="O209" s="31"/>
      <c r="P209" s="31"/>
      <c r="R209" s="31"/>
      <c r="S209" s="31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>
      <c r="A210" s="31"/>
      <c r="B210" s="31"/>
      <c r="C210" s="31"/>
      <c r="E210" s="31"/>
      <c r="F210" s="31"/>
      <c r="G210" s="31"/>
      <c r="H210" s="31"/>
      <c r="I210" s="31"/>
      <c r="J210" s="31"/>
      <c r="N210" s="31"/>
      <c r="O210" s="31"/>
      <c r="P210" s="31"/>
      <c r="R210" s="31"/>
      <c r="S210" s="31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>
      <c r="A211" s="31"/>
      <c r="B211" s="31"/>
      <c r="C211" s="31"/>
      <c r="E211" s="31"/>
      <c r="F211" s="31"/>
      <c r="G211" s="31"/>
      <c r="H211" s="31"/>
      <c r="I211" s="31"/>
      <c r="J211" s="31"/>
      <c r="N211" s="31"/>
      <c r="O211" s="31"/>
      <c r="P211" s="31"/>
      <c r="R211" s="31"/>
      <c r="S211" s="31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>
      <c r="A212" s="31"/>
      <c r="B212" s="31"/>
      <c r="C212" s="31"/>
      <c r="E212" s="31"/>
      <c r="F212" s="31"/>
      <c r="G212" s="31"/>
      <c r="H212" s="31"/>
      <c r="I212" s="31"/>
      <c r="J212" s="31"/>
      <c r="N212" s="31"/>
      <c r="O212" s="31"/>
      <c r="P212" s="31"/>
      <c r="R212" s="31"/>
      <c r="S212" s="31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>
      <c r="A213" s="31"/>
      <c r="B213" s="31"/>
      <c r="C213" s="31"/>
      <c r="E213" s="31"/>
      <c r="F213" s="31"/>
      <c r="G213" s="31"/>
      <c r="H213" s="31"/>
      <c r="I213" s="31"/>
      <c r="J213" s="31"/>
      <c r="N213" s="31"/>
      <c r="O213" s="31"/>
      <c r="P213" s="31"/>
      <c r="R213" s="31"/>
      <c r="S213" s="31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>
      <c r="A214" s="31"/>
      <c r="B214" s="31"/>
      <c r="C214" s="31"/>
      <c r="E214" s="31"/>
      <c r="F214" s="31"/>
      <c r="G214" s="31"/>
      <c r="H214" s="31"/>
      <c r="I214" s="31"/>
      <c r="J214" s="31"/>
      <c r="N214" s="31"/>
      <c r="O214" s="31"/>
      <c r="P214" s="31"/>
      <c r="R214" s="31"/>
      <c r="S214" s="31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>
      <c r="A215" s="31"/>
      <c r="B215" s="31"/>
      <c r="C215" s="31"/>
      <c r="E215" s="31"/>
      <c r="F215" s="31"/>
      <c r="G215" s="31"/>
      <c r="H215" s="31"/>
      <c r="I215" s="31"/>
      <c r="J215" s="31"/>
      <c r="N215" s="31"/>
      <c r="O215" s="31"/>
      <c r="P215" s="31"/>
      <c r="R215" s="31"/>
      <c r="S215" s="31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>
      <c r="A216" s="31"/>
      <c r="B216" s="31"/>
      <c r="C216" s="31"/>
      <c r="E216" s="31"/>
      <c r="F216" s="31"/>
      <c r="G216" s="31"/>
      <c r="H216" s="31"/>
      <c r="I216" s="31"/>
      <c r="J216" s="31"/>
      <c r="N216" s="31"/>
      <c r="O216" s="31"/>
      <c r="P216" s="31"/>
      <c r="R216" s="31"/>
      <c r="S216" s="31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>
      <c r="A217" s="31"/>
      <c r="B217" s="31"/>
      <c r="C217" s="31"/>
      <c r="E217" s="31"/>
      <c r="F217" s="31"/>
      <c r="G217" s="31"/>
      <c r="H217" s="31"/>
      <c r="I217" s="31"/>
      <c r="J217" s="31"/>
      <c r="N217" s="31"/>
      <c r="O217" s="31"/>
      <c r="P217" s="31"/>
      <c r="R217" s="31"/>
      <c r="S217" s="31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>
      <c r="A218" s="31"/>
      <c r="B218" s="31"/>
      <c r="C218" s="31"/>
      <c r="E218" s="31"/>
      <c r="F218" s="31"/>
      <c r="G218" s="31"/>
      <c r="H218" s="31"/>
      <c r="I218" s="31"/>
      <c r="J218" s="31"/>
      <c r="N218" s="31"/>
      <c r="O218" s="31"/>
      <c r="P218" s="31"/>
      <c r="R218" s="31"/>
      <c r="S218" s="31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>
      <c r="A219" s="31"/>
      <c r="B219" s="31"/>
      <c r="C219" s="31"/>
      <c r="E219" s="31"/>
      <c r="F219" s="31"/>
      <c r="G219" s="31"/>
      <c r="H219" s="31"/>
      <c r="I219" s="31"/>
      <c r="J219" s="31"/>
      <c r="N219" s="31"/>
      <c r="O219" s="31"/>
      <c r="P219" s="31"/>
      <c r="R219" s="31"/>
      <c r="S219" s="31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>
      <c r="A220" s="31"/>
      <c r="B220" s="31"/>
      <c r="C220" s="31"/>
      <c r="E220" s="31"/>
      <c r="F220" s="31"/>
      <c r="G220" s="31"/>
      <c r="H220" s="31"/>
      <c r="I220" s="31"/>
      <c r="J220" s="31"/>
      <c r="N220" s="31"/>
      <c r="O220" s="31"/>
      <c r="P220" s="31"/>
      <c r="R220" s="31"/>
      <c r="S220" s="31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>
      <c r="A221" s="31"/>
      <c r="B221" s="31"/>
      <c r="C221" s="31"/>
      <c r="E221" s="31"/>
      <c r="F221" s="31"/>
      <c r="G221" s="31"/>
      <c r="H221" s="31"/>
      <c r="I221" s="31"/>
      <c r="J221" s="31"/>
      <c r="N221" s="31"/>
      <c r="O221" s="31"/>
      <c r="P221" s="31"/>
      <c r="R221" s="31"/>
      <c r="S221" s="31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>
      <c r="A222" s="31"/>
      <c r="B222" s="31"/>
      <c r="C222" s="31"/>
      <c r="E222" s="31"/>
      <c r="F222" s="31"/>
      <c r="G222" s="31"/>
      <c r="H222" s="31"/>
      <c r="I222" s="31"/>
      <c r="J222" s="31"/>
      <c r="N222" s="31"/>
      <c r="O222" s="31"/>
      <c r="P222" s="31"/>
      <c r="R222" s="31"/>
      <c r="S222" s="31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>
      <c r="A223" s="31"/>
      <c r="B223" s="31"/>
      <c r="C223" s="31"/>
      <c r="E223" s="31"/>
      <c r="F223" s="31"/>
      <c r="G223" s="31"/>
      <c r="H223" s="31"/>
      <c r="I223" s="31"/>
      <c r="J223" s="31"/>
      <c r="N223" s="31"/>
      <c r="O223" s="31"/>
      <c r="P223" s="31"/>
      <c r="R223" s="31"/>
      <c r="S223" s="31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>
      <c r="A224" s="31"/>
      <c r="B224" s="31"/>
      <c r="C224" s="31"/>
      <c r="E224" s="31"/>
      <c r="F224" s="31"/>
      <c r="G224" s="31"/>
      <c r="H224" s="31"/>
      <c r="I224" s="31"/>
      <c r="J224" s="31"/>
      <c r="N224" s="31"/>
      <c r="O224" s="31"/>
      <c r="P224" s="31"/>
      <c r="R224" s="31"/>
      <c r="S224" s="31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>
      <c r="A225" s="31"/>
      <c r="B225" s="31"/>
      <c r="C225" s="31"/>
      <c r="E225" s="31"/>
      <c r="F225" s="31"/>
      <c r="G225" s="31"/>
      <c r="H225" s="31"/>
      <c r="I225" s="31"/>
      <c r="J225" s="31"/>
      <c r="N225" s="31"/>
      <c r="O225" s="31"/>
      <c r="P225" s="31"/>
      <c r="R225" s="31"/>
      <c r="S225" s="31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>
      <c r="A226" s="31"/>
      <c r="B226" s="31"/>
      <c r="C226" s="31"/>
      <c r="E226" s="31"/>
      <c r="F226" s="31"/>
      <c r="G226" s="31"/>
      <c r="H226" s="31"/>
      <c r="I226" s="31"/>
      <c r="J226" s="31"/>
      <c r="N226" s="31"/>
      <c r="O226" s="31"/>
      <c r="P226" s="31"/>
      <c r="R226" s="31"/>
      <c r="S226" s="31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>
      <c r="A227" s="31"/>
      <c r="B227" s="31"/>
      <c r="C227" s="31"/>
      <c r="E227" s="31"/>
      <c r="F227" s="31"/>
      <c r="G227" s="31"/>
      <c r="H227" s="31"/>
      <c r="I227" s="31"/>
      <c r="J227" s="31"/>
      <c r="N227" s="31"/>
      <c r="O227" s="31"/>
      <c r="P227" s="31"/>
      <c r="R227" s="31"/>
      <c r="S227" s="31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>
      <c r="A228" s="31"/>
      <c r="B228" s="31"/>
      <c r="C228" s="31"/>
      <c r="E228" s="31"/>
      <c r="F228" s="31"/>
      <c r="G228" s="31"/>
      <c r="H228" s="31"/>
      <c r="I228" s="31"/>
      <c r="J228" s="31"/>
      <c r="N228" s="31"/>
      <c r="O228" s="31"/>
      <c r="P228" s="31"/>
      <c r="R228" s="31"/>
      <c r="S228" s="31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>
      <c r="A229" s="31"/>
      <c r="B229" s="31"/>
      <c r="C229" s="31"/>
      <c r="E229" s="31"/>
      <c r="F229" s="31"/>
      <c r="G229" s="31"/>
      <c r="H229" s="31"/>
      <c r="I229" s="31"/>
      <c r="J229" s="31"/>
      <c r="N229" s="31"/>
      <c r="O229" s="31"/>
      <c r="P229" s="31"/>
      <c r="R229" s="31"/>
      <c r="S229" s="31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>
      <c r="A230" s="31"/>
      <c r="B230" s="31"/>
      <c r="C230" s="31"/>
      <c r="E230" s="31"/>
      <c r="F230" s="31"/>
      <c r="G230" s="31"/>
      <c r="H230" s="31"/>
      <c r="I230" s="31"/>
      <c r="J230" s="31"/>
      <c r="N230" s="31"/>
      <c r="O230" s="31"/>
      <c r="P230" s="31"/>
      <c r="R230" s="31"/>
      <c r="S230" s="31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>
      <c r="A231" s="31"/>
      <c r="B231" s="31"/>
      <c r="C231" s="31"/>
      <c r="E231" s="31"/>
      <c r="F231" s="31"/>
      <c r="G231" s="31"/>
      <c r="H231" s="31"/>
      <c r="I231" s="31"/>
      <c r="J231" s="31"/>
      <c r="N231" s="31"/>
      <c r="O231" s="31"/>
      <c r="P231" s="31"/>
      <c r="R231" s="31"/>
      <c r="S231" s="31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>
      <c r="A232" s="31"/>
      <c r="B232" s="31"/>
      <c r="C232" s="31"/>
      <c r="E232" s="31"/>
      <c r="F232" s="31"/>
      <c r="G232" s="31"/>
      <c r="H232" s="31"/>
      <c r="I232" s="31"/>
      <c r="J232" s="31"/>
      <c r="N232" s="31"/>
      <c r="O232" s="31"/>
      <c r="P232" s="31"/>
      <c r="R232" s="31"/>
      <c r="S232" s="31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>
      <c r="A233" s="31"/>
      <c r="B233" s="31"/>
      <c r="C233" s="31"/>
      <c r="E233" s="31"/>
      <c r="F233" s="31"/>
      <c r="G233" s="31"/>
      <c r="H233" s="31"/>
      <c r="I233" s="31"/>
      <c r="J233" s="31"/>
      <c r="N233" s="31"/>
      <c r="O233" s="31"/>
      <c r="P233" s="31"/>
      <c r="R233" s="31"/>
      <c r="S233" s="31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>
      <c r="A234" s="31"/>
      <c r="B234" s="31"/>
      <c r="C234" s="31"/>
      <c r="E234" s="31"/>
      <c r="F234" s="31"/>
      <c r="G234" s="31"/>
      <c r="H234" s="31"/>
      <c r="I234" s="31"/>
      <c r="J234" s="31"/>
      <c r="N234" s="31"/>
      <c r="O234" s="31"/>
      <c r="P234" s="31"/>
      <c r="R234" s="31"/>
      <c r="S234" s="31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>
      <c r="A235" s="31"/>
      <c r="B235" s="31"/>
      <c r="C235" s="31"/>
      <c r="E235" s="31"/>
      <c r="F235" s="31"/>
      <c r="G235" s="31"/>
      <c r="H235" s="31"/>
      <c r="I235" s="31"/>
      <c r="J235" s="31"/>
      <c r="N235" s="31"/>
      <c r="O235" s="31"/>
      <c r="P235" s="31"/>
      <c r="R235" s="31"/>
      <c r="S235" s="31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>
      <c r="A236" s="31"/>
      <c r="B236" s="31"/>
      <c r="C236" s="31"/>
      <c r="E236" s="31"/>
      <c r="F236" s="31"/>
      <c r="G236" s="31"/>
      <c r="H236" s="31"/>
      <c r="I236" s="31"/>
      <c r="J236" s="31"/>
      <c r="N236" s="31"/>
      <c r="O236" s="31"/>
      <c r="P236" s="31"/>
      <c r="R236" s="31"/>
      <c r="S236" s="31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>
      <c r="A237" s="31"/>
      <c r="B237" s="31"/>
      <c r="C237" s="31"/>
      <c r="E237" s="31"/>
      <c r="F237" s="31"/>
      <c r="G237" s="31"/>
      <c r="H237" s="31"/>
      <c r="I237" s="31"/>
      <c r="J237" s="31"/>
      <c r="N237" s="31"/>
      <c r="O237" s="31"/>
      <c r="P237" s="31"/>
      <c r="R237" s="31"/>
      <c r="S237" s="31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>
      <c r="A238" s="31"/>
      <c r="B238" s="31"/>
      <c r="C238" s="31"/>
      <c r="E238" s="31"/>
      <c r="F238" s="31"/>
      <c r="G238" s="31"/>
      <c r="H238" s="31"/>
      <c r="I238" s="31"/>
      <c r="J238" s="31"/>
      <c r="N238" s="31"/>
      <c r="O238" s="31"/>
      <c r="P238" s="31"/>
      <c r="R238" s="31"/>
      <c r="S238" s="31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>
      <c r="A239" s="31"/>
      <c r="B239" s="31"/>
      <c r="C239" s="31"/>
      <c r="E239" s="31"/>
      <c r="F239" s="31"/>
      <c r="G239" s="31"/>
      <c r="H239" s="31"/>
      <c r="I239" s="31"/>
      <c r="J239" s="31"/>
      <c r="N239" s="31"/>
      <c r="O239" s="31"/>
      <c r="P239" s="31"/>
      <c r="R239" s="31"/>
      <c r="S239" s="31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>
      <c r="A240" s="31"/>
      <c r="B240" s="31"/>
      <c r="C240" s="31"/>
      <c r="E240" s="31"/>
      <c r="F240" s="31"/>
      <c r="G240" s="31"/>
      <c r="H240" s="31"/>
      <c r="I240" s="31"/>
      <c r="J240" s="31"/>
      <c r="N240" s="31"/>
      <c r="O240" s="31"/>
      <c r="P240" s="31"/>
      <c r="R240" s="31"/>
      <c r="S240" s="31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>
      <c r="A241" s="31"/>
      <c r="B241" s="31"/>
      <c r="C241" s="31"/>
      <c r="E241" s="31"/>
      <c r="F241" s="31"/>
      <c r="G241" s="31"/>
      <c r="H241" s="31"/>
      <c r="I241" s="31"/>
      <c r="J241" s="31"/>
      <c r="N241" s="31"/>
      <c r="O241" s="31"/>
      <c r="P241" s="31"/>
      <c r="R241" s="31"/>
      <c r="S241" s="31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>
      <c r="A242" s="31"/>
      <c r="B242" s="31"/>
      <c r="C242" s="31"/>
      <c r="E242" s="31"/>
      <c r="F242" s="31"/>
      <c r="G242" s="31"/>
      <c r="H242" s="31"/>
      <c r="I242" s="31"/>
      <c r="J242" s="31"/>
      <c r="N242" s="31"/>
      <c r="O242" s="31"/>
      <c r="P242" s="31"/>
      <c r="R242" s="31"/>
      <c r="S242" s="31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>
      <c r="A243" s="31"/>
      <c r="B243" s="31"/>
      <c r="C243" s="31"/>
      <c r="E243" s="31"/>
      <c r="F243" s="31"/>
      <c r="G243" s="31"/>
      <c r="H243" s="31"/>
      <c r="I243" s="31"/>
      <c r="J243" s="31"/>
      <c r="N243" s="31"/>
      <c r="O243" s="31"/>
      <c r="P243" s="31"/>
      <c r="R243" s="31"/>
      <c r="S243" s="31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>
      <c r="A244" s="31"/>
      <c r="B244" s="31"/>
      <c r="C244" s="31"/>
      <c r="E244" s="31"/>
      <c r="F244" s="31"/>
      <c r="G244" s="31"/>
      <c r="H244" s="31"/>
      <c r="I244" s="31"/>
      <c r="J244" s="31"/>
      <c r="N244" s="31"/>
      <c r="O244" s="31"/>
      <c r="P244" s="31"/>
      <c r="R244" s="31"/>
      <c r="S244" s="31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>
      <c r="A245" s="31"/>
      <c r="B245" s="31"/>
      <c r="C245" s="31"/>
      <c r="E245" s="31"/>
      <c r="F245" s="31"/>
      <c r="G245" s="31"/>
      <c r="H245" s="31"/>
      <c r="I245" s="31"/>
      <c r="J245" s="31"/>
      <c r="N245" s="31"/>
      <c r="O245" s="31"/>
      <c r="P245" s="31"/>
      <c r="R245" s="31"/>
      <c r="S245" s="31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>
      <c r="A246" s="31"/>
      <c r="B246" s="31"/>
      <c r="C246" s="31"/>
      <c r="E246" s="31"/>
      <c r="F246" s="31"/>
      <c r="G246" s="31"/>
      <c r="H246" s="31"/>
      <c r="I246" s="31"/>
      <c r="J246" s="31"/>
      <c r="N246" s="31"/>
      <c r="O246" s="31"/>
      <c r="P246" s="31"/>
      <c r="R246" s="31"/>
      <c r="S246" s="31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>
      <c r="A247" s="31"/>
      <c r="B247" s="31"/>
      <c r="C247" s="31"/>
      <c r="E247" s="31"/>
      <c r="F247" s="31"/>
      <c r="G247" s="31"/>
      <c r="H247" s="31"/>
      <c r="I247" s="31"/>
      <c r="J247" s="31"/>
      <c r="N247" s="31"/>
      <c r="O247" s="31"/>
      <c r="P247" s="31"/>
      <c r="R247" s="31"/>
      <c r="S247" s="31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>
      <c r="A248" s="31"/>
      <c r="B248" s="31"/>
      <c r="C248" s="31"/>
      <c r="E248" s="31"/>
      <c r="F248" s="31"/>
      <c r="G248" s="31"/>
      <c r="H248" s="31"/>
      <c r="I248" s="31"/>
      <c r="J248" s="31"/>
      <c r="N248" s="31"/>
      <c r="O248" s="31"/>
      <c r="P248" s="31"/>
      <c r="R248" s="31"/>
      <c r="S248" s="31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>
      <c r="A249" s="31"/>
      <c r="B249" s="31"/>
      <c r="C249" s="31"/>
      <c r="E249" s="31"/>
      <c r="F249" s="31"/>
      <c r="G249" s="31"/>
      <c r="H249" s="31"/>
      <c r="I249" s="31"/>
      <c r="J249" s="31"/>
      <c r="N249" s="31"/>
      <c r="O249" s="31"/>
      <c r="P249" s="31"/>
      <c r="R249" s="31"/>
      <c r="S249" s="31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>
      <c r="A250" s="31"/>
      <c r="B250" s="31"/>
      <c r="C250" s="31"/>
      <c r="E250" s="31"/>
      <c r="F250" s="31"/>
      <c r="G250" s="31"/>
      <c r="H250" s="31"/>
      <c r="I250" s="31"/>
      <c r="J250" s="31"/>
      <c r="N250" s="31"/>
      <c r="O250" s="31"/>
      <c r="P250" s="31"/>
      <c r="R250" s="31"/>
      <c r="S250" s="31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>
      <c r="A251" s="31"/>
      <c r="B251" s="31"/>
      <c r="C251" s="31"/>
      <c r="E251" s="31"/>
      <c r="F251" s="31"/>
      <c r="G251" s="31"/>
      <c r="H251" s="31"/>
      <c r="I251" s="31"/>
      <c r="J251" s="31"/>
      <c r="N251" s="31"/>
      <c r="O251" s="31"/>
      <c r="P251" s="31"/>
      <c r="R251" s="31"/>
      <c r="S251" s="31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>
      <c r="A252" s="31"/>
      <c r="B252" s="31"/>
      <c r="C252" s="31"/>
      <c r="E252" s="31"/>
      <c r="F252" s="31"/>
      <c r="G252" s="31"/>
      <c r="H252" s="31"/>
      <c r="I252" s="31"/>
      <c r="J252" s="31"/>
      <c r="N252" s="31"/>
      <c r="O252" s="31"/>
      <c r="P252" s="31"/>
      <c r="R252" s="31"/>
      <c r="S252" s="31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>
      <c r="A253" s="31"/>
      <c r="B253" s="31"/>
      <c r="C253" s="31"/>
      <c r="E253" s="31"/>
      <c r="F253" s="31"/>
      <c r="G253" s="31"/>
      <c r="H253" s="31"/>
      <c r="I253" s="31"/>
      <c r="J253" s="31"/>
      <c r="N253" s="31"/>
      <c r="O253" s="31"/>
      <c r="P253" s="31"/>
      <c r="R253" s="31"/>
      <c r="S253" s="31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>
      <c r="A254" s="31"/>
      <c r="B254" s="31"/>
      <c r="C254" s="31"/>
      <c r="E254" s="31"/>
      <c r="F254" s="31"/>
      <c r="G254" s="31"/>
      <c r="H254" s="31"/>
      <c r="I254" s="31"/>
      <c r="J254" s="31"/>
      <c r="N254" s="31"/>
      <c r="O254" s="31"/>
      <c r="P254" s="31"/>
      <c r="R254" s="31"/>
      <c r="S254" s="31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>
      <c r="A255" s="31"/>
      <c r="B255" s="31"/>
      <c r="C255" s="31"/>
      <c r="E255" s="31"/>
      <c r="F255" s="31"/>
      <c r="G255" s="31"/>
      <c r="H255" s="31"/>
      <c r="I255" s="31"/>
      <c r="J255" s="31"/>
      <c r="N255" s="31"/>
      <c r="O255" s="31"/>
      <c r="P255" s="31"/>
      <c r="R255" s="31"/>
      <c r="S255" s="31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>
      <c r="A256" s="31"/>
      <c r="B256" s="31"/>
      <c r="C256" s="31"/>
      <c r="E256" s="31"/>
      <c r="F256" s="31"/>
      <c r="G256" s="31"/>
      <c r="H256" s="31"/>
      <c r="I256" s="31"/>
      <c r="J256" s="31"/>
      <c r="N256" s="31"/>
      <c r="O256" s="31"/>
      <c r="P256" s="31"/>
      <c r="R256" s="31"/>
      <c r="S256" s="31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>
      <c r="A257" s="31"/>
      <c r="B257" s="31"/>
      <c r="C257" s="31"/>
      <c r="E257" s="31"/>
      <c r="F257" s="31"/>
      <c r="G257" s="31"/>
      <c r="H257" s="31"/>
      <c r="I257" s="31"/>
      <c r="J257" s="31"/>
      <c r="N257" s="31"/>
      <c r="O257" s="31"/>
      <c r="P257" s="31"/>
      <c r="R257" s="31"/>
      <c r="S257" s="31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>
      <c r="A258" s="31"/>
      <c r="B258" s="31"/>
      <c r="C258" s="31"/>
      <c r="E258" s="31"/>
      <c r="F258" s="31"/>
      <c r="G258" s="31"/>
      <c r="H258" s="31"/>
      <c r="I258" s="31"/>
      <c r="J258" s="31"/>
      <c r="N258" s="31"/>
      <c r="O258" s="31"/>
      <c r="P258" s="31"/>
      <c r="R258" s="31"/>
      <c r="S258" s="31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>
      <c r="A259" s="31"/>
      <c r="B259" s="31"/>
      <c r="C259" s="31"/>
      <c r="E259" s="31"/>
      <c r="F259" s="31"/>
      <c r="G259" s="31"/>
      <c r="H259" s="31"/>
      <c r="I259" s="31"/>
      <c r="J259" s="31"/>
      <c r="N259" s="31"/>
      <c r="O259" s="31"/>
      <c r="P259" s="31"/>
      <c r="R259" s="31"/>
      <c r="S259" s="31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>
      <c r="A260" s="31"/>
      <c r="B260" s="31"/>
      <c r="C260" s="31"/>
      <c r="E260" s="31"/>
      <c r="F260" s="31"/>
      <c r="G260" s="31"/>
      <c r="H260" s="31"/>
      <c r="I260" s="31"/>
      <c r="J260" s="31"/>
      <c r="N260" s="31"/>
      <c r="O260" s="31"/>
      <c r="P260" s="31"/>
      <c r="R260" s="31"/>
      <c r="S260" s="31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>
      <c r="A261" s="31"/>
      <c r="B261" s="31"/>
      <c r="C261" s="31"/>
      <c r="E261" s="31"/>
      <c r="F261" s="31"/>
      <c r="G261" s="31"/>
      <c r="H261" s="31"/>
      <c r="I261" s="31"/>
      <c r="J261" s="31"/>
      <c r="N261" s="31"/>
      <c r="O261" s="31"/>
      <c r="P261" s="31"/>
      <c r="R261" s="31"/>
      <c r="S261" s="31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>
      <c r="A262" s="31"/>
      <c r="B262" s="31"/>
      <c r="C262" s="31"/>
      <c r="E262" s="31"/>
      <c r="F262" s="31"/>
      <c r="G262" s="31"/>
      <c r="H262" s="31"/>
      <c r="I262" s="31"/>
      <c r="J262" s="31"/>
      <c r="N262" s="31"/>
      <c r="O262" s="31"/>
      <c r="P262" s="31"/>
      <c r="R262" s="31"/>
      <c r="S262" s="31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>
      <c r="A263" s="31"/>
      <c r="B263" s="31"/>
      <c r="C263" s="31"/>
      <c r="E263" s="31"/>
      <c r="F263" s="31"/>
      <c r="G263" s="31"/>
      <c r="H263" s="31"/>
      <c r="I263" s="31"/>
      <c r="J263" s="31"/>
      <c r="N263" s="31"/>
      <c r="O263" s="31"/>
      <c r="P263" s="31"/>
      <c r="R263" s="31"/>
      <c r="S263" s="31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>
      <c r="A264" s="31"/>
      <c r="B264" s="31"/>
      <c r="C264" s="31"/>
      <c r="E264" s="31"/>
      <c r="F264" s="31"/>
      <c r="G264" s="31"/>
      <c r="H264" s="31"/>
      <c r="I264" s="31"/>
      <c r="J264" s="31"/>
      <c r="N264" s="31"/>
      <c r="O264" s="31"/>
      <c r="P264" s="31"/>
      <c r="R264" s="31"/>
      <c r="S264" s="31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>
      <c r="A265" s="31"/>
      <c r="B265" s="31"/>
      <c r="C265" s="31"/>
      <c r="E265" s="31"/>
      <c r="F265" s="31"/>
      <c r="G265" s="31"/>
      <c r="H265" s="31"/>
      <c r="I265" s="31"/>
      <c r="J265" s="31"/>
      <c r="N265" s="31"/>
      <c r="O265" s="31"/>
      <c r="P265" s="31"/>
      <c r="R265" s="31"/>
      <c r="S265" s="31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>
      <c r="A266" s="31"/>
      <c r="B266" s="31"/>
      <c r="C266" s="31"/>
      <c r="E266" s="31"/>
      <c r="F266" s="31"/>
      <c r="G266" s="31"/>
      <c r="H266" s="31"/>
      <c r="I266" s="31"/>
      <c r="J266" s="31"/>
      <c r="N266" s="31"/>
      <c r="O266" s="31"/>
      <c r="P266" s="31"/>
      <c r="R266" s="31"/>
      <c r="S266" s="31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>
      <c r="A267" s="31"/>
      <c r="B267" s="31"/>
      <c r="C267" s="31"/>
      <c r="E267" s="31"/>
      <c r="F267" s="31"/>
      <c r="G267" s="31"/>
      <c r="H267" s="31"/>
      <c r="I267" s="31"/>
      <c r="J267" s="31"/>
      <c r="N267" s="31"/>
      <c r="O267" s="31"/>
      <c r="P267" s="31"/>
      <c r="R267" s="31"/>
      <c r="S267" s="31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>
      <c r="A268" s="31"/>
      <c r="B268" s="31"/>
      <c r="C268" s="31"/>
      <c r="E268" s="31"/>
      <c r="F268" s="31"/>
      <c r="G268" s="31"/>
      <c r="H268" s="31"/>
      <c r="I268" s="31"/>
      <c r="J268" s="31"/>
      <c r="N268" s="31"/>
      <c r="O268" s="31"/>
      <c r="P268" s="31"/>
      <c r="R268" s="31"/>
      <c r="S268" s="31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>
      <c r="A269" s="31"/>
      <c r="B269" s="31"/>
      <c r="C269" s="31"/>
      <c r="E269" s="31"/>
      <c r="F269" s="31"/>
      <c r="G269" s="31"/>
      <c r="H269" s="31"/>
      <c r="I269" s="31"/>
      <c r="J269" s="31"/>
      <c r="N269" s="31"/>
      <c r="O269" s="31"/>
      <c r="P269" s="31"/>
      <c r="R269" s="31"/>
      <c r="S269" s="31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>
      <c r="A270" s="31"/>
      <c r="B270" s="31"/>
      <c r="C270" s="31"/>
      <c r="E270" s="31"/>
      <c r="F270" s="31"/>
      <c r="G270" s="31"/>
      <c r="H270" s="31"/>
      <c r="I270" s="31"/>
      <c r="J270" s="31"/>
      <c r="N270" s="31"/>
      <c r="O270" s="31"/>
      <c r="P270" s="31"/>
      <c r="R270" s="31"/>
      <c r="S270" s="31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>
      <c r="A271" s="31"/>
      <c r="B271" s="31"/>
      <c r="C271" s="31"/>
      <c r="E271" s="31"/>
      <c r="F271" s="31"/>
      <c r="G271" s="31"/>
      <c r="H271" s="31"/>
      <c r="I271" s="31"/>
      <c r="J271" s="31"/>
      <c r="N271" s="31"/>
      <c r="O271" s="31"/>
      <c r="P271" s="31"/>
      <c r="R271" s="31"/>
      <c r="S271" s="31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>
      <c r="A272" s="31"/>
      <c r="B272" s="31"/>
      <c r="C272" s="31"/>
      <c r="E272" s="31"/>
      <c r="F272" s="31"/>
      <c r="G272" s="31"/>
      <c r="H272" s="31"/>
      <c r="I272" s="31"/>
      <c r="J272" s="31"/>
      <c r="N272" s="31"/>
      <c r="O272" s="31"/>
      <c r="P272" s="31"/>
      <c r="R272" s="31"/>
      <c r="S272" s="31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>
      <c r="A273" s="31"/>
      <c r="B273" s="31"/>
      <c r="C273" s="31"/>
      <c r="E273" s="31"/>
      <c r="F273" s="31"/>
      <c r="G273" s="31"/>
      <c r="H273" s="31"/>
      <c r="I273" s="31"/>
      <c r="J273" s="31"/>
      <c r="N273" s="31"/>
      <c r="O273" s="31"/>
      <c r="P273" s="31"/>
      <c r="R273" s="31"/>
      <c r="S273" s="31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>
      <c r="A274" s="31"/>
      <c r="B274" s="31"/>
      <c r="C274" s="31"/>
      <c r="E274" s="31"/>
      <c r="F274" s="31"/>
      <c r="G274" s="31"/>
      <c r="H274" s="31"/>
      <c r="I274" s="31"/>
      <c r="J274" s="31"/>
      <c r="N274" s="31"/>
      <c r="O274" s="31"/>
      <c r="P274" s="31"/>
      <c r="R274" s="31"/>
      <c r="S274" s="31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>
      <c r="A275" s="31"/>
      <c r="B275" s="31"/>
      <c r="C275" s="31"/>
      <c r="E275" s="31"/>
      <c r="F275" s="31"/>
      <c r="G275" s="31"/>
      <c r="H275" s="31"/>
      <c r="I275" s="31"/>
      <c r="J275" s="31"/>
      <c r="N275" s="31"/>
      <c r="O275" s="31"/>
      <c r="P275" s="31"/>
      <c r="R275" s="31"/>
      <c r="S275" s="31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>
      <c r="A276" s="31"/>
      <c r="B276" s="31"/>
      <c r="C276" s="31"/>
      <c r="E276" s="31"/>
      <c r="F276" s="31"/>
      <c r="G276" s="31"/>
      <c r="H276" s="31"/>
      <c r="I276" s="31"/>
      <c r="J276" s="31"/>
      <c r="N276" s="31"/>
      <c r="O276" s="31"/>
      <c r="P276" s="31"/>
      <c r="R276" s="31"/>
      <c r="S276" s="31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>
      <c r="A277" s="31"/>
      <c r="B277" s="31"/>
      <c r="C277" s="31"/>
      <c r="E277" s="31"/>
      <c r="F277" s="31"/>
      <c r="G277" s="31"/>
      <c r="H277" s="31"/>
      <c r="I277" s="31"/>
      <c r="J277" s="31"/>
      <c r="N277" s="31"/>
      <c r="O277" s="31"/>
      <c r="P277" s="31"/>
      <c r="R277" s="31"/>
      <c r="S277" s="31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>
      <c r="A278" s="31"/>
      <c r="B278" s="31"/>
      <c r="C278" s="31"/>
      <c r="E278" s="31"/>
      <c r="F278" s="31"/>
      <c r="G278" s="31"/>
      <c r="H278" s="31"/>
      <c r="I278" s="31"/>
      <c r="J278" s="31"/>
      <c r="N278" s="31"/>
      <c r="O278" s="31"/>
      <c r="P278" s="31"/>
      <c r="R278" s="31"/>
      <c r="S278" s="31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>
      <c r="A279" s="31"/>
      <c r="B279" s="31"/>
      <c r="C279" s="31"/>
      <c r="E279" s="31"/>
      <c r="F279" s="31"/>
      <c r="G279" s="31"/>
      <c r="H279" s="31"/>
      <c r="I279" s="31"/>
      <c r="J279" s="31"/>
      <c r="N279" s="31"/>
      <c r="O279" s="31"/>
      <c r="P279" s="31"/>
      <c r="R279" s="31"/>
      <c r="S279" s="31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>
      <c r="A280" s="31"/>
      <c r="B280" s="31"/>
      <c r="C280" s="31"/>
      <c r="E280" s="31"/>
      <c r="F280" s="31"/>
      <c r="G280" s="31"/>
      <c r="H280" s="31"/>
      <c r="I280" s="31"/>
      <c r="J280" s="31"/>
      <c r="N280" s="31"/>
      <c r="O280" s="31"/>
      <c r="P280" s="31"/>
      <c r="R280" s="31"/>
      <c r="S280" s="31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>
      <c r="A281" s="31"/>
      <c r="B281" s="31"/>
      <c r="C281" s="31"/>
      <c r="E281" s="31"/>
      <c r="F281" s="31"/>
      <c r="G281" s="31"/>
      <c r="H281" s="31"/>
      <c r="I281" s="31"/>
      <c r="J281" s="31"/>
      <c r="N281" s="31"/>
      <c r="O281" s="31"/>
      <c r="P281" s="31"/>
      <c r="R281" s="31"/>
      <c r="S281" s="31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>
      <c r="A282" s="31"/>
      <c r="B282" s="31"/>
      <c r="C282" s="31"/>
      <c r="E282" s="31"/>
      <c r="F282" s="31"/>
      <c r="G282" s="31"/>
      <c r="H282" s="31"/>
      <c r="I282" s="31"/>
      <c r="J282" s="31"/>
      <c r="N282" s="31"/>
      <c r="O282" s="31"/>
      <c r="P282" s="31"/>
      <c r="R282" s="31"/>
      <c r="S282" s="31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>
      <c r="A283" s="31"/>
      <c r="B283" s="31"/>
      <c r="C283" s="31"/>
      <c r="E283" s="31"/>
      <c r="F283" s="31"/>
      <c r="G283" s="31"/>
      <c r="H283" s="31"/>
      <c r="I283" s="31"/>
      <c r="J283" s="31"/>
      <c r="N283" s="31"/>
      <c r="O283" s="31"/>
      <c r="P283" s="31"/>
      <c r="R283" s="31"/>
      <c r="S283" s="31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>
      <c r="A284" s="31"/>
      <c r="B284" s="31"/>
      <c r="C284" s="31"/>
      <c r="E284" s="31"/>
      <c r="F284" s="31"/>
      <c r="G284" s="31"/>
      <c r="H284" s="31"/>
      <c r="I284" s="31"/>
      <c r="J284" s="31"/>
      <c r="N284" s="31"/>
      <c r="O284" s="31"/>
      <c r="P284" s="31"/>
      <c r="R284" s="31"/>
      <c r="S284" s="31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>
      <c r="A285" s="31"/>
      <c r="B285" s="31"/>
      <c r="C285" s="31"/>
      <c r="E285" s="31"/>
      <c r="F285" s="31"/>
      <c r="G285" s="31"/>
      <c r="H285" s="31"/>
      <c r="I285" s="31"/>
      <c r="J285" s="31"/>
      <c r="N285" s="31"/>
      <c r="O285" s="31"/>
      <c r="P285" s="31"/>
      <c r="R285" s="31"/>
      <c r="S285" s="31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>
      <c r="A286" s="31"/>
      <c r="B286" s="31"/>
      <c r="C286" s="31"/>
      <c r="E286" s="31"/>
      <c r="F286" s="31"/>
      <c r="G286" s="31"/>
      <c r="H286" s="31"/>
      <c r="I286" s="31"/>
      <c r="J286" s="31"/>
      <c r="N286" s="31"/>
      <c r="O286" s="31"/>
      <c r="P286" s="31"/>
      <c r="R286" s="31"/>
      <c r="S286" s="31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>
      <c r="A287" s="31"/>
      <c r="B287" s="31"/>
      <c r="C287" s="31"/>
      <c r="E287" s="31"/>
      <c r="F287" s="31"/>
      <c r="G287" s="31"/>
      <c r="H287" s="31"/>
      <c r="I287" s="31"/>
      <c r="J287" s="31"/>
      <c r="N287" s="31"/>
      <c r="O287" s="31"/>
      <c r="P287" s="31"/>
      <c r="R287" s="31"/>
      <c r="S287" s="31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>
      <c r="A288" s="31"/>
      <c r="B288" s="31"/>
      <c r="C288" s="31"/>
      <c r="E288" s="31"/>
      <c r="F288" s="31"/>
      <c r="G288" s="31"/>
      <c r="H288" s="31"/>
      <c r="I288" s="31"/>
      <c r="J288" s="31"/>
      <c r="N288" s="31"/>
      <c r="O288" s="31"/>
      <c r="P288" s="31"/>
      <c r="R288" s="31"/>
      <c r="S288" s="31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>
      <c r="A289" s="31"/>
      <c r="B289" s="31"/>
      <c r="C289" s="31"/>
      <c r="E289" s="31"/>
      <c r="F289" s="31"/>
      <c r="G289" s="31"/>
      <c r="H289" s="31"/>
      <c r="I289" s="31"/>
      <c r="J289" s="31"/>
      <c r="N289" s="31"/>
      <c r="O289" s="31"/>
      <c r="P289" s="31"/>
      <c r="R289" s="31"/>
      <c r="S289" s="31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>
      <c r="A290" s="31"/>
      <c r="B290" s="31"/>
      <c r="C290" s="31"/>
      <c r="E290" s="31"/>
      <c r="F290" s="31"/>
      <c r="G290" s="31"/>
      <c r="H290" s="31"/>
      <c r="I290" s="31"/>
      <c r="J290" s="31"/>
      <c r="N290" s="31"/>
      <c r="O290" s="31"/>
      <c r="P290" s="31"/>
      <c r="R290" s="31"/>
      <c r="S290" s="31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>
      <c r="A291" s="31"/>
      <c r="B291" s="31"/>
      <c r="C291" s="31"/>
      <c r="E291" s="31"/>
      <c r="F291" s="31"/>
      <c r="G291" s="31"/>
      <c r="H291" s="31"/>
      <c r="I291" s="31"/>
      <c r="J291" s="31"/>
      <c r="N291" s="31"/>
      <c r="O291" s="31"/>
      <c r="P291" s="31"/>
      <c r="R291" s="31"/>
      <c r="S291" s="31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>
      <c r="A292" s="31"/>
      <c r="B292" s="31"/>
      <c r="C292" s="31"/>
      <c r="E292" s="31"/>
      <c r="F292" s="31"/>
      <c r="G292" s="31"/>
      <c r="H292" s="31"/>
      <c r="I292" s="31"/>
      <c r="J292" s="31"/>
      <c r="N292" s="31"/>
      <c r="O292" s="31"/>
      <c r="P292" s="31"/>
      <c r="R292" s="31"/>
      <c r="S292" s="31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>
      <c r="A293" s="31"/>
      <c r="B293" s="31"/>
      <c r="C293" s="31"/>
      <c r="E293" s="31"/>
      <c r="F293" s="31"/>
      <c r="G293" s="31"/>
      <c r="H293" s="31"/>
      <c r="I293" s="31"/>
      <c r="J293" s="31"/>
      <c r="N293" s="31"/>
      <c r="O293" s="31"/>
      <c r="P293" s="31"/>
      <c r="R293" s="31"/>
      <c r="S293" s="31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>
      <c r="A294" s="31"/>
      <c r="B294" s="31"/>
      <c r="C294" s="31"/>
      <c r="E294" s="31"/>
      <c r="F294" s="31"/>
      <c r="G294" s="31"/>
      <c r="H294" s="31"/>
      <c r="I294" s="31"/>
      <c r="J294" s="31"/>
      <c r="N294" s="31"/>
      <c r="O294" s="31"/>
      <c r="P294" s="31"/>
      <c r="R294" s="31"/>
      <c r="S294" s="31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>
      <c r="A295" s="31"/>
      <c r="B295" s="31"/>
      <c r="C295" s="31"/>
      <c r="E295" s="31"/>
      <c r="F295" s="31"/>
      <c r="G295" s="31"/>
      <c r="H295" s="31"/>
      <c r="I295" s="31"/>
      <c r="J295" s="31"/>
      <c r="N295" s="31"/>
      <c r="O295" s="31"/>
      <c r="P295" s="31"/>
      <c r="R295" s="31"/>
      <c r="S295" s="31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>
      <c r="A296" s="31"/>
      <c r="B296" s="31"/>
      <c r="C296" s="31"/>
      <c r="E296" s="31"/>
      <c r="F296" s="31"/>
      <c r="G296" s="31"/>
      <c r="H296" s="31"/>
      <c r="I296" s="31"/>
      <c r="J296" s="31"/>
      <c r="N296" s="31"/>
      <c r="O296" s="31"/>
      <c r="P296" s="31"/>
      <c r="R296" s="31"/>
      <c r="S296" s="31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>
      <c r="A297" s="31"/>
      <c r="B297" s="31"/>
      <c r="C297" s="31"/>
      <c r="E297" s="31"/>
      <c r="F297" s="31"/>
      <c r="G297" s="31"/>
      <c r="H297" s="31"/>
      <c r="I297" s="31"/>
      <c r="J297" s="31"/>
      <c r="N297" s="31"/>
      <c r="O297" s="31"/>
      <c r="P297" s="31"/>
      <c r="R297" s="31"/>
      <c r="S297" s="31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>
      <c r="A298" s="31"/>
      <c r="B298" s="31"/>
      <c r="C298" s="31"/>
      <c r="E298" s="31"/>
      <c r="F298" s="31"/>
      <c r="G298" s="31"/>
      <c r="H298" s="31"/>
      <c r="I298" s="31"/>
      <c r="J298" s="31"/>
      <c r="N298" s="31"/>
      <c r="O298" s="31"/>
      <c r="P298" s="31"/>
      <c r="R298" s="31"/>
      <c r="S298" s="31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>
      <c r="A299" s="31"/>
      <c r="B299" s="31"/>
      <c r="C299" s="31"/>
      <c r="E299" s="31"/>
      <c r="F299" s="31"/>
      <c r="G299" s="31"/>
      <c r="H299" s="31"/>
      <c r="I299" s="31"/>
      <c r="J299" s="31"/>
      <c r="N299" s="31"/>
      <c r="O299" s="31"/>
      <c r="P299" s="31"/>
      <c r="R299" s="31"/>
      <c r="S299" s="31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>
      <c r="A300" s="31"/>
      <c r="B300" s="31"/>
      <c r="C300" s="31"/>
      <c r="E300" s="31"/>
      <c r="F300" s="31"/>
      <c r="G300" s="31"/>
      <c r="H300" s="31"/>
      <c r="I300" s="31"/>
      <c r="J300" s="31"/>
      <c r="N300" s="31"/>
      <c r="O300" s="31"/>
      <c r="P300" s="31"/>
      <c r="R300" s="31"/>
      <c r="S300" s="31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>
      <c r="A301" s="31"/>
      <c r="B301" s="31"/>
      <c r="C301" s="31"/>
      <c r="E301" s="31"/>
      <c r="F301" s="31"/>
      <c r="G301" s="31"/>
      <c r="H301" s="31"/>
      <c r="I301" s="31"/>
      <c r="J301" s="31"/>
      <c r="N301" s="31"/>
      <c r="O301" s="31"/>
      <c r="P301" s="31"/>
      <c r="R301" s="31"/>
      <c r="S301" s="31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>
      <c r="A302" s="31"/>
      <c r="B302" s="31"/>
      <c r="C302" s="31"/>
      <c r="E302" s="31"/>
      <c r="F302" s="31"/>
      <c r="G302" s="31"/>
      <c r="H302" s="31"/>
      <c r="I302" s="31"/>
      <c r="J302" s="31"/>
      <c r="N302" s="31"/>
      <c r="O302" s="31"/>
      <c r="P302" s="31"/>
      <c r="R302" s="31"/>
      <c r="S302" s="31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>
      <c r="A303" s="31"/>
      <c r="B303" s="31"/>
      <c r="C303" s="31"/>
      <c r="E303" s="31"/>
      <c r="F303" s="31"/>
      <c r="G303" s="31"/>
      <c r="H303" s="31"/>
      <c r="I303" s="31"/>
      <c r="J303" s="31"/>
      <c r="N303" s="31"/>
      <c r="O303" s="31"/>
      <c r="P303" s="31"/>
      <c r="R303" s="31"/>
      <c r="S303" s="31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>
      <c r="A304" s="31"/>
      <c r="B304" s="31"/>
      <c r="C304" s="31"/>
      <c r="E304" s="31"/>
      <c r="F304" s="31"/>
      <c r="G304" s="31"/>
      <c r="H304" s="31"/>
      <c r="I304" s="31"/>
      <c r="J304" s="31"/>
      <c r="N304" s="31"/>
      <c r="O304" s="31"/>
      <c r="P304" s="31"/>
      <c r="R304" s="31"/>
      <c r="S304" s="31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>
      <c r="A305" s="31"/>
      <c r="B305" s="31"/>
      <c r="C305" s="31"/>
      <c r="E305" s="31"/>
      <c r="F305" s="31"/>
      <c r="G305" s="31"/>
      <c r="H305" s="31"/>
      <c r="I305" s="31"/>
      <c r="J305" s="31"/>
      <c r="N305" s="31"/>
      <c r="O305" s="31"/>
      <c r="P305" s="31"/>
      <c r="R305" s="31"/>
      <c r="S305" s="31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>
      <c r="A306" s="31"/>
      <c r="B306" s="31"/>
      <c r="C306" s="31"/>
      <c r="E306" s="31"/>
      <c r="F306" s="31"/>
      <c r="G306" s="31"/>
      <c r="H306" s="31"/>
      <c r="I306" s="31"/>
      <c r="J306" s="31"/>
      <c r="N306" s="31"/>
      <c r="O306" s="31"/>
      <c r="P306" s="31"/>
      <c r="R306" s="31"/>
      <c r="S306" s="31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>
      <c r="A307" s="31"/>
      <c r="B307" s="31"/>
      <c r="C307" s="31"/>
      <c r="E307" s="31"/>
      <c r="F307" s="31"/>
      <c r="G307" s="31"/>
      <c r="H307" s="31"/>
      <c r="I307" s="31"/>
      <c r="J307" s="31"/>
      <c r="N307" s="31"/>
      <c r="O307" s="31"/>
      <c r="P307" s="31"/>
      <c r="R307" s="31"/>
      <c r="S307" s="31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>
      <c r="A308" s="31"/>
      <c r="B308" s="31"/>
      <c r="C308" s="31"/>
      <c r="E308" s="31"/>
      <c r="F308" s="31"/>
      <c r="G308" s="31"/>
      <c r="H308" s="31"/>
      <c r="I308" s="31"/>
      <c r="J308" s="31"/>
      <c r="N308" s="31"/>
      <c r="O308" s="31"/>
      <c r="P308" s="31"/>
      <c r="R308" s="31"/>
      <c r="S308" s="31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>
      <c r="A309" s="31"/>
      <c r="B309" s="31"/>
      <c r="C309" s="31"/>
      <c r="E309" s="31"/>
      <c r="F309" s="31"/>
      <c r="G309" s="31"/>
      <c r="H309" s="31"/>
      <c r="I309" s="31"/>
      <c r="J309" s="31"/>
      <c r="N309" s="31"/>
      <c r="O309" s="31"/>
      <c r="P309" s="31"/>
      <c r="R309" s="31"/>
      <c r="S309" s="31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>
      <c r="A310" s="31"/>
      <c r="B310" s="31"/>
      <c r="C310" s="31"/>
      <c r="E310" s="31"/>
      <c r="F310" s="31"/>
      <c r="G310" s="31"/>
      <c r="H310" s="31"/>
      <c r="I310" s="31"/>
      <c r="J310" s="31"/>
      <c r="N310" s="31"/>
      <c r="O310" s="31"/>
      <c r="P310" s="31"/>
      <c r="R310" s="31"/>
      <c r="S310" s="31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>
      <c r="A311" s="31"/>
      <c r="B311" s="31"/>
      <c r="C311" s="31"/>
      <c r="E311" s="31"/>
      <c r="F311" s="31"/>
      <c r="G311" s="31"/>
      <c r="H311" s="31"/>
      <c r="I311" s="31"/>
      <c r="J311" s="31"/>
      <c r="N311" s="31"/>
      <c r="O311" s="31"/>
      <c r="P311" s="31"/>
      <c r="R311" s="31"/>
      <c r="S311" s="31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>
      <c r="A312" s="31"/>
      <c r="B312" s="31"/>
      <c r="C312" s="31"/>
      <c r="E312" s="31"/>
      <c r="F312" s="31"/>
      <c r="G312" s="31"/>
      <c r="H312" s="31"/>
      <c r="I312" s="31"/>
      <c r="J312" s="31"/>
      <c r="N312" s="31"/>
      <c r="O312" s="31"/>
      <c r="P312" s="31"/>
      <c r="R312" s="31"/>
      <c r="S312" s="31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>
      <c r="A313" s="31"/>
      <c r="B313" s="31"/>
      <c r="C313" s="31"/>
      <c r="E313" s="31"/>
      <c r="F313" s="31"/>
      <c r="G313" s="31"/>
      <c r="H313" s="31"/>
      <c r="I313" s="31"/>
      <c r="J313" s="31"/>
      <c r="N313" s="31"/>
      <c r="O313" s="31"/>
      <c r="P313" s="31"/>
      <c r="R313" s="31"/>
      <c r="S313" s="31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>
      <c r="A314" s="31"/>
      <c r="B314" s="31"/>
      <c r="C314" s="31"/>
      <c r="E314" s="31"/>
      <c r="F314" s="31"/>
      <c r="G314" s="31"/>
      <c r="H314" s="31"/>
      <c r="I314" s="31"/>
      <c r="J314" s="31"/>
      <c r="N314" s="31"/>
      <c r="O314" s="31"/>
      <c r="P314" s="31"/>
      <c r="R314" s="31"/>
      <c r="S314" s="31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>
      <c r="A315" s="31"/>
      <c r="B315" s="31"/>
      <c r="C315" s="31"/>
      <c r="E315" s="31"/>
      <c r="F315" s="31"/>
      <c r="G315" s="31"/>
      <c r="H315" s="31"/>
      <c r="I315" s="31"/>
      <c r="J315" s="31"/>
      <c r="N315" s="31"/>
      <c r="O315" s="31"/>
      <c r="P315" s="31"/>
      <c r="R315" s="31"/>
      <c r="S315" s="31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>
      <c r="A316" s="31"/>
      <c r="B316" s="31"/>
      <c r="C316" s="31"/>
      <c r="E316" s="31"/>
      <c r="F316" s="31"/>
      <c r="G316" s="31"/>
      <c r="H316" s="31"/>
      <c r="I316" s="31"/>
      <c r="J316" s="31"/>
      <c r="N316" s="31"/>
      <c r="O316" s="31"/>
      <c r="P316" s="31"/>
      <c r="R316" s="31"/>
      <c r="S316" s="31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>
      <c r="A317" s="31"/>
      <c r="B317" s="31"/>
      <c r="C317" s="31"/>
      <c r="E317" s="31"/>
      <c r="F317" s="31"/>
      <c r="G317" s="31"/>
      <c r="H317" s="31"/>
      <c r="I317" s="31"/>
      <c r="J317" s="31"/>
      <c r="N317" s="31"/>
      <c r="O317" s="31"/>
      <c r="P317" s="31"/>
      <c r="R317" s="31"/>
      <c r="S317" s="31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>
      <c r="A318" s="31"/>
      <c r="B318" s="31"/>
      <c r="C318" s="31"/>
      <c r="E318" s="31"/>
      <c r="F318" s="31"/>
      <c r="G318" s="31"/>
      <c r="H318" s="31"/>
      <c r="I318" s="31"/>
      <c r="J318" s="31"/>
      <c r="N318" s="31"/>
      <c r="O318" s="31"/>
      <c r="P318" s="31"/>
      <c r="R318" s="31"/>
      <c r="S318" s="31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>
      <c r="A319" s="31"/>
      <c r="B319" s="31"/>
      <c r="C319" s="31"/>
      <c r="E319" s="31"/>
      <c r="F319" s="31"/>
      <c r="G319" s="31"/>
      <c r="H319" s="31"/>
      <c r="I319" s="31"/>
      <c r="J319" s="31"/>
      <c r="N319" s="31"/>
      <c r="O319" s="31"/>
      <c r="P319" s="31"/>
      <c r="R319" s="31"/>
      <c r="S319" s="31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>
      <c r="A320" s="31"/>
      <c r="B320" s="31"/>
      <c r="C320" s="31"/>
      <c r="E320" s="31"/>
      <c r="F320" s="31"/>
      <c r="G320" s="31"/>
      <c r="H320" s="31"/>
      <c r="I320" s="31"/>
      <c r="J320" s="31"/>
      <c r="N320" s="31"/>
      <c r="O320" s="31"/>
      <c r="P320" s="31"/>
      <c r="R320" s="31"/>
      <c r="S320" s="31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>
      <c r="A321" s="31"/>
      <c r="B321" s="31"/>
      <c r="C321" s="31"/>
      <c r="E321" s="31"/>
      <c r="F321" s="31"/>
      <c r="G321" s="31"/>
      <c r="H321" s="31"/>
      <c r="I321" s="31"/>
      <c r="J321" s="31"/>
      <c r="N321" s="31"/>
      <c r="O321" s="31"/>
      <c r="P321" s="31"/>
      <c r="R321" s="31"/>
      <c r="S321" s="31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>
      <c r="A322" s="31"/>
      <c r="B322" s="31"/>
      <c r="C322" s="31"/>
      <c r="E322" s="31"/>
      <c r="F322" s="31"/>
      <c r="G322" s="31"/>
      <c r="H322" s="31"/>
      <c r="I322" s="31"/>
      <c r="J322" s="31"/>
      <c r="N322" s="31"/>
      <c r="O322" s="31"/>
      <c r="P322" s="31"/>
      <c r="R322" s="31"/>
      <c r="S322" s="31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>
      <c r="A323" s="31"/>
      <c r="B323" s="31"/>
      <c r="C323" s="31"/>
      <c r="E323" s="31"/>
      <c r="F323" s="31"/>
      <c r="G323" s="31"/>
      <c r="H323" s="31"/>
      <c r="I323" s="31"/>
      <c r="J323" s="31"/>
      <c r="N323" s="31"/>
      <c r="O323" s="31"/>
      <c r="P323" s="31"/>
      <c r="R323" s="31"/>
      <c r="S323" s="31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>
      <c r="A324" s="31"/>
      <c r="B324" s="31"/>
      <c r="C324" s="31"/>
      <c r="E324" s="31"/>
      <c r="F324" s="31"/>
      <c r="G324" s="31"/>
      <c r="H324" s="31"/>
      <c r="I324" s="31"/>
      <c r="J324" s="31"/>
      <c r="N324" s="31"/>
      <c r="O324" s="31"/>
      <c r="P324" s="31"/>
      <c r="R324" s="31"/>
      <c r="S324" s="31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>
      <c r="A325" s="31"/>
      <c r="B325" s="31"/>
      <c r="C325" s="31"/>
      <c r="E325" s="31"/>
      <c r="F325" s="31"/>
      <c r="G325" s="31"/>
      <c r="H325" s="31"/>
      <c r="I325" s="31"/>
      <c r="J325" s="31"/>
      <c r="N325" s="31"/>
      <c r="O325" s="31"/>
      <c r="P325" s="31"/>
      <c r="R325" s="31"/>
      <c r="S325" s="31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>
      <c r="A326" s="31"/>
      <c r="B326" s="31"/>
      <c r="C326" s="31"/>
      <c r="E326" s="31"/>
      <c r="F326" s="31"/>
      <c r="G326" s="31"/>
      <c r="H326" s="31"/>
      <c r="I326" s="31"/>
      <c r="J326" s="31"/>
      <c r="N326" s="31"/>
      <c r="O326" s="31"/>
      <c r="P326" s="31"/>
      <c r="R326" s="31"/>
      <c r="S326" s="31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>
      <c r="A327" s="31"/>
      <c r="B327" s="31"/>
      <c r="C327" s="31"/>
      <c r="E327" s="31"/>
      <c r="F327" s="31"/>
      <c r="G327" s="31"/>
      <c r="H327" s="31"/>
      <c r="I327" s="31"/>
      <c r="J327" s="31"/>
      <c r="N327" s="31"/>
      <c r="O327" s="31"/>
      <c r="P327" s="31"/>
      <c r="R327" s="31"/>
      <c r="S327" s="31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>
      <c r="A328" s="31"/>
      <c r="B328" s="31"/>
      <c r="C328" s="31"/>
      <c r="E328" s="31"/>
      <c r="F328" s="31"/>
      <c r="G328" s="31"/>
      <c r="H328" s="31"/>
      <c r="I328" s="31"/>
      <c r="J328" s="31"/>
      <c r="N328" s="31"/>
      <c r="O328" s="31"/>
      <c r="P328" s="31"/>
      <c r="R328" s="31"/>
      <c r="S328" s="31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>
      <c r="A329" s="31"/>
      <c r="B329" s="31"/>
      <c r="C329" s="31"/>
      <c r="E329" s="31"/>
      <c r="F329" s="31"/>
      <c r="G329" s="31"/>
      <c r="H329" s="31"/>
      <c r="I329" s="31"/>
      <c r="J329" s="31"/>
      <c r="N329" s="31"/>
      <c r="O329" s="31"/>
      <c r="P329" s="31"/>
      <c r="R329" s="31"/>
      <c r="S329" s="31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>
      <c r="A330" s="31"/>
      <c r="B330" s="31"/>
      <c r="C330" s="31"/>
      <c r="E330" s="31"/>
      <c r="F330" s="31"/>
      <c r="G330" s="31"/>
      <c r="H330" s="31"/>
      <c r="I330" s="31"/>
      <c r="J330" s="31"/>
      <c r="N330" s="31"/>
      <c r="O330" s="31"/>
      <c r="P330" s="31"/>
      <c r="R330" s="31"/>
      <c r="S330" s="31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>
      <c r="A331" s="31"/>
      <c r="B331" s="31"/>
      <c r="C331" s="31"/>
      <c r="E331" s="31"/>
      <c r="F331" s="31"/>
      <c r="G331" s="31"/>
      <c r="H331" s="31"/>
      <c r="I331" s="31"/>
      <c r="J331" s="31"/>
      <c r="N331" s="31"/>
      <c r="O331" s="31"/>
      <c r="P331" s="31"/>
      <c r="R331" s="31"/>
      <c r="S331" s="31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>
      <c r="A332" s="31"/>
      <c r="B332" s="31"/>
      <c r="C332" s="31"/>
      <c r="E332" s="31"/>
      <c r="F332" s="31"/>
      <c r="G332" s="31"/>
      <c r="H332" s="31"/>
      <c r="I332" s="31"/>
      <c r="J332" s="31"/>
      <c r="N332" s="31"/>
      <c r="O332" s="31"/>
      <c r="P332" s="31"/>
      <c r="R332" s="31"/>
      <c r="S332" s="31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>
      <c r="A333" s="31"/>
      <c r="B333" s="31"/>
      <c r="C333" s="31"/>
      <c r="E333" s="31"/>
      <c r="F333" s="31"/>
      <c r="G333" s="31"/>
      <c r="H333" s="31"/>
      <c r="I333" s="31"/>
      <c r="J333" s="31"/>
      <c r="N333" s="31"/>
      <c r="O333" s="31"/>
      <c r="P333" s="31"/>
      <c r="R333" s="31"/>
      <c r="S333" s="31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>
      <c r="A334" s="31"/>
      <c r="B334" s="31"/>
      <c r="C334" s="31"/>
      <c r="E334" s="31"/>
      <c r="F334" s="31"/>
      <c r="G334" s="31"/>
      <c r="H334" s="31"/>
      <c r="I334" s="31"/>
      <c r="J334" s="31"/>
      <c r="N334" s="31"/>
      <c r="O334" s="31"/>
      <c r="P334" s="31"/>
      <c r="R334" s="31"/>
      <c r="S334" s="31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>
      <c r="A335" s="31"/>
      <c r="B335" s="31"/>
      <c r="C335" s="31"/>
      <c r="E335" s="31"/>
      <c r="F335" s="31"/>
      <c r="G335" s="31"/>
      <c r="H335" s="31"/>
      <c r="I335" s="31"/>
      <c r="J335" s="31"/>
      <c r="N335" s="31"/>
      <c r="O335" s="31"/>
      <c r="P335" s="31"/>
      <c r="R335" s="31"/>
      <c r="S335" s="31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>
      <c r="A336" s="31"/>
      <c r="B336" s="31"/>
      <c r="C336" s="31"/>
      <c r="E336" s="31"/>
      <c r="F336" s="31"/>
      <c r="G336" s="31"/>
      <c r="H336" s="31"/>
      <c r="I336" s="31"/>
      <c r="J336" s="31"/>
      <c r="N336" s="31"/>
      <c r="O336" s="31"/>
      <c r="P336" s="31"/>
      <c r="R336" s="31"/>
      <c r="S336" s="31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>
      <c r="A337" s="31"/>
      <c r="B337" s="31"/>
      <c r="C337" s="31"/>
      <c r="E337" s="31"/>
      <c r="F337" s="31"/>
      <c r="G337" s="31"/>
      <c r="H337" s="31"/>
      <c r="I337" s="31"/>
      <c r="J337" s="31"/>
      <c r="N337" s="31"/>
      <c r="O337" s="31"/>
      <c r="P337" s="31"/>
      <c r="R337" s="31"/>
      <c r="S337" s="31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>
      <c r="A338" s="31"/>
      <c r="B338" s="31"/>
      <c r="C338" s="31"/>
      <c r="E338" s="31"/>
      <c r="F338" s="31"/>
      <c r="G338" s="31"/>
      <c r="H338" s="31"/>
      <c r="I338" s="31"/>
      <c r="J338" s="31"/>
      <c r="N338" s="31"/>
      <c r="O338" s="31"/>
      <c r="P338" s="31"/>
      <c r="R338" s="31"/>
      <c r="S338" s="31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>
      <c r="A339" s="31"/>
      <c r="B339" s="31"/>
      <c r="C339" s="31"/>
      <c r="E339" s="31"/>
      <c r="F339" s="31"/>
      <c r="G339" s="31"/>
      <c r="H339" s="31"/>
      <c r="I339" s="31"/>
      <c r="J339" s="31"/>
      <c r="N339" s="31"/>
      <c r="O339" s="31"/>
      <c r="P339" s="31"/>
      <c r="R339" s="31"/>
      <c r="S339" s="31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>
      <c r="A340" s="31"/>
      <c r="B340" s="31"/>
      <c r="C340" s="31"/>
      <c r="E340" s="31"/>
      <c r="F340" s="31"/>
      <c r="G340" s="31"/>
      <c r="H340" s="31"/>
      <c r="I340" s="31"/>
      <c r="J340" s="31"/>
      <c r="N340" s="31"/>
      <c r="O340" s="31"/>
      <c r="P340" s="31"/>
      <c r="R340" s="31"/>
      <c r="S340" s="31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>
      <c r="A341" s="31"/>
      <c r="B341" s="31"/>
      <c r="C341" s="31"/>
      <c r="E341" s="31"/>
      <c r="F341" s="31"/>
      <c r="G341" s="31"/>
      <c r="H341" s="31"/>
      <c r="I341" s="31"/>
      <c r="J341" s="31"/>
      <c r="N341" s="31"/>
      <c r="O341" s="31"/>
      <c r="P341" s="31"/>
      <c r="R341" s="31"/>
      <c r="S341" s="31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>
      <c r="A342" s="31"/>
      <c r="B342" s="31"/>
      <c r="C342" s="31"/>
      <c r="E342" s="31"/>
      <c r="F342" s="31"/>
      <c r="G342" s="31"/>
      <c r="H342" s="31"/>
      <c r="I342" s="31"/>
      <c r="J342" s="31"/>
      <c r="N342" s="31"/>
      <c r="O342" s="31"/>
      <c r="P342" s="31"/>
      <c r="R342" s="31"/>
      <c r="S342" s="31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>
      <c r="A343" s="31"/>
      <c r="B343" s="31"/>
      <c r="C343" s="31"/>
      <c r="E343" s="31"/>
      <c r="F343" s="31"/>
      <c r="G343" s="31"/>
      <c r="H343" s="31"/>
      <c r="I343" s="31"/>
      <c r="J343" s="31"/>
      <c r="N343" s="31"/>
      <c r="O343" s="31"/>
      <c r="P343" s="31"/>
      <c r="R343" s="31"/>
      <c r="S343" s="31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>
      <c r="A344" s="31"/>
      <c r="B344" s="31"/>
      <c r="C344" s="31"/>
      <c r="E344" s="31"/>
      <c r="F344" s="31"/>
      <c r="G344" s="31"/>
      <c r="H344" s="31"/>
      <c r="I344" s="31"/>
      <c r="J344" s="31"/>
      <c r="N344" s="31"/>
      <c r="O344" s="31"/>
      <c r="P344" s="31"/>
      <c r="R344" s="31"/>
      <c r="S344" s="31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>
      <c r="A345" s="31"/>
      <c r="B345" s="31"/>
      <c r="C345" s="31"/>
      <c r="E345" s="31"/>
      <c r="F345" s="31"/>
      <c r="G345" s="31"/>
      <c r="H345" s="31"/>
      <c r="I345" s="31"/>
      <c r="J345" s="31"/>
      <c r="N345" s="31"/>
      <c r="O345" s="31"/>
      <c r="P345" s="31"/>
      <c r="R345" s="31"/>
      <c r="S345" s="31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>
      <c r="A346" s="31"/>
      <c r="B346" s="31"/>
      <c r="C346" s="31"/>
      <c r="E346" s="31"/>
      <c r="F346" s="31"/>
      <c r="G346" s="31"/>
      <c r="H346" s="31"/>
      <c r="I346" s="31"/>
      <c r="J346" s="31"/>
      <c r="N346" s="31"/>
      <c r="O346" s="31"/>
      <c r="P346" s="31"/>
      <c r="R346" s="31"/>
      <c r="S346" s="31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>
      <c r="A347" s="31"/>
      <c r="B347" s="31"/>
      <c r="C347" s="31"/>
      <c r="E347" s="31"/>
      <c r="F347" s="31"/>
      <c r="G347" s="31"/>
      <c r="H347" s="31"/>
      <c r="I347" s="31"/>
      <c r="J347" s="31"/>
      <c r="N347" s="31"/>
      <c r="O347" s="31"/>
      <c r="P347" s="31"/>
      <c r="R347" s="31"/>
      <c r="S347" s="31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>
      <c r="A348" s="31"/>
      <c r="B348" s="31"/>
      <c r="C348" s="31"/>
      <c r="E348" s="31"/>
      <c r="F348" s="31"/>
      <c r="G348" s="31"/>
      <c r="H348" s="31"/>
      <c r="I348" s="31"/>
      <c r="J348" s="31"/>
      <c r="N348" s="31"/>
      <c r="O348" s="31"/>
      <c r="P348" s="31"/>
      <c r="R348" s="31"/>
      <c r="S348" s="31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>
      <c r="A349" s="31"/>
      <c r="B349" s="31"/>
      <c r="C349" s="31"/>
      <c r="E349" s="31"/>
      <c r="F349" s="31"/>
      <c r="G349" s="31"/>
      <c r="H349" s="31"/>
      <c r="I349" s="31"/>
      <c r="J349" s="31"/>
      <c r="N349" s="31"/>
      <c r="O349" s="31"/>
      <c r="P349" s="31"/>
      <c r="R349" s="31"/>
      <c r="S349" s="31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>
      <c r="A350" s="31"/>
      <c r="B350" s="31"/>
      <c r="C350" s="31"/>
      <c r="E350" s="31"/>
      <c r="F350" s="31"/>
      <c r="G350" s="31"/>
      <c r="H350" s="31"/>
      <c r="I350" s="31"/>
      <c r="J350" s="31"/>
      <c r="N350" s="31"/>
      <c r="O350" s="31"/>
      <c r="P350" s="31"/>
      <c r="R350" s="31"/>
      <c r="S350" s="31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>
      <c r="A351" s="31"/>
      <c r="B351" s="31"/>
      <c r="C351" s="31"/>
      <c r="E351" s="31"/>
      <c r="F351" s="31"/>
      <c r="G351" s="31"/>
      <c r="H351" s="31"/>
      <c r="I351" s="31"/>
      <c r="J351" s="31"/>
      <c r="N351" s="31"/>
      <c r="O351" s="31"/>
      <c r="P351" s="31"/>
      <c r="R351" s="31"/>
      <c r="S351" s="31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>
      <c r="A352" s="31"/>
      <c r="B352" s="31"/>
      <c r="C352" s="31"/>
      <c r="E352" s="31"/>
      <c r="F352" s="31"/>
      <c r="G352" s="31"/>
      <c r="H352" s="31"/>
      <c r="I352" s="31"/>
      <c r="J352" s="31"/>
      <c r="N352" s="31"/>
      <c r="O352" s="31"/>
      <c r="P352" s="31"/>
      <c r="R352" s="31"/>
      <c r="S352" s="31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>
      <c r="A353" s="31"/>
      <c r="B353" s="31"/>
      <c r="C353" s="31"/>
      <c r="E353" s="31"/>
      <c r="F353" s="31"/>
      <c r="G353" s="31"/>
      <c r="H353" s="31"/>
      <c r="I353" s="31"/>
      <c r="J353" s="31"/>
      <c r="N353" s="31"/>
      <c r="O353" s="31"/>
      <c r="P353" s="31"/>
      <c r="R353" s="31"/>
      <c r="S353" s="31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>
      <c r="A354" s="31"/>
      <c r="B354" s="31"/>
      <c r="C354" s="31"/>
      <c r="E354" s="31"/>
      <c r="F354" s="31"/>
      <c r="G354" s="31"/>
      <c r="H354" s="31"/>
      <c r="I354" s="31"/>
      <c r="J354" s="31"/>
      <c r="N354" s="31"/>
      <c r="O354" s="31"/>
      <c r="P354" s="31"/>
      <c r="R354" s="31"/>
      <c r="S354" s="31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>
      <c r="A355" s="31"/>
      <c r="B355" s="31"/>
      <c r="C355" s="31"/>
      <c r="E355" s="31"/>
      <c r="F355" s="31"/>
      <c r="G355" s="31"/>
      <c r="H355" s="31"/>
      <c r="I355" s="31"/>
      <c r="J355" s="31"/>
      <c r="N355" s="31"/>
      <c r="O355" s="31"/>
      <c r="P355" s="31"/>
      <c r="R355" s="31"/>
      <c r="S355" s="31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>
      <c r="A356" s="31"/>
      <c r="B356" s="31"/>
      <c r="C356" s="31"/>
      <c r="E356" s="31"/>
      <c r="F356" s="31"/>
      <c r="G356" s="31"/>
      <c r="H356" s="31"/>
      <c r="I356" s="31"/>
      <c r="J356" s="31"/>
      <c r="N356" s="31"/>
      <c r="O356" s="31"/>
      <c r="P356" s="31"/>
      <c r="R356" s="31"/>
      <c r="S356" s="31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>
      <c r="A357" s="31"/>
      <c r="B357" s="31"/>
      <c r="C357" s="31"/>
      <c r="E357" s="31"/>
      <c r="F357" s="31"/>
      <c r="G357" s="31"/>
      <c r="H357" s="31"/>
      <c r="I357" s="31"/>
      <c r="J357" s="31"/>
      <c r="N357" s="31"/>
      <c r="O357" s="31"/>
      <c r="P357" s="31"/>
      <c r="R357" s="31"/>
      <c r="S357" s="31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>
      <c r="A358" s="31"/>
      <c r="B358" s="31"/>
      <c r="C358" s="31"/>
      <c r="E358" s="31"/>
      <c r="F358" s="31"/>
      <c r="G358" s="31"/>
      <c r="H358" s="31"/>
      <c r="I358" s="31"/>
      <c r="J358" s="31"/>
      <c r="N358" s="31"/>
      <c r="O358" s="31"/>
      <c r="P358" s="31"/>
      <c r="R358" s="31"/>
      <c r="S358" s="31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>
      <c r="A359" s="31"/>
      <c r="B359" s="31"/>
      <c r="C359" s="31"/>
      <c r="E359" s="31"/>
      <c r="F359" s="31"/>
      <c r="G359" s="31"/>
      <c r="H359" s="31"/>
      <c r="I359" s="31"/>
      <c r="J359" s="31"/>
      <c r="N359" s="31"/>
      <c r="O359" s="31"/>
      <c r="P359" s="31"/>
      <c r="R359" s="31"/>
      <c r="S359" s="31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>
      <c r="A360" s="31"/>
      <c r="B360" s="31"/>
      <c r="C360" s="31"/>
      <c r="E360" s="31"/>
      <c r="F360" s="31"/>
      <c r="G360" s="31"/>
      <c r="H360" s="31"/>
      <c r="I360" s="31"/>
      <c r="J360" s="31"/>
      <c r="N360" s="31"/>
      <c r="O360" s="31"/>
      <c r="P360" s="31"/>
      <c r="R360" s="31"/>
      <c r="S360" s="31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>
      <c r="A361" s="31"/>
      <c r="B361" s="31"/>
      <c r="C361" s="31"/>
      <c r="E361" s="31"/>
      <c r="F361" s="31"/>
      <c r="G361" s="31"/>
      <c r="H361" s="31"/>
      <c r="I361" s="31"/>
      <c r="J361" s="31"/>
      <c r="N361" s="31"/>
      <c r="O361" s="31"/>
      <c r="P361" s="31"/>
      <c r="R361" s="31"/>
      <c r="S361" s="31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>
      <c r="A362" s="31"/>
      <c r="B362" s="31"/>
      <c r="C362" s="31"/>
      <c r="E362" s="31"/>
      <c r="F362" s="31"/>
      <c r="G362" s="31"/>
      <c r="H362" s="31"/>
      <c r="I362" s="31"/>
      <c r="J362" s="31"/>
      <c r="N362" s="31"/>
      <c r="O362" s="31"/>
      <c r="P362" s="31"/>
      <c r="R362" s="31"/>
      <c r="S362" s="31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>
      <c r="A363" s="31"/>
      <c r="B363" s="31"/>
      <c r="C363" s="31"/>
      <c r="E363" s="31"/>
      <c r="F363" s="31"/>
      <c r="G363" s="31"/>
      <c r="H363" s="31"/>
      <c r="I363" s="31"/>
      <c r="J363" s="31"/>
      <c r="N363" s="31"/>
      <c r="O363" s="31"/>
      <c r="P363" s="31"/>
      <c r="R363" s="31"/>
      <c r="S363" s="31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>
      <c r="A364" s="31"/>
      <c r="B364" s="31"/>
      <c r="C364" s="31"/>
      <c r="E364" s="31"/>
      <c r="F364" s="31"/>
      <c r="G364" s="31"/>
      <c r="H364" s="31"/>
      <c r="I364" s="31"/>
      <c r="J364" s="31"/>
      <c r="N364" s="31"/>
      <c r="O364" s="31"/>
      <c r="P364" s="31"/>
      <c r="R364" s="31"/>
      <c r="S364" s="31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>
      <c r="A365" s="31"/>
      <c r="B365" s="31"/>
      <c r="C365" s="31"/>
      <c r="E365" s="31"/>
      <c r="F365" s="31"/>
      <c r="G365" s="31"/>
      <c r="H365" s="31"/>
      <c r="I365" s="31"/>
      <c r="J365" s="31"/>
      <c r="N365" s="31"/>
      <c r="O365" s="31"/>
      <c r="P365" s="31"/>
      <c r="R365" s="31"/>
      <c r="S365" s="31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>
      <c r="A366" s="31"/>
      <c r="B366" s="31"/>
      <c r="C366" s="31"/>
      <c r="E366" s="31"/>
      <c r="F366" s="31"/>
      <c r="G366" s="31"/>
      <c r="H366" s="31"/>
      <c r="I366" s="31"/>
      <c r="J366" s="31"/>
      <c r="N366" s="31"/>
      <c r="O366" s="31"/>
      <c r="P366" s="31"/>
      <c r="R366" s="31"/>
      <c r="S366" s="31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>
      <c r="A367" s="31"/>
      <c r="B367" s="31"/>
      <c r="C367" s="31"/>
      <c r="E367" s="31"/>
      <c r="F367" s="31"/>
      <c r="G367" s="31"/>
      <c r="H367" s="31"/>
      <c r="I367" s="31"/>
      <c r="J367" s="31"/>
      <c r="N367" s="31"/>
      <c r="O367" s="31"/>
      <c r="P367" s="31"/>
      <c r="R367" s="31"/>
      <c r="S367" s="31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>
      <c r="A368" s="31"/>
      <c r="B368" s="31"/>
      <c r="C368" s="31"/>
      <c r="E368" s="31"/>
      <c r="F368" s="31"/>
      <c r="G368" s="31"/>
      <c r="H368" s="31"/>
      <c r="I368" s="31"/>
      <c r="J368" s="31"/>
      <c r="N368" s="31"/>
      <c r="O368" s="31"/>
      <c r="P368" s="31"/>
      <c r="R368" s="31"/>
      <c r="S368" s="31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>
      <c r="A369" s="31"/>
      <c r="B369" s="31"/>
      <c r="C369" s="31"/>
      <c r="E369" s="31"/>
      <c r="F369" s="31"/>
      <c r="G369" s="31"/>
      <c r="H369" s="31"/>
      <c r="I369" s="31"/>
      <c r="J369" s="31"/>
      <c r="N369" s="31"/>
      <c r="O369" s="31"/>
      <c r="P369" s="31"/>
      <c r="R369" s="31"/>
      <c r="S369" s="31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>
      <c r="A370" s="31"/>
      <c r="B370" s="31"/>
      <c r="C370" s="31"/>
      <c r="E370" s="31"/>
      <c r="F370" s="31"/>
      <c r="G370" s="31"/>
      <c r="H370" s="31"/>
      <c r="I370" s="31"/>
      <c r="J370" s="31"/>
      <c r="N370" s="31"/>
      <c r="O370" s="31"/>
      <c r="P370" s="31"/>
      <c r="R370" s="31"/>
      <c r="S370" s="31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>
      <c r="A371" s="31"/>
      <c r="B371" s="31"/>
      <c r="C371" s="31"/>
      <c r="E371" s="31"/>
      <c r="F371" s="31"/>
      <c r="G371" s="31"/>
      <c r="H371" s="31"/>
      <c r="I371" s="31"/>
      <c r="J371" s="31"/>
      <c r="N371" s="31"/>
      <c r="O371" s="31"/>
      <c r="P371" s="31"/>
      <c r="R371" s="31"/>
      <c r="S371" s="31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>
      <c r="A372" s="31"/>
      <c r="B372" s="31"/>
      <c r="C372" s="31"/>
      <c r="E372" s="31"/>
      <c r="F372" s="31"/>
      <c r="G372" s="31"/>
      <c r="H372" s="31"/>
      <c r="I372" s="31"/>
      <c r="J372" s="31"/>
      <c r="N372" s="31"/>
      <c r="O372" s="31"/>
      <c r="P372" s="31"/>
      <c r="R372" s="31"/>
      <c r="S372" s="31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>
      <c r="A373" s="31"/>
      <c r="B373" s="31"/>
      <c r="C373" s="31"/>
      <c r="E373" s="31"/>
      <c r="F373" s="31"/>
      <c r="G373" s="31"/>
      <c r="H373" s="31"/>
      <c r="I373" s="31"/>
      <c r="J373" s="31"/>
      <c r="N373" s="31"/>
      <c r="O373" s="31"/>
      <c r="P373" s="31"/>
      <c r="R373" s="31"/>
      <c r="S373" s="31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>
      <c r="A374" s="31"/>
      <c r="B374" s="31"/>
      <c r="C374" s="31"/>
      <c r="E374" s="31"/>
      <c r="F374" s="31"/>
      <c r="G374" s="31"/>
      <c r="H374" s="31"/>
      <c r="I374" s="31"/>
      <c r="J374" s="31"/>
      <c r="N374" s="31"/>
      <c r="O374" s="31"/>
      <c r="P374" s="31"/>
      <c r="R374" s="31"/>
      <c r="S374" s="31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>
      <c r="A375" s="31"/>
      <c r="B375" s="31"/>
      <c r="C375" s="31"/>
      <c r="E375" s="31"/>
      <c r="F375" s="31"/>
      <c r="G375" s="31"/>
      <c r="H375" s="31"/>
      <c r="I375" s="31"/>
      <c r="J375" s="31"/>
      <c r="N375" s="31"/>
      <c r="O375" s="31"/>
      <c r="P375" s="31"/>
      <c r="R375" s="31"/>
      <c r="S375" s="31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>
      <c r="A376" s="31"/>
      <c r="B376" s="31"/>
      <c r="C376" s="31"/>
      <c r="E376" s="31"/>
      <c r="F376" s="31"/>
      <c r="G376" s="31"/>
      <c r="H376" s="31"/>
      <c r="I376" s="31"/>
      <c r="J376" s="31"/>
      <c r="N376" s="31"/>
      <c r="O376" s="31"/>
      <c r="P376" s="31"/>
      <c r="R376" s="31"/>
      <c r="S376" s="31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>
      <c r="A377" s="31"/>
      <c r="B377" s="31"/>
      <c r="C377" s="31"/>
      <c r="E377" s="31"/>
      <c r="F377" s="31"/>
      <c r="G377" s="31"/>
      <c r="H377" s="31"/>
      <c r="I377" s="31"/>
      <c r="J377" s="31"/>
      <c r="N377" s="31"/>
      <c r="O377" s="31"/>
      <c r="P377" s="31"/>
      <c r="R377" s="31"/>
      <c r="S377" s="31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>
      <c r="A378" s="31"/>
      <c r="B378" s="31"/>
      <c r="C378" s="31"/>
      <c r="E378" s="31"/>
      <c r="F378" s="31"/>
      <c r="G378" s="31"/>
      <c r="H378" s="31"/>
      <c r="I378" s="31"/>
      <c r="J378" s="31"/>
      <c r="N378" s="31"/>
      <c r="O378" s="31"/>
      <c r="P378" s="31"/>
      <c r="R378" s="31"/>
      <c r="S378" s="31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>
      <c r="A379" s="31"/>
      <c r="B379" s="31"/>
      <c r="C379" s="31"/>
      <c r="E379" s="31"/>
      <c r="F379" s="31"/>
      <c r="G379" s="31"/>
      <c r="H379" s="31"/>
      <c r="I379" s="31"/>
      <c r="J379" s="31"/>
      <c r="N379" s="31"/>
      <c r="O379" s="31"/>
      <c r="P379" s="31"/>
      <c r="R379" s="31"/>
      <c r="S379" s="31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>
      <c r="A380" s="31"/>
      <c r="B380" s="31"/>
      <c r="C380" s="31"/>
      <c r="E380" s="31"/>
      <c r="F380" s="31"/>
      <c r="G380" s="31"/>
      <c r="H380" s="31"/>
      <c r="I380" s="31"/>
      <c r="J380" s="31"/>
      <c r="N380" s="31"/>
      <c r="O380" s="31"/>
      <c r="P380" s="31"/>
      <c r="R380" s="31"/>
      <c r="S380" s="31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>
      <c r="A381" s="31"/>
      <c r="B381" s="31"/>
      <c r="C381" s="31"/>
      <c r="E381" s="31"/>
      <c r="F381" s="31"/>
      <c r="G381" s="31"/>
      <c r="H381" s="31"/>
      <c r="I381" s="31"/>
      <c r="J381" s="31"/>
      <c r="N381" s="31"/>
      <c r="O381" s="31"/>
      <c r="P381" s="31"/>
      <c r="R381" s="31"/>
      <c r="S381" s="31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>
      <c r="A382" s="31"/>
      <c r="B382" s="31"/>
      <c r="C382" s="31"/>
      <c r="E382" s="31"/>
      <c r="F382" s="31"/>
      <c r="G382" s="31"/>
      <c r="H382" s="31"/>
      <c r="I382" s="31"/>
      <c r="J382" s="31"/>
      <c r="N382" s="31"/>
      <c r="O382" s="31"/>
      <c r="P382" s="31"/>
      <c r="R382" s="31"/>
      <c r="S382" s="31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>
      <c r="A383" s="31"/>
      <c r="B383" s="31"/>
      <c r="C383" s="31"/>
      <c r="E383" s="31"/>
      <c r="F383" s="31"/>
      <c r="G383" s="31"/>
      <c r="H383" s="31"/>
      <c r="I383" s="31"/>
      <c r="J383" s="31"/>
      <c r="N383" s="31"/>
      <c r="O383" s="31"/>
      <c r="P383" s="31"/>
      <c r="R383" s="31"/>
      <c r="S383" s="31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>
      <c r="A384" s="31"/>
      <c r="B384" s="31"/>
      <c r="C384" s="31"/>
      <c r="E384" s="31"/>
      <c r="F384" s="31"/>
      <c r="G384" s="31"/>
      <c r="H384" s="31"/>
      <c r="I384" s="31"/>
      <c r="J384" s="31"/>
      <c r="N384" s="31"/>
      <c r="O384" s="31"/>
      <c r="P384" s="31"/>
      <c r="R384" s="31"/>
      <c r="S384" s="31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>
      <c r="A385" s="31"/>
      <c r="B385" s="31"/>
      <c r="C385" s="31"/>
      <c r="E385" s="31"/>
      <c r="F385" s="31"/>
      <c r="G385" s="31"/>
      <c r="H385" s="31"/>
      <c r="I385" s="31"/>
      <c r="J385" s="31"/>
      <c r="N385" s="31"/>
      <c r="O385" s="31"/>
      <c r="P385" s="31"/>
      <c r="R385" s="31"/>
      <c r="S385" s="31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>
      <c r="A386" s="31"/>
      <c r="B386" s="31"/>
      <c r="C386" s="31"/>
      <c r="E386" s="31"/>
      <c r="F386" s="31"/>
      <c r="G386" s="31"/>
      <c r="H386" s="31"/>
      <c r="I386" s="31"/>
      <c r="J386" s="31"/>
      <c r="N386" s="31"/>
      <c r="O386" s="31"/>
      <c r="P386" s="31"/>
      <c r="R386" s="31"/>
      <c r="S386" s="31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>
      <c r="A387" s="31"/>
      <c r="B387" s="31"/>
      <c r="C387" s="31"/>
      <c r="E387" s="31"/>
      <c r="F387" s="31"/>
      <c r="G387" s="31"/>
      <c r="H387" s="31"/>
      <c r="I387" s="31"/>
      <c r="J387" s="31"/>
      <c r="N387" s="31"/>
      <c r="O387" s="31"/>
      <c r="P387" s="31"/>
      <c r="R387" s="31"/>
      <c r="S387" s="31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>
      <c r="A388" s="31"/>
      <c r="B388" s="31"/>
      <c r="C388" s="31"/>
      <c r="E388" s="31"/>
      <c r="F388" s="31"/>
      <c r="G388" s="31"/>
      <c r="H388" s="31"/>
      <c r="I388" s="31"/>
      <c r="J388" s="31"/>
      <c r="N388" s="31"/>
      <c r="O388" s="31"/>
      <c r="P388" s="31"/>
      <c r="R388" s="31"/>
      <c r="S388" s="31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>
      <c r="A389" s="31"/>
      <c r="B389" s="31"/>
      <c r="C389" s="31"/>
      <c r="E389" s="31"/>
      <c r="F389" s="31"/>
      <c r="G389" s="31"/>
      <c r="H389" s="31"/>
      <c r="I389" s="31"/>
      <c r="J389" s="31"/>
      <c r="N389" s="31"/>
      <c r="O389" s="31"/>
      <c r="P389" s="31"/>
      <c r="R389" s="31"/>
      <c r="S389" s="31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>
      <c r="A390" s="31"/>
      <c r="B390" s="31"/>
      <c r="C390" s="31"/>
      <c r="E390" s="31"/>
      <c r="F390" s="31"/>
      <c r="G390" s="31"/>
      <c r="H390" s="31"/>
      <c r="I390" s="31"/>
      <c r="J390" s="31"/>
      <c r="N390" s="31"/>
      <c r="O390" s="31"/>
      <c r="P390" s="31"/>
      <c r="R390" s="31"/>
      <c r="S390" s="31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>
      <c r="A391" s="31"/>
      <c r="B391" s="31"/>
      <c r="C391" s="31"/>
      <c r="E391" s="31"/>
      <c r="F391" s="31"/>
      <c r="G391" s="31"/>
      <c r="H391" s="31"/>
      <c r="I391" s="31"/>
      <c r="J391" s="31"/>
      <c r="N391" s="31"/>
      <c r="O391" s="31"/>
      <c r="P391" s="31"/>
      <c r="R391" s="31"/>
      <c r="S391" s="31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>
      <c r="A392" s="31"/>
      <c r="B392" s="31"/>
      <c r="C392" s="31"/>
      <c r="E392" s="31"/>
      <c r="F392" s="31"/>
      <c r="G392" s="31"/>
      <c r="H392" s="31"/>
      <c r="I392" s="31"/>
      <c r="J392" s="31"/>
      <c r="N392" s="31"/>
      <c r="O392" s="31"/>
      <c r="P392" s="31"/>
      <c r="R392" s="31"/>
      <c r="S392" s="31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>
      <c r="A393" s="31"/>
      <c r="B393" s="31"/>
      <c r="C393" s="31"/>
      <c r="E393" s="31"/>
      <c r="F393" s="31"/>
      <c r="G393" s="31"/>
      <c r="H393" s="31"/>
      <c r="I393" s="31"/>
      <c r="J393" s="31"/>
      <c r="N393" s="31"/>
      <c r="O393" s="31"/>
      <c r="P393" s="31"/>
      <c r="R393" s="31"/>
      <c r="S393" s="31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>
      <c r="A394" s="31"/>
      <c r="B394" s="31"/>
      <c r="C394" s="31"/>
      <c r="E394" s="31"/>
      <c r="F394" s="31"/>
      <c r="G394" s="31"/>
      <c r="H394" s="31"/>
      <c r="I394" s="31"/>
      <c r="J394" s="31"/>
      <c r="N394" s="31"/>
      <c r="O394" s="31"/>
      <c r="P394" s="31"/>
      <c r="R394" s="31"/>
      <c r="S394" s="31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>
      <c r="A395" s="31"/>
      <c r="B395" s="31"/>
      <c r="C395" s="31"/>
      <c r="E395" s="31"/>
      <c r="F395" s="31"/>
      <c r="G395" s="31"/>
      <c r="H395" s="31"/>
      <c r="I395" s="31"/>
      <c r="J395" s="31"/>
      <c r="N395" s="31"/>
      <c r="O395" s="31"/>
      <c r="P395" s="31"/>
      <c r="R395" s="31"/>
      <c r="S395" s="31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>
      <c r="A396" s="31"/>
      <c r="B396" s="31"/>
      <c r="C396" s="31"/>
      <c r="E396" s="31"/>
      <c r="F396" s="31"/>
      <c r="G396" s="31"/>
      <c r="H396" s="31"/>
      <c r="I396" s="31"/>
      <c r="J396" s="31"/>
      <c r="N396" s="31"/>
      <c r="O396" s="31"/>
      <c r="P396" s="31"/>
      <c r="R396" s="31"/>
      <c r="S396" s="31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>
      <c r="A397" s="31"/>
      <c r="B397" s="31"/>
      <c r="C397" s="31"/>
      <c r="E397" s="31"/>
      <c r="F397" s="31"/>
      <c r="G397" s="31"/>
      <c r="H397" s="31"/>
      <c r="I397" s="31"/>
      <c r="J397" s="31"/>
      <c r="N397" s="31"/>
      <c r="O397" s="31"/>
      <c r="P397" s="31"/>
      <c r="R397" s="31"/>
      <c r="S397" s="31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>
      <c r="A398" s="31"/>
      <c r="B398" s="31"/>
      <c r="C398" s="31"/>
      <c r="E398" s="31"/>
      <c r="F398" s="31"/>
      <c r="G398" s="31"/>
      <c r="H398" s="31"/>
      <c r="I398" s="31"/>
      <c r="J398" s="31"/>
      <c r="N398" s="31"/>
      <c r="O398" s="31"/>
      <c r="P398" s="31"/>
      <c r="R398" s="31"/>
      <c r="S398" s="31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>
      <c r="A399" s="31"/>
      <c r="B399" s="31"/>
      <c r="C399" s="31"/>
      <c r="E399" s="31"/>
      <c r="F399" s="31"/>
      <c r="G399" s="31"/>
      <c r="H399" s="31"/>
      <c r="I399" s="31"/>
      <c r="J399" s="31"/>
      <c r="N399" s="31"/>
      <c r="O399" s="31"/>
      <c r="P399" s="31"/>
      <c r="R399" s="31"/>
      <c r="S399" s="31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>
      <c r="A400" s="31"/>
      <c r="B400" s="31"/>
      <c r="C400" s="31"/>
      <c r="E400" s="31"/>
      <c r="F400" s="31"/>
      <c r="G400" s="31"/>
      <c r="H400" s="31"/>
      <c r="I400" s="31"/>
      <c r="J400" s="31"/>
      <c r="N400" s="31"/>
      <c r="O400" s="31"/>
      <c r="P400" s="31"/>
      <c r="R400" s="31"/>
      <c r="S400" s="31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>
      <c r="A401" s="31"/>
      <c r="B401" s="31"/>
      <c r="C401" s="31"/>
      <c r="E401" s="31"/>
      <c r="F401" s="31"/>
      <c r="G401" s="31"/>
      <c r="H401" s="31"/>
      <c r="I401" s="31"/>
      <c r="J401" s="31"/>
      <c r="N401" s="31"/>
      <c r="O401" s="31"/>
      <c r="P401" s="31"/>
      <c r="R401" s="31"/>
      <c r="S401" s="31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>
      <c r="A402" s="31"/>
      <c r="B402" s="31"/>
      <c r="C402" s="31"/>
      <c r="E402" s="31"/>
      <c r="F402" s="31"/>
      <c r="G402" s="31"/>
      <c r="H402" s="31"/>
      <c r="I402" s="31"/>
      <c r="J402" s="31"/>
      <c r="N402" s="31"/>
      <c r="O402" s="31"/>
      <c r="P402" s="31"/>
      <c r="R402" s="31"/>
      <c r="S402" s="31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>
      <c r="A403" s="31"/>
      <c r="B403" s="31"/>
      <c r="C403" s="31"/>
      <c r="E403" s="31"/>
      <c r="F403" s="31"/>
      <c r="G403" s="31"/>
      <c r="H403" s="31"/>
      <c r="I403" s="31"/>
      <c r="J403" s="31"/>
      <c r="N403" s="31"/>
      <c r="O403" s="31"/>
      <c r="P403" s="31"/>
      <c r="R403" s="31"/>
      <c r="S403" s="31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>
      <c r="A404" s="31"/>
      <c r="B404" s="31"/>
      <c r="C404" s="31"/>
      <c r="E404" s="31"/>
      <c r="F404" s="31"/>
      <c r="G404" s="31"/>
      <c r="H404" s="31"/>
      <c r="I404" s="31"/>
      <c r="J404" s="31"/>
      <c r="N404" s="31"/>
      <c r="O404" s="31"/>
      <c r="P404" s="31"/>
      <c r="R404" s="31"/>
      <c r="S404" s="31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>
      <c r="A405" s="31"/>
      <c r="B405" s="31"/>
      <c r="C405" s="31"/>
      <c r="E405" s="31"/>
      <c r="F405" s="31"/>
      <c r="G405" s="31"/>
      <c r="H405" s="31"/>
      <c r="I405" s="31"/>
      <c r="J405" s="31"/>
      <c r="N405" s="31"/>
      <c r="O405" s="31"/>
      <c r="P405" s="31"/>
      <c r="R405" s="31"/>
      <c r="S405" s="31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>
      <c r="A406" s="31"/>
      <c r="B406" s="31"/>
      <c r="C406" s="31"/>
      <c r="E406" s="31"/>
      <c r="F406" s="31"/>
      <c r="G406" s="31"/>
      <c r="H406" s="31"/>
      <c r="I406" s="31"/>
      <c r="J406" s="31"/>
      <c r="N406" s="31"/>
      <c r="O406" s="31"/>
      <c r="P406" s="31"/>
      <c r="R406" s="31"/>
      <c r="S406" s="31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>
      <c r="A407" s="31"/>
      <c r="B407" s="31"/>
      <c r="C407" s="31"/>
      <c r="E407" s="31"/>
      <c r="F407" s="31"/>
      <c r="G407" s="31"/>
      <c r="H407" s="31"/>
      <c r="I407" s="31"/>
      <c r="J407" s="31"/>
      <c r="N407" s="31"/>
      <c r="O407" s="31"/>
      <c r="P407" s="31"/>
      <c r="R407" s="31"/>
      <c r="S407" s="31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>
      <c r="A408" s="31"/>
      <c r="B408" s="31"/>
      <c r="C408" s="31"/>
      <c r="E408" s="31"/>
      <c r="F408" s="31"/>
      <c r="G408" s="31"/>
      <c r="H408" s="31"/>
      <c r="I408" s="31"/>
      <c r="J408" s="31"/>
      <c r="N408" s="31"/>
      <c r="O408" s="31"/>
      <c r="P408" s="31"/>
      <c r="R408" s="31"/>
      <c r="S408" s="31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>
      <c r="A409" s="31"/>
      <c r="B409" s="31"/>
      <c r="C409" s="31"/>
      <c r="E409" s="31"/>
      <c r="F409" s="31"/>
      <c r="G409" s="31"/>
      <c r="H409" s="31"/>
      <c r="I409" s="31"/>
      <c r="J409" s="31"/>
      <c r="N409" s="31"/>
      <c r="O409" s="31"/>
      <c r="P409" s="31"/>
      <c r="R409" s="31"/>
      <c r="S409" s="31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>
      <c r="A410" s="31"/>
      <c r="B410" s="31"/>
      <c r="C410" s="31"/>
      <c r="E410" s="31"/>
      <c r="F410" s="31"/>
      <c r="G410" s="31"/>
      <c r="H410" s="31"/>
      <c r="I410" s="31"/>
      <c r="J410" s="31"/>
      <c r="N410" s="31"/>
      <c r="O410" s="31"/>
      <c r="P410" s="31"/>
      <c r="R410" s="31"/>
      <c r="S410" s="31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>
      <c r="A411" s="31"/>
      <c r="B411" s="31"/>
      <c r="C411" s="31"/>
      <c r="E411" s="31"/>
      <c r="F411" s="31"/>
      <c r="G411" s="31"/>
      <c r="H411" s="31"/>
      <c r="I411" s="31"/>
      <c r="J411" s="31"/>
      <c r="N411" s="31"/>
      <c r="O411" s="31"/>
      <c r="P411" s="31"/>
      <c r="R411" s="31"/>
      <c r="S411" s="31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>
      <c r="A412" s="31"/>
      <c r="B412" s="31"/>
      <c r="C412" s="31"/>
      <c r="E412" s="31"/>
      <c r="F412" s="31"/>
      <c r="G412" s="31"/>
      <c r="H412" s="31"/>
      <c r="I412" s="31"/>
      <c r="J412" s="31"/>
      <c r="N412" s="31"/>
      <c r="O412" s="31"/>
      <c r="P412" s="31"/>
      <c r="R412" s="31"/>
      <c r="S412" s="31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>
      <c r="A413" s="31"/>
      <c r="B413" s="31"/>
      <c r="C413" s="31"/>
      <c r="E413" s="31"/>
      <c r="F413" s="31"/>
      <c r="G413" s="31"/>
      <c r="H413" s="31"/>
      <c r="I413" s="31"/>
      <c r="J413" s="31"/>
      <c r="N413" s="31"/>
      <c r="O413" s="31"/>
      <c r="P413" s="31"/>
      <c r="R413" s="31"/>
      <c r="S413" s="31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>
      <c r="A414" s="31"/>
      <c r="B414" s="31"/>
      <c r="C414" s="31"/>
      <c r="E414" s="31"/>
      <c r="F414" s="31"/>
      <c r="G414" s="31"/>
      <c r="H414" s="31"/>
      <c r="I414" s="31"/>
      <c r="J414" s="31"/>
      <c r="N414" s="31"/>
      <c r="O414" s="31"/>
      <c r="P414" s="31"/>
      <c r="R414" s="31"/>
      <c r="S414" s="31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>
      <c r="A415" s="31"/>
      <c r="B415" s="31"/>
      <c r="C415" s="31"/>
      <c r="E415" s="31"/>
      <c r="F415" s="31"/>
      <c r="G415" s="31"/>
      <c r="H415" s="31"/>
      <c r="I415" s="31"/>
      <c r="J415" s="31"/>
      <c r="N415" s="31"/>
      <c r="O415" s="31"/>
      <c r="P415" s="31"/>
      <c r="R415" s="31"/>
      <c r="S415" s="31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>
      <c r="A416" s="31"/>
      <c r="B416" s="31"/>
      <c r="C416" s="31"/>
      <c r="E416" s="31"/>
      <c r="F416" s="31"/>
      <c r="G416" s="31"/>
      <c r="H416" s="31"/>
      <c r="I416" s="31"/>
      <c r="J416" s="31"/>
      <c r="N416" s="31"/>
      <c r="O416" s="31"/>
      <c r="P416" s="31"/>
      <c r="R416" s="31"/>
      <c r="S416" s="31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>
      <c r="A417" s="31"/>
      <c r="B417" s="31"/>
      <c r="C417" s="31"/>
      <c r="E417" s="31"/>
      <c r="F417" s="31"/>
      <c r="G417" s="31"/>
      <c r="H417" s="31"/>
      <c r="I417" s="31"/>
      <c r="J417" s="31"/>
      <c r="N417" s="31"/>
      <c r="O417" s="31"/>
      <c r="P417" s="31"/>
      <c r="R417" s="31"/>
      <c r="S417" s="31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>
      <c r="A418" s="31"/>
      <c r="B418" s="31"/>
      <c r="C418" s="31"/>
      <c r="E418" s="31"/>
      <c r="F418" s="31"/>
      <c r="G418" s="31"/>
      <c r="H418" s="31"/>
      <c r="I418" s="31"/>
      <c r="J418" s="31"/>
      <c r="N418" s="31"/>
      <c r="O418" s="31"/>
      <c r="P418" s="31"/>
      <c r="R418" s="31"/>
      <c r="S418" s="31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>
      <c r="A419" s="31"/>
      <c r="B419" s="31"/>
      <c r="C419" s="31"/>
      <c r="E419" s="31"/>
      <c r="F419" s="31"/>
      <c r="G419" s="31"/>
      <c r="H419" s="31"/>
      <c r="I419" s="31"/>
      <c r="J419" s="31"/>
      <c r="N419" s="31"/>
      <c r="O419" s="31"/>
      <c r="P419" s="31"/>
      <c r="R419" s="31"/>
      <c r="S419" s="31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>
      <c r="A420" s="31"/>
      <c r="B420" s="31"/>
      <c r="C420" s="31"/>
      <c r="E420" s="31"/>
      <c r="F420" s="31"/>
      <c r="G420" s="31"/>
      <c r="H420" s="31"/>
      <c r="I420" s="31"/>
      <c r="J420" s="31"/>
      <c r="N420" s="31"/>
      <c r="O420" s="31"/>
      <c r="P420" s="31"/>
      <c r="R420" s="31"/>
      <c r="S420" s="31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>
      <c r="A421" s="31"/>
      <c r="B421" s="31"/>
      <c r="C421" s="31"/>
      <c r="E421" s="31"/>
      <c r="F421" s="31"/>
      <c r="G421" s="31"/>
      <c r="H421" s="31"/>
      <c r="I421" s="31"/>
      <c r="J421" s="31"/>
      <c r="N421" s="31"/>
      <c r="O421" s="31"/>
      <c r="P421" s="31"/>
      <c r="R421" s="31"/>
      <c r="S421" s="31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>
      <c r="A422" s="31"/>
      <c r="B422" s="31"/>
      <c r="C422" s="31"/>
      <c r="E422" s="31"/>
      <c r="F422" s="31"/>
      <c r="G422" s="31"/>
      <c r="H422" s="31"/>
      <c r="I422" s="31"/>
      <c r="J422" s="31"/>
      <c r="N422" s="31"/>
      <c r="O422" s="31"/>
      <c r="P422" s="31"/>
      <c r="R422" s="31"/>
      <c r="S422" s="31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>
      <c r="A423" s="31"/>
      <c r="B423" s="31"/>
      <c r="C423" s="31"/>
      <c r="E423" s="31"/>
      <c r="F423" s="31"/>
      <c r="G423" s="31"/>
      <c r="H423" s="31"/>
      <c r="I423" s="31"/>
      <c r="J423" s="31"/>
      <c r="N423" s="31"/>
      <c r="O423" s="31"/>
      <c r="P423" s="31"/>
      <c r="R423" s="31"/>
      <c r="S423" s="31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>
      <c r="A424" s="31"/>
      <c r="B424" s="31"/>
      <c r="C424" s="31"/>
      <c r="E424" s="31"/>
      <c r="F424" s="31"/>
      <c r="G424" s="31"/>
      <c r="H424" s="31"/>
      <c r="I424" s="31"/>
      <c r="J424" s="31"/>
      <c r="N424" s="31"/>
      <c r="O424" s="31"/>
      <c r="P424" s="31"/>
      <c r="R424" s="31"/>
      <c r="S424" s="31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>
      <c r="A425" s="31"/>
      <c r="B425" s="31"/>
      <c r="C425" s="31"/>
      <c r="E425" s="31"/>
      <c r="F425" s="31"/>
      <c r="G425" s="31"/>
      <c r="H425" s="31"/>
      <c r="I425" s="31"/>
      <c r="J425" s="31"/>
      <c r="N425" s="31"/>
      <c r="O425" s="31"/>
      <c r="P425" s="31"/>
      <c r="R425" s="31"/>
      <c r="S425" s="31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>
      <c r="A426" s="31"/>
      <c r="B426" s="31"/>
      <c r="C426" s="31"/>
      <c r="E426" s="31"/>
      <c r="F426" s="31"/>
      <c r="G426" s="31"/>
      <c r="H426" s="31"/>
      <c r="I426" s="31"/>
      <c r="J426" s="31"/>
      <c r="N426" s="31"/>
      <c r="O426" s="31"/>
      <c r="P426" s="31"/>
      <c r="R426" s="31"/>
      <c r="S426" s="31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>
      <c r="A427" s="31"/>
      <c r="B427" s="31"/>
      <c r="C427" s="31"/>
      <c r="E427" s="31"/>
      <c r="F427" s="31"/>
      <c r="G427" s="31"/>
      <c r="H427" s="31"/>
      <c r="I427" s="31"/>
      <c r="J427" s="31"/>
      <c r="N427" s="31"/>
      <c r="O427" s="31"/>
      <c r="P427" s="31"/>
      <c r="R427" s="31"/>
      <c r="S427" s="31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>
      <c r="A428" s="31"/>
      <c r="B428" s="31"/>
      <c r="C428" s="31"/>
      <c r="E428" s="31"/>
      <c r="F428" s="31"/>
      <c r="G428" s="31"/>
      <c r="H428" s="31"/>
      <c r="I428" s="31"/>
      <c r="J428" s="31"/>
      <c r="N428" s="31"/>
      <c r="O428" s="31"/>
      <c r="P428" s="31"/>
      <c r="R428" s="31"/>
      <c r="S428" s="31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>
      <c r="A429" s="31"/>
      <c r="B429" s="31"/>
      <c r="C429" s="31"/>
      <c r="E429" s="31"/>
      <c r="F429" s="31"/>
      <c r="G429" s="31"/>
      <c r="H429" s="31"/>
      <c r="I429" s="31"/>
      <c r="J429" s="31"/>
      <c r="N429" s="31"/>
      <c r="O429" s="31"/>
      <c r="P429" s="31"/>
      <c r="R429" s="31"/>
      <c r="S429" s="31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>
      <c r="A430" s="31"/>
      <c r="B430" s="31"/>
      <c r="C430" s="31"/>
      <c r="E430" s="31"/>
      <c r="F430" s="31"/>
      <c r="G430" s="31"/>
      <c r="H430" s="31"/>
      <c r="I430" s="31"/>
      <c r="J430" s="31"/>
      <c r="N430" s="31"/>
      <c r="O430" s="31"/>
      <c r="P430" s="31"/>
      <c r="R430" s="31"/>
      <c r="S430" s="31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>
      <c r="A431" s="31"/>
      <c r="B431" s="31"/>
      <c r="C431" s="31"/>
      <c r="E431" s="31"/>
      <c r="F431" s="31"/>
      <c r="G431" s="31"/>
      <c r="H431" s="31"/>
      <c r="I431" s="31"/>
      <c r="J431" s="31"/>
      <c r="N431" s="31"/>
      <c r="O431" s="31"/>
      <c r="P431" s="31"/>
      <c r="R431" s="31"/>
      <c r="S431" s="31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>
      <c r="A432" s="31"/>
      <c r="B432" s="31"/>
      <c r="C432" s="31"/>
      <c r="E432" s="31"/>
      <c r="F432" s="31"/>
      <c r="G432" s="31"/>
      <c r="H432" s="31"/>
      <c r="I432" s="31"/>
      <c r="J432" s="31"/>
      <c r="N432" s="31"/>
      <c r="O432" s="31"/>
      <c r="P432" s="31"/>
      <c r="R432" s="31"/>
      <c r="S432" s="31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>
      <c r="A433" s="31"/>
      <c r="B433" s="31"/>
      <c r="C433" s="31"/>
      <c r="E433" s="31"/>
      <c r="F433" s="31"/>
      <c r="G433" s="31"/>
      <c r="H433" s="31"/>
      <c r="I433" s="31"/>
      <c r="J433" s="31"/>
      <c r="N433" s="31"/>
      <c r="O433" s="31"/>
      <c r="P433" s="31"/>
      <c r="R433" s="31"/>
      <c r="S433" s="31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>
      <c r="A434" s="31"/>
      <c r="B434" s="31"/>
      <c r="C434" s="31"/>
      <c r="E434" s="31"/>
      <c r="F434" s="31"/>
      <c r="G434" s="31"/>
      <c r="H434" s="31"/>
      <c r="I434" s="31"/>
      <c r="J434" s="31"/>
      <c r="N434" s="31"/>
      <c r="O434" s="31"/>
      <c r="P434" s="31"/>
      <c r="R434" s="31"/>
      <c r="S434" s="31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>
      <c r="A435" s="31"/>
      <c r="B435" s="31"/>
      <c r="C435" s="31"/>
      <c r="E435" s="31"/>
      <c r="F435" s="31"/>
      <c r="G435" s="31"/>
      <c r="H435" s="31"/>
      <c r="I435" s="31"/>
      <c r="J435" s="31"/>
      <c r="N435" s="31"/>
      <c r="O435" s="31"/>
      <c r="P435" s="31"/>
      <c r="R435" s="31"/>
      <c r="S435" s="31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>
      <c r="A436" s="31"/>
      <c r="B436" s="31"/>
      <c r="C436" s="31"/>
      <c r="E436" s="31"/>
      <c r="F436" s="31"/>
      <c r="G436" s="31"/>
      <c r="H436" s="31"/>
      <c r="I436" s="31"/>
      <c r="J436" s="31"/>
      <c r="N436" s="31"/>
      <c r="O436" s="31"/>
      <c r="P436" s="31"/>
      <c r="R436" s="31"/>
      <c r="S436" s="31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>
      <c r="A437" s="31"/>
      <c r="B437" s="31"/>
      <c r="C437" s="31"/>
      <c r="E437" s="31"/>
      <c r="F437" s="31"/>
      <c r="G437" s="31"/>
      <c r="H437" s="31"/>
      <c r="I437" s="31"/>
      <c r="J437" s="31"/>
      <c r="N437" s="31"/>
      <c r="O437" s="31"/>
      <c r="P437" s="31"/>
      <c r="R437" s="31"/>
      <c r="S437" s="31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>
      <c r="A438" s="31"/>
      <c r="B438" s="31"/>
      <c r="C438" s="31"/>
      <c r="E438" s="31"/>
      <c r="F438" s="31"/>
      <c r="G438" s="31"/>
      <c r="H438" s="31"/>
      <c r="I438" s="31"/>
      <c r="J438" s="31"/>
      <c r="N438" s="31"/>
      <c r="O438" s="31"/>
      <c r="P438" s="31"/>
      <c r="R438" s="31"/>
      <c r="S438" s="31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>
      <c r="A439" s="31"/>
      <c r="B439" s="31"/>
      <c r="C439" s="31"/>
      <c r="E439" s="31"/>
      <c r="F439" s="31"/>
      <c r="G439" s="31"/>
      <c r="H439" s="31"/>
      <c r="I439" s="31"/>
      <c r="J439" s="31"/>
      <c r="N439" s="31"/>
      <c r="O439" s="31"/>
      <c r="P439" s="31"/>
      <c r="R439" s="31"/>
      <c r="S439" s="31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>
      <c r="A440" s="31"/>
      <c r="B440" s="31"/>
      <c r="C440" s="31"/>
      <c r="E440" s="31"/>
      <c r="F440" s="31"/>
      <c r="G440" s="31"/>
      <c r="H440" s="31"/>
      <c r="I440" s="31"/>
      <c r="J440" s="31"/>
      <c r="N440" s="31"/>
      <c r="O440" s="31"/>
      <c r="P440" s="31"/>
      <c r="R440" s="31"/>
      <c r="S440" s="31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>
      <c r="A441" s="31"/>
      <c r="B441" s="31"/>
      <c r="C441" s="31"/>
      <c r="E441" s="31"/>
      <c r="F441" s="31"/>
      <c r="G441" s="31"/>
      <c r="H441" s="31"/>
      <c r="I441" s="31"/>
      <c r="J441" s="31"/>
      <c r="N441" s="31"/>
      <c r="O441" s="31"/>
      <c r="P441" s="31"/>
      <c r="R441" s="31"/>
      <c r="S441" s="31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>
      <c r="A442" s="31"/>
      <c r="B442" s="31"/>
      <c r="C442" s="31"/>
      <c r="E442" s="31"/>
      <c r="F442" s="31"/>
      <c r="G442" s="31"/>
      <c r="H442" s="31"/>
      <c r="I442" s="31"/>
      <c r="J442" s="31"/>
      <c r="N442" s="31"/>
      <c r="O442" s="31"/>
      <c r="P442" s="31"/>
      <c r="R442" s="31"/>
      <c r="S442" s="31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>
      <c r="A443" s="31"/>
      <c r="B443" s="31"/>
      <c r="C443" s="31"/>
      <c r="E443" s="31"/>
      <c r="F443" s="31"/>
      <c r="G443" s="31"/>
      <c r="H443" s="31"/>
      <c r="I443" s="31"/>
      <c r="J443" s="31"/>
      <c r="N443" s="31"/>
      <c r="O443" s="31"/>
      <c r="P443" s="31"/>
      <c r="R443" s="31"/>
      <c r="S443" s="31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>
      <c r="A444" s="31"/>
      <c r="B444" s="31"/>
      <c r="C444" s="31"/>
      <c r="E444" s="31"/>
      <c r="F444" s="31"/>
      <c r="G444" s="31"/>
      <c r="H444" s="31"/>
      <c r="I444" s="31"/>
      <c r="J444" s="31"/>
      <c r="N444" s="31"/>
      <c r="O444" s="31"/>
      <c r="P444" s="31"/>
      <c r="R444" s="31"/>
      <c r="S444" s="31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>
      <c r="A445" s="31"/>
      <c r="B445" s="31"/>
      <c r="C445" s="31"/>
      <c r="E445" s="31"/>
      <c r="F445" s="31"/>
      <c r="G445" s="31"/>
      <c r="H445" s="31"/>
      <c r="I445" s="31"/>
      <c r="J445" s="31"/>
      <c r="N445" s="31"/>
      <c r="O445" s="31"/>
      <c r="P445" s="31"/>
      <c r="R445" s="31"/>
      <c r="S445" s="31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>
      <c r="A446" s="31"/>
      <c r="B446" s="31"/>
      <c r="C446" s="31"/>
      <c r="E446" s="31"/>
      <c r="F446" s="31"/>
      <c r="G446" s="31"/>
      <c r="H446" s="31"/>
      <c r="I446" s="31"/>
      <c r="J446" s="31"/>
      <c r="N446" s="31"/>
      <c r="O446" s="31"/>
      <c r="P446" s="31"/>
      <c r="R446" s="31"/>
      <c r="S446" s="31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>
      <c r="A447" s="31"/>
      <c r="B447" s="31"/>
      <c r="C447" s="31"/>
      <c r="E447" s="31"/>
      <c r="F447" s="31"/>
      <c r="G447" s="31"/>
      <c r="H447" s="31"/>
      <c r="I447" s="31"/>
      <c r="J447" s="31"/>
      <c r="N447" s="31"/>
      <c r="O447" s="31"/>
      <c r="P447" s="31"/>
      <c r="R447" s="31"/>
      <c r="S447" s="31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>
      <c r="A448" s="31"/>
      <c r="B448" s="31"/>
      <c r="C448" s="31"/>
      <c r="E448" s="31"/>
      <c r="F448" s="31"/>
      <c r="G448" s="31"/>
      <c r="H448" s="31"/>
      <c r="I448" s="31"/>
      <c r="J448" s="31"/>
      <c r="N448" s="31"/>
      <c r="O448" s="31"/>
      <c r="P448" s="31"/>
      <c r="R448" s="31"/>
      <c r="S448" s="31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>
      <c r="A449" s="31"/>
      <c r="B449" s="31"/>
      <c r="C449" s="31"/>
      <c r="E449" s="31"/>
      <c r="F449" s="31"/>
      <c r="G449" s="31"/>
      <c r="H449" s="31"/>
      <c r="I449" s="31"/>
      <c r="J449" s="31"/>
      <c r="N449" s="31"/>
      <c r="O449" s="31"/>
      <c r="P449" s="31"/>
      <c r="R449" s="31"/>
      <c r="S449" s="31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>
      <c r="A450" s="31"/>
      <c r="B450" s="31"/>
      <c r="C450" s="31"/>
      <c r="E450" s="31"/>
      <c r="F450" s="31"/>
      <c r="G450" s="31"/>
      <c r="H450" s="31"/>
      <c r="I450" s="31"/>
      <c r="J450" s="31"/>
      <c r="N450" s="31"/>
      <c r="O450" s="31"/>
      <c r="P450" s="31"/>
      <c r="R450" s="31"/>
      <c r="S450" s="31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>
      <c r="A451" s="31"/>
      <c r="B451" s="31"/>
      <c r="C451" s="31"/>
      <c r="E451" s="31"/>
      <c r="F451" s="31"/>
      <c r="G451" s="31"/>
      <c r="H451" s="31"/>
      <c r="I451" s="31"/>
      <c r="J451" s="31"/>
      <c r="N451" s="31"/>
      <c r="O451" s="31"/>
      <c r="P451" s="31"/>
      <c r="R451" s="31"/>
      <c r="S451" s="31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>
      <c r="A452" s="31"/>
      <c r="B452" s="31"/>
      <c r="C452" s="31"/>
      <c r="E452" s="31"/>
      <c r="F452" s="31"/>
      <c r="G452" s="31"/>
      <c r="H452" s="31"/>
      <c r="I452" s="31"/>
      <c r="J452" s="31"/>
      <c r="N452" s="31"/>
      <c r="O452" s="31"/>
      <c r="P452" s="31"/>
      <c r="R452" s="31"/>
      <c r="S452" s="31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>
      <c r="A453" s="31"/>
      <c r="B453" s="31"/>
      <c r="C453" s="31"/>
      <c r="E453" s="31"/>
      <c r="F453" s="31"/>
      <c r="G453" s="31"/>
      <c r="H453" s="31"/>
      <c r="I453" s="31"/>
      <c r="J453" s="31"/>
      <c r="N453" s="31"/>
      <c r="O453" s="31"/>
      <c r="P453" s="31"/>
      <c r="R453" s="31"/>
      <c r="S453" s="31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>
      <c r="A454" s="31"/>
      <c r="B454" s="31"/>
      <c r="C454" s="31"/>
      <c r="E454" s="31"/>
      <c r="F454" s="31"/>
      <c r="G454" s="31"/>
      <c r="H454" s="31"/>
      <c r="I454" s="31"/>
      <c r="J454" s="31"/>
      <c r="N454" s="31"/>
      <c r="O454" s="31"/>
      <c r="P454" s="31"/>
      <c r="R454" s="31"/>
      <c r="S454" s="31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>
      <c r="A455" s="31"/>
      <c r="B455" s="31"/>
      <c r="C455" s="31"/>
      <c r="E455" s="31"/>
      <c r="F455" s="31"/>
      <c r="G455" s="31"/>
      <c r="H455" s="31"/>
      <c r="I455" s="31"/>
      <c r="J455" s="31"/>
      <c r="N455" s="31"/>
      <c r="O455" s="31"/>
      <c r="P455" s="31"/>
      <c r="R455" s="31"/>
      <c r="S455" s="31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>
      <c r="A456" s="31"/>
      <c r="B456" s="31"/>
      <c r="C456" s="31"/>
      <c r="E456" s="31"/>
      <c r="F456" s="31"/>
      <c r="G456" s="31"/>
      <c r="H456" s="31"/>
      <c r="I456" s="31"/>
      <c r="J456" s="31"/>
      <c r="N456" s="31"/>
      <c r="O456" s="31"/>
      <c r="P456" s="31"/>
      <c r="R456" s="31"/>
      <c r="S456" s="31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>
      <c r="A457" s="31"/>
      <c r="B457" s="31"/>
      <c r="C457" s="31"/>
      <c r="E457" s="31"/>
      <c r="F457" s="31"/>
      <c r="G457" s="31"/>
      <c r="H457" s="31"/>
      <c r="I457" s="31"/>
      <c r="J457" s="31"/>
      <c r="N457" s="31"/>
      <c r="O457" s="31"/>
      <c r="P457" s="31"/>
      <c r="R457" s="31"/>
      <c r="S457" s="31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>
      <c r="A458" s="31"/>
      <c r="B458" s="31"/>
      <c r="C458" s="31"/>
      <c r="E458" s="31"/>
      <c r="F458" s="31"/>
      <c r="G458" s="31"/>
      <c r="H458" s="31"/>
      <c r="I458" s="31"/>
      <c r="J458" s="31"/>
      <c r="N458" s="31"/>
      <c r="O458" s="31"/>
      <c r="P458" s="31"/>
      <c r="R458" s="31"/>
      <c r="S458" s="31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>
      <c r="A459" s="31"/>
      <c r="B459" s="31"/>
      <c r="C459" s="31"/>
      <c r="E459" s="31"/>
      <c r="F459" s="31"/>
      <c r="G459" s="31"/>
      <c r="H459" s="31"/>
      <c r="I459" s="31"/>
      <c r="J459" s="31"/>
      <c r="N459" s="31"/>
      <c r="O459" s="31"/>
      <c r="P459" s="31"/>
      <c r="R459" s="31"/>
      <c r="S459" s="31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>
      <c r="A460" s="31"/>
      <c r="B460" s="31"/>
      <c r="C460" s="31"/>
      <c r="E460" s="31"/>
      <c r="F460" s="31"/>
      <c r="G460" s="31"/>
      <c r="H460" s="31"/>
      <c r="I460" s="31"/>
      <c r="J460" s="31"/>
      <c r="N460" s="31"/>
      <c r="O460" s="31"/>
      <c r="P460" s="31"/>
      <c r="R460" s="31"/>
      <c r="S460" s="31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>
      <c r="A461" s="31"/>
      <c r="B461" s="31"/>
      <c r="C461" s="31"/>
      <c r="E461" s="31"/>
      <c r="F461" s="31"/>
      <c r="G461" s="31"/>
      <c r="H461" s="31"/>
      <c r="I461" s="31"/>
      <c r="J461" s="31"/>
      <c r="N461" s="31"/>
      <c r="O461" s="31"/>
      <c r="P461" s="31"/>
      <c r="R461" s="31"/>
      <c r="S461" s="31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>
      <c r="A462" s="31"/>
      <c r="B462" s="31"/>
      <c r="C462" s="31"/>
      <c r="E462" s="31"/>
      <c r="F462" s="31"/>
      <c r="G462" s="31"/>
      <c r="H462" s="31"/>
      <c r="I462" s="31"/>
      <c r="J462" s="31"/>
      <c r="N462" s="31"/>
      <c r="O462" s="31"/>
      <c r="P462" s="31"/>
      <c r="R462" s="31"/>
      <c r="S462" s="31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>
      <c r="A463" s="31"/>
      <c r="B463" s="31"/>
      <c r="C463" s="31"/>
      <c r="E463" s="31"/>
      <c r="F463" s="31"/>
      <c r="G463" s="31"/>
      <c r="H463" s="31"/>
      <c r="I463" s="31"/>
      <c r="J463" s="31"/>
      <c r="N463" s="31"/>
      <c r="O463" s="31"/>
      <c r="P463" s="31"/>
      <c r="R463" s="31"/>
      <c r="S463" s="31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>
      <c r="A464" s="31"/>
      <c r="B464" s="31"/>
      <c r="C464" s="31"/>
      <c r="E464" s="31"/>
      <c r="F464" s="31"/>
      <c r="G464" s="31"/>
      <c r="H464" s="31"/>
      <c r="I464" s="31"/>
      <c r="J464" s="31"/>
      <c r="N464" s="31"/>
      <c r="O464" s="31"/>
      <c r="P464" s="31"/>
      <c r="R464" s="31"/>
      <c r="S464" s="31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>
      <c r="A465" s="31"/>
      <c r="B465" s="31"/>
      <c r="C465" s="31"/>
      <c r="E465" s="31"/>
      <c r="F465" s="31"/>
      <c r="G465" s="31"/>
      <c r="H465" s="31"/>
      <c r="I465" s="31"/>
      <c r="J465" s="31"/>
      <c r="N465" s="31"/>
      <c r="O465" s="31"/>
      <c r="P465" s="31"/>
      <c r="R465" s="31"/>
      <c r="S465" s="31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>
      <c r="A466" s="31"/>
      <c r="B466" s="31"/>
      <c r="C466" s="31"/>
      <c r="E466" s="31"/>
      <c r="F466" s="31"/>
      <c r="G466" s="31"/>
      <c r="H466" s="31"/>
      <c r="I466" s="31"/>
      <c r="J466" s="31"/>
      <c r="N466" s="31"/>
      <c r="O466" s="31"/>
      <c r="P466" s="31"/>
      <c r="R466" s="31"/>
      <c r="S466" s="31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>
      <c r="A467" s="31"/>
      <c r="B467" s="31"/>
      <c r="C467" s="31"/>
      <c r="E467" s="31"/>
      <c r="F467" s="31"/>
      <c r="G467" s="31"/>
      <c r="H467" s="31"/>
      <c r="I467" s="31"/>
      <c r="J467" s="31"/>
      <c r="N467" s="31"/>
      <c r="O467" s="31"/>
      <c r="P467" s="31"/>
      <c r="R467" s="31"/>
      <c r="S467" s="31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>
      <c r="A468" s="31"/>
      <c r="B468" s="31"/>
      <c r="C468" s="31"/>
      <c r="E468" s="31"/>
      <c r="F468" s="31"/>
      <c r="G468" s="31"/>
      <c r="H468" s="31"/>
      <c r="I468" s="31"/>
      <c r="J468" s="31"/>
      <c r="N468" s="31"/>
      <c r="O468" s="31"/>
      <c r="P468" s="31"/>
      <c r="R468" s="31"/>
      <c r="S468" s="31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>
      <c r="A469" s="31"/>
      <c r="B469" s="31"/>
      <c r="C469" s="31"/>
      <c r="E469" s="31"/>
      <c r="F469" s="31"/>
      <c r="G469" s="31"/>
      <c r="H469" s="31"/>
      <c r="I469" s="31"/>
      <c r="J469" s="31"/>
      <c r="N469" s="31"/>
      <c r="O469" s="31"/>
      <c r="P469" s="31"/>
      <c r="R469" s="31"/>
      <c r="S469" s="31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>
      <c r="A470" s="31"/>
      <c r="B470" s="31"/>
      <c r="C470" s="31"/>
      <c r="E470" s="31"/>
      <c r="F470" s="31"/>
      <c r="G470" s="31"/>
      <c r="H470" s="31"/>
      <c r="I470" s="31"/>
      <c r="J470" s="31"/>
      <c r="N470" s="31"/>
      <c r="O470" s="31"/>
      <c r="P470" s="31"/>
      <c r="R470" s="31"/>
      <c r="S470" s="31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>
      <c r="A471" s="31"/>
      <c r="B471" s="31"/>
      <c r="C471" s="31"/>
      <c r="E471" s="31"/>
      <c r="F471" s="31"/>
      <c r="G471" s="31"/>
      <c r="H471" s="31"/>
      <c r="I471" s="31"/>
      <c r="J471" s="31"/>
      <c r="N471" s="31"/>
      <c r="O471" s="31"/>
      <c r="P471" s="31"/>
      <c r="R471" s="31"/>
      <c r="S471" s="31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>
      <c r="A472" s="31"/>
      <c r="B472" s="31"/>
      <c r="C472" s="31"/>
      <c r="E472" s="31"/>
      <c r="F472" s="31"/>
      <c r="G472" s="31"/>
      <c r="H472" s="31"/>
      <c r="I472" s="31"/>
      <c r="J472" s="31"/>
      <c r="N472" s="31"/>
      <c r="O472" s="31"/>
      <c r="P472" s="31"/>
      <c r="R472" s="31"/>
      <c r="S472" s="31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>
      <c r="A473" s="31"/>
      <c r="B473" s="31"/>
      <c r="C473" s="31"/>
      <c r="E473" s="31"/>
      <c r="F473" s="31"/>
      <c r="G473" s="31"/>
      <c r="H473" s="31"/>
      <c r="I473" s="31"/>
      <c r="J473" s="31"/>
      <c r="N473" s="31"/>
      <c r="O473" s="31"/>
      <c r="P473" s="31"/>
      <c r="R473" s="31"/>
      <c r="S473" s="31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>
      <c r="A474" s="31"/>
      <c r="B474" s="31"/>
      <c r="C474" s="31"/>
      <c r="E474" s="31"/>
      <c r="F474" s="31"/>
      <c r="G474" s="31"/>
      <c r="H474" s="31"/>
      <c r="I474" s="31"/>
      <c r="J474" s="31"/>
      <c r="N474" s="31"/>
      <c r="O474" s="31"/>
      <c r="P474" s="31"/>
      <c r="R474" s="31"/>
      <c r="S474" s="31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>
      <c r="A475" s="31"/>
      <c r="B475" s="31"/>
      <c r="C475" s="31"/>
      <c r="E475" s="31"/>
      <c r="F475" s="31"/>
      <c r="G475" s="31"/>
      <c r="H475" s="31"/>
      <c r="I475" s="31"/>
      <c r="J475" s="31"/>
      <c r="N475" s="31"/>
      <c r="O475" s="31"/>
      <c r="P475" s="31"/>
      <c r="R475" s="31"/>
      <c r="S475" s="31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>
      <c r="A476" s="31"/>
      <c r="B476" s="31"/>
      <c r="C476" s="31"/>
      <c r="E476" s="31"/>
      <c r="F476" s="31"/>
      <c r="G476" s="31"/>
      <c r="H476" s="31"/>
      <c r="I476" s="31"/>
      <c r="J476" s="31"/>
      <c r="N476" s="31"/>
      <c r="O476" s="31"/>
      <c r="P476" s="31"/>
      <c r="R476" s="31"/>
      <c r="S476" s="31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>
      <c r="A477" s="31"/>
      <c r="B477" s="31"/>
      <c r="C477" s="31"/>
      <c r="E477" s="31"/>
      <c r="F477" s="31"/>
      <c r="G477" s="31"/>
      <c r="H477" s="31"/>
      <c r="I477" s="31"/>
      <c r="J477" s="31"/>
      <c r="N477" s="31"/>
      <c r="O477" s="31"/>
      <c r="P477" s="31"/>
      <c r="R477" s="31"/>
      <c r="S477" s="31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>
      <c r="A478" s="31"/>
      <c r="B478" s="31"/>
      <c r="C478" s="31"/>
      <c r="E478" s="31"/>
      <c r="F478" s="31"/>
      <c r="G478" s="31"/>
      <c r="H478" s="31"/>
      <c r="I478" s="31"/>
      <c r="J478" s="31"/>
      <c r="N478" s="31"/>
      <c r="O478" s="31"/>
      <c r="P478" s="31"/>
      <c r="R478" s="31"/>
      <c r="S478" s="31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>
      <c r="A479" s="31"/>
      <c r="B479" s="31"/>
      <c r="C479" s="31"/>
      <c r="E479" s="31"/>
      <c r="F479" s="31"/>
      <c r="G479" s="31"/>
      <c r="H479" s="31"/>
      <c r="I479" s="31"/>
      <c r="J479" s="31"/>
      <c r="N479" s="31"/>
      <c r="O479" s="31"/>
      <c r="P479" s="31"/>
      <c r="R479" s="31"/>
      <c r="S479" s="31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>
      <c r="A480" s="31"/>
      <c r="B480" s="31"/>
      <c r="C480" s="31"/>
      <c r="E480" s="31"/>
      <c r="F480" s="31"/>
      <c r="G480" s="31"/>
      <c r="H480" s="31"/>
      <c r="I480" s="31"/>
      <c r="J480" s="31"/>
      <c r="N480" s="31"/>
      <c r="O480" s="31"/>
      <c r="P480" s="31"/>
      <c r="R480" s="31"/>
      <c r="S480" s="31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>
      <c r="A481" s="31"/>
      <c r="B481" s="31"/>
      <c r="C481" s="31"/>
      <c r="E481" s="31"/>
      <c r="F481" s="31"/>
      <c r="G481" s="31"/>
      <c r="H481" s="31"/>
      <c r="I481" s="31"/>
      <c r="J481" s="31"/>
      <c r="N481" s="31"/>
      <c r="O481" s="31"/>
      <c r="P481" s="31"/>
      <c r="R481" s="31"/>
      <c r="S481" s="31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>
      <c r="A482" s="31"/>
      <c r="B482" s="31"/>
      <c r="C482" s="31"/>
      <c r="E482" s="31"/>
      <c r="F482" s="31"/>
      <c r="G482" s="31"/>
      <c r="H482" s="31"/>
      <c r="I482" s="31"/>
      <c r="J482" s="31"/>
      <c r="N482" s="31"/>
      <c r="O482" s="31"/>
      <c r="P482" s="31"/>
      <c r="R482" s="31"/>
      <c r="S482" s="31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>
      <c r="A483" s="31"/>
      <c r="B483" s="31"/>
      <c r="C483" s="31"/>
      <c r="E483" s="31"/>
      <c r="F483" s="31"/>
      <c r="G483" s="31"/>
      <c r="H483" s="31"/>
      <c r="I483" s="31"/>
      <c r="J483" s="31"/>
      <c r="N483" s="31"/>
      <c r="O483" s="31"/>
      <c r="P483" s="31"/>
      <c r="R483" s="31"/>
      <c r="S483" s="31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>
      <c r="A484" s="31"/>
      <c r="B484" s="31"/>
      <c r="C484" s="31"/>
      <c r="E484" s="31"/>
      <c r="F484" s="31"/>
      <c r="G484" s="31"/>
      <c r="H484" s="31"/>
      <c r="I484" s="31"/>
      <c r="J484" s="31"/>
      <c r="N484" s="31"/>
      <c r="O484" s="31"/>
      <c r="P484" s="31"/>
      <c r="R484" s="31"/>
      <c r="S484" s="31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>
      <c r="A485" s="31"/>
      <c r="B485" s="31"/>
      <c r="C485" s="31"/>
      <c r="E485" s="31"/>
      <c r="F485" s="31"/>
      <c r="G485" s="31"/>
      <c r="H485" s="31"/>
      <c r="I485" s="31"/>
      <c r="J485" s="31"/>
      <c r="N485" s="31"/>
      <c r="O485" s="31"/>
      <c r="P485" s="31"/>
      <c r="R485" s="31"/>
      <c r="S485" s="31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>
      <c r="A486" s="31"/>
      <c r="B486" s="31"/>
      <c r="C486" s="31"/>
      <c r="E486" s="31"/>
      <c r="F486" s="31"/>
      <c r="G486" s="31"/>
      <c r="H486" s="31"/>
      <c r="I486" s="31"/>
      <c r="J486" s="31"/>
      <c r="N486" s="31"/>
      <c r="O486" s="31"/>
      <c r="P486" s="31"/>
      <c r="R486" s="31"/>
      <c r="S486" s="31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>
      <c r="A487" s="31"/>
      <c r="B487" s="31"/>
      <c r="C487" s="31"/>
      <c r="E487" s="31"/>
      <c r="F487" s="31"/>
      <c r="G487" s="31"/>
      <c r="H487" s="31"/>
      <c r="I487" s="31"/>
      <c r="J487" s="31"/>
      <c r="N487" s="31"/>
      <c r="O487" s="31"/>
      <c r="P487" s="31"/>
      <c r="R487" s="31"/>
      <c r="S487" s="31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>
      <c r="A488" s="31"/>
      <c r="B488" s="31"/>
      <c r="C488" s="31"/>
      <c r="E488" s="31"/>
      <c r="F488" s="31"/>
      <c r="G488" s="31"/>
      <c r="H488" s="31"/>
      <c r="I488" s="31"/>
      <c r="J488" s="31"/>
      <c r="N488" s="31"/>
      <c r="O488" s="31"/>
      <c r="P488" s="31"/>
      <c r="R488" s="31"/>
      <c r="S488" s="31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>
      <c r="A489" s="31"/>
      <c r="B489" s="31"/>
      <c r="C489" s="31"/>
      <c r="E489" s="31"/>
      <c r="F489" s="31"/>
      <c r="G489" s="31"/>
      <c r="H489" s="31"/>
      <c r="I489" s="31"/>
      <c r="J489" s="31"/>
      <c r="N489" s="31"/>
      <c r="O489" s="31"/>
      <c r="P489" s="31"/>
      <c r="R489" s="31"/>
      <c r="S489" s="31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>
      <c r="A490" s="31"/>
      <c r="B490" s="31"/>
      <c r="C490" s="31"/>
      <c r="E490" s="31"/>
      <c r="F490" s="31"/>
      <c r="G490" s="31"/>
      <c r="H490" s="31"/>
      <c r="I490" s="31"/>
      <c r="J490" s="31"/>
      <c r="N490" s="31"/>
      <c r="O490" s="31"/>
      <c r="P490" s="31"/>
      <c r="R490" s="31"/>
      <c r="S490" s="31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>
      <c r="A491" s="31"/>
      <c r="B491" s="31"/>
      <c r="C491" s="31"/>
      <c r="E491" s="31"/>
      <c r="F491" s="31"/>
      <c r="G491" s="31"/>
      <c r="H491" s="31"/>
      <c r="I491" s="31"/>
      <c r="J491" s="31"/>
      <c r="N491" s="31"/>
      <c r="O491" s="31"/>
      <c r="P491" s="31"/>
      <c r="R491" s="31"/>
      <c r="S491" s="31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>
      <c r="A492" s="31"/>
      <c r="B492" s="31"/>
      <c r="C492" s="31"/>
      <c r="E492" s="31"/>
      <c r="F492" s="31"/>
      <c r="G492" s="31"/>
      <c r="H492" s="31"/>
      <c r="I492" s="31"/>
      <c r="J492" s="31"/>
      <c r="N492" s="31"/>
      <c r="O492" s="31"/>
      <c r="P492" s="31"/>
      <c r="R492" s="31"/>
      <c r="S492" s="31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>
      <c r="A493" s="31"/>
      <c r="B493" s="31"/>
      <c r="C493" s="31"/>
      <c r="E493" s="31"/>
      <c r="F493" s="31"/>
      <c r="G493" s="31"/>
      <c r="H493" s="31"/>
      <c r="I493" s="31"/>
      <c r="J493" s="31"/>
      <c r="N493" s="31"/>
      <c r="O493" s="31"/>
      <c r="P493" s="31"/>
      <c r="R493" s="31"/>
      <c r="S493" s="31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>
      <c r="A494" s="31"/>
      <c r="B494" s="31"/>
      <c r="C494" s="31"/>
      <c r="E494" s="31"/>
      <c r="F494" s="31"/>
      <c r="G494" s="31"/>
      <c r="H494" s="31"/>
      <c r="I494" s="31"/>
      <c r="J494" s="31"/>
      <c r="N494" s="31"/>
      <c r="O494" s="31"/>
      <c r="P494" s="31"/>
      <c r="R494" s="31"/>
      <c r="S494" s="31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>
      <c r="A495" s="31"/>
      <c r="B495" s="31"/>
      <c r="C495" s="31"/>
      <c r="E495" s="31"/>
      <c r="F495" s="31"/>
      <c r="G495" s="31"/>
      <c r="H495" s="31"/>
      <c r="I495" s="31"/>
      <c r="J495" s="31"/>
      <c r="N495" s="31"/>
      <c r="O495" s="31"/>
      <c r="P495" s="31"/>
      <c r="R495" s="31"/>
      <c r="S495" s="31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>
      <c r="A496" s="31"/>
      <c r="B496" s="31"/>
      <c r="C496" s="31"/>
      <c r="E496" s="31"/>
      <c r="F496" s="31"/>
      <c r="G496" s="31"/>
      <c r="H496" s="31"/>
      <c r="I496" s="31"/>
      <c r="J496" s="31"/>
      <c r="N496" s="31"/>
      <c r="O496" s="31"/>
      <c r="P496" s="31"/>
      <c r="R496" s="31"/>
      <c r="S496" s="31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>
      <c r="A497" s="31"/>
      <c r="B497" s="31"/>
      <c r="C497" s="31"/>
      <c r="E497" s="31"/>
      <c r="F497" s="31"/>
      <c r="G497" s="31"/>
      <c r="H497" s="31"/>
      <c r="I497" s="31"/>
      <c r="J497" s="31"/>
      <c r="N497" s="31"/>
      <c r="O497" s="31"/>
      <c r="P497" s="31"/>
      <c r="R497" s="31"/>
      <c r="S497" s="31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>
      <c r="A498" s="31"/>
      <c r="B498" s="31"/>
      <c r="C498" s="31"/>
      <c r="E498" s="31"/>
      <c r="F498" s="31"/>
      <c r="G498" s="31"/>
      <c r="H498" s="31"/>
      <c r="I498" s="31"/>
      <c r="J498" s="31"/>
      <c r="N498" s="31"/>
      <c r="O498" s="31"/>
      <c r="P498" s="31"/>
      <c r="R498" s="31"/>
      <c r="S498" s="31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>
      <c r="A499" s="31"/>
      <c r="B499" s="31"/>
      <c r="C499" s="31"/>
      <c r="E499" s="31"/>
      <c r="F499" s="31"/>
      <c r="G499" s="31"/>
      <c r="H499" s="31"/>
      <c r="I499" s="31"/>
      <c r="J499" s="31"/>
      <c r="N499" s="31"/>
      <c r="O499" s="31"/>
      <c r="P499" s="31"/>
      <c r="R499" s="31"/>
      <c r="S499" s="31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algorithmName="SHA-512" hashValue="BWEUFGDOFeSweSkDHFaftRtx+gnI35lV/eUfjG/Od1l9VdvGdaUqNZkOIrcXWdblXw9bROCsrd7uUO1a2T+mqA==" saltValue="XP3Nkck8t4oLUpyewrSZzw==" spinCount="100000" sheet="1" formatColumns="0" formatRows="0" sort="0" autoFilter="0"/>
  <phoneticPr fontId="19" type="noConversion"/>
  <conditionalFormatting sqref="A74:AA499 A2:AH2 A3:E28 A29:AH40 A41:L42 A43:AH72 A73:AD73 F3:X3 F4:AH28 N41:AH42 Z3:AH3">
    <cfRule type="expression" dxfId="99" priority="34">
      <formula>AND($B2&lt;&gt;"",MOD(ROW(),2)=0)</formula>
    </cfRule>
  </conditionalFormatting>
  <conditionalFormatting sqref="D2:D499">
    <cfRule type="expression" dxfId="98" priority="20">
      <formula>ISNUMBER(SEARCH("no target",$D2))</formula>
    </cfRule>
    <cfRule type="expression" dxfId="97" priority="18">
      <formula>ISNUMBER(SEARCH("Blocked",$D2))</formula>
    </cfRule>
    <cfRule type="expression" dxfId="96" priority="19">
      <formula>ISNUMBER(SEARCH("overdue",$D2))</formula>
    </cfRule>
    <cfRule type="expression" dxfId="95" priority="21">
      <formula>ISNUMBER(SEARCH("Review",$D2))</formula>
    </cfRule>
    <cfRule type="expression" dxfId="94" priority="22">
      <formula>OR($D2="On track",$D2="Delivered")</formula>
    </cfRule>
  </conditionalFormatting>
  <conditionalFormatting sqref="M32:M33">
    <cfRule type="expression" dxfId="93" priority="17">
      <formula>$AF32="Yes – needs PBI Dev to fix"</formula>
    </cfRule>
  </conditionalFormatting>
  <conditionalFormatting sqref="M40:M41">
    <cfRule type="expression" dxfId="92" priority="8">
      <formula>$AF40="Yes – needs PBI Dev to fix"</formula>
    </cfRule>
  </conditionalFormatting>
  <conditionalFormatting sqref="M41">
    <cfRule type="expression" dxfId="91" priority="144">
      <formula>$AF41="Yes – needs DB Dev to fix"</formula>
    </cfRule>
    <cfRule type="expression" dxfId="90" priority="143">
      <formula>AND($B41&lt;&gt;"",MOD(ROW(),2)=0)</formula>
    </cfRule>
  </conditionalFormatting>
  <conditionalFormatting sqref="M42">
    <cfRule type="expression" dxfId="89" priority="145">
      <formula>AND($B41&lt;&gt;"",MOD(ROW(),2)=0)</formula>
    </cfRule>
    <cfRule type="expression" dxfId="88" priority="146">
      <formula>$AF41="Yes – needs DB Dev to fix"</formula>
    </cfRule>
  </conditionalFormatting>
  <conditionalFormatting sqref="M73:N73">
    <cfRule type="expression" dxfId="87" priority="93">
      <formula>$AB73="Yes – needs DB Dev to fix"</formula>
    </cfRule>
  </conditionalFormatting>
  <conditionalFormatting sqref="M74:N499">
    <cfRule type="expression" dxfId="86" priority="27">
      <formula>$Y74="Yes – needs DB Dev to fix"</formula>
    </cfRule>
  </conditionalFormatting>
  <conditionalFormatting sqref="M2:P40 N41:P42 M43:P72">
    <cfRule type="expression" dxfId="85" priority="66">
      <formula>$AF2="Yes – needs DB Dev to fix"</formula>
    </cfRule>
  </conditionalFormatting>
  <conditionalFormatting sqref="O29:P29">
    <cfRule type="expression" dxfId="84" priority="14">
      <formula>$AF29="Yes – needs PBI Dev to fix"</formula>
    </cfRule>
  </conditionalFormatting>
  <conditionalFormatting sqref="O32:P33">
    <cfRule type="expression" dxfId="83" priority="11">
      <formula>$AF32="Yes – needs PBI Dev to fix"</formula>
    </cfRule>
  </conditionalFormatting>
  <conditionalFormatting sqref="O40:P41">
    <cfRule type="expression" dxfId="82" priority="7">
      <formula>$AF40="Yes – needs PBI Dev to fix"</formula>
    </cfRule>
  </conditionalFormatting>
  <conditionalFormatting sqref="O73:P73">
    <cfRule type="expression" dxfId="81" priority="127">
      <formula>$AA73="Yes – needs PBI Dev to fix"</formula>
    </cfRule>
  </conditionalFormatting>
  <conditionalFormatting sqref="O74:P499">
    <cfRule type="expression" dxfId="80" priority="28">
      <formula>$Y74="Yes – needs PBI Dev to fix"</formula>
    </cfRule>
  </conditionalFormatting>
  <conditionalFormatting sqref="Q10:Q19">
    <cfRule type="expression" dxfId="79" priority="1">
      <formula>$AF10="Yes – needs DB Dev to fix"</formula>
    </cfRule>
  </conditionalFormatting>
  <conditionalFormatting sqref="Q73">
    <cfRule type="expression" dxfId="78" priority="97">
      <formula>$AB73="Yes – needs PBI Dev to fix"</formula>
    </cfRule>
  </conditionalFormatting>
  <conditionalFormatting sqref="Q74:R499">
    <cfRule type="expression" dxfId="77" priority="29">
      <formula>$Y74="Yes – needs QA to fix"</formula>
    </cfRule>
  </conditionalFormatting>
  <conditionalFormatting sqref="Q2:T73 M29">
    <cfRule type="expression" dxfId="76" priority="15">
      <formula>$AF2="Yes – needs PBI Dev to fix"</formula>
    </cfRule>
  </conditionalFormatting>
  <conditionalFormatting sqref="R73:T73">
    <cfRule type="expression" dxfId="75" priority="99">
      <formula>$AB73="Yes – needs QA to fix"</formula>
    </cfRule>
  </conditionalFormatting>
  <conditionalFormatting sqref="S74:T499">
    <cfRule type="expression" dxfId="74" priority="30">
      <formula>$Y74="Yes – needs DPO Approval to fix"</formula>
    </cfRule>
  </conditionalFormatting>
  <conditionalFormatting sqref="U10:U19">
    <cfRule type="expression" dxfId="73" priority="2">
      <formula>$AF10="Yes – needs PBI Dev to fix"</formula>
    </cfRule>
  </conditionalFormatting>
  <conditionalFormatting sqref="U74:U499">
    <cfRule type="expression" dxfId="72" priority="26">
      <formula>$U74="Yes"</formula>
    </cfRule>
  </conditionalFormatting>
  <conditionalFormatting sqref="U73:V73">
    <cfRule type="expression" dxfId="71" priority="101">
      <formula>$AB73="Yes – needs DPO Approval to fix"</formula>
    </cfRule>
  </conditionalFormatting>
  <conditionalFormatting sqref="U2:X73">
    <cfRule type="expression" dxfId="70" priority="72">
      <formula>$AF2="Yes – needs QA to fix"</formula>
    </cfRule>
  </conditionalFormatting>
  <conditionalFormatting sqref="W73:X73">
    <cfRule type="expression" dxfId="69" priority="103">
      <formula>$W73="Yes"</formula>
    </cfRule>
  </conditionalFormatting>
  <conditionalFormatting sqref="Y3">
    <cfRule type="expression" dxfId="68" priority="6">
      <formula>$AF3="Yes – needs DPO Approval to fix"</formula>
    </cfRule>
    <cfRule type="expression" dxfId="67" priority="5">
      <formula>AND($B3&lt;&gt;"",MOD(ROW(),2)=0)</formula>
    </cfRule>
  </conditionalFormatting>
  <conditionalFormatting sqref="Y74:Y499">
    <cfRule type="expression" dxfId="66" priority="23">
      <formula>LEFT($Y74,3)="Yes"</formula>
    </cfRule>
  </conditionalFormatting>
  <conditionalFormatting sqref="Y2:AA2 Z3:AA3 Y4:AA73">
    <cfRule type="expression" dxfId="65" priority="75">
      <formula>$AF2="Yes – needs DPO Approval to fix"</formula>
    </cfRule>
  </conditionalFormatting>
  <conditionalFormatting sqref="Z74:Z499">
    <cfRule type="expression" dxfId="64" priority="33">
      <formula>$Z74&lt;&gt;""</formula>
    </cfRule>
    <cfRule type="expression" dxfId="63" priority="32">
      <formula>ISNUMBER(SEARCH("Duplicate",$Z74))</formula>
    </cfRule>
    <cfRule type="expression" dxfId="62" priority="31">
      <formula>ISNUMBER(SEARCH("Move old",$Z74))</formula>
    </cfRule>
    <cfRule type="expression" dxfId="61" priority="31">
      <formula>ISNUMBER(SEARCH("Open rework",$Z74))</formula>
    </cfRule>
    <cfRule type="expression" dxfId="60" priority="31">
      <formula>ISNUMBER(SEARCH("log it",$Z74))</formula>
    </cfRule>
  </conditionalFormatting>
  <conditionalFormatting sqref="AB2:AB73">
    <cfRule type="expression" dxfId="59" priority="47">
      <formula>$AB2="Yes"</formula>
    </cfRule>
  </conditionalFormatting>
  <conditionalFormatting sqref="AB73">
    <cfRule type="expression" dxfId="58" priority="105">
      <formula>LEFT($AB73,3)="Yes"</formula>
    </cfRule>
  </conditionalFormatting>
  <conditionalFormatting sqref="AC73">
    <cfRule type="expression" dxfId="57" priority="111">
      <formula>ISNUMBER(SEARCH("Open rework",$AC73))</formula>
    </cfRule>
    <cfRule type="expression" dxfId="56" priority="112">
      <formula>ISNUMBER(SEARCH("Move old",$AC73))</formula>
    </cfRule>
    <cfRule type="expression" dxfId="55" priority="113">
      <formula>ISNUMBER(SEARCH("log it",$AC73))</formula>
    </cfRule>
    <cfRule type="expression" dxfId="54" priority="115">
      <formula>$AC73&lt;&gt;""</formula>
    </cfRule>
    <cfRule type="expression" dxfId="53" priority="114">
      <formula>ISNUMBER(SEARCH("Duplicate",$AC73))</formula>
    </cfRule>
  </conditionalFormatting>
  <conditionalFormatting sqref="AF2:AF73">
    <cfRule type="expression" dxfId="52" priority="49">
      <formula>LEFT($AF2,3)="Yes"</formula>
    </cfRule>
  </conditionalFormatting>
  <conditionalFormatting sqref="AG2:AG73">
    <cfRule type="expression" dxfId="51" priority="55">
      <formula>ISNUMBER(SEARCH("log it",$AG2))</formula>
    </cfRule>
    <cfRule type="expression" dxfId="50" priority="56">
      <formula>ISNUMBER(SEARCH("Open rework",$AG2))</formula>
    </cfRule>
    <cfRule type="expression" dxfId="49" priority="57">
      <formula>ISNUMBER(SEARCH("Move old",$AG2))</formula>
    </cfRule>
    <cfRule type="expression" dxfId="48" priority="58">
      <formula>ISNUMBER(SEARCH("Duplicate",$AG2))</formula>
    </cfRule>
    <cfRule type="expression" dxfId="47" priority="59">
      <formula>$AG2&lt;&gt;""</formula>
    </cfRule>
  </conditionalFormatting>
  <dataValidations count="1">
    <dataValidation type="date" operator="greaterThanOrEqual" allowBlank="1" showErrorMessage="1" errorTitle="Real date only" error="This column only accepts real dates. Put notes in Comments instead." sqref="V74:V499 M74:S499 M73:U73 AC2:AC72 K2:K499 M2:X72 Z2:Z72 Y2:Y73" xr:uid="{00000000-0002-0000-0100-000000000000}">
      <formula1>DATE(2020,1,1)</formula1>
    </dataValidation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U74:U499 AB2:AB72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191</v>
      </c>
    </row>
    <row r="2" spans="1:5">
      <c r="A2" s="6" t="s">
        <v>192</v>
      </c>
    </row>
    <row r="4" spans="1:5" ht="21.95" customHeight="1">
      <c r="A4" s="5" t="s">
        <v>193</v>
      </c>
      <c r="B4" s="65"/>
      <c r="C4" s="66"/>
      <c r="D4" s="66"/>
      <c r="E4" s="66"/>
    </row>
    <row r="6" spans="1:5">
      <c r="A6" s="42" t="s">
        <v>0</v>
      </c>
      <c r="B6" s="63" t="str">
        <f>IF($B$4="","",IFERROR(INDEX('Combined Delivery Data'!$A:$A,MATCH($B$4,'Combined Delivery Data'!$B:$B,0)),""))</f>
        <v/>
      </c>
      <c r="C6" s="67"/>
      <c r="D6" s="67"/>
      <c r="E6" s="68"/>
    </row>
    <row r="7" spans="1:5">
      <c r="A7" s="42" t="s">
        <v>2</v>
      </c>
      <c r="B7" s="63" t="str">
        <f>IF($B$4="","",IFERROR(INDEX('Combined Delivery Data'!$C:$C,MATCH($B$4,'Combined Delivery Data'!$B:$B,0)),""))</f>
        <v/>
      </c>
      <c r="C7" s="67"/>
      <c r="D7" s="67"/>
      <c r="E7" s="68"/>
    </row>
    <row r="8" spans="1:5">
      <c r="A8" s="42" t="s">
        <v>3</v>
      </c>
      <c r="B8" s="63" t="str">
        <f>IF($B$4="","",IFERROR(INDEX('Combined Delivery Data'!$D:$D,MATCH($B$4,'Combined Delivery Data'!$B:$B,0)),""))</f>
        <v/>
      </c>
      <c r="C8" s="67"/>
      <c r="D8" s="67"/>
      <c r="E8" s="68"/>
    </row>
    <row r="9" spans="1:5">
      <c r="A9" s="42" t="s">
        <v>4</v>
      </c>
      <c r="B9" s="63" t="str">
        <f>IF($B$4="","",IFERROR(INDEX('Combined Delivery Data'!$E:$E,MATCH($B$4,'Combined Delivery Data'!$B:$B,0)),""))</f>
        <v/>
      </c>
      <c r="C9" s="67"/>
      <c r="D9" s="67"/>
      <c r="E9" s="68"/>
    </row>
    <row r="10" spans="1:5">
      <c r="A10" s="42" t="s">
        <v>5</v>
      </c>
      <c r="B10" s="63" t="str">
        <f>IF($B$4="","",IFERROR(INDEX('Combined Delivery Data'!$F:$F,MATCH($B$4,'Combined Delivery Data'!$B:$B,0)),""))</f>
        <v/>
      </c>
      <c r="C10" s="67"/>
      <c r="D10" s="67"/>
      <c r="E10" s="68"/>
    </row>
    <row r="11" spans="1:5">
      <c r="A11" s="42" t="s">
        <v>6</v>
      </c>
      <c r="B11" s="63" t="str">
        <f>IF($B$4="","",IFERROR(INDEX('Combined Delivery Data'!$G:$G,MATCH($B$4,'Combined Delivery Data'!$B:$B,0)),""))</f>
        <v/>
      </c>
      <c r="C11" s="67"/>
      <c r="D11" s="67"/>
      <c r="E11" s="68"/>
    </row>
    <row r="12" spans="1:5">
      <c r="A12" s="42" t="s">
        <v>7</v>
      </c>
      <c r="B12" s="63" t="str">
        <f>IF($B$4="","",IFERROR(INDEX('Combined Delivery Data'!$H:$H,MATCH($B$4,'Combined Delivery Data'!$B:$B,0)),""))</f>
        <v/>
      </c>
      <c r="C12" s="67"/>
      <c r="D12" s="67"/>
      <c r="E12" s="68"/>
    </row>
    <row r="13" spans="1:5">
      <c r="A13" s="42" t="s">
        <v>8</v>
      </c>
      <c r="B13" s="63" t="str">
        <f>IF($B$4="","",IFERROR(INDEX('Combined Delivery Data'!$I:$I,MATCH($B$4,'Combined Delivery Data'!$B:$B,0)),""))</f>
        <v/>
      </c>
      <c r="C13" s="67"/>
      <c r="D13" s="67"/>
      <c r="E13" s="68"/>
    </row>
    <row r="14" spans="1:5">
      <c r="A14" s="42" t="s">
        <v>194</v>
      </c>
      <c r="B14" s="62" t="str">
        <f>IF($B$4="","",IFERROR(INDEX('Combined Delivery Data'!$M:$M,MATCH($B$4,'Combined Delivery Data'!$B:$B,0)),""))</f>
        <v/>
      </c>
      <c r="C14" s="67"/>
      <c r="D14" s="67"/>
      <c r="E14" s="68"/>
    </row>
    <row r="15" spans="1:5">
      <c r="A15" s="42" t="s">
        <v>195</v>
      </c>
      <c r="B15" s="62" t="str">
        <f>IF($B$4="","",IFERROR(INDEX('Combined Delivery Data'!$N:$N,MATCH($B$4,'Combined Delivery Data'!$B:$B,0)),""))</f>
        <v/>
      </c>
      <c r="C15" s="67"/>
      <c r="D15" s="67"/>
      <c r="E15" s="68"/>
    </row>
    <row r="16" spans="1:5">
      <c r="A16" s="42" t="s">
        <v>196</v>
      </c>
      <c r="B16" s="62" t="str">
        <f>IF($B$4="","",IFERROR(INDEX('Combined Delivery Data'!$O:$O,MATCH($B$4,'Combined Delivery Data'!$B:$B,0)),""))</f>
        <v/>
      </c>
      <c r="C16" s="67"/>
      <c r="D16" s="67"/>
      <c r="E16" s="68"/>
    </row>
    <row r="17" spans="1:5">
      <c r="A17" s="42" t="s">
        <v>197</v>
      </c>
      <c r="B17" s="62" t="str">
        <f>IF($B$4="","",IFERROR(INDEX('Combined Delivery Data'!$P:$P,MATCH($B$4,'Combined Delivery Data'!$B:$B,0)),""))</f>
        <v/>
      </c>
      <c r="C17" s="67"/>
      <c r="D17" s="67"/>
      <c r="E17" s="68"/>
    </row>
    <row r="18" spans="1:5">
      <c r="A18" s="42" t="s">
        <v>198</v>
      </c>
      <c r="B18" s="62" t="str">
        <f>IF($B$4="","",IFERROR(INDEX('Combined Delivery Data'!$Q:$Q,MATCH($B$4,'Combined Delivery Data'!$B:$B,0)),""))</f>
        <v/>
      </c>
      <c r="C18" s="67"/>
      <c r="D18" s="67"/>
      <c r="E18" s="68"/>
    </row>
    <row r="19" spans="1:5">
      <c r="A19" s="42" t="s">
        <v>199</v>
      </c>
      <c r="B19" s="62" t="str">
        <f>IF($B$4="","",IFERROR(INDEX('Combined Delivery Data'!$R:$R,MATCH($B$4,'Combined Delivery Data'!$B:$B,0)),""))</f>
        <v/>
      </c>
      <c r="C19" s="67"/>
      <c r="D19" s="67"/>
      <c r="E19" s="68"/>
    </row>
    <row r="20" spans="1:5">
      <c r="A20" s="42" t="s">
        <v>200</v>
      </c>
      <c r="B20" s="62" t="str">
        <f>IF($B$4="","",IFERROR(INDEX('Combined Delivery Data'!$S:$S,MATCH($B$4,'Combined Delivery Data'!$B:$B,0)),""))</f>
        <v/>
      </c>
      <c r="C20" s="67"/>
      <c r="D20" s="67"/>
      <c r="E20" s="68"/>
    </row>
    <row r="21" spans="1:5">
      <c r="A21" s="42" t="s">
        <v>26</v>
      </c>
      <c r="B21" s="63" t="str">
        <f>IF($B$4="","",IFERROR(INDEX('Combined Delivery Data'!$T:$T,MATCH($B$4,'Combined Delivery Data'!$B:$B,0)),""))</f>
        <v/>
      </c>
      <c r="C21" s="67"/>
      <c r="D21" s="67"/>
      <c r="E21" s="68"/>
    </row>
    <row r="22" spans="1:5">
      <c r="A22" s="42" t="s">
        <v>27</v>
      </c>
      <c r="B22" s="63" t="str">
        <f>IF($B$4="","",IFERROR(INDEX('Combined Delivery Data'!$U:$U,MATCH($B$4,'Combined Delivery Data'!$B:$B,0)),""))</f>
        <v/>
      </c>
      <c r="C22" s="67"/>
      <c r="D22" s="67"/>
      <c r="E22" s="68"/>
    </row>
    <row r="23" spans="1:5">
      <c r="A23" s="42" t="s">
        <v>28</v>
      </c>
      <c r="B23" s="62" t="str">
        <f>IF($B$4="","",IFERROR(INDEX('Combined Delivery Data'!$V:$V,MATCH($B$4,'Combined Delivery Data'!$B:$B,0)),""))</f>
        <v/>
      </c>
      <c r="C23" s="67"/>
      <c r="D23" s="67"/>
      <c r="E23" s="68"/>
    </row>
    <row r="24" spans="1:5">
      <c r="A24" s="42" t="s">
        <v>31</v>
      </c>
      <c r="B24" s="63" t="str">
        <f>IF($B$4="","",IFERROR(INDEX('Combined Delivery Data'!$Y:$Y,MATCH($B$4,'Combined Delivery Data'!$B:$B,0)),""))</f>
        <v/>
      </c>
      <c r="C24" s="67"/>
      <c r="D24" s="67"/>
      <c r="E24" s="68"/>
    </row>
    <row r="25" spans="1:5">
      <c r="A25" s="42" t="s">
        <v>32</v>
      </c>
      <c r="B25" s="63" t="str">
        <f>IF($B$4="","",IFERROR(INDEX('Combined Delivery Data'!$Z:$Z,MATCH($B$4,'Combined Delivery Data'!$B:$B,0)),""))</f>
        <v/>
      </c>
      <c r="C25" s="67"/>
      <c r="D25" s="67"/>
      <c r="E25" s="68"/>
    </row>
    <row r="26" spans="1:5">
      <c r="A26" s="42" t="s">
        <v>201</v>
      </c>
      <c r="B26" s="63" t="str">
        <f>IF($B$4="","",IFERROR(INDEX('Rework Log'!$Q:$Q,MATCH($B$4,'Rework Log'!$P:$P,0)),""))</f>
        <v/>
      </c>
      <c r="C26" s="67"/>
      <c r="D26" s="67"/>
      <c r="E26" s="68"/>
    </row>
    <row r="27" spans="1:5">
      <c r="A27" s="42" t="s">
        <v>202</v>
      </c>
      <c r="B27" s="63" t="str">
        <f>IF($B$4="","",IFERROR(INDEX('Rework Log'!$R:$R,MATCH($B$4,'Rework Log'!$P:$P,0)),""))</f>
        <v/>
      </c>
      <c r="C27" s="67"/>
      <c r="D27" s="67"/>
      <c r="E27" s="68"/>
    </row>
    <row r="28" spans="1:5">
      <c r="A28" s="42" t="s">
        <v>203</v>
      </c>
      <c r="B28" s="63" t="str">
        <f>IF($B$4="","",IFERROR(INDEX('Rework Log'!$S:$S,MATCH($B$4,'Rework Log'!$P:$P,0)),""))</f>
        <v/>
      </c>
      <c r="C28" s="67"/>
      <c r="D28" s="67"/>
      <c r="E28" s="68"/>
    </row>
    <row r="29" spans="1:5">
      <c r="A29" s="42" t="s">
        <v>204</v>
      </c>
      <c r="B29" s="63" t="str">
        <f>IF($B$4="","",IFERROR(INDEX('Rework Log'!$T:$T,MATCH($B$4,'Rework Log'!$P:$P,0)),""))</f>
        <v/>
      </c>
      <c r="C29" s="67"/>
      <c r="D29" s="67"/>
      <c r="E29" s="68"/>
    </row>
    <row r="30" spans="1:5" ht="15.6" customHeight="1">
      <c r="A30" s="42"/>
      <c r="B30" s="63"/>
      <c r="C30" s="67"/>
      <c r="D30" s="67"/>
      <c r="E30" s="68"/>
    </row>
    <row r="31" spans="1:5" ht="15.6" customHeight="1">
      <c r="A31" s="5" t="s">
        <v>33</v>
      </c>
      <c r="B31" s="69" t="str">
        <f>IF($B$4="","",IFERROR(INDEX('Combined Delivery Data'!$AA:$AA,MATCH($B$4,'Combined Delivery Data'!$B:$B,0)),""))</f>
        <v/>
      </c>
      <c r="C31" s="66"/>
      <c r="D31" s="66"/>
      <c r="E31" s="66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J7" sqref="J7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36" customWidth="1"/>
    <col min="7" max="7" width="9.7109375" customWidth="1"/>
    <col min="8" max="8" width="1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64" t="s">
        <v>205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P1" s="70" t="s">
        <v>206</v>
      </c>
      <c r="Q1" s="66"/>
      <c r="R1" s="66"/>
      <c r="S1" s="66"/>
      <c r="T1" s="66"/>
    </row>
    <row r="2" spans="1:20" ht="30" customHeight="1">
      <c r="A2" s="17" t="s">
        <v>1</v>
      </c>
      <c r="B2" s="17" t="s">
        <v>207</v>
      </c>
      <c r="C2" s="17" t="s">
        <v>208</v>
      </c>
      <c r="D2" s="17" t="s">
        <v>209</v>
      </c>
      <c r="E2" s="17" t="s">
        <v>210</v>
      </c>
      <c r="F2" s="17" t="s">
        <v>211</v>
      </c>
      <c r="G2" s="17" t="s">
        <v>212</v>
      </c>
      <c r="H2" s="30" t="s">
        <v>213</v>
      </c>
      <c r="I2" s="30" t="s">
        <v>214</v>
      </c>
      <c r="J2" s="30" t="s">
        <v>215</v>
      </c>
      <c r="K2" s="30" t="s">
        <v>216</v>
      </c>
      <c r="L2" s="30" t="s">
        <v>217</v>
      </c>
      <c r="M2" s="21" t="s">
        <v>218</v>
      </c>
      <c r="N2" s="21" t="s">
        <v>219</v>
      </c>
      <c r="P2" s="13" t="s">
        <v>1</v>
      </c>
      <c r="Q2" s="13" t="s">
        <v>201</v>
      </c>
      <c r="R2" s="13" t="s">
        <v>202</v>
      </c>
      <c r="S2" s="13" t="s">
        <v>203</v>
      </c>
      <c r="T2" s="13" t="s">
        <v>204</v>
      </c>
    </row>
    <row r="3" spans="1:20" ht="15">
      <c r="A3" s="33" t="s">
        <v>130</v>
      </c>
      <c r="B3" s="36">
        <v>46230</v>
      </c>
      <c r="C3" s="33" t="s">
        <v>136</v>
      </c>
      <c r="D3" s="33" t="s">
        <v>131</v>
      </c>
      <c r="E3" s="33" t="s">
        <v>132</v>
      </c>
      <c r="F3" s="33" t="s">
        <v>220</v>
      </c>
      <c r="G3" s="33" t="s">
        <v>45</v>
      </c>
      <c r="H3" s="36"/>
      <c r="I3" s="61"/>
      <c r="J3" s="61"/>
      <c r="K3" s="33"/>
      <c r="L3" s="33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8 d</v>
      </c>
      <c r="N3" t="s">
        <v>42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28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142</v>
      </c>
      <c r="B4" s="32">
        <v>46237</v>
      </c>
      <c r="C4" s="31" t="s">
        <v>136</v>
      </c>
      <c r="D4" s="31" t="s">
        <v>131</v>
      </c>
      <c r="E4" s="31" t="s">
        <v>132</v>
      </c>
      <c r="F4" s="31" t="s">
        <v>221</v>
      </c>
      <c r="G4" s="31" t="s">
        <v>45</v>
      </c>
      <c r="H4" s="32"/>
      <c r="I4" s="32"/>
      <c r="J4" s="32"/>
      <c r="K4" s="31"/>
      <c r="L4" s="31"/>
      <c r="M4" s="3" t="str">
        <f t="shared" ca="1" si="0"/>
        <v>UNCLAIMED 1 d</v>
      </c>
      <c r="N4" t="s">
        <v>222</v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28" t="str">
        <f t="shared" si="3"/>
        <v/>
      </c>
      <c r="T4" t="str">
        <f t="shared" si="4"/>
        <v/>
      </c>
    </row>
    <row r="5" spans="1:20">
      <c r="A5" s="31"/>
      <c r="B5" s="32"/>
      <c r="C5" s="31" t="s">
        <v>136</v>
      </c>
      <c r="D5" s="31"/>
      <c r="E5" s="31"/>
      <c r="F5" s="31"/>
      <c r="G5" s="31" t="s">
        <v>45</v>
      </c>
      <c r="H5" s="32"/>
      <c r="I5" s="32"/>
      <c r="J5" s="32"/>
      <c r="K5" s="31"/>
      <c r="L5" s="31"/>
      <c r="M5" s="3" t="str">
        <f t="shared" ca="1" si="0"/>
        <v/>
      </c>
      <c r="P5" t="e">
        <f>'Combined Delivery Data'!#REF!</f>
        <v>#REF!</v>
      </c>
      <c r="Q5" t="e">
        <f t="shared" si="1"/>
        <v>#REF!</v>
      </c>
      <c r="R5" t="e">
        <f t="shared" si="2"/>
        <v>#REF!</v>
      </c>
      <c r="S5" s="28" t="e">
        <f t="shared" si="3"/>
        <v>#REF!</v>
      </c>
      <c r="T5" t="e">
        <f t="shared" si="4"/>
        <v>#REF!</v>
      </c>
    </row>
    <row r="6" spans="1:20">
      <c r="A6" s="31"/>
      <c r="B6" s="32"/>
      <c r="C6" s="31" t="s">
        <v>136</v>
      </c>
      <c r="D6" s="31"/>
      <c r="E6" s="31"/>
      <c r="F6" s="31"/>
      <c r="G6" s="31" t="s">
        <v>45</v>
      </c>
      <c r="H6" s="32"/>
      <c r="I6" s="32"/>
      <c r="J6" s="32"/>
      <c r="K6" s="31"/>
      <c r="L6" s="31"/>
      <c r="M6" s="3" t="str">
        <f t="shared" ca="1" si="0"/>
        <v/>
      </c>
      <c r="P6" t="str">
        <f>'Combined Delivery Data'!B4</f>
        <v>RPT_04_Leak Days Remaining</v>
      </c>
      <c r="Q6">
        <f t="shared" si="1"/>
        <v>0</v>
      </c>
      <c r="R6">
        <f t="shared" si="2"/>
        <v>0</v>
      </c>
      <c r="S6" s="28" t="str">
        <f t="shared" si="3"/>
        <v/>
      </c>
      <c r="T6" t="str">
        <f t="shared" si="4"/>
        <v/>
      </c>
    </row>
    <row r="7" spans="1:20">
      <c r="A7" s="31"/>
      <c r="B7" s="32"/>
      <c r="C7" s="31" t="s">
        <v>136</v>
      </c>
      <c r="D7" s="31"/>
      <c r="E7" s="31"/>
      <c r="F7" s="31"/>
      <c r="G7" s="31" t="s">
        <v>45</v>
      </c>
      <c r="H7" s="32"/>
      <c r="I7" s="32"/>
      <c r="J7" s="32"/>
      <c r="K7" s="31"/>
      <c r="L7" s="31"/>
      <c r="M7" s="3" t="str">
        <f t="shared" ca="1" si="0"/>
        <v/>
      </c>
      <c r="P7" t="str">
        <f>'Combined Delivery Data'!B5</f>
        <v>RPT_04_Cleared Leaks</v>
      </c>
      <c r="Q7">
        <f t="shared" si="1"/>
        <v>0</v>
      </c>
      <c r="R7">
        <f t="shared" si="2"/>
        <v>0</v>
      </c>
      <c r="S7" s="28" t="str">
        <f t="shared" si="3"/>
        <v/>
      </c>
      <c r="T7" t="str">
        <f t="shared" si="4"/>
        <v/>
      </c>
    </row>
    <row r="8" spans="1:20">
      <c r="A8" s="31"/>
      <c r="B8" s="32"/>
      <c r="C8" s="31" t="s">
        <v>136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 t="shared" si="1"/>
        <v>0</v>
      </c>
      <c r="R8">
        <f t="shared" si="2"/>
        <v>0</v>
      </c>
      <c r="S8" s="28" t="str">
        <f t="shared" si="3"/>
        <v/>
      </c>
      <c r="T8" t="str">
        <f t="shared" si="4"/>
        <v/>
      </c>
    </row>
    <row r="9" spans="1:20">
      <c r="A9" s="31"/>
      <c r="B9" s="32"/>
      <c r="C9" s="31" t="s">
        <v>136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 t="shared" si="1"/>
        <v>0</v>
      </c>
      <c r="R9">
        <f t="shared" si="2"/>
        <v>0</v>
      </c>
      <c r="S9" s="28" t="str">
        <f t="shared" si="3"/>
        <v/>
      </c>
      <c r="T9" t="str">
        <f t="shared" si="4"/>
        <v/>
      </c>
    </row>
    <row r="10" spans="1:20">
      <c r="A10" s="31"/>
      <c r="B10" s="32"/>
      <c r="C10" s="31" t="s">
        <v>136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 t="shared" si="1"/>
        <v>0</v>
      </c>
      <c r="R10">
        <f t="shared" si="2"/>
        <v>0</v>
      </c>
      <c r="S10" s="28" t="str">
        <f t="shared" si="3"/>
        <v/>
      </c>
      <c r="T10" t="str">
        <f t="shared" si="4"/>
        <v/>
      </c>
    </row>
    <row r="11" spans="1:20">
      <c r="A11" s="31"/>
      <c r="B11" s="32"/>
      <c r="C11" s="31" t="s">
        <v>136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 t="shared" si="1"/>
        <v>0</v>
      </c>
      <c r="R11">
        <f t="shared" si="2"/>
        <v>0</v>
      </c>
      <c r="S11" s="28" t="str">
        <f t="shared" si="3"/>
        <v/>
      </c>
      <c r="T11" t="str">
        <f t="shared" si="4"/>
        <v/>
      </c>
    </row>
    <row r="12" spans="1:20">
      <c r="A12" s="31"/>
      <c r="B12" s="32"/>
      <c r="C12" s="31" t="s">
        <v>136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 t="shared" si="1"/>
        <v>0</v>
      </c>
      <c r="R12">
        <f t="shared" si="2"/>
        <v>0</v>
      </c>
      <c r="S12" s="28" t="str">
        <f t="shared" si="3"/>
        <v/>
      </c>
      <c r="T12" t="str">
        <f t="shared" si="4"/>
        <v/>
      </c>
    </row>
    <row r="13" spans="1:20">
      <c r="A13" s="31"/>
      <c r="B13" s="32"/>
      <c r="C13" s="31" t="s">
        <v>136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 t="shared" si="1"/>
        <v>0</v>
      </c>
      <c r="R13">
        <f t="shared" si="2"/>
        <v>0</v>
      </c>
      <c r="S13" s="28" t="str">
        <f t="shared" si="3"/>
        <v/>
      </c>
      <c r="T13" t="str">
        <f t="shared" si="4"/>
        <v/>
      </c>
    </row>
    <row r="14" spans="1:20">
      <c r="A14" s="31"/>
      <c r="B14" s="32"/>
      <c r="C14" s="31" t="s">
        <v>136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 t="shared" si="1"/>
        <v>0</v>
      </c>
      <c r="R14">
        <f t="shared" si="2"/>
        <v>0</v>
      </c>
      <c r="S14" s="28" t="str">
        <f t="shared" si="3"/>
        <v/>
      </c>
      <c r="T14" t="str">
        <f t="shared" si="4"/>
        <v/>
      </c>
    </row>
    <row r="15" spans="1:20">
      <c r="A15" s="31"/>
      <c r="B15" s="32"/>
      <c r="C15" s="31" t="s">
        <v>136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 t="shared" si="1"/>
        <v>0</v>
      </c>
      <c r="R15">
        <f t="shared" si="2"/>
        <v>0</v>
      </c>
      <c r="S15" s="28" t="str">
        <f t="shared" si="3"/>
        <v/>
      </c>
      <c r="T15" t="str">
        <f t="shared" si="4"/>
        <v/>
      </c>
    </row>
    <row r="16" spans="1:20">
      <c r="A16" s="31"/>
      <c r="B16" s="32"/>
      <c r="C16" s="31" t="s">
        <v>136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 t="shared" si="1"/>
        <v>0</v>
      </c>
      <c r="R16">
        <f t="shared" si="2"/>
        <v>0</v>
      </c>
      <c r="S16" s="28" t="str">
        <f t="shared" si="3"/>
        <v/>
      </c>
      <c r="T16" t="str">
        <f t="shared" si="4"/>
        <v/>
      </c>
    </row>
    <row r="17" spans="1:20">
      <c r="A17" s="31"/>
      <c r="B17" s="32"/>
      <c r="C17" s="31" t="s">
        <v>136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 t="shared" si="1"/>
        <v>0</v>
      </c>
      <c r="R17">
        <f t="shared" si="2"/>
        <v>0</v>
      </c>
      <c r="S17" s="28" t="str">
        <f t="shared" si="3"/>
        <v/>
      </c>
      <c r="T17" t="str">
        <f t="shared" si="4"/>
        <v/>
      </c>
    </row>
    <row r="18" spans="1:20">
      <c r="A18" s="31"/>
      <c r="B18" s="32"/>
      <c r="C18" s="31" t="s">
        <v>136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 t="shared" si="1"/>
        <v>0</v>
      </c>
      <c r="R18">
        <f t="shared" si="2"/>
        <v>0</v>
      </c>
      <c r="S18" s="28" t="str">
        <f t="shared" si="3"/>
        <v/>
      </c>
      <c r="T18" t="str">
        <f t="shared" si="4"/>
        <v/>
      </c>
    </row>
    <row r="19" spans="1:20">
      <c r="A19" s="31"/>
      <c r="B19" s="32"/>
      <c r="C19" s="31" t="s">
        <v>136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 t="shared" si="1"/>
        <v>0</v>
      </c>
      <c r="R19">
        <f t="shared" si="2"/>
        <v>0</v>
      </c>
      <c r="S19" s="28" t="str">
        <f t="shared" si="3"/>
        <v/>
      </c>
      <c r="T19" t="str">
        <f t="shared" si="4"/>
        <v/>
      </c>
    </row>
    <row r="20" spans="1:20">
      <c r="A20" s="31"/>
      <c r="B20" s="32"/>
      <c r="C20" s="31" t="s">
        <v>136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 t="shared" si="1"/>
        <v>0</v>
      </c>
      <c r="R20">
        <f t="shared" si="2"/>
        <v>0</v>
      </c>
      <c r="S20" s="28" t="str">
        <f t="shared" si="3"/>
        <v/>
      </c>
      <c r="T20" t="str">
        <f t="shared" si="4"/>
        <v/>
      </c>
    </row>
    <row r="21" spans="1:20">
      <c r="A21" s="31"/>
      <c r="B21" s="32"/>
      <c r="C21" s="31" t="s">
        <v>136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 t="shared" si="1"/>
        <v>0</v>
      </c>
      <c r="R21">
        <f t="shared" si="2"/>
        <v>0</v>
      </c>
      <c r="S21" s="28" t="str">
        <f t="shared" si="3"/>
        <v/>
      </c>
      <c r="T21" t="str">
        <f t="shared" si="4"/>
        <v/>
      </c>
    </row>
    <row r="22" spans="1:20">
      <c r="A22" s="31"/>
      <c r="B22" s="32"/>
      <c r="C22" s="31" t="s">
        <v>136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 t="shared" si="1"/>
        <v>0</v>
      </c>
      <c r="R22">
        <f t="shared" si="2"/>
        <v>0</v>
      </c>
      <c r="S22" s="28" t="str">
        <f t="shared" si="3"/>
        <v/>
      </c>
      <c r="T22" t="str">
        <f t="shared" si="4"/>
        <v/>
      </c>
    </row>
    <row r="23" spans="1:20">
      <c r="A23" s="31"/>
      <c r="B23" s="32"/>
      <c r="C23" s="31" t="s">
        <v>136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 t="shared" si="1"/>
        <v>0</v>
      </c>
      <c r="R23">
        <f t="shared" si="2"/>
        <v>0</v>
      </c>
      <c r="S23" s="28" t="str">
        <f t="shared" si="3"/>
        <v/>
      </c>
      <c r="T23" t="str">
        <f t="shared" si="4"/>
        <v/>
      </c>
    </row>
    <row r="24" spans="1:20">
      <c r="A24" s="31"/>
      <c r="B24" s="32"/>
      <c r="C24" s="31" t="s">
        <v>136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 t="shared" si="1"/>
        <v>0</v>
      </c>
      <c r="R24">
        <f t="shared" si="2"/>
        <v>0</v>
      </c>
      <c r="S24" s="28" t="str">
        <f t="shared" si="3"/>
        <v/>
      </c>
      <c r="T24" t="str">
        <f t="shared" si="4"/>
        <v/>
      </c>
    </row>
    <row r="25" spans="1:20">
      <c r="A25" s="31"/>
      <c r="B25" s="32"/>
      <c r="C25" s="31" t="s">
        <v>136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 t="shared" si="1"/>
        <v>0</v>
      </c>
      <c r="R25">
        <f t="shared" si="2"/>
        <v>0</v>
      </c>
      <c r="S25" s="28" t="str">
        <f t="shared" si="3"/>
        <v/>
      </c>
      <c r="T25" t="str">
        <f t="shared" si="4"/>
        <v/>
      </c>
    </row>
    <row r="26" spans="1:20">
      <c r="A26" s="31"/>
      <c r="B26" s="32"/>
      <c r="C26" s="31" t="s">
        <v>136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 t="shared" si="1"/>
        <v>0</v>
      </c>
      <c r="R26">
        <f t="shared" si="2"/>
        <v>0</v>
      </c>
      <c r="S26" s="28" t="str">
        <f t="shared" si="3"/>
        <v/>
      </c>
      <c r="T26" t="str">
        <f t="shared" si="4"/>
        <v/>
      </c>
    </row>
    <row r="27" spans="1:20">
      <c r="A27" s="31"/>
      <c r="B27" s="32"/>
      <c r="C27" s="31" t="s">
        <v>136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 t="shared" si="1"/>
        <v>0</v>
      </c>
      <c r="R27">
        <f t="shared" si="2"/>
        <v>0</v>
      </c>
      <c r="S27" s="28" t="str">
        <f t="shared" si="3"/>
        <v/>
      </c>
      <c r="T27" t="str">
        <f t="shared" si="4"/>
        <v/>
      </c>
    </row>
    <row r="28" spans="1:20">
      <c r="A28" s="31"/>
      <c r="B28" s="32"/>
      <c r="C28" s="31" t="s">
        <v>136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 t="shared" si="1"/>
        <v>0</v>
      </c>
      <c r="R28">
        <f t="shared" si="2"/>
        <v>0</v>
      </c>
      <c r="S28" s="28" t="str">
        <f t="shared" si="3"/>
        <v/>
      </c>
      <c r="T28" t="str">
        <f t="shared" si="4"/>
        <v/>
      </c>
    </row>
    <row r="29" spans="1:20">
      <c r="A29" s="31"/>
      <c r="B29" s="32"/>
      <c r="C29" s="31" t="s">
        <v>136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 t="shared" si="1"/>
        <v>0</v>
      </c>
      <c r="R29">
        <f t="shared" si="2"/>
        <v>0</v>
      </c>
      <c r="S29" s="28" t="str">
        <f t="shared" si="3"/>
        <v/>
      </c>
      <c r="T29" t="str">
        <f t="shared" si="4"/>
        <v/>
      </c>
    </row>
    <row r="30" spans="1:20">
      <c r="A30" s="31"/>
      <c r="B30" s="32"/>
      <c r="C30" s="31" t="s">
        <v>136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28" t="str">
        <f t="shared" si="3"/>
        <v/>
      </c>
      <c r="T30" t="str">
        <f t="shared" si="4"/>
        <v/>
      </c>
    </row>
    <row r="31" spans="1:20">
      <c r="A31" s="31"/>
      <c r="B31" s="32"/>
      <c r="C31" s="31" t="s">
        <v>136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 t="shared" si="1"/>
        <v>0</v>
      </c>
      <c r="R31">
        <f t="shared" si="2"/>
        <v>0</v>
      </c>
      <c r="S31" s="28" t="str">
        <f t="shared" si="3"/>
        <v/>
      </c>
      <c r="T31" t="str">
        <f t="shared" si="4"/>
        <v/>
      </c>
    </row>
    <row r="32" spans="1:20">
      <c r="A32" s="31"/>
      <c r="B32" s="32"/>
      <c r="C32" s="31" t="s">
        <v>136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 t="shared" si="1"/>
        <v>0</v>
      </c>
      <c r="R32">
        <f t="shared" si="2"/>
        <v>0</v>
      </c>
      <c r="S32" s="28" t="str">
        <f t="shared" si="3"/>
        <v/>
      </c>
      <c r="T32" t="str">
        <f t="shared" si="4"/>
        <v/>
      </c>
    </row>
    <row r="33" spans="1:20">
      <c r="A33" s="31"/>
      <c r="B33" s="32"/>
      <c r="C33" s="31" t="s">
        <v>136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 t="shared" si="1"/>
        <v>0</v>
      </c>
      <c r="R33">
        <f t="shared" si="2"/>
        <v>0</v>
      </c>
      <c r="S33" s="28" t="str">
        <f t="shared" si="3"/>
        <v/>
      </c>
      <c r="T33" t="str">
        <f t="shared" si="4"/>
        <v/>
      </c>
    </row>
    <row r="34" spans="1:20">
      <c r="A34" s="31"/>
      <c r="B34" s="32"/>
      <c r="C34" s="31" t="s">
        <v>136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 t="shared" si="1"/>
        <v>0</v>
      </c>
      <c r="R34">
        <f t="shared" si="2"/>
        <v>0</v>
      </c>
      <c r="S34" s="28" t="str">
        <f t="shared" si="3"/>
        <v/>
      </c>
      <c r="T34" t="str">
        <f t="shared" si="4"/>
        <v/>
      </c>
    </row>
    <row r="35" spans="1:20">
      <c r="A35" s="31"/>
      <c r="B35" s="32"/>
      <c r="C35" s="31" t="s">
        <v>136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 t="shared" si="1"/>
        <v>0</v>
      </c>
      <c r="R35">
        <f t="shared" si="2"/>
        <v>0</v>
      </c>
      <c r="S35" s="28" t="str">
        <f t="shared" si="3"/>
        <v/>
      </c>
      <c r="T35" t="str">
        <f t="shared" si="4"/>
        <v/>
      </c>
    </row>
    <row r="36" spans="1:20">
      <c r="A36" s="31"/>
      <c r="B36" s="32"/>
      <c r="C36" s="31" t="s">
        <v>136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 t="shared" si="1"/>
        <v>1</v>
      </c>
      <c r="R36">
        <f t="shared" si="2"/>
        <v>1</v>
      </c>
      <c r="S36" s="28">
        <f t="shared" si="3"/>
        <v>46230</v>
      </c>
      <c r="T36" t="str">
        <f t="shared" si="4"/>
        <v>QA -&gt; DB Dev</v>
      </c>
    </row>
    <row r="37" spans="1:20">
      <c r="A37" s="31"/>
      <c r="B37" s="32"/>
      <c r="C37" s="31" t="s">
        <v>136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 t="shared" si="1"/>
        <v>0</v>
      </c>
      <c r="R37">
        <f t="shared" si="2"/>
        <v>0</v>
      </c>
      <c r="S37" s="28" t="str">
        <f t="shared" si="3"/>
        <v/>
      </c>
      <c r="T37" t="str">
        <f t="shared" si="4"/>
        <v/>
      </c>
    </row>
    <row r="38" spans="1:20">
      <c r="A38" s="31"/>
      <c r="B38" s="32"/>
      <c r="C38" s="31" t="s">
        <v>136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 t="shared" si="1"/>
        <v>0</v>
      </c>
      <c r="R38">
        <f t="shared" si="2"/>
        <v>0</v>
      </c>
      <c r="S38" s="28" t="str">
        <f t="shared" si="3"/>
        <v/>
      </c>
      <c r="T38" t="str">
        <f t="shared" si="4"/>
        <v/>
      </c>
    </row>
    <row r="39" spans="1:20">
      <c r="A39" s="31"/>
      <c r="B39" s="32"/>
      <c r="C39" s="31" t="s">
        <v>136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 t="shared" si="1"/>
        <v>0</v>
      </c>
      <c r="R39">
        <f t="shared" si="2"/>
        <v>0</v>
      </c>
      <c r="S39" s="28" t="str">
        <f t="shared" si="3"/>
        <v/>
      </c>
      <c r="T39" t="str">
        <f t="shared" si="4"/>
        <v/>
      </c>
    </row>
    <row r="40" spans="1:20">
      <c r="A40" s="31"/>
      <c r="B40" s="32"/>
      <c r="C40" s="31" t="s">
        <v>136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 t="shared" si="1"/>
        <v>1</v>
      </c>
      <c r="R40">
        <f t="shared" si="2"/>
        <v>1</v>
      </c>
      <c r="S40" s="28">
        <f t="shared" si="3"/>
        <v>46237</v>
      </c>
      <c r="T40" t="str">
        <f t="shared" si="4"/>
        <v>QA -&gt; DB Dev</v>
      </c>
    </row>
    <row r="41" spans="1:20">
      <c r="A41" s="31"/>
      <c r="B41" s="32"/>
      <c r="C41" s="31" t="s">
        <v>136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 t="shared" si="1"/>
        <v>0</v>
      </c>
      <c r="R41">
        <f t="shared" si="2"/>
        <v>0</v>
      </c>
      <c r="S41" s="28" t="str">
        <f t="shared" si="3"/>
        <v/>
      </c>
      <c r="T41" t="str">
        <f t="shared" si="4"/>
        <v/>
      </c>
    </row>
    <row r="42" spans="1:20">
      <c r="A42" s="31"/>
      <c r="B42" s="32"/>
      <c r="C42" s="31" t="s">
        <v>136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 t="shared" si="1"/>
        <v>0</v>
      </c>
      <c r="R42">
        <f t="shared" si="2"/>
        <v>0</v>
      </c>
      <c r="S42" s="28" t="str">
        <f t="shared" si="3"/>
        <v/>
      </c>
      <c r="T42" t="str">
        <f t="shared" si="4"/>
        <v/>
      </c>
    </row>
    <row r="43" spans="1:20">
      <c r="A43" s="31"/>
      <c r="B43" s="32"/>
      <c r="C43" s="31" t="s">
        <v>136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 t="shared" si="1"/>
        <v>0</v>
      </c>
      <c r="R43">
        <f t="shared" si="2"/>
        <v>0</v>
      </c>
      <c r="S43" s="28" t="str">
        <f t="shared" si="3"/>
        <v/>
      </c>
      <c r="T43" t="str">
        <f t="shared" si="4"/>
        <v/>
      </c>
    </row>
    <row r="44" spans="1:20">
      <c r="A44" s="31"/>
      <c r="B44" s="32"/>
      <c r="C44" s="31" t="s">
        <v>136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 t="shared" si="1"/>
        <v>0</v>
      </c>
      <c r="R44">
        <f t="shared" si="2"/>
        <v>0</v>
      </c>
      <c r="S44" s="28" t="str">
        <f t="shared" si="3"/>
        <v/>
      </c>
      <c r="T44" t="str">
        <f t="shared" si="4"/>
        <v/>
      </c>
    </row>
    <row r="45" spans="1:20">
      <c r="A45" s="31"/>
      <c r="B45" s="32"/>
      <c r="C45" s="31" t="s">
        <v>136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 t="shared" si="1"/>
        <v>0</v>
      </c>
      <c r="R45">
        <f t="shared" si="2"/>
        <v>0</v>
      </c>
      <c r="S45" s="28" t="str">
        <f t="shared" si="3"/>
        <v/>
      </c>
      <c r="T45" t="str">
        <f t="shared" si="4"/>
        <v/>
      </c>
    </row>
    <row r="46" spans="1:20">
      <c r="A46" s="31"/>
      <c r="B46" s="32"/>
      <c r="C46" s="31" t="s">
        <v>136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 t="shared" si="1"/>
        <v>0</v>
      </c>
      <c r="R46">
        <f t="shared" si="2"/>
        <v>0</v>
      </c>
      <c r="S46" s="28" t="str">
        <f t="shared" si="3"/>
        <v/>
      </c>
      <c r="T46" t="str">
        <f t="shared" si="4"/>
        <v/>
      </c>
    </row>
    <row r="47" spans="1:20">
      <c r="A47" s="31"/>
      <c r="B47" s="32"/>
      <c r="C47" s="31" t="s">
        <v>136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 t="shared" si="1"/>
        <v>0</v>
      </c>
      <c r="R47">
        <f t="shared" si="2"/>
        <v>0</v>
      </c>
      <c r="S47" s="28" t="str">
        <f t="shared" si="3"/>
        <v/>
      </c>
      <c r="T47" t="str">
        <f t="shared" si="4"/>
        <v/>
      </c>
    </row>
    <row r="48" spans="1:20">
      <c r="A48" s="31"/>
      <c r="B48" s="32"/>
      <c r="C48" s="31" t="s">
        <v>136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 t="shared" si="1"/>
        <v>0</v>
      </c>
      <c r="R48">
        <f t="shared" si="2"/>
        <v>0</v>
      </c>
      <c r="S48" s="28" t="str">
        <f t="shared" si="3"/>
        <v/>
      </c>
      <c r="T48" t="str">
        <f t="shared" si="4"/>
        <v/>
      </c>
    </row>
    <row r="49" spans="1:20">
      <c r="A49" s="31"/>
      <c r="B49" s="32"/>
      <c r="C49" s="31" t="s">
        <v>136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 t="shared" si="1"/>
        <v>0</v>
      </c>
      <c r="R49">
        <f t="shared" si="2"/>
        <v>0</v>
      </c>
      <c r="S49" s="28" t="str">
        <f t="shared" si="3"/>
        <v/>
      </c>
      <c r="T49" t="str">
        <f t="shared" si="4"/>
        <v/>
      </c>
    </row>
    <row r="50" spans="1:20">
      <c r="A50" s="31"/>
      <c r="B50" s="32"/>
      <c r="C50" s="31" t="s">
        <v>136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 t="shared" si="1"/>
        <v>0</v>
      </c>
      <c r="R50">
        <f t="shared" si="2"/>
        <v>0</v>
      </c>
      <c r="S50" s="28" t="str">
        <f t="shared" si="3"/>
        <v/>
      </c>
      <c r="T50" t="str">
        <f t="shared" si="4"/>
        <v/>
      </c>
    </row>
    <row r="51" spans="1:20">
      <c r="A51" s="31"/>
      <c r="B51" s="32"/>
      <c r="C51" s="31" t="s">
        <v>136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 t="shared" si="1"/>
        <v>0</v>
      </c>
      <c r="R51">
        <f t="shared" si="2"/>
        <v>0</v>
      </c>
      <c r="S51" s="28" t="str">
        <f t="shared" si="3"/>
        <v/>
      </c>
      <c r="T51" t="str">
        <f t="shared" si="4"/>
        <v/>
      </c>
    </row>
    <row r="52" spans="1:20">
      <c r="A52" s="31"/>
      <c r="B52" s="32"/>
      <c r="C52" s="31" t="s">
        <v>136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 t="shared" si="1"/>
        <v>0</v>
      </c>
      <c r="R52">
        <f t="shared" si="2"/>
        <v>0</v>
      </c>
      <c r="S52" s="28" t="str">
        <f t="shared" si="3"/>
        <v/>
      </c>
      <c r="T52" t="str">
        <f t="shared" si="4"/>
        <v/>
      </c>
    </row>
    <row r="53" spans="1:20">
      <c r="A53" s="31"/>
      <c r="B53" s="32"/>
      <c r="C53" s="31" t="s">
        <v>136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 t="shared" si="1"/>
        <v>0</v>
      </c>
      <c r="R53">
        <f t="shared" si="2"/>
        <v>0</v>
      </c>
      <c r="S53" s="28" t="str">
        <f t="shared" si="3"/>
        <v/>
      </c>
      <c r="T53" t="str">
        <f t="shared" si="4"/>
        <v/>
      </c>
    </row>
    <row r="54" spans="1:20">
      <c r="A54" s="31"/>
      <c r="B54" s="32"/>
      <c r="C54" s="31" t="s">
        <v>136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 t="shared" si="1"/>
        <v>0</v>
      </c>
      <c r="R54">
        <f t="shared" si="2"/>
        <v>0</v>
      </c>
      <c r="S54" s="28" t="str">
        <f t="shared" si="3"/>
        <v/>
      </c>
      <c r="T54" t="str">
        <f t="shared" si="4"/>
        <v/>
      </c>
    </row>
    <row r="55" spans="1:20">
      <c r="A55" s="31"/>
      <c r="B55" s="32"/>
      <c r="C55" s="31" t="s">
        <v>136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 t="shared" si="1"/>
        <v>0</v>
      </c>
      <c r="R55">
        <f t="shared" si="2"/>
        <v>0</v>
      </c>
      <c r="S55" s="28" t="str">
        <f t="shared" si="3"/>
        <v/>
      </c>
      <c r="T55" t="str">
        <f t="shared" si="4"/>
        <v/>
      </c>
    </row>
    <row r="56" spans="1:20">
      <c r="A56" s="31"/>
      <c r="B56" s="32"/>
      <c r="C56" s="31" t="s">
        <v>136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 t="shared" si="1"/>
        <v>0</v>
      </c>
      <c r="R56">
        <f t="shared" si="2"/>
        <v>0</v>
      </c>
      <c r="S56" s="28" t="str">
        <f t="shared" si="3"/>
        <v/>
      </c>
      <c r="T56" t="str">
        <f t="shared" si="4"/>
        <v/>
      </c>
    </row>
    <row r="57" spans="1:20">
      <c r="A57" s="31"/>
      <c r="B57" s="32"/>
      <c r="C57" s="31" t="s">
        <v>136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 t="shared" si="1"/>
        <v>0</v>
      </c>
      <c r="R57">
        <f t="shared" si="2"/>
        <v>0</v>
      </c>
      <c r="S57" s="28" t="str">
        <f t="shared" si="3"/>
        <v/>
      </c>
      <c r="T57" t="str">
        <f t="shared" si="4"/>
        <v/>
      </c>
    </row>
    <row r="58" spans="1:20">
      <c r="A58" s="31"/>
      <c r="B58" s="32"/>
      <c r="C58" s="31" t="s">
        <v>136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 t="shared" si="1"/>
        <v>0</v>
      </c>
      <c r="R58">
        <f t="shared" si="2"/>
        <v>0</v>
      </c>
      <c r="S58" s="28" t="str">
        <f t="shared" si="3"/>
        <v/>
      </c>
      <c r="T58" t="str">
        <f t="shared" si="4"/>
        <v/>
      </c>
    </row>
    <row r="59" spans="1:20">
      <c r="A59" s="31"/>
      <c r="B59" s="32"/>
      <c r="C59" s="31" t="s">
        <v>136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 t="shared" si="1"/>
        <v>0</v>
      </c>
      <c r="R59">
        <f t="shared" si="2"/>
        <v>0</v>
      </c>
      <c r="S59" s="28" t="str">
        <f t="shared" si="3"/>
        <v/>
      </c>
      <c r="T59" t="str">
        <f t="shared" si="4"/>
        <v/>
      </c>
    </row>
    <row r="60" spans="1:20">
      <c r="A60" s="31"/>
      <c r="B60" s="32"/>
      <c r="C60" s="31" t="s">
        <v>136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 t="shared" si="1"/>
        <v>0</v>
      </c>
      <c r="R60">
        <f t="shared" si="2"/>
        <v>0</v>
      </c>
      <c r="S60" s="28" t="str">
        <f t="shared" si="3"/>
        <v/>
      </c>
      <c r="T60" t="str">
        <f t="shared" si="4"/>
        <v/>
      </c>
    </row>
    <row r="61" spans="1:20">
      <c r="A61" s="31"/>
      <c r="B61" s="32"/>
      <c r="C61" s="31" t="s">
        <v>136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 t="shared" si="1"/>
        <v>0</v>
      </c>
      <c r="R61">
        <f t="shared" si="2"/>
        <v>0</v>
      </c>
      <c r="S61" s="28" t="str">
        <f t="shared" si="3"/>
        <v/>
      </c>
      <c r="T61" t="str">
        <f t="shared" si="4"/>
        <v/>
      </c>
    </row>
    <row r="62" spans="1:20">
      <c r="A62" s="31"/>
      <c r="B62" s="32"/>
      <c r="C62" s="31" t="s">
        <v>136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 t="shared" si="1"/>
        <v>0</v>
      </c>
      <c r="R62">
        <f t="shared" si="2"/>
        <v>0</v>
      </c>
      <c r="S62" s="28" t="str">
        <f t="shared" si="3"/>
        <v/>
      </c>
      <c r="T62" t="str">
        <f t="shared" si="4"/>
        <v/>
      </c>
    </row>
    <row r="63" spans="1:20">
      <c r="A63" s="31"/>
      <c r="B63" s="32"/>
      <c r="C63" s="31" t="s">
        <v>136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 t="shared" si="1"/>
        <v>0</v>
      </c>
      <c r="R63">
        <f t="shared" si="2"/>
        <v>0</v>
      </c>
      <c r="S63" s="28" t="str">
        <f t="shared" si="3"/>
        <v/>
      </c>
      <c r="T63" t="str">
        <f t="shared" si="4"/>
        <v/>
      </c>
    </row>
    <row r="64" spans="1:20">
      <c r="A64" s="31"/>
      <c r="B64" s="32"/>
      <c r="C64" s="31" t="s">
        <v>136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 t="shared" si="1"/>
        <v>0</v>
      </c>
      <c r="R64">
        <f t="shared" si="2"/>
        <v>0</v>
      </c>
      <c r="S64" s="28" t="str">
        <f t="shared" si="3"/>
        <v/>
      </c>
      <c r="T64" t="str">
        <f t="shared" si="4"/>
        <v/>
      </c>
    </row>
    <row r="65" spans="1:20">
      <c r="A65" s="31"/>
      <c r="B65" s="32"/>
      <c r="C65" s="31" t="s">
        <v>136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 t="shared" si="1"/>
        <v>0</v>
      </c>
      <c r="R65">
        <f t="shared" si="2"/>
        <v>0</v>
      </c>
      <c r="S65" s="28" t="str">
        <f t="shared" si="3"/>
        <v/>
      </c>
      <c r="T65" t="str">
        <f t="shared" si="4"/>
        <v/>
      </c>
    </row>
    <row r="66" spans="1:20">
      <c r="A66" s="31"/>
      <c r="B66" s="32"/>
      <c r="C66" s="31" t="s">
        <v>136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 t="shared" si="1"/>
        <v>0</v>
      </c>
      <c r="R66">
        <f t="shared" si="2"/>
        <v>0</v>
      </c>
      <c r="S66" s="28" t="str">
        <f t="shared" si="3"/>
        <v/>
      </c>
      <c r="T66" t="str">
        <f t="shared" si="4"/>
        <v/>
      </c>
    </row>
    <row r="67" spans="1:20">
      <c r="A67" s="31"/>
      <c r="B67" s="32"/>
      <c r="C67" s="31" t="s">
        <v>136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28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136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5"/>
        <v/>
      </c>
      <c r="P68" t="str">
        <f>'Combined Delivery Data'!B66</f>
        <v>RPT_02_PSC Wire Down Response Time</v>
      </c>
      <c r="Q68">
        <f t="shared" si="6"/>
        <v>0</v>
      </c>
      <c r="R68">
        <f t="shared" si="7"/>
        <v>0</v>
      </c>
      <c r="S68" s="28" t="str">
        <f t="shared" si="8"/>
        <v/>
      </c>
      <c r="T68" t="str">
        <f t="shared" si="9"/>
        <v/>
      </c>
    </row>
    <row r="69" spans="1:20">
      <c r="A69" s="31"/>
      <c r="B69" s="32"/>
      <c r="C69" s="31" t="s">
        <v>136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5"/>
        <v/>
      </c>
      <c r="P69" t="str">
        <f>'Combined Delivery Data'!B67</f>
        <v>RPT_02_Hazardous Above Ground Leak</v>
      </c>
      <c r="Q69">
        <f t="shared" si="6"/>
        <v>0</v>
      </c>
      <c r="R69">
        <f t="shared" si="7"/>
        <v>0</v>
      </c>
      <c r="S69" s="28" t="str">
        <f t="shared" si="8"/>
        <v/>
      </c>
      <c r="T69" t="str">
        <f t="shared" si="9"/>
        <v/>
      </c>
    </row>
    <row r="70" spans="1:20">
      <c r="A70" s="31"/>
      <c r="B70" s="32"/>
      <c r="C70" s="31" t="s">
        <v>136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5"/>
        <v/>
      </c>
      <c r="P70" t="str">
        <f>'Combined Delivery Data'!B68</f>
        <v>RPT_02_AMI Contractor Completion Report</v>
      </c>
      <c r="Q70">
        <f t="shared" si="6"/>
        <v>0</v>
      </c>
      <c r="R70">
        <f t="shared" si="7"/>
        <v>0</v>
      </c>
      <c r="S70" s="28" t="str">
        <f t="shared" si="8"/>
        <v/>
      </c>
      <c r="T70" t="str">
        <f t="shared" si="9"/>
        <v/>
      </c>
    </row>
    <row r="71" spans="1:20">
      <c r="A71" s="31"/>
      <c r="B71" s="32"/>
      <c r="C71" s="31" t="s">
        <v>136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5"/>
        <v/>
      </c>
      <c r="P71" t="str">
        <f>'Combined Delivery Data'!B69</f>
        <v>RPT_02_Collection Statistic</v>
      </c>
      <c r="Q71">
        <f t="shared" si="6"/>
        <v>0</v>
      </c>
      <c r="R71">
        <f t="shared" si="7"/>
        <v>0</v>
      </c>
      <c r="S71" s="28" t="str">
        <f t="shared" si="8"/>
        <v/>
      </c>
      <c r="T71" t="str">
        <f t="shared" si="9"/>
        <v/>
      </c>
    </row>
    <row r="72" spans="1:20">
      <c r="A72" s="31"/>
      <c r="B72" s="32"/>
      <c r="C72" s="31" t="s">
        <v>136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5"/>
        <v/>
      </c>
      <c r="P72" t="str">
        <f>'Combined Delivery Data'!B70</f>
        <v>RPT_02_First and Last Job</v>
      </c>
      <c r="Q72">
        <f t="shared" si="6"/>
        <v>0</v>
      </c>
      <c r="R72">
        <f t="shared" si="7"/>
        <v>0</v>
      </c>
      <c r="S72" s="28" t="str">
        <f t="shared" si="8"/>
        <v/>
      </c>
      <c r="T72" t="str">
        <f t="shared" si="9"/>
        <v/>
      </c>
    </row>
    <row r="73" spans="1:20">
      <c r="A73" s="31"/>
      <c r="B73" s="32"/>
      <c r="C73" s="31" t="s">
        <v>136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5"/>
        <v/>
      </c>
      <c r="P73" t="str">
        <f>'Combined Delivery Data'!B71</f>
        <v>RPT_02_Rate Class</v>
      </c>
      <c r="Q73">
        <f t="shared" si="6"/>
        <v>0</v>
      </c>
      <c r="R73">
        <f t="shared" si="7"/>
        <v>0</v>
      </c>
      <c r="S73" s="28" t="str">
        <f t="shared" si="8"/>
        <v/>
      </c>
      <c r="T73" t="str">
        <f t="shared" si="9"/>
        <v/>
      </c>
    </row>
    <row r="74" spans="1:20">
      <c r="A74" s="31"/>
      <c r="B74" s="32"/>
      <c r="C74" s="31" t="s">
        <v>136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5"/>
        <v/>
      </c>
      <c r="P74" t="str">
        <f>'Combined Delivery Data'!B72</f>
        <v>RPT_04_Leak Recheck Times</v>
      </c>
      <c r="Q74">
        <f t="shared" si="6"/>
        <v>0</v>
      </c>
      <c r="R74">
        <f t="shared" si="7"/>
        <v>0</v>
      </c>
      <c r="S74" s="28" t="str">
        <f t="shared" si="8"/>
        <v/>
      </c>
      <c r="T74" t="str">
        <f t="shared" si="9"/>
        <v/>
      </c>
    </row>
    <row r="75" spans="1:20">
      <c r="A75" s="31"/>
      <c r="B75" s="32"/>
      <c r="C75" s="31" t="s">
        <v>136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5"/>
        <v/>
      </c>
      <c r="P75">
        <f>'Combined Delivery Data'!B73</f>
        <v>0</v>
      </c>
      <c r="Q75">
        <f t="shared" si="6"/>
        <v>0</v>
      </c>
      <c r="R75">
        <f t="shared" si="7"/>
        <v>496</v>
      </c>
      <c r="S75" s="28">
        <f t="shared" si="8"/>
        <v>0</v>
      </c>
      <c r="T75" t="str">
        <f t="shared" si="9"/>
        <v xml:space="preserve"> -&gt; </v>
      </c>
    </row>
    <row r="76" spans="1:20">
      <c r="A76" s="31"/>
      <c r="B76" s="32"/>
      <c r="C76" s="31" t="s">
        <v>136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5"/>
        <v/>
      </c>
      <c r="P76">
        <f>'Combined Delivery Data'!B74</f>
        <v>0</v>
      </c>
      <c r="Q76">
        <f t="shared" si="6"/>
        <v>0</v>
      </c>
      <c r="R76">
        <f t="shared" si="7"/>
        <v>496</v>
      </c>
      <c r="S76" s="28">
        <f t="shared" si="8"/>
        <v>0</v>
      </c>
      <c r="T76" t="str">
        <f t="shared" si="9"/>
        <v xml:space="preserve"> -&gt; </v>
      </c>
    </row>
    <row r="77" spans="1:20">
      <c r="A77" s="31"/>
      <c r="B77" s="32"/>
      <c r="C77" s="31" t="s">
        <v>136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5"/>
        <v/>
      </c>
      <c r="P77">
        <f>'Combined Delivery Data'!B75</f>
        <v>0</v>
      </c>
      <c r="Q77">
        <f t="shared" si="6"/>
        <v>0</v>
      </c>
      <c r="R77">
        <f t="shared" si="7"/>
        <v>496</v>
      </c>
      <c r="S77" s="28">
        <f t="shared" si="8"/>
        <v>0</v>
      </c>
      <c r="T77" t="str">
        <f t="shared" si="9"/>
        <v xml:space="preserve"> -&gt; </v>
      </c>
    </row>
    <row r="78" spans="1:20">
      <c r="A78" s="31"/>
      <c r="B78" s="32"/>
      <c r="C78" s="31" t="s">
        <v>136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5"/>
        <v/>
      </c>
      <c r="P78">
        <f>'Combined Delivery Data'!B76</f>
        <v>0</v>
      </c>
      <c r="Q78">
        <f t="shared" si="6"/>
        <v>0</v>
      </c>
      <c r="R78">
        <f t="shared" si="7"/>
        <v>496</v>
      </c>
      <c r="S78" s="28">
        <f t="shared" si="8"/>
        <v>0</v>
      </c>
      <c r="T78" t="str">
        <f t="shared" si="9"/>
        <v xml:space="preserve"> -&gt; </v>
      </c>
    </row>
    <row r="79" spans="1:20">
      <c r="A79" s="31"/>
      <c r="B79" s="32"/>
      <c r="C79" s="31" t="s">
        <v>136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5"/>
        <v/>
      </c>
      <c r="P79">
        <f>'Combined Delivery Data'!B77</f>
        <v>0</v>
      </c>
      <c r="Q79">
        <f t="shared" si="6"/>
        <v>0</v>
      </c>
      <c r="R79">
        <f t="shared" si="7"/>
        <v>496</v>
      </c>
      <c r="S79" s="28">
        <f t="shared" si="8"/>
        <v>0</v>
      </c>
      <c r="T79" t="str">
        <f t="shared" si="9"/>
        <v xml:space="preserve"> -&gt; </v>
      </c>
    </row>
    <row r="80" spans="1:20">
      <c r="A80" s="31"/>
      <c r="B80" s="32"/>
      <c r="C80" s="31" t="s">
        <v>136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5"/>
        <v/>
      </c>
      <c r="P80">
        <f>'Combined Delivery Data'!B78</f>
        <v>0</v>
      </c>
      <c r="Q80">
        <f t="shared" si="6"/>
        <v>0</v>
      </c>
      <c r="R80">
        <f t="shared" si="7"/>
        <v>496</v>
      </c>
      <c r="S80" s="28">
        <f t="shared" si="8"/>
        <v>0</v>
      </c>
      <c r="T80" t="str">
        <f t="shared" si="9"/>
        <v xml:space="preserve"> -&gt; </v>
      </c>
    </row>
    <row r="81" spans="1:20">
      <c r="A81" s="31"/>
      <c r="B81" s="32"/>
      <c r="C81" s="31" t="s">
        <v>136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5"/>
        <v/>
      </c>
      <c r="P81">
        <f>'Combined Delivery Data'!B79</f>
        <v>0</v>
      </c>
      <c r="Q81">
        <f t="shared" si="6"/>
        <v>0</v>
      </c>
      <c r="R81">
        <f t="shared" si="7"/>
        <v>496</v>
      </c>
      <c r="S81" s="28">
        <f t="shared" si="8"/>
        <v>0</v>
      </c>
      <c r="T81" t="str">
        <f t="shared" si="9"/>
        <v xml:space="preserve"> -&gt; </v>
      </c>
    </row>
    <row r="82" spans="1:20">
      <c r="A82" s="31"/>
      <c r="B82" s="32"/>
      <c r="C82" s="31" t="s">
        <v>136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5"/>
        <v/>
      </c>
      <c r="P82">
        <f>'Combined Delivery Data'!B80</f>
        <v>0</v>
      </c>
      <c r="Q82">
        <f t="shared" si="6"/>
        <v>0</v>
      </c>
      <c r="R82">
        <f t="shared" si="7"/>
        <v>496</v>
      </c>
      <c r="S82" s="28">
        <f t="shared" si="8"/>
        <v>0</v>
      </c>
      <c r="T82" t="str">
        <f t="shared" si="9"/>
        <v xml:space="preserve"> -&gt; </v>
      </c>
    </row>
    <row r="83" spans="1:20">
      <c r="A83" s="31"/>
      <c r="B83" s="32"/>
      <c r="C83" s="31" t="s">
        <v>136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5"/>
        <v/>
      </c>
      <c r="P83">
        <f>'Combined Delivery Data'!B81</f>
        <v>0</v>
      </c>
      <c r="Q83">
        <f t="shared" si="6"/>
        <v>0</v>
      </c>
      <c r="R83">
        <f t="shared" si="7"/>
        <v>496</v>
      </c>
      <c r="S83" s="28">
        <f t="shared" si="8"/>
        <v>0</v>
      </c>
      <c r="T83" t="str">
        <f t="shared" si="9"/>
        <v xml:space="preserve"> -&gt; </v>
      </c>
    </row>
    <row r="84" spans="1:20">
      <c r="A84" s="31"/>
      <c r="B84" s="32"/>
      <c r="C84" s="31" t="s">
        <v>136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5"/>
        <v/>
      </c>
      <c r="P84">
        <f>'Combined Delivery Data'!B82</f>
        <v>0</v>
      </c>
      <c r="Q84">
        <f t="shared" si="6"/>
        <v>0</v>
      </c>
      <c r="R84">
        <f t="shared" si="7"/>
        <v>496</v>
      </c>
      <c r="S84" s="28">
        <f t="shared" si="8"/>
        <v>0</v>
      </c>
      <c r="T84" t="str">
        <f t="shared" si="9"/>
        <v xml:space="preserve"> -&gt; </v>
      </c>
    </row>
    <row r="85" spans="1:20">
      <c r="A85" s="31"/>
      <c r="B85" s="32"/>
      <c r="C85" s="31" t="s">
        <v>136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5"/>
        <v/>
      </c>
      <c r="P85">
        <f>'Combined Delivery Data'!B83</f>
        <v>0</v>
      </c>
      <c r="Q85">
        <f t="shared" si="6"/>
        <v>0</v>
      </c>
      <c r="R85">
        <f t="shared" si="7"/>
        <v>496</v>
      </c>
      <c r="S85" s="28">
        <f t="shared" si="8"/>
        <v>0</v>
      </c>
      <c r="T85" t="str">
        <f t="shared" si="9"/>
        <v xml:space="preserve"> -&gt; </v>
      </c>
    </row>
    <row r="86" spans="1:20">
      <c r="A86" s="31"/>
      <c r="B86" s="32"/>
      <c r="C86" s="31" t="s">
        <v>136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5"/>
        <v/>
      </c>
      <c r="P86">
        <f>'Combined Delivery Data'!B84</f>
        <v>0</v>
      </c>
      <c r="Q86">
        <f t="shared" si="6"/>
        <v>0</v>
      </c>
      <c r="R86">
        <f t="shared" si="7"/>
        <v>496</v>
      </c>
      <c r="S86" s="28">
        <f t="shared" si="8"/>
        <v>0</v>
      </c>
      <c r="T86" t="str">
        <f t="shared" si="9"/>
        <v xml:space="preserve"> -&gt; </v>
      </c>
    </row>
    <row r="87" spans="1:20">
      <c r="A87" s="31"/>
      <c r="B87" s="32"/>
      <c r="C87" s="31" t="s">
        <v>136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5"/>
        <v/>
      </c>
      <c r="P87">
        <f>'Combined Delivery Data'!B85</f>
        <v>0</v>
      </c>
      <c r="Q87">
        <f t="shared" si="6"/>
        <v>0</v>
      </c>
      <c r="R87">
        <f t="shared" si="7"/>
        <v>496</v>
      </c>
      <c r="S87" s="28">
        <f t="shared" si="8"/>
        <v>0</v>
      </c>
      <c r="T87" t="str">
        <f t="shared" si="9"/>
        <v xml:space="preserve"> -&gt; </v>
      </c>
    </row>
    <row r="88" spans="1:20">
      <c r="A88" s="31"/>
      <c r="B88" s="32"/>
      <c r="C88" s="31" t="s">
        <v>136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5"/>
        <v/>
      </c>
      <c r="P88">
        <f>'Combined Delivery Data'!B86</f>
        <v>0</v>
      </c>
      <c r="Q88">
        <f t="shared" si="6"/>
        <v>0</v>
      </c>
      <c r="R88">
        <f t="shared" si="7"/>
        <v>496</v>
      </c>
      <c r="S88" s="28">
        <f t="shared" si="8"/>
        <v>0</v>
      </c>
      <c r="T88" t="str">
        <f t="shared" si="9"/>
        <v xml:space="preserve"> -&gt; </v>
      </c>
    </row>
    <row r="89" spans="1:20">
      <c r="A89" s="31"/>
      <c r="B89" s="32"/>
      <c r="C89" s="31" t="s">
        <v>136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5"/>
        <v/>
      </c>
      <c r="P89">
        <f>'Combined Delivery Data'!B87</f>
        <v>0</v>
      </c>
      <c r="Q89">
        <f t="shared" si="6"/>
        <v>0</v>
      </c>
      <c r="R89">
        <f t="shared" si="7"/>
        <v>496</v>
      </c>
      <c r="S89" s="28">
        <f t="shared" si="8"/>
        <v>0</v>
      </c>
      <c r="T89" t="str">
        <f t="shared" si="9"/>
        <v xml:space="preserve"> -&gt; </v>
      </c>
    </row>
    <row r="90" spans="1:20">
      <c r="A90" s="31"/>
      <c r="B90" s="32"/>
      <c r="C90" s="31" t="s">
        <v>136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5"/>
        <v/>
      </c>
      <c r="P90">
        <f>'Combined Delivery Data'!B88</f>
        <v>0</v>
      </c>
      <c r="Q90">
        <f t="shared" si="6"/>
        <v>0</v>
      </c>
      <c r="R90">
        <f t="shared" si="7"/>
        <v>496</v>
      </c>
      <c r="S90" s="28">
        <f t="shared" si="8"/>
        <v>0</v>
      </c>
      <c r="T90" t="str">
        <f t="shared" si="9"/>
        <v xml:space="preserve"> -&gt; </v>
      </c>
    </row>
    <row r="91" spans="1:20">
      <c r="A91" s="31"/>
      <c r="B91" s="32"/>
      <c r="C91" s="31" t="s">
        <v>136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5"/>
        <v/>
      </c>
      <c r="P91">
        <f>'Combined Delivery Data'!B89</f>
        <v>0</v>
      </c>
      <c r="Q91">
        <f t="shared" si="6"/>
        <v>0</v>
      </c>
      <c r="R91">
        <f t="shared" si="7"/>
        <v>496</v>
      </c>
      <c r="S91" s="28">
        <f t="shared" si="8"/>
        <v>0</v>
      </c>
      <c r="T91" t="str">
        <f t="shared" si="9"/>
        <v xml:space="preserve"> -&gt; </v>
      </c>
    </row>
    <row r="92" spans="1:20">
      <c r="A92" s="31"/>
      <c r="B92" s="32"/>
      <c r="C92" s="31" t="s">
        <v>136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5"/>
        <v/>
      </c>
      <c r="P92">
        <f>'Combined Delivery Data'!B90</f>
        <v>0</v>
      </c>
      <c r="Q92">
        <f t="shared" si="6"/>
        <v>0</v>
      </c>
      <c r="R92">
        <f t="shared" si="7"/>
        <v>496</v>
      </c>
      <c r="S92" s="28">
        <f t="shared" si="8"/>
        <v>0</v>
      </c>
      <c r="T92" t="str">
        <f t="shared" si="9"/>
        <v xml:space="preserve"> -&gt; </v>
      </c>
    </row>
    <row r="93" spans="1:20">
      <c r="A93" s="31"/>
      <c r="B93" s="32"/>
      <c r="C93" s="31" t="s">
        <v>136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5"/>
        <v/>
      </c>
      <c r="P93">
        <f>'Combined Delivery Data'!B91</f>
        <v>0</v>
      </c>
      <c r="Q93">
        <f t="shared" si="6"/>
        <v>0</v>
      </c>
      <c r="R93">
        <f t="shared" si="7"/>
        <v>496</v>
      </c>
      <c r="S93" s="28">
        <f t="shared" si="8"/>
        <v>0</v>
      </c>
      <c r="T93" t="str">
        <f t="shared" si="9"/>
        <v xml:space="preserve"> -&gt; </v>
      </c>
    </row>
    <row r="94" spans="1:20">
      <c r="A94" s="31"/>
      <c r="B94" s="32"/>
      <c r="C94" s="31" t="s">
        <v>136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5"/>
        <v/>
      </c>
      <c r="P94">
        <f>'Combined Delivery Data'!B92</f>
        <v>0</v>
      </c>
      <c r="Q94">
        <f t="shared" si="6"/>
        <v>0</v>
      </c>
      <c r="R94">
        <f t="shared" si="7"/>
        <v>496</v>
      </c>
      <c r="S94" s="28">
        <f t="shared" si="8"/>
        <v>0</v>
      </c>
      <c r="T94" t="str">
        <f t="shared" si="9"/>
        <v xml:space="preserve"> -&gt; </v>
      </c>
    </row>
    <row r="95" spans="1:20">
      <c r="A95" s="31"/>
      <c r="B95" s="32"/>
      <c r="C95" s="31" t="s">
        <v>136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5"/>
        <v/>
      </c>
      <c r="P95">
        <f>'Combined Delivery Data'!B93</f>
        <v>0</v>
      </c>
      <c r="Q95">
        <f t="shared" si="6"/>
        <v>0</v>
      </c>
      <c r="R95">
        <f t="shared" si="7"/>
        <v>496</v>
      </c>
      <c r="S95" s="28">
        <f t="shared" si="8"/>
        <v>0</v>
      </c>
      <c r="T95" t="str">
        <f t="shared" si="9"/>
        <v xml:space="preserve"> -&gt; </v>
      </c>
    </row>
    <row r="96" spans="1:20">
      <c r="A96" s="31"/>
      <c r="B96" s="32"/>
      <c r="C96" s="31" t="s">
        <v>136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5"/>
        <v/>
      </c>
      <c r="P96">
        <f>'Combined Delivery Data'!B94</f>
        <v>0</v>
      </c>
      <c r="Q96">
        <f t="shared" si="6"/>
        <v>0</v>
      </c>
      <c r="R96">
        <f t="shared" si="7"/>
        <v>496</v>
      </c>
      <c r="S96" s="28">
        <f t="shared" si="8"/>
        <v>0</v>
      </c>
      <c r="T96" t="str">
        <f t="shared" si="9"/>
        <v xml:space="preserve"> -&gt; </v>
      </c>
    </row>
    <row r="97" spans="1:20">
      <c r="A97" s="31"/>
      <c r="B97" s="32"/>
      <c r="C97" s="31" t="s">
        <v>136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5"/>
        <v/>
      </c>
      <c r="P97">
        <f>'Combined Delivery Data'!B95</f>
        <v>0</v>
      </c>
      <c r="Q97">
        <f t="shared" si="6"/>
        <v>0</v>
      </c>
      <c r="R97">
        <f t="shared" si="7"/>
        <v>496</v>
      </c>
      <c r="S97" s="28">
        <f t="shared" si="8"/>
        <v>0</v>
      </c>
      <c r="T97" t="str">
        <f t="shared" si="9"/>
        <v xml:space="preserve"> -&gt; </v>
      </c>
    </row>
    <row r="98" spans="1:20">
      <c r="A98" s="31"/>
      <c r="B98" s="32"/>
      <c r="C98" s="31" t="s">
        <v>136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5"/>
        <v/>
      </c>
      <c r="P98">
        <f>'Combined Delivery Data'!B96</f>
        <v>0</v>
      </c>
      <c r="Q98">
        <f t="shared" si="6"/>
        <v>0</v>
      </c>
      <c r="R98">
        <f t="shared" si="7"/>
        <v>496</v>
      </c>
      <c r="S98" s="28">
        <f t="shared" si="8"/>
        <v>0</v>
      </c>
      <c r="T98" t="str">
        <f t="shared" si="9"/>
        <v xml:space="preserve"> -&gt; </v>
      </c>
    </row>
    <row r="99" spans="1:20">
      <c r="A99" s="31"/>
      <c r="B99" s="32"/>
      <c r="C99" s="31" t="s">
        <v>136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5"/>
        <v/>
      </c>
      <c r="P99">
        <f>'Combined Delivery Data'!B97</f>
        <v>0</v>
      </c>
      <c r="Q99">
        <f t="shared" si="6"/>
        <v>0</v>
      </c>
      <c r="R99">
        <f t="shared" si="7"/>
        <v>496</v>
      </c>
      <c r="S99" s="28">
        <f t="shared" si="8"/>
        <v>0</v>
      </c>
      <c r="T99" t="str">
        <f t="shared" si="9"/>
        <v xml:space="preserve"> -&gt; </v>
      </c>
    </row>
    <row r="100" spans="1:20">
      <c r="A100" s="31"/>
      <c r="B100" s="32"/>
      <c r="C100" s="31" t="s">
        <v>136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5"/>
        <v/>
      </c>
      <c r="P100">
        <f>'Combined Delivery Data'!B98</f>
        <v>0</v>
      </c>
      <c r="Q100">
        <f t="shared" si="6"/>
        <v>0</v>
      </c>
      <c r="R100">
        <f t="shared" si="7"/>
        <v>496</v>
      </c>
      <c r="S100" s="28">
        <f t="shared" si="8"/>
        <v>0</v>
      </c>
      <c r="T100" t="str">
        <f t="shared" si="9"/>
        <v xml:space="preserve"> -&gt; </v>
      </c>
    </row>
    <row r="101" spans="1:20">
      <c r="A101" s="31"/>
      <c r="B101" s="32"/>
      <c r="C101" s="31" t="s">
        <v>136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5"/>
        <v/>
      </c>
      <c r="P101">
        <f>'Combined Delivery Data'!B99</f>
        <v>0</v>
      </c>
      <c r="Q101">
        <f t="shared" si="6"/>
        <v>0</v>
      </c>
      <c r="R101">
        <f t="shared" si="7"/>
        <v>496</v>
      </c>
      <c r="S101" s="28">
        <f t="shared" si="8"/>
        <v>0</v>
      </c>
      <c r="T101" t="str">
        <f t="shared" si="9"/>
        <v xml:space="preserve"> -&gt; </v>
      </c>
    </row>
    <row r="102" spans="1:20">
      <c r="A102" s="31"/>
      <c r="B102" s="32"/>
      <c r="C102" s="31" t="s">
        <v>136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5"/>
        <v/>
      </c>
      <c r="P102">
        <f>'Combined Delivery Data'!B100</f>
        <v>0</v>
      </c>
      <c r="Q102">
        <f t="shared" si="6"/>
        <v>0</v>
      </c>
      <c r="R102">
        <f t="shared" si="7"/>
        <v>496</v>
      </c>
      <c r="S102" s="28">
        <f t="shared" si="8"/>
        <v>0</v>
      </c>
      <c r="T102" t="str">
        <f t="shared" si="9"/>
        <v xml:space="preserve"> -&gt; </v>
      </c>
    </row>
    <row r="103" spans="1:20">
      <c r="A103" s="31"/>
      <c r="B103" s="32"/>
      <c r="C103" s="31" t="s">
        <v>136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5"/>
        <v/>
      </c>
      <c r="P103">
        <f>'Combined Delivery Data'!B101</f>
        <v>0</v>
      </c>
      <c r="Q103">
        <f t="shared" si="6"/>
        <v>0</v>
      </c>
      <c r="R103">
        <f t="shared" si="7"/>
        <v>496</v>
      </c>
      <c r="S103" s="28">
        <f t="shared" si="8"/>
        <v>0</v>
      </c>
      <c r="T103" t="str">
        <f t="shared" si="9"/>
        <v xml:space="preserve"> -&gt; </v>
      </c>
    </row>
    <row r="104" spans="1:20">
      <c r="A104" s="31"/>
      <c r="B104" s="32"/>
      <c r="C104" s="31" t="s">
        <v>136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5"/>
        <v/>
      </c>
      <c r="P104">
        <f>'Combined Delivery Data'!B102</f>
        <v>0</v>
      </c>
      <c r="Q104">
        <f t="shared" si="6"/>
        <v>0</v>
      </c>
      <c r="R104">
        <f t="shared" si="7"/>
        <v>496</v>
      </c>
      <c r="S104" s="28">
        <f t="shared" si="8"/>
        <v>0</v>
      </c>
      <c r="T104" t="str">
        <f t="shared" si="9"/>
        <v xml:space="preserve"> -&gt; </v>
      </c>
    </row>
    <row r="105" spans="1:20">
      <c r="A105" s="31"/>
      <c r="B105" s="32"/>
      <c r="C105" s="31" t="s">
        <v>136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5"/>
        <v/>
      </c>
      <c r="P105">
        <f>'Combined Delivery Data'!B103</f>
        <v>0</v>
      </c>
      <c r="Q105">
        <f t="shared" si="6"/>
        <v>0</v>
      </c>
      <c r="R105">
        <f t="shared" si="7"/>
        <v>496</v>
      </c>
      <c r="S105" s="28">
        <f t="shared" si="8"/>
        <v>0</v>
      </c>
      <c r="T105" t="str">
        <f t="shared" si="9"/>
        <v xml:space="preserve"> -&gt; </v>
      </c>
    </row>
    <row r="106" spans="1:20">
      <c r="A106" s="31"/>
      <c r="B106" s="32"/>
      <c r="C106" s="31" t="s">
        <v>136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5"/>
        <v/>
      </c>
      <c r="P106">
        <f>'Combined Delivery Data'!B104</f>
        <v>0</v>
      </c>
      <c r="Q106">
        <f t="shared" si="6"/>
        <v>0</v>
      </c>
      <c r="R106">
        <f t="shared" si="7"/>
        <v>496</v>
      </c>
      <c r="S106" s="28">
        <f t="shared" si="8"/>
        <v>0</v>
      </c>
      <c r="T106" t="str">
        <f t="shared" si="9"/>
        <v xml:space="preserve"> -&gt; </v>
      </c>
    </row>
    <row r="107" spans="1:20">
      <c r="A107" s="31"/>
      <c r="B107" s="32"/>
      <c r="C107" s="31" t="s">
        <v>136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5"/>
        <v/>
      </c>
      <c r="P107">
        <f>'Combined Delivery Data'!B105</f>
        <v>0</v>
      </c>
      <c r="Q107">
        <f t="shared" si="6"/>
        <v>0</v>
      </c>
      <c r="R107">
        <f t="shared" si="7"/>
        <v>496</v>
      </c>
      <c r="S107" s="28">
        <f t="shared" si="8"/>
        <v>0</v>
      </c>
      <c r="T107" t="str">
        <f t="shared" si="9"/>
        <v xml:space="preserve"> -&gt; </v>
      </c>
    </row>
    <row r="108" spans="1:20">
      <c r="A108" s="31"/>
      <c r="B108" s="32"/>
      <c r="C108" s="31" t="s">
        <v>136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5"/>
        <v/>
      </c>
      <c r="P108">
        <f>'Combined Delivery Data'!B106</f>
        <v>0</v>
      </c>
      <c r="Q108">
        <f t="shared" si="6"/>
        <v>0</v>
      </c>
      <c r="R108">
        <f t="shared" si="7"/>
        <v>496</v>
      </c>
      <c r="S108" s="28">
        <f t="shared" si="8"/>
        <v>0</v>
      </c>
      <c r="T108" t="str">
        <f t="shared" si="9"/>
        <v xml:space="preserve"> -&gt; </v>
      </c>
    </row>
    <row r="109" spans="1:20">
      <c r="A109" s="31"/>
      <c r="B109" s="32"/>
      <c r="C109" s="31" t="s">
        <v>136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5"/>
        <v/>
      </c>
      <c r="P109">
        <f>'Combined Delivery Data'!B107</f>
        <v>0</v>
      </c>
      <c r="Q109">
        <f t="shared" si="6"/>
        <v>0</v>
      </c>
      <c r="R109">
        <f t="shared" si="7"/>
        <v>496</v>
      </c>
      <c r="S109" s="28">
        <f t="shared" si="8"/>
        <v>0</v>
      </c>
      <c r="T109" t="str">
        <f t="shared" si="9"/>
        <v xml:space="preserve"> -&gt; </v>
      </c>
    </row>
    <row r="110" spans="1:20">
      <c r="A110" s="31"/>
      <c r="B110" s="32"/>
      <c r="C110" s="31" t="s">
        <v>136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5"/>
        <v/>
      </c>
      <c r="P110">
        <f>'Combined Delivery Data'!B108</f>
        <v>0</v>
      </c>
      <c r="Q110">
        <f t="shared" si="6"/>
        <v>0</v>
      </c>
      <c r="R110">
        <f t="shared" si="7"/>
        <v>496</v>
      </c>
      <c r="S110" s="28">
        <f t="shared" si="8"/>
        <v>0</v>
      </c>
      <c r="T110" t="str">
        <f t="shared" si="9"/>
        <v xml:space="preserve"> -&gt; </v>
      </c>
    </row>
    <row r="111" spans="1:20">
      <c r="A111" s="31"/>
      <c r="B111" s="32"/>
      <c r="C111" s="31" t="s">
        <v>136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5"/>
        <v/>
      </c>
      <c r="P111">
        <f>'Combined Delivery Data'!B109</f>
        <v>0</v>
      </c>
      <c r="Q111">
        <f t="shared" si="6"/>
        <v>0</v>
      </c>
      <c r="R111">
        <f t="shared" si="7"/>
        <v>496</v>
      </c>
      <c r="S111" s="28">
        <f t="shared" si="8"/>
        <v>0</v>
      </c>
      <c r="T111" t="str">
        <f t="shared" si="9"/>
        <v xml:space="preserve"> -&gt; </v>
      </c>
    </row>
    <row r="112" spans="1:20">
      <c r="A112" s="31"/>
      <c r="B112" s="32"/>
      <c r="C112" s="31" t="s">
        <v>136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5"/>
        <v/>
      </c>
      <c r="P112">
        <f>'Combined Delivery Data'!B110</f>
        <v>0</v>
      </c>
      <c r="Q112">
        <f t="shared" si="6"/>
        <v>0</v>
      </c>
      <c r="R112">
        <f t="shared" si="7"/>
        <v>496</v>
      </c>
      <c r="S112" s="28">
        <f t="shared" si="8"/>
        <v>0</v>
      </c>
      <c r="T112" t="str">
        <f t="shared" si="9"/>
        <v xml:space="preserve"> -&gt; </v>
      </c>
    </row>
    <row r="113" spans="1:20">
      <c r="A113" s="31"/>
      <c r="B113" s="32"/>
      <c r="C113" s="31" t="s">
        <v>136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5"/>
        <v/>
      </c>
      <c r="P113">
        <f>'Combined Delivery Data'!B111</f>
        <v>0</v>
      </c>
      <c r="Q113">
        <f t="shared" si="6"/>
        <v>0</v>
      </c>
      <c r="R113">
        <f t="shared" si="7"/>
        <v>496</v>
      </c>
      <c r="S113" s="28">
        <f t="shared" si="8"/>
        <v>0</v>
      </c>
      <c r="T113" t="str">
        <f t="shared" si="9"/>
        <v xml:space="preserve"> -&gt; </v>
      </c>
    </row>
    <row r="114" spans="1:20">
      <c r="A114" s="31"/>
      <c r="B114" s="32"/>
      <c r="C114" s="31" t="s">
        <v>136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5"/>
        <v/>
      </c>
      <c r="P114">
        <f>'Combined Delivery Data'!B112</f>
        <v>0</v>
      </c>
      <c r="Q114">
        <f t="shared" si="6"/>
        <v>0</v>
      </c>
      <c r="R114">
        <f t="shared" si="7"/>
        <v>496</v>
      </c>
      <c r="S114" s="28">
        <f t="shared" si="8"/>
        <v>0</v>
      </c>
      <c r="T114" t="str">
        <f t="shared" si="9"/>
        <v xml:space="preserve"> -&gt; </v>
      </c>
    </row>
    <row r="115" spans="1:20">
      <c r="A115" s="31"/>
      <c r="B115" s="32"/>
      <c r="C115" s="31" t="s">
        <v>136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5"/>
        <v/>
      </c>
      <c r="P115">
        <f>'Combined Delivery Data'!B113</f>
        <v>0</v>
      </c>
      <c r="Q115">
        <f t="shared" si="6"/>
        <v>0</v>
      </c>
      <c r="R115">
        <f t="shared" si="7"/>
        <v>496</v>
      </c>
      <c r="S115" s="28">
        <f t="shared" si="8"/>
        <v>0</v>
      </c>
      <c r="T115" t="str">
        <f t="shared" si="9"/>
        <v xml:space="preserve"> -&gt; </v>
      </c>
    </row>
    <row r="116" spans="1:20">
      <c r="A116" s="31"/>
      <c r="B116" s="32"/>
      <c r="C116" s="31" t="s">
        <v>136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5"/>
        <v/>
      </c>
      <c r="P116">
        <f>'Combined Delivery Data'!B114</f>
        <v>0</v>
      </c>
      <c r="Q116">
        <f t="shared" si="6"/>
        <v>0</v>
      </c>
      <c r="R116">
        <f t="shared" si="7"/>
        <v>496</v>
      </c>
      <c r="S116" s="28">
        <f t="shared" si="8"/>
        <v>0</v>
      </c>
      <c r="T116" t="str">
        <f t="shared" si="9"/>
        <v xml:space="preserve"> -&gt; </v>
      </c>
    </row>
    <row r="117" spans="1:20">
      <c r="A117" s="31"/>
      <c r="B117" s="32"/>
      <c r="C117" s="31" t="s">
        <v>136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5"/>
        <v/>
      </c>
      <c r="P117">
        <f>'Combined Delivery Data'!B115</f>
        <v>0</v>
      </c>
      <c r="Q117">
        <f t="shared" si="6"/>
        <v>0</v>
      </c>
      <c r="R117">
        <f t="shared" si="7"/>
        <v>496</v>
      </c>
      <c r="S117" s="28">
        <f t="shared" si="8"/>
        <v>0</v>
      </c>
      <c r="T117" t="str">
        <f t="shared" si="9"/>
        <v xml:space="preserve"> -&gt; </v>
      </c>
    </row>
    <row r="118" spans="1:20">
      <c r="A118" s="31"/>
      <c r="B118" s="32"/>
      <c r="C118" s="31" t="s">
        <v>136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5"/>
        <v/>
      </c>
      <c r="P118">
        <f>'Combined Delivery Data'!B116</f>
        <v>0</v>
      </c>
      <c r="Q118">
        <f t="shared" si="6"/>
        <v>0</v>
      </c>
      <c r="R118">
        <f t="shared" si="7"/>
        <v>496</v>
      </c>
      <c r="S118" s="28">
        <f t="shared" si="8"/>
        <v>0</v>
      </c>
      <c r="T118" t="str">
        <f t="shared" si="9"/>
        <v xml:space="preserve"> -&gt; </v>
      </c>
    </row>
    <row r="119" spans="1:20">
      <c r="A119" s="31"/>
      <c r="B119" s="32"/>
      <c r="C119" s="31" t="s">
        <v>136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5"/>
        <v/>
      </c>
      <c r="P119">
        <f>'Combined Delivery Data'!B117</f>
        <v>0</v>
      </c>
      <c r="Q119">
        <f t="shared" si="6"/>
        <v>0</v>
      </c>
      <c r="R119">
        <f t="shared" si="7"/>
        <v>496</v>
      </c>
      <c r="S119" s="28">
        <f t="shared" si="8"/>
        <v>0</v>
      </c>
      <c r="T119" t="str">
        <f t="shared" si="9"/>
        <v xml:space="preserve"> -&gt; </v>
      </c>
    </row>
    <row r="120" spans="1:20">
      <c r="A120" s="31"/>
      <c r="B120" s="32"/>
      <c r="C120" s="31" t="s">
        <v>136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5"/>
        <v/>
      </c>
      <c r="P120">
        <f>'Combined Delivery Data'!B118</f>
        <v>0</v>
      </c>
      <c r="Q120">
        <f t="shared" si="6"/>
        <v>0</v>
      </c>
      <c r="R120">
        <f t="shared" si="7"/>
        <v>496</v>
      </c>
      <c r="S120" s="28">
        <f t="shared" si="8"/>
        <v>0</v>
      </c>
      <c r="T120" t="str">
        <f t="shared" si="9"/>
        <v xml:space="preserve"> -&gt; </v>
      </c>
    </row>
    <row r="121" spans="1:20">
      <c r="A121" s="31"/>
      <c r="B121" s="32"/>
      <c r="C121" s="31" t="s">
        <v>136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5"/>
        <v/>
      </c>
      <c r="P121">
        <f>'Combined Delivery Data'!B119</f>
        <v>0</v>
      </c>
      <c r="Q121">
        <f t="shared" si="6"/>
        <v>0</v>
      </c>
      <c r="R121">
        <f t="shared" si="7"/>
        <v>496</v>
      </c>
      <c r="S121" s="28">
        <f t="shared" si="8"/>
        <v>0</v>
      </c>
      <c r="T121" t="str">
        <f t="shared" si="9"/>
        <v xml:space="preserve"> -&gt; </v>
      </c>
    </row>
    <row r="122" spans="1:20">
      <c r="A122" s="31"/>
      <c r="B122" s="32"/>
      <c r="C122" s="31" t="s">
        <v>136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5"/>
        <v/>
      </c>
      <c r="P122">
        <f>'Combined Delivery Data'!B120</f>
        <v>0</v>
      </c>
      <c r="Q122">
        <f t="shared" si="6"/>
        <v>0</v>
      </c>
      <c r="R122">
        <f t="shared" si="7"/>
        <v>496</v>
      </c>
      <c r="S122" s="28">
        <f t="shared" si="8"/>
        <v>0</v>
      </c>
      <c r="T122" t="str">
        <f t="shared" si="9"/>
        <v xml:space="preserve"> -&gt; </v>
      </c>
    </row>
    <row r="123" spans="1:20">
      <c r="A123" s="31"/>
      <c r="B123" s="32"/>
      <c r="C123" s="31" t="s">
        <v>136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5"/>
        <v/>
      </c>
      <c r="P123">
        <f>'Combined Delivery Data'!B121</f>
        <v>0</v>
      </c>
      <c r="Q123">
        <f t="shared" si="6"/>
        <v>0</v>
      </c>
      <c r="R123">
        <f t="shared" si="7"/>
        <v>496</v>
      </c>
      <c r="S123" s="28">
        <f t="shared" si="8"/>
        <v>0</v>
      </c>
      <c r="T123" t="str">
        <f t="shared" si="9"/>
        <v xml:space="preserve"> -&gt; </v>
      </c>
    </row>
    <row r="124" spans="1:20">
      <c r="A124" s="31"/>
      <c r="B124" s="32"/>
      <c r="C124" s="31" t="s">
        <v>136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5"/>
        <v/>
      </c>
      <c r="P124">
        <f>'Combined Delivery Data'!B122</f>
        <v>0</v>
      </c>
      <c r="Q124">
        <f t="shared" si="6"/>
        <v>0</v>
      </c>
      <c r="R124">
        <f t="shared" si="7"/>
        <v>496</v>
      </c>
      <c r="S124" s="28">
        <f t="shared" si="8"/>
        <v>0</v>
      </c>
      <c r="T124" t="str">
        <f t="shared" si="9"/>
        <v xml:space="preserve"> -&gt; </v>
      </c>
    </row>
    <row r="125" spans="1:20">
      <c r="A125" s="31"/>
      <c r="B125" s="32"/>
      <c r="C125" s="31" t="s">
        <v>136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5"/>
        <v/>
      </c>
      <c r="P125">
        <f>'Combined Delivery Data'!B123</f>
        <v>0</v>
      </c>
      <c r="Q125">
        <f t="shared" si="6"/>
        <v>0</v>
      </c>
      <c r="R125">
        <f t="shared" si="7"/>
        <v>496</v>
      </c>
      <c r="S125" s="28">
        <f t="shared" si="8"/>
        <v>0</v>
      </c>
      <c r="T125" t="str">
        <f t="shared" si="9"/>
        <v xml:space="preserve"> -&gt; </v>
      </c>
    </row>
    <row r="126" spans="1:20">
      <c r="A126" s="31"/>
      <c r="B126" s="32"/>
      <c r="C126" s="31" t="s">
        <v>136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5"/>
        <v/>
      </c>
      <c r="P126">
        <f>'Combined Delivery Data'!B124</f>
        <v>0</v>
      </c>
      <c r="Q126">
        <f t="shared" si="6"/>
        <v>0</v>
      </c>
      <c r="R126">
        <f t="shared" si="7"/>
        <v>496</v>
      </c>
      <c r="S126" s="28">
        <f t="shared" si="8"/>
        <v>0</v>
      </c>
      <c r="T126" t="str">
        <f t="shared" si="9"/>
        <v xml:space="preserve"> -&gt; </v>
      </c>
    </row>
    <row r="127" spans="1:20">
      <c r="A127" s="31"/>
      <c r="B127" s="32"/>
      <c r="C127" s="31" t="s">
        <v>136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5"/>
        <v/>
      </c>
      <c r="P127">
        <f>'Combined Delivery Data'!B125</f>
        <v>0</v>
      </c>
      <c r="Q127">
        <f t="shared" si="6"/>
        <v>0</v>
      </c>
      <c r="R127">
        <f t="shared" si="7"/>
        <v>496</v>
      </c>
      <c r="S127" s="28">
        <f t="shared" si="8"/>
        <v>0</v>
      </c>
      <c r="T127" t="str">
        <f t="shared" si="9"/>
        <v xml:space="preserve"> -&gt; </v>
      </c>
    </row>
    <row r="128" spans="1:20">
      <c r="A128" s="31"/>
      <c r="B128" s="32"/>
      <c r="C128" s="31" t="s">
        <v>136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5"/>
        <v/>
      </c>
      <c r="P128">
        <f>'Combined Delivery Data'!B126</f>
        <v>0</v>
      </c>
      <c r="Q128">
        <f t="shared" si="6"/>
        <v>0</v>
      </c>
      <c r="R128">
        <f t="shared" si="7"/>
        <v>496</v>
      </c>
      <c r="S128" s="28">
        <f t="shared" si="8"/>
        <v>0</v>
      </c>
      <c r="T128" t="str">
        <f t="shared" si="9"/>
        <v xml:space="preserve"> -&gt; </v>
      </c>
    </row>
    <row r="129" spans="1:20">
      <c r="A129" s="31"/>
      <c r="B129" s="32"/>
      <c r="C129" s="31" t="s">
        <v>136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5"/>
        <v/>
      </c>
      <c r="P129">
        <f>'Combined Delivery Data'!B127</f>
        <v>0</v>
      </c>
      <c r="Q129">
        <f t="shared" si="6"/>
        <v>0</v>
      </c>
      <c r="R129">
        <f t="shared" si="7"/>
        <v>496</v>
      </c>
      <c r="S129" s="28">
        <f t="shared" si="8"/>
        <v>0</v>
      </c>
      <c r="T129" t="str">
        <f t="shared" si="9"/>
        <v xml:space="preserve"> -&gt; </v>
      </c>
    </row>
    <row r="130" spans="1:20">
      <c r="A130" s="31"/>
      <c r="B130" s="32"/>
      <c r="C130" s="31" t="s">
        <v>136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5"/>
        <v/>
      </c>
      <c r="P130">
        <f>'Combined Delivery Data'!B128</f>
        <v>0</v>
      </c>
      <c r="Q130">
        <f t="shared" si="6"/>
        <v>0</v>
      </c>
      <c r="R130">
        <f t="shared" si="7"/>
        <v>496</v>
      </c>
      <c r="S130" s="28">
        <f t="shared" si="8"/>
        <v>0</v>
      </c>
      <c r="T130" t="str">
        <f t="shared" si="9"/>
        <v xml:space="preserve"> -&gt; </v>
      </c>
    </row>
    <row r="131" spans="1:20">
      <c r="A131" s="31"/>
      <c r="B131" s="32"/>
      <c r="C131" s="31" t="s">
        <v>136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496</v>
      </c>
      <c r="S131" s="28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136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0"/>
        <v/>
      </c>
      <c r="P132">
        <f>'Combined Delivery Data'!B130</f>
        <v>0</v>
      </c>
      <c r="Q132">
        <f t="shared" si="11"/>
        <v>0</v>
      </c>
      <c r="R132">
        <f t="shared" si="12"/>
        <v>496</v>
      </c>
      <c r="S132" s="28">
        <f t="shared" si="13"/>
        <v>0</v>
      </c>
      <c r="T132" t="str">
        <f t="shared" si="14"/>
        <v xml:space="preserve"> -&gt; </v>
      </c>
    </row>
    <row r="133" spans="1:20">
      <c r="A133" s="31"/>
      <c r="B133" s="32"/>
      <c r="C133" s="31" t="s">
        <v>136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0"/>
        <v/>
      </c>
      <c r="P133">
        <f>'Combined Delivery Data'!B131</f>
        <v>0</v>
      </c>
      <c r="Q133">
        <f t="shared" si="11"/>
        <v>0</v>
      </c>
      <c r="R133">
        <f t="shared" si="12"/>
        <v>496</v>
      </c>
      <c r="S133" s="28">
        <f t="shared" si="13"/>
        <v>0</v>
      </c>
      <c r="T133" t="str">
        <f t="shared" si="14"/>
        <v xml:space="preserve"> -&gt; </v>
      </c>
    </row>
    <row r="134" spans="1:20">
      <c r="A134" s="31"/>
      <c r="B134" s="32"/>
      <c r="C134" s="31" t="s">
        <v>136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0"/>
        <v/>
      </c>
      <c r="P134">
        <f>'Combined Delivery Data'!B132</f>
        <v>0</v>
      </c>
      <c r="Q134">
        <f t="shared" si="11"/>
        <v>0</v>
      </c>
      <c r="R134">
        <f t="shared" si="12"/>
        <v>496</v>
      </c>
      <c r="S134" s="28">
        <f t="shared" si="13"/>
        <v>0</v>
      </c>
      <c r="T134" t="str">
        <f t="shared" si="14"/>
        <v xml:space="preserve"> -&gt; </v>
      </c>
    </row>
    <row r="135" spans="1:20">
      <c r="A135" s="31"/>
      <c r="B135" s="32"/>
      <c r="C135" s="31" t="s">
        <v>136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0"/>
        <v/>
      </c>
      <c r="P135">
        <f>'Combined Delivery Data'!B133</f>
        <v>0</v>
      </c>
      <c r="Q135">
        <f t="shared" si="11"/>
        <v>0</v>
      </c>
      <c r="R135">
        <f t="shared" si="12"/>
        <v>496</v>
      </c>
      <c r="S135" s="28">
        <f t="shared" si="13"/>
        <v>0</v>
      </c>
      <c r="T135" t="str">
        <f t="shared" si="14"/>
        <v xml:space="preserve"> -&gt; </v>
      </c>
    </row>
    <row r="136" spans="1:20">
      <c r="A136" s="31"/>
      <c r="B136" s="32"/>
      <c r="C136" s="31" t="s">
        <v>136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0"/>
        <v/>
      </c>
      <c r="P136">
        <f>'Combined Delivery Data'!B134</f>
        <v>0</v>
      </c>
      <c r="Q136">
        <f t="shared" si="11"/>
        <v>0</v>
      </c>
      <c r="R136">
        <f t="shared" si="12"/>
        <v>496</v>
      </c>
      <c r="S136" s="28">
        <f t="shared" si="13"/>
        <v>0</v>
      </c>
      <c r="T136" t="str">
        <f t="shared" si="14"/>
        <v xml:space="preserve"> -&gt; </v>
      </c>
    </row>
    <row r="137" spans="1:20">
      <c r="A137" s="31"/>
      <c r="B137" s="32"/>
      <c r="C137" s="31" t="s">
        <v>136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0"/>
        <v/>
      </c>
      <c r="P137">
        <f>'Combined Delivery Data'!B135</f>
        <v>0</v>
      </c>
      <c r="Q137">
        <f t="shared" si="11"/>
        <v>0</v>
      </c>
      <c r="R137">
        <f t="shared" si="12"/>
        <v>496</v>
      </c>
      <c r="S137" s="28">
        <f t="shared" si="13"/>
        <v>0</v>
      </c>
      <c r="T137" t="str">
        <f t="shared" si="14"/>
        <v xml:space="preserve"> -&gt; </v>
      </c>
    </row>
    <row r="138" spans="1:20">
      <c r="A138" s="31"/>
      <c r="B138" s="32"/>
      <c r="C138" s="31" t="s">
        <v>136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0"/>
        <v/>
      </c>
      <c r="P138">
        <f>'Combined Delivery Data'!B136</f>
        <v>0</v>
      </c>
      <c r="Q138">
        <f t="shared" si="11"/>
        <v>0</v>
      </c>
      <c r="R138">
        <f t="shared" si="12"/>
        <v>496</v>
      </c>
      <c r="S138" s="28">
        <f t="shared" si="13"/>
        <v>0</v>
      </c>
      <c r="T138" t="str">
        <f t="shared" si="14"/>
        <v xml:space="preserve"> -&gt; </v>
      </c>
    </row>
    <row r="139" spans="1:20">
      <c r="A139" s="31"/>
      <c r="B139" s="32"/>
      <c r="C139" s="31" t="s">
        <v>136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0"/>
        <v/>
      </c>
      <c r="P139">
        <f>'Combined Delivery Data'!B137</f>
        <v>0</v>
      </c>
      <c r="Q139">
        <f t="shared" si="11"/>
        <v>0</v>
      </c>
      <c r="R139">
        <f t="shared" si="12"/>
        <v>496</v>
      </c>
      <c r="S139" s="28">
        <f t="shared" si="13"/>
        <v>0</v>
      </c>
      <c r="T139" t="str">
        <f t="shared" si="14"/>
        <v xml:space="preserve"> -&gt; </v>
      </c>
    </row>
    <row r="140" spans="1:20">
      <c r="A140" s="31"/>
      <c r="B140" s="32"/>
      <c r="C140" s="31" t="s">
        <v>136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0"/>
        <v/>
      </c>
      <c r="P140">
        <f>'Combined Delivery Data'!B138</f>
        <v>0</v>
      </c>
      <c r="Q140">
        <f t="shared" si="11"/>
        <v>0</v>
      </c>
      <c r="R140">
        <f t="shared" si="12"/>
        <v>496</v>
      </c>
      <c r="S140" s="28">
        <f t="shared" si="13"/>
        <v>0</v>
      </c>
      <c r="T140" t="str">
        <f t="shared" si="14"/>
        <v xml:space="preserve"> -&gt; </v>
      </c>
    </row>
    <row r="141" spans="1:20">
      <c r="A141" s="31"/>
      <c r="B141" s="32"/>
      <c r="C141" s="31" t="s">
        <v>136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0"/>
        <v/>
      </c>
      <c r="P141">
        <f>'Combined Delivery Data'!B139</f>
        <v>0</v>
      </c>
      <c r="Q141">
        <f t="shared" si="11"/>
        <v>0</v>
      </c>
      <c r="R141">
        <f t="shared" si="12"/>
        <v>496</v>
      </c>
      <c r="S141" s="28">
        <f t="shared" si="13"/>
        <v>0</v>
      </c>
      <c r="T141" t="str">
        <f t="shared" si="14"/>
        <v xml:space="preserve"> -&gt; </v>
      </c>
    </row>
    <row r="142" spans="1:20">
      <c r="A142" s="31"/>
      <c r="B142" s="32"/>
      <c r="C142" s="31" t="s">
        <v>136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0"/>
        <v/>
      </c>
      <c r="P142">
        <f>'Combined Delivery Data'!B140</f>
        <v>0</v>
      </c>
      <c r="Q142">
        <f t="shared" si="11"/>
        <v>0</v>
      </c>
      <c r="R142">
        <f t="shared" si="12"/>
        <v>496</v>
      </c>
      <c r="S142" s="28">
        <f t="shared" si="13"/>
        <v>0</v>
      </c>
      <c r="T142" t="str">
        <f t="shared" si="14"/>
        <v xml:space="preserve"> -&gt; </v>
      </c>
    </row>
    <row r="143" spans="1:20">
      <c r="A143" s="31"/>
      <c r="B143" s="32"/>
      <c r="C143" s="31" t="s">
        <v>136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0"/>
        <v/>
      </c>
      <c r="P143">
        <f>'Combined Delivery Data'!B141</f>
        <v>0</v>
      </c>
      <c r="Q143">
        <f t="shared" si="11"/>
        <v>0</v>
      </c>
      <c r="R143">
        <f t="shared" si="12"/>
        <v>496</v>
      </c>
      <c r="S143" s="28">
        <f t="shared" si="13"/>
        <v>0</v>
      </c>
      <c r="T143" t="str">
        <f t="shared" si="14"/>
        <v xml:space="preserve"> -&gt; </v>
      </c>
    </row>
    <row r="144" spans="1:20">
      <c r="A144" s="31"/>
      <c r="B144" s="32"/>
      <c r="C144" s="31" t="s">
        <v>136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0"/>
        <v/>
      </c>
      <c r="P144">
        <f>'Combined Delivery Data'!B142</f>
        <v>0</v>
      </c>
      <c r="Q144">
        <f t="shared" si="11"/>
        <v>0</v>
      </c>
      <c r="R144">
        <f t="shared" si="12"/>
        <v>496</v>
      </c>
      <c r="S144" s="28">
        <f t="shared" si="13"/>
        <v>0</v>
      </c>
      <c r="T144" t="str">
        <f t="shared" si="14"/>
        <v xml:space="preserve"> -&gt; </v>
      </c>
    </row>
    <row r="145" spans="1:20">
      <c r="A145" s="31"/>
      <c r="B145" s="32"/>
      <c r="C145" s="31" t="s">
        <v>136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0"/>
        <v/>
      </c>
      <c r="P145">
        <f>'Combined Delivery Data'!B143</f>
        <v>0</v>
      </c>
      <c r="Q145">
        <f t="shared" si="11"/>
        <v>0</v>
      </c>
      <c r="R145">
        <f t="shared" si="12"/>
        <v>496</v>
      </c>
      <c r="S145" s="28">
        <f t="shared" si="13"/>
        <v>0</v>
      </c>
      <c r="T145" t="str">
        <f t="shared" si="14"/>
        <v xml:space="preserve"> -&gt; </v>
      </c>
    </row>
    <row r="146" spans="1:20">
      <c r="A146" s="31"/>
      <c r="B146" s="32"/>
      <c r="C146" s="31" t="s">
        <v>136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0"/>
        <v/>
      </c>
      <c r="P146">
        <f>'Combined Delivery Data'!B144</f>
        <v>0</v>
      </c>
      <c r="Q146">
        <f t="shared" si="11"/>
        <v>0</v>
      </c>
      <c r="R146">
        <f t="shared" si="12"/>
        <v>496</v>
      </c>
      <c r="S146" s="28">
        <f t="shared" si="13"/>
        <v>0</v>
      </c>
      <c r="T146" t="str">
        <f t="shared" si="14"/>
        <v xml:space="preserve"> -&gt; </v>
      </c>
    </row>
    <row r="147" spans="1:20">
      <c r="A147" s="31"/>
      <c r="B147" s="32"/>
      <c r="C147" s="31" t="s">
        <v>136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0"/>
        <v/>
      </c>
      <c r="P147">
        <f>'Combined Delivery Data'!B145</f>
        <v>0</v>
      </c>
      <c r="Q147">
        <f t="shared" si="11"/>
        <v>0</v>
      </c>
      <c r="R147">
        <f t="shared" si="12"/>
        <v>496</v>
      </c>
      <c r="S147" s="28">
        <f t="shared" si="13"/>
        <v>0</v>
      </c>
      <c r="T147" t="str">
        <f t="shared" si="14"/>
        <v xml:space="preserve"> -&gt; </v>
      </c>
    </row>
    <row r="148" spans="1:20">
      <c r="A148" s="31"/>
      <c r="B148" s="32"/>
      <c r="C148" s="31" t="s">
        <v>136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0"/>
        <v/>
      </c>
      <c r="P148">
        <f>'Combined Delivery Data'!B146</f>
        <v>0</v>
      </c>
      <c r="Q148">
        <f t="shared" si="11"/>
        <v>0</v>
      </c>
      <c r="R148">
        <f t="shared" si="12"/>
        <v>496</v>
      </c>
      <c r="S148" s="28">
        <f t="shared" si="13"/>
        <v>0</v>
      </c>
      <c r="T148" t="str">
        <f t="shared" si="14"/>
        <v xml:space="preserve"> -&gt; </v>
      </c>
    </row>
    <row r="149" spans="1:20">
      <c r="A149" s="31"/>
      <c r="B149" s="32"/>
      <c r="C149" s="31" t="s">
        <v>136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0"/>
        <v/>
      </c>
      <c r="P149">
        <f>'Combined Delivery Data'!B147</f>
        <v>0</v>
      </c>
      <c r="Q149">
        <f t="shared" si="11"/>
        <v>0</v>
      </c>
      <c r="R149">
        <f t="shared" si="12"/>
        <v>496</v>
      </c>
      <c r="S149" s="28">
        <f t="shared" si="13"/>
        <v>0</v>
      </c>
      <c r="T149" t="str">
        <f t="shared" si="14"/>
        <v xml:space="preserve"> -&gt; </v>
      </c>
    </row>
    <row r="150" spans="1:20">
      <c r="A150" s="31"/>
      <c r="B150" s="32"/>
      <c r="C150" s="31" t="s">
        <v>136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0"/>
        <v/>
      </c>
      <c r="P150">
        <f>'Combined Delivery Data'!B148</f>
        <v>0</v>
      </c>
      <c r="Q150">
        <f t="shared" si="11"/>
        <v>0</v>
      </c>
      <c r="R150">
        <f t="shared" si="12"/>
        <v>496</v>
      </c>
      <c r="S150" s="28">
        <f t="shared" si="13"/>
        <v>0</v>
      </c>
      <c r="T150" t="str">
        <f t="shared" si="14"/>
        <v xml:space="preserve"> -&gt; </v>
      </c>
    </row>
    <row r="151" spans="1:20">
      <c r="A151" s="31"/>
      <c r="B151" s="32"/>
      <c r="C151" s="31" t="s">
        <v>136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0"/>
        <v/>
      </c>
      <c r="P151">
        <f>'Combined Delivery Data'!B149</f>
        <v>0</v>
      </c>
      <c r="Q151">
        <f t="shared" si="11"/>
        <v>0</v>
      </c>
      <c r="R151">
        <f t="shared" si="12"/>
        <v>496</v>
      </c>
      <c r="S151" s="28">
        <f t="shared" si="13"/>
        <v>0</v>
      </c>
      <c r="T151" t="str">
        <f t="shared" si="14"/>
        <v xml:space="preserve"> -&gt; </v>
      </c>
    </row>
    <row r="152" spans="1:20">
      <c r="A152" s="31"/>
      <c r="B152" s="32"/>
      <c r="C152" s="31" t="s">
        <v>136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0"/>
        <v/>
      </c>
      <c r="P152">
        <f>'Combined Delivery Data'!B150</f>
        <v>0</v>
      </c>
      <c r="Q152">
        <f t="shared" si="11"/>
        <v>0</v>
      </c>
      <c r="R152">
        <f t="shared" si="12"/>
        <v>496</v>
      </c>
      <c r="S152" s="28">
        <f t="shared" si="13"/>
        <v>0</v>
      </c>
      <c r="T152" t="str">
        <f t="shared" si="14"/>
        <v xml:space="preserve"> -&gt; </v>
      </c>
    </row>
    <row r="153" spans="1:20">
      <c r="A153" s="31"/>
      <c r="B153" s="32"/>
      <c r="C153" s="31" t="s">
        <v>136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0"/>
        <v/>
      </c>
      <c r="P153">
        <f>'Combined Delivery Data'!B151</f>
        <v>0</v>
      </c>
      <c r="Q153">
        <f t="shared" si="11"/>
        <v>0</v>
      </c>
      <c r="R153">
        <f t="shared" si="12"/>
        <v>496</v>
      </c>
      <c r="S153" s="28">
        <f t="shared" si="13"/>
        <v>0</v>
      </c>
      <c r="T153" t="str">
        <f t="shared" si="14"/>
        <v xml:space="preserve"> -&gt; </v>
      </c>
    </row>
    <row r="154" spans="1:20">
      <c r="A154" s="31"/>
      <c r="B154" s="32"/>
      <c r="C154" s="31" t="s">
        <v>136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0"/>
        <v/>
      </c>
      <c r="P154">
        <f>'Combined Delivery Data'!B152</f>
        <v>0</v>
      </c>
      <c r="Q154">
        <f t="shared" si="11"/>
        <v>0</v>
      </c>
      <c r="R154">
        <f t="shared" si="12"/>
        <v>496</v>
      </c>
      <c r="S154" s="28">
        <f t="shared" si="13"/>
        <v>0</v>
      </c>
      <c r="T154" t="str">
        <f t="shared" si="14"/>
        <v xml:space="preserve"> -&gt; </v>
      </c>
    </row>
    <row r="155" spans="1:20">
      <c r="A155" s="31"/>
      <c r="B155" s="32"/>
      <c r="C155" s="31" t="s">
        <v>136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0"/>
        <v/>
      </c>
      <c r="P155">
        <f>'Combined Delivery Data'!B153</f>
        <v>0</v>
      </c>
      <c r="Q155">
        <f t="shared" si="11"/>
        <v>0</v>
      </c>
      <c r="R155">
        <f t="shared" si="12"/>
        <v>496</v>
      </c>
      <c r="S155" s="28">
        <f t="shared" si="13"/>
        <v>0</v>
      </c>
      <c r="T155" t="str">
        <f t="shared" si="14"/>
        <v xml:space="preserve"> -&gt; </v>
      </c>
    </row>
    <row r="156" spans="1:20">
      <c r="A156" s="31"/>
      <c r="B156" s="32"/>
      <c r="C156" s="31" t="s">
        <v>136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0"/>
        <v/>
      </c>
      <c r="P156">
        <f>'Combined Delivery Data'!B154</f>
        <v>0</v>
      </c>
      <c r="Q156">
        <f t="shared" si="11"/>
        <v>0</v>
      </c>
      <c r="R156">
        <f t="shared" si="12"/>
        <v>496</v>
      </c>
      <c r="S156" s="28">
        <f t="shared" si="13"/>
        <v>0</v>
      </c>
      <c r="T156" t="str">
        <f t="shared" si="14"/>
        <v xml:space="preserve"> -&gt; </v>
      </c>
    </row>
    <row r="157" spans="1:20">
      <c r="A157" s="31"/>
      <c r="B157" s="32"/>
      <c r="C157" s="31" t="s">
        <v>136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0"/>
        <v/>
      </c>
      <c r="P157">
        <f>'Combined Delivery Data'!B155</f>
        <v>0</v>
      </c>
      <c r="Q157">
        <f t="shared" si="11"/>
        <v>0</v>
      </c>
      <c r="R157">
        <f t="shared" si="12"/>
        <v>496</v>
      </c>
      <c r="S157" s="28">
        <f t="shared" si="13"/>
        <v>0</v>
      </c>
      <c r="T157" t="str">
        <f t="shared" si="14"/>
        <v xml:space="preserve"> -&gt; </v>
      </c>
    </row>
    <row r="158" spans="1:20">
      <c r="A158" s="31"/>
      <c r="B158" s="32"/>
      <c r="C158" s="31" t="s">
        <v>136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0"/>
        <v/>
      </c>
      <c r="P158">
        <f>'Combined Delivery Data'!B156</f>
        <v>0</v>
      </c>
      <c r="Q158">
        <f t="shared" si="11"/>
        <v>0</v>
      </c>
      <c r="R158">
        <f t="shared" si="12"/>
        <v>496</v>
      </c>
      <c r="S158" s="28">
        <f t="shared" si="13"/>
        <v>0</v>
      </c>
      <c r="T158" t="str">
        <f t="shared" si="14"/>
        <v xml:space="preserve"> -&gt; </v>
      </c>
    </row>
    <row r="159" spans="1:20">
      <c r="A159" s="31"/>
      <c r="B159" s="32"/>
      <c r="C159" s="31" t="s">
        <v>136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0"/>
        <v/>
      </c>
      <c r="P159">
        <f>'Combined Delivery Data'!B157</f>
        <v>0</v>
      </c>
      <c r="Q159">
        <f t="shared" si="11"/>
        <v>0</v>
      </c>
      <c r="R159">
        <f t="shared" si="12"/>
        <v>496</v>
      </c>
      <c r="S159" s="28">
        <f t="shared" si="13"/>
        <v>0</v>
      </c>
      <c r="T159" t="str">
        <f t="shared" si="14"/>
        <v xml:space="preserve"> -&gt; </v>
      </c>
    </row>
    <row r="160" spans="1:20">
      <c r="A160" s="31"/>
      <c r="B160" s="32"/>
      <c r="C160" s="31" t="s">
        <v>136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0"/>
        <v/>
      </c>
      <c r="P160">
        <f>'Combined Delivery Data'!B158</f>
        <v>0</v>
      </c>
      <c r="Q160">
        <f t="shared" si="11"/>
        <v>0</v>
      </c>
      <c r="R160">
        <f t="shared" si="12"/>
        <v>496</v>
      </c>
      <c r="S160" s="28">
        <f t="shared" si="13"/>
        <v>0</v>
      </c>
      <c r="T160" t="str">
        <f t="shared" si="14"/>
        <v xml:space="preserve"> -&gt; </v>
      </c>
    </row>
    <row r="161" spans="1:20">
      <c r="A161" s="31"/>
      <c r="B161" s="32"/>
      <c r="C161" s="31" t="s">
        <v>136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0"/>
        <v/>
      </c>
      <c r="P161">
        <f>'Combined Delivery Data'!B159</f>
        <v>0</v>
      </c>
      <c r="Q161">
        <f t="shared" si="11"/>
        <v>0</v>
      </c>
      <c r="R161">
        <f t="shared" si="12"/>
        <v>496</v>
      </c>
      <c r="S161" s="28">
        <f t="shared" si="13"/>
        <v>0</v>
      </c>
      <c r="T161" t="str">
        <f t="shared" si="14"/>
        <v xml:space="preserve"> -&gt; </v>
      </c>
    </row>
    <row r="162" spans="1:20">
      <c r="A162" s="31"/>
      <c r="B162" s="32"/>
      <c r="C162" s="31" t="s">
        <v>136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0"/>
        <v/>
      </c>
      <c r="P162">
        <f>'Combined Delivery Data'!B160</f>
        <v>0</v>
      </c>
      <c r="Q162">
        <f t="shared" si="11"/>
        <v>0</v>
      </c>
      <c r="R162">
        <f t="shared" si="12"/>
        <v>496</v>
      </c>
      <c r="S162" s="28">
        <f t="shared" si="13"/>
        <v>0</v>
      </c>
      <c r="T162" t="str">
        <f t="shared" si="14"/>
        <v xml:space="preserve"> -&gt; </v>
      </c>
    </row>
    <row r="163" spans="1:20">
      <c r="A163" s="31"/>
      <c r="B163" s="32"/>
      <c r="C163" s="31" t="s">
        <v>136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0"/>
        <v/>
      </c>
      <c r="P163">
        <f>'Combined Delivery Data'!B161</f>
        <v>0</v>
      </c>
      <c r="Q163">
        <f t="shared" si="11"/>
        <v>0</v>
      </c>
      <c r="R163">
        <f t="shared" si="12"/>
        <v>496</v>
      </c>
      <c r="S163" s="28">
        <f t="shared" si="13"/>
        <v>0</v>
      </c>
      <c r="T163" t="str">
        <f t="shared" si="14"/>
        <v xml:space="preserve"> -&gt; </v>
      </c>
    </row>
    <row r="164" spans="1:20">
      <c r="A164" s="31"/>
      <c r="B164" s="32"/>
      <c r="C164" s="31" t="s">
        <v>136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0"/>
        <v/>
      </c>
      <c r="P164">
        <f>'Combined Delivery Data'!B162</f>
        <v>0</v>
      </c>
      <c r="Q164">
        <f t="shared" si="11"/>
        <v>0</v>
      </c>
      <c r="R164">
        <f t="shared" si="12"/>
        <v>496</v>
      </c>
      <c r="S164" s="28">
        <f t="shared" si="13"/>
        <v>0</v>
      </c>
      <c r="T164" t="str">
        <f t="shared" si="14"/>
        <v xml:space="preserve"> -&gt; </v>
      </c>
    </row>
    <row r="165" spans="1:20">
      <c r="A165" s="31"/>
      <c r="B165" s="32"/>
      <c r="C165" s="31" t="s">
        <v>136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0"/>
        <v/>
      </c>
      <c r="P165">
        <f>'Combined Delivery Data'!B163</f>
        <v>0</v>
      </c>
      <c r="Q165">
        <f t="shared" si="11"/>
        <v>0</v>
      </c>
      <c r="R165">
        <f t="shared" si="12"/>
        <v>496</v>
      </c>
      <c r="S165" s="28">
        <f t="shared" si="13"/>
        <v>0</v>
      </c>
      <c r="T165" t="str">
        <f t="shared" si="14"/>
        <v xml:space="preserve"> -&gt; </v>
      </c>
    </row>
    <row r="166" spans="1:20">
      <c r="A166" s="31"/>
      <c r="B166" s="32"/>
      <c r="C166" s="31" t="s">
        <v>136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0"/>
        <v/>
      </c>
      <c r="P166">
        <f>'Combined Delivery Data'!B164</f>
        <v>0</v>
      </c>
      <c r="Q166">
        <f t="shared" si="11"/>
        <v>0</v>
      </c>
      <c r="R166">
        <f t="shared" si="12"/>
        <v>496</v>
      </c>
      <c r="S166" s="28">
        <f t="shared" si="13"/>
        <v>0</v>
      </c>
      <c r="T166" t="str">
        <f t="shared" si="14"/>
        <v xml:space="preserve"> -&gt; </v>
      </c>
    </row>
    <row r="167" spans="1:20">
      <c r="A167" s="31"/>
      <c r="B167" s="32"/>
      <c r="C167" s="31" t="s">
        <v>136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0"/>
        <v/>
      </c>
      <c r="P167">
        <f>'Combined Delivery Data'!B165</f>
        <v>0</v>
      </c>
      <c r="Q167">
        <f t="shared" si="11"/>
        <v>0</v>
      </c>
      <c r="R167">
        <f t="shared" si="12"/>
        <v>496</v>
      </c>
      <c r="S167" s="28">
        <f t="shared" si="13"/>
        <v>0</v>
      </c>
      <c r="T167" t="str">
        <f t="shared" si="14"/>
        <v xml:space="preserve"> -&gt; </v>
      </c>
    </row>
    <row r="168" spans="1:20">
      <c r="A168" s="31"/>
      <c r="B168" s="32"/>
      <c r="C168" s="31" t="s">
        <v>136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0"/>
        <v/>
      </c>
      <c r="P168">
        <f>'Combined Delivery Data'!B166</f>
        <v>0</v>
      </c>
      <c r="Q168">
        <f t="shared" si="11"/>
        <v>0</v>
      </c>
      <c r="R168">
        <f t="shared" si="12"/>
        <v>496</v>
      </c>
      <c r="S168" s="28">
        <f t="shared" si="13"/>
        <v>0</v>
      </c>
      <c r="T168" t="str">
        <f t="shared" si="14"/>
        <v xml:space="preserve"> -&gt; </v>
      </c>
    </row>
    <row r="169" spans="1:20">
      <c r="A169" s="31"/>
      <c r="B169" s="32"/>
      <c r="C169" s="31" t="s">
        <v>136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0"/>
        <v/>
      </c>
      <c r="P169">
        <f>'Combined Delivery Data'!B167</f>
        <v>0</v>
      </c>
      <c r="Q169">
        <f t="shared" si="11"/>
        <v>0</v>
      </c>
      <c r="R169">
        <f t="shared" si="12"/>
        <v>496</v>
      </c>
      <c r="S169" s="28">
        <f t="shared" si="13"/>
        <v>0</v>
      </c>
      <c r="T169" t="str">
        <f t="shared" si="14"/>
        <v xml:space="preserve"> -&gt; </v>
      </c>
    </row>
    <row r="170" spans="1:20">
      <c r="A170" s="31"/>
      <c r="B170" s="32"/>
      <c r="C170" s="31" t="s">
        <v>136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0"/>
        <v/>
      </c>
      <c r="P170">
        <f>'Combined Delivery Data'!B168</f>
        <v>0</v>
      </c>
      <c r="Q170">
        <f t="shared" si="11"/>
        <v>0</v>
      </c>
      <c r="R170">
        <f t="shared" si="12"/>
        <v>496</v>
      </c>
      <c r="S170" s="28">
        <f t="shared" si="13"/>
        <v>0</v>
      </c>
      <c r="T170" t="str">
        <f t="shared" si="14"/>
        <v xml:space="preserve"> -&gt; </v>
      </c>
    </row>
    <row r="171" spans="1:20">
      <c r="A171" s="31"/>
      <c r="B171" s="32"/>
      <c r="C171" s="31" t="s">
        <v>136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0"/>
        <v/>
      </c>
      <c r="P171">
        <f>'Combined Delivery Data'!B169</f>
        <v>0</v>
      </c>
      <c r="Q171">
        <f t="shared" si="11"/>
        <v>0</v>
      </c>
      <c r="R171">
        <f t="shared" si="12"/>
        <v>496</v>
      </c>
      <c r="S171" s="28">
        <f t="shared" si="13"/>
        <v>0</v>
      </c>
      <c r="T171" t="str">
        <f t="shared" si="14"/>
        <v xml:space="preserve"> -&gt; </v>
      </c>
    </row>
    <row r="172" spans="1:20">
      <c r="A172" s="31"/>
      <c r="B172" s="32"/>
      <c r="C172" s="31" t="s">
        <v>136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0"/>
        <v/>
      </c>
      <c r="P172">
        <f>'Combined Delivery Data'!B170</f>
        <v>0</v>
      </c>
      <c r="Q172">
        <f t="shared" si="11"/>
        <v>0</v>
      </c>
      <c r="R172">
        <f t="shared" si="12"/>
        <v>496</v>
      </c>
      <c r="S172" s="28">
        <f t="shared" si="13"/>
        <v>0</v>
      </c>
      <c r="T172" t="str">
        <f t="shared" si="14"/>
        <v xml:space="preserve"> -&gt; </v>
      </c>
    </row>
    <row r="173" spans="1:20">
      <c r="A173" s="31"/>
      <c r="B173" s="32"/>
      <c r="C173" s="31" t="s">
        <v>136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0"/>
        <v/>
      </c>
      <c r="P173">
        <f>'Combined Delivery Data'!B171</f>
        <v>0</v>
      </c>
      <c r="Q173">
        <f t="shared" si="11"/>
        <v>0</v>
      </c>
      <c r="R173">
        <f t="shared" si="12"/>
        <v>496</v>
      </c>
      <c r="S173" s="28">
        <f t="shared" si="13"/>
        <v>0</v>
      </c>
      <c r="T173" t="str">
        <f t="shared" si="14"/>
        <v xml:space="preserve"> -&gt; </v>
      </c>
    </row>
    <row r="174" spans="1:20">
      <c r="A174" s="31"/>
      <c r="B174" s="32"/>
      <c r="C174" s="31" t="s">
        <v>136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0"/>
        <v/>
      </c>
      <c r="P174">
        <f>'Combined Delivery Data'!B172</f>
        <v>0</v>
      </c>
      <c r="Q174">
        <f t="shared" si="11"/>
        <v>0</v>
      </c>
      <c r="R174">
        <f t="shared" si="12"/>
        <v>496</v>
      </c>
      <c r="S174" s="28">
        <f t="shared" si="13"/>
        <v>0</v>
      </c>
      <c r="T174" t="str">
        <f t="shared" si="14"/>
        <v xml:space="preserve"> -&gt; </v>
      </c>
    </row>
    <row r="175" spans="1:20">
      <c r="A175" s="31"/>
      <c r="B175" s="32"/>
      <c r="C175" s="31" t="s">
        <v>136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0"/>
        <v/>
      </c>
      <c r="P175">
        <f>'Combined Delivery Data'!B173</f>
        <v>0</v>
      </c>
      <c r="Q175">
        <f t="shared" si="11"/>
        <v>0</v>
      </c>
      <c r="R175">
        <f t="shared" si="12"/>
        <v>496</v>
      </c>
      <c r="S175" s="28">
        <f t="shared" si="13"/>
        <v>0</v>
      </c>
      <c r="T175" t="str">
        <f t="shared" si="14"/>
        <v xml:space="preserve"> -&gt; </v>
      </c>
    </row>
    <row r="176" spans="1:20">
      <c r="A176" s="31"/>
      <c r="B176" s="32"/>
      <c r="C176" s="31" t="s">
        <v>136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0"/>
        <v/>
      </c>
      <c r="P176">
        <f>'Combined Delivery Data'!B174</f>
        <v>0</v>
      </c>
      <c r="Q176">
        <f t="shared" si="11"/>
        <v>0</v>
      </c>
      <c r="R176">
        <f t="shared" si="12"/>
        <v>496</v>
      </c>
      <c r="S176" s="28">
        <f t="shared" si="13"/>
        <v>0</v>
      </c>
      <c r="T176" t="str">
        <f t="shared" si="14"/>
        <v xml:space="preserve"> -&gt; </v>
      </c>
    </row>
    <row r="177" spans="1:20">
      <c r="A177" s="31"/>
      <c r="B177" s="32"/>
      <c r="C177" s="31" t="s">
        <v>136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0"/>
        <v/>
      </c>
      <c r="P177">
        <f>'Combined Delivery Data'!B175</f>
        <v>0</v>
      </c>
      <c r="Q177">
        <f t="shared" si="11"/>
        <v>0</v>
      </c>
      <c r="R177">
        <f t="shared" si="12"/>
        <v>496</v>
      </c>
      <c r="S177" s="28">
        <f t="shared" si="13"/>
        <v>0</v>
      </c>
      <c r="T177" t="str">
        <f t="shared" si="14"/>
        <v xml:space="preserve"> -&gt; </v>
      </c>
    </row>
    <row r="178" spans="1:20">
      <c r="A178" s="31"/>
      <c r="B178" s="32"/>
      <c r="C178" s="31" t="s">
        <v>136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0"/>
        <v/>
      </c>
      <c r="P178">
        <f>'Combined Delivery Data'!B176</f>
        <v>0</v>
      </c>
      <c r="Q178">
        <f t="shared" si="11"/>
        <v>0</v>
      </c>
      <c r="R178">
        <f t="shared" si="12"/>
        <v>496</v>
      </c>
      <c r="S178" s="28">
        <f t="shared" si="13"/>
        <v>0</v>
      </c>
      <c r="T178" t="str">
        <f t="shared" si="14"/>
        <v xml:space="preserve"> -&gt; </v>
      </c>
    </row>
    <row r="179" spans="1:20">
      <c r="A179" s="31"/>
      <c r="B179" s="32"/>
      <c r="C179" s="31" t="s">
        <v>136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0"/>
        <v/>
      </c>
      <c r="P179">
        <f>'Combined Delivery Data'!B177</f>
        <v>0</v>
      </c>
      <c r="Q179">
        <f t="shared" si="11"/>
        <v>0</v>
      </c>
      <c r="R179">
        <f t="shared" si="12"/>
        <v>496</v>
      </c>
      <c r="S179" s="28">
        <f t="shared" si="13"/>
        <v>0</v>
      </c>
      <c r="T179" t="str">
        <f t="shared" si="14"/>
        <v xml:space="preserve"> -&gt; </v>
      </c>
    </row>
    <row r="180" spans="1:20">
      <c r="A180" s="31"/>
      <c r="B180" s="32"/>
      <c r="C180" s="31" t="s">
        <v>136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0"/>
        <v/>
      </c>
      <c r="P180">
        <f>'Combined Delivery Data'!B178</f>
        <v>0</v>
      </c>
      <c r="Q180">
        <f t="shared" si="11"/>
        <v>0</v>
      </c>
      <c r="R180">
        <f t="shared" si="12"/>
        <v>496</v>
      </c>
      <c r="S180" s="28">
        <f t="shared" si="13"/>
        <v>0</v>
      </c>
      <c r="T180" t="str">
        <f t="shared" si="14"/>
        <v xml:space="preserve"> -&gt; </v>
      </c>
    </row>
    <row r="181" spans="1:20">
      <c r="A181" s="31"/>
      <c r="B181" s="32"/>
      <c r="C181" s="31" t="s">
        <v>136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0"/>
        <v/>
      </c>
      <c r="P181">
        <f>'Combined Delivery Data'!B179</f>
        <v>0</v>
      </c>
      <c r="Q181">
        <f t="shared" si="11"/>
        <v>0</v>
      </c>
      <c r="R181">
        <f t="shared" si="12"/>
        <v>496</v>
      </c>
      <c r="S181" s="28">
        <f t="shared" si="13"/>
        <v>0</v>
      </c>
      <c r="T181" t="str">
        <f t="shared" si="14"/>
        <v xml:space="preserve"> -&gt; </v>
      </c>
    </row>
    <row r="182" spans="1:20">
      <c r="A182" s="31"/>
      <c r="B182" s="32"/>
      <c r="C182" s="31" t="s">
        <v>136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0"/>
        <v/>
      </c>
      <c r="P182">
        <f>'Combined Delivery Data'!B180</f>
        <v>0</v>
      </c>
      <c r="Q182">
        <f t="shared" si="11"/>
        <v>0</v>
      </c>
      <c r="R182">
        <f t="shared" si="12"/>
        <v>496</v>
      </c>
      <c r="S182" s="28">
        <f t="shared" si="13"/>
        <v>0</v>
      </c>
      <c r="T182" t="str">
        <f t="shared" si="14"/>
        <v xml:space="preserve"> -&gt; </v>
      </c>
    </row>
    <row r="183" spans="1:20">
      <c r="A183" s="31"/>
      <c r="B183" s="32"/>
      <c r="C183" s="31" t="s">
        <v>136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0"/>
        <v/>
      </c>
      <c r="P183">
        <f>'Combined Delivery Data'!B181</f>
        <v>0</v>
      </c>
      <c r="Q183">
        <f t="shared" si="11"/>
        <v>0</v>
      </c>
      <c r="R183">
        <f t="shared" si="12"/>
        <v>496</v>
      </c>
      <c r="S183" s="28">
        <f t="shared" si="13"/>
        <v>0</v>
      </c>
      <c r="T183" t="str">
        <f t="shared" si="14"/>
        <v xml:space="preserve"> -&gt; </v>
      </c>
    </row>
    <row r="184" spans="1:20">
      <c r="A184" s="31"/>
      <c r="B184" s="32"/>
      <c r="C184" s="31" t="s">
        <v>136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0"/>
        <v/>
      </c>
      <c r="P184">
        <f>'Combined Delivery Data'!B182</f>
        <v>0</v>
      </c>
      <c r="Q184">
        <f t="shared" si="11"/>
        <v>0</v>
      </c>
      <c r="R184">
        <f t="shared" si="12"/>
        <v>496</v>
      </c>
      <c r="S184" s="28">
        <f t="shared" si="13"/>
        <v>0</v>
      </c>
      <c r="T184" t="str">
        <f t="shared" si="14"/>
        <v xml:space="preserve"> -&gt; </v>
      </c>
    </row>
    <row r="185" spans="1:20">
      <c r="A185" s="31"/>
      <c r="B185" s="32"/>
      <c r="C185" s="31" t="s">
        <v>136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0"/>
        <v/>
      </c>
      <c r="P185">
        <f>'Combined Delivery Data'!B183</f>
        <v>0</v>
      </c>
      <c r="Q185">
        <f t="shared" si="11"/>
        <v>0</v>
      </c>
      <c r="R185">
        <f t="shared" si="12"/>
        <v>496</v>
      </c>
      <c r="S185" s="28">
        <f t="shared" si="13"/>
        <v>0</v>
      </c>
      <c r="T185" t="str">
        <f t="shared" si="14"/>
        <v xml:space="preserve"> -&gt; </v>
      </c>
    </row>
    <row r="186" spans="1:20">
      <c r="A186" s="31"/>
      <c r="B186" s="32"/>
      <c r="C186" s="31" t="s">
        <v>136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0"/>
        <v/>
      </c>
      <c r="P186">
        <f>'Combined Delivery Data'!B184</f>
        <v>0</v>
      </c>
      <c r="Q186">
        <f t="shared" si="11"/>
        <v>0</v>
      </c>
      <c r="R186">
        <f t="shared" si="12"/>
        <v>496</v>
      </c>
      <c r="S186" s="28">
        <f t="shared" si="13"/>
        <v>0</v>
      </c>
      <c r="T186" t="str">
        <f t="shared" si="14"/>
        <v xml:space="preserve"> -&gt; </v>
      </c>
    </row>
    <row r="187" spans="1:20">
      <c r="A187" s="31"/>
      <c r="B187" s="32"/>
      <c r="C187" s="31" t="s">
        <v>136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0"/>
        <v/>
      </c>
      <c r="P187">
        <f>'Combined Delivery Data'!B185</f>
        <v>0</v>
      </c>
      <c r="Q187">
        <f t="shared" si="11"/>
        <v>0</v>
      </c>
      <c r="R187">
        <f t="shared" si="12"/>
        <v>496</v>
      </c>
      <c r="S187" s="28">
        <f t="shared" si="13"/>
        <v>0</v>
      </c>
      <c r="T187" t="str">
        <f t="shared" si="14"/>
        <v xml:space="preserve"> -&gt; </v>
      </c>
    </row>
    <row r="188" spans="1:20">
      <c r="A188" s="31"/>
      <c r="B188" s="32"/>
      <c r="C188" s="31" t="s">
        <v>136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0"/>
        <v/>
      </c>
      <c r="P188">
        <f>'Combined Delivery Data'!B186</f>
        <v>0</v>
      </c>
      <c r="Q188">
        <f t="shared" si="11"/>
        <v>0</v>
      </c>
      <c r="R188">
        <f t="shared" si="12"/>
        <v>496</v>
      </c>
      <c r="S188" s="28">
        <f t="shared" si="13"/>
        <v>0</v>
      </c>
      <c r="T188" t="str">
        <f t="shared" si="14"/>
        <v xml:space="preserve"> -&gt; </v>
      </c>
    </row>
    <row r="189" spans="1:20">
      <c r="A189" s="31"/>
      <c r="B189" s="32"/>
      <c r="C189" s="31" t="s">
        <v>136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0"/>
        <v/>
      </c>
      <c r="P189">
        <f>'Combined Delivery Data'!B187</f>
        <v>0</v>
      </c>
      <c r="Q189">
        <f t="shared" si="11"/>
        <v>0</v>
      </c>
      <c r="R189">
        <f t="shared" si="12"/>
        <v>496</v>
      </c>
      <c r="S189" s="28">
        <f t="shared" si="13"/>
        <v>0</v>
      </c>
      <c r="T189" t="str">
        <f t="shared" si="14"/>
        <v xml:space="preserve"> -&gt; </v>
      </c>
    </row>
    <row r="190" spans="1:20">
      <c r="A190" s="31"/>
      <c r="B190" s="32"/>
      <c r="C190" s="31" t="s">
        <v>136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0"/>
        <v/>
      </c>
      <c r="P190">
        <f>'Combined Delivery Data'!B188</f>
        <v>0</v>
      </c>
      <c r="Q190">
        <f t="shared" si="11"/>
        <v>0</v>
      </c>
      <c r="R190">
        <f t="shared" si="12"/>
        <v>496</v>
      </c>
      <c r="S190" s="28">
        <f t="shared" si="13"/>
        <v>0</v>
      </c>
      <c r="T190" t="str">
        <f t="shared" si="14"/>
        <v xml:space="preserve"> -&gt; </v>
      </c>
    </row>
    <row r="191" spans="1:20">
      <c r="A191" s="31"/>
      <c r="B191" s="32"/>
      <c r="C191" s="31" t="s">
        <v>136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0"/>
        <v/>
      </c>
      <c r="P191">
        <f>'Combined Delivery Data'!B189</f>
        <v>0</v>
      </c>
      <c r="Q191">
        <f t="shared" si="11"/>
        <v>0</v>
      </c>
      <c r="R191">
        <f t="shared" si="12"/>
        <v>496</v>
      </c>
      <c r="S191" s="28">
        <f t="shared" si="13"/>
        <v>0</v>
      </c>
      <c r="T191" t="str">
        <f t="shared" si="14"/>
        <v xml:space="preserve"> -&gt; </v>
      </c>
    </row>
    <row r="192" spans="1:20">
      <c r="A192" s="31"/>
      <c r="B192" s="32"/>
      <c r="C192" s="31" t="s">
        <v>136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0"/>
        <v/>
      </c>
      <c r="P192">
        <f>'Combined Delivery Data'!B190</f>
        <v>0</v>
      </c>
      <c r="Q192">
        <f t="shared" si="11"/>
        <v>0</v>
      </c>
      <c r="R192">
        <f t="shared" si="12"/>
        <v>496</v>
      </c>
      <c r="S192" s="28">
        <f t="shared" si="13"/>
        <v>0</v>
      </c>
      <c r="T192" t="str">
        <f t="shared" si="14"/>
        <v xml:space="preserve"> -&gt; </v>
      </c>
    </row>
    <row r="193" spans="1:20">
      <c r="A193" s="31"/>
      <c r="B193" s="32"/>
      <c r="C193" s="31" t="s">
        <v>136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0"/>
        <v/>
      </c>
      <c r="P193">
        <f>'Combined Delivery Data'!B191</f>
        <v>0</v>
      </c>
      <c r="Q193">
        <f t="shared" si="11"/>
        <v>0</v>
      </c>
      <c r="R193">
        <f t="shared" si="12"/>
        <v>496</v>
      </c>
      <c r="S193" s="28">
        <f t="shared" si="13"/>
        <v>0</v>
      </c>
      <c r="T193" t="str">
        <f t="shared" si="14"/>
        <v xml:space="preserve"> -&gt; </v>
      </c>
    </row>
    <row r="194" spans="1:20">
      <c r="A194" s="31"/>
      <c r="B194" s="32"/>
      <c r="C194" s="31" t="s">
        <v>136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0"/>
        <v/>
      </c>
      <c r="P194">
        <f>'Combined Delivery Data'!B192</f>
        <v>0</v>
      </c>
      <c r="Q194">
        <f t="shared" si="11"/>
        <v>0</v>
      </c>
      <c r="R194">
        <f t="shared" si="12"/>
        <v>496</v>
      </c>
      <c r="S194" s="28">
        <f t="shared" si="13"/>
        <v>0</v>
      </c>
      <c r="T194" t="str">
        <f t="shared" si="14"/>
        <v xml:space="preserve"> -&gt; </v>
      </c>
    </row>
    <row r="195" spans="1:20">
      <c r="A195" s="31"/>
      <c r="B195" s="32"/>
      <c r="C195" s="31" t="s">
        <v>136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496</v>
      </c>
      <c r="S195" s="28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136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5"/>
        <v/>
      </c>
      <c r="P196">
        <f>'Combined Delivery Data'!B194</f>
        <v>0</v>
      </c>
      <c r="Q196">
        <f t="shared" si="16"/>
        <v>0</v>
      </c>
      <c r="R196">
        <f t="shared" si="17"/>
        <v>496</v>
      </c>
      <c r="S196" s="28">
        <f t="shared" si="18"/>
        <v>0</v>
      </c>
      <c r="T196" t="str">
        <f t="shared" si="19"/>
        <v xml:space="preserve"> -&gt; </v>
      </c>
    </row>
    <row r="197" spans="1:20">
      <c r="A197" s="31"/>
      <c r="B197" s="32"/>
      <c r="C197" s="31" t="s">
        <v>136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5"/>
        <v/>
      </c>
      <c r="P197">
        <f>'Combined Delivery Data'!B195</f>
        <v>0</v>
      </c>
      <c r="Q197">
        <f t="shared" si="16"/>
        <v>0</v>
      </c>
      <c r="R197">
        <f t="shared" si="17"/>
        <v>496</v>
      </c>
      <c r="S197" s="28">
        <f t="shared" si="18"/>
        <v>0</v>
      </c>
      <c r="T197" t="str">
        <f t="shared" si="19"/>
        <v xml:space="preserve"> -&gt; </v>
      </c>
    </row>
    <row r="198" spans="1:20">
      <c r="A198" s="31"/>
      <c r="B198" s="32"/>
      <c r="C198" s="31" t="s">
        <v>136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5"/>
        <v/>
      </c>
      <c r="P198">
        <f>'Combined Delivery Data'!B196</f>
        <v>0</v>
      </c>
      <c r="Q198">
        <f t="shared" si="16"/>
        <v>0</v>
      </c>
      <c r="R198">
        <f t="shared" si="17"/>
        <v>496</v>
      </c>
      <c r="S198" s="28">
        <f t="shared" si="18"/>
        <v>0</v>
      </c>
      <c r="T198" t="str">
        <f t="shared" si="19"/>
        <v xml:space="preserve"> -&gt; </v>
      </c>
    </row>
    <row r="199" spans="1:20">
      <c r="A199" s="31"/>
      <c r="B199" s="32"/>
      <c r="C199" s="31" t="s">
        <v>136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5"/>
        <v/>
      </c>
      <c r="P199">
        <f>'Combined Delivery Data'!B197</f>
        <v>0</v>
      </c>
      <c r="Q199">
        <f t="shared" si="16"/>
        <v>0</v>
      </c>
      <c r="R199">
        <f t="shared" si="17"/>
        <v>496</v>
      </c>
      <c r="S199" s="28">
        <f t="shared" si="18"/>
        <v>0</v>
      </c>
      <c r="T199" t="str">
        <f t="shared" si="19"/>
        <v xml:space="preserve"> -&gt; </v>
      </c>
    </row>
    <row r="200" spans="1:20">
      <c r="A200" s="31"/>
      <c r="B200" s="32"/>
      <c r="C200" s="31" t="s">
        <v>136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5"/>
        <v/>
      </c>
      <c r="P200">
        <f>'Combined Delivery Data'!B198</f>
        <v>0</v>
      </c>
      <c r="Q200">
        <f t="shared" si="16"/>
        <v>0</v>
      </c>
      <c r="R200">
        <f t="shared" si="17"/>
        <v>496</v>
      </c>
      <c r="S200" s="28">
        <f t="shared" si="18"/>
        <v>0</v>
      </c>
      <c r="T200" t="str">
        <f t="shared" si="19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5"/>
        <v/>
      </c>
      <c r="P201">
        <f>'Combined Delivery Data'!B199</f>
        <v>0</v>
      </c>
      <c r="Q201">
        <f t="shared" si="16"/>
        <v>0</v>
      </c>
      <c r="R201">
        <f t="shared" si="17"/>
        <v>496</v>
      </c>
      <c r="S201" s="28">
        <f t="shared" si="18"/>
        <v>0</v>
      </c>
      <c r="T201" t="str">
        <f t="shared" si="19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5"/>
        <v/>
      </c>
      <c r="P202">
        <f>'Combined Delivery Data'!B200</f>
        <v>0</v>
      </c>
      <c r="Q202">
        <f t="shared" si="16"/>
        <v>0</v>
      </c>
      <c r="R202">
        <f t="shared" si="17"/>
        <v>496</v>
      </c>
      <c r="S202" s="28">
        <f t="shared" si="18"/>
        <v>0</v>
      </c>
      <c r="T202" t="str">
        <f t="shared" si="19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5"/>
        <v/>
      </c>
      <c r="P203">
        <f>'Combined Delivery Data'!B201</f>
        <v>0</v>
      </c>
      <c r="Q203">
        <f t="shared" si="16"/>
        <v>0</v>
      </c>
      <c r="R203">
        <f t="shared" si="17"/>
        <v>496</v>
      </c>
      <c r="S203" s="28">
        <f t="shared" si="18"/>
        <v>0</v>
      </c>
      <c r="T203" t="str">
        <f t="shared" si="19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5"/>
        <v/>
      </c>
      <c r="P204">
        <f>'Combined Delivery Data'!B202</f>
        <v>0</v>
      </c>
      <c r="Q204">
        <f t="shared" si="16"/>
        <v>0</v>
      </c>
      <c r="R204">
        <f t="shared" si="17"/>
        <v>496</v>
      </c>
      <c r="S204" s="28">
        <f t="shared" si="18"/>
        <v>0</v>
      </c>
      <c r="T204" t="str">
        <f t="shared" si="19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5"/>
        <v/>
      </c>
      <c r="P205">
        <f>'Combined Delivery Data'!B203</f>
        <v>0</v>
      </c>
      <c r="Q205">
        <f t="shared" si="16"/>
        <v>0</v>
      </c>
      <c r="R205">
        <f t="shared" si="17"/>
        <v>496</v>
      </c>
      <c r="S205" s="28">
        <f t="shared" si="18"/>
        <v>0</v>
      </c>
      <c r="T205" t="str">
        <f t="shared" si="19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5"/>
        <v/>
      </c>
      <c r="P206">
        <f>'Combined Delivery Data'!B204</f>
        <v>0</v>
      </c>
      <c r="Q206">
        <f t="shared" si="16"/>
        <v>0</v>
      </c>
      <c r="R206">
        <f t="shared" si="17"/>
        <v>496</v>
      </c>
      <c r="S206" s="28">
        <f t="shared" si="18"/>
        <v>0</v>
      </c>
      <c r="T206" t="str">
        <f t="shared" si="19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5"/>
        <v/>
      </c>
      <c r="P207">
        <f>'Combined Delivery Data'!B205</f>
        <v>0</v>
      </c>
      <c r="Q207">
        <f t="shared" si="16"/>
        <v>0</v>
      </c>
      <c r="R207">
        <f t="shared" si="17"/>
        <v>496</v>
      </c>
      <c r="S207" s="28">
        <f t="shared" si="18"/>
        <v>0</v>
      </c>
      <c r="T207" t="str">
        <f t="shared" si="19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5"/>
        <v/>
      </c>
      <c r="P208">
        <f>'Combined Delivery Data'!B206</f>
        <v>0</v>
      </c>
      <c r="Q208">
        <f t="shared" si="16"/>
        <v>0</v>
      </c>
      <c r="R208">
        <f t="shared" si="17"/>
        <v>496</v>
      </c>
      <c r="S208" s="28">
        <f t="shared" si="18"/>
        <v>0</v>
      </c>
      <c r="T208" t="str">
        <f t="shared" si="19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5"/>
        <v/>
      </c>
      <c r="P209">
        <f>'Combined Delivery Data'!B207</f>
        <v>0</v>
      </c>
      <c r="Q209">
        <f t="shared" si="16"/>
        <v>0</v>
      </c>
      <c r="R209">
        <f t="shared" si="17"/>
        <v>496</v>
      </c>
      <c r="S209" s="28">
        <f t="shared" si="18"/>
        <v>0</v>
      </c>
      <c r="T209" t="str">
        <f t="shared" si="19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5"/>
        <v/>
      </c>
      <c r="P210">
        <f>'Combined Delivery Data'!B208</f>
        <v>0</v>
      </c>
      <c r="Q210">
        <f t="shared" si="16"/>
        <v>0</v>
      </c>
      <c r="R210">
        <f t="shared" si="17"/>
        <v>496</v>
      </c>
      <c r="S210" s="28">
        <f t="shared" si="18"/>
        <v>0</v>
      </c>
      <c r="T210" t="str">
        <f t="shared" si="19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5"/>
        <v/>
      </c>
      <c r="P211">
        <f>'Combined Delivery Data'!B209</f>
        <v>0</v>
      </c>
      <c r="Q211">
        <f t="shared" si="16"/>
        <v>0</v>
      </c>
      <c r="R211">
        <f t="shared" si="17"/>
        <v>496</v>
      </c>
      <c r="S211" s="28">
        <f t="shared" si="18"/>
        <v>0</v>
      </c>
      <c r="T211" t="str">
        <f t="shared" si="19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5"/>
        <v/>
      </c>
      <c r="P212">
        <f>'Combined Delivery Data'!B210</f>
        <v>0</v>
      </c>
      <c r="Q212">
        <f t="shared" si="16"/>
        <v>0</v>
      </c>
      <c r="R212">
        <f t="shared" si="17"/>
        <v>496</v>
      </c>
      <c r="S212" s="28">
        <f t="shared" si="18"/>
        <v>0</v>
      </c>
      <c r="T212" t="str">
        <f t="shared" si="19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5"/>
        <v/>
      </c>
      <c r="P213">
        <f>'Combined Delivery Data'!B211</f>
        <v>0</v>
      </c>
      <c r="Q213">
        <f t="shared" si="16"/>
        <v>0</v>
      </c>
      <c r="R213">
        <f t="shared" si="17"/>
        <v>496</v>
      </c>
      <c r="S213" s="28">
        <f t="shared" si="18"/>
        <v>0</v>
      </c>
      <c r="T213" t="str">
        <f t="shared" si="19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5"/>
        <v/>
      </c>
      <c r="P214">
        <f>'Combined Delivery Data'!B212</f>
        <v>0</v>
      </c>
      <c r="Q214">
        <f t="shared" si="16"/>
        <v>0</v>
      </c>
      <c r="R214">
        <f t="shared" si="17"/>
        <v>496</v>
      </c>
      <c r="S214" s="28">
        <f t="shared" si="18"/>
        <v>0</v>
      </c>
      <c r="T214" t="str">
        <f t="shared" si="19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5"/>
        <v/>
      </c>
      <c r="P215">
        <f>'Combined Delivery Data'!B213</f>
        <v>0</v>
      </c>
      <c r="Q215">
        <f t="shared" si="16"/>
        <v>0</v>
      </c>
      <c r="R215">
        <f t="shared" si="17"/>
        <v>496</v>
      </c>
      <c r="S215" s="28">
        <f t="shared" si="18"/>
        <v>0</v>
      </c>
      <c r="T215" t="str">
        <f t="shared" si="19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5"/>
        <v/>
      </c>
      <c r="P216">
        <f>'Combined Delivery Data'!B214</f>
        <v>0</v>
      </c>
      <c r="Q216">
        <f t="shared" si="16"/>
        <v>0</v>
      </c>
      <c r="R216">
        <f t="shared" si="17"/>
        <v>496</v>
      </c>
      <c r="S216" s="28">
        <f t="shared" si="18"/>
        <v>0</v>
      </c>
      <c r="T216" t="str">
        <f t="shared" si="19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5"/>
        <v/>
      </c>
      <c r="P217">
        <f>'Combined Delivery Data'!B215</f>
        <v>0</v>
      </c>
      <c r="Q217">
        <f t="shared" si="16"/>
        <v>0</v>
      </c>
      <c r="R217">
        <f t="shared" si="17"/>
        <v>496</v>
      </c>
      <c r="S217" s="28">
        <f t="shared" si="18"/>
        <v>0</v>
      </c>
      <c r="T217" t="str">
        <f t="shared" si="19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5"/>
        <v/>
      </c>
      <c r="P218">
        <f>'Combined Delivery Data'!B216</f>
        <v>0</v>
      </c>
      <c r="Q218">
        <f t="shared" si="16"/>
        <v>0</v>
      </c>
      <c r="R218">
        <f t="shared" si="17"/>
        <v>496</v>
      </c>
      <c r="S218" s="28">
        <f t="shared" si="18"/>
        <v>0</v>
      </c>
      <c r="T218" t="str">
        <f t="shared" si="19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5"/>
        <v/>
      </c>
      <c r="P219">
        <f>'Combined Delivery Data'!B217</f>
        <v>0</v>
      </c>
      <c r="Q219">
        <f t="shared" si="16"/>
        <v>0</v>
      </c>
      <c r="R219">
        <f t="shared" si="17"/>
        <v>496</v>
      </c>
      <c r="S219" s="28">
        <f t="shared" si="18"/>
        <v>0</v>
      </c>
      <c r="T219" t="str">
        <f t="shared" si="19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5"/>
        <v/>
      </c>
      <c r="P220">
        <f>'Combined Delivery Data'!B218</f>
        <v>0</v>
      </c>
      <c r="Q220">
        <f t="shared" si="16"/>
        <v>0</v>
      </c>
      <c r="R220">
        <f t="shared" si="17"/>
        <v>496</v>
      </c>
      <c r="S220" s="28">
        <f t="shared" si="18"/>
        <v>0</v>
      </c>
      <c r="T220" t="str">
        <f t="shared" si="19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5"/>
        <v/>
      </c>
      <c r="P221">
        <f>'Combined Delivery Data'!B219</f>
        <v>0</v>
      </c>
      <c r="Q221">
        <f t="shared" si="16"/>
        <v>0</v>
      </c>
      <c r="R221">
        <f t="shared" si="17"/>
        <v>496</v>
      </c>
      <c r="S221" s="28">
        <f t="shared" si="18"/>
        <v>0</v>
      </c>
      <c r="T221" t="str">
        <f t="shared" si="19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5"/>
        <v/>
      </c>
      <c r="P222">
        <f>'Combined Delivery Data'!B220</f>
        <v>0</v>
      </c>
      <c r="Q222">
        <f t="shared" si="16"/>
        <v>0</v>
      </c>
      <c r="R222">
        <f t="shared" si="17"/>
        <v>496</v>
      </c>
      <c r="S222" s="28">
        <f t="shared" si="18"/>
        <v>0</v>
      </c>
      <c r="T222" t="str">
        <f t="shared" si="19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5"/>
        <v/>
      </c>
      <c r="P223">
        <f>'Combined Delivery Data'!B221</f>
        <v>0</v>
      </c>
      <c r="Q223">
        <f t="shared" si="16"/>
        <v>0</v>
      </c>
      <c r="R223">
        <f t="shared" si="17"/>
        <v>496</v>
      </c>
      <c r="S223" s="28">
        <f t="shared" si="18"/>
        <v>0</v>
      </c>
      <c r="T223" t="str">
        <f t="shared" si="19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5"/>
        <v/>
      </c>
      <c r="P224">
        <f>'Combined Delivery Data'!B222</f>
        <v>0</v>
      </c>
      <c r="Q224">
        <f t="shared" si="16"/>
        <v>0</v>
      </c>
      <c r="R224">
        <f t="shared" si="17"/>
        <v>496</v>
      </c>
      <c r="S224" s="28">
        <f t="shared" si="18"/>
        <v>0</v>
      </c>
      <c r="T224" t="str">
        <f t="shared" si="19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5"/>
        <v/>
      </c>
      <c r="P225">
        <f>'Combined Delivery Data'!B223</f>
        <v>0</v>
      </c>
      <c r="Q225">
        <f t="shared" si="16"/>
        <v>0</v>
      </c>
      <c r="R225">
        <f t="shared" si="17"/>
        <v>496</v>
      </c>
      <c r="S225" s="28">
        <f t="shared" si="18"/>
        <v>0</v>
      </c>
      <c r="T225" t="str">
        <f t="shared" si="19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5"/>
        <v/>
      </c>
      <c r="P226">
        <f>'Combined Delivery Data'!B224</f>
        <v>0</v>
      </c>
      <c r="Q226">
        <f t="shared" si="16"/>
        <v>0</v>
      </c>
      <c r="R226">
        <f t="shared" si="17"/>
        <v>496</v>
      </c>
      <c r="S226" s="28">
        <f t="shared" si="18"/>
        <v>0</v>
      </c>
      <c r="T226" t="str">
        <f t="shared" si="19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5"/>
        <v/>
      </c>
      <c r="P227">
        <f>'Combined Delivery Data'!B225</f>
        <v>0</v>
      </c>
      <c r="Q227">
        <f t="shared" si="16"/>
        <v>0</v>
      </c>
      <c r="R227">
        <f t="shared" si="17"/>
        <v>496</v>
      </c>
      <c r="S227" s="28">
        <f t="shared" si="18"/>
        <v>0</v>
      </c>
      <c r="T227" t="str">
        <f t="shared" si="19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5"/>
        <v/>
      </c>
      <c r="P228">
        <f>'Combined Delivery Data'!B226</f>
        <v>0</v>
      </c>
      <c r="Q228">
        <f t="shared" si="16"/>
        <v>0</v>
      </c>
      <c r="R228">
        <f t="shared" si="17"/>
        <v>496</v>
      </c>
      <c r="S228" s="28">
        <f t="shared" si="18"/>
        <v>0</v>
      </c>
      <c r="T228" t="str">
        <f t="shared" si="19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5"/>
        <v/>
      </c>
      <c r="P229">
        <f>'Combined Delivery Data'!B227</f>
        <v>0</v>
      </c>
      <c r="Q229">
        <f t="shared" si="16"/>
        <v>0</v>
      </c>
      <c r="R229">
        <f t="shared" si="17"/>
        <v>496</v>
      </c>
      <c r="S229" s="28">
        <f t="shared" si="18"/>
        <v>0</v>
      </c>
      <c r="T229" t="str">
        <f t="shared" si="19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5"/>
        <v/>
      </c>
      <c r="P230">
        <f>'Combined Delivery Data'!B228</f>
        <v>0</v>
      </c>
      <c r="Q230">
        <f t="shared" si="16"/>
        <v>0</v>
      </c>
      <c r="R230">
        <f t="shared" si="17"/>
        <v>496</v>
      </c>
      <c r="S230" s="28">
        <f t="shared" si="18"/>
        <v>0</v>
      </c>
      <c r="T230" t="str">
        <f t="shared" si="19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5"/>
        <v/>
      </c>
      <c r="P231">
        <f>'Combined Delivery Data'!B229</f>
        <v>0</v>
      </c>
      <c r="Q231">
        <f t="shared" si="16"/>
        <v>0</v>
      </c>
      <c r="R231">
        <f t="shared" si="17"/>
        <v>496</v>
      </c>
      <c r="S231" s="28">
        <f t="shared" si="18"/>
        <v>0</v>
      </c>
      <c r="T231" t="str">
        <f t="shared" si="19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5"/>
        <v/>
      </c>
      <c r="P232">
        <f>'Combined Delivery Data'!B230</f>
        <v>0</v>
      </c>
      <c r="Q232">
        <f t="shared" si="16"/>
        <v>0</v>
      </c>
      <c r="R232">
        <f t="shared" si="17"/>
        <v>496</v>
      </c>
      <c r="S232" s="28">
        <f t="shared" si="18"/>
        <v>0</v>
      </c>
      <c r="T232" t="str">
        <f t="shared" si="19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5"/>
        <v/>
      </c>
      <c r="P233">
        <f>'Combined Delivery Data'!B231</f>
        <v>0</v>
      </c>
      <c r="Q233">
        <f t="shared" si="16"/>
        <v>0</v>
      </c>
      <c r="R233">
        <f t="shared" si="17"/>
        <v>496</v>
      </c>
      <c r="S233" s="28">
        <f t="shared" si="18"/>
        <v>0</v>
      </c>
      <c r="T233" t="str">
        <f t="shared" si="19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5"/>
        <v/>
      </c>
      <c r="P234">
        <f>'Combined Delivery Data'!B232</f>
        <v>0</v>
      </c>
      <c r="Q234">
        <f t="shared" si="16"/>
        <v>0</v>
      </c>
      <c r="R234">
        <f t="shared" si="17"/>
        <v>496</v>
      </c>
      <c r="S234" s="28">
        <f t="shared" si="18"/>
        <v>0</v>
      </c>
      <c r="T234" t="str">
        <f t="shared" si="19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5"/>
        <v/>
      </c>
      <c r="P235">
        <f>'Combined Delivery Data'!B233</f>
        <v>0</v>
      </c>
      <c r="Q235">
        <f t="shared" si="16"/>
        <v>0</v>
      </c>
      <c r="R235">
        <f t="shared" si="17"/>
        <v>496</v>
      </c>
      <c r="S235" s="28">
        <f t="shared" si="18"/>
        <v>0</v>
      </c>
      <c r="T235" t="str">
        <f t="shared" si="19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5"/>
        <v/>
      </c>
      <c r="P236">
        <f>'Combined Delivery Data'!B234</f>
        <v>0</v>
      </c>
      <c r="Q236">
        <f t="shared" si="16"/>
        <v>0</v>
      </c>
      <c r="R236">
        <f t="shared" si="17"/>
        <v>496</v>
      </c>
      <c r="S236" s="28">
        <f t="shared" si="18"/>
        <v>0</v>
      </c>
      <c r="T236" t="str">
        <f t="shared" si="19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5"/>
        <v/>
      </c>
      <c r="P237">
        <f>'Combined Delivery Data'!B235</f>
        <v>0</v>
      </c>
      <c r="Q237">
        <f t="shared" si="16"/>
        <v>0</v>
      </c>
      <c r="R237">
        <f t="shared" si="17"/>
        <v>496</v>
      </c>
      <c r="S237" s="28">
        <f t="shared" si="18"/>
        <v>0</v>
      </c>
      <c r="T237" t="str">
        <f t="shared" si="19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5"/>
        <v/>
      </c>
      <c r="P238">
        <f>'Combined Delivery Data'!B236</f>
        <v>0</v>
      </c>
      <c r="Q238">
        <f t="shared" si="16"/>
        <v>0</v>
      </c>
      <c r="R238">
        <f t="shared" si="17"/>
        <v>496</v>
      </c>
      <c r="S238" s="28">
        <f t="shared" si="18"/>
        <v>0</v>
      </c>
      <c r="T238" t="str">
        <f t="shared" si="19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5"/>
        <v/>
      </c>
      <c r="P239">
        <f>'Combined Delivery Data'!B237</f>
        <v>0</v>
      </c>
      <c r="Q239">
        <f t="shared" si="16"/>
        <v>0</v>
      </c>
      <c r="R239">
        <f t="shared" si="17"/>
        <v>496</v>
      </c>
      <c r="S239" s="28">
        <f t="shared" si="18"/>
        <v>0</v>
      </c>
      <c r="T239" t="str">
        <f t="shared" si="19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5"/>
        <v/>
      </c>
      <c r="P240">
        <f>'Combined Delivery Data'!B238</f>
        <v>0</v>
      </c>
      <c r="Q240">
        <f t="shared" si="16"/>
        <v>0</v>
      </c>
      <c r="R240">
        <f t="shared" si="17"/>
        <v>496</v>
      </c>
      <c r="S240" s="28">
        <f t="shared" si="18"/>
        <v>0</v>
      </c>
      <c r="T240" t="str">
        <f t="shared" si="19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5"/>
        <v/>
      </c>
      <c r="P241">
        <f>'Combined Delivery Data'!B239</f>
        <v>0</v>
      </c>
      <c r="Q241">
        <f t="shared" si="16"/>
        <v>0</v>
      </c>
      <c r="R241">
        <f t="shared" si="17"/>
        <v>496</v>
      </c>
      <c r="S241" s="28">
        <f t="shared" si="18"/>
        <v>0</v>
      </c>
      <c r="T241" t="str">
        <f t="shared" si="19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5"/>
        <v/>
      </c>
      <c r="P242">
        <f>'Combined Delivery Data'!B240</f>
        <v>0</v>
      </c>
      <c r="Q242">
        <f t="shared" si="16"/>
        <v>0</v>
      </c>
      <c r="R242">
        <f t="shared" si="17"/>
        <v>496</v>
      </c>
      <c r="S242" s="28">
        <f t="shared" si="18"/>
        <v>0</v>
      </c>
      <c r="T242" t="str">
        <f t="shared" si="19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5"/>
        <v/>
      </c>
      <c r="P243">
        <f>'Combined Delivery Data'!B241</f>
        <v>0</v>
      </c>
      <c r="Q243">
        <f t="shared" si="16"/>
        <v>0</v>
      </c>
      <c r="R243">
        <f t="shared" si="17"/>
        <v>496</v>
      </c>
      <c r="S243" s="28">
        <f t="shared" si="18"/>
        <v>0</v>
      </c>
      <c r="T243" t="str">
        <f t="shared" si="19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5"/>
        <v/>
      </c>
      <c r="P244">
        <f>'Combined Delivery Data'!B242</f>
        <v>0</v>
      </c>
      <c r="Q244">
        <f t="shared" si="16"/>
        <v>0</v>
      </c>
      <c r="R244">
        <f t="shared" si="17"/>
        <v>496</v>
      </c>
      <c r="S244" s="28">
        <f t="shared" si="18"/>
        <v>0</v>
      </c>
      <c r="T244" t="str">
        <f t="shared" si="19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5"/>
        <v/>
      </c>
      <c r="P245">
        <f>'Combined Delivery Data'!B243</f>
        <v>0</v>
      </c>
      <c r="Q245">
        <f t="shared" si="16"/>
        <v>0</v>
      </c>
      <c r="R245">
        <f t="shared" si="17"/>
        <v>496</v>
      </c>
      <c r="S245" s="28">
        <f t="shared" si="18"/>
        <v>0</v>
      </c>
      <c r="T245" t="str">
        <f t="shared" si="19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5"/>
        <v/>
      </c>
      <c r="P246">
        <f>'Combined Delivery Data'!B244</f>
        <v>0</v>
      </c>
      <c r="Q246">
        <f t="shared" si="16"/>
        <v>0</v>
      </c>
      <c r="R246">
        <f t="shared" si="17"/>
        <v>496</v>
      </c>
      <c r="S246" s="28">
        <f t="shared" si="18"/>
        <v>0</v>
      </c>
      <c r="T246" t="str">
        <f t="shared" si="19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5"/>
        <v/>
      </c>
      <c r="P247">
        <f>'Combined Delivery Data'!B245</f>
        <v>0</v>
      </c>
      <c r="Q247">
        <f t="shared" si="16"/>
        <v>0</v>
      </c>
      <c r="R247">
        <f t="shared" si="17"/>
        <v>496</v>
      </c>
      <c r="S247" s="28">
        <f t="shared" si="18"/>
        <v>0</v>
      </c>
      <c r="T247" t="str">
        <f t="shared" si="19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5"/>
        <v/>
      </c>
      <c r="P248">
        <f>'Combined Delivery Data'!B246</f>
        <v>0</v>
      </c>
      <c r="Q248">
        <f t="shared" si="16"/>
        <v>0</v>
      </c>
      <c r="R248">
        <f t="shared" si="17"/>
        <v>496</v>
      </c>
      <c r="S248" s="28">
        <f t="shared" si="18"/>
        <v>0</v>
      </c>
      <c r="T248" t="str">
        <f t="shared" si="19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5"/>
        <v/>
      </c>
      <c r="P249">
        <f>'Combined Delivery Data'!B247</f>
        <v>0</v>
      </c>
      <c r="Q249">
        <f t="shared" si="16"/>
        <v>0</v>
      </c>
      <c r="R249">
        <f t="shared" si="17"/>
        <v>496</v>
      </c>
      <c r="S249" s="28">
        <f t="shared" si="18"/>
        <v>0</v>
      </c>
      <c r="T249" t="str">
        <f t="shared" si="19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5"/>
        <v/>
      </c>
      <c r="P250">
        <f>'Combined Delivery Data'!B248</f>
        <v>0</v>
      </c>
      <c r="Q250">
        <f t="shared" si="16"/>
        <v>0</v>
      </c>
      <c r="R250">
        <f t="shared" si="17"/>
        <v>496</v>
      </c>
      <c r="S250" s="28">
        <f t="shared" si="18"/>
        <v>0</v>
      </c>
      <c r="T250" t="str">
        <f t="shared" si="19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5"/>
        <v/>
      </c>
      <c r="P251">
        <f>'Combined Delivery Data'!B249</f>
        <v>0</v>
      </c>
      <c r="Q251">
        <f t="shared" si="16"/>
        <v>0</v>
      </c>
      <c r="R251">
        <f t="shared" si="17"/>
        <v>496</v>
      </c>
      <c r="S251" s="28">
        <f t="shared" si="18"/>
        <v>0</v>
      </c>
      <c r="T251" t="str">
        <f t="shared" si="19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5"/>
        <v/>
      </c>
      <c r="P252">
        <f>'Combined Delivery Data'!B250</f>
        <v>0</v>
      </c>
      <c r="Q252">
        <f t="shared" si="16"/>
        <v>0</v>
      </c>
      <c r="R252">
        <f t="shared" si="17"/>
        <v>496</v>
      </c>
      <c r="S252" s="28">
        <f t="shared" si="18"/>
        <v>0</v>
      </c>
      <c r="T252" t="str">
        <f t="shared" si="19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5"/>
        <v/>
      </c>
      <c r="P253">
        <f>'Combined Delivery Data'!B251</f>
        <v>0</v>
      </c>
      <c r="Q253">
        <f t="shared" si="16"/>
        <v>0</v>
      </c>
      <c r="R253">
        <f t="shared" si="17"/>
        <v>496</v>
      </c>
      <c r="S253" s="28">
        <f t="shared" si="18"/>
        <v>0</v>
      </c>
      <c r="T253" t="str">
        <f t="shared" si="19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5"/>
        <v/>
      </c>
      <c r="P254">
        <f>'Combined Delivery Data'!B252</f>
        <v>0</v>
      </c>
      <c r="Q254">
        <f t="shared" si="16"/>
        <v>0</v>
      </c>
      <c r="R254">
        <f t="shared" si="17"/>
        <v>496</v>
      </c>
      <c r="S254" s="28">
        <f t="shared" si="18"/>
        <v>0</v>
      </c>
      <c r="T254" t="str">
        <f t="shared" si="19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5"/>
        <v/>
      </c>
      <c r="P255">
        <f>'Combined Delivery Data'!B253</f>
        <v>0</v>
      </c>
      <c r="Q255">
        <f t="shared" si="16"/>
        <v>0</v>
      </c>
      <c r="R255">
        <f t="shared" si="17"/>
        <v>496</v>
      </c>
      <c r="S255" s="28">
        <f t="shared" si="18"/>
        <v>0</v>
      </c>
      <c r="T255" t="str">
        <f t="shared" si="19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5"/>
        <v/>
      </c>
      <c r="P256">
        <f>'Combined Delivery Data'!B254</f>
        <v>0</v>
      </c>
      <c r="Q256">
        <f t="shared" si="16"/>
        <v>0</v>
      </c>
      <c r="R256">
        <f t="shared" si="17"/>
        <v>496</v>
      </c>
      <c r="S256" s="28">
        <f t="shared" si="18"/>
        <v>0</v>
      </c>
      <c r="T256" t="str">
        <f t="shared" si="19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5"/>
        <v/>
      </c>
      <c r="P257">
        <f>'Combined Delivery Data'!B255</f>
        <v>0</v>
      </c>
      <c r="Q257">
        <f t="shared" si="16"/>
        <v>0</v>
      </c>
      <c r="R257">
        <f t="shared" si="17"/>
        <v>496</v>
      </c>
      <c r="S257" s="28">
        <f t="shared" si="18"/>
        <v>0</v>
      </c>
      <c r="T257" t="str">
        <f t="shared" si="19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5"/>
        <v/>
      </c>
      <c r="P258">
        <f>'Combined Delivery Data'!B256</f>
        <v>0</v>
      </c>
      <c r="Q258">
        <f t="shared" si="16"/>
        <v>0</v>
      </c>
      <c r="R258">
        <f t="shared" si="17"/>
        <v>496</v>
      </c>
      <c r="S258" s="28">
        <f t="shared" si="18"/>
        <v>0</v>
      </c>
      <c r="T258" t="str">
        <f t="shared" si="19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496</v>
      </c>
      <c r="S259" s="28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0"/>
        <v/>
      </c>
      <c r="P260">
        <f>'Combined Delivery Data'!B258</f>
        <v>0</v>
      </c>
      <c r="Q260">
        <f t="shared" si="21"/>
        <v>0</v>
      </c>
      <c r="R260">
        <f t="shared" si="22"/>
        <v>496</v>
      </c>
      <c r="S260" s="28">
        <f t="shared" si="23"/>
        <v>0</v>
      </c>
      <c r="T260" t="str">
        <f t="shared" si="24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0"/>
        <v/>
      </c>
      <c r="P261">
        <f>'Combined Delivery Data'!B259</f>
        <v>0</v>
      </c>
      <c r="Q261">
        <f t="shared" si="21"/>
        <v>0</v>
      </c>
      <c r="R261">
        <f t="shared" si="22"/>
        <v>496</v>
      </c>
      <c r="S261" s="28">
        <f t="shared" si="23"/>
        <v>0</v>
      </c>
      <c r="T261" t="str">
        <f t="shared" si="24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0"/>
        <v/>
      </c>
      <c r="P262">
        <f>'Combined Delivery Data'!B260</f>
        <v>0</v>
      </c>
      <c r="Q262">
        <f t="shared" si="21"/>
        <v>0</v>
      </c>
      <c r="R262">
        <f t="shared" si="22"/>
        <v>496</v>
      </c>
      <c r="S262" s="28">
        <f t="shared" si="23"/>
        <v>0</v>
      </c>
      <c r="T262" t="str">
        <f t="shared" si="24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0"/>
        <v/>
      </c>
      <c r="P263">
        <f>'Combined Delivery Data'!B261</f>
        <v>0</v>
      </c>
      <c r="Q263">
        <f t="shared" si="21"/>
        <v>0</v>
      </c>
      <c r="R263">
        <f t="shared" si="22"/>
        <v>496</v>
      </c>
      <c r="S263" s="28">
        <f t="shared" si="23"/>
        <v>0</v>
      </c>
      <c r="T263" t="str">
        <f t="shared" si="24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0"/>
        <v/>
      </c>
      <c r="P264">
        <f>'Combined Delivery Data'!B262</f>
        <v>0</v>
      </c>
      <c r="Q264">
        <f t="shared" si="21"/>
        <v>0</v>
      </c>
      <c r="R264">
        <f t="shared" si="22"/>
        <v>496</v>
      </c>
      <c r="S264" s="28">
        <f t="shared" si="23"/>
        <v>0</v>
      </c>
      <c r="T264" t="str">
        <f t="shared" si="24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0"/>
        <v/>
      </c>
      <c r="P265">
        <f>'Combined Delivery Data'!B263</f>
        <v>0</v>
      </c>
      <c r="Q265">
        <f t="shared" si="21"/>
        <v>0</v>
      </c>
      <c r="R265">
        <f t="shared" si="22"/>
        <v>496</v>
      </c>
      <c r="S265" s="28">
        <f t="shared" si="23"/>
        <v>0</v>
      </c>
      <c r="T265" t="str">
        <f t="shared" si="24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0"/>
        <v/>
      </c>
      <c r="P266">
        <f>'Combined Delivery Data'!B264</f>
        <v>0</v>
      </c>
      <c r="Q266">
        <f t="shared" si="21"/>
        <v>0</v>
      </c>
      <c r="R266">
        <f t="shared" si="22"/>
        <v>496</v>
      </c>
      <c r="S266" s="28">
        <f t="shared" si="23"/>
        <v>0</v>
      </c>
      <c r="T266" t="str">
        <f t="shared" si="24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0"/>
        <v/>
      </c>
      <c r="P267">
        <f>'Combined Delivery Data'!B265</f>
        <v>0</v>
      </c>
      <c r="Q267">
        <f t="shared" si="21"/>
        <v>0</v>
      </c>
      <c r="R267">
        <f t="shared" si="22"/>
        <v>496</v>
      </c>
      <c r="S267" s="28">
        <f t="shared" si="23"/>
        <v>0</v>
      </c>
      <c r="T267" t="str">
        <f t="shared" si="24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0"/>
        <v/>
      </c>
      <c r="P268">
        <f>'Combined Delivery Data'!B266</f>
        <v>0</v>
      </c>
      <c r="Q268">
        <f t="shared" si="21"/>
        <v>0</v>
      </c>
      <c r="R268">
        <f t="shared" si="22"/>
        <v>496</v>
      </c>
      <c r="S268" s="28">
        <f t="shared" si="23"/>
        <v>0</v>
      </c>
      <c r="T268" t="str">
        <f t="shared" si="24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0"/>
        <v/>
      </c>
      <c r="P269">
        <f>'Combined Delivery Data'!B267</f>
        <v>0</v>
      </c>
      <c r="Q269">
        <f t="shared" si="21"/>
        <v>0</v>
      </c>
      <c r="R269">
        <f t="shared" si="22"/>
        <v>496</v>
      </c>
      <c r="S269" s="28">
        <f t="shared" si="23"/>
        <v>0</v>
      </c>
      <c r="T269" t="str">
        <f t="shared" si="24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0"/>
        <v/>
      </c>
      <c r="P270">
        <f>'Combined Delivery Data'!B268</f>
        <v>0</v>
      </c>
      <c r="Q270">
        <f t="shared" si="21"/>
        <v>0</v>
      </c>
      <c r="R270">
        <f t="shared" si="22"/>
        <v>496</v>
      </c>
      <c r="S270" s="28">
        <f t="shared" si="23"/>
        <v>0</v>
      </c>
      <c r="T270" t="str">
        <f t="shared" si="24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0"/>
        <v/>
      </c>
      <c r="P271">
        <f>'Combined Delivery Data'!B269</f>
        <v>0</v>
      </c>
      <c r="Q271">
        <f t="shared" si="21"/>
        <v>0</v>
      </c>
      <c r="R271">
        <f t="shared" si="22"/>
        <v>496</v>
      </c>
      <c r="S271" s="28">
        <f t="shared" si="23"/>
        <v>0</v>
      </c>
      <c r="T271" t="str">
        <f t="shared" si="24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0"/>
        <v/>
      </c>
      <c r="P272">
        <f>'Combined Delivery Data'!B270</f>
        <v>0</v>
      </c>
      <c r="Q272">
        <f t="shared" si="21"/>
        <v>0</v>
      </c>
      <c r="R272">
        <f t="shared" si="22"/>
        <v>496</v>
      </c>
      <c r="S272" s="28">
        <f t="shared" si="23"/>
        <v>0</v>
      </c>
      <c r="T272" t="str">
        <f t="shared" si="24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0"/>
        <v/>
      </c>
      <c r="P273">
        <f>'Combined Delivery Data'!B271</f>
        <v>0</v>
      </c>
      <c r="Q273">
        <f t="shared" si="21"/>
        <v>0</v>
      </c>
      <c r="R273">
        <f t="shared" si="22"/>
        <v>496</v>
      </c>
      <c r="S273" s="28">
        <f t="shared" si="23"/>
        <v>0</v>
      </c>
      <c r="T273" t="str">
        <f t="shared" si="24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0"/>
        <v/>
      </c>
      <c r="P274">
        <f>'Combined Delivery Data'!B272</f>
        <v>0</v>
      </c>
      <c r="Q274">
        <f t="shared" si="21"/>
        <v>0</v>
      </c>
      <c r="R274">
        <f t="shared" si="22"/>
        <v>496</v>
      </c>
      <c r="S274" s="28">
        <f t="shared" si="23"/>
        <v>0</v>
      </c>
      <c r="T274" t="str">
        <f t="shared" si="24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0"/>
        <v/>
      </c>
      <c r="P275">
        <f>'Combined Delivery Data'!B273</f>
        <v>0</v>
      </c>
      <c r="Q275">
        <f t="shared" si="21"/>
        <v>0</v>
      </c>
      <c r="R275">
        <f t="shared" si="22"/>
        <v>496</v>
      </c>
      <c r="S275" s="28">
        <f t="shared" si="23"/>
        <v>0</v>
      </c>
      <c r="T275" t="str">
        <f t="shared" si="24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0"/>
        <v/>
      </c>
      <c r="P276">
        <f>'Combined Delivery Data'!B274</f>
        <v>0</v>
      </c>
      <c r="Q276">
        <f t="shared" si="21"/>
        <v>0</v>
      </c>
      <c r="R276">
        <f t="shared" si="22"/>
        <v>496</v>
      </c>
      <c r="S276" s="28">
        <f t="shared" si="23"/>
        <v>0</v>
      </c>
      <c r="T276" t="str">
        <f t="shared" si="24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0"/>
        <v/>
      </c>
      <c r="P277">
        <f>'Combined Delivery Data'!B275</f>
        <v>0</v>
      </c>
      <c r="Q277">
        <f t="shared" si="21"/>
        <v>0</v>
      </c>
      <c r="R277">
        <f t="shared" si="22"/>
        <v>496</v>
      </c>
      <c r="S277" s="28">
        <f t="shared" si="23"/>
        <v>0</v>
      </c>
      <c r="T277" t="str">
        <f t="shared" si="24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0"/>
        <v/>
      </c>
      <c r="P278">
        <f>'Combined Delivery Data'!B276</f>
        <v>0</v>
      </c>
      <c r="Q278">
        <f t="shared" si="21"/>
        <v>0</v>
      </c>
      <c r="R278">
        <f t="shared" si="22"/>
        <v>496</v>
      </c>
      <c r="S278" s="28">
        <f t="shared" si="23"/>
        <v>0</v>
      </c>
      <c r="T278" t="str">
        <f t="shared" si="24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0"/>
        <v/>
      </c>
      <c r="P279">
        <f>'Combined Delivery Data'!B277</f>
        <v>0</v>
      </c>
      <c r="Q279">
        <f t="shared" si="21"/>
        <v>0</v>
      </c>
      <c r="R279">
        <f t="shared" si="22"/>
        <v>496</v>
      </c>
      <c r="S279" s="28">
        <f t="shared" si="23"/>
        <v>0</v>
      </c>
      <c r="T279" t="str">
        <f t="shared" si="24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0"/>
        <v/>
      </c>
      <c r="P280">
        <f>'Combined Delivery Data'!B278</f>
        <v>0</v>
      </c>
      <c r="Q280">
        <f t="shared" si="21"/>
        <v>0</v>
      </c>
      <c r="R280">
        <f t="shared" si="22"/>
        <v>496</v>
      </c>
      <c r="S280" s="28">
        <f t="shared" si="23"/>
        <v>0</v>
      </c>
      <c r="T280" t="str">
        <f t="shared" si="24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0"/>
        <v/>
      </c>
      <c r="P281">
        <f>'Combined Delivery Data'!B279</f>
        <v>0</v>
      </c>
      <c r="Q281">
        <f t="shared" si="21"/>
        <v>0</v>
      </c>
      <c r="R281">
        <f t="shared" si="22"/>
        <v>496</v>
      </c>
      <c r="S281" s="28">
        <f t="shared" si="23"/>
        <v>0</v>
      </c>
      <c r="T281" t="str">
        <f t="shared" si="24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0"/>
        <v/>
      </c>
      <c r="P282">
        <f>'Combined Delivery Data'!B280</f>
        <v>0</v>
      </c>
      <c r="Q282">
        <f t="shared" si="21"/>
        <v>0</v>
      </c>
      <c r="R282">
        <f t="shared" si="22"/>
        <v>496</v>
      </c>
      <c r="S282" s="28">
        <f t="shared" si="23"/>
        <v>0</v>
      </c>
      <c r="T282" t="str">
        <f t="shared" si="24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0"/>
        <v/>
      </c>
      <c r="P283">
        <f>'Combined Delivery Data'!B281</f>
        <v>0</v>
      </c>
      <c r="Q283">
        <f t="shared" si="21"/>
        <v>0</v>
      </c>
      <c r="R283">
        <f t="shared" si="22"/>
        <v>496</v>
      </c>
      <c r="S283" s="28">
        <f t="shared" si="23"/>
        <v>0</v>
      </c>
      <c r="T283" t="str">
        <f t="shared" si="24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0"/>
        <v/>
      </c>
      <c r="P284">
        <f>'Combined Delivery Data'!B282</f>
        <v>0</v>
      </c>
      <c r="Q284">
        <f t="shared" si="21"/>
        <v>0</v>
      </c>
      <c r="R284">
        <f t="shared" si="22"/>
        <v>496</v>
      </c>
      <c r="S284" s="28">
        <f t="shared" si="23"/>
        <v>0</v>
      </c>
      <c r="T284" t="str">
        <f t="shared" si="24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0"/>
        <v/>
      </c>
      <c r="P285">
        <f>'Combined Delivery Data'!B283</f>
        <v>0</v>
      </c>
      <c r="Q285">
        <f t="shared" si="21"/>
        <v>0</v>
      </c>
      <c r="R285">
        <f t="shared" si="22"/>
        <v>496</v>
      </c>
      <c r="S285" s="28">
        <f t="shared" si="23"/>
        <v>0</v>
      </c>
      <c r="T285" t="str">
        <f t="shared" si="24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0"/>
        <v/>
      </c>
      <c r="P286">
        <f>'Combined Delivery Data'!B284</f>
        <v>0</v>
      </c>
      <c r="Q286">
        <f t="shared" si="21"/>
        <v>0</v>
      </c>
      <c r="R286">
        <f t="shared" si="22"/>
        <v>496</v>
      </c>
      <c r="S286" s="28">
        <f t="shared" si="23"/>
        <v>0</v>
      </c>
      <c r="T286" t="str">
        <f t="shared" si="24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0"/>
        <v/>
      </c>
      <c r="P287">
        <f>'Combined Delivery Data'!B285</f>
        <v>0</v>
      </c>
      <c r="Q287">
        <f t="shared" si="21"/>
        <v>0</v>
      </c>
      <c r="R287">
        <f t="shared" si="22"/>
        <v>496</v>
      </c>
      <c r="S287" s="28">
        <f t="shared" si="23"/>
        <v>0</v>
      </c>
      <c r="T287" t="str">
        <f t="shared" si="24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0"/>
        <v/>
      </c>
      <c r="P288">
        <f>'Combined Delivery Data'!B286</f>
        <v>0</v>
      </c>
      <c r="Q288">
        <f t="shared" si="21"/>
        <v>0</v>
      </c>
      <c r="R288">
        <f t="shared" si="22"/>
        <v>496</v>
      </c>
      <c r="S288" s="28">
        <f t="shared" si="23"/>
        <v>0</v>
      </c>
      <c r="T288" t="str">
        <f t="shared" si="24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0"/>
        <v/>
      </c>
      <c r="P289">
        <f>'Combined Delivery Data'!B287</f>
        <v>0</v>
      </c>
      <c r="Q289">
        <f t="shared" si="21"/>
        <v>0</v>
      </c>
      <c r="R289">
        <f t="shared" si="22"/>
        <v>496</v>
      </c>
      <c r="S289" s="28">
        <f t="shared" si="23"/>
        <v>0</v>
      </c>
      <c r="T289" t="str">
        <f t="shared" si="24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0"/>
        <v/>
      </c>
      <c r="P290">
        <f>'Combined Delivery Data'!B288</f>
        <v>0</v>
      </c>
      <c r="Q290">
        <f t="shared" si="21"/>
        <v>0</v>
      </c>
      <c r="R290">
        <f t="shared" si="22"/>
        <v>496</v>
      </c>
      <c r="S290" s="28">
        <f t="shared" si="23"/>
        <v>0</v>
      </c>
      <c r="T290" t="str">
        <f t="shared" si="24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0"/>
        <v/>
      </c>
      <c r="P291">
        <f>'Combined Delivery Data'!B289</f>
        <v>0</v>
      </c>
      <c r="Q291">
        <f t="shared" si="21"/>
        <v>0</v>
      </c>
      <c r="R291">
        <f t="shared" si="22"/>
        <v>496</v>
      </c>
      <c r="S291" s="28">
        <f t="shared" si="23"/>
        <v>0</v>
      </c>
      <c r="T291" t="str">
        <f t="shared" si="24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0"/>
        <v/>
      </c>
      <c r="P292">
        <f>'Combined Delivery Data'!B290</f>
        <v>0</v>
      </c>
      <c r="Q292">
        <f t="shared" si="21"/>
        <v>0</v>
      </c>
      <c r="R292">
        <f t="shared" si="22"/>
        <v>496</v>
      </c>
      <c r="S292" s="28">
        <f t="shared" si="23"/>
        <v>0</v>
      </c>
      <c r="T292" t="str">
        <f t="shared" si="24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0"/>
        <v/>
      </c>
      <c r="P293">
        <f>'Combined Delivery Data'!B291</f>
        <v>0</v>
      </c>
      <c r="Q293">
        <f t="shared" si="21"/>
        <v>0</v>
      </c>
      <c r="R293">
        <f t="shared" si="22"/>
        <v>496</v>
      </c>
      <c r="S293" s="28">
        <f t="shared" si="23"/>
        <v>0</v>
      </c>
      <c r="T293" t="str">
        <f t="shared" si="24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0"/>
        <v/>
      </c>
      <c r="P294">
        <f>'Combined Delivery Data'!B292</f>
        <v>0</v>
      </c>
      <c r="Q294">
        <f t="shared" si="21"/>
        <v>0</v>
      </c>
      <c r="R294">
        <f t="shared" si="22"/>
        <v>496</v>
      </c>
      <c r="S294" s="28">
        <f t="shared" si="23"/>
        <v>0</v>
      </c>
      <c r="T294" t="str">
        <f t="shared" si="24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0"/>
        <v/>
      </c>
      <c r="P295">
        <f>'Combined Delivery Data'!B293</f>
        <v>0</v>
      </c>
      <c r="Q295">
        <f t="shared" si="21"/>
        <v>0</v>
      </c>
      <c r="R295">
        <f t="shared" si="22"/>
        <v>496</v>
      </c>
      <c r="S295" s="28">
        <f t="shared" si="23"/>
        <v>0</v>
      </c>
      <c r="T295" t="str">
        <f t="shared" si="24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0"/>
        <v/>
      </c>
      <c r="P296">
        <f>'Combined Delivery Data'!B294</f>
        <v>0</v>
      </c>
      <c r="Q296">
        <f t="shared" si="21"/>
        <v>0</v>
      </c>
      <c r="R296">
        <f t="shared" si="22"/>
        <v>496</v>
      </c>
      <c r="S296" s="28">
        <f t="shared" si="23"/>
        <v>0</v>
      </c>
      <c r="T296" t="str">
        <f t="shared" si="24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0"/>
        <v/>
      </c>
      <c r="P297">
        <f>'Combined Delivery Data'!B295</f>
        <v>0</v>
      </c>
      <c r="Q297">
        <f t="shared" si="21"/>
        <v>0</v>
      </c>
      <c r="R297">
        <f t="shared" si="22"/>
        <v>496</v>
      </c>
      <c r="S297" s="28">
        <f t="shared" si="23"/>
        <v>0</v>
      </c>
      <c r="T297" t="str">
        <f t="shared" si="24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0"/>
        <v/>
      </c>
      <c r="P298">
        <f>'Combined Delivery Data'!B296</f>
        <v>0</v>
      </c>
      <c r="Q298">
        <f t="shared" si="21"/>
        <v>0</v>
      </c>
      <c r="R298">
        <f t="shared" si="22"/>
        <v>496</v>
      </c>
      <c r="S298" s="28">
        <f t="shared" si="23"/>
        <v>0</v>
      </c>
      <c r="T298" t="str">
        <f t="shared" si="24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0"/>
        <v/>
      </c>
      <c r="P299">
        <f>'Combined Delivery Data'!B297</f>
        <v>0</v>
      </c>
      <c r="Q299">
        <f t="shared" si="21"/>
        <v>0</v>
      </c>
      <c r="R299">
        <f t="shared" si="22"/>
        <v>496</v>
      </c>
      <c r="S299" s="28">
        <f t="shared" si="23"/>
        <v>0</v>
      </c>
      <c r="T299" t="str">
        <f t="shared" si="24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0"/>
        <v/>
      </c>
      <c r="P300">
        <f>'Combined Delivery Data'!B298</f>
        <v>0</v>
      </c>
      <c r="Q300">
        <f t="shared" si="21"/>
        <v>0</v>
      </c>
      <c r="R300">
        <f t="shared" si="22"/>
        <v>496</v>
      </c>
      <c r="S300" s="28">
        <f t="shared" si="23"/>
        <v>0</v>
      </c>
      <c r="T300" t="str">
        <f t="shared" si="24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0"/>
        <v/>
      </c>
      <c r="P301">
        <f>'Combined Delivery Data'!B299</f>
        <v>0</v>
      </c>
      <c r="Q301">
        <f t="shared" si="21"/>
        <v>0</v>
      </c>
      <c r="R301">
        <f t="shared" si="22"/>
        <v>496</v>
      </c>
      <c r="S301" s="28">
        <f t="shared" si="23"/>
        <v>0</v>
      </c>
      <c r="T301" t="str">
        <f t="shared" si="24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0"/>
        <v/>
      </c>
      <c r="P302">
        <f>'Combined Delivery Data'!B300</f>
        <v>0</v>
      </c>
      <c r="Q302">
        <f t="shared" si="21"/>
        <v>0</v>
      </c>
      <c r="R302">
        <f t="shared" si="22"/>
        <v>496</v>
      </c>
      <c r="S302" s="28">
        <f t="shared" si="23"/>
        <v>0</v>
      </c>
      <c r="T302" t="str">
        <f t="shared" si="24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0"/>
        <v/>
      </c>
      <c r="P303">
        <f>'Combined Delivery Data'!B301</f>
        <v>0</v>
      </c>
      <c r="Q303">
        <f t="shared" si="21"/>
        <v>0</v>
      </c>
      <c r="R303">
        <f t="shared" si="22"/>
        <v>496</v>
      </c>
      <c r="S303" s="28">
        <f t="shared" si="23"/>
        <v>0</v>
      </c>
      <c r="T303" t="str">
        <f t="shared" si="24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0"/>
        <v/>
      </c>
      <c r="P304">
        <f>'Combined Delivery Data'!B302</f>
        <v>0</v>
      </c>
      <c r="Q304">
        <f t="shared" si="21"/>
        <v>0</v>
      </c>
      <c r="R304">
        <f t="shared" si="22"/>
        <v>496</v>
      </c>
      <c r="S304" s="28">
        <f t="shared" si="23"/>
        <v>0</v>
      </c>
      <c r="T304" t="str">
        <f t="shared" si="24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0"/>
        <v/>
      </c>
      <c r="P305">
        <f>'Combined Delivery Data'!B303</f>
        <v>0</v>
      </c>
      <c r="Q305">
        <f t="shared" si="21"/>
        <v>0</v>
      </c>
      <c r="R305">
        <f t="shared" si="22"/>
        <v>496</v>
      </c>
      <c r="S305" s="28">
        <f t="shared" si="23"/>
        <v>0</v>
      </c>
      <c r="T305" t="str">
        <f t="shared" si="24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0"/>
        <v/>
      </c>
      <c r="P306">
        <f>'Combined Delivery Data'!B304</f>
        <v>0</v>
      </c>
      <c r="Q306">
        <f t="shared" si="21"/>
        <v>0</v>
      </c>
      <c r="R306">
        <f t="shared" si="22"/>
        <v>496</v>
      </c>
      <c r="S306" s="28">
        <f t="shared" si="23"/>
        <v>0</v>
      </c>
      <c r="T306" t="str">
        <f t="shared" si="24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0"/>
        <v/>
      </c>
      <c r="P307">
        <f>'Combined Delivery Data'!B305</f>
        <v>0</v>
      </c>
      <c r="Q307">
        <f t="shared" si="21"/>
        <v>0</v>
      </c>
      <c r="R307">
        <f t="shared" si="22"/>
        <v>496</v>
      </c>
      <c r="S307" s="28">
        <f t="shared" si="23"/>
        <v>0</v>
      </c>
      <c r="T307" t="str">
        <f t="shared" si="24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0"/>
        <v/>
      </c>
      <c r="P308">
        <f>'Combined Delivery Data'!B306</f>
        <v>0</v>
      </c>
      <c r="Q308">
        <f t="shared" si="21"/>
        <v>0</v>
      </c>
      <c r="R308">
        <f t="shared" si="22"/>
        <v>496</v>
      </c>
      <c r="S308" s="28">
        <f t="shared" si="23"/>
        <v>0</v>
      </c>
      <c r="T308" t="str">
        <f t="shared" si="24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0"/>
        <v/>
      </c>
      <c r="P309">
        <f>'Combined Delivery Data'!B307</f>
        <v>0</v>
      </c>
      <c r="Q309">
        <f t="shared" si="21"/>
        <v>0</v>
      </c>
      <c r="R309">
        <f t="shared" si="22"/>
        <v>496</v>
      </c>
      <c r="S309" s="28">
        <f t="shared" si="23"/>
        <v>0</v>
      </c>
      <c r="T309" t="str">
        <f t="shared" si="24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0"/>
        <v/>
      </c>
      <c r="P310">
        <f>'Combined Delivery Data'!B308</f>
        <v>0</v>
      </c>
      <c r="Q310">
        <f t="shared" si="21"/>
        <v>0</v>
      </c>
      <c r="R310">
        <f t="shared" si="22"/>
        <v>496</v>
      </c>
      <c r="S310" s="28">
        <f t="shared" si="23"/>
        <v>0</v>
      </c>
      <c r="T310" t="str">
        <f t="shared" si="24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0"/>
        <v/>
      </c>
      <c r="P311">
        <f>'Combined Delivery Data'!B309</f>
        <v>0</v>
      </c>
      <c r="Q311">
        <f t="shared" si="21"/>
        <v>0</v>
      </c>
      <c r="R311">
        <f t="shared" si="22"/>
        <v>496</v>
      </c>
      <c r="S311" s="28">
        <f t="shared" si="23"/>
        <v>0</v>
      </c>
      <c r="T311" t="str">
        <f t="shared" si="24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0"/>
        <v/>
      </c>
      <c r="P312">
        <f>'Combined Delivery Data'!B310</f>
        <v>0</v>
      </c>
      <c r="Q312">
        <f t="shared" si="21"/>
        <v>0</v>
      </c>
      <c r="R312">
        <f t="shared" si="22"/>
        <v>496</v>
      </c>
      <c r="S312" s="28">
        <f t="shared" si="23"/>
        <v>0</v>
      </c>
      <c r="T312" t="str">
        <f t="shared" si="24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0"/>
        <v/>
      </c>
      <c r="P313">
        <f>'Combined Delivery Data'!B311</f>
        <v>0</v>
      </c>
      <c r="Q313">
        <f t="shared" si="21"/>
        <v>0</v>
      </c>
      <c r="R313">
        <f t="shared" si="22"/>
        <v>496</v>
      </c>
      <c r="S313" s="28">
        <f t="shared" si="23"/>
        <v>0</v>
      </c>
      <c r="T313" t="str">
        <f t="shared" si="24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0"/>
        <v/>
      </c>
      <c r="P314">
        <f>'Combined Delivery Data'!B312</f>
        <v>0</v>
      </c>
      <c r="Q314">
        <f t="shared" si="21"/>
        <v>0</v>
      </c>
      <c r="R314">
        <f t="shared" si="22"/>
        <v>496</v>
      </c>
      <c r="S314" s="28">
        <f t="shared" si="23"/>
        <v>0</v>
      </c>
      <c r="T314" t="str">
        <f t="shared" si="24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0"/>
        <v/>
      </c>
      <c r="P315">
        <f>'Combined Delivery Data'!B313</f>
        <v>0</v>
      </c>
      <c r="Q315">
        <f t="shared" si="21"/>
        <v>0</v>
      </c>
      <c r="R315">
        <f t="shared" si="22"/>
        <v>496</v>
      </c>
      <c r="S315" s="28">
        <f t="shared" si="23"/>
        <v>0</v>
      </c>
      <c r="T315" t="str">
        <f t="shared" si="24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0"/>
        <v/>
      </c>
      <c r="P316">
        <f>'Combined Delivery Data'!B314</f>
        <v>0</v>
      </c>
      <c r="Q316">
        <f t="shared" si="21"/>
        <v>0</v>
      </c>
      <c r="R316">
        <f t="shared" si="22"/>
        <v>496</v>
      </c>
      <c r="S316" s="28">
        <f t="shared" si="23"/>
        <v>0</v>
      </c>
      <c r="T316" t="str">
        <f t="shared" si="24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0"/>
        <v/>
      </c>
      <c r="P317">
        <f>'Combined Delivery Data'!B315</f>
        <v>0</v>
      </c>
      <c r="Q317">
        <f t="shared" si="21"/>
        <v>0</v>
      </c>
      <c r="R317">
        <f t="shared" si="22"/>
        <v>496</v>
      </c>
      <c r="S317" s="28">
        <f t="shared" si="23"/>
        <v>0</v>
      </c>
      <c r="T317" t="str">
        <f t="shared" si="24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0"/>
        <v/>
      </c>
      <c r="P318">
        <f>'Combined Delivery Data'!B316</f>
        <v>0</v>
      </c>
      <c r="Q318">
        <f t="shared" si="21"/>
        <v>0</v>
      </c>
      <c r="R318">
        <f t="shared" si="22"/>
        <v>496</v>
      </c>
      <c r="S318" s="28">
        <f t="shared" si="23"/>
        <v>0</v>
      </c>
      <c r="T318" t="str">
        <f t="shared" si="24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0"/>
        <v/>
      </c>
      <c r="P319">
        <f>'Combined Delivery Data'!B317</f>
        <v>0</v>
      </c>
      <c r="Q319">
        <f t="shared" si="21"/>
        <v>0</v>
      </c>
      <c r="R319">
        <f t="shared" si="22"/>
        <v>496</v>
      </c>
      <c r="S319" s="28">
        <f t="shared" si="23"/>
        <v>0</v>
      </c>
      <c r="T319" t="str">
        <f t="shared" si="24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0"/>
        <v/>
      </c>
      <c r="P320">
        <f>'Combined Delivery Data'!B318</f>
        <v>0</v>
      </c>
      <c r="Q320">
        <f t="shared" si="21"/>
        <v>0</v>
      </c>
      <c r="R320">
        <f t="shared" si="22"/>
        <v>496</v>
      </c>
      <c r="S320" s="28">
        <f t="shared" si="23"/>
        <v>0</v>
      </c>
      <c r="T320" t="str">
        <f t="shared" si="24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0"/>
        <v/>
      </c>
      <c r="P321">
        <f>'Combined Delivery Data'!B319</f>
        <v>0</v>
      </c>
      <c r="Q321">
        <f t="shared" si="21"/>
        <v>0</v>
      </c>
      <c r="R321">
        <f t="shared" si="22"/>
        <v>496</v>
      </c>
      <c r="S321" s="28">
        <f t="shared" si="23"/>
        <v>0</v>
      </c>
      <c r="T321" t="str">
        <f t="shared" si="24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0"/>
        <v/>
      </c>
      <c r="P322">
        <f>'Combined Delivery Data'!B320</f>
        <v>0</v>
      </c>
      <c r="Q322">
        <f t="shared" si="21"/>
        <v>0</v>
      </c>
      <c r="R322">
        <f t="shared" si="22"/>
        <v>496</v>
      </c>
      <c r="S322" s="28">
        <f t="shared" si="23"/>
        <v>0</v>
      </c>
      <c r="T322" t="str">
        <f t="shared" si="24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496</v>
      </c>
      <c r="S323" s="28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5"/>
        <v/>
      </c>
      <c r="P324">
        <f>'Combined Delivery Data'!B322</f>
        <v>0</v>
      </c>
      <c r="Q324">
        <f t="shared" si="26"/>
        <v>0</v>
      </c>
      <c r="R324">
        <f t="shared" si="27"/>
        <v>496</v>
      </c>
      <c r="S324" s="28">
        <f t="shared" si="28"/>
        <v>0</v>
      </c>
      <c r="T324" t="str">
        <f t="shared" si="29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5"/>
        <v/>
      </c>
      <c r="P325">
        <f>'Combined Delivery Data'!B323</f>
        <v>0</v>
      </c>
      <c r="Q325">
        <f t="shared" si="26"/>
        <v>0</v>
      </c>
      <c r="R325">
        <f t="shared" si="27"/>
        <v>496</v>
      </c>
      <c r="S325" s="28">
        <f t="shared" si="28"/>
        <v>0</v>
      </c>
      <c r="T325" t="str">
        <f t="shared" si="29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5"/>
        <v/>
      </c>
      <c r="P326">
        <f>'Combined Delivery Data'!B324</f>
        <v>0</v>
      </c>
      <c r="Q326">
        <f t="shared" si="26"/>
        <v>0</v>
      </c>
      <c r="R326">
        <f t="shared" si="27"/>
        <v>496</v>
      </c>
      <c r="S326" s="28">
        <f t="shared" si="28"/>
        <v>0</v>
      </c>
      <c r="T326" t="str">
        <f t="shared" si="29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5"/>
        <v/>
      </c>
      <c r="P327">
        <f>'Combined Delivery Data'!B325</f>
        <v>0</v>
      </c>
      <c r="Q327">
        <f t="shared" si="26"/>
        <v>0</v>
      </c>
      <c r="R327">
        <f t="shared" si="27"/>
        <v>496</v>
      </c>
      <c r="S327" s="28">
        <f t="shared" si="28"/>
        <v>0</v>
      </c>
      <c r="T327" t="str">
        <f t="shared" si="29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5"/>
        <v/>
      </c>
      <c r="P328">
        <f>'Combined Delivery Data'!B326</f>
        <v>0</v>
      </c>
      <c r="Q328">
        <f t="shared" si="26"/>
        <v>0</v>
      </c>
      <c r="R328">
        <f t="shared" si="27"/>
        <v>496</v>
      </c>
      <c r="S328" s="28">
        <f t="shared" si="28"/>
        <v>0</v>
      </c>
      <c r="T328" t="str">
        <f t="shared" si="29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5"/>
        <v/>
      </c>
      <c r="P329">
        <f>'Combined Delivery Data'!B327</f>
        <v>0</v>
      </c>
      <c r="Q329">
        <f t="shared" si="26"/>
        <v>0</v>
      </c>
      <c r="R329">
        <f t="shared" si="27"/>
        <v>496</v>
      </c>
      <c r="S329" s="28">
        <f t="shared" si="28"/>
        <v>0</v>
      </c>
      <c r="T329" t="str">
        <f t="shared" si="29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5"/>
        <v/>
      </c>
      <c r="P330">
        <f>'Combined Delivery Data'!B328</f>
        <v>0</v>
      </c>
      <c r="Q330">
        <f t="shared" si="26"/>
        <v>0</v>
      </c>
      <c r="R330">
        <f t="shared" si="27"/>
        <v>496</v>
      </c>
      <c r="S330" s="28">
        <f t="shared" si="28"/>
        <v>0</v>
      </c>
      <c r="T330" t="str">
        <f t="shared" si="29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5"/>
        <v/>
      </c>
      <c r="P331">
        <f>'Combined Delivery Data'!B329</f>
        <v>0</v>
      </c>
      <c r="Q331">
        <f t="shared" si="26"/>
        <v>0</v>
      </c>
      <c r="R331">
        <f t="shared" si="27"/>
        <v>496</v>
      </c>
      <c r="S331" s="28">
        <f t="shared" si="28"/>
        <v>0</v>
      </c>
      <c r="T331" t="str">
        <f t="shared" si="29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5"/>
        <v/>
      </c>
      <c r="P332">
        <f>'Combined Delivery Data'!B330</f>
        <v>0</v>
      </c>
      <c r="Q332">
        <f t="shared" si="26"/>
        <v>0</v>
      </c>
      <c r="R332">
        <f t="shared" si="27"/>
        <v>496</v>
      </c>
      <c r="S332" s="28">
        <f t="shared" si="28"/>
        <v>0</v>
      </c>
      <c r="T332" t="str">
        <f t="shared" si="29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5"/>
        <v/>
      </c>
      <c r="P333">
        <f>'Combined Delivery Data'!B331</f>
        <v>0</v>
      </c>
      <c r="Q333">
        <f t="shared" si="26"/>
        <v>0</v>
      </c>
      <c r="R333">
        <f t="shared" si="27"/>
        <v>496</v>
      </c>
      <c r="S333" s="28">
        <f t="shared" si="28"/>
        <v>0</v>
      </c>
      <c r="T333" t="str">
        <f t="shared" si="29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5"/>
        <v/>
      </c>
      <c r="P334">
        <f>'Combined Delivery Data'!B332</f>
        <v>0</v>
      </c>
      <c r="Q334">
        <f t="shared" si="26"/>
        <v>0</v>
      </c>
      <c r="R334">
        <f t="shared" si="27"/>
        <v>496</v>
      </c>
      <c r="S334" s="28">
        <f t="shared" si="28"/>
        <v>0</v>
      </c>
      <c r="T334" t="str">
        <f t="shared" si="29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5"/>
        <v/>
      </c>
      <c r="P335">
        <f>'Combined Delivery Data'!B333</f>
        <v>0</v>
      </c>
      <c r="Q335">
        <f t="shared" si="26"/>
        <v>0</v>
      </c>
      <c r="R335">
        <f t="shared" si="27"/>
        <v>496</v>
      </c>
      <c r="S335" s="28">
        <f t="shared" si="28"/>
        <v>0</v>
      </c>
      <c r="T335" t="str">
        <f t="shared" si="29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5"/>
        <v/>
      </c>
      <c r="P336">
        <f>'Combined Delivery Data'!B334</f>
        <v>0</v>
      </c>
      <c r="Q336">
        <f t="shared" si="26"/>
        <v>0</v>
      </c>
      <c r="R336">
        <f t="shared" si="27"/>
        <v>496</v>
      </c>
      <c r="S336" s="28">
        <f t="shared" si="28"/>
        <v>0</v>
      </c>
      <c r="T336" t="str">
        <f t="shared" si="29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5"/>
        <v/>
      </c>
      <c r="P337">
        <f>'Combined Delivery Data'!B335</f>
        <v>0</v>
      </c>
      <c r="Q337">
        <f t="shared" si="26"/>
        <v>0</v>
      </c>
      <c r="R337">
        <f t="shared" si="27"/>
        <v>496</v>
      </c>
      <c r="S337" s="28">
        <f t="shared" si="28"/>
        <v>0</v>
      </c>
      <c r="T337" t="str">
        <f t="shared" si="29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5"/>
        <v/>
      </c>
      <c r="P338">
        <f>'Combined Delivery Data'!B336</f>
        <v>0</v>
      </c>
      <c r="Q338">
        <f t="shared" si="26"/>
        <v>0</v>
      </c>
      <c r="R338">
        <f t="shared" si="27"/>
        <v>496</v>
      </c>
      <c r="S338" s="28">
        <f t="shared" si="28"/>
        <v>0</v>
      </c>
      <c r="T338" t="str">
        <f t="shared" si="29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5"/>
        <v/>
      </c>
      <c r="P339">
        <f>'Combined Delivery Data'!B337</f>
        <v>0</v>
      </c>
      <c r="Q339">
        <f t="shared" si="26"/>
        <v>0</v>
      </c>
      <c r="R339">
        <f t="shared" si="27"/>
        <v>496</v>
      </c>
      <c r="S339" s="28">
        <f t="shared" si="28"/>
        <v>0</v>
      </c>
      <c r="T339" t="str">
        <f t="shared" si="29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5"/>
        <v/>
      </c>
      <c r="P340">
        <f>'Combined Delivery Data'!B338</f>
        <v>0</v>
      </c>
      <c r="Q340">
        <f t="shared" si="26"/>
        <v>0</v>
      </c>
      <c r="R340">
        <f t="shared" si="27"/>
        <v>496</v>
      </c>
      <c r="S340" s="28">
        <f t="shared" si="28"/>
        <v>0</v>
      </c>
      <c r="T340" t="str">
        <f t="shared" si="29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5"/>
        <v/>
      </c>
      <c r="P341">
        <f>'Combined Delivery Data'!B339</f>
        <v>0</v>
      </c>
      <c r="Q341">
        <f t="shared" si="26"/>
        <v>0</v>
      </c>
      <c r="R341">
        <f t="shared" si="27"/>
        <v>496</v>
      </c>
      <c r="S341" s="28">
        <f t="shared" si="28"/>
        <v>0</v>
      </c>
      <c r="T341" t="str">
        <f t="shared" si="29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5"/>
        <v/>
      </c>
      <c r="P342">
        <f>'Combined Delivery Data'!B340</f>
        <v>0</v>
      </c>
      <c r="Q342">
        <f t="shared" si="26"/>
        <v>0</v>
      </c>
      <c r="R342">
        <f t="shared" si="27"/>
        <v>496</v>
      </c>
      <c r="S342" s="28">
        <f t="shared" si="28"/>
        <v>0</v>
      </c>
      <c r="T342" t="str">
        <f t="shared" si="29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5"/>
        <v/>
      </c>
      <c r="P343">
        <f>'Combined Delivery Data'!B341</f>
        <v>0</v>
      </c>
      <c r="Q343">
        <f t="shared" si="26"/>
        <v>0</v>
      </c>
      <c r="R343">
        <f t="shared" si="27"/>
        <v>496</v>
      </c>
      <c r="S343" s="28">
        <f t="shared" si="28"/>
        <v>0</v>
      </c>
      <c r="T343" t="str">
        <f t="shared" si="29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5"/>
        <v/>
      </c>
      <c r="P344">
        <f>'Combined Delivery Data'!B342</f>
        <v>0</v>
      </c>
      <c r="Q344">
        <f t="shared" si="26"/>
        <v>0</v>
      </c>
      <c r="R344">
        <f t="shared" si="27"/>
        <v>496</v>
      </c>
      <c r="S344" s="28">
        <f t="shared" si="28"/>
        <v>0</v>
      </c>
      <c r="T344" t="str">
        <f t="shared" si="29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5"/>
        <v/>
      </c>
      <c r="P345">
        <f>'Combined Delivery Data'!B343</f>
        <v>0</v>
      </c>
      <c r="Q345">
        <f t="shared" si="26"/>
        <v>0</v>
      </c>
      <c r="R345">
        <f t="shared" si="27"/>
        <v>496</v>
      </c>
      <c r="S345" s="28">
        <f t="shared" si="28"/>
        <v>0</v>
      </c>
      <c r="T345" t="str">
        <f t="shared" si="29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5"/>
        <v/>
      </c>
      <c r="P346">
        <f>'Combined Delivery Data'!B344</f>
        <v>0</v>
      </c>
      <c r="Q346">
        <f t="shared" si="26"/>
        <v>0</v>
      </c>
      <c r="R346">
        <f t="shared" si="27"/>
        <v>496</v>
      </c>
      <c r="S346" s="28">
        <f t="shared" si="28"/>
        <v>0</v>
      </c>
      <c r="T346" t="str">
        <f t="shared" si="29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5"/>
        <v/>
      </c>
      <c r="P347">
        <f>'Combined Delivery Data'!B345</f>
        <v>0</v>
      </c>
      <c r="Q347">
        <f t="shared" si="26"/>
        <v>0</v>
      </c>
      <c r="R347">
        <f t="shared" si="27"/>
        <v>496</v>
      </c>
      <c r="S347" s="28">
        <f t="shared" si="28"/>
        <v>0</v>
      </c>
      <c r="T347" t="str">
        <f t="shared" si="29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5"/>
        <v/>
      </c>
      <c r="P348">
        <f>'Combined Delivery Data'!B346</f>
        <v>0</v>
      </c>
      <c r="Q348">
        <f t="shared" si="26"/>
        <v>0</v>
      </c>
      <c r="R348">
        <f t="shared" si="27"/>
        <v>496</v>
      </c>
      <c r="S348" s="28">
        <f t="shared" si="28"/>
        <v>0</v>
      </c>
      <c r="T348" t="str">
        <f t="shared" si="29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5"/>
        <v/>
      </c>
      <c r="P349">
        <f>'Combined Delivery Data'!B347</f>
        <v>0</v>
      </c>
      <c r="Q349">
        <f t="shared" si="26"/>
        <v>0</v>
      </c>
      <c r="R349">
        <f t="shared" si="27"/>
        <v>496</v>
      </c>
      <c r="S349" s="28">
        <f t="shared" si="28"/>
        <v>0</v>
      </c>
      <c r="T349" t="str">
        <f t="shared" si="29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5"/>
        <v/>
      </c>
      <c r="P350">
        <f>'Combined Delivery Data'!B348</f>
        <v>0</v>
      </c>
      <c r="Q350">
        <f t="shared" si="26"/>
        <v>0</v>
      </c>
      <c r="R350">
        <f t="shared" si="27"/>
        <v>496</v>
      </c>
      <c r="S350" s="28">
        <f t="shared" si="28"/>
        <v>0</v>
      </c>
      <c r="T350" t="str">
        <f t="shared" si="29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5"/>
        <v/>
      </c>
      <c r="P351">
        <f>'Combined Delivery Data'!B349</f>
        <v>0</v>
      </c>
      <c r="Q351">
        <f t="shared" si="26"/>
        <v>0</v>
      </c>
      <c r="R351">
        <f t="shared" si="27"/>
        <v>496</v>
      </c>
      <c r="S351" s="28">
        <f t="shared" si="28"/>
        <v>0</v>
      </c>
      <c r="T351" t="str">
        <f t="shared" si="29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5"/>
        <v/>
      </c>
      <c r="P352">
        <f>'Combined Delivery Data'!B350</f>
        <v>0</v>
      </c>
      <c r="Q352">
        <f t="shared" si="26"/>
        <v>0</v>
      </c>
      <c r="R352">
        <f t="shared" si="27"/>
        <v>496</v>
      </c>
      <c r="S352" s="28">
        <f t="shared" si="28"/>
        <v>0</v>
      </c>
      <c r="T352" t="str">
        <f t="shared" si="29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5"/>
        <v/>
      </c>
      <c r="P353">
        <f>'Combined Delivery Data'!B351</f>
        <v>0</v>
      </c>
      <c r="Q353">
        <f t="shared" si="26"/>
        <v>0</v>
      </c>
      <c r="R353">
        <f t="shared" si="27"/>
        <v>496</v>
      </c>
      <c r="S353" s="28">
        <f t="shared" si="28"/>
        <v>0</v>
      </c>
      <c r="T353" t="str">
        <f t="shared" si="29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5"/>
        <v/>
      </c>
      <c r="P354">
        <f>'Combined Delivery Data'!B352</f>
        <v>0</v>
      </c>
      <c r="Q354">
        <f t="shared" si="26"/>
        <v>0</v>
      </c>
      <c r="R354">
        <f t="shared" si="27"/>
        <v>496</v>
      </c>
      <c r="S354" s="28">
        <f t="shared" si="28"/>
        <v>0</v>
      </c>
      <c r="T354" t="str">
        <f t="shared" si="29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5"/>
        <v/>
      </c>
      <c r="P355">
        <f>'Combined Delivery Data'!B353</f>
        <v>0</v>
      </c>
      <c r="Q355">
        <f t="shared" si="26"/>
        <v>0</v>
      </c>
      <c r="R355">
        <f t="shared" si="27"/>
        <v>496</v>
      </c>
      <c r="S355" s="28">
        <f t="shared" si="28"/>
        <v>0</v>
      </c>
      <c r="T355" t="str">
        <f t="shared" si="29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5"/>
        <v/>
      </c>
      <c r="P356">
        <f>'Combined Delivery Data'!B354</f>
        <v>0</v>
      </c>
      <c r="Q356">
        <f t="shared" si="26"/>
        <v>0</v>
      </c>
      <c r="R356">
        <f t="shared" si="27"/>
        <v>496</v>
      </c>
      <c r="S356" s="28">
        <f t="shared" si="28"/>
        <v>0</v>
      </c>
      <c r="T356" t="str">
        <f t="shared" si="29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5"/>
        <v/>
      </c>
      <c r="P357">
        <f>'Combined Delivery Data'!B355</f>
        <v>0</v>
      </c>
      <c r="Q357">
        <f t="shared" si="26"/>
        <v>0</v>
      </c>
      <c r="R357">
        <f t="shared" si="27"/>
        <v>496</v>
      </c>
      <c r="S357" s="28">
        <f t="shared" si="28"/>
        <v>0</v>
      </c>
      <c r="T357" t="str">
        <f t="shared" si="29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5"/>
        <v/>
      </c>
      <c r="P358">
        <f>'Combined Delivery Data'!B356</f>
        <v>0</v>
      </c>
      <c r="Q358">
        <f t="shared" si="26"/>
        <v>0</v>
      </c>
      <c r="R358">
        <f t="shared" si="27"/>
        <v>496</v>
      </c>
      <c r="S358" s="28">
        <f t="shared" si="28"/>
        <v>0</v>
      </c>
      <c r="T358" t="str">
        <f t="shared" si="29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5"/>
        <v/>
      </c>
      <c r="P359">
        <f>'Combined Delivery Data'!B357</f>
        <v>0</v>
      </c>
      <c r="Q359">
        <f t="shared" si="26"/>
        <v>0</v>
      </c>
      <c r="R359">
        <f t="shared" si="27"/>
        <v>496</v>
      </c>
      <c r="S359" s="28">
        <f t="shared" si="28"/>
        <v>0</v>
      </c>
      <c r="T359" t="str">
        <f t="shared" si="29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5"/>
        <v/>
      </c>
      <c r="P360">
        <f>'Combined Delivery Data'!B358</f>
        <v>0</v>
      </c>
      <c r="Q360">
        <f t="shared" si="26"/>
        <v>0</v>
      </c>
      <c r="R360">
        <f t="shared" si="27"/>
        <v>496</v>
      </c>
      <c r="S360" s="28">
        <f t="shared" si="28"/>
        <v>0</v>
      </c>
      <c r="T360" t="str">
        <f t="shared" si="29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5"/>
        <v/>
      </c>
      <c r="P361">
        <f>'Combined Delivery Data'!B359</f>
        <v>0</v>
      </c>
      <c r="Q361">
        <f t="shared" si="26"/>
        <v>0</v>
      </c>
      <c r="R361">
        <f t="shared" si="27"/>
        <v>496</v>
      </c>
      <c r="S361" s="28">
        <f t="shared" si="28"/>
        <v>0</v>
      </c>
      <c r="T361" t="str">
        <f t="shared" si="29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5"/>
        <v/>
      </c>
      <c r="P362">
        <f>'Combined Delivery Data'!B360</f>
        <v>0</v>
      </c>
      <c r="Q362">
        <f t="shared" si="26"/>
        <v>0</v>
      </c>
      <c r="R362">
        <f t="shared" si="27"/>
        <v>496</v>
      </c>
      <c r="S362" s="28">
        <f t="shared" si="28"/>
        <v>0</v>
      </c>
      <c r="T362" t="str">
        <f t="shared" si="29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5"/>
        <v/>
      </c>
      <c r="P363">
        <f>'Combined Delivery Data'!B361</f>
        <v>0</v>
      </c>
      <c r="Q363">
        <f t="shared" si="26"/>
        <v>0</v>
      </c>
      <c r="R363">
        <f t="shared" si="27"/>
        <v>496</v>
      </c>
      <c r="S363" s="28">
        <f t="shared" si="28"/>
        <v>0</v>
      </c>
      <c r="T363" t="str">
        <f t="shared" si="29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5"/>
        <v/>
      </c>
      <c r="P364">
        <f>'Combined Delivery Data'!B362</f>
        <v>0</v>
      </c>
      <c r="Q364">
        <f t="shared" si="26"/>
        <v>0</v>
      </c>
      <c r="R364">
        <f t="shared" si="27"/>
        <v>496</v>
      </c>
      <c r="S364" s="28">
        <f t="shared" si="28"/>
        <v>0</v>
      </c>
      <c r="T364" t="str">
        <f t="shared" si="29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5"/>
        <v/>
      </c>
      <c r="P365">
        <f>'Combined Delivery Data'!B363</f>
        <v>0</v>
      </c>
      <c r="Q365">
        <f t="shared" si="26"/>
        <v>0</v>
      </c>
      <c r="R365">
        <f t="shared" si="27"/>
        <v>496</v>
      </c>
      <c r="S365" s="28">
        <f t="shared" si="28"/>
        <v>0</v>
      </c>
      <c r="T365" t="str">
        <f t="shared" si="29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5"/>
        <v/>
      </c>
      <c r="P366">
        <f>'Combined Delivery Data'!B364</f>
        <v>0</v>
      </c>
      <c r="Q366">
        <f t="shared" si="26"/>
        <v>0</v>
      </c>
      <c r="R366">
        <f t="shared" si="27"/>
        <v>496</v>
      </c>
      <c r="S366" s="28">
        <f t="shared" si="28"/>
        <v>0</v>
      </c>
      <c r="T366" t="str">
        <f t="shared" si="29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5"/>
        <v/>
      </c>
      <c r="P367">
        <f>'Combined Delivery Data'!B365</f>
        <v>0</v>
      </c>
      <c r="Q367">
        <f t="shared" si="26"/>
        <v>0</v>
      </c>
      <c r="R367">
        <f t="shared" si="27"/>
        <v>496</v>
      </c>
      <c r="S367" s="28">
        <f t="shared" si="28"/>
        <v>0</v>
      </c>
      <c r="T367" t="str">
        <f t="shared" si="29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5"/>
        <v/>
      </c>
      <c r="P368">
        <f>'Combined Delivery Data'!B366</f>
        <v>0</v>
      </c>
      <c r="Q368">
        <f t="shared" si="26"/>
        <v>0</v>
      </c>
      <c r="R368">
        <f t="shared" si="27"/>
        <v>496</v>
      </c>
      <c r="S368" s="28">
        <f t="shared" si="28"/>
        <v>0</v>
      </c>
      <c r="T368" t="str">
        <f t="shared" si="29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5"/>
        <v/>
      </c>
      <c r="P369">
        <f>'Combined Delivery Data'!B367</f>
        <v>0</v>
      </c>
      <c r="Q369">
        <f t="shared" si="26"/>
        <v>0</v>
      </c>
      <c r="R369">
        <f t="shared" si="27"/>
        <v>496</v>
      </c>
      <c r="S369" s="28">
        <f t="shared" si="28"/>
        <v>0</v>
      </c>
      <c r="T369" t="str">
        <f t="shared" si="29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5"/>
        <v/>
      </c>
      <c r="P370">
        <f>'Combined Delivery Data'!B368</f>
        <v>0</v>
      </c>
      <c r="Q370">
        <f t="shared" si="26"/>
        <v>0</v>
      </c>
      <c r="R370">
        <f t="shared" si="27"/>
        <v>496</v>
      </c>
      <c r="S370" s="28">
        <f t="shared" si="28"/>
        <v>0</v>
      </c>
      <c r="T370" t="str">
        <f t="shared" si="29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5"/>
        <v/>
      </c>
      <c r="P371">
        <f>'Combined Delivery Data'!B369</f>
        <v>0</v>
      </c>
      <c r="Q371">
        <f t="shared" si="26"/>
        <v>0</v>
      </c>
      <c r="R371">
        <f t="shared" si="27"/>
        <v>496</v>
      </c>
      <c r="S371" s="28">
        <f t="shared" si="28"/>
        <v>0</v>
      </c>
      <c r="T371" t="str">
        <f t="shared" si="29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5"/>
        <v/>
      </c>
      <c r="P372">
        <f>'Combined Delivery Data'!B370</f>
        <v>0</v>
      </c>
      <c r="Q372">
        <f t="shared" si="26"/>
        <v>0</v>
      </c>
      <c r="R372">
        <f t="shared" si="27"/>
        <v>496</v>
      </c>
      <c r="S372" s="28">
        <f t="shared" si="28"/>
        <v>0</v>
      </c>
      <c r="T372" t="str">
        <f t="shared" si="29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5"/>
        <v/>
      </c>
      <c r="P373">
        <f>'Combined Delivery Data'!B371</f>
        <v>0</v>
      </c>
      <c r="Q373">
        <f t="shared" si="26"/>
        <v>0</v>
      </c>
      <c r="R373">
        <f t="shared" si="27"/>
        <v>496</v>
      </c>
      <c r="S373" s="28">
        <f t="shared" si="28"/>
        <v>0</v>
      </c>
      <c r="T373" t="str">
        <f t="shared" si="29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5"/>
        <v/>
      </c>
      <c r="P374">
        <f>'Combined Delivery Data'!B372</f>
        <v>0</v>
      </c>
      <c r="Q374">
        <f t="shared" si="26"/>
        <v>0</v>
      </c>
      <c r="R374">
        <f t="shared" si="27"/>
        <v>496</v>
      </c>
      <c r="S374" s="28">
        <f t="shared" si="28"/>
        <v>0</v>
      </c>
      <c r="T374" t="str">
        <f t="shared" si="29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5"/>
        <v/>
      </c>
      <c r="P375">
        <f>'Combined Delivery Data'!B373</f>
        <v>0</v>
      </c>
      <c r="Q375">
        <f t="shared" si="26"/>
        <v>0</v>
      </c>
      <c r="R375">
        <f t="shared" si="27"/>
        <v>496</v>
      </c>
      <c r="S375" s="28">
        <f t="shared" si="28"/>
        <v>0</v>
      </c>
      <c r="T375" t="str">
        <f t="shared" si="29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5"/>
        <v/>
      </c>
      <c r="P376">
        <f>'Combined Delivery Data'!B374</f>
        <v>0</v>
      </c>
      <c r="Q376">
        <f t="shared" si="26"/>
        <v>0</v>
      </c>
      <c r="R376">
        <f t="shared" si="27"/>
        <v>496</v>
      </c>
      <c r="S376" s="28">
        <f t="shared" si="28"/>
        <v>0</v>
      </c>
      <c r="T376" t="str">
        <f t="shared" si="29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5"/>
        <v/>
      </c>
      <c r="P377">
        <f>'Combined Delivery Data'!B375</f>
        <v>0</v>
      </c>
      <c r="Q377">
        <f t="shared" si="26"/>
        <v>0</v>
      </c>
      <c r="R377">
        <f t="shared" si="27"/>
        <v>496</v>
      </c>
      <c r="S377" s="28">
        <f t="shared" si="28"/>
        <v>0</v>
      </c>
      <c r="T377" t="str">
        <f t="shared" si="29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5"/>
        <v/>
      </c>
      <c r="P378">
        <f>'Combined Delivery Data'!B376</f>
        <v>0</v>
      </c>
      <c r="Q378">
        <f t="shared" si="26"/>
        <v>0</v>
      </c>
      <c r="R378">
        <f t="shared" si="27"/>
        <v>496</v>
      </c>
      <c r="S378" s="28">
        <f t="shared" si="28"/>
        <v>0</v>
      </c>
      <c r="T378" t="str">
        <f t="shared" si="29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5"/>
        <v/>
      </c>
      <c r="P379">
        <f>'Combined Delivery Data'!B377</f>
        <v>0</v>
      </c>
      <c r="Q379">
        <f t="shared" si="26"/>
        <v>0</v>
      </c>
      <c r="R379">
        <f t="shared" si="27"/>
        <v>496</v>
      </c>
      <c r="S379" s="28">
        <f t="shared" si="28"/>
        <v>0</v>
      </c>
      <c r="T379" t="str">
        <f t="shared" si="29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5"/>
        <v/>
      </c>
      <c r="P380">
        <f>'Combined Delivery Data'!B378</f>
        <v>0</v>
      </c>
      <c r="Q380">
        <f t="shared" si="26"/>
        <v>0</v>
      </c>
      <c r="R380">
        <f t="shared" si="27"/>
        <v>496</v>
      </c>
      <c r="S380" s="28">
        <f t="shared" si="28"/>
        <v>0</v>
      </c>
      <c r="T380" t="str">
        <f t="shared" si="29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5"/>
        <v/>
      </c>
      <c r="P381">
        <f>'Combined Delivery Data'!B379</f>
        <v>0</v>
      </c>
      <c r="Q381">
        <f t="shared" si="26"/>
        <v>0</v>
      </c>
      <c r="R381">
        <f t="shared" si="27"/>
        <v>496</v>
      </c>
      <c r="S381" s="28">
        <f t="shared" si="28"/>
        <v>0</v>
      </c>
      <c r="T381" t="str">
        <f t="shared" si="29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5"/>
        <v/>
      </c>
      <c r="P382">
        <f>'Combined Delivery Data'!B380</f>
        <v>0</v>
      </c>
      <c r="Q382">
        <f t="shared" si="26"/>
        <v>0</v>
      </c>
      <c r="R382">
        <f t="shared" si="27"/>
        <v>496</v>
      </c>
      <c r="S382" s="28">
        <f t="shared" si="28"/>
        <v>0</v>
      </c>
      <c r="T382" t="str">
        <f t="shared" si="29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5"/>
        <v/>
      </c>
      <c r="P383">
        <f>'Combined Delivery Data'!B381</f>
        <v>0</v>
      </c>
      <c r="Q383">
        <f t="shared" si="26"/>
        <v>0</v>
      </c>
      <c r="R383">
        <f t="shared" si="27"/>
        <v>496</v>
      </c>
      <c r="S383" s="28">
        <f t="shared" si="28"/>
        <v>0</v>
      </c>
      <c r="T383" t="str">
        <f t="shared" si="29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5"/>
        <v/>
      </c>
      <c r="P384">
        <f>'Combined Delivery Data'!B382</f>
        <v>0</v>
      </c>
      <c r="Q384">
        <f t="shared" si="26"/>
        <v>0</v>
      </c>
      <c r="R384">
        <f t="shared" si="27"/>
        <v>496</v>
      </c>
      <c r="S384" s="28">
        <f t="shared" si="28"/>
        <v>0</v>
      </c>
      <c r="T384" t="str">
        <f t="shared" si="29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5"/>
        <v/>
      </c>
      <c r="P385">
        <f>'Combined Delivery Data'!B383</f>
        <v>0</v>
      </c>
      <c r="Q385">
        <f t="shared" si="26"/>
        <v>0</v>
      </c>
      <c r="R385">
        <f t="shared" si="27"/>
        <v>496</v>
      </c>
      <c r="S385" s="28">
        <f t="shared" si="28"/>
        <v>0</v>
      </c>
      <c r="T385" t="str">
        <f t="shared" si="29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5"/>
        <v/>
      </c>
      <c r="P386">
        <f>'Combined Delivery Data'!B384</f>
        <v>0</v>
      </c>
      <c r="Q386">
        <f t="shared" si="26"/>
        <v>0</v>
      </c>
      <c r="R386">
        <f t="shared" si="27"/>
        <v>496</v>
      </c>
      <c r="S386" s="28">
        <f t="shared" si="28"/>
        <v>0</v>
      </c>
      <c r="T386" t="str">
        <f t="shared" si="29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496</v>
      </c>
      <c r="S387" s="28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0"/>
        <v/>
      </c>
      <c r="P388">
        <f>'Combined Delivery Data'!B386</f>
        <v>0</v>
      </c>
      <c r="Q388">
        <f t="shared" si="31"/>
        <v>0</v>
      </c>
      <c r="R388">
        <f t="shared" si="32"/>
        <v>496</v>
      </c>
      <c r="S388" s="28">
        <f t="shared" si="33"/>
        <v>0</v>
      </c>
      <c r="T388" t="str">
        <f t="shared" si="34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0"/>
        <v/>
      </c>
      <c r="P389">
        <f>'Combined Delivery Data'!B387</f>
        <v>0</v>
      </c>
      <c r="Q389">
        <f t="shared" si="31"/>
        <v>0</v>
      </c>
      <c r="R389">
        <f t="shared" si="32"/>
        <v>496</v>
      </c>
      <c r="S389" s="28">
        <f t="shared" si="33"/>
        <v>0</v>
      </c>
      <c r="T389" t="str">
        <f t="shared" si="34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0"/>
        <v/>
      </c>
      <c r="P390">
        <f>'Combined Delivery Data'!B388</f>
        <v>0</v>
      </c>
      <c r="Q390">
        <f t="shared" si="31"/>
        <v>0</v>
      </c>
      <c r="R390">
        <f t="shared" si="32"/>
        <v>496</v>
      </c>
      <c r="S390" s="28">
        <f t="shared" si="33"/>
        <v>0</v>
      </c>
      <c r="T390" t="str">
        <f t="shared" si="34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0"/>
        <v/>
      </c>
      <c r="P391">
        <f>'Combined Delivery Data'!B389</f>
        <v>0</v>
      </c>
      <c r="Q391">
        <f t="shared" si="31"/>
        <v>0</v>
      </c>
      <c r="R391">
        <f t="shared" si="32"/>
        <v>496</v>
      </c>
      <c r="S391" s="28">
        <f t="shared" si="33"/>
        <v>0</v>
      </c>
      <c r="T391" t="str">
        <f t="shared" si="34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0"/>
        <v/>
      </c>
      <c r="P392">
        <f>'Combined Delivery Data'!B390</f>
        <v>0</v>
      </c>
      <c r="Q392">
        <f t="shared" si="31"/>
        <v>0</v>
      </c>
      <c r="R392">
        <f t="shared" si="32"/>
        <v>496</v>
      </c>
      <c r="S392" s="28">
        <f t="shared" si="33"/>
        <v>0</v>
      </c>
      <c r="T392" t="str">
        <f t="shared" si="34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0"/>
        <v/>
      </c>
      <c r="P393">
        <f>'Combined Delivery Data'!B391</f>
        <v>0</v>
      </c>
      <c r="Q393">
        <f t="shared" si="31"/>
        <v>0</v>
      </c>
      <c r="R393">
        <f t="shared" si="32"/>
        <v>496</v>
      </c>
      <c r="S393" s="28">
        <f t="shared" si="33"/>
        <v>0</v>
      </c>
      <c r="T393" t="str">
        <f t="shared" si="34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0"/>
        <v/>
      </c>
      <c r="P394">
        <f>'Combined Delivery Data'!B392</f>
        <v>0</v>
      </c>
      <c r="Q394">
        <f t="shared" si="31"/>
        <v>0</v>
      </c>
      <c r="R394">
        <f t="shared" si="32"/>
        <v>496</v>
      </c>
      <c r="S394" s="28">
        <f t="shared" si="33"/>
        <v>0</v>
      </c>
      <c r="T394" t="str">
        <f t="shared" si="34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0"/>
        <v/>
      </c>
      <c r="P395">
        <f>'Combined Delivery Data'!B393</f>
        <v>0</v>
      </c>
      <c r="Q395">
        <f t="shared" si="31"/>
        <v>0</v>
      </c>
      <c r="R395">
        <f t="shared" si="32"/>
        <v>496</v>
      </c>
      <c r="S395" s="28">
        <f t="shared" si="33"/>
        <v>0</v>
      </c>
      <c r="T395" t="str">
        <f t="shared" si="34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0"/>
        <v/>
      </c>
      <c r="P396">
        <f>'Combined Delivery Data'!B394</f>
        <v>0</v>
      </c>
      <c r="Q396">
        <f t="shared" si="31"/>
        <v>0</v>
      </c>
      <c r="R396">
        <f t="shared" si="32"/>
        <v>496</v>
      </c>
      <c r="S396" s="28">
        <f t="shared" si="33"/>
        <v>0</v>
      </c>
      <c r="T396" t="str">
        <f t="shared" si="34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0"/>
        <v/>
      </c>
      <c r="P397">
        <f>'Combined Delivery Data'!B395</f>
        <v>0</v>
      </c>
      <c r="Q397">
        <f t="shared" si="31"/>
        <v>0</v>
      </c>
      <c r="R397">
        <f t="shared" si="32"/>
        <v>496</v>
      </c>
      <c r="S397" s="28">
        <f t="shared" si="33"/>
        <v>0</v>
      </c>
      <c r="T397" t="str">
        <f t="shared" si="34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0"/>
        <v/>
      </c>
      <c r="P398">
        <f>'Combined Delivery Data'!B396</f>
        <v>0</v>
      </c>
      <c r="Q398">
        <f t="shared" si="31"/>
        <v>0</v>
      </c>
      <c r="R398">
        <f t="shared" si="32"/>
        <v>496</v>
      </c>
      <c r="S398" s="28">
        <f t="shared" si="33"/>
        <v>0</v>
      </c>
      <c r="T398" t="str">
        <f t="shared" si="34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0"/>
        <v/>
      </c>
      <c r="P399">
        <f>'Combined Delivery Data'!B397</f>
        <v>0</v>
      </c>
      <c r="Q399">
        <f t="shared" si="31"/>
        <v>0</v>
      </c>
      <c r="R399">
        <f t="shared" si="32"/>
        <v>496</v>
      </c>
      <c r="S399" s="28">
        <f t="shared" si="33"/>
        <v>0</v>
      </c>
      <c r="T399" t="str">
        <f t="shared" si="34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0"/>
        <v/>
      </c>
      <c r="P400">
        <f>'Combined Delivery Data'!B398</f>
        <v>0</v>
      </c>
      <c r="Q400">
        <f t="shared" si="31"/>
        <v>0</v>
      </c>
      <c r="R400">
        <f t="shared" si="32"/>
        <v>496</v>
      </c>
      <c r="S400" s="28">
        <f t="shared" si="33"/>
        <v>0</v>
      </c>
      <c r="T400" t="str">
        <f t="shared" si="34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0"/>
        <v/>
      </c>
      <c r="P401">
        <f>'Combined Delivery Data'!B399</f>
        <v>0</v>
      </c>
      <c r="Q401">
        <f t="shared" si="31"/>
        <v>0</v>
      </c>
      <c r="R401">
        <f t="shared" si="32"/>
        <v>496</v>
      </c>
      <c r="S401" s="28">
        <f t="shared" si="33"/>
        <v>0</v>
      </c>
      <c r="T401" t="str">
        <f t="shared" si="34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0"/>
        <v/>
      </c>
      <c r="P402">
        <f>'Combined Delivery Data'!B400</f>
        <v>0</v>
      </c>
      <c r="Q402">
        <f t="shared" si="31"/>
        <v>0</v>
      </c>
      <c r="R402">
        <f t="shared" si="32"/>
        <v>496</v>
      </c>
      <c r="S402" s="28">
        <f t="shared" si="33"/>
        <v>0</v>
      </c>
      <c r="T402" t="str">
        <f t="shared" si="34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0"/>
        <v/>
      </c>
      <c r="P403">
        <f>'Combined Delivery Data'!B401</f>
        <v>0</v>
      </c>
      <c r="Q403">
        <f t="shared" si="31"/>
        <v>0</v>
      </c>
      <c r="R403">
        <f t="shared" si="32"/>
        <v>496</v>
      </c>
      <c r="S403" s="28">
        <f t="shared" si="33"/>
        <v>0</v>
      </c>
      <c r="T403" t="str">
        <f t="shared" si="34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0"/>
        <v/>
      </c>
      <c r="P404">
        <f>'Combined Delivery Data'!B402</f>
        <v>0</v>
      </c>
      <c r="Q404">
        <f t="shared" si="31"/>
        <v>0</v>
      </c>
      <c r="R404">
        <f t="shared" si="32"/>
        <v>496</v>
      </c>
      <c r="S404" s="28">
        <f t="shared" si="33"/>
        <v>0</v>
      </c>
      <c r="T404" t="str">
        <f t="shared" si="34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0"/>
        <v/>
      </c>
      <c r="P405">
        <f>'Combined Delivery Data'!B403</f>
        <v>0</v>
      </c>
      <c r="Q405">
        <f t="shared" si="31"/>
        <v>0</v>
      </c>
      <c r="R405">
        <f t="shared" si="32"/>
        <v>496</v>
      </c>
      <c r="S405" s="28">
        <f t="shared" si="33"/>
        <v>0</v>
      </c>
      <c r="T405" t="str">
        <f t="shared" si="34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0"/>
        <v/>
      </c>
      <c r="P406">
        <f>'Combined Delivery Data'!B404</f>
        <v>0</v>
      </c>
      <c r="Q406">
        <f t="shared" si="31"/>
        <v>0</v>
      </c>
      <c r="R406">
        <f t="shared" si="32"/>
        <v>496</v>
      </c>
      <c r="S406" s="28">
        <f t="shared" si="33"/>
        <v>0</v>
      </c>
      <c r="T406" t="str">
        <f t="shared" si="34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0"/>
        <v/>
      </c>
      <c r="P407">
        <f>'Combined Delivery Data'!B405</f>
        <v>0</v>
      </c>
      <c r="Q407">
        <f t="shared" si="31"/>
        <v>0</v>
      </c>
      <c r="R407">
        <f t="shared" si="32"/>
        <v>496</v>
      </c>
      <c r="S407" s="28">
        <f t="shared" si="33"/>
        <v>0</v>
      </c>
      <c r="T407" t="str">
        <f t="shared" si="34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0"/>
        <v/>
      </c>
      <c r="P408">
        <f>'Combined Delivery Data'!B406</f>
        <v>0</v>
      </c>
      <c r="Q408">
        <f t="shared" si="31"/>
        <v>0</v>
      </c>
      <c r="R408">
        <f t="shared" si="32"/>
        <v>496</v>
      </c>
      <c r="S408" s="28">
        <f t="shared" si="33"/>
        <v>0</v>
      </c>
      <c r="T408" t="str">
        <f t="shared" si="34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0"/>
        <v/>
      </c>
      <c r="P409">
        <f>'Combined Delivery Data'!B407</f>
        <v>0</v>
      </c>
      <c r="Q409">
        <f t="shared" si="31"/>
        <v>0</v>
      </c>
      <c r="R409">
        <f t="shared" si="32"/>
        <v>496</v>
      </c>
      <c r="S409" s="28">
        <f t="shared" si="33"/>
        <v>0</v>
      </c>
      <c r="T409" t="str">
        <f t="shared" si="34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0"/>
        <v/>
      </c>
      <c r="P410">
        <f>'Combined Delivery Data'!B408</f>
        <v>0</v>
      </c>
      <c r="Q410">
        <f t="shared" si="31"/>
        <v>0</v>
      </c>
      <c r="R410">
        <f t="shared" si="32"/>
        <v>496</v>
      </c>
      <c r="S410" s="28">
        <f t="shared" si="33"/>
        <v>0</v>
      </c>
      <c r="T410" t="str">
        <f t="shared" si="34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0"/>
        <v/>
      </c>
      <c r="P411">
        <f>'Combined Delivery Data'!B409</f>
        <v>0</v>
      </c>
      <c r="Q411">
        <f t="shared" si="31"/>
        <v>0</v>
      </c>
      <c r="R411">
        <f t="shared" si="32"/>
        <v>496</v>
      </c>
      <c r="S411" s="28">
        <f t="shared" si="33"/>
        <v>0</v>
      </c>
      <c r="T411" t="str">
        <f t="shared" si="34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0"/>
        <v/>
      </c>
      <c r="P412">
        <f>'Combined Delivery Data'!B410</f>
        <v>0</v>
      </c>
      <c r="Q412">
        <f t="shared" si="31"/>
        <v>0</v>
      </c>
      <c r="R412">
        <f t="shared" si="32"/>
        <v>496</v>
      </c>
      <c r="S412" s="28">
        <f t="shared" si="33"/>
        <v>0</v>
      </c>
      <c r="T412" t="str">
        <f t="shared" si="34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0"/>
        <v/>
      </c>
      <c r="P413">
        <f>'Combined Delivery Data'!B411</f>
        <v>0</v>
      </c>
      <c r="Q413">
        <f t="shared" si="31"/>
        <v>0</v>
      </c>
      <c r="R413">
        <f t="shared" si="32"/>
        <v>496</v>
      </c>
      <c r="S413" s="28">
        <f t="shared" si="33"/>
        <v>0</v>
      </c>
      <c r="T413" t="str">
        <f t="shared" si="34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0"/>
        <v/>
      </c>
      <c r="P414">
        <f>'Combined Delivery Data'!B412</f>
        <v>0</v>
      </c>
      <c r="Q414">
        <f t="shared" si="31"/>
        <v>0</v>
      </c>
      <c r="R414">
        <f t="shared" si="32"/>
        <v>496</v>
      </c>
      <c r="S414" s="28">
        <f t="shared" si="33"/>
        <v>0</v>
      </c>
      <c r="T414" t="str">
        <f t="shared" si="34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0"/>
        <v/>
      </c>
      <c r="P415">
        <f>'Combined Delivery Data'!B413</f>
        <v>0</v>
      </c>
      <c r="Q415">
        <f t="shared" si="31"/>
        <v>0</v>
      </c>
      <c r="R415">
        <f t="shared" si="32"/>
        <v>496</v>
      </c>
      <c r="S415" s="28">
        <f t="shared" si="33"/>
        <v>0</v>
      </c>
      <c r="T415" t="str">
        <f t="shared" si="34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0"/>
        <v/>
      </c>
      <c r="P416">
        <f>'Combined Delivery Data'!B414</f>
        <v>0</v>
      </c>
      <c r="Q416">
        <f t="shared" si="31"/>
        <v>0</v>
      </c>
      <c r="R416">
        <f t="shared" si="32"/>
        <v>496</v>
      </c>
      <c r="S416" s="28">
        <f t="shared" si="33"/>
        <v>0</v>
      </c>
      <c r="T416" t="str">
        <f t="shared" si="34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0"/>
        <v/>
      </c>
      <c r="P417">
        <f>'Combined Delivery Data'!B415</f>
        <v>0</v>
      </c>
      <c r="Q417">
        <f t="shared" si="31"/>
        <v>0</v>
      </c>
      <c r="R417">
        <f t="shared" si="32"/>
        <v>496</v>
      </c>
      <c r="S417" s="28">
        <f t="shared" si="33"/>
        <v>0</v>
      </c>
      <c r="T417" t="str">
        <f t="shared" si="34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0"/>
        <v/>
      </c>
      <c r="P418">
        <f>'Combined Delivery Data'!B416</f>
        <v>0</v>
      </c>
      <c r="Q418">
        <f t="shared" si="31"/>
        <v>0</v>
      </c>
      <c r="R418">
        <f t="shared" si="32"/>
        <v>496</v>
      </c>
      <c r="S418" s="28">
        <f t="shared" si="33"/>
        <v>0</v>
      </c>
      <c r="T418" t="str">
        <f t="shared" si="34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0"/>
        <v/>
      </c>
      <c r="P419">
        <f>'Combined Delivery Data'!B417</f>
        <v>0</v>
      </c>
      <c r="Q419">
        <f t="shared" si="31"/>
        <v>0</v>
      </c>
      <c r="R419">
        <f t="shared" si="32"/>
        <v>496</v>
      </c>
      <c r="S419" s="28">
        <f t="shared" si="33"/>
        <v>0</v>
      </c>
      <c r="T419" t="str">
        <f t="shared" si="34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0"/>
        <v/>
      </c>
      <c r="P420">
        <f>'Combined Delivery Data'!B418</f>
        <v>0</v>
      </c>
      <c r="Q420">
        <f t="shared" si="31"/>
        <v>0</v>
      </c>
      <c r="R420">
        <f t="shared" si="32"/>
        <v>496</v>
      </c>
      <c r="S420" s="28">
        <f t="shared" si="33"/>
        <v>0</v>
      </c>
      <c r="T420" t="str">
        <f t="shared" si="34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0"/>
        <v/>
      </c>
      <c r="P421">
        <f>'Combined Delivery Data'!B419</f>
        <v>0</v>
      </c>
      <c r="Q421">
        <f t="shared" si="31"/>
        <v>0</v>
      </c>
      <c r="R421">
        <f t="shared" si="32"/>
        <v>496</v>
      </c>
      <c r="S421" s="28">
        <f t="shared" si="33"/>
        <v>0</v>
      </c>
      <c r="T421" t="str">
        <f t="shared" si="34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0"/>
        <v/>
      </c>
      <c r="P422">
        <f>'Combined Delivery Data'!B420</f>
        <v>0</v>
      </c>
      <c r="Q422">
        <f t="shared" si="31"/>
        <v>0</v>
      </c>
      <c r="R422">
        <f t="shared" si="32"/>
        <v>496</v>
      </c>
      <c r="S422" s="28">
        <f t="shared" si="33"/>
        <v>0</v>
      </c>
      <c r="T422" t="str">
        <f t="shared" si="34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0"/>
        <v/>
      </c>
      <c r="P423">
        <f>'Combined Delivery Data'!B421</f>
        <v>0</v>
      </c>
      <c r="Q423">
        <f t="shared" si="31"/>
        <v>0</v>
      </c>
      <c r="R423">
        <f t="shared" si="32"/>
        <v>496</v>
      </c>
      <c r="S423" s="28">
        <f t="shared" si="33"/>
        <v>0</v>
      </c>
      <c r="T423" t="str">
        <f t="shared" si="34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0"/>
        <v/>
      </c>
      <c r="P424">
        <f>'Combined Delivery Data'!B422</f>
        <v>0</v>
      </c>
      <c r="Q424">
        <f t="shared" si="31"/>
        <v>0</v>
      </c>
      <c r="R424">
        <f t="shared" si="32"/>
        <v>496</v>
      </c>
      <c r="S424" s="28">
        <f t="shared" si="33"/>
        <v>0</v>
      </c>
      <c r="T424" t="str">
        <f t="shared" si="34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0"/>
        <v/>
      </c>
      <c r="P425">
        <f>'Combined Delivery Data'!B423</f>
        <v>0</v>
      </c>
      <c r="Q425">
        <f t="shared" si="31"/>
        <v>0</v>
      </c>
      <c r="R425">
        <f t="shared" si="32"/>
        <v>496</v>
      </c>
      <c r="S425" s="28">
        <f t="shared" si="33"/>
        <v>0</v>
      </c>
      <c r="T425" t="str">
        <f t="shared" si="34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0"/>
        <v/>
      </c>
      <c r="P426">
        <f>'Combined Delivery Data'!B424</f>
        <v>0</v>
      </c>
      <c r="Q426">
        <f t="shared" si="31"/>
        <v>0</v>
      </c>
      <c r="R426">
        <f t="shared" si="32"/>
        <v>496</v>
      </c>
      <c r="S426" s="28">
        <f t="shared" si="33"/>
        <v>0</v>
      </c>
      <c r="T426" t="str">
        <f t="shared" si="34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0"/>
        <v/>
      </c>
      <c r="P427">
        <f>'Combined Delivery Data'!B425</f>
        <v>0</v>
      </c>
      <c r="Q427">
        <f t="shared" si="31"/>
        <v>0</v>
      </c>
      <c r="R427">
        <f t="shared" si="32"/>
        <v>496</v>
      </c>
      <c r="S427" s="28">
        <f t="shared" si="33"/>
        <v>0</v>
      </c>
      <c r="T427" t="str">
        <f t="shared" si="34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0"/>
        <v/>
      </c>
      <c r="P428">
        <f>'Combined Delivery Data'!B426</f>
        <v>0</v>
      </c>
      <c r="Q428">
        <f t="shared" si="31"/>
        <v>0</v>
      </c>
      <c r="R428">
        <f t="shared" si="32"/>
        <v>496</v>
      </c>
      <c r="S428" s="28">
        <f t="shared" si="33"/>
        <v>0</v>
      </c>
      <c r="T428" t="str">
        <f t="shared" si="34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0"/>
        <v/>
      </c>
      <c r="P429">
        <f>'Combined Delivery Data'!B427</f>
        <v>0</v>
      </c>
      <c r="Q429">
        <f t="shared" si="31"/>
        <v>0</v>
      </c>
      <c r="R429">
        <f t="shared" si="32"/>
        <v>496</v>
      </c>
      <c r="S429" s="28">
        <f t="shared" si="33"/>
        <v>0</v>
      </c>
      <c r="T429" t="str">
        <f t="shared" si="34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0"/>
        <v/>
      </c>
      <c r="P430">
        <f>'Combined Delivery Data'!B428</f>
        <v>0</v>
      </c>
      <c r="Q430">
        <f t="shared" si="31"/>
        <v>0</v>
      </c>
      <c r="R430">
        <f t="shared" si="32"/>
        <v>496</v>
      </c>
      <c r="S430" s="28">
        <f t="shared" si="33"/>
        <v>0</v>
      </c>
      <c r="T430" t="str">
        <f t="shared" si="34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0"/>
        <v/>
      </c>
      <c r="P431">
        <f>'Combined Delivery Data'!B429</f>
        <v>0</v>
      </c>
      <c r="Q431">
        <f t="shared" si="31"/>
        <v>0</v>
      </c>
      <c r="R431">
        <f t="shared" si="32"/>
        <v>496</v>
      </c>
      <c r="S431" s="28">
        <f t="shared" si="33"/>
        <v>0</v>
      </c>
      <c r="T431" t="str">
        <f t="shared" si="34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0"/>
        <v/>
      </c>
      <c r="P432">
        <f>'Combined Delivery Data'!B430</f>
        <v>0</v>
      </c>
      <c r="Q432">
        <f t="shared" si="31"/>
        <v>0</v>
      </c>
      <c r="R432">
        <f t="shared" si="32"/>
        <v>496</v>
      </c>
      <c r="S432" s="28">
        <f t="shared" si="33"/>
        <v>0</v>
      </c>
      <c r="T432" t="str">
        <f t="shared" si="34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0"/>
        <v/>
      </c>
      <c r="P433">
        <f>'Combined Delivery Data'!B431</f>
        <v>0</v>
      </c>
      <c r="Q433">
        <f t="shared" si="31"/>
        <v>0</v>
      </c>
      <c r="R433">
        <f t="shared" si="32"/>
        <v>496</v>
      </c>
      <c r="S433" s="28">
        <f t="shared" si="33"/>
        <v>0</v>
      </c>
      <c r="T433" t="str">
        <f t="shared" si="34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0"/>
        <v/>
      </c>
      <c r="P434">
        <f>'Combined Delivery Data'!B432</f>
        <v>0</v>
      </c>
      <c r="Q434">
        <f t="shared" si="31"/>
        <v>0</v>
      </c>
      <c r="R434">
        <f t="shared" si="32"/>
        <v>496</v>
      </c>
      <c r="S434" s="28">
        <f t="shared" si="33"/>
        <v>0</v>
      </c>
      <c r="T434" t="str">
        <f t="shared" si="34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0"/>
        <v/>
      </c>
      <c r="P435">
        <f>'Combined Delivery Data'!B433</f>
        <v>0</v>
      </c>
      <c r="Q435">
        <f t="shared" si="31"/>
        <v>0</v>
      </c>
      <c r="R435">
        <f t="shared" si="32"/>
        <v>496</v>
      </c>
      <c r="S435" s="28">
        <f t="shared" si="33"/>
        <v>0</v>
      </c>
      <c r="T435" t="str">
        <f t="shared" si="34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0"/>
        <v/>
      </c>
      <c r="P436">
        <f>'Combined Delivery Data'!B434</f>
        <v>0</v>
      </c>
      <c r="Q436">
        <f t="shared" si="31"/>
        <v>0</v>
      </c>
      <c r="R436">
        <f t="shared" si="32"/>
        <v>496</v>
      </c>
      <c r="S436" s="28">
        <f t="shared" si="33"/>
        <v>0</v>
      </c>
      <c r="T436" t="str">
        <f t="shared" si="34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0"/>
        <v/>
      </c>
      <c r="P437">
        <f>'Combined Delivery Data'!B435</f>
        <v>0</v>
      </c>
      <c r="Q437">
        <f t="shared" si="31"/>
        <v>0</v>
      </c>
      <c r="R437">
        <f t="shared" si="32"/>
        <v>496</v>
      </c>
      <c r="S437" s="28">
        <f t="shared" si="33"/>
        <v>0</v>
      </c>
      <c r="T437" t="str">
        <f t="shared" si="34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0"/>
        <v/>
      </c>
      <c r="P438">
        <f>'Combined Delivery Data'!B436</f>
        <v>0</v>
      </c>
      <c r="Q438">
        <f t="shared" si="31"/>
        <v>0</v>
      </c>
      <c r="R438">
        <f t="shared" si="32"/>
        <v>496</v>
      </c>
      <c r="S438" s="28">
        <f t="shared" si="33"/>
        <v>0</v>
      </c>
      <c r="T438" t="str">
        <f t="shared" si="34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0"/>
        <v/>
      </c>
      <c r="P439">
        <f>'Combined Delivery Data'!B437</f>
        <v>0</v>
      </c>
      <c r="Q439">
        <f t="shared" si="31"/>
        <v>0</v>
      </c>
      <c r="R439">
        <f t="shared" si="32"/>
        <v>496</v>
      </c>
      <c r="S439" s="28">
        <f t="shared" si="33"/>
        <v>0</v>
      </c>
      <c r="T439" t="str">
        <f t="shared" si="34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0"/>
        <v/>
      </c>
      <c r="P440">
        <f>'Combined Delivery Data'!B438</f>
        <v>0</v>
      </c>
      <c r="Q440">
        <f t="shared" si="31"/>
        <v>0</v>
      </c>
      <c r="R440">
        <f t="shared" si="32"/>
        <v>496</v>
      </c>
      <c r="S440" s="28">
        <f t="shared" si="33"/>
        <v>0</v>
      </c>
      <c r="T440" t="str">
        <f t="shared" si="34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0"/>
        <v/>
      </c>
      <c r="P441">
        <f>'Combined Delivery Data'!B439</f>
        <v>0</v>
      </c>
      <c r="Q441">
        <f t="shared" si="31"/>
        <v>0</v>
      </c>
      <c r="R441">
        <f t="shared" si="32"/>
        <v>496</v>
      </c>
      <c r="S441" s="28">
        <f t="shared" si="33"/>
        <v>0</v>
      </c>
      <c r="T441" t="str">
        <f t="shared" si="34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0"/>
        <v/>
      </c>
      <c r="P442">
        <f>'Combined Delivery Data'!B440</f>
        <v>0</v>
      </c>
      <c r="Q442">
        <f t="shared" si="31"/>
        <v>0</v>
      </c>
      <c r="R442">
        <f t="shared" si="32"/>
        <v>496</v>
      </c>
      <c r="S442" s="28">
        <f t="shared" si="33"/>
        <v>0</v>
      </c>
      <c r="T442" t="str">
        <f t="shared" si="34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0"/>
        <v/>
      </c>
      <c r="P443">
        <f>'Combined Delivery Data'!B441</f>
        <v>0</v>
      </c>
      <c r="Q443">
        <f t="shared" si="31"/>
        <v>0</v>
      </c>
      <c r="R443">
        <f t="shared" si="32"/>
        <v>496</v>
      </c>
      <c r="S443" s="28">
        <f t="shared" si="33"/>
        <v>0</v>
      </c>
      <c r="T443" t="str">
        <f t="shared" si="34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0"/>
        <v/>
      </c>
      <c r="P444">
        <f>'Combined Delivery Data'!B442</f>
        <v>0</v>
      </c>
      <c r="Q444">
        <f t="shared" si="31"/>
        <v>0</v>
      </c>
      <c r="R444">
        <f t="shared" si="32"/>
        <v>496</v>
      </c>
      <c r="S444" s="28">
        <f t="shared" si="33"/>
        <v>0</v>
      </c>
      <c r="T444" t="str">
        <f t="shared" si="34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0"/>
        <v/>
      </c>
      <c r="P445">
        <f>'Combined Delivery Data'!B443</f>
        <v>0</v>
      </c>
      <c r="Q445">
        <f t="shared" si="31"/>
        <v>0</v>
      </c>
      <c r="R445">
        <f t="shared" si="32"/>
        <v>496</v>
      </c>
      <c r="S445" s="28">
        <f t="shared" si="33"/>
        <v>0</v>
      </c>
      <c r="T445" t="str">
        <f t="shared" si="34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0"/>
        <v/>
      </c>
      <c r="P446">
        <f>'Combined Delivery Data'!B444</f>
        <v>0</v>
      </c>
      <c r="Q446">
        <f t="shared" si="31"/>
        <v>0</v>
      </c>
      <c r="R446">
        <f t="shared" si="32"/>
        <v>496</v>
      </c>
      <c r="S446" s="28">
        <f t="shared" si="33"/>
        <v>0</v>
      </c>
      <c r="T446" t="str">
        <f t="shared" si="34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0"/>
        <v/>
      </c>
      <c r="P447">
        <f>'Combined Delivery Data'!B445</f>
        <v>0</v>
      </c>
      <c r="Q447">
        <f t="shared" si="31"/>
        <v>0</v>
      </c>
      <c r="R447">
        <f t="shared" si="32"/>
        <v>496</v>
      </c>
      <c r="S447" s="28">
        <f t="shared" si="33"/>
        <v>0</v>
      </c>
      <c r="T447" t="str">
        <f t="shared" si="34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0"/>
        <v/>
      </c>
      <c r="P448">
        <f>'Combined Delivery Data'!B446</f>
        <v>0</v>
      </c>
      <c r="Q448">
        <f t="shared" si="31"/>
        <v>0</v>
      </c>
      <c r="R448">
        <f t="shared" si="32"/>
        <v>496</v>
      </c>
      <c r="S448" s="28">
        <f t="shared" si="33"/>
        <v>0</v>
      </c>
      <c r="T448" t="str">
        <f t="shared" si="34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0"/>
        <v/>
      </c>
      <c r="P449">
        <f>'Combined Delivery Data'!B447</f>
        <v>0</v>
      </c>
      <c r="Q449">
        <f t="shared" si="31"/>
        <v>0</v>
      </c>
      <c r="R449">
        <f t="shared" si="32"/>
        <v>496</v>
      </c>
      <c r="S449" s="28">
        <f t="shared" si="33"/>
        <v>0</v>
      </c>
      <c r="T449" t="str">
        <f t="shared" si="34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0"/>
        <v/>
      </c>
      <c r="P450">
        <f>'Combined Delivery Data'!B448</f>
        <v>0</v>
      </c>
      <c r="Q450">
        <f t="shared" si="31"/>
        <v>0</v>
      </c>
      <c r="R450">
        <f t="shared" si="32"/>
        <v>496</v>
      </c>
      <c r="S450" s="28">
        <f t="shared" si="33"/>
        <v>0</v>
      </c>
      <c r="T450" t="str">
        <f t="shared" si="34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496</v>
      </c>
      <c r="S451" s="28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5"/>
        <v/>
      </c>
      <c r="P452">
        <f>'Combined Delivery Data'!B450</f>
        <v>0</v>
      </c>
      <c r="Q452">
        <f t="shared" si="36"/>
        <v>0</v>
      </c>
      <c r="R452">
        <f t="shared" si="37"/>
        <v>496</v>
      </c>
      <c r="S452" s="28">
        <f t="shared" si="38"/>
        <v>0</v>
      </c>
      <c r="T452" t="str">
        <f t="shared" si="39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5"/>
        <v/>
      </c>
      <c r="P453">
        <f>'Combined Delivery Data'!B451</f>
        <v>0</v>
      </c>
      <c r="Q453">
        <f t="shared" si="36"/>
        <v>0</v>
      </c>
      <c r="R453">
        <f t="shared" si="37"/>
        <v>496</v>
      </c>
      <c r="S453" s="28">
        <f t="shared" si="38"/>
        <v>0</v>
      </c>
      <c r="T453" t="str">
        <f t="shared" si="39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5"/>
        <v/>
      </c>
      <c r="P454">
        <f>'Combined Delivery Data'!B452</f>
        <v>0</v>
      </c>
      <c r="Q454">
        <f t="shared" si="36"/>
        <v>0</v>
      </c>
      <c r="R454">
        <f t="shared" si="37"/>
        <v>496</v>
      </c>
      <c r="S454" s="28">
        <f t="shared" si="38"/>
        <v>0</v>
      </c>
      <c r="T454" t="str">
        <f t="shared" si="39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5"/>
        <v/>
      </c>
      <c r="P455">
        <f>'Combined Delivery Data'!B453</f>
        <v>0</v>
      </c>
      <c r="Q455">
        <f t="shared" si="36"/>
        <v>0</v>
      </c>
      <c r="R455">
        <f t="shared" si="37"/>
        <v>496</v>
      </c>
      <c r="S455" s="28">
        <f t="shared" si="38"/>
        <v>0</v>
      </c>
      <c r="T455" t="str">
        <f t="shared" si="39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5"/>
        <v/>
      </c>
      <c r="P456">
        <f>'Combined Delivery Data'!B454</f>
        <v>0</v>
      </c>
      <c r="Q456">
        <f t="shared" si="36"/>
        <v>0</v>
      </c>
      <c r="R456">
        <f t="shared" si="37"/>
        <v>496</v>
      </c>
      <c r="S456" s="28">
        <f t="shared" si="38"/>
        <v>0</v>
      </c>
      <c r="T456" t="str">
        <f t="shared" si="39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5"/>
        <v/>
      </c>
      <c r="P457">
        <f>'Combined Delivery Data'!B455</f>
        <v>0</v>
      </c>
      <c r="Q457">
        <f t="shared" si="36"/>
        <v>0</v>
      </c>
      <c r="R457">
        <f t="shared" si="37"/>
        <v>496</v>
      </c>
      <c r="S457" s="28">
        <f t="shared" si="38"/>
        <v>0</v>
      </c>
      <c r="T457" t="str">
        <f t="shared" si="39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5"/>
        <v/>
      </c>
      <c r="P458">
        <f>'Combined Delivery Data'!B456</f>
        <v>0</v>
      </c>
      <c r="Q458">
        <f t="shared" si="36"/>
        <v>0</v>
      </c>
      <c r="R458">
        <f t="shared" si="37"/>
        <v>496</v>
      </c>
      <c r="S458" s="28">
        <f t="shared" si="38"/>
        <v>0</v>
      </c>
      <c r="T458" t="str">
        <f t="shared" si="39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5"/>
        <v/>
      </c>
      <c r="P459">
        <f>'Combined Delivery Data'!B457</f>
        <v>0</v>
      </c>
      <c r="Q459">
        <f t="shared" si="36"/>
        <v>0</v>
      </c>
      <c r="R459">
        <f t="shared" si="37"/>
        <v>496</v>
      </c>
      <c r="S459" s="28">
        <f t="shared" si="38"/>
        <v>0</v>
      </c>
      <c r="T459" t="str">
        <f t="shared" si="39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5"/>
        <v/>
      </c>
      <c r="P460">
        <f>'Combined Delivery Data'!B458</f>
        <v>0</v>
      </c>
      <c r="Q460">
        <f t="shared" si="36"/>
        <v>0</v>
      </c>
      <c r="R460">
        <f t="shared" si="37"/>
        <v>496</v>
      </c>
      <c r="S460" s="28">
        <f t="shared" si="38"/>
        <v>0</v>
      </c>
      <c r="T460" t="str">
        <f t="shared" si="39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5"/>
        <v/>
      </c>
      <c r="P461">
        <f>'Combined Delivery Data'!B459</f>
        <v>0</v>
      </c>
      <c r="Q461">
        <f t="shared" si="36"/>
        <v>0</v>
      </c>
      <c r="R461">
        <f t="shared" si="37"/>
        <v>496</v>
      </c>
      <c r="S461" s="28">
        <f t="shared" si="38"/>
        <v>0</v>
      </c>
      <c r="T461" t="str">
        <f t="shared" si="39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5"/>
        <v/>
      </c>
      <c r="P462">
        <f>'Combined Delivery Data'!B460</f>
        <v>0</v>
      </c>
      <c r="Q462">
        <f t="shared" si="36"/>
        <v>0</v>
      </c>
      <c r="R462">
        <f t="shared" si="37"/>
        <v>496</v>
      </c>
      <c r="S462" s="28">
        <f t="shared" si="38"/>
        <v>0</v>
      </c>
      <c r="T462" t="str">
        <f t="shared" si="39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5"/>
        <v/>
      </c>
      <c r="P463">
        <f>'Combined Delivery Data'!B461</f>
        <v>0</v>
      </c>
      <c r="Q463">
        <f t="shared" si="36"/>
        <v>0</v>
      </c>
      <c r="R463">
        <f t="shared" si="37"/>
        <v>496</v>
      </c>
      <c r="S463" s="28">
        <f t="shared" si="38"/>
        <v>0</v>
      </c>
      <c r="T463" t="str">
        <f t="shared" si="39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5"/>
        <v/>
      </c>
      <c r="P464">
        <f>'Combined Delivery Data'!B462</f>
        <v>0</v>
      </c>
      <c r="Q464">
        <f t="shared" si="36"/>
        <v>0</v>
      </c>
      <c r="R464">
        <f t="shared" si="37"/>
        <v>496</v>
      </c>
      <c r="S464" s="28">
        <f t="shared" si="38"/>
        <v>0</v>
      </c>
      <c r="T464" t="str">
        <f t="shared" si="39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5"/>
        <v/>
      </c>
      <c r="P465">
        <f>'Combined Delivery Data'!B463</f>
        <v>0</v>
      </c>
      <c r="Q465">
        <f t="shared" si="36"/>
        <v>0</v>
      </c>
      <c r="R465">
        <f t="shared" si="37"/>
        <v>496</v>
      </c>
      <c r="S465" s="28">
        <f t="shared" si="38"/>
        <v>0</v>
      </c>
      <c r="T465" t="str">
        <f t="shared" si="39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5"/>
        <v/>
      </c>
      <c r="P466">
        <f>'Combined Delivery Data'!B464</f>
        <v>0</v>
      </c>
      <c r="Q466">
        <f t="shared" si="36"/>
        <v>0</v>
      </c>
      <c r="R466">
        <f t="shared" si="37"/>
        <v>496</v>
      </c>
      <c r="S466" s="28">
        <f t="shared" si="38"/>
        <v>0</v>
      </c>
      <c r="T466" t="str">
        <f t="shared" si="39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5"/>
        <v/>
      </c>
      <c r="P467">
        <f>'Combined Delivery Data'!B465</f>
        <v>0</v>
      </c>
      <c r="Q467">
        <f t="shared" si="36"/>
        <v>0</v>
      </c>
      <c r="R467">
        <f t="shared" si="37"/>
        <v>496</v>
      </c>
      <c r="S467" s="28">
        <f t="shared" si="38"/>
        <v>0</v>
      </c>
      <c r="T467" t="str">
        <f t="shared" si="39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5"/>
        <v/>
      </c>
      <c r="P468">
        <f>'Combined Delivery Data'!B466</f>
        <v>0</v>
      </c>
      <c r="Q468">
        <f t="shared" si="36"/>
        <v>0</v>
      </c>
      <c r="R468">
        <f t="shared" si="37"/>
        <v>496</v>
      </c>
      <c r="S468" s="28">
        <f t="shared" si="38"/>
        <v>0</v>
      </c>
      <c r="T468" t="str">
        <f t="shared" si="39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5"/>
        <v/>
      </c>
      <c r="P469">
        <f>'Combined Delivery Data'!B467</f>
        <v>0</v>
      </c>
      <c r="Q469">
        <f t="shared" si="36"/>
        <v>0</v>
      </c>
      <c r="R469">
        <f t="shared" si="37"/>
        <v>496</v>
      </c>
      <c r="S469" s="28">
        <f t="shared" si="38"/>
        <v>0</v>
      </c>
      <c r="T469" t="str">
        <f t="shared" si="39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5"/>
        <v/>
      </c>
      <c r="P470">
        <f>'Combined Delivery Data'!B468</f>
        <v>0</v>
      </c>
      <c r="Q470">
        <f t="shared" si="36"/>
        <v>0</v>
      </c>
      <c r="R470">
        <f t="shared" si="37"/>
        <v>496</v>
      </c>
      <c r="S470" s="28">
        <f t="shared" si="38"/>
        <v>0</v>
      </c>
      <c r="T470" t="str">
        <f t="shared" si="39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5"/>
        <v/>
      </c>
      <c r="P471">
        <f>'Combined Delivery Data'!B469</f>
        <v>0</v>
      </c>
      <c r="Q471">
        <f t="shared" si="36"/>
        <v>0</v>
      </c>
      <c r="R471">
        <f t="shared" si="37"/>
        <v>496</v>
      </c>
      <c r="S471" s="28">
        <f t="shared" si="38"/>
        <v>0</v>
      </c>
      <c r="T471" t="str">
        <f t="shared" si="39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5"/>
        <v/>
      </c>
      <c r="P472">
        <f>'Combined Delivery Data'!B470</f>
        <v>0</v>
      </c>
      <c r="Q472">
        <f t="shared" si="36"/>
        <v>0</v>
      </c>
      <c r="R472">
        <f t="shared" si="37"/>
        <v>496</v>
      </c>
      <c r="S472" s="28">
        <f t="shared" si="38"/>
        <v>0</v>
      </c>
      <c r="T472" t="str">
        <f t="shared" si="39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5"/>
        <v/>
      </c>
      <c r="P473">
        <f>'Combined Delivery Data'!B471</f>
        <v>0</v>
      </c>
      <c r="Q473">
        <f t="shared" si="36"/>
        <v>0</v>
      </c>
      <c r="R473">
        <f t="shared" si="37"/>
        <v>496</v>
      </c>
      <c r="S473" s="28">
        <f t="shared" si="38"/>
        <v>0</v>
      </c>
      <c r="T473" t="str">
        <f t="shared" si="39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5"/>
        <v/>
      </c>
      <c r="P474">
        <f>'Combined Delivery Data'!B472</f>
        <v>0</v>
      </c>
      <c r="Q474">
        <f t="shared" si="36"/>
        <v>0</v>
      </c>
      <c r="R474">
        <f t="shared" si="37"/>
        <v>496</v>
      </c>
      <c r="S474" s="28">
        <f t="shared" si="38"/>
        <v>0</v>
      </c>
      <c r="T474" t="str">
        <f t="shared" si="39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5"/>
        <v/>
      </c>
      <c r="P475">
        <f>'Combined Delivery Data'!B473</f>
        <v>0</v>
      </c>
      <c r="Q475">
        <f t="shared" si="36"/>
        <v>0</v>
      </c>
      <c r="R475">
        <f t="shared" si="37"/>
        <v>496</v>
      </c>
      <c r="S475" s="28">
        <f t="shared" si="38"/>
        <v>0</v>
      </c>
      <c r="T475" t="str">
        <f t="shared" si="39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5"/>
        <v/>
      </c>
      <c r="P476">
        <f>'Combined Delivery Data'!B474</f>
        <v>0</v>
      </c>
      <c r="Q476">
        <f t="shared" si="36"/>
        <v>0</v>
      </c>
      <c r="R476">
        <f t="shared" si="37"/>
        <v>496</v>
      </c>
      <c r="S476" s="28">
        <f t="shared" si="38"/>
        <v>0</v>
      </c>
      <c r="T476" t="str">
        <f t="shared" si="39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5"/>
        <v/>
      </c>
      <c r="P477">
        <f>'Combined Delivery Data'!B475</f>
        <v>0</v>
      </c>
      <c r="Q477">
        <f t="shared" si="36"/>
        <v>0</v>
      </c>
      <c r="R477">
        <f t="shared" si="37"/>
        <v>496</v>
      </c>
      <c r="S477" s="28">
        <f t="shared" si="38"/>
        <v>0</v>
      </c>
      <c r="T477" t="str">
        <f t="shared" si="39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5"/>
        <v/>
      </c>
      <c r="P478">
        <f>'Combined Delivery Data'!B476</f>
        <v>0</v>
      </c>
      <c r="Q478">
        <f t="shared" si="36"/>
        <v>0</v>
      </c>
      <c r="R478">
        <f t="shared" si="37"/>
        <v>496</v>
      </c>
      <c r="S478" s="28">
        <f t="shared" si="38"/>
        <v>0</v>
      </c>
      <c r="T478" t="str">
        <f t="shared" si="39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5"/>
        <v/>
      </c>
      <c r="P479">
        <f>'Combined Delivery Data'!B477</f>
        <v>0</v>
      </c>
      <c r="Q479">
        <f t="shared" si="36"/>
        <v>0</v>
      </c>
      <c r="R479">
        <f t="shared" si="37"/>
        <v>496</v>
      </c>
      <c r="S479" s="28">
        <f t="shared" si="38"/>
        <v>0</v>
      </c>
      <c r="T479" t="str">
        <f t="shared" si="39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5"/>
        <v/>
      </c>
      <c r="P480">
        <f>'Combined Delivery Data'!B478</f>
        <v>0</v>
      </c>
      <c r="Q480">
        <f t="shared" si="36"/>
        <v>0</v>
      </c>
      <c r="R480">
        <f t="shared" si="37"/>
        <v>496</v>
      </c>
      <c r="S480" s="28">
        <f t="shared" si="38"/>
        <v>0</v>
      </c>
      <c r="T480" t="str">
        <f t="shared" si="39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5"/>
        <v/>
      </c>
      <c r="P481">
        <f>'Combined Delivery Data'!B479</f>
        <v>0</v>
      </c>
      <c r="Q481">
        <f t="shared" si="36"/>
        <v>0</v>
      </c>
      <c r="R481">
        <f t="shared" si="37"/>
        <v>496</v>
      </c>
      <c r="S481" s="28">
        <f t="shared" si="38"/>
        <v>0</v>
      </c>
      <c r="T481" t="str">
        <f t="shared" si="39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5"/>
        <v/>
      </c>
      <c r="P482">
        <f>'Combined Delivery Data'!B480</f>
        <v>0</v>
      </c>
      <c r="Q482">
        <f t="shared" si="36"/>
        <v>0</v>
      </c>
      <c r="R482">
        <f t="shared" si="37"/>
        <v>496</v>
      </c>
      <c r="S482" s="28">
        <f t="shared" si="38"/>
        <v>0</v>
      </c>
      <c r="T482" t="str">
        <f t="shared" si="39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5"/>
        <v/>
      </c>
      <c r="P483">
        <f>'Combined Delivery Data'!B481</f>
        <v>0</v>
      </c>
      <c r="Q483">
        <f t="shared" si="36"/>
        <v>0</v>
      </c>
      <c r="R483">
        <f t="shared" si="37"/>
        <v>496</v>
      </c>
      <c r="S483" s="28">
        <f t="shared" si="38"/>
        <v>0</v>
      </c>
      <c r="T483" t="str">
        <f t="shared" si="39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5"/>
        <v/>
      </c>
      <c r="P484">
        <f>'Combined Delivery Data'!B482</f>
        <v>0</v>
      </c>
      <c r="Q484">
        <f t="shared" si="36"/>
        <v>0</v>
      </c>
      <c r="R484">
        <f t="shared" si="37"/>
        <v>496</v>
      </c>
      <c r="S484" s="28">
        <f t="shared" si="38"/>
        <v>0</v>
      </c>
      <c r="T484" t="str">
        <f t="shared" si="39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5"/>
        <v/>
      </c>
      <c r="P485">
        <f>'Combined Delivery Data'!B483</f>
        <v>0</v>
      </c>
      <c r="Q485">
        <f t="shared" si="36"/>
        <v>0</v>
      </c>
      <c r="R485">
        <f t="shared" si="37"/>
        <v>496</v>
      </c>
      <c r="S485" s="28">
        <f t="shared" si="38"/>
        <v>0</v>
      </c>
      <c r="T485" t="str">
        <f t="shared" si="39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5"/>
        <v/>
      </c>
      <c r="P486">
        <f>'Combined Delivery Data'!B484</f>
        <v>0</v>
      </c>
      <c r="Q486">
        <f t="shared" si="36"/>
        <v>0</v>
      </c>
      <c r="R486">
        <f t="shared" si="37"/>
        <v>496</v>
      </c>
      <c r="S486" s="28">
        <f t="shared" si="38"/>
        <v>0</v>
      </c>
      <c r="T486" t="str">
        <f t="shared" si="39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5"/>
        <v/>
      </c>
      <c r="P487">
        <f>'Combined Delivery Data'!B485</f>
        <v>0</v>
      </c>
      <c r="Q487">
        <f t="shared" si="36"/>
        <v>0</v>
      </c>
      <c r="R487">
        <f t="shared" si="37"/>
        <v>496</v>
      </c>
      <c r="S487" s="28">
        <f t="shared" si="38"/>
        <v>0</v>
      </c>
      <c r="T487" t="str">
        <f t="shared" si="39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5"/>
        <v/>
      </c>
      <c r="P488">
        <f>'Combined Delivery Data'!B486</f>
        <v>0</v>
      </c>
      <c r="Q488">
        <f t="shared" si="36"/>
        <v>0</v>
      </c>
      <c r="R488">
        <f t="shared" si="37"/>
        <v>496</v>
      </c>
      <c r="S488" s="28">
        <f t="shared" si="38"/>
        <v>0</v>
      </c>
      <c r="T488" t="str">
        <f t="shared" si="39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5"/>
        <v/>
      </c>
      <c r="P489">
        <f>'Combined Delivery Data'!B487</f>
        <v>0</v>
      </c>
      <c r="Q489">
        <f t="shared" si="36"/>
        <v>0</v>
      </c>
      <c r="R489">
        <f t="shared" si="37"/>
        <v>496</v>
      </c>
      <c r="S489" s="28">
        <f t="shared" si="38"/>
        <v>0</v>
      </c>
      <c r="T489" t="str">
        <f t="shared" si="39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5"/>
        <v/>
      </c>
      <c r="P490">
        <f>'Combined Delivery Data'!B488</f>
        <v>0</v>
      </c>
      <c r="Q490">
        <f t="shared" si="36"/>
        <v>0</v>
      </c>
      <c r="R490">
        <f t="shared" si="37"/>
        <v>496</v>
      </c>
      <c r="S490" s="28">
        <f t="shared" si="38"/>
        <v>0</v>
      </c>
      <c r="T490" t="str">
        <f t="shared" si="39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5"/>
        <v/>
      </c>
      <c r="P491">
        <f>'Combined Delivery Data'!B489</f>
        <v>0</v>
      </c>
      <c r="Q491">
        <f t="shared" si="36"/>
        <v>0</v>
      </c>
      <c r="R491">
        <f t="shared" si="37"/>
        <v>496</v>
      </c>
      <c r="S491" s="28">
        <f t="shared" si="38"/>
        <v>0</v>
      </c>
      <c r="T491" t="str">
        <f t="shared" si="39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5"/>
        <v/>
      </c>
      <c r="P492">
        <f>'Combined Delivery Data'!B490</f>
        <v>0</v>
      </c>
      <c r="Q492">
        <f t="shared" si="36"/>
        <v>0</v>
      </c>
      <c r="R492">
        <f t="shared" si="37"/>
        <v>496</v>
      </c>
      <c r="S492" s="28">
        <f t="shared" si="38"/>
        <v>0</v>
      </c>
      <c r="T492" t="str">
        <f t="shared" si="39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5"/>
        <v/>
      </c>
      <c r="P493">
        <f>'Combined Delivery Data'!B491</f>
        <v>0</v>
      </c>
      <c r="Q493">
        <f t="shared" si="36"/>
        <v>0</v>
      </c>
      <c r="R493">
        <f t="shared" si="37"/>
        <v>496</v>
      </c>
      <c r="S493" s="28">
        <f t="shared" si="38"/>
        <v>0</v>
      </c>
      <c r="T493" t="str">
        <f t="shared" si="39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5"/>
        <v/>
      </c>
      <c r="P494">
        <f>'Combined Delivery Data'!B492</f>
        <v>0</v>
      </c>
      <c r="Q494">
        <f t="shared" si="36"/>
        <v>0</v>
      </c>
      <c r="R494">
        <f t="shared" si="37"/>
        <v>496</v>
      </c>
      <c r="S494" s="28">
        <f t="shared" si="38"/>
        <v>0</v>
      </c>
      <c r="T494" t="str">
        <f t="shared" si="39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5"/>
        <v/>
      </c>
      <c r="P495">
        <f>'Combined Delivery Data'!B493</f>
        <v>0</v>
      </c>
      <c r="Q495">
        <f t="shared" si="36"/>
        <v>0</v>
      </c>
      <c r="R495">
        <f t="shared" si="37"/>
        <v>496</v>
      </c>
      <c r="S495" s="28">
        <f t="shared" si="38"/>
        <v>0</v>
      </c>
      <c r="T495" t="str">
        <f t="shared" si="39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5"/>
        <v/>
      </c>
      <c r="P496">
        <f>'Combined Delivery Data'!B494</f>
        <v>0</v>
      </c>
      <c r="Q496">
        <f t="shared" si="36"/>
        <v>0</v>
      </c>
      <c r="R496">
        <f t="shared" si="37"/>
        <v>496</v>
      </c>
      <c r="S496" s="28">
        <f t="shared" si="38"/>
        <v>0</v>
      </c>
      <c r="T496" t="str">
        <f t="shared" si="39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5"/>
        <v/>
      </c>
      <c r="P497">
        <f>'Combined Delivery Data'!B495</f>
        <v>0</v>
      </c>
      <c r="Q497">
        <f t="shared" si="36"/>
        <v>0</v>
      </c>
      <c r="R497">
        <f t="shared" si="37"/>
        <v>496</v>
      </c>
      <c r="S497" s="28">
        <f t="shared" si="38"/>
        <v>0</v>
      </c>
      <c r="T497" t="str">
        <f t="shared" si="39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5"/>
        <v/>
      </c>
      <c r="P498">
        <f>'Combined Delivery Data'!B496</f>
        <v>0</v>
      </c>
      <c r="Q498">
        <f t="shared" si="36"/>
        <v>0</v>
      </c>
      <c r="R498">
        <f t="shared" si="37"/>
        <v>496</v>
      </c>
      <c r="S498" s="28">
        <f t="shared" si="38"/>
        <v>0</v>
      </c>
      <c r="T498" t="str">
        <f t="shared" si="39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5"/>
        <v/>
      </c>
      <c r="P499">
        <f>'Combined Delivery Data'!B497</f>
        <v>0</v>
      </c>
      <c r="Q499">
        <f t="shared" si="36"/>
        <v>0</v>
      </c>
      <c r="R499">
        <f t="shared" si="37"/>
        <v>496</v>
      </c>
      <c r="S499" s="28">
        <f t="shared" si="38"/>
        <v>0</v>
      </c>
      <c r="T499" t="str">
        <f t="shared" si="39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5"/>
        <v/>
      </c>
      <c r="P500">
        <f>'Combined Delivery Data'!B498</f>
        <v>0</v>
      </c>
      <c r="Q500">
        <f t="shared" si="36"/>
        <v>0</v>
      </c>
      <c r="R500">
        <f t="shared" si="37"/>
        <v>496</v>
      </c>
      <c r="S500" s="28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4:M500 A3:H3 K3:M3">
    <cfRule type="expression" dxfId="11" priority="7">
      <formula>AND($A3&lt;&gt;"",$G3="Did not pass re-test")</formula>
    </cfRule>
    <cfRule type="expression" dxfId="10" priority="8">
      <formula>AND($A3&lt;&gt;"",$G3="Yes")</formula>
    </cfRule>
    <cfRule type="expression" dxfId="9" priority="9">
      <formula>AND($A3&lt;&gt;"",$J3&lt;&gt;"")</formula>
    </cfRule>
    <cfRule type="expression" dxfId="8" priority="10">
      <formula>$A3&lt;&gt;""</formula>
    </cfRule>
  </conditionalFormatting>
  <conditionalFormatting sqref="C3:C200">
    <cfRule type="expression" dxfId="7" priority="11">
      <formula>$A3=""</formula>
    </cfRule>
  </conditionalFormatting>
  <conditionalFormatting sqref="G3:G200">
    <cfRule type="expression" dxfId="6" priority="12">
      <formula>$A3=""</formula>
    </cfRule>
  </conditionalFormatting>
  <conditionalFormatting sqref="M3:M500">
    <cfRule type="expression" dxfId="5" priority="1">
      <formula>ISNUMBER(SEARCH("Sent back again",$M3))</formula>
    </cfRule>
    <cfRule type="expression" dxfId="4" priority="2">
      <formula>ISNUMBER(SEARCH("LATE",$M3))</formula>
    </cfRule>
    <cfRule type="expression" dxfId="3" priority="3">
      <formula>ISNUMBER(SEARCH("UNCLAIMED",$M3))</formula>
    </cfRule>
    <cfRule type="expression" dxfId="2" priority="4">
      <formula>ISNUMBER(SEARCH("Missing",$M3))</formula>
    </cfRule>
    <cfRule type="expression" dxfId="1" priority="5">
      <formula>ISNUMBER(SEARCH("Fixed in",$M3))</formula>
    </cfRule>
    <cfRule type="expression" dxfId="0" priority="6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71" t="s">
        <v>223</v>
      </c>
      <c r="B1" s="66"/>
      <c r="C1" s="66"/>
      <c r="D1" s="66"/>
      <c r="E1" s="66"/>
      <c r="F1" s="66"/>
      <c r="G1" s="66"/>
      <c r="H1" s="66"/>
      <c r="I1" s="66"/>
      <c r="J1" s="66"/>
    </row>
    <row r="2" spans="1:10" ht="27" customHeight="1">
      <c r="A2" s="8" t="s">
        <v>0</v>
      </c>
      <c r="B2" s="8" t="s">
        <v>224</v>
      </c>
      <c r="C2" s="8" t="s">
        <v>1</v>
      </c>
      <c r="D2" s="8" t="s">
        <v>225</v>
      </c>
      <c r="E2" s="8" t="s">
        <v>226</v>
      </c>
      <c r="F2" s="8" t="s">
        <v>9</v>
      </c>
      <c r="G2" s="8" t="s">
        <v>5</v>
      </c>
      <c r="H2" s="8" t="s">
        <v>227</v>
      </c>
      <c r="I2" s="8" t="s">
        <v>228</v>
      </c>
      <c r="J2" s="8" t="s">
        <v>229</v>
      </c>
    </row>
    <row r="3" spans="1:10" ht="14.25" customHeight="1">
      <c r="A3" s="9" t="s">
        <v>34</v>
      </c>
      <c r="B3" s="9" t="s">
        <v>131</v>
      </c>
      <c r="C3" s="9" t="s">
        <v>35</v>
      </c>
      <c r="D3" s="9" t="s">
        <v>37</v>
      </c>
      <c r="E3" s="9" t="s">
        <v>38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123</v>
      </c>
      <c r="C4" s="9" t="s">
        <v>35</v>
      </c>
      <c r="D4" s="9" t="s">
        <v>37</v>
      </c>
      <c r="E4" s="9" t="s">
        <v>38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136</v>
      </c>
      <c r="C5" s="9" t="s">
        <v>35</v>
      </c>
      <c r="D5" s="9" t="s">
        <v>37</v>
      </c>
      <c r="E5" s="9" t="s">
        <v>38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114</v>
      </c>
      <c r="C6" s="9" t="s">
        <v>35</v>
      </c>
      <c r="D6" s="9" t="s">
        <v>37</v>
      </c>
      <c r="E6" s="9" t="s">
        <v>38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37</v>
      </c>
      <c r="E7" s="9" t="s">
        <v>38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131</v>
      </c>
      <c r="C8" s="9" t="s">
        <v>47</v>
      </c>
      <c r="D8" s="9" t="s">
        <v>37</v>
      </c>
      <c r="E8" s="9" t="s">
        <v>38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123</v>
      </c>
      <c r="C9" s="9" t="s">
        <v>47</v>
      </c>
      <c r="D9" s="9" t="s">
        <v>37</v>
      </c>
      <c r="E9" s="9" t="s">
        <v>38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136</v>
      </c>
      <c r="C10" s="9" t="s">
        <v>47</v>
      </c>
      <c r="D10" s="9" t="s">
        <v>37</v>
      </c>
      <c r="E10" s="9" t="s">
        <v>38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114</v>
      </c>
      <c r="C11" s="9" t="s">
        <v>47</v>
      </c>
      <c r="D11" s="9" t="s">
        <v>37</v>
      </c>
      <c r="E11" s="9" t="s">
        <v>38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37</v>
      </c>
      <c r="E12" s="9" t="s">
        <v>38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131</v>
      </c>
      <c r="C13" s="9" t="s">
        <v>230</v>
      </c>
      <c r="D13" s="9" t="s">
        <v>57</v>
      </c>
      <c r="E13" s="9" t="s">
        <v>38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123</v>
      </c>
      <c r="C14" s="9" t="s">
        <v>230</v>
      </c>
      <c r="D14" s="9" t="s">
        <v>57</v>
      </c>
      <c r="E14" s="9" t="s">
        <v>38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136</v>
      </c>
      <c r="C15" s="9" t="s">
        <v>230</v>
      </c>
      <c r="D15" s="9" t="s">
        <v>57</v>
      </c>
      <c r="E15" s="9" t="s">
        <v>38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114</v>
      </c>
      <c r="C16" s="9" t="s">
        <v>230</v>
      </c>
      <c r="D16" s="9" t="s">
        <v>57</v>
      </c>
      <c r="E16" s="9" t="s">
        <v>38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230</v>
      </c>
      <c r="D17" s="9" t="s">
        <v>57</v>
      </c>
      <c r="E17" s="9" t="s">
        <v>38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131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123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136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114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131</v>
      </c>
      <c r="C23" s="9" t="s">
        <v>56</v>
      </c>
      <c r="D23" s="9" t="s">
        <v>57</v>
      </c>
      <c r="E23" s="9" t="s">
        <v>38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123</v>
      </c>
      <c r="C24" s="9" t="s">
        <v>56</v>
      </c>
      <c r="D24" s="9" t="s">
        <v>57</v>
      </c>
      <c r="E24" s="9" t="s">
        <v>38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136</v>
      </c>
      <c r="C25" s="9" t="s">
        <v>56</v>
      </c>
      <c r="D25" s="9" t="s">
        <v>57</v>
      </c>
      <c r="E25" s="9" t="s">
        <v>38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114</v>
      </c>
      <c r="C26" s="9" t="s">
        <v>56</v>
      </c>
      <c r="D26" s="9" t="s">
        <v>57</v>
      </c>
      <c r="E26" s="9" t="s">
        <v>38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38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131</v>
      </c>
      <c r="C28" s="9" t="s">
        <v>61</v>
      </c>
      <c r="D28" s="9" t="s">
        <v>67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123</v>
      </c>
      <c r="C29" s="9" t="s">
        <v>61</v>
      </c>
      <c r="D29" s="9" t="s">
        <v>67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136</v>
      </c>
      <c r="C30" s="9" t="s">
        <v>61</v>
      </c>
      <c r="D30" s="9" t="s">
        <v>67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114</v>
      </c>
      <c r="C31" s="9" t="s">
        <v>61</v>
      </c>
      <c r="D31" s="9" t="s">
        <v>67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67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131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123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136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114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131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123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136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114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131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123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136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114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131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123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136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114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131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123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136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114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131</v>
      </c>
      <c r="C58" s="9" t="s">
        <v>90</v>
      </c>
      <c r="D58" s="9" t="s">
        <v>57</v>
      </c>
      <c r="E58" s="9" t="s">
        <v>38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123</v>
      </c>
      <c r="C59" s="9" t="s">
        <v>90</v>
      </c>
      <c r="D59" s="9" t="s">
        <v>57</v>
      </c>
      <c r="E59" s="9" t="s">
        <v>38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136</v>
      </c>
      <c r="C60" s="9" t="s">
        <v>90</v>
      </c>
      <c r="D60" s="9" t="s">
        <v>57</v>
      </c>
      <c r="E60" s="9" t="s">
        <v>38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114</v>
      </c>
      <c r="C61" s="9" t="s">
        <v>90</v>
      </c>
      <c r="D61" s="9" t="s">
        <v>57</v>
      </c>
      <c r="E61" s="9" t="s">
        <v>38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38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131</v>
      </c>
      <c r="C63" s="9" t="s">
        <v>91</v>
      </c>
      <c r="D63" s="9" t="s">
        <v>93</v>
      </c>
      <c r="E63" s="9" t="s">
        <v>38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123</v>
      </c>
      <c r="C64" s="9" t="s">
        <v>91</v>
      </c>
      <c r="D64" s="9" t="s">
        <v>93</v>
      </c>
      <c r="E64" s="9" t="s">
        <v>38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136</v>
      </c>
      <c r="C65" s="9" t="s">
        <v>91</v>
      </c>
      <c r="D65" s="9" t="s">
        <v>93</v>
      </c>
      <c r="E65" s="9" t="s">
        <v>38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114</v>
      </c>
      <c r="C66" s="9" t="s">
        <v>91</v>
      </c>
      <c r="D66" s="9" t="s">
        <v>93</v>
      </c>
      <c r="E66" s="9" t="s">
        <v>38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93</v>
      </c>
      <c r="E67" s="9" t="s">
        <v>38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131</v>
      </c>
      <c r="C68" s="9" t="s">
        <v>66</v>
      </c>
      <c r="D68" s="9" t="s">
        <v>67</v>
      </c>
      <c r="E68" s="9" t="s">
        <v>68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123</v>
      </c>
      <c r="C69" s="9" t="s">
        <v>66</v>
      </c>
      <c r="D69" s="9" t="s">
        <v>67</v>
      </c>
      <c r="E69" s="9" t="s">
        <v>68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136</v>
      </c>
      <c r="C70" s="9" t="s">
        <v>66</v>
      </c>
      <c r="D70" s="9" t="s">
        <v>67</v>
      </c>
      <c r="E70" s="9" t="s">
        <v>68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114</v>
      </c>
      <c r="C71" s="9" t="s">
        <v>66</v>
      </c>
      <c r="D71" s="9" t="s">
        <v>67</v>
      </c>
      <c r="E71" s="9" t="s">
        <v>68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67</v>
      </c>
      <c r="E72" s="9" t="s">
        <v>68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131</v>
      </c>
      <c r="C73" s="9" t="s">
        <v>72</v>
      </c>
      <c r="D73" s="9" t="s">
        <v>51</v>
      </c>
      <c r="E73" s="9" t="s">
        <v>68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123</v>
      </c>
      <c r="C74" s="9" t="s">
        <v>72</v>
      </c>
      <c r="D74" s="9" t="s">
        <v>51</v>
      </c>
      <c r="E74" s="9" t="s">
        <v>68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136</v>
      </c>
      <c r="C75" s="9" t="s">
        <v>72</v>
      </c>
      <c r="D75" s="9" t="s">
        <v>51</v>
      </c>
      <c r="E75" s="9" t="s">
        <v>68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114</v>
      </c>
      <c r="C76" s="9" t="s">
        <v>72</v>
      </c>
      <c r="D76" s="9" t="s">
        <v>51</v>
      </c>
      <c r="E76" s="9" t="s">
        <v>68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68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131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123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136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114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131</v>
      </c>
      <c r="C83" s="9" t="s">
        <v>79</v>
      </c>
      <c r="D83" s="9" t="s">
        <v>76</v>
      </c>
      <c r="E83" s="9" t="s">
        <v>38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123</v>
      </c>
      <c r="C84" s="9" t="s">
        <v>79</v>
      </c>
      <c r="D84" s="9" t="s">
        <v>76</v>
      </c>
      <c r="E84" s="9" t="s">
        <v>38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136</v>
      </c>
      <c r="C85" s="9" t="s">
        <v>79</v>
      </c>
      <c r="D85" s="9" t="s">
        <v>76</v>
      </c>
      <c r="E85" s="9" t="s">
        <v>38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114</v>
      </c>
      <c r="C86" s="9" t="s">
        <v>79</v>
      </c>
      <c r="D86" s="9" t="s">
        <v>76</v>
      </c>
      <c r="E86" s="9" t="s">
        <v>38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38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131</v>
      </c>
      <c r="C88" s="9" t="s">
        <v>82</v>
      </c>
      <c r="D88" s="9" t="s">
        <v>37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123</v>
      </c>
      <c r="C89" s="9" t="s">
        <v>82</v>
      </c>
      <c r="D89" s="9" t="s">
        <v>37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136</v>
      </c>
      <c r="C90" s="9" t="s">
        <v>82</v>
      </c>
      <c r="D90" s="9" t="s">
        <v>37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114</v>
      </c>
      <c r="C91" s="9" t="s">
        <v>82</v>
      </c>
      <c r="D91" s="9" t="s">
        <v>37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37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131</v>
      </c>
      <c r="C93" s="9" t="s">
        <v>85</v>
      </c>
      <c r="D93" s="9" t="s">
        <v>37</v>
      </c>
      <c r="E93" s="9" t="s">
        <v>68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123</v>
      </c>
      <c r="C94" s="9" t="s">
        <v>85</v>
      </c>
      <c r="D94" s="9" t="s">
        <v>37</v>
      </c>
      <c r="E94" s="9" t="s">
        <v>68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136</v>
      </c>
      <c r="C95" s="9" t="s">
        <v>85</v>
      </c>
      <c r="D95" s="9" t="s">
        <v>37</v>
      </c>
      <c r="E95" s="9" t="s">
        <v>68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114</v>
      </c>
      <c r="C96" s="9" t="s">
        <v>85</v>
      </c>
      <c r="D96" s="9" t="s">
        <v>37</v>
      </c>
      <c r="E96" s="9" t="s">
        <v>68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37</v>
      </c>
      <c r="E97" s="9" t="s">
        <v>68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131</v>
      </c>
      <c r="C98" s="9" t="s">
        <v>92</v>
      </c>
      <c r="D98" s="9" t="s">
        <v>93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123</v>
      </c>
      <c r="C99" s="9" t="s">
        <v>92</v>
      </c>
      <c r="D99" s="9" t="s">
        <v>93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136</v>
      </c>
      <c r="C100" s="9" t="s">
        <v>92</v>
      </c>
      <c r="D100" s="9" t="s">
        <v>93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114</v>
      </c>
      <c r="C101" s="9" t="s">
        <v>92</v>
      </c>
      <c r="D101" s="9" t="s">
        <v>93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93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131</v>
      </c>
      <c r="C103" s="9" t="s">
        <v>95</v>
      </c>
      <c r="D103" s="9" t="s">
        <v>93</v>
      </c>
      <c r="E103" s="9" t="s">
        <v>68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123</v>
      </c>
      <c r="C104" s="9" t="s">
        <v>95</v>
      </c>
      <c r="D104" s="9" t="s">
        <v>93</v>
      </c>
      <c r="E104" s="9" t="s">
        <v>68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136</v>
      </c>
      <c r="C105" s="9" t="s">
        <v>95</v>
      </c>
      <c r="D105" s="9" t="s">
        <v>93</v>
      </c>
      <c r="E105" s="9" t="s">
        <v>68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114</v>
      </c>
      <c r="C106" s="9" t="s">
        <v>95</v>
      </c>
      <c r="D106" s="9" t="s">
        <v>93</v>
      </c>
      <c r="E106" s="9" t="s">
        <v>68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93</v>
      </c>
      <c r="E107" s="9" t="s">
        <v>68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131</v>
      </c>
      <c r="C108" s="9" t="s">
        <v>97</v>
      </c>
      <c r="D108" s="9" t="s">
        <v>37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123</v>
      </c>
      <c r="C109" s="9" t="s">
        <v>97</v>
      </c>
      <c r="D109" s="9" t="s">
        <v>37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136</v>
      </c>
      <c r="C110" s="9" t="s">
        <v>97</v>
      </c>
      <c r="D110" s="9" t="s">
        <v>37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114</v>
      </c>
      <c r="C111" s="9" t="s">
        <v>97</v>
      </c>
      <c r="D111" s="9" t="s">
        <v>37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37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131</v>
      </c>
      <c r="C113" s="9" t="s">
        <v>98</v>
      </c>
      <c r="D113" s="9" t="s">
        <v>37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123</v>
      </c>
      <c r="C114" s="9" t="s">
        <v>98</v>
      </c>
      <c r="D114" s="9" t="s">
        <v>37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136</v>
      </c>
      <c r="C115" s="9" t="s">
        <v>98</v>
      </c>
      <c r="D115" s="9" t="s">
        <v>37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114</v>
      </c>
      <c r="C116" s="9" t="s">
        <v>98</v>
      </c>
      <c r="D116" s="9" t="s">
        <v>37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37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131</v>
      </c>
      <c r="C118" s="9" t="s">
        <v>101</v>
      </c>
      <c r="D118" s="9" t="s">
        <v>51</v>
      </c>
      <c r="E118" s="9" t="s">
        <v>38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123</v>
      </c>
      <c r="C119" s="9" t="s">
        <v>101</v>
      </c>
      <c r="D119" s="9" t="s">
        <v>51</v>
      </c>
      <c r="E119" s="9" t="s">
        <v>38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136</v>
      </c>
      <c r="C120" s="9" t="s">
        <v>101</v>
      </c>
      <c r="D120" s="9" t="s">
        <v>51</v>
      </c>
      <c r="E120" s="9" t="s">
        <v>38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131</v>
      </c>
      <c r="C121" s="9" t="s">
        <v>103</v>
      </c>
      <c r="D121" s="9" t="s">
        <v>51</v>
      </c>
      <c r="E121" s="9" t="s">
        <v>68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123</v>
      </c>
      <c r="C122" s="9" t="s">
        <v>103</v>
      </c>
      <c r="D122" s="9" t="s">
        <v>51</v>
      </c>
      <c r="E122" s="9" t="s">
        <v>68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136</v>
      </c>
      <c r="C123" s="9" t="s">
        <v>103</v>
      </c>
      <c r="D123" s="9" t="s">
        <v>51</v>
      </c>
      <c r="E123" s="9" t="s">
        <v>68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114</v>
      </c>
      <c r="C124" s="9" t="s">
        <v>103</v>
      </c>
      <c r="D124" s="9" t="s">
        <v>51</v>
      </c>
      <c r="E124" s="9" t="s">
        <v>68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68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131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123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136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114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131</v>
      </c>
      <c r="C131" s="9" t="s">
        <v>108</v>
      </c>
      <c r="D131" s="9" t="s">
        <v>93</v>
      </c>
      <c r="E131" s="9" t="s">
        <v>68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123</v>
      </c>
      <c r="C132" s="9" t="s">
        <v>108</v>
      </c>
      <c r="D132" s="9" t="s">
        <v>93</v>
      </c>
      <c r="E132" s="9" t="s">
        <v>68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136</v>
      </c>
      <c r="C133" s="9" t="s">
        <v>108</v>
      </c>
      <c r="D133" s="9" t="s">
        <v>93</v>
      </c>
      <c r="E133" s="9" t="s">
        <v>68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114</v>
      </c>
      <c r="C134" s="9" t="s">
        <v>108</v>
      </c>
      <c r="D134" s="9" t="s">
        <v>93</v>
      </c>
      <c r="E134" s="9" t="s">
        <v>68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93</v>
      </c>
      <c r="E135" s="9" t="s">
        <v>68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131</v>
      </c>
      <c r="C136" s="9" t="s">
        <v>110</v>
      </c>
      <c r="D136" s="9" t="s">
        <v>76</v>
      </c>
      <c r="E136" s="9" t="s">
        <v>68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123</v>
      </c>
      <c r="C137" s="9" t="s">
        <v>110</v>
      </c>
      <c r="D137" s="9" t="s">
        <v>76</v>
      </c>
      <c r="E137" s="9" t="s">
        <v>68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136</v>
      </c>
      <c r="C138" s="9" t="s">
        <v>110</v>
      </c>
      <c r="D138" s="9" t="s">
        <v>76</v>
      </c>
      <c r="E138" s="9" t="s">
        <v>68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114</v>
      </c>
      <c r="C139" s="9" t="s">
        <v>110</v>
      </c>
      <c r="D139" s="9" t="s">
        <v>76</v>
      </c>
      <c r="E139" s="9" t="s">
        <v>68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68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131</v>
      </c>
      <c r="C141" s="9" t="s">
        <v>113</v>
      </c>
      <c r="D141" s="9" t="s">
        <v>67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123</v>
      </c>
      <c r="C142" s="9" t="s">
        <v>113</v>
      </c>
      <c r="D142" s="9" t="s">
        <v>67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136</v>
      </c>
      <c r="C143" s="9" t="s">
        <v>113</v>
      </c>
      <c r="D143" s="9" t="s">
        <v>67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131</v>
      </c>
      <c r="C144" s="9" t="s">
        <v>119</v>
      </c>
      <c r="D144" s="9" t="s">
        <v>105</v>
      </c>
      <c r="E144" s="9" t="s">
        <v>68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123</v>
      </c>
      <c r="C145" s="9" t="s">
        <v>119</v>
      </c>
      <c r="D145" s="9" t="s">
        <v>105</v>
      </c>
      <c r="E145" s="9" t="s">
        <v>68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136</v>
      </c>
      <c r="C146" s="9" t="s">
        <v>119</v>
      </c>
      <c r="D146" s="9" t="s">
        <v>105</v>
      </c>
      <c r="E146" s="9" t="s">
        <v>68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131</v>
      </c>
      <c r="C147" s="9" t="s">
        <v>122</v>
      </c>
      <c r="D147" s="9" t="s">
        <v>105</v>
      </c>
      <c r="E147" s="9" t="s">
        <v>68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123</v>
      </c>
      <c r="C148" s="9" t="s">
        <v>122</v>
      </c>
      <c r="D148" s="9" t="s">
        <v>105</v>
      </c>
      <c r="E148" s="9" t="s">
        <v>68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136</v>
      </c>
      <c r="C149" s="9" t="s">
        <v>122</v>
      </c>
      <c r="D149" s="9" t="s">
        <v>105</v>
      </c>
      <c r="E149" s="9" t="s">
        <v>68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131</v>
      </c>
      <c r="C150" s="9" t="s">
        <v>125</v>
      </c>
      <c r="D150" s="9" t="s">
        <v>51</v>
      </c>
      <c r="E150" s="9" t="s">
        <v>38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123</v>
      </c>
      <c r="C151" s="9" t="s">
        <v>125</v>
      </c>
      <c r="D151" s="9" t="s">
        <v>51</v>
      </c>
      <c r="E151" s="9" t="s">
        <v>38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136</v>
      </c>
      <c r="C152" s="9" t="s">
        <v>125</v>
      </c>
      <c r="D152" s="9" t="s">
        <v>51</v>
      </c>
      <c r="E152" s="9" t="s">
        <v>38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131</v>
      </c>
      <c r="C153" s="9" t="s">
        <v>128</v>
      </c>
      <c r="D153" s="9" t="s">
        <v>93</v>
      </c>
      <c r="E153" s="9" t="s">
        <v>68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123</v>
      </c>
      <c r="C154" s="9" t="s">
        <v>128</v>
      </c>
      <c r="D154" s="9" t="s">
        <v>93</v>
      </c>
      <c r="E154" s="9" t="s">
        <v>68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136</v>
      </c>
      <c r="C155" s="9" t="s">
        <v>128</v>
      </c>
      <c r="D155" s="9" t="s">
        <v>93</v>
      </c>
      <c r="E155" s="9" t="s">
        <v>68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131</v>
      </c>
      <c r="C156" s="9" t="s">
        <v>130</v>
      </c>
      <c r="D156" s="9" t="s">
        <v>76</v>
      </c>
      <c r="E156" s="9" t="s">
        <v>52</v>
      </c>
      <c r="F156" s="9"/>
      <c r="G156" s="9" t="s">
        <v>132</v>
      </c>
      <c r="H156" s="9"/>
      <c r="I156" s="9"/>
      <c r="J156" s="9"/>
    </row>
    <row r="157" spans="1:10">
      <c r="A157" s="3" t="s">
        <v>112</v>
      </c>
      <c r="B157" s="3" t="s">
        <v>131</v>
      </c>
      <c r="C157" s="3" t="s">
        <v>135</v>
      </c>
      <c r="D157" s="3" t="s">
        <v>105</v>
      </c>
      <c r="E157" s="3" t="s">
        <v>38</v>
      </c>
      <c r="F157" s="3"/>
      <c r="G157" s="3" t="s">
        <v>132</v>
      </c>
      <c r="H157" s="3"/>
      <c r="I157" s="3"/>
      <c r="J157" s="3"/>
    </row>
    <row r="158" spans="1:10">
      <c r="A158" s="3" t="s">
        <v>112</v>
      </c>
      <c r="B158" s="3" t="s">
        <v>131</v>
      </c>
      <c r="C158" s="3" t="s">
        <v>138</v>
      </c>
      <c r="D158" s="3" t="s">
        <v>105</v>
      </c>
      <c r="E158" s="3" t="s">
        <v>38</v>
      </c>
      <c r="F158" s="3"/>
      <c r="G158" s="3" t="s">
        <v>132</v>
      </c>
      <c r="H158" s="3"/>
      <c r="I158" s="3"/>
      <c r="J158" s="3"/>
    </row>
    <row r="159" spans="1:10">
      <c r="A159" s="3" t="s">
        <v>112</v>
      </c>
      <c r="B159" s="3" t="s">
        <v>123</v>
      </c>
      <c r="C159" s="3" t="s">
        <v>138</v>
      </c>
      <c r="D159" s="3" t="s">
        <v>105</v>
      </c>
      <c r="E159" s="3" t="s">
        <v>38</v>
      </c>
      <c r="F159" s="3"/>
      <c r="G159" s="3" t="s">
        <v>132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136</v>
      </c>
      <c r="C160" s="3" t="s">
        <v>138</v>
      </c>
      <c r="D160" s="3" t="s">
        <v>105</v>
      </c>
      <c r="E160" s="3" t="s">
        <v>38</v>
      </c>
      <c r="F160" s="3"/>
      <c r="G160" s="3" t="s">
        <v>132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131</v>
      </c>
      <c r="C161" s="3" t="s">
        <v>140</v>
      </c>
      <c r="D161" s="3" t="s">
        <v>76</v>
      </c>
      <c r="E161" s="3" t="s">
        <v>52</v>
      </c>
      <c r="F161" s="3"/>
      <c r="G161" s="3" t="s">
        <v>132</v>
      </c>
      <c r="H161" s="3"/>
      <c r="I161" s="3"/>
      <c r="J161" s="3"/>
    </row>
    <row r="162" spans="1:10">
      <c r="A162" s="3" t="s">
        <v>112</v>
      </c>
      <c r="B162" s="3" t="s">
        <v>123</v>
      </c>
      <c r="C162" s="3" t="s">
        <v>140</v>
      </c>
      <c r="D162" s="3" t="s">
        <v>76</v>
      </c>
      <c r="E162" s="3" t="s">
        <v>52</v>
      </c>
      <c r="F162" s="3"/>
      <c r="G162" s="3" t="s">
        <v>132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136</v>
      </c>
      <c r="C163" s="3" t="s">
        <v>140</v>
      </c>
      <c r="D163" s="3" t="s">
        <v>76</v>
      </c>
      <c r="E163" s="3" t="s">
        <v>52</v>
      </c>
      <c r="F163" s="3"/>
      <c r="G163" s="3" t="s">
        <v>132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131</v>
      </c>
      <c r="C164" s="3" t="s">
        <v>142</v>
      </c>
      <c r="D164" s="3" t="s">
        <v>144</v>
      </c>
      <c r="E164" s="3" t="s">
        <v>52</v>
      </c>
      <c r="F164" s="3"/>
      <c r="G164" s="3" t="s">
        <v>132</v>
      </c>
      <c r="H164" s="3"/>
      <c r="I164" s="3"/>
      <c r="J164" s="3"/>
    </row>
    <row r="165" spans="1:10">
      <c r="A165" s="3" t="s">
        <v>112</v>
      </c>
      <c r="B165" s="3" t="s">
        <v>123</v>
      </c>
      <c r="C165" s="3" t="s">
        <v>142</v>
      </c>
      <c r="D165" s="3" t="s">
        <v>144</v>
      </c>
      <c r="E165" s="3" t="s">
        <v>52</v>
      </c>
      <c r="F165" s="3"/>
      <c r="G165" s="3" t="s">
        <v>132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136</v>
      </c>
      <c r="C166" s="3" t="s">
        <v>142</v>
      </c>
      <c r="D166" s="3" t="s">
        <v>144</v>
      </c>
      <c r="E166" s="3" t="s">
        <v>52</v>
      </c>
      <c r="F166" s="3"/>
      <c r="G166" s="3" t="s">
        <v>132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131</v>
      </c>
      <c r="C167" s="3" t="s">
        <v>146</v>
      </c>
      <c r="D167" s="3" t="s">
        <v>144</v>
      </c>
      <c r="E167" s="3" t="s">
        <v>68</v>
      </c>
      <c r="F167" s="3"/>
      <c r="G167" s="3" t="s">
        <v>132</v>
      </c>
      <c r="H167" s="3"/>
      <c r="I167" s="3"/>
      <c r="J167" s="3"/>
    </row>
    <row r="168" spans="1:10">
      <c r="A168" s="3" t="s">
        <v>112</v>
      </c>
      <c r="B168" s="3" t="s">
        <v>123</v>
      </c>
      <c r="C168" s="3" t="s">
        <v>146</v>
      </c>
      <c r="D168" s="3" t="s">
        <v>144</v>
      </c>
      <c r="E168" s="3" t="s">
        <v>68</v>
      </c>
      <c r="F168" s="3"/>
      <c r="G168" s="3" t="s">
        <v>132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136</v>
      </c>
      <c r="C169" s="3" t="s">
        <v>146</v>
      </c>
      <c r="D169" s="3" t="s">
        <v>144</v>
      </c>
      <c r="E169" s="3" t="s">
        <v>68</v>
      </c>
      <c r="F169" s="3"/>
      <c r="G169" s="3" t="s">
        <v>132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131</v>
      </c>
      <c r="C170" s="3" t="s">
        <v>149</v>
      </c>
      <c r="D170" s="3" t="s">
        <v>67</v>
      </c>
      <c r="E170" s="3" t="s">
        <v>38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123</v>
      </c>
      <c r="C171" s="3" t="s">
        <v>149</v>
      </c>
      <c r="D171" s="3" t="s">
        <v>67</v>
      </c>
      <c r="E171" s="3" t="s">
        <v>38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136</v>
      </c>
      <c r="C172" s="3" t="s">
        <v>149</v>
      </c>
      <c r="D172" s="3" t="s">
        <v>67</v>
      </c>
      <c r="E172" s="3" t="s">
        <v>38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131</v>
      </c>
      <c r="C173" s="3" t="s">
        <v>152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123</v>
      </c>
      <c r="C174" s="3" t="s">
        <v>152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136</v>
      </c>
      <c r="C175" s="3" t="s">
        <v>152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131</v>
      </c>
      <c r="C176" s="3" t="s">
        <v>153</v>
      </c>
      <c r="D176" s="3" t="s">
        <v>67</v>
      </c>
      <c r="E176" s="3" t="s">
        <v>68</v>
      </c>
      <c r="F176" s="3"/>
      <c r="G176" s="3" t="s">
        <v>132</v>
      </c>
      <c r="H176" s="3"/>
      <c r="I176" s="3"/>
      <c r="J176" s="3"/>
    </row>
    <row r="177" spans="1:10">
      <c r="A177" s="3" t="s">
        <v>112</v>
      </c>
      <c r="B177" s="3" t="s">
        <v>123</v>
      </c>
      <c r="C177" s="3" t="s">
        <v>153</v>
      </c>
      <c r="D177" s="3" t="s">
        <v>67</v>
      </c>
      <c r="E177" s="3" t="s">
        <v>68</v>
      </c>
      <c r="F177" s="3"/>
      <c r="G177" s="3" t="s">
        <v>132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136</v>
      </c>
      <c r="C178" s="3" t="s">
        <v>153</v>
      </c>
      <c r="D178" s="3" t="s">
        <v>67</v>
      </c>
      <c r="E178" s="3" t="s">
        <v>68</v>
      </c>
      <c r="F178" s="3"/>
      <c r="G178" s="3" t="s">
        <v>132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131</v>
      </c>
      <c r="C179" s="3" t="s">
        <v>155</v>
      </c>
      <c r="D179" s="3" t="s">
        <v>93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123</v>
      </c>
      <c r="C180" s="3" t="s">
        <v>155</v>
      </c>
      <c r="D180" s="3" t="s">
        <v>93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136</v>
      </c>
      <c r="C181" s="3" t="s">
        <v>155</v>
      </c>
      <c r="D181" s="3" t="s">
        <v>93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131</v>
      </c>
      <c r="C182" s="3" t="s">
        <v>161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123</v>
      </c>
      <c r="C183" s="3" t="s">
        <v>161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136</v>
      </c>
      <c r="C184" s="3" t="s">
        <v>161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72" t="s">
        <v>231</v>
      </c>
      <c r="B1" s="66"/>
      <c r="C1" s="66"/>
    </row>
    <row r="2" spans="1:3" ht="14.25" customHeight="1">
      <c r="A2" s="8" t="s">
        <v>0</v>
      </c>
      <c r="B2" s="8" t="s">
        <v>232</v>
      </c>
      <c r="C2" s="8" t="s">
        <v>228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233</v>
      </c>
      <c r="B11" s="11">
        <v>18</v>
      </c>
      <c r="C11" s="12">
        <v>46386</v>
      </c>
    </row>
    <row r="12" spans="1:3" ht="14.25" customHeight="1">
      <c r="A12" s="11" t="s">
        <v>233</v>
      </c>
      <c r="B12" s="11">
        <v>18</v>
      </c>
      <c r="C12" s="12">
        <v>46417</v>
      </c>
    </row>
    <row r="13" spans="1:3" ht="14.25" customHeight="1">
      <c r="A13" s="11" t="s">
        <v>233</v>
      </c>
      <c r="B13" s="11">
        <v>19</v>
      </c>
      <c r="C13" s="12">
        <v>46446</v>
      </c>
    </row>
    <row r="14" spans="1:3" ht="14.25" customHeight="1">
      <c r="A14" s="11" t="s">
        <v>234</v>
      </c>
      <c r="B14" s="11">
        <v>9</v>
      </c>
      <c r="C14" s="12">
        <v>46476</v>
      </c>
    </row>
    <row r="15" spans="1:3" ht="14.25" customHeight="1">
      <c r="A15" s="11" t="s">
        <v>235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6</v>
      </c>
      <c r="C1" s="1" t="s">
        <v>7</v>
      </c>
      <c r="D1" s="1" t="s">
        <v>5</v>
      </c>
      <c r="E1" s="1" t="s">
        <v>236</v>
      </c>
      <c r="F1" s="1" t="s">
        <v>2</v>
      </c>
      <c r="G1" s="5" t="s">
        <v>237</v>
      </c>
      <c r="H1" s="5" t="s">
        <v>8</v>
      </c>
      <c r="I1" t="s">
        <v>31</v>
      </c>
      <c r="J1" s="5" t="s">
        <v>238</v>
      </c>
      <c r="K1" s="5" t="s">
        <v>114</v>
      </c>
      <c r="L1" s="5" t="s">
        <v>212</v>
      </c>
      <c r="M1" s="1" t="s">
        <v>239</v>
      </c>
      <c r="N1" s="1" t="s">
        <v>240</v>
      </c>
    </row>
    <row r="2" spans="1:14" ht="13.5" customHeight="1">
      <c r="A2" s="2" t="s">
        <v>241</v>
      </c>
      <c r="B2" s="2" t="s">
        <v>242</v>
      </c>
      <c r="C2" s="2" t="s">
        <v>243</v>
      </c>
      <c r="D2" s="2" t="s">
        <v>244</v>
      </c>
      <c r="E2" s="2" t="s">
        <v>245</v>
      </c>
      <c r="F2" s="2" t="s">
        <v>246</v>
      </c>
      <c r="G2" t="s">
        <v>247</v>
      </c>
      <c r="H2" t="s">
        <v>248</v>
      </c>
      <c r="I2" t="s">
        <v>249</v>
      </c>
      <c r="J2" s="29" t="s">
        <v>250</v>
      </c>
      <c r="K2" s="29" t="s">
        <v>251</v>
      </c>
      <c r="L2" s="29" t="s">
        <v>252</v>
      </c>
      <c r="M2" t="s">
        <v>132</v>
      </c>
      <c r="N2" s="45" t="s">
        <v>253</v>
      </c>
    </row>
    <row r="3" spans="1:14" ht="15" customHeight="1">
      <c r="A3" t="s">
        <v>34</v>
      </c>
      <c r="B3" t="s">
        <v>37</v>
      </c>
      <c r="C3" t="s">
        <v>52</v>
      </c>
      <c r="D3" t="s">
        <v>115</v>
      </c>
      <c r="E3" t="s">
        <v>42</v>
      </c>
      <c r="F3" t="s">
        <v>159</v>
      </c>
      <c r="G3" t="s">
        <v>37</v>
      </c>
      <c r="H3" t="s">
        <v>39</v>
      </c>
      <c r="I3" t="s">
        <v>45</v>
      </c>
      <c r="J3" t="s">
        <v>131</v>
      </c>
      <c r="K3" t="s">
        <v>41</v>
      </c>
      <c r="L3" t="s">
        <v>45</v>
      </c>
      <c r="M3" t="s">
        <v>37</v>
      </c>
      <c r="N3" s="45" t="s">
        <v>254</v>
      </c>
    </row>
    <row r="4" spans="1:14" ht="15" customHeight="1">
      <c r="A4" t="s">
        <v>112</v>
      </c>
      <c r="B4" t="s">
        <v>51</v>
      </c>
      <c r="C4" t="s">
        <v>38</v>
      </c>
      <c r="D4" t="s">
        <v>132</v>
      </c>
      <c r="E4" t="s">
        <v>45</v>
      </c>
      <c r="F4" t="s">
        <v>131</v>
      </c>
      <c r="G4" t="s">
        <v>51</v>
      </c>
      <c r="H4" t="s">
        <v>80</v>
      </c>
      <c r="I4" t="s">
        <v>151</v>
      </c>
      <c r="J4" t="s">
        <v>123</v>
      </c>
      <c r="L4" t="s">
        <v>42</v>
      </c>
      <c r="M4" t="s">
        <v>93</v>
      </c>
      <c r="N4" s="45" t="s">
        <v>254</v>
      </c>
    </row>
    <row r="5" spans="1:14" ht="15" customHeight="1">
      <c r="A5" t="s">
        <v>233</v>
      </c>
      <c r="B5" t="s">
        <v>57</v>
      </c>
      <c r="C5" t="s">
        <v>68</v>
      </c>
      <c r="F5" t="s">
        <v>123</v>
      </c>
      <c r="G5" t="s">
        <v>57</v>
      </c>
      <c r="H5" t="s">
        <v>115</v>
      </c>
      <c r="I5" t="s">
        <v>255</v>
      </c>
      <c r="J5" t="s">
        <v>136</v>
      </c>
      <c r="L5" t="s">
        <v>256</v>
      </c>
      <c r="M5" t="s">
        <v>80</v>
      </c>
      <c r="N5" s="45" t="s">
        <v>254</v>
      </c>
    </row>
    <row r="6" spans="1:14" ht="15" customHeight="1">
      <c r="A6" t="s">
        <v>234</v>
      </c>
      <c r="B6" t="s">
        <v>76</v>
      </c>
      <c r="F6" t="s">
        <v>136</v>
      </c>
      <c r="G6" t="s">
        <v>76</v>
      </c>
      <c r="H6" t="s">
        <v>132</v>
      </c>
      <c r="I6" t="s">
        <v>133</v>
      </c>
      <c r="J6" t="s">
        <v>114</v>
      </c>
      <c r="M6" t="s">
        <v>41</v>
      </c>
      <c r="N6" s="45" t="s">
        <v>254</v>
      </c>
    </row>
    <row r="7" spans="1:14" ht="15" customHeight="1">
      <c r="A7" t="s">
        <v>235</v>
      </c>
      <c r="B7" t="s">
        <v>105</v>
      </c>
      <c r="F7" t="s">
        <v>114</v>
      </c>
      <c r="G7" t="s">
        <v>105</v>
      </c>
      <c r="I7" t="s">
        <v>257</v>
      </c>
      <c r="M7" t="s">
        <v>115</v>
      </c>
      <c r="N7" s="45" t="s">
        <v>254</v>
      </c>
    </row>
    <row r="8" spans="1:14" ht="15" customHeight="1">
      <c r="B8" t="s">
        <v>67</v>
      </c>
      <c r="F8" t="s">
        <v>36</v>
      </c>
      <c r="G8" t="s">
        <v>67</v>
      </c>
      <c r="I8" t="s">
        <v>258</v>
      </c>
      <c r="M8" t="s">
        <v>52</v>
      </c>
      <c r="N8" s="45" t="s">
        <v>254</v>
      </c>
    </row>
    <row r="9" spans="1:14" ht="15" customHeight="1">
      <c r="B9" t="s">
        <v>93</v>
      </c>
      <c r="G9" t="s">
        <v>93</v>
      </c>
      <c r="I9" t="s">
        <v>259</v>
      </c>
      <c r="M9" t="s">
        <v>144</v>
      </c>
      <c r="N9" s="45" t="s">
        <v>254</v>
      </c>
    </row>
    <row r="10" spans="1:14" ht="15" customHeight="1">
      <c r="B10" t="s">
        <v>144</v>
      </c>
      <c r="G10" t="s">
        <v>144</v>
      </c>
      <c r="M10" t="s">
        <v>39</v>
      </c>
      <c r="N10" s="45" t="s">
        <v>254</v>
      </c>
    </row>
    <row r="11" spans="1:14">
      <c r="G11" t="s">
        <v>52</v>
      </c>
      <c r="M11" t="s">
        <v>67</v>
      </c>
      <c r="N11" s="45" t="s">
        <v>254</v>
      </c>
    </row>
    <row r="12" spans="1:14">
      <c r="G12" t="s">
        <v>38</v>
      </c>
      <c r="M12" t="s">
        <v>38</v>
      </c>
      <c r="N12" s="45" t="s">
        <v>254</v>
      </c>
    </row>
    <row r="13" spans="1:14">
      <c r="G13" t="s">
        <v>68</v>
      </c>
      <c r="M13" t="s">
        <v>68</v>
      </c>
      <c r="N13" s="45" t="s">
        <v>254</v>
      </c>
    </row>
    <row r="14" spans="1:14">
      <c r="M14" t="s">
        <v>76</v>
      </c>
      <c r="N14" s="45" t="s">
        <v>260</v>
      </c>
    </row>
    <row r="15" spans="1:14">
      <c r="M15" t="s">
        <v>51</v>
      </c>
      <c r="N15" s="45" t="s">
        <v>254</v>
      </c>
    </row>
    <row r="16" spans="1:14">
      <c r="M16" t="s">
        <v>105</v>
      </c>
      <c r="N16" s="45" t="s">
        <v>254</v>
      </c>
    </row>
    <row r="17" spans="13:14">
      <c r="M17" t="s">
        <v>57</v>
      </c>
      <c r="N17" s="45" t="s">
        <v>254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24BA0970-9A29-4941-880B-66A35426966B}"/>
</file>

<file path=customXml/itemProps2.xml><?xml version="1.0" encoding="utf-8"?>
<ds:datastoreItem xmlns:ds="http://schemas.openxmlformats.org/officeDocument/2006/customXml" ds:itemID="{4550CFC1-C6B8-4442-974F-39E6BA114AF6}"/>
</file>

<file path=customXml/itemProps3.xml><?xml version="1.0" encoding="utf-8"?>
<ds:datastoreItem xmlns:ds="http://schemas.openxmlformats.org/officeDocument/2006/customXml" ds:itemID="{AD54C7CB-11A4-40CF-B95E-1D5833A38355}"/>
</file>

<file path=customXml/itemProps4.xml><?xml version="1.0" encoding="utf-8"?>
<ds:datastoreItem xmlns:ds="http://schemas.openxmlformats.org/officeDocument/2006/customXml" ds:itemID="{5D565648-A6A0-41BF-86C3-DCBEA404F718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Bardia Mouhebat</cp:lastModifiedBy>
  <cp:revision>0</cp:revision>
  <dcterms:created xsi:type="dcterms:W3CDTF">2026-07-21T14:32:59Z</dcterms:created>
  <dcterms:modified xsi:type="dcterms:W3CDTF">2026-08-04T20:23:02Z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