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65" documentId="13_ncr:1_{52745E9B-3AA1-4770-AAD3-E6166BFC13AE}" xr6:coauthVersionLast="47" xr6:coauthVersionMax="47" xr10:uidLastSave="{A63663ED-B62F-4117-A1A0-726CE634FB51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<sst xmlns="http://schemas.openxmlformats.org/spreadsheetml/2006/main" count="2168" uniqueCount="262">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</sst>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  <filterColumn colId="11">
      <filters>
        <filter val="July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J29" activePane="bottomRight" state="frozen"/>
      <selection pane="bottomRight" activeCell="Q29" sqref="Q2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129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130</v>
      </c>
    </row>
    <row r="34" spans="1:34">
      <c r="A34" s="33" t="s">
        <v>112</v>
      </c>
      <c r="B34" s="33" t="s">
        <v>131</v>
      </c>
      <c r="C34" s="33" t="s">
        <v>132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129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>
      <c r="A38" s="33" t="s">
        <v>112</v>
      </c>
      <c r="B38" s="33" t="s">
        <v>143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146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148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>
      <c r="A40" s="33" t="s">
        <v>112</v>
      </c>
      <c r="B40" s="33" t="s">
        <v>150</v>
      </c>
      <c r="C40" s="33" t="s">
        <v>123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148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153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146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154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155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156</v>
      </c>
      <c r="C43" s="33" t="s">
        <v>132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162</v>
      </c>
      <c r="C46" s="33" t="s">
        <v>132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3">
      <formula>AND($B41&lt;&gt;"",MOD(ROW(),2)=0)</formula>
    </cfRule>
    <cfRule type="expression" dxfId="90" priority="144">
      <formula>$AF41="Yes – needs DB Dev to fix"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5">
      <formula>AND($B3&lt;&gt;"",MOD(ROW(),2)=0)</formula>
    </cfRule>
    <cfRule type="expression" dxfId="67" priority="6">
      <formula>$AF3="Yes – needs DPO Approval to fix"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1">
      <formula>ISNUMBER(SEARCH("Move old",$Z74))</formula>
    </cfRule>
    <cfRule type="expression" dxfId="63" priority="31">
      <formula>ISNUMBER(SEARCH("Open rework",$Z74))</formula>
    </cfRule>
    <cfRule type="expression" dxfId="62" priority="31">
      <formula>ISNUMBER(SEARCH("log it",$Z74))</formula>
    </cfRule>
    <cfRule type="expression" dxfId="61" priority="32">
      <formula>ISNUMBER(SEARCH("Duplicate",$Z74))</formula>
    </cfRule>
    <cfRule type="expression" dxfId="60" priority="33">
      <formula>$Z74&lt;&gt;""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4">
      <formula>ISNUMBER(SEARCH("Duplicate",$AC73))</formula>
    </cfRule>
    <cfRule type="expression" dxfId="53" priority="115">
      <formula>$AC73&lt;&gt;""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5"/>
      <c r="C4" s="66"/>
      <c r="D4" s="66"/>
      <c r="E4" s="66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195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196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197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198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199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200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201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202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203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204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205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206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207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 ht="15">
      <c r="A3" s="33" t="s">
        <v>131</v>
      </c>
      <c r="B3" s="36">
        <v>46230</v>
      </c>
      <c r="C3" s="33" t="s">
        <v>137</v>
      </c>
      <c r="D3" s="33" t="s">
        <v>132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132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137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137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137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224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225</v>
      </c>
      <c r="C2" s="8" t="s">
        <v>1</v>
      </c>
      <c r="D2" s="8" t="s">
        <v>226</v>
      </c>
      <c r="E2" s="8" t="s">
        <v>227</v>
      </c>
      <c r="F2" s="8" t="s">
        <v>9</v>
      </c>
      <c r="G2" s="8" t="s">
        <v>5</v>
      </c>
      <c r="H2" s="8" t="s">
        <v>228</v>
      </c>
      <c r="I2" s="8" t="s">
        <v>229</v>
      </c>
      <c r="J2" s="8" t="s">
        <v>230</v>
      </c>
    </row>
    <row r="3" spans="1:10" ht="14.25" customHeight="1">
      <c r="A3" s="9" t="s">
        <v>34</v>
      </c>
      <c r="B3" s="9" t="s">
        <v>132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132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132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132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132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132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132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132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132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132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132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132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132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132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132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132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132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132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132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132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132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132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132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132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132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132</v>
      </c>
      <c r="C156" s="9" t="s">
        <v>131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132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132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132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132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132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132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132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132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132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132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232</v>
      </c>
      <c r="B1" s="66"/>
      <c r="C1" s="66"/>
    </row>
    <row r="2" spans="1:3" ht="14.25" customHeight="1">
      <c r="A2" s="8" t="s">
        <v>0</v>
      </c>
      <c r="B2" s="8" t="s">
        <v>233</v>
      </c>
      <c r="C2" s="8" t="s">
        <v>229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114</v>
      </c>
      <c r="L1" s="5" t="s">
        <v>213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133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132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132</v>
      </c>
      <c r="G4" t="s">
        <v>51</v>
      </c>
      <c r="H4" t="s">
        <v>80</v>
      </c>
      <c r="I4" t="s">
        <v>152</v>
      </c>
      <c r="J4" t="s">
        <v>123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256</v>
      </c>
      <c r="J5" t="s">
        <v>137</v>
      </c>
      <c r="L5" t="s">
        <v>257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114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114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260</v>
      </c>
      <c r="M9" t="s">
        <v>145</v>
      </c>
      <c r="N9" s="45" t="s">
        <v>255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2026-08-05T13:26:02Z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