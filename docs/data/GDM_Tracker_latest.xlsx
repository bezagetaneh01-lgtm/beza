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136" documentId="13_ncr:1_{52745E9B-3AA1-4770-AAD3-E6166BFC13AE}" xr6:coauthVersionLast="47" xr6:coauthVersionMax="47" xr10:uidLastSave="{5C750B0D-ED32-4DC9-8EBA-7B7690499697}"/>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N119" i="2" l="1" a="1"/>
  <c r="AN119" i="2"/>
  <c r="AN118" i="2" a="1"/>
  <c r="AN118" i="2"/>
  <c r="AN117" i="2" a="1"/>
  <c r="AN117" i="2"/>
  <c r="AM119" i="2" a="1"/>
  <c r="AM119" i="2"/>
  <c r="AM118" i="2" a="1"/>
  <c r="AM118" i="2"/>
  <c r="AM117" i="2" a="1"/>
  <c r="AM117" i="2"/>
  <c r="L16" i="8"/>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<sst xmlns="http://schemas.openxmlformats.org/spreadsheetml/2006/main" count="3664" uniqueCount="528">
  <si>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</si>
  <si>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</si>
  <si>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</si>
  <si>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</si>
  <si>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</si>
  <si>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</si>
  <si>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</si>
  <si>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</si>
  <si>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</si>
  <si>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</si>
  <si>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</si>
  <si>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</si>
  <si>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</si>
  <si>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</si>
  <si>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</si>
  <si>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</si>
  <si>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</si>
  <si>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</si>
  <si>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</si>
  <si>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</si>
  <si>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</si>
  <si>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</si>
  <si>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</si>
  <si>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</si>
  <si>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</si>
  <si>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</si>
  <si>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</si>
  <si>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</si>
  <si>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</si>
  <si>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</si>
  <si>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</si>
  <si>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</si>
  <si>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</si>
  <si>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</si>
  <si>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</si>
  <si>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</si>
  <si>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</si>
  <si>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</si>
  <si>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</si>
  <si>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</si>
  <si>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</si>
  <si>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</si>
  <si>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</si>
  <si>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</si>
  <si>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</si>
  <si>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</si>
  <si>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</si>
  <si>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</si>
  <si>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</si>
  <si>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</si>
  <si>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</si>
  <si>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</si>
  <si>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</si>
  <si>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</si>
  <si>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</si>
  <si>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</si>
  <si>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</si>
  <si>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</si>
  <si>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</si>
  <si>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</si>
  <si>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</si>
  <si>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</si>
  <si>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</si>
  <si>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</si>
  <si>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</si>
  <si>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</si>
  <si>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</si>
  <si>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</si>
  <si>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</si>
  <si>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</si>
  <si>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</si>
  <si>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</si>
  <si>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</si>
  <si>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</si>
  <si>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</si>
  <si>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</si>
  <si>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</si>
  <si>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</si>
  <si>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</si>
  <si>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</si>
  <si>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</si>
  <si>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</si>
  <si>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</si>
  <si>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</si>
  <si>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</si>
  <si>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</si>
  <si>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</si>
  <si>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</si>
  <si>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</si>
  <si>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</si>
  <si>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</si>
  <si>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</si>
  <si>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</si>
  <si>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</si>
  <si>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</si>
  <si>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</si>
  <si>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</si>
  <si>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</si>
  <si>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</si>
  <si>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</si>
  <si>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</si>
  <si>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</si>
  <si>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</si>
  <si>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</si>
  <si>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</si>
  <si>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</si>
  <si>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</si>
  <si>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</si>
  <si>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</si>
  <si>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</si>
  <si>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</si>
  <si>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</si>
  <si>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</si>
  <si>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</si>
  <si>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</si>
  <si>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</si>
  <si>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</si>
  <si>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</si>
  <si>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</si>
  <si>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</si>
  <si>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</si>
  <si>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</si>
  <si>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</si>
  <si>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</si>
  <si>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</si>
  <si>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</si>
  <si>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</si>
  <si>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</si>
  <si>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</si>
  <si>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</si>
  <si>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</si>
  <si>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</si>
  <si>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</si>
  <si>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</si>
  <si>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</si>
  <si>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</si>
  <si>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</si>
  <si>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</si>
  <si>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</si>
  <si>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</si>
  <si>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</si>
  <si>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</si>
  <si>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</si>
  <si>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</si>
  <si>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</si>
  <si>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</si>
  <si>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</si>
  <si>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</si>
  <si>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</si>
  <si>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</si>
  <si>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</si>
  <si>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</si>
  <si>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</si>
  <si>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</si>
  <si>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</si>
  <si>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</si>
  <si>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</si>
  <si>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</si>
  <si>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</si>
  <si>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</si>
  <si>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</si>
  <si>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</si>
  <si>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</si>
  <si>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</si>
  <si>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</si>
  <si>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</si>
  <si>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</si>
  <si>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</si>
  <si>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</si>
  <si>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</si>
  <si>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</si>
  <si>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</si>
  <si>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</si>
  <si>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</si>
  <si>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</si>
  <si>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</si>
  <si>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</si>
  <si>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</si>
  <si>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</si>
  <si>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</si>
  <si>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</si>
  <si>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</si>
  <si>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</si>
  <si>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</si>
  <si>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</si>
  <si>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</si>
  <si>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</si>
  <si>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</si>
  <si>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</si>
  <si>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</si>
  <si>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</si>
  <si>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</si>
  <si>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</si>
  <si>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</si>
  <si>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</si>
  <si>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</si>
  <si>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</si>
  <si>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</si>
  <si>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</si>
  <si>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</si>
  <si>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</si>
  <si>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</si>
  <si>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</si>
  <si>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</si>
  <si>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</si>
  <si>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</si>
  <si>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QA</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</si>
  <si>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</si>
  <si>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</si>
  <si>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</si>
  <si>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</si>
  <si>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</si>
  <si>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</si>
  <si>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</si>
  <si>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</si>
  <si>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</si>
  <si>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</si>
  <si>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</si>
  <si>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</si>
  <si>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</si>
  <si>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</si>
  <si>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</si>
  <si>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</si>
  <si>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</si>
  <si>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PBI Dev</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</si>
  <si>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</si>
  <si>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</si>
  <si>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</si>
  <si>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</si>
  <si>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</si>
  <si>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</si>
  <si>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</si>
  <si>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</si>
  <si>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</si>
  <si>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</si>
  <si>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</si>
  <si>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</si>
  <si>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</si>
  <si>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</si>
  <si>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</si>
  <si>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</si>
  <si>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</si>
  <si>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</si>
  <si>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</si>
  <si>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</si>
  <si>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</si>
  <si>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</si>
  <si>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</si>
  <si>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</si>
  <si>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</si>
  <si>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</si>
  <si>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</si>
  <si>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</si>
  <si>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</si>
  <si>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</si>
  <si>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</si>
  <si>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</si>
  <si>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</si>
  <si>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</si>
  <si>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</si>
  <si>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</si>
  <si>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</si>
  <si>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</si>
  <si>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</si>
  <si>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</si>
  <si>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</si>
  <si>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</si>
  <si>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</si>
  <si>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</si>
  <si>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</si>
  <si>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</si>
  <si>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</si>
  <si>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</si>
  <si>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</si>
  <si>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</si>
  <si>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</si>
  <si>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</si>
  <si>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</si>
  <si>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</si>
  <si>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</si>
  <si>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</si>
  <si>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</si>
  <si>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</si>
  <si>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</si>
  <si>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</si>
  <si>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</si>
  <si>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</si>
  <si>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</si>
  <si>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</si>
  <si>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</si>
  <si>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</si>
  <si>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</si>
  <si>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</si>
  <si>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</si>
  <si>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</si>
  <si>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</si>
  <si>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</si>
  <si>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</si>
  <si>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</si>
  <si>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</si>
  <si>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</si>
  <si>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</si>
  <si>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</si>
  <si>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</si>
  <si>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</si>
  <si>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</si>
  <si>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</si>
  <si>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</si>
  <si>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</si>
  <si>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</si>
  <si>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</si>
  <si>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</si>
  <si>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</si>
  <si>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</si>
  <si>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</si>
  <si>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</si>
  <si>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</si>
  <si>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</si>
  <si>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</si>
  <si>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</si>
  <si>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</si>
  <si>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</si>
  <si>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</si>
  <si>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</si>
  <si>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</si>
  <si>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</si>
  <si>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</si>
  <si>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</si>
  <si>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</si>
  <si>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</si>
  <si>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</si>
  <si>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</si>
  <si>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</si>
  <si>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</si>
  <si>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</si>
  <si>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</si>
  <si>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</si>
  <si>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Maintenance and Construction</t>
  </si>
  <si>
    <t>RPT_05_Gateboxes</t>
  </si>
  <si>
    <t>January</t>
  </si>
  <si>
    <t>RPT_05_Kedny Compliance</t>
  </si>
  <si>
    <t>RPT_05_CI Encroachment</t>
  </si>
  <si>
    <t>RPT_05_Design Processing</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</si>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</sst>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
      <sz val="11"/>
      <color theme="9" tint="-0.499984740745262"/>
      <name val="Calibri"/>
      <family val="2"/>
      <charset val="1"/>
    </font>
    <font>
      <sz val="11"/>
      <color theme="9" tint="-0.499984740745262"/>
      <name val="Calibri"/>
      <family val="2"/>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51" fillId="0" borderId="0" xfId="0" applyFont="1" applyProtection="1">
      <protection locked="0"/>
    </xf>
    <xf numFmtId="0" fontId="52" fillId="0" borderId="0" xfId="0" applyFont="1" applyProtection="1">
      <protection locked="0"/>
    </xf>
    <xf numFmtId="0" fontId="0" fillId="0" borderId="0" xfId="0" applyFont="1" applyProtection="1">
      <protection locked="0"/>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7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1</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6</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2</c:v>
                </c:pt>
                <c:pt idx="3">
                  <c:v>4</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2</c:v>
                </c:pt>
                <c:pt idx="4">
                  <c:v>4</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8</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9" dataDxfId="79">
  <autoFilter ref="A1:AN119" xr:uid="{00000000-0009-0000-0100-000001000000}">
    <filterColumn colId="0">
      <filters>
        <filter val="CMS"/>
      </filters>
    </filterColumn>
    <filterColumn colId="8">
      <filters>
        <filter val="September"/>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52" activePane="bottomLeft" state="frozen"/>
      <selection pane="bottomLeft" activeCell="B84" sqref="B84"/>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Blocked - Blocked in Prod</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133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Blocked - log it on Rework Log</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Blocked - Blocked in Prod</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133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Blocked - log it on Rework Log</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v>46318</v>
      </c>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206</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221</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222</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223</v>
      </c>
      <c r="C66" s="203" t="s">
        <v>224</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221</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206</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224</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266"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Overdue</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224</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224</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On track</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2">
        <v>46309</v>
      </c>
      <c r="Y80" s="31"/>
      <c r="Z80" s="36"/>
      <c r="AA80" s="28">
        <v>46325</v>
      </c>
      <c r="AB80" s="43"/>
      <c r="AC80" s="43"/>
      <c r="AD80" s="31" t="s">
        <v>212</v>
      </c>
      <c r="AE80" s="31" t="s">
        <v>94</v>
      </c>
      <c r="AF80" s="31"/>
      <c r="AG80" s="31"/>
      <c r="AH80" s="31"/>
      <c r="AI80" s="31"/>
      <c r="AJ80" s="31" t="s">
        <v>53</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
      </c>
      <c r="AL80" s="31" t="s">
        <v>174</v>
      </c>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206</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221</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206</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265" t="s">
        <v>269</v>
      </c>
      <c r="C84" s="31" t="s">
        <v>224</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224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3">
        <v>46308</v>
      </c>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224</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267"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224</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224</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264</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Overdue</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224</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224</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224</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224</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224</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264</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224</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32">
        <v>46310</v>
      </c>
      <c r="M110" s="32">
        <v>46308</v>
      </c>
      <c r="N110" s="44" t="s">
        <v>258</v>
      </c>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c r="A116" s="31" t="s">
        <v>337</v>
      </c>
      <c r="B116" s="31" t="s">
        <v>338</v>
      </c>
      <c r="C116" s="31" t="s">
        <v>235</v>
      </c>
      <c r="E116" s="31">
        <v>1</v>
      </c>
      <c r="F116" s="31" t="s">
        <v>144</v>
      </c>
      <c r="G116" s="31"/>
      <c r="H116" s="28">
        <v>46418</v>
      </c>
      <c r="I116" s="55" t="s">
        <v>339</v>
      </c>
      <c r="J116" s="53"/>
      <c r="K116" s="28">
        <v>46387</v>
      </c>
      <c r="L116" s="43"/>
      <c r="M116" s="31"/>
      <c r="N116" s="31"/>
      <c r="O116" s="36"/>
      <c r="P116" s="74"/>
      <c r="Q116" s="28">
        <v>46402</v>
      </c>
      <c r="R116" s="43"/>
      <c r="S116" s="31"/>
      <c r="T116" s="68"/>
      <c r="U116" s="46"/>
      <c r="V116" s="28">
        <v>46397</v>
      </c>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t="s">
        <v>337</v>
      </c>
      <c r="B117" s="31" t="s">
        <v>340</v>
      </c>
      <c r="C117" s="31" t="s">
        <v>235</v>
      </c>
      <c r="E117" s="31">
        <v>2</v>
      </c>
      <c r="F117" s="31" t="s">
        <v>144</v>
      </c>
      <c r="G117" s="31"/>
      <c r="H117" s="28">
        <v>46418</v>
      </c>
      <c r="I117" s="55" t="s">
        <v>339</v>
      </c>
      <c r="J117" s="53"/>
      <c r="K117" s="28">
        <v>46387</v>
      </c>
      <c r="L117" s="43"/>
      <c r="M117" s="31"/>
      <c r="N117" s="31"/>
      <c r="O117" s="36"/>
      <c r="P117" s="74"/>
      <c r="Q117" s="28">
        <v>46402</v>
      </c>
      <c r="R117" s="43"/>
      <c r="S117" s="31"/>
      <c r="T117" s="68"/>
      <c r="U117" s="46"/>
      <c r="V117" s="28">
        <v>46397</v>
      </c>
      <c r="W117" s="43"/>
      <c r="X117" s="46"/>
      <c r="Y117" s="46"/>
      <c r="Z117" s="36"/>
      <c r="AB117" s="43"/>
      <c r="AC117" s="43"/>
      <c r="AD117" s="31"/>
      <c r="AE117" s="31"/>
      <c r="AF117" s="31"/>
      <c r="AG117" s="31"/>
      <c r="AH117" s="31"/>
      <c r="AI117" s="31"/>
      <c r="AJ117" s="31"/>
      <c r="AK117" s="31"/>
      <c r="AL117" s="31"/>
      <c r="AM117" s="31" t="str" cm="1">
        <f t="array" ref="AM117">_xlfn.LET(_xlpm.rep,$B117,_xlpm.sent,_xlfn.MAXIFS('Rework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7" s="31" t="str" cm="1">
        <f t="array" ref="AN117">_xlfn.LET(_xlpm.rep,$B117,_xlpm.sent,_xlfn.MAXIFS('Rework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8" spans="1:40">
      <c r="A118" s="31" t="s">
        <v>337</v>
      </c>
      <c r="B118" s="31" t="s">
        <v>341</v>
      </c>
      <c r="C118" s="31" t="s">
        <v>235</v>
      </c>
      <c r="E118" s="31">
        <v>3</v>
      </c>
      <c r="F118" s="31" t="s">
        <v>144</v>
      </c>
      <c r="G118" s="31"/>
      <c r="H118" s="28">
        <v>46418</v>
      </c>
      <c r="I118" s="55" t="s">
        <v>339</v>
      </c>
      <c r="J118" s="53"/>
      <c r="K118" s="28">
        <v>46387</v>
      </c>
      <c r="L118" s="43"/>
      <c r="M118" s="31"/>
      <c r="N118" s="31"/>
      <c r="O118" s="36"/>
      <c r="P118" s="74"/>
      <c r="Q118" s="28">
        <v>46402</v>
      </c>
      <c r="R118" s="43"/>
      <c r="S118" s="31"/>
      <c r="T118" s="68"/>
      <c r="U118" s="46"/>
      <c r="V118" s="28">
        <v>46397</v>
      </c>
      <c r="W118" s="43"/>
      <c r="X118" s="46"/>
      <c r="Y118" s="46"/>
      <c r="Z118" s="36"/>
      <c r="AB118" s="43"/>
      <c r="AC118" s="43"/>
      <c r="AD118" s="31"/>
      <c r="AE118" s="31"/>
      <c r="AF118" s="31"/>
      <c r="AG118" s="31"/>
      <c r="AH118" s="31"/>
      <c r="AI118" s="31"/>
      <c r="AJ118" s="31"/>
      <c r="AK118" s="31"/>
      <c r="AL118" s="31"/>
      <c r="AM118" s="31" t="str" cm="1">
        <f t="array" ref="AM118">_xlfn.LET(_xlpm.rep,$B118,_xlpm.sent,_xlfn.MAXIFS('Rework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8" s="31" t="str" cm="1">
        <f t="array" ref="AN118">_xlfn.LET(_xlpm.rep,$B118,_xlpm.sent,_xlfn.MAXIFS('Rework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9" spans="1:40">
      <c r="A119" s="31" t="s">
        <v>337</v>
      </c>
      <c r="B119" s="31" t="s">
        <v>342</v>
      </c>
      <c r="C119" s="31" t="s">
        <v>235</v>
      </c>
      <c r="E119" s="31">
        <v>4</v>
      </c>
      <c r="F119" s="31" t="s">
        <v>144</v>
      </c>
      <c r="G119" s="31"/>
      <c r="H119" s="28">
        <v>46418</v>
      </c>
      <c r="I119" s="55" t="s">
        <v>339</v>
      </c>
      <c r="J119" s="53"/>
      <c r="K119" s="28">
        <v>46387</v>
      </c>
      <c r="L119" s="43"/>
      <c r="M119" s="31"/>
      <c r="N119" s="31"/>
      <c r="O119" s="36"/>
      <c r="P119" s="74"/>
      <c r="Q119" s="28">
        <v>46402</v>
      </c>
      <c r="R119" s="43"/>
      <c r="S119" s="31"/>
      <c r="T119" s="68"/>
      <c r="U119" s="46"/>
      <c r="V119" s="28">
        <v>46397</v>
      </c>
      <c r="W119" s="43"/>
      <c r="X119" s="46"/>
      <c r="Y119" s="46"/>
      <c r="Z119" s="36"/>
      <c r="AB119" s="43"/>
      <c r="AC119" s="43"/>
      <c r="AD119" s="31"/>
      <c r="AE119" s="31"/>
      <c r="AF119" s="31"/>
      <c r="AG119" s="31"/>
      <c r="AH119" s="31"/>
      <c r="AI119" s="31"/>
      <c r="AJ119" s="31"/>
      <c r="AK119" s="31"/>
      <c r="AL119" s="31"/>
      <c r="AM119" s="31" t="str" cm="1">
        <f t="array" ref="AM119">_xlfn.LET(_xlpm.rep,$B119,_xlpm.sent,_xlfn.MAXIFS('Rework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9" s="31" t="str" cm="1">
        <f t="array" ref="AN119">_xlfn.LET(_xlpm.rep,$B119,_xlpm.sent,_xlfn.MAXIFS('Rework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7" type="noConversion"/>
  <conditionalFormatting sqref="A2:F87 G2:V40 W2:Y54 N3:N44 L41:V42 G43:V64 G65:Q65 T65:V65 G66:V73 G41:J42 Z2:AL2 Z3 Z4:AL41 Z42:AK42 Z43:AL44 Z45:AK47 Z48:AL72 W55:X55 W56:Y58 W59:X59 W60:Y70 W71 Z73:AH100 Z101:AE115 AB3:AL3 AJ30:AJ42 AJ44:AJ48 AJ116 W72:Y116 A74:V115 A120:AC123 G116:AE116 A116:F119 G117:AC119 A125:AC528 B124:AC124">
    <cfRule type="expression" dxfId="169" priority="72">
      <formula>AND($B2&lt;&gt;"",MOD(ROW(),2)=0)</formula>
    </cfRule>
  </conditionalFormatting>
  <conditionalFormatting sqref="C2:C119">
    <cfRule type="expression" dxfId="168" priority="633">
      <formula>LEFT($AK2,4)="Move"</formula>
    </cfRule>
  </conditionalFormatting>
  <conditionalFormatting sqref="D2:D528">
    <cfRule type="expression" dxfId="167" priority="56">
      <formula>ISNUMBER(SEARCH("Blocked",$D2))</formula>
    </cfRule>
    <cfRule type="expression" dxfId="166" priority="57">
      <formula>ISNUMBER(SEARCH("overdue",$D2))</formula>
    </cfRule>
    <cfRule type="expression" dxfId="165" priority="58">
      <formula>ISNUMBER(SEARCH("no target",$D2))</formula>
    </cfRule>
    <cfRule type="expression" dxfId="164" priority="59">
      <formula>ISNUMBER(SEARCH("Review",$D2))</formula>
    </cfRule>
    <cfRule type="expression" dxfId="163" priority="60">
      <formula>OR($D2="On track",$D2="Delivered")</formula>
    </cfRule>
  </conditionalFormatting>
  <conditionalFormatting sqref="D88">
    <cfRule type="expression" dxfId="162" priority="632">
      <formula>AND($B50&lt;&gt;"",MOD(ROW(),2)=0)</formula>
    </cfRule>
  </conditionalFormatting>
  <conditionalFormatting sqref="J2:O119">
    <cfRule type="expression" dxfId="161" priority="34">
      <formula>$AJ2="Yes – needs DB Dev to fix"</formula>
    </cfRule>
  </conditionalFormatting>
  <conditionalFormatting sqref="J117:O193">
    <cfRule type="expression" dxfId="160" priority="39">
      <formula>$AH117="Yes – needs DB Dev to fix"</formula>
    </cfRule>
  </conditionalFormatting>
  <conditionalFormatting sqref="K41">
    <cfRule type="expression" dxfId="159" priority="615">
      <formula>AND($B41&lt;&gt;"",MOD(ROW(),2)=0)</formula>
    </cfRule>
    <cfRule type="expression" dxfId="158" priority="616">
      <formula>$AJ41="Yes – needs DB Dev to fix"</formula>
    </cfRule>
  </conditionalFormatting>
  <conditionalFormatting sqref="K42">
    <cfRule type="expression" dxfId="157" priority="618">
      <formula>$AJ41="Yes – needs DB Dev to fix"</formula>
    </cfRule>
    <cfRule type="expression" dxfId="156" priority="617">
      <formula>AND($B41&lt;&gt;"",MOD(ROW(),2)=0)</formula>
    </cfRule>
  </conditionalFormatting>
  <conditionalFormatting sqref="K73:L100">
    <cfRule type="expression" dxfId="155" priority="131">
      <formula>$AF73="Yes – needs DB Dev to fix"</formula>
    </cfRule>
  </conditionalFormatting>
  <conditionalFormatting sqref="K101:L116">
    <cfRule type="expression" dxfId="154" priority="361">
      <formula>$AA101="Yes – needs DB Dev to fix"</formula>
    </cfRule>
  </conditionalFormatting>
  <conditionalFormatting sqref="K117:L528">
    <cfRule type="expression" dxfId="153" priority="588">
      <formula>$X117="Yes – needs DB Dev to fix"</formula>
    </cfRule>
  </conditionalFormatting>
  <conditionalFormatting sqref="M73">
    <cfRule type="expression" dxfId="152" priority="38">
      <formula>$AF73="Yes – needs DB Dev to fix"</formula>
    </cfRule>
  </conditionalFormatting>
  <conditionalFormatting sqref="M79:M81">
    <cfRule type="expression" dxfId="151" priority="12">
      <formula>$AF79="Yes – needs DB Dev to fix"</formula>
    </cfRule>
  </conditionalFormatting>
  <conditionalFormatting sqref="M83:M84">
    <cfRule type="expression" dxfId="150" priority="14">
      <formula>$AF83="Yes – needs DB Dev to fix"</formula>
    </cfRule>
  </conditionalFormatting>
  <conditionalFormatting sqref="M91">
    <cfRule type="expression" dxfId="149" priority="18">
      <formula>$AF91="Yes – needs DB Dev to fix"</formula>
    </cfRule>
  </conditionalFormatting>
  <conditionalFormatting sqref="M93:M94">
    <cfRule type="expression" dxfId="148" priority="11">
      <formula>$AF93="Yes – needs DB Dev to fix"</formula>
    </cfRule>
  </conditionalFormatting>
  <conditionalFormatting sqref="M73:P100">
    <cfRule type="expression" dxfId="147" priority="316">
      <formula>$AD73="Yes – needs PBI Dev to fix"</formula>
    </cfRule>
  </conditionalFormatting>
  <conditionalFormatting sqref="M101:P116">
    <cfRule type="expression" dxfId="146" priority="363">
      <formula>$AA101="Yes – needs PBI Dev to fix"</formula>
    </cfRule>
  </conditionalFormatting>
  <conditionalFormatting sqref="M117:P528">
    <cfRule type="expression" dxfId="145" priority="589">
      <formula>$X117="Yes – needs PBI Dev to fix"</formula>
    </cfRule>
  </conditionalFormatting>
  <conditionalFormatting sqref="N58">
    <cfRule type="expression" dxfId="144" priority="19">
      <formula>$AD58="Yes – needs PBI Dev to fix"</formula>
    </cfRule>
  </conditionalFormatting>
  <conditionalFormatting sqref="N70">
    <cfRule type="expression" dxfId="143" priority="20">
      <formula>$AD70="Yes – needs PBI Dev to fix"</formula>
    </cfRule>
  </conditionalFormatting>
  <conditionalFormatting sqref="N82">
    <cfRule type="expression" dxfId="142" priority="16">
      <formula>$AD82="Yes – needs PBI Dev to fix"</formula>
    </cfRule>
  </conditionalFormatting>
  <conditionalFormatting sqref="O101:O113">
    <cfRule type="expression" dxfId="141" priority="13">
      <formula>$AD101="Yes – needs PBI Dev to fix"</formula>
    </cfRule>
  </conditionalFormatting>
  <conditionalFormatting sqref="Q73:Q100">
    <cfRule type="expression" dxfId="140" priority="32">
      <formula>$AJ73="Yes – needs DB Dev to fix"</formula>
    </cfRule>
    <cfRule type="expression" dxfId="139" priority="33">
      <formula>$AF73="Yes – needs DB Dev to fix"</formula>
    </cfRule>
    <cfRule type="expression" dxfId="138" priority="135">
      <formula>$AF73="Yes – needs PBI Dev to fix"</formula>
    </cfRule>
  </conditionalFormatting>
  <conditionalFormatting sqref="Q101:R116 X101:X116 V101:V119">
    <cfRule type="expression" dxfId="137" priority="31">
      <formula>$AA101="Yes – needs QA to fix"</formula>
    </cfRule>
  </conditionalFormatting>
  <conditionalFormatting sqref="Q117:R528">
    <cfRule type="expression" dxfId="136" priority="590">
      <formula>$X117="Yes – needs QA to fix"</formula>
    </cfRule>
  </conditionalFormatting>
  <conditionalFormatting sqref="Q2:U64 U10:V19 X10:X19 J29 M29:P29 J32:J33 M32:P33 K40:K41 M40:P41 Q65 T65:U65 Q66:U115 V101:V115 X101:X116 Q116:V116">
    <cfRule type="expression" dxfId="135" priority="46">
      <formula>$AJ2="Yes – needs PBI Dev to fix"</formula>
    </cfRule>
  </conditionalFormatting>
  <conditionalFormatting sqref="R58">
    <cfRule type="expression" dxfId="134" priority="333">
      <formula>$AJ65="Yes – needs PBI Dev to fix"</formula>
    </cfRule>
    <cfRule type="expression" dxfId="133" priority="331">
      <formula>AND($B65&lt;&gt;"",MOD(ROW(),2)=0)</formula>
    </cfRule>
  </conditionalFormatting>
  <conditionalFormatting sqref="R60">
    <cfRule type="expression" dxfId="132" priority="24">
      <formula>$AJ67="Yes – needs PBI Dev to fix"</formula>
    </cfRule>
    <cfRule type="expression" dxfId="131" priority="23">
      <formula>AND($B67&lt;&gt;"",MOD(ROW(),2)=0)</formula>
    </cfRule>
  </conditionalFormatting>
  <conditionalFormatting sqref="R60:S60">
    <cfRule type="expression" dxfId="130" priority="21">
      <formula>AND($B67&lt;&gt;"",MOD(ROW(),2)=0)</formula>
    </cfRule>
    <cfRule type="expression" dxfId="129" priority="22">
      <formula>$AJ67="Yes – needs PBI Dev to fix"</formula>
    </cfRule>
  </conditionalFormatting>
  <conditionalFormatting sqref="R73:U100 T96:T101">
    <cfRule type="expression" dxfId="128" priority="137">
      <formula>$AF73="Yes – needs QA to fix"</formula>
    </cfRule>
  </conditionalFormatting>
  <conditionalFormatting sqref="S101:U116">
    <cfRule type="expression" dxfId="127" priority="377">
      <formula>$AA101="Yes – needs DPO Approval to fix"</formula>
    </cfRule>
  </conditionalFormatting>
  <conditionalFormatting sqref="S117:U528">
    <cfRule type="expression" dxfId="126" priority="591">
      <formula>$X117="Yes – needs DPO Approval to fix"</formula>
    </cfRule>
  </conditionalFormatting>
  <conditionalFormatting sqref="X101:X528 U101:V528">
    <cfRule type="expression" dxfId="125" priority="64">
      <formula>$V101="Yes"</formula>
    </cfRule>
  </conditionalFormatting>
  <conditionalFormatting sqref="U73:Y100">
    <cfRule type="expression" dxfId="124" priority="139">
      <formula>$AF73="Yes – needs DPO Approval to fix"</formula>
    </cfRule>
  </conditionalFormatting>
  <conditionalFormatting sqref="X117:X528">
    <cfRule type="expression" dxfId="123" priority="592">
      <formula>LEFT($X117,3)="Yes"</formula>
    </cfRule>
  </conditionalFormatting>
  <conditionalFormatting sqref="X73:Z100">
    <cfRule type="expression" dxfId="122" priority="491">
      <formula>$Y73="Yes"</formula>
    </cfRule>
  </conditionalFormatting>
  <conditionalFormatting sqref="Z117:AA528">
    <cfRule type="expression" dxfId="121" priority="69">
      <formula>ISNUMBER(SEARCH("log it",$Z117))</formula>
    </cfRule>
    <cfRule type="expression" dxfId="120" priority="69">
      <formula>ISNUMBER(SEARCH("Open rework",$Z117))</formula>
    </cfRule>
    <cfRule type="expression" dxfId="119" priority="71">
      <formula>$Z117&lt;&gt;""</formula>
    </cfRule>
    <cfRule type="expression" dxfId="118" priority="70">
      <formula>ISNUMBER(SEARCH("Duplicate",$Z117))</formula>
    </cfRule>
    <cfRule type="expression" dxfId="117" priority="69">
      <formula>ISNUMBER(SEARCH("Move old",$Z117))</formula>
    </cfRule>
  </conditionalFormatting>
  <conditionalFormatting sqref="AA3">
    <cfRule type="expression" dxfId="116" priority="620">
      <formula>$AJ3="Yes – needs DPO Approval to fix"</formula>
    </cfRule>
    <cfRule type="expression" dxfId="115" priority="619">
      <formula>AND($B3&lt;&gt;"",MOD(ROW(),2)=0)</formula>
    </cfRule>
  </conditionalFormatting>
  <conditionalFormatting sqref="AA101:AA115 U116:AA116 U2:Z54 U55:X55 Z55 U56:Z58 U59:X59 Z59 U60:Z70 U71:W71 Z71 U72:Z116">
    <cfRule type="expression" dxfId="114" priority="29">
      <formula>$AJ2="Yes – needs QA to fix"</formula>
    </cfRule>
  </conditionalFormatting>
  <conditionalFormatting sqref="AA101:AA116">
    <cfRule type="expression" dxfId="113" priority="26">
      <formula>$AJ101="Yes – needs PBI Dev to fix"</formula>
    </cfRule>
    <cfRule type="expression" dxfId="112" priority="27">
      <formula>$AA101="Yes – needs QA to fix"</formula>
    </cfRule>
    <cfRule type="expression" dxfId="111" priority="28">
      <formula>$V101="Yes"</formula>
    </cfRule>
    <cfRule type="expression" dxfId="110" priority="385">
      <formula>LEFT($AA101,3)="Yes"</formula>
    </cfRule>
  </conditionalFormatting>
  <conditionalFormatting sqref="AA2:AE2 AB3:AE3 AA4:AE100">
    <cfRule type="expression" dxfId="109" priority="113">
      <formula>$AJ2="Yes – needs DPO Approval to fix"</formula>
    </cfRule>
  </conditionalFormatting>
  <conditionalFormatting sqref="AB101:AC116">
    <cfRule type="expression" dxfId="108" priority="393">
      <formula>ISNUMBER(SEARCH("Open rework",$AB101))</formula>
    </cfRule>
    <cfRule type="expression" dxfId="107" priority="394">
      <formula>ISNUMBER(SEARCH("Move old",$AB101))</formula>
    </cfRule>
    <cfRule type="expression" dxfId="106" priority="395">
      <formula>ISNUMBER(SEARCH("log it",$AB101))</formula>
    </cfRule>
    <cfRule type="expression" dxfId="105" priority="396">
      <formula>ISNUMBER(SEARCH("Duplicate",$AB101))</formula>
    </cfRule>
    <cfRule type="expression" dxfId="104" priority="397">
      <formula>$AB101&lt;&gt;""</formula>
    </cfRule>
  </conditionalFormatting>
  <conditionalFormatting sqref="AF2:AF119">
    <cfRule type="expression" dxfId="103" priority="85">
      <formula>$AF2="Yes"</formula>
    </cfRule>
  </conditionalFormatting>
  <conditionalFormatting sqref="AF73:AF100">
    <cfRule type="expression" dxfId="102" priority="143">
      <formula>LEFT($AF73,3)="Yes"</formula>
    </cfRule>
  </conditionalFormatting>
  <conditionalFormatting sqref="AG73:AG100">
    <cfRule type="expression" dxfId="101" priority="153">
      <formula>$AG73&lt;&gt;""</formula>
    </cfRule>
    <cfRule type="expression" dxfId="100" priority="150">
      <formula>ISNUMBER(SEARCH("Move old",$AG73))</formula>
    </cfRule>
    <cfRule type="expression" dxfId="99" priority="152">
      <formula>ISNUMBER(SEARCH("Duplicate",$AG73))</formula>
    </cfRule>
    <cfRule type="expression" dxfId="98" priority="151">
      <formula>ISNUMBER(SEARCH("log it",$AG73))</formula>
    </cfRule>
    <cfRule type="expression" dxfId="97" priority="149">
      <formula>ISNUMBER(SEARCH("Open rework",$AG73))</formula>
    </cfRule>
  </conditionalFormatting>
  <conditionalFormatting sqref="AJ2:AJ119">
    <cfRule type="expression" dxfId="96" priority="87">
      <formula>LEFT($AJ2,3)="Yes"</formula>
    </cfRule>
  </conditionalFormatting>
  <conditionalFormatting sqref="AK2:AK119">
    <cfRule type="expression" dxfId="95" priority="95">
      <formula>ISNUMBER(SEARCH("Move old",$AK2))</formula>
    </cfRule>
    <cfRule type="expression" dxfId="94" priority="93">
      <formula>ISNUMBER(SEARCH("log it",$AK2))</formula>
    </cfRule>
    <cfRule type="expression" dxfId="93" priority="94">
      <formula>ISNUMBER(SEARCH("Open rework",$AK2))</formula>
    </cfRule>
    <cfRule type="expression" dxfId="92" priority="97">
      <formula>$AK2&lt;&gt;""</formula>
    </cfRule>
    <cfRule type="expression" dxfId="91" priority="96">
      <formula>ISNUMBER(SEARCH("Duplicate",$AK2))</formula>
    </cfRule>
  </conditionalFormatting>
  <conditionalFormatting sqref="AL45:AL47">
    <cfRule type="expression" dxfId="90" priority="36">
      <formula>AND($B49&lt;&gt;"",MOD(ROW(),2)=0)</formula>
    </cfRule>
  </conditionalFormatting>
  <conditionalFormatting sqref="L110">
    <cfRule type="expression" dxfId="89" priority="10">
      <formula>$AA110="Yes – needs PBI Dev to fix"</formula>
    </cfRule>
  </conditionalFormatting>
  <conditionalFormatting sqref="N110">
    <cfRule type="expression" dxfId="88" priority="9">
      <formula>$AD110="Yes – needs PBI Dev to fix"</formula>
    </cfRule>
  </conditionalFormatting>
  <conditionalFormatting sqref="K117:K119">
    <cfRule type="expression" dxfId="87" priority="8">
      <formula>$AA117="Yes – needs DB Dev to fix"</formula>
    </cfRule>
  </conditionalFormatting>
  <conditionalFormatting sqref="Q117:Q119">
    <cfRule type="expression" dxfId="86" priority="6">
      <formula>$AA117="Yes – needs QA to fix"</formula>
    </cfRule>
  </conditionalFormatting>
  <conditionalFormatting sqref="Q117:Q119">
    <cfRule type="expression" dxfId="85" priority="7">
      <formula>$AJ117="Yes – needs PBI Dev to fix"</formula>
    </cfRule>
  </conditionalFormatting>
  <conditionalFormatting sqref="K117:K119">
    <cfRule type="expression" dxfId="84" priority="5">
      <formula>$AA117="Yes – needs DB Dev to fix"</formula>
    </cfRule>
  </conditionalFormatting>
  <conditionalFormatting sqref="Q117:Q119">
    <cfRule type="expression" dxfId="83" priority="3">
      <formula>$AA117="Yes – needs QA to fix"</formula>
    </cfRule>
  </conditionalFormatting>
  <conditionalFormatting sqref="Q117:Q119">
    <cfRule type="expression" dxfId="82" priority="4">
      <formula>$AJ117="Yes – needs PBI Dev to fix"</formula>
    </cfRule>
  </conditionalFormatting>
  <conditionalFormatting sqref="V117:V119">
    <cfRule type="expression" dxfId="81" priority="2">
      <formula>$AJ117="Yes – needs PBI Dev to fix"</formula>
    </cfRule>
  </conditionalFormatting>
  <conditionalFormatting sqref="V117:V119">
    <cfRule type="expression" dxfId="80" priority="1">
      <formula>$AJ117="Yes – needs QA to fix"</formula>
    </cfRule>
  </conditionalFormatting>
  <dataValidations count="9">
    <dataValidation type="date" operator="greaterThanOrEqual" allowBlank="1" showErrorMessage="1" errorTitle="Real date only" error="This column only accepts real dates. Put notes in Comments instead." sqref="H2:H528 AB2:AB72 S117:S528 Y117:Y528 Q2:R64 Q65 M81 W2:W72 X2:X60 M84 S73 X62:X70 X72:X73 V2:V119 AA2:AA116 K2:K528 L111:L116 W101:X528 M93:M94 L2:L109 L117:M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9"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L110 M95:M116 M85:M92"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9"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X117:X528 U117:U528 V120:V528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C120:C528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C2:C119</xm:sqref>
        </x14:dataValidation>
        <x14:dataValidation type="list" allowBlank="1" showInputMessage="1" promptTitle="Domain" prompt="Pick from the list, or type a new domain." xr:uid="{00000000-0002-0000-0100-000001000000}">
          <x14:formula1>
            <xm:f>'Data Validation'!$A$3:$A$7</xm:f>
          </x14:formula1>
          <xm:sqref>A2:A123 A125:A528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343</v>
      </c>
    </row>
    <row r="2" spans="1:5">
      <c r="A2" s="6" t="s">
        <v>344</v>
      </c>
    </row>
    <row r="4" spans="1:5" ht="21.95" customHeight="1">
      <c r="A4" s="5" t="s">
        <v>345</v>
      </c>
      <c r="B4" s="268"/>
      <c r="C4" s="269"/>
      <c r="D4" s="269"/>
      <c r="E4" s="269"/>
    </row>
    <row r="6" spans="1:5">
      <c r="A6" s="42" t="s">
        <v>0</v>
      </c>
      <c r="B6" s="221" t="str">
        <f>IF($B$4="","",IFERROR(INDEX('Combined Delivery Data'!$A:$A,MATCH($B$4,'Combined Delivery Data'!$B:$B,0)),""))</f>
        <v/>
      </c>
      <c r="C6" s="270"/>
      <c r="D6" s="270"/>
      <c r="E6" s="271"/>
    </row>
    <row r="7" spans="1:5">
      <c r="A7" s="42" t="s">
        <v>346</v>
      </c>
      <c r="B7" s="221" t="str">
        <f>IF($B$4="","",IFERROR(INDEX('Combined Delivery Data'!$C:$C,MATCH($B$4,'Combined Delivery Data'!$B:$B,0)),""))</f>
        <v/>
      </c>
      <c r="C7" s="270"/>
      <c r="D7" s="270"/>
      <c r="E7" s="271"/>
    </row>
    <row r="8" spans="1:5">
      <c r="A8" s="42" t="s">
        <v>3</v>
      </c>
      <c r="B8" s="221" t="str">
        <f>IF($B$4="","",IFERROR(INDEX('Combined Delivery Data'!$D:$D,MATCH($B$4,'Combined Delivery Data'!$B:$B,0)),""))</f>
        <v/>
      </c>
      <c r="C8" s="270"/>
      <c r="D8" s="270"/>
      <c r="E8" s="271"/>
    </row>
    <row r="9" spans="1:5">
      <c r="A9" s="42" t="s">
        <v>4</v>
      </c>
      <c r="B9" s="221" t="str">
        <f>IF($B$4="","",IFERROR(INDEX('Combined Delivery Data'!$E:$E,MATCH($B$4,'Combined Delivery Data'!$B:$B,0)),""))</f>
        <v/>
      </c>
      <c r="C9" s="270"/>
      <c r="D9" s="270"/>
      <c r="E9" s="271"/>
    </row>
    <row r="10" spans="1:5">
      <c r="A10" s="42" t="s">
        <v>5</v>
      </c>
      <c r="B10" s="221" t="str">
        <f>IF($B$4="","",IFERROR(INDEX('Combined Delivery Data'!$F:$F,MATCH($B$4,'Combined Delivery Data'!$B:$B,0)),""))</f>
        <v/>
      </c>
      <c r="C10" s="270"/>
      <c r="D10" s="270"/>
      <c r="E10" s="271"/>
    </row>
    <row r="11" spans="1:5">
      <c r="A11" s="42" t="s">
        <v>9</v>
      </c>
      <c r="B11" s="221" t="str">
        <f>IF($B$4="","",IFERROR(INDEX('Combined Delivery Data'!$J:$J,MATCH($B$4,'Combined Delivery Data'!$B:$B,0)),""))</f>
        <v/>
      </c>
      <c r="C11" s="270"/>
      <c r="D11" s="270"/>
      <c r="E11" s="271"/>
    </row>
    <row r="12" spans="1:5">
      <c r="A12" s="42" t="s">
        <v>15</v>
      </c>
      <c r="B12" s="221" t="str">
        <f>IF($B$4="","",IFERROR(INDEX('Combined Delivery Data'!$P:$P,MATCH($B$4,'Combined Delivery Data'!$B:$B,0)),""))</f>
        <v/>
      </c>
      <c r="C12" s="270"/>
      <c r="D12" s="270"/>
      <c r="E12" s="271"/>
    </row>
    <row r="13" spans="1:5">
      <c r="A13" s="42" t="s">
        <v>20</v>
      </c>
      <c r="B13" s="221" t="str">
        <f>IF($B$4="","",IFERROR(INDEX('Combined Delivery Data'!$U:$U,MATCH($B$4,'Combined Delivery Data'!$B:$B,0)),""))</f>
        <v/>
      </c>
      <c r="C13" s="270"/>
      <c r="D13" s="270"/>
      <c r="E13" s="271"/>
    </row>
    <row r="14" spans="1:5">
      <c r="A14" s="42" t="s">
        <v>347</v>
      </c>
      <c r="B14" s="220" t="str">
        <f>IF($B$4="","",IFERROR(INDEX('Combined Delivery Data'!$K:$K,MATCH($B$4,'Combined Delivery Data'!$B:$B,0)),""))</f>
        <v/>
      </c>
      <c r="C14" s="270"/>
      <c r="D14" s="270"/>
      <c r="E14" s="271"/>
    </row>
    <row r="15" spans="1:5">
      <c r="A15" s="42" t="s">
        <v>348</v>
      </c>
      <c r="B15" s="220" t="str">
        <f>IF($B$4="","",IFERROR(INDEX('Combined Delivery Data'!$L:$L,MATCH($B$4,'Combined Delivery Data'!$B:$B,0)),""))</f>
        <v/>
      </c>
      <c r="C15" s="270"/>
      <c r="D15" s="270"/>
      <c r="E15" s="271"/>
    </row>
    <row r="16" spans="1:5">
      <c r="A16" s="42" t="s">
        <v>349</v>
      </c>
      <c r="B16" s="220" t="str">
        <f>IF($B$4="","",IFERROR(INDEX('Combined Delivery Data'!$M:$M,MATCH($B$4,'Combined Delivery Data'!$B:$B,0)),""))</f>
        <v/>
      </c>
      <c r="C16" s="270"/>
      <c r="D16" s="270"/>
      <c r="E16" s="271"/>
    </row>
    <row r="17" spans="1:5">
      <c r="A17" s="42" t="s">
        <v>350</v>
      </c>
      <c r="B17" s="220" t="str">
        <f>IF($B$4="","",IFERROR(INDEX('Combined Delivery Data'!$O:$O,MATCH($B$4,'Combined Delivery Data'!$B:$B,0)),""))</f>
        <v/>
      </c>
      <c r="C17" s="270"/>
      <c r="D17" s="270"/>
      <c r="E17" s="271"/>
    </row>
    <row r="18" spans="1:5">
      <c r="A18" s="42" t="s">
        <v>351</v>
      </c>
      <c r="B18" s="220" t="str">
        <f>IF($B$4="","",IFERROR(INDEX('Combined Delivery Data'!$Q:$Q,MATCH($B$4,'Combined Delivery Data'!$B:$B,0)),""))</f>
        <v/>
      </c>
      <c r="C18" s="270"/>
      <c r="D18" s="270"/>
      <c r="E18" s="271"/>
    </row>
    <row r="19" spans="1:5">
      <c r="A19" s="42" t="s">
        <v>352</v>
      </c>
      <c r="B19" s="220" t="str">
        <f>IF($B$4="","",IFERROR(INDEX('Combined Delivery Data'!$R:$R,MATCH($B$4,'Combined Delivery Data'!$B:$B,0)),""))</f>
        <v/>
      </c>
      <c r="C19" s="270"/>
      <c r="D19" s="270"/>
      <c r="E19" s="271"/>
    </row>
    <row r="20" spans="1:5">
      <c r="A20" s="42" t="s">
        <v>353</v>
      </c>
      <c r="B20" s="220" t="str">
        <f>IF($B$4="","",IFERROR(INDEX('Combined Delivery Data'!$S:$S,MATCH($B$4,'Combined Delivery Data'!$B:$B,0)),""))</f>
        <v/>
      </c>
      <c r="C20" s="270"/>
      <c r="D20" s="270"/>
      <c r="E20" s="271"/>
    </row>
    <row r="21" spans="1:5">
      <c r="A21" s="42" t="s">
        <v>29</v>
      </c>
      <c r="B21" s="221" t="str">
        <f>IF($B$4="","",IFERROR(INDEX('Combined Delivery Data'!$T:$T,MATCH($B$4,'Combined Delivery Data'!$B:$B,0)),""))</f>
        <v/>
      </c>
      <c r="C21" s="270"/>
      <c r="D21" s="270"/>
      <c r="E21" s="271"/>
    </row>
    <row r="22" spans="1:5">
      <c r="A22" s="42" t="s">
        <v>31</v>
      </c>
      <c r="B22" s="221" t="str">
        <f>IF($B$4="","",IFERROR(INDEX('Combined Delivery Data'!$V:$V,MATCH($B$4,'Combined Delivery Data'!$B:$B,0)),""))</f>
        <v/>
      </c>
      <c r="C22" s="270"/>
      <c r="D22" s="270"/>
      <c r="E22" s="271"/>
    </row>
    <row r="23" spans="1:5">
      <c r="A23" s="42" t="s">
        <v>32</v>
      </c>
      <c r="B23" s="220" t="str">
        <f>IF($B$4="","",IFERROR(INDEX('Combined Delivery Data'!$W:$W,MATCH($B$4,'Combined Delivery Data'!$B:$B,0)),""))</f>
        <v/>
      </c>
      <c r="C23" s="270"/>
      <c r="D23" s="270"/>
      <c r="E23" s="271"/>
    </row>
    <row r="24" spans="1:5">
      <c r="A24" s="42" t="s">
        <v>35</v>
      </c>
      <c r="B24" s="221" t="str">
        <f>IF($B$4="","",IFERROR(INDEX('Combined Delivery Data'!$X:$X,MATCH($B$4,'Combined Delivery Data'!$B:$B,0)),""))</f>
        <v/>
      </c>
      <c r="C24" s="270"/>
      <c r="D24" s="270"/>
      <c r="E24" s="271"/>
    </row>
    <row r="25" spans="1:5">
      <c r="A25" s="42" t="s">
        <v>36</v>
      </c>
      <c r="B25" s="221" t="str">
        <f>IF($B$4="","",IFERROR(INDEX('Combined Delivery Data'!$Z:$Z,MATCH($B$4,'Combined Delivery Data'!$B:$B,0)),""))</f>
        <v/>
      </c>
      <c r="C25" s="270"/>
      <c r="D25" s="270"/>
      <c r="E25" s="271"/>
    </row>
    <row r="26" spans="1:5">
      <c r="A26" s="42" t="s">
        <v>354</v>
      </c>
      <c r="B26" s="221" t="str">
        <f>IF($B$4="","",IFERROR(INDEX('Rework Log'!$Q:$Q,MATCH($B$4,'Rework Log'!$P:$P,0)),""))</f>
        <v/>
      </c>
      <c r="C26" s="270"/>
      <c r="D26" s="270"/>
      <c r="E26" s="271"/>
    </row>
    <row r="27" spans="1:5">
      <c r="A27" s="42" t="s">
        <v>355</v>
      </c>
      <c r="B27" s="221" t="str">
        <f>IF($B$4="","",IFERROR(INDEX('Rework Log'!$R:$R,MATCH($B$4,'Rework Log'!$P:$P,0)),""))</f>
        <v/>
      </c>
      <c r="C27" s="270"/>
      <c r="D27" s="270"/>
      <c r="E27" s="271"/>
    </row>
    <row r="28" spans="1:5">
      <c r="A28" s="42" t="s">
        <v>356</v>
      </c>
      <c r="B28" s="221" t="str">
        <f>IF($B$4="","",IFERROR(INDEX('Rework Log'!$S:$S,MATCH($B$4,'Rework Log'!$P:$P,0)),""))</f>
        <v/>
      </c>
      <c r="C28" s="270"/>
      <c r="D28" s="270"/>
      <c r="E28" s="271"/>
    </row>
    <row r="29" spans="1:5">
      <c r="A29" s="42" t="s">
        <v>357</v>
      </c>
      <c r="B29" s="221" t="str">
        <f>IF($B$4="","",IFERROR(INDEX('Rework Log'!$T:$T,MATCH($B$4,'Rework Log'!$P:$P,0)),""))</f>
        <v/>
      </c>
      <c r="C29" s="270"/>
      <c r="D29" s="270"/>
      <c r="E29" s="271"/>
    </row>
    <row r="30" spans="1:5" ht="15.6" customHeight="1">
      <c r="A30" s="42"/>
      <c r="B30" s="221"/>
      <c r="C30" s="270"/>
      <c r="D30" s="270"/>
      <c r="E30" s="271"/>
    </row>
    <row r="31" spans="1:5" ht="15.6" customHeight="1">
      <c r="A31" s="5" t="s">
        <v>37</v>
      </c>
      <c r="B31" s="272" t="str">
        <f>IF($B$4="","",IFERROR(INDEX('Combined Delivery Data'!$AB:$AB,MATCH($B$4,'Combined Delivery Data'!$B:$B,0)),""))</f>
        <v/>
      </c>
      <c r="C31" s="269"/>
      <c r="D31" s="269"/>
      <c r="E31" s="269"/>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3"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358</v>
      </c>
      <c r="C1" s="17" t="s">
        <v>359</v>
      </c>
      <c r="D1" s="17" t="s">
        <v>360</v>
      </c>
      <c r="E1" s="17" t="s">
        <v>361</v>
      </c>
      <c r="F1" s="17" t="s">
        <v>362</v>
      </c>
      <c r="G1" s="17" t="s">
        <v>363</v>
      </c>
      <c r="H1" s="56" t="s">
        <v>364</v>
      </c>
      <c r="I1" s="30" t="s">
        <v>365</v>
      </c>
      <c r="J1" s="30" t="s">
        <v>366</v>
      </c>
      <c r="K1" s="30" t="s">
        <v>367</v>
      </c>
      <c r="L1" s="30" t="s">
        <v>368</v>
      </c>
      <c r="M1" s="21" t="s">
        <v>369</v>
      </c>
      <c r="N1" s="21" t="s">
        <v>370</v>
      </c>
      <c r="P1" s="13" t="s">
        <v>1</v>
      </c>
      <c r="Q1" s="13" t="s">
        <v>354</v>
      </c>
      <c r="R1" s="13" t="s">
        <v>355</v>
      </c>
      <c r="S1" s="13" t="s">
        <v>356</v>
      </c>
      <c r="T1" s="13" t="s">
        <v>357</v>
      </c>
    </row>
    <row r="2" spans="1:20">
      <c r="A2" s="33" t="s">
        <v>143</v>
      </c>
      <c r="B2" s="36">
        <v>46230</v>
      </c>
      <c r="C2" s="33" t="s">
        <v>206</v>
      </c>
      <c r="D2" s="33" t="s">
        <v>264</v>
      </c>
      <c r="E2" s="33" t="s">
        <v>144</v>
      </c>
      <c r="F2" s="33" t="s">
        <v>371</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206</v>
      </c>
      <c r="D3" s="31" t="s">
        <v>264</v>
      </c>
      <c r="E3" s="31" t="s">
        <v>144</v>
      </c>
      <c r="F3" s="31" t="s">
        <v>372</v>
      </c>
      <c r="G3" s="31" t="s">
        <v>50</v>
      </c>
      <c r="H3" s="32" t="s">
        <v>155</v>
      </c>
      <c r="I3" s="32"/>
      <c r="J3" s="32">
        <v>46247</v>
      </c>
      <c r="K3" s="31" t="s">
        <v>60</v>
      </c>
      <c r="L3" s="31" t="s">
        <v>373</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206</v>
      </c>
      <c r="D4" s="31" t="s">
        <v>264</v>
      </c>
      <c r="E4" s="31" t="s">
        <v>129</v>
      </c>
      <c r="F4" s="31" t="s">
        <v>374</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206</v>
      </c>
      <c r="D5" s="31" t="s">
        <v>264</v>
      </c>
      <c r="E5" s="31" t="s">
        <v>129</v>
      </c>
      <c r="F5" s="31" t="s">
        <v>375</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206</v>
      </c>
      <c r="D6" s="31" t="s">
        <v>264</v>
      </c>
      <c r="E6" s="31" t="s">
        <v>129</v>
      </c>
      <c r="F6" s="31" t="s">
        <v>376</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206</v>
      </c>
      <c r="D7" s="31" t="s">
        <v>264</v>
      </c>
      <c r="E7" s="31" t="s">
        <v>129</v>
      </c>
      <c r="F7" s="31" t="s">
        <v>377</v>
      </c>
      <c r="G7" s="31" t="s">
        <v>50</v>
      </c>
      <c r="H7" s="32" t="s">
        <v>65</v>
      </c>
      <c r="I7" s="32"/>
      <c r="J7" s="32">
        <v>46251</v>
      </c>
      <c r="K7" s="31"/>
      <c r="L7" s="31"/>
      <c r="M7" s="3" t="str">
        <f t="shared" ca="1" si="4"/>
        <v>Fixed</v>
      </c>
      <c r="N7" t="s">
        <v>378</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206</v>
      </c>
      <c r="D8" s="31" t="s">
        <v>264</v>
      </c>
      <c r="E8" s="31" t="s">
        <v>144</v>
      </c>
      <c r="F8" s="31" t="s">
        <v>379</v>
      </c>
      <c r="G8" s="31" t="s">
        <v>50</v>
      </c>
      <c r="H8" s="32" t="s">
        <v>155</v>
      </c>
      <c r="I8" s="32"/>
      <c r="J8" s="32">
        <v>46254</v>
      </c>
      <c r="K8" s="31"/>
      <c r="L8" s="31"/>
      <c r="M8" s="3" t="str">
        <f t="shared" ca="1" si="4"/>
        <v>Fixed</v>
      </c>
      <c r="N8" t="s">
        <v>378</v>
      </c>
      <c r="P8" t="str">
        <f>'Combined Delivery Data'!B11</f>
        <v>RPT_04_SEI Leak Activity</v>
      </c>
      <c r="Q8">
        <f t="shared" si="0"/>
        <v>0</v>
      </c>
      <c r="R8">
        <f t="shared" si="1"/>
        <v>0</v>
      </c>
      <c r="S8" s="28" t="str">
        <f t="shared" si="2"/>
        <v/>
      </c>
      <c r="T8" t="str">
        <f t="shared" si="3"/>
        <v/>
      </c>
    </row>
    <row r="9" spans="1:20">
      <c r="A9" s="31" t="s">
        <v>143</v>
      </c>
      <c r="B9" s="32">
        <v>46237</v>
      </c>
      <c r="C9" s="31" t="s">
        <v>206</v>
      </c>
      <c r="D9" s="31" t="s">
        <v>264</v>
      </c>
      <c r="E9" s="31" t="s">
        <v>144</v>
      </c>
      <c r="F9" s="31" t="s">
        <v>372</v>
      </c>
      <c r="G9" s="31" t="s">
        <v>50</v>
      </c>
      <c r="H9" s="32" t="s">
        <v>84</v>
      </c>
      <c r="I9" s="32"/>
      <c r="J9" s="32">
        <v>46252</v>
      </c>
      <c r="K9" s="31"/>
      <c r="L9" s="31"/>
      <c r="M9" s="3" t="str">
        <f t="shared" ca="1" si="4"/>
        <v>Fixed</v>
      </c>
      <c r="N9" t="s">
        <v>378</v>
      </c>
      <c r="P9" t="str">
        <f>'Combined Delivery Data'!B12</f>
        <v>RPT_04_CMS Leak Productivity</v>
      </c>
      <c r="Q9">
        <f t="shared" si="0"/>
        <v>0</v>
      </c>
      <c r="R9">
        <f t="shared" si="1"/>
        <v>0</v>
      </c>
      <c r="S9" s="28" t="str">
        <f t="shared" si="2"/>
        <v/>
      </c>
      <c r="T9" t="str">
        <f t="shared" si="3"/>
        <v/>
      </c>
    </row>
    <row r="10" spans="1:20">
      <c r="A10" s="53" t="s">
        <v>135</v>
      </c>
      <c r="B10" s="32">
        <v>46254</v>
      </c>
      <c r="C10" s="31" t="s">
        <v>206</v>
      </c>
      <c r="D10" s="31" t="s">
        <v>264</v>
      </c>
      <c r="E10" s="31" t="s">
        <v>129</v>
      </c>
      <c r="F10" s="31" t="s">
        <v>374</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206</v>
      </c>
      <c r="D11" s="31" t="s">
        <v>264</v>
      </c>
      <c r="E11" s="31" t="s">
        <v>144</v>
      </c>
      <c r="F11" s="31" t="s">
        <v>380</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381</v>
      </c>
      <c r="P11" t="str">
        <f>'Combined Delivery Data'!B14</f>
        <v>RPT_04_Leak Summary Status</v>
      </c>
      <c r="Q11">
        <f t="shared" si="0"/>
        <v>0</v>
      </c>
      <c r="R11">
        <f t="shared" si="1"/>
        <v>0</v>
      </c>
      <c r="S11" s="28" t="str">
        <f t="shared" si="2"/>
        <v/>
      </c>
      <c r="T11" t="str">
        <f t="shared" si="3"/>
        <v/>
      </c>
    </row>
    <row r="12" spans="1:20">
      <c r="A12" s="53" t="s">
        <v>139</v>
      </c>
      <c r="B12" s="32">
        <v>46258</v>
      </c>
      <c r="C12" s="31" t="s">
        <v>206</v>
      </c>
      <c r="D12" s="31" t="s">
        <v>264</v>
      </c>
      <c r="E12" s="31" t="s">
        <v>129</v>
      </c>
      <c r="F12" s="31" t="s">
        <v>382</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206</v>
      </c>
      <c r="D13" s="31" t="s">
        <v>224</v>
      </c>
      <c r="E13" s="31" t="s">
        <v>144</v>
      </c>
      <c r="F13" s="31" t="s">
        <v>383</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206</v>
      </c>
      <c r="D14" s="31" t="s">
        <v>224</v>
      </c>
      <c r="E14" s="31" t="s">
        <v>144</v>
      </c>
      <c r="F14" s="31" t="s">
        <v>384</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206</v>
      </c>
      <c r="D15" s="31" t="s">
        <v>264</v>
      </c>
      <c r="E15" s="31" t="s">
        <v>144</v>
      </c>
      <c r="F15" s="31" t="s">
        <v>385</v>
      </c>
      <c r="G15" s="31" t="s">
        <v>50</v>
      </c>
      <c r="H15" s="32" t="s">
        <v>65</v>
      </c>
      <c r="I15" s="32"/>
      <c r="J15" s="32">
        <v>46258</v>
      </c>
      <c r="K15" s="31"/>
      <c r="L15" s="31"/>
      <c r="M15" s="3" t="str">
        <f t="shared" ca="1" si="4"/>
        <v>Fixed</v>
      </c>
      <c r="N15" t="s">
        <v>381</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206</v>
      </c>
      <c r="D16" s="31" t="s">
        <v>224</v>
      </c>
      <c r="E16" s="31" t="s">
        <v>144</v>
      </c>
      <c r="F16" s="31" t="s">
        <v>386</v>
      </c>
      <c r="G16" s="31" t="s">
        <v>50</v>
      </c>
      <c r="H16" s="32" t="s">
        <v>46</v>
      </c>
      <c r="I16" s="32"/>
      <c r="J16" s="32"/>
      <c r="K16" s="31"/>
      <c r="L16" s="31"/>
      <c r="M16" s="3"/>
      <c r="S16" s="28"/>
    </row>
    <row r="17" spans="1:20">
      <c r="A17" s="33" t="s">
        <v>181</v>
      </c>
      <c r="B17" s="32">
        <v>46261</v>
      </c>
      <c r="C17" s="31" t="s">
        <v>206</v>
      </c>
      <c r="D17" s="31" t="s">
        <v>264</v>
      </c>
      <c r="E17" s="31" t="s">
        <v>129</v>
      </c>
      <c r="F17" s="31" t="s">
        <v>387</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206</v>
      </c>
      <c r="D18" s="31" t="s">
        <v>224</v>
      </c>
      <c r="E18" s="31" t="s">
        <v>144</v>
      </c>
      <c r="F18" s="31" t="s">
        <v>388</v>
      </c>
      <c r="G18" s="31" t="s">
        <v>50</v>
      </c>
      <c r="H18" s="32" t="s">
        <v>46</v>
      </c>
      <c r="I18" s="32"/>
      <c r="J18" s="32">
        <v>46266</v>
      </c>
      <c r="K18" s="31"/>
      <c r="L18" s="31"/>
      <c r="M18" s="3" t="str">
        <f t="shared" ca="1" si="4"/>
        <v>Fixed</v>
      </c>
      <c r="N18" t="s">
        <v>378</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206</v>
      </c>
      <c r="D19" s="31" t="s">
        <v>224</v>
      </c>
      <c r="E19" s="31" t="s">
        <v>47</v>
      </c>
      <c r="F19" s="31" t="s">
        <v>389</v>
      </c>
      <c r="G19" s="31" t="s">
        <v>50</v>
      </c>
      <c r="H19" s="32" t="s">
        <v>77</v>
      </c>
      <c r="I19" s="32">
        <v>46265</v>
      </c>
      <c r="J19" s="32">
        <v>46265</v>
      </c>
      <c r="K19" s="31" t="s">
        <v>77</v>
      </c>
      <c r="L19" s="31" t="s">
        <v>390</v>
      </c>
      <c r="M19" s="3" t="str">
        <f t="shared" ca="1" si="4"/>
        <v>Fixed</v>
      </c>
      <c r="N19" t="s">
        <v>381</v>
      </c>
      <c r="P19" t="str">
        <f>'Combined Delivery Data'!B14</f>
        <v>RPT_04_Leak Summary Status</v>
      </c>
      <c r="Q19">
        <f t="shared" si="5"/>
        <v>0</v>
      </c>
      <c r="R19">
        <f t="shared" si="6"/>
        <v>0</v>
      </c>
      <c r="S19" s="28" t="str">
        <f t="shared" si="7"/>
        <v/>
      </c>
      <c r="T19" t="str">
        <f t="shared" si="8"/>
        <v/>
      </c>
    </row>
    <row r="20" spans="1:20">
      <c r="A20" s="31" t="s">
        <v>175</v>
      </c>
      <c r="B20" s="32">
        <v>46265</v>
      </c>
      <c r="C20" s="31" t="s">
        <v>206</v>
      </c>
      <c r="D20" s="31" t="s">
        <v>264</v>
      </c>
      <c r="E20" s="31" t="s">
        <v>47</v>
      </c>
      <c r="F20" s="31" t="s">
        <v>391</v>
      </c>
      <c r="G20" s="31" t="s">
        <v>50</v>
      </c>
      <c r="H20" s="32" t="s">
        <v>84</v>
      </c>
      <c r="I20" s="32">
        <v>46266</v>
      </c>
      <c r="J20" s="32">
        <v>46266</v>
      </c>
      <c r="K20" s="31"/>
      <c r="L20" s="31" t="s">
        <v>392</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206</v>
      </c>
      <c r="D21" s="31" t="s">
        <v>264</v>
      </c>
      <c r="E21" s="31" t="s">
        <v>129</v>
      </c>
      <c r="F21" s="31" t="s">
        <v>393</v>
      </c>
      <c r="G21" s="31" t="s">
        <v>50</v>
      </c>
      <c r="H21" s="32" t="s">
        <v>59</v>
      </c>
      <c r="I21" s="32"/>
      <c r="J21" s="32">
        <v>46266</v>
      </c>
      <c r="K21" s="31" t="s">
        <v>59</v>
      </c>
      <c r="L21" s="31"/>
      <c r="M21" s="3" t="str">
        <f t="shared" ca="1" si="4"/>
        <v>Fixed</v>
      </c>
      <c r="N21" t="s">
        <v>381</v>
      </c>
      <c r="P21" t="str">
        <f>'Combined Delivery Data'!B21</f>
        <v>RPT_04_Leak Life Cycle</v>
      </c>
      <c r="Q21">
        <f t="shared" si="5"/>
        <v>0</v>
      </c>
      <c r="R21">
        <f t="shared" si="6"/>
        <v>0</v>
      </c>
      <c r="S21" s="28" t="str">
        <f t="shared" si="7"/>
        <v/>
      </c>
      <c r="T21" t="str">
        <f t="shared" si="8"/>
        <v/>
      </c>
    </row>
    <row r="22" spans="1:20">
      <c r="A22" s="31" t="s">
        <v>169</v>
      </c>
      <c r="B22" s="32">
        <v>46266</v>
      </c>
      <c r="C22" s="31" t="s">
        <v>206</v>
      </c>
      <c r="D22" s="31" t="s">
        <v>224</v>
      </c>
      <c r="E22" s="31" t="s">
        <v>47</v>
      </c>
      <c r="F22" s="31" t="s">
        <v>394</v>
      </c>
      <c r="G22" s="31" t="s">
        <v>50</v>
      </c>
      <c r="H22" s="32" t="s">
        <v>46</v>
      </c>
      <c r="I22" s="32">
        <v>46267</v>
      </c>
      <c r="J22" s="32">
        <v>46268</v>
      </c>
      <c r="K22" s="31" t="s">
        <v>46</v>
      </c>
      <c r="L22" s="31" t="s">
        <v>392</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206</v>
      </c>
      <c r="D23" s="31" t="s">
        <v>224</v>
      </c>
      <c r="E23" s="31" t="s">
        <v>47</v>
      </c>
      <c r="F23" s="31" t="s">
        <v>395</v>
      </c>
      <c r="G23" s="31" t="s">
        <v>50</v>
      </c>
      <c r="H23" s="32" t="s">
        <v>46</v>
      </c>
      <c r="I23" s="138">
        <v>46267</v>
      </c>
      <c r="J23" s="32">
        <v>46268</v>
      </c>
      <c r="K23" s="31" t="s">
        <v>46</v>
      </c>
      <c r="L23" s="31" t="s">
        <v>392</v>
      </c>
      <c r="M23" s="3" t="str">
        <f t="shared" ca="1" si="4"/>
        <v>Fixed</v>
      </c>
      <c r="N23" t="s">
        <v>381</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206</v>
      </c>
      <c r="D24" s="31" t="s">
        <v>224</v>
      </c>
      <c r="E24" s="31" t="s">
        <v>47</v>
      </c>
      <c r="F24" s="76" t="s">
        <v>396</v>
      </c>
      <c r="G24" s="31" t="s">
        <v>50</v>
      </c>
      <c r="H24" s="32" t="s">
        <v>46</v>
      </c>
      <c r="I24" s="32">
        <v>46267</v>
      </c>
      <c r="J24" s="32">
        <v>46268</v>
      </c>
      <c r="K24" s="31" t="s">
        <v>46</v>
      </c>
      <c r="L24" s="31" t="s">
        <v>392</v>
      </c>
      <c r="M24" s="3" t="str">
        <f t="shared" ca="1" si="4"/>
        <v>Fixed</v>
      </c>
      <c r="N24" s="33" t="s">
        <v>381</v>
      </c>
      <c r="P24" t="str">
        <f>'Combined Delivery Data'!B24</f>
        <v>Leak 360 Dashboard</v>
      </c>
      <c r="Q24">
        <f t="shared" si="5"/>
        <v>0</v>
      </c>
      <c r="R24">
        <f t="shared" si="6"/>
        <v>0</v>
      </c>
      <c r="S24" s="28" t="str">
        <f t="shared" si="7"/>
        <v/>
      </c>
      <c r="T24" t="str">
        <f t="shared" si="8"/>
        <v/>
      </c>
    </row>
    <row r="25" spans="1:20">
      <c r="A25" s="53" t="s">
        <v>186</v>
      </c>
      <c r="B25" s="32">
        <v>46267</v>
      </c>
      <c r="C25" s="31" t="s">
        <v>206</v>
      </c>
      <c r="D25" s="31" t="s">
        <v>224</v>
      </c>
      <c r="E25" s="31" t="s">
        <v>129</v>
      </c>
      <c r="F25" s="31" t="s">
        <v>397</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42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206</v>
      </c>
      <c r="D26" s="31" t="s">
        <v>264</v>
      </c>
      <c r="E26" s="31" t="s">
        <v>129</v>
      </c>
      <c r="F26" s="31" t="s">
        <v>387</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381</v>
      </c>
      <c r="P26" t="str">
        <f>'Combined Delivery Data'!B26</f>
        <v>RPT_04_Main_Replacement Report</v>
      </c>
      <c r="Q26">
        <f t="shared" si="5"/>
        <v>0</v>
      </c>
      <c r="R26">
        <f t="shared" si="6"/>
        <v>0</v>
      </c>
      <c r="S26" s="28" t="str">
        <f t="shared" si="7"/>
        <v/>
      </c>
      <c r="T26" t="str">
        <f t="shared" si="8"/>
        <v/>
      </c>
    </row>
    <row r="27" spans="1:20">
      <c r="A27" s="31" t="s">
        <v>156</v>
      </c>
      <c r="B27" s="32">
        <v>46267</v>
      </c>
      <c r="C27" s="31" t="s">
        <v>206</v>
      </c>
      <c r="D27" s="31" t="s">
        <v>224</v>
      </c>
      <c r="E27" s="31" t="s">
        <v>144</v>
      </c>
      <c r="F27" s="31" t="s">
        <v>398</v>
      </c>
      <c r="G27" s="31" t="s">
        <v>50</v>
      </c>
      <c r="H27" s="32" t="s">
        <v>77</v>
      </c>
      <c r="I27" s="32"/>
      <c r="J27" s="32">
        <v>46267</v>
      </c>
      <c r="K27" s="31" t="s">
        <v>77</v>
      </c>
      <c r="L27" s="31" t="s">
        <v>399</v>
      </c>
      <c r="M27" s="3" t="str">
        <f t="shared" ca="1" si="4"/>
        <v>Fixed</v>
      </c>
      <c r="N27" t="s">
        <v>381</v>
      </c>
      <c r="P27" t="str">
        <f>'Combined Delivery Data'!B27</f>
        <v>New Report: Leak Repair Exception</v>
      </c>
      <c r="Q27">
        <f t="shared" si="5"/>
        <v>0</v>
      </c>
      <c r="R27">
        <f t="shared" si="6"/>
        <v>0</v>
      </c>
      <c r="S27" s="28" t="str">
        <f t="shared" si="7"/>
        <v/>
      </c>
      <c r="T27" t="str">
        <f t="shared" si="8"/>
        <v/>
      </c>
    </row>
    <row r="28" spans="1:20">
      <c r="A28" s="31" t="s">
        <v>137</v>
      </c>
      <c r="B28" s="32">
        <v>46267</v>
      </c>
      <c r="C28" s="31" t="s">
        <v>206</v>
      </c>
      <c r="D28" s="31" t="s">
        <v>224</v>
      </c>
      <c r="E28" s="31" t="s">
        <v>129</v>
      </c>
      <c r="F28" s="31" t="s">
        <v>398</v>
      </c>
      <c r="G28" s="31" t="s">
        <v>50</v>
      </c>
      <c r="H28" s="32" t="s">
        <v>77</v>
      </c>
      <c r="I28" s="32"/>
      <c r="J28" s="32">
        <v>46267</v>
      </c>
      <c r="K28" s="31" t="s">
        <v>77</v>
      </c>
      <c r="L28" s="113" t="s">
        <v>399</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206</v>
      </c>
      <c r="D29" s="31" t="s">
        <v>224</v>
      </c>
      <c r="E29" s="31" t="s">
        <v>129</v>
      </c>
      <c r="F29" s="31" t="s">
        <v>398</v>
      </c>
      <c r="G29" s="31" t="s">
        <v>50</v>
      </c>
      <c r="H29" s="32" t="s">
        <v>77</v>
      </c>
      <c r="I29" s="32"/>
      <c r="J29" s="32">
        <v>46267</v>
      </c>
      <c r="K29" s="31" t="s">
        <v>77</v>
      </c>
      <c r="L29" s="113" t="s">
        <v>399</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206</v>
      </c>
      <c r="D30" s="31" t="s">
        <v>264</v>
      </c>
      <c r="E30" s="31" t="s">
        <v>129</v>
      </c>
      <c r="F30" s="31" t="s">
        <v>400</v>
      </c>
      <c r="G30" s="31" t="s">
        <v>50</v>
      </c>
      <c r="H30" s="32" t="s">
        <v>155</v>
      </c>
      <c r="I30" s="32"/>
      <c r="J30" s="32">
        <v>46267</v>
      </c>
      <c r="K30" s="31" t="s">
        <v>155</v>
      </c>
      <c r="L30" s="31"/>
      <c r="M30" s="3" t="str">
        <f t="shared" ca="1" si="4"/>
        <v>Fixed</v>
      </c>
      <c r="N30" t="s">
        <v>381</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206</v>
      </c>
      <c r="D31" s="31" t="s">
        <v>264</v>
      </c>
      <c r="E31" s="31" t="s">
        <v>47</v>
      </c>
      <c r="F31" s="31" t="s">
        <v>401</v>
      </c>
      <c r="G31" s="31" t="s">
        <v>50</v>
      </c>
      <c r="H31" s="32" t="s">
        <v>103</v>
      </c>
      <c r="I31" s="32">
        <v>46269</v>
      </c>
      <c r="J31" s="32">
        <v>46269</v>
      </c>
      <c r="K31" s="31"/>
      <c r="L31" s="31" t="s">
        <v>392</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206</v>
      </c>
      <c r="D32" s="31" t="s">
        <v>264</v>
      </c>
      <c r="E32" s="31" t="s">
        <v>201</v>
      </c>
      <c r="F32" s="31" t="s">
        <v>402</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206</v>
      </c>
      <c r="D33" s="31" t="s">
        <v>264</v>
      </c>
      <c r="E33" s="31" t="s">
        <v>47</v>
      </c>
      <c r="F33" s="31" t="s">
        <v>403</v>
      </c>
      <c r="G33" s="31" t="s">
        <v>50</v>
      </c>
      <c r="H33" s="32" t="s">
        <v>103</v>
      </c>
      <c r="I33" s="32">
        <v>46274</v>
      </c>
      <c r="J33" s="32">
        <v>46274</v>
      </c>
      <c r="K33" s="31"/>
      <c r="L33" s="31" t="s">
        <v>392</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206</v>
      </c>
      <c r="D34" s="31" t="s">
        <v>224</v>
      </c>
      <c r="E34" s="31" t="s">
        <v>47</v>
      </c>
      <c r="F34" s="76" t="s">
        <v>404</v>
      </c>
      <c r="G34" s="31" t="s">
        <v>50</v>
      </c>
      <c r="H34" s="32" t="s">
        <v>77</v>
      </c>
      <c r="I34" s="32">
        <v>46275</v>
      </c>
      <c r="J34" s="32">
        <v>46275</v>
      </c>
      <c r="K34" s="31" t="s">
        <v>77</v>
      </c>
      <c r="L34" s="31" t="s">
        <v>405</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206</v>
      </c>
      <c r="D35" s="31" t="s">
        <v>264</v>
      </c>
      <c r="E35" s="31" t="s">
        <v>129</v>
      </c>
      <c r="F35" s="31" t="s">
        <v>406</v>
      </c>
      <c r="G35" s="31" t="s">
        <v>50</v>
      </c>
      <c r="H35" s="32" t="s">
        <v>155</v>
      </c>
      <c r="I35" s="32"/>
      <c r="J35" s="32">
        <v>46276</v>
      </c>
      <c r="K35" s="31" t="s">
        <v>155</v>
      </c>
      <c r="L35" s="31"/>
      <c r="M35" s="3" t="str">
        <f t="shared" ca="1" si="4"/>
        <v>Fixed</v>
      </c>
      <c r="N35" t="s">
        <v>381</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206</v>
      </c>
      <c r="D36" s="31" t="s">
        <v>264</v>
      </c>
      <c r="E36" s="31" t="s">
        <v>129</v>
      </c>
      <c r="F36" s="31" t="s">
        <v>407</v>
      </c>
      <c r="G36" s="31" t="s">
        <v>53</v>
      </c>
      <c r="H36" s="32" t="s">
        <v>65</v>
      </c>
      <c r="I36" s="32"/>
      <c r="J36" s="32">
        <v>46288</v>
      </c>
      <c r="K36" s="31"/>
      <c r="L36" s="31"/>
      <c r="M36" s="3" t="str">
        <f t="shared" ca="1" si="4"/>
        <v>Fixed</v>
      </c>
      <c r="N36" t="s">
        <v>381</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206</v>
      </c>
      <c r="D37" s="31" t="s">
        <v>264</v>
      </c>
      <c r="E37" s="31" t="s">
        <v>129</v>
      </c>
      <c r="F37" s="31" t="s">
        <v>408</v>
      </c>
      <c r="G37" s="31" t="s">
        <v>50</v>
      </c>
      <c r="H37" s="32" t="s">
        <v>155</v>
      </c>
      <c r="I37" s="32">
        <v>46282</v>
      </c>
      <c r="J37" s="32">
        <v>46282</v>
      </c>
      <c r="K37" s="31" t="s">
        <v>155</v>
      </c>
      <c r="L37" s="31" t="s">
        <v>409</v>
      </c>
      <c r="M37" s="3" t="str">
        <f t="shared" ca="1" si="4"/>
        <v>Fixed</v>
      </c>
      <c r="N37" t="s">
        <v>381</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206</v>
      </c>
      <c r="D38" s="31" t="s">
        <v>224</v>
      </c>
      <c r="E38" s="31" t="s">
        <v>144</v>
      </c>
      <c r="F38" s="31" t="s">
        <v>410</v>
      </c>
      <c r="G38" s="31" t="s">
        <v>50</v>
      </c>
      <c r="H38" s="32" t="s">
        <v>77</v>
      </c>
      <c r="I38" s="32">
        <v>46281</v>
      </c>
      <c r="J38" s="32">
        <v>46281</v>
      </c>
      <c r="K38" s="31" t="s">
        <v>77</v>
      </c>
      <c r="L38" s="31" t="s">
        <v>411</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206</v>
      </c>
      <c r="D39" s="31" t="s">
        <v>264</v>
      </c>
      <c r="E39" s="31" t="s">
        <v>47</v>
      </c>
      <c r="F39" s="31" t="s">
        <v>412</v>
      </c>
      <c r="G39" s="31" t="s">
        <v>50</v>
      </c>
      <c r="H39" s="32" t="s">
        <v>44</v>
      </c>
      <c r="I39" s="32">
        <v>46283</v>
      </c>
      <c r="J39" s="32">
        <v>46283</v>
      </c>
      <c r="K39" s="31"/>
      <c r="L39" s="31" t="s">
        <v>413</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206</v>
      </c>
      <c r="D40" s="31" t="s">
        <v>224</v>
      </c>
      <c r="E40" s="31" t="s">
        <v>201</v>
      </c>
      <c r="F40" s="31" t="s">
        <v>414</v>
      </c>
      <c r="G40" s="31" t="s">
        <v>50</v>
      </c>
      <c r="H40" s="32" t="s">
        <v>46</v>
      </c>
      <c r="I40" s="32"/>
      <c r="J40" s="32"/>
      <c r="K40" s="31"/>
      <c r="L40" s="31"/>
      <c r="M40" s="3" t="str">
        <f t="shared" ca="1" si="4"/>
        <v>UNCLAIMED 28 d</v>
      </c>
      <c r="P40" t="str">
        <f>'Combined Delivery Data'!B41</f>
        <v>RPT_02_GRO Control</v>
      </c>
      <c r="Q40">
        <f t="shared" si="5"/>
        <v>0</v>
      </c>
      <c r="R40">
        <f t="shared" si="6"/>
        <v>0</v>
      </c>
      <c r="S40" s="28" t="str">
        <f t="shared" si="7"/>
        <v/>
      </c>
      <c r="T40" t="str">
        <f t="shared" si="8"/>
        <v/>
      </c>
    </row>
    <row r="41" spans="1:20">
      <c r="A41" s="31" t="s">
        <v>211</v>
      </c>
      <c r="B41" s="32">
        <v>46282</v>
      </c>
      <c r="C41" s="31" t="s">
        <v>206</v>
      </c>
      <c r="D41" s="31" t="s">
        <v>264</v>
      </c>
      <c r="E41" s="31" t="s">
        <v>47</v>
      </c>
      <c r="F41" s="31" t="s">
        <v>415</v>
      </c>
      <c r="G41" s="31" t="s">
        <v>50</v>
      </c>
      <c r="H41" s="32" t="s">
        <v>155</v>
      </c>
      <c r="I41" s="32">
        <v>46282</v>
      </c>
      <c r="J41" s="32">
        <v>46282</v>
      </c>
      <c r="K41" s="31"/>
      <c r="L41" s="31" t="s">
        <v>416</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206</v>
      </c>
      <c r="D42" s="31" t="s">
        <v>264</v>
      </c>
      <c r="E42" s="31" t="s">
        <v>129</v>
      </c>
      <c r="F42" s="31" t="s">
        <v>417</v>
      </c>
      <c r="G42" s="31" t="s">
        <v>50</v>
      </c>
      <c r="H42" s="32" t="s">
        <v>44</v>
      </c>
      <c r="I42" s="32"/>
      <c r="J42" s="32"/>
      <c r="K42" s="31"/>
      <c r="L42" s="31"/>
      <c r="M42" s="3" t="str">
        <f t="shared" ca="1" si="4"/>
        <v>UNCLAIMED 22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224</v>
      </c>
      <c r="E43" s="31" t="s">
        <v>144</v>
      </c>
      <c r="F43" s="31" t="s">
        <v>418</v>
      </c>
      <c r="G43" s="31" t="s">
        <v>50</v>
      </c>
      <c r="H43" s="32" t="s">
        <v>60</v>
      </c>
      <c r="I43" s="32">
        <v>46294</v>
      </c>
      <c r="J43" s="32">
        <v>46295</v>
      </c>
      <c r="K43" s="31" t="s">
        <v>60</v>
      </c>
      <c r="L43" s="31" t="s">
        <v>419</v>
      </c>
      <c r="M43" s="3" t="str">
        <f t="shared" ca="1" si="4"/>
        <v>Fixed</v>
      </c>
      <c r="N43" t="s">
        <v>381</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206</v>
      </c>
      <c r="D44" s="31" t="s">
        <v>264</v>
      </c>
      <c r="E44" s="31" t="s">
        <v>129</v>
      </c>
      <c r="F44" s="31" t="s">
        <v>420</v>
      </c>
      <c r="G44" s="31" t="s">
        <v>53</v>
      </c>
      <c r="H44" s="32" t="s">
        <v>44</v>
      </c>
      <c r="I44" s="32"/>
      <c r="J44" s="32"/>
      <c r="K44" s="31"/>
      <c r="L44" s="31"/>
      <c r="M44" s="3" t="str">
        <f t="shared" ca="1" si="4"/>
        <v>UNCLAIMED 14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206</v>
      </c>
      <c r="D45" s="31" t="s">
        <v>264</v>
      </c>
      <c r="E45" s="31" t="s">
        <v>201</v>
      </c>
      <c r="F45" s="31" t="s">
        <v>421</v>
      </c>
      <c r="G45" s="31" t="s">
        <v>50</v>
      </c>
      <c r="H45" s="32" t="s">
        <v>84</v>
      </c>
      <c r="I45" s="32"/>
      <c r="J45" s="32">
        <v>46300</v>
      </c>
      <c r="K45" s="31" t="s">
        <v>84</v>
      </c>
      <c r="L45" s="31"/>
      <c r="M45" s="3" t="s">
        <v>422</v>
      </c>
      <c r="N45" t="s">
        <v>50</v>
      </c>
      <c r="S45" s="28"/>
    </row>
    <row r="46" spans="1:20">
      <c r="A46" s="31"/>
      <c r="B46" s="32"/>
      <c r="C46" s="31" t="s">
        <v>206</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206</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206</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206</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206</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206</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206</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206</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206</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206</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206</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206</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206</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206</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206</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206</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206</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206</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206</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206</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206</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206</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206</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206</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206</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206</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206</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206</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206</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206</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206</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206</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206</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206</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206</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206</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206</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206</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206</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206</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206</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206</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206</v>
      </c>
      <c r="D88" s="31"/>
      <c r="E88" s="31"/>
      <c r="F88" s="31"/>
      <c r="G88" s="31" t="s">
        <v>53</v>
      </c>
      <c r="H88" s="32"/>
      <c r="I88" s="32"/>
      <c r="J88" s="32"/>
      <c r="K88" s="31"/>
      <c r="L88" s="31"/>
      <c r="M88" s="3" t="str">
        <f t="shared" ca="1" si="12"/>
        <v/>
      </c>
      <c r="P88" t="str">
        <f>'Combined Delivery Data'!B117</f>
        <v>RPT_05_Kedny Compliance</v>
      </c>
      <c r="Q88">
        <f t="shared" si="13"/>
        <v>0</v>
      </c>
      <c r="R88">
        <f t="shared" si="14"/>
        <v>0</v>
      </c>
      <c r="S88" s="28" t="str">
        <f t="shared" si="9"/>
        <v/>
      </c>
      <c r="T88" t="str">
        <f t="shared" si="10"/>
        <v/>
      </c>
    </row>
    <row r="89" spans="1:20">
      <c r="A89" s="31"/>
      <c r="B89" s="32"/>
      <c r="C89" s="31" t="s">
        <v>206</v>
      </c>
      <c r="D89" s="31"/>
      <c r="E89" s="31"/>
      <c r="F89" s="31"/>
      <c r="G89" s="31" t="s">
        <v>53</v>
      </c>
      <c r="H89" s="32"/>
      <c r="I89" s="32"/>
      <c r="J89" s="32"/>
      <c r="K89" s="31"/>
      <c r="L89" s="31"/>
      <c r="M89" s="3" t="str">
        <f t="shared" ca="1" si="12"/>
        <v/>
      </c>
      <c r="P89" t="str">
        <f>'Combined Delivery Data'!B118</f>
        <v>RPT_05_CI Encroachment</v>
      </c>
      <c r="Q89">
        <f t="shared" si="13"/>
        <v>0</v>
      </c>
      <c r="R89">
        <f t="shared" si="14"/>
        <v>0</v>
      </c>
      <c r="S89" s="28" t="str">
        <f t="shared" si="9"/>
        <v/>
      </c>
      <c r="T89" t="str">
        <f t="shared" si="10"/>
        <v/>
      </c>
    </row>
    <row r="90" spans="1:20">
      <c r="A90" s="31"/>
      <c r="B90" s="32"/>
      <c r="C90" s="31" t="s">
        <v>206</v>
      </c>
      <c r="D90" s="31"/>
      <c r="E90" s="31"/>
      <c r="F90" s="31"/>
      <c r="G90" s="31" t="s">
        <v>53</v>
      </c>
      <c r="H90" s="32"/>
      <c r="I90" s="32"/>
      <c r="J90" s="32"/>
      <c r="K90" s="31"/>
      <c r="L90" s="31"/>
      <c r="M90" s="3" t="str">
        <f t="shared" ca="1" si="12"/>
        <v/>
      </c>
      <c r="P90" t="str">
        <f>'Combined Delivery Data'!B119</f>
        <v>RPT_05_Design Processing</v>
      </c>
      <c r="Q90">
        <f t="shared" si="13"/>
        <v>0</v>
      </c>
      <c r="R90">
        <f t="shared" si="14"/>
        <v>0</v>
      </c>
      <c r="S90" s="28" t="str">
        <f t="shared" si="9"/>
        <v/>
      </c>
      <c r="T90" t="str">
        <f t="shared" si="10"/>
        <v/>
      </c>
    </row>
    <row r="91" spans="1:20">
      <c r="A91" s="31"/>
      <c r="B91" s="32"/>
      <c r="C91" s="31" t="s">
        <v>206</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206</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206</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206</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206</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206</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206</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206</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206</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206</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206</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206</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206</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206</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206</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206</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206</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206</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206</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206</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206</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206</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206</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206</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206</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206</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206</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206</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206</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206</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206</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206</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206</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206</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206</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206</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206</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206</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206</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206</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206</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206</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206</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206</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206</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206</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206</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206</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206</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206</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206</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206</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206</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206</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206</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206</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206</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206</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206</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206</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206</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206</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206</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206</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206</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206</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206</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206</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206</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206</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206</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206</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206</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206</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206</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206</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206</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206</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206</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206</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206</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206</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206</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206</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206</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206</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206</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206</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206</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206</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206</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206</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206</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206</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206</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206</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206</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206</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206</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206</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206</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206</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206</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206</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206</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206</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206</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3" t="s">
        <v>423</v>
      </c>
      <c r="B1" s="269"/>
      <c r="C1" s="269"/>
    </row>
    <row r="2" spans="1:8" ht="14.25" customHeight="1">
      <c r="A2" s="8" t="s">
        <v>0</v>
      </c>
      <c r="B2" s="8" t="s">
        <v>424</v>
      </c>
      <c r="C2" s="8" t="s">
        <v>425</v>
      </c>
      <c r="E2" t="s">
        <v>426</v>
      </c>
      <c r="F2" t="s">
        <v>427</v>
      </c>
      <c r="G2" t="s">
        <v>428</v>
      </c>
      <c r="H2" t="s">
        <v>429</v>
      </c>
    </row>
    <row r="3" spans="1:8" ht="14.25" customHeight="1">
      <c r="A3" s="11" t="s">
        <v>40</v>
      </c>
      <c r="B3" s="11">
        <v>8</v>
      </c>
      <c r="C3" s="12">
        <v>46142</v>
      </c>
      <c r="E3" t="s">
        <v>430</v>
      </c>
      <c r="F3" s="28">
        <v>46233</v>
      </c>
      <c r="G3" s="28">
        <v>46274</v>
      </c>
    </row>
    <row r="4" spans="1:8" ht="14.25" customHeight="1">
      <c r="A4" s="11" t="s">
        <v>40</v>
      </c>
      <c r="B4" s="11">
        <v>10</v>
      </c>
      <c r="C4" s="12">
        <v>46172</v>
      </c>
      <c r="E4" t="s">
        <v>431</v>
      </c>
      <c r="F4" s="28">
        <v>46264</v>
      </c>
      <c r="G4" s="28">
        <v>46295</v>
      </c>
    </row>
    <row r="5" spans="1:8" ht="14.25" customHeight="1">
      <c r="A5" s="11" t="s">
        <v>40</v>
      </c>
      <c r="B5" s="11">
        <v>9</v>
      </c>
      <c r="C5" s="12">
        <v>46203</v>
      </c>
      <c r="E5" t="s">
        <v>432</v>
      </c>
      <c r="F5" s="28">
        <v>46295</v>
      </c>
      <c r="G5" s="28">
        <v>46325</v>
      </c>
    </row>
    <row r="6" spans="1:8" ht="14.25" customHeight="1">
      <c r="A6" s="11" t="s">
        <v>126</v>
      </c>
      <c r="B6" s="11">
        <v>15</v>
      </c>
      <c r="C6" s="12">
        <v>46233</v>
      </c>
      <c r="E6" t="s">
        <v>433</v>
      </c>
      <c r="F6" s="28">
        <v>46325</v>
      </c>
      <c r="G6" s="28">
        <v>46356</v>
      </c>
    </row>
    <row r="7" spans="1:8" ht="14.25" customHeight="1">
      <c r="A7" s="11" t="s">
        <v>126</v>
      </c>
      <c r="B7" s="11">
        <v>15</v>
      </c>
      <c r="C7" s="12">
        <v>46264</v>
      </c>
      <c r="E7" t="s">
        <v>434</v>
      </c>
      <c r="F7" s="28">
        <v>46356</v>
      </c>
      <c r="G7" s="28">
        <v>46387</v>
      </c>
    </row>
    <row r="8" spans="1:8" ht="14.25" customHeight="1">
      <c r="A8" s="11" t="s">
        <v>126</v>
      </c>
      <c r="B8" s="11">
        <v>17</v>
      </c>
      <c r="C8" s="12">
        <v>46295</v>
      </c>
      <c r="E8" t="s">
        <v>435</v>
      </c>
      <c r="F8" s="28">
        <v>46387</v>
      </c>
      <c r="G8" s="28">
        <v>46417</v>
      </c>
    </row>
    <row r="9" spans="1:8" ht="14.25" customHeight="1">
      <c r="A9" s="11" t="s">
        <v>126</v>
      </c>
      <c r="B9" s="11">
        <v>20</v>
      </c>
      <c r="C9" s="12">
        <v>46325</v>
      </c>
      <c r="E9" t="s">
        <v>436</v>
      </c>
      <c r="F9" s="28">
        <v>46417</v>
      </c>
      <c r="G9" s="28">
        <v>46445</v>
      </c>
    </row>
    <row r="10" spans="1:8" ht="14.25" customHeight="1">
      <c r="A10" s="11" t="s">
        <v>126</v>
      </c>
      <c r="B10" s="11">
        <v>20</v>
      </c>
      <c r="C10" s="12">
        <v>46356</v>
      </c>
      <c r="E10" t="s">
        <v>437</v>
      </c>
      <c r="F10" s="28">
        <v>46446</v>
      </c>
      <c r="G10" s="28">
        <v>46477</v>
      </c>
    </row>
    <row r="11" spans="1:8" ht="14.25" customHeight="1">
      <c r="A11" s="11" t="s">
        <v>337</v>
      </c>
      <c r="B11" s="11">
        <v>18</v>
      </c>
      <c r="C11" s="12">
        <v>46417</v>
      </c>
      <c r="E11" t="s">
        <v>438</v>
      </c>
      <c r="F11" s="28">
        <v>46477</v>
      </c>
      <c r="G11" s="28">
        <v>46480</v>
      </c>
    </row>
    <row r="12" spans="1:8" ht="14.25" customHeight="1">
      <c r="A12" s="11" t="s">
        <v>337</v>
      </c>
      <c r="B12" s="11">
        <v>18</v>
      </c>
      <c r="C12" s="12">
        <v>46446</v>
      </c>
    </row>
    <row r="13" spans="1:8" ht="14.25" customHeight="1">
      <c r="A13" s="11" t="s">
        <v>337</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4" t="s">
        <v>439</v>
      </c>
      <c r="B1" s="269"/>
      <c r="C1" s="269"/>
      <c r="D1" s="269"/>
      <c r="E1" s="269"/>
      <c r="F1" s="269"/>
      <c r="G1" s="269"/>
      <c r="H1" s="269"/>
      <c r="I1" s="269"/>
      <c r="J1" s="269"/>
    </row>
    <row r="2" spans="1:10" ht="27" customHeight="1">
      <c r="A2" s="8" t="s">
        <v>0</v>
      </c>
      <c r="B2" s="8" t="s">
        <v>440</v>
      </c>
      <c r="C2" s="8" t="s">
        <v>1</v>
      </c>
      <c r="D2" s="8" t="s">
        <v>441</v>
      </c>
      <c r="E2" s="8" t="s">
        <v>442</v>
      </c>
      <c r="F2" s="8" t="s">
        <v>6</v>
      </c>
      <c r="G2" s="8" t="s">
        <v>5</v>
      </c>
      <c r="H2" s="8" t="s">
        <v>443</v>
      </c>
      <c r="I2" s="8" t="s">
        <v>425</v>
      </c>
      <c r="J2" s="8" t="s">
        <v>444</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224</v>
      </c>
      <c r="C4" s="9" t="s">
        <v>41</v>
      </c>
      <c r="D4" s="9" t="s">
        <v>44</v>
      </c>
      <c r="E4" s="9" t="s">
        <v>46</v>
      </c>
      <c r="F4" s="9"/>
      <c r="G4" s="9"/>
      <c r="H4" s="10">
        <v>46115</v>
      </c>
      <c r="I4" s="10">
        <v>46114</v>
      </c>
      <c r="J4" s="10">
        <v>46114</v>
      </c>
    </row>
    <row r="5" spans="1:10" ht="14.25" customHeight="1">
      <c r="A5" s="9" t="s">
        <v>40</v>
      </c>
      <c r="B5" s="9" t="s">
        <v>206</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224</v>
      </c>
      <c r="C9" s="9" t="s">
        <v>55</v>
      </c>
      <c r="D9" s="9" t="s">
        <v>44</v>
      </c>
      <c r="E9" s="9" t="s">
        <v>46</v>
      </c>
      <c r="F9" s="9"/>
      <c r="G9" s="9"/>
      <c r="H9" s="10">
        <v>46115</v>
      </c>
      <c r="I9" s="10">
        <v>46114</v>
      </c>
      <c r="J9" s="10">
        <v>46114</v>
      </c>
    </row>
    <row r="10" spans="1:10" ht="14.25" customHeight="1">
      <c r="A10" s="9" t="s">
        <v>40</v>
      </c>
      <c r="B10" s="9" t="s">
        <v>206</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445</v>
      </c>
      <c r="D13" s="9" t="s">
        <v>446</v>
      </c>
      <c r="E13" s="9" t="s">
        <v>46</v>
      </c>
      <c r="F13" s="9"/>
      <c r="G13" s="9"/>
      <c r="H13" s="10"/>
      <c r="I13" s="10">
        <v>46115</v>
      </c>
      <c r="J13" s="10">
        <v>46115</v>
      </c>
    </row>
    <row r="14" spans="1:10" ht="14.25" customHeight="1">
      <c r="A14" s="9" t="s">
        <v>40</v>
      </c>
      <c r="B14" s="9" t="s">
        <v>224</v>
      </c>
      <c r="C14" s="9" t="s">
        <v>445</v>
      </c>
      <c r="D14" s="9" t="s">
        <v>446</v>
      </c>
      <c r="E14" s="9" t="s">
        <v>46</v>
      </c>
      <c r="F14" s="9"/>
      <c r="G14" s="9"/>
      <c r="H14" s="10">
        <v>46115</v>
      </c>
      <c r="I14" s="10">
        <v>46120</v>
      </c>
      <c r="J14" s="10">
        <v>46120</v>
      </c>
    </row>
    <row r="15" spans="1:10" ht="14.25" customHeight="1">
      <c r="A15" s="9" t="s">
        <v>40</v>
      </c>
      <c r="B15" s="9" t="s">
        <v>206</v>
      </c>
      <c r="C15" s="9" t="s">
        <v>445</v>
      </c>
      <c r="D15" s="9" t="s">
        <v>446</v>
      </c>
      <c r="E15" s="9" t="s">
        <v>46</v>
      </c>
      <c r="F15" s="9"/>
      <c r="G15" s="9"/>
      <c r="H15" s="10">
        <v>46120</v>
      </c>
      <c r="I15" s="10">
        <v>46122</v>
      </c>
      <c r="J15" s="10">
        <v>46122</v>
      </c>
    </row>
    <row r="16" spans="1:10" ht="14.25" customHeight="1">
      <c r="A16" s="9" t="s">
        <v>40</v>
      </c>
      <c r="B16" s="9" t="s">
        <v>187</v>
      </c>
      <c r="C16" s="9" t="s">
        <v>445</v>
      </c>
      <c r="D16" s="9" t="s">
        <v>446</v>
      </c>
      <c r="E16" s="9" t="s">
        <v>46</v>
      </c>
      <c r="F16" s="9"/>
      <c r="G16" s="9"/>
      <c r="H16" s="10">
        <v>46122</v>
      </c>
      <c r="I16" s="10"/>
      <c r="J16" s="10"/>
    </row>
    <row r="17" spans="1:10" ht="14.25" customHeight="1">
      <c r="A17" s="9" t="s">
        <v>40</v>
      </c>
      <c r="B17" s="9" t="s">
        <v>42</v>
      </c>
      <c r="C17" s="9" t="s">
        <v>445</v>
      </c>
      <c r="D17" s="9" t="s">
        <v>446</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224</v>
      </c>
      <c r="C19" s="9" t="s">
        <v>58</v>
      </c>
      <c r="D19" s="9" t="s">
        <v>59</v>
      </c>
      <c r="E19" s="9" t="s">
        <v>60</v>
      </c>
      <c r="F19" s="9"/>
      <c r="G19" s="9"/>
      <c r="H19" s="10">
        <v>46115</v>
      </c>
      <c r="I19" s="10">
        <v>46126</v>
      </c>
      <c r="J19" s="10">
        <v>46126</v>
      </c>
    </row>
    <row r="20" spans="1:10" ht="14.25" customHeight="1">
      <c r="A20" s="9" t="s">
        <v>40</v>
      </c>
      <c r="B20" s="9" t="s">
        <v>206</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446</v>
      </c>
      <c r="E23" s="9" t="s">
        <v>46</v>
      </c>
      <c r="F23" s="9"/>
      <c r="G23" s="9"/>
      <c r="H23" s="10"/>
      <c r="I23" s="10">
        <v>46115</v>
      </c>
      <c r="J23" s="10">
        <v>46115</v>
      </c>
    </row>
    <row r="24" spans="1:10" ht="14.25" customHeight="1">
      <c r="A24" s="9" t="s">
        <v>40</v>
      </c>
      <c r="B24" s="9" t="s">
        <v>224</v>
      </c>
      <c r="C24" s="9" t="s">
        <v>64</v>
      </c>
      <c r="D24" s="9" t="s">
        <v>446</v>
      </c>
      <c r="E24" s="9" t="s">
        <v>46</v>
      </c>
      <c r="F24" s="9"/>
      <c r="G24" s="9"/>
      <c r="H24" s="10">
        <v>46115</v>
      </c>
      <c r="I24" s="10">
        <v>46120</v>
      </c>
      <c r="J24" s="10">
        <v>46120</v>
      </c>
    </row>
    <row r="25" spans="1:10" ht="14.25" customHeight="1">
      <c r="A25" s="9" t="s">
        <v>40</v>
      </c>
      <c r="B25" s="9" t="s">
        <v>206</v>
      </c>
      <c r="C25" s="9" t="s">
        <v>64</v>
      </c>
      <c r="D25" s="9" t="s">
        <v>446</v>
      </c>
      <c r="E25" s="9" t="s">
        <v>46</v>
      </c>
      <c r="F25" s="9"/>
      <c r="G25" s="9"/>
      <c r="H25" s="10">
        <v>46120</v>
      </c>
      <c r="I25" s="10">
        <v>46122</v>
      </c>
      <c r="J25" s="10">
        <v>46122</v>
      </c>
    </row>
    <row r="26" spans="1:10" ht="14.25" customHeight="1">
      <c r="A26" s="9" t="s">
        <v>40</v>
      </c>
      <c r="B26" s="9" t="s">
        <v>187</v>
      </c>
      <c r="C26" s="9" t="s">
        <v>64</v>
      </c>
      <c r="D26" s="9" t="s">
        <v>446</v>
      </c>
      <c r="E26" s="9" t="s">
        <v>46</v>
      </c>
      <c r="F26" s="9"/>
      <c r="G26" s="9"/>
      <c r="H26" s="10">
        <v>46122</v>
      </c>
      <c r="I26" s="10"/>
      <c r="J26" s="10"/>
    </row>
    <row r="27" spans="1:10" ht="14.25" customHeight="1">
      <c r="A27" s="9" t="s">
        <v>40</v>
      </c>
      <c r="B27" s="9" t="s">
        <v>42</v>
      </c>
      <c r="C27" s="9" t="s">
        <v>64</v>
      </c>
      <c r="D27" s="9" t="s">
        <v>446</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224</v>
      </c>
      <c r="C29" s="9" t="s">
        <v>69</v>
      </c>
      <c r="D29" s="9" t="s">
        <v>76</v>
      </c>
      <c r="E29" s="9" t="s">
        <v>60</v>
      </c>
      <c r="F29" s="9"/>
      <c r="G29" s="9"/>
      <c r="H29" s="10">
        <v>46115</v>
      </c>
      <c r="I29" s="10">
        <v>46126</v>
      </c>
      <c r="J29" s="10">
        <v>46126</v>
      </c>
    </row>
    <row r="30" spans="1:10" ht="14.25" customHeight="1">
      <c r="A30" s="9" t="s">
        <v>40</v>
      </c>
      <c r="B30" s="9" t="s">
        <v>206</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446</v>
      </c>
      <c r="E33" s="9" t="s">
        <v>60</v>
      </c>
      <c r="F33" s="9"/>
      <c r="G33" s="9"/>
      <c r="H33" s="10"/>
      <c r="I33" s="10">
        <v>46122</v>
      </c>
      <c r="J33" s="10">
        <v>46122</v>
      </c>
    </row>
    <row r="34" spans="1:10" ht="14.25" customHeight="1">
      <c r="A34" s="9" t="s">
        <v>40</v>
      </c>
      <c r="B34" s="9" t="s">
        <v>224</v>
      </c>
      <c r="C34" s="9" t="s">
        <v>70</v>
      </c>
      <c r="D34" s="9" t="s">
        <v>446</v>
      </c>
      <c r="E34" s="9" t="s">
        <v>60</v>
      </c>
      <c r="F34" s="9"/>
      <c r="G34" s="9"/>
      <c r="H34" s="10">
        <v>46122</v>
      </c>
      <c r="I34" s="10">
        <v>46126</v>
      </c>
      <c r="J34" s="10">
        <v>46126</v>
      </c>
    </row>
    <row r="35" spans="1:10" ht="14.25" customHeight="1">
      <c r="A35" s="9" t="s">
        <v>40</v>
      </c>
      <c r="B35" s="9" t="s">
        <v>206</v>
      </c>
      <c r="C35" s="9" t="s">
        <v>70</v>
      </c>
      <c r="D35" s="9" t="s">
        <v>446</v>
      </c>
      <c r="E35" s="9" t="s">
        <v>60</v>
      </c>
      <c r="F35" s="9"/>
      <c r="G35" s="9"/>
      <c r="H35" s="10">
        <v>46126</v>
      </c>
      <c r="I35" s="10">
        <v>46122</v>
      </c>
      <c r="J35" s="10">
        <v>46122</v>
      </c>
    </row>
    <row r="36" spans="1:10" ht="14.25" customHeight="1">
      <c r="A36" s="9" t="s">
        <v>40</v>
      </c>
      <c r="B36" s="9" t="s">
        <v>187</v>
      </c>
      <c r="C36" s="9" t="s">
        <v>70</v>
      </c>
      <c r="D36" s="9" t="s">
        <v>446</v>
      </c>
      <c r="E36" s="9" t="s">
        <v>60</v>
      </c>
      <c r="F36" s="9"/>
      <c r="G36" s="9"/>
      <c r="H36" s="10">
        <v>46122</v>
      </c>
      <c r="I36" s="10"/>
      <c r="J36" s="10"/>
    </row>
    <row r="37" spans="1:10" ht="14.25" customHeight="1">
      <c r="A37" s="9" t="s">
        <v>40</v>
      </c>
      <c r="B37" s="9" t="s">
        <v>42</v>
      </c>
      <c r="C37" s="9" t="s">
        <v>70</v>
      </c>
      <c r="D37" s="9" t="s">
        <v>446</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224</v>
      </c>
      <c r="C39" s="9" t="s">
        <v>71</v>
      </c>
      <c r="D39" s="9" t="s">
        <v>84</v>
      </c>
      <c r="E39" s="9" t="s">
        <v>60</v>
      </c>
      <c r="F39" s="9"/>
      <c r="G39" s="9"/>
      <c r="H39" s="10">
        <v>46122</v>
      </c>
      <c r="I39" s="10">
        <v>46126</v>
      </c>
      <c r="J39" s="10">
        <v>46126</v>
      </c>
    </row>
    <row r="40" spans="1:10" ht="14.25" customHeight="1">
      <c r="A40" s="9" t="s">
        <v>40</v>
      </c>
      <c r="B40" s="9" t="s">
        <v>206</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224</v>
      </c>
      <c r="C44" s="9" t="s">
        <v>73</v>
      </c>
      <c r="D44" s="9" t="s">
        <v>59</v>
      </c>
      <c r="E44" s="9" t="s">
        <v>60</v>
      </c>
      <c r="F44" s="9"/>
      <c r="G44" s="9"/>
      <c r="H44" s="10">
        <v>46127</v>
      </c>
      <c r="I44" s="10">
        <v>46126</v>
      </c>
      <c r="J44" s="10">
        <v>46126</v>
      </c>
    </row>
    <row r="45" spans="1:10" ht="14.25" customHeight="1">
      <c r="A45" s="9" t="s">
        <v>40</v>
      </c>
      <c r="B45" s="9" t="s">
        <v>206</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446</v>
      </c>
      <c r="E48" s="9" t="s">
        <v>60</v>
      </c>
      <c r="F48" s="9"/>
      <c r="G48" s="9"/>
      <c r="H48" s="10"/>
      <c r="I48" s="10"/>
      <c r="J48" s="10"/>
    </row>
    <row r="49" spans="1:10" ht="14.25" customHeight="1">
      <c r="A49" s="9" t="s">
        <v>40</v>
      </c>
      <c r="B49" s="9" t="s">
        <v>224</v>
      </c>
      <c r="C49" s="9" t="s">
        <v>97</v>
      </c>
      <c r="D49" s="9" t="s">
        <v>446</v>
      </c>
      <c r="E49" s="9" t="s">
        <v>60</v>
      </c>
      <c r="F49" s="9"/>
      <c r="G49" s="9"/>
      <c r="H49" s="10"/>
      <c r="I49" s="10">
        <v>46139</v>
      </c>
      <c r="J49" s="10">
        <v>46139</v>
      </c>
    </row>
    <row r="50" spans="1:10" ht="14.25" customHeight="1">
      <c r="A50" s="9" t="s">
        <v>40</v>
      </c>
      <c r="B50" s="9" t="s">
        <v>206</v>
      </c>
      <c r="C50" s="9" t="s">
        <v>97</v>
      </c>
      <c r="D50" s="9" t="s">
        <v>446</v>
      </c>
      <c r="E50" s="9" t="s">
        <v>60</v>
      </c>
      <c r="F50" s="9"/>
      <c r="G50" s="9"/>
      <c r="H50" s="10">
        <v>46139</v>
      </c>
      <c r="I50" s="10">
        <v>46139</v>
      </c>
      <c r="J50" s="10">
        <v>46139</v>
      </c>
    </row>
    <row r="51" spans="1:10" ht="14.25" customHeight="1">
      <c r="A51" s="9" t="s">
        <v>40</v>
      </c>
      <c r="B51" s="9" t="s">
        <v>187</v>
      </c>
      <c r="C51" s="9" t="s">
        <v>97</v>
      </c>
      <c r="D51" s="9" t="s">
        <v>446</v>
      </c>
      <c r="E51" s="9" t="s">
        <v>60</v>
      </c>
      <c r="F51" s="9"/>
      <c r="G51" s="9"/>
      <c r="H51" s="10">
        <v>46139</v>
      </c>
      <c r="I51" s="10"/>
      <c r="J51" s="10"/>
    </row>
    <row r="52" spans="1:10" ht="14.25" customHeight="1">
      <c r="A52" s="9" t="s">
        <v>40</v>
      </c>
      <c r="B52" s="9" t="s">
        <v>42</v>
      </c>
      <c r="C52" s="9" t="s">
        <v>97</v>
      </c>
      <c r="D52" s="9" t="s">
        <v>446</v>
      </c>
      <c r="E52" s="9" t="s">
        <v>60</v>
      </c>
      <c r="F52" s="9"/>
      <c r="G52" s="9"/>
      <c r="H52" s="10"/>
      <c r="I52" s="10"/>
      <c r="J52" s="10"/>
    </row>
    <row r="53" spans="1:10" ht="14.25" customHeight="1">
      <c r="A53" s="9" t="s">
        <v>40</v>
      </c>
      <c r="B53" s="9" t="s">
        <v>264</v>
      </c>
      <c r="C53" s="9" t="s">
        <v>98</v>
      </c>
      <c r="D53" s="9" t="s">
        <v>446</v>
      </c>
      <c r="E53" s="9" t="s">
        <v>60</v>
      </c>
      <c r="F53" s="9"/>
      <c r="G53" s="9"/>
      <c r="H53" s="10"/>
      <c r="I53" s="10"/>
      <c r="J53" s="10"/>
    </row>
    <row r="54" spans="1:10" ht="14.25" customHeight="1">
      <c r="A54" s="9" t="s">
        <v>40</v>
      </c>
      <c r="B54" s="9" t="s">
        <v>224</v>
      </c>
      <c r="C54" s="9" t="s">
        <v>98</v>
      </c>
      <c r="D54" s="9" t="s">
        <v>446</v>
      </c>
      <c r="E54" s="9" t="s">
        <v>60</v>
      </c>
      <c r="F54" s="9"/>
      <c r="G54" s="9"/>
      <c r="H54" s="9"/>
      <c r="I54" s="10">
        <v>46141</v>
      </c>
      <c r="J54" s="10">
        <v>46141</v>
      </c>
    </row>
    <row r="55" spans="1:10" ht="14.25" customHeight="1">
      <c r="A55" s="9" t="s">
        <v>40</v>
      </c>
      <c r="B55" s="9" t="s">
        <v>206</v>
      </c>
      <c r="C55" s="9" t="s">
        <v>98</v>
      </c>
      <c r="D55" s="9" t="s">
        <v>446</v>
      </c>
      <c r="E55" s="9" t="s">
        <v>60</v>
      </c>
      <c r="F55" s="9"/>
      <c r="G55" s="9"/>
      <c r="H55" s="10">
        <v>46141</v>
      </c>
      <c r="I55" s="10">
        <v>46141</v>
      </c>
      <c r="J55" s="10">
        <v>46141</v>
      </c>
    </row>
    <row r="56" spans="1:10" ht="14.25" customHeight="1">
      <c r="A56" s="9" t="s">
        <v>40</v>
      </c>
      <c r="B56" s="9" t="s">
        <v>187</v>
      </c>
      <c r="C56" s="9" t="s">
        <v>98</v>
      </c>
      <c r="D56" s="9" t="s">
        <v>446</v>
      </c>
      <c r="E56" s="9" t="s">
        <v>60</v>
      </c>
      <c r="F56" s="9"/>
      <c r="G56" s="9"/>
      <c r="H56" s="10">
        <v>46141</v>
      </c>
      <c r="I56" s="10"/>
      <c r="J56" s="10"/>
    </row>
    <row r="57" spans="1:10" ht="14.25" customHeight="1">
      <c r="A57" s="9" t="s">
        <v>40</v>
      </c>
      <c r="B57" s="9" t="s">
        <v>42</v>
      </c>
      <c r="C57" s="9" t="s">
        <v>98</v>
      </c>
      <c r="D57" s="9" t="s">
        <v>446</v>
      </c>
      <c r="E57" s="9" t="s">
        <v>60</v>
      </c>
      <c r="F57" s="9"/>
      <c r="G57" s="9"/>
      <c r="H57" s="10"/>
      <c r="I57" s="10"/>
      <c r="J57" s="10"/>
    </row>
    <row r="58" spans="1:10" ht="14.25" customHeight="1">
      <c r="A58" s="9" t="s">
        <v>40</v>
      </c>
      <c r="B58" s="9" t="s">
        <v>264</v>
      </c>
      <c r="C58" s="9" t="s">
        <v>99</v>
      </c>
      <c r="D58" s="9" t="s">
        <v>446</v>
      </c>
      <c r="E58" s="9" t="s">
        <v>46</v>
      </c>
      <c r="F58" s="9"/>
      <c r="G58" s="9"/>
      <c r="H58" s="9"/>
      <c r="I58" s="10"/>
      <c r="J58" s="10"/>
    </row>
    <row r="59" spans="1:10" ht="14.25" customHeight="1">
      <c r="A59" s="9" t="s">
        <v>40</v>
      </c>
      <c r="B59" s="9" t="s">
        <v>224</v>
      </c>
      <c r="C59" s="9" t="s">
        <v>99</v>
      </c>
      <c r="D59" s="9" t="s">
        <v>446</v>
      </c>
      <c r="E59" s="9" t="s">
        <v>46</v>
      </c>
      <c r="F59" s="9"/>
      <c r="G59" s="9"/>
      <c r="H59" s="10"/>
      <c r="I59" s="10">
        <v>46161</v>
      </c>
      <c r="J59" s="10">
        <v>46161</v>
      </c>
    </row>
    <row r="60" spans="1:10" ht="14.25" customHeight="1">
      <c r="A60" s="9" t="s">
        <v>40</v>
      </c>
      <c r="B60" s="9" t="s">
        <v>206</v>
      </c>
      <c r="C60" s="9" t="s">
        <v>99</v>
      </c>
      <c r="D60" s="9" t="s">
        <v>446</v>
      </c>
      <c r="E60" s="9" t="s">
        <v>46</v>
      </c>
      <c r="F60" s="9"/>
      <c r="G60" s="9"/>
      <c r="H60" s="10">
        <v>46161</v>
      </c>
      <c r="I60" s="10">
        <v>46161</v>
      </c>
      <c r="J60" s="10">
        <v>46161</v>
      </c>
    </row>
    <row r="61" spans="1:10" ht="14.25" customHeight="1">
      <c r="A61" s="9" t="s">
        <v>40</v>
      </c>
      <c r="B61" s="9" t="s">
        <v>187</v>
      </c>
      <c r="C61" s="9" t="s">
        <v>99</v>
      </c>
      <c r="D61" s="9" t="s">
        <v>446</v>
      </c>
      <c r="E61" s="9" t="s">
        <v>46</v>
      </c>
      <c r="F61" s="9"/>
      <c r="G61" s="9"/>
      <c r="H61" s="10">
        <v>46161</v>
      </c>
      <c r="I61" s="10"/>
      <c r="J61" s="10"/>
    </row>
    <row r="62" spans="1:10" ht="14.25" customHeight="1">
      <c r="A62" s="9" t="s">
        <v>40</v>
      </c>
      <c r="B62" s="9" t="s">
        <v>42</v>
      </c>
      <c r="C62" s="9" t="s">
        <v>99</v>
      </c>
      <c r="D62" s="9" t="s">
        <v>446</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224</v>
      </c>
      <c r="C64" s="9" t="s">
        <v>100</v>
      </c>
      <c r="D64" s="9" t="s">
        <v>103</v>
      </c>
      <c r="E64" s="9" t="s">
        <v>46</v>
      </c>
      <c r="F64" s="9"/>
      <c r="G64" s="9"/>
      <c r="H64" s="10"/>
      <c r="I64" s="10">
        <v>46175</v>
      </c>
      <c r="J64" s="10">
        <v>46175</v>
      </c>
    </row>
    <row r="65" spans="1:10" ht="14.25" customHeight="1">
      <c r="A65" s="9" t="s">
        <v>40</v>
      </c>
      <c r="B65" s="9" t="s">
        <v>206</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224</v>
      </c>
      <c r="C69" s="9" t="s">
        <v>74</v>
      </c>
      <c r="D69" s="9" t="s">
        <v>76</v>
      </c>
      <c r="E69" s="9" t="s">
        <v>77</v>
      </c>
      <c r="F69" s="9"/>
      <c r="G69" s="9"/>
      <c r="H69" s="9"/>
      <c r="I69" s="10">
        <v>46134</v>
      </c>
      <c r="J69" s="10">
        <v>46134</v>
      </c>
    </row>
    <row r="70" spans="1:10" ht="14.25" customHeight="1">
      <c r="A70" s="9" t="s">
        <v>40</v>
      </c>
      <c r="B70" s="9" t="s">
        <v>206</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224</v>
      </c>
      <c r="C74" s="9" t="s">
        <v>80</v>
      </c>
      <c r="D74" s="9" t="s">
        <v>59</v>
      </c>
      <c r="E74" s="9" t="s">
        <v>77</v>
      </c>
      <c r="F74" s="9"/>
      <c r="G74" s="9"/>
      <c r="H74" s="10"/>
      <c r="I74" s="10">
        <v>46139</v>
      </c>
      <c r="J74" s="10">
        <v>46139</v>
      </c>
    </row>
    <row r="75" spans="1:10" ht="14.25" customHeight="1">
      <c r="A75" s="9" t="s">
        <v>40</v>
      </c>
      <c r="B75" s="9" t="s">
        <v>206</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224</v>
      </c>
      <c r="C79" s="9" t="s">
        <v>83</v>
      </c>
      <c r="D79" s="9" t="s">
        <v>84</v>
      </c>
      <c r="E79" s="9" t="s">
        <v>60</v>
      </c>
      <c r="F79" s="9"/>
      <c r="G79" s="9"/>
      <c r="H79" s="9"/>
      <c r="I79" s="10">
        <v>46147</v>
      </c>
      <c r="J79" s="10">
        <v>46147</v>
      </c>
    </row>
    <row r="80" spans="1:10" ht="14.25" customHeight="1">
      <c r="A80" s="9" t="s">
        <v>40</v>
      </c>
      <c r="B80" s="9" t="s">
        <v>206</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224</v>
      </c>
      <c r="C84" s="9" t="s">
        <v>87</v>
      </c>
      <c r="D84" s="9" t="s">
        <v>84</v>
      </c>
      <c r="E84" s="9" t="s">
        <v>46</v>
      </c>
      <c r="F84" s="9"/>
      <c r="G84" s="9"/>
      <c r="H84" s="10"/>
      <c r="I84" s="10">
        <v>46175</v>
      </c>
      <c r="J84" s="10">
        <v>46175</v>
      </c>
    </row>
    <row r="85" spans="1:10" ht="14.25" customHeight="1">
      <c r="A85" s="9" t="s">
        <v>40</v>
      </c>
      <c r="B85" s="9" t="s">
        <v>206</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224</v>
      </c>
      <c r="C89" s="9" t="s">
        <v>90</v>
      </c>
      <c r="D89" s="9" t="s">
        <v>44</v>
      </c>
      <c r="E89" s="9" t="s">
        <v>60</v>
      </c>
      <c r="F89" s="9"/>
      <c r="G89" s="9"/>
      <c r="H89" s="9"/>
      <c r="I89" s="10">
        <v>46143</v>
      </c>
      <c r="J89" s="10">
        <v>46143</v>
      </c>
    </row>
    <row r="90" spans="1:10" ht="14.25" customHeight="1">
      <c r="A90" s="9" t="s">
        <v>40</v>
      </c>
      <c r="B90" s="9" t="s">
        <v>206</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224</v>
      </c>
      <c r="C94" s="9" t="s">
        <v>93</v>
      </c>
      <c r="D94" s="9" t="s">
        <v>44</v>
      </c>
      <c r="E94" s="9" t="s">
        <v>77</v>
      </c>
      <c r="F94" s="9"/>
      <c r="G94" s="9"/>
      <c r="H94" s="10">
        <v>46175</v>
      </c>
      <c r="I94" s="10">
        <v>46178</v>
      </c>
      <c r="J94" s="10">
        <v>46178</v>
      </c>
    </row>
    <row r="95" spans="1:10" ht="14.25" customHeight="1">
      <c r="A95" s="9" t="s">
        <v>40</v>
      </c>
      <c r="B95" s="9" t="s">
        <v>206</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224</v>
      </c>
      <c r="C99" s="9" t="s">
        <v>101</v>
      </c>
      <c r="D99" s="9" t="s">
        <v>103</v>
      </c>
      <c r="E99" s="9" t="s">
        <v>60</v>
      </c>
      <c r="F99" s="9"/>
      <c r="G99" s="9"/>
      <c r="H99" s="10">
        <v>46148</v>
      </c>
      <c r="I99" s="10">
        <v>46183</v>
      </c>
      <c r="J99" s="10">
        <v>46183</v>
      </c>
    </row>
    <row r="100" spans="1:10" ht="14.25" customHeight="1">
      <c r="A100" s="9" t="s">
        <v>40</v>
      </c>
      <c r="B100" s="9" t="s">
        <v>206</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224</v>
      </c>
      <c r="C104" s="9" t="s">
        <v>105</v>
      </c>
      <c r="D104" s="9" t="s">
        <v>103</v>
      </c>
      <c r="E104" s="9" t="s">
        <v>77</v>
      </c>
      <c r="F104" s="9"/>
      <c r="G104" s="9"/>
      <c r="H104" s="10">
        <v>46162</v>
      </c>
      <c r="I104" s="10">
        <v>46182</v>
      </c>
      <c r="J104" s="10">
        <v>46182</v>
      </c>
    </row>
    <row r="105" spans="1:10" ht="14.25" customHeight="1">
      <c r="A105" s="9" t="s">
        <v>40</v>
      </c>
      <c r="B105" s="9" t="s">
        <v>206</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224</v>
      </c>
      <c r="C109" s="9" t="s">
        <v>108</v>
      </c>
      <c r="D109" s="9" t="s">
        <v>44</v>
      </c>
      <c r="E109" s="9" t="s">
        <v>60</v>
      </c>
      <c r="F109" s="9"/>
      <c r="G109" s="9"/>
      <c r="H109" s="10">
        <v>46168</v>
      </c>
      <c r="I109" s="10">
        <v>46183</v>
      </c>
      <c r="J109" s="10">
        <v>46183</v>
      </c>
    </row>
    <row r="110" spans="1:10" ht="14.25" customHeight="1">
      <c r="A110" s="9" t="s">
        <v>40</v>
      </c>
      <c r="B110" s="9" t="s">
        <v>206</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224</v>
      </c>
      <c r="C114" s="9" t="s">
        <v>109</v>
      </c>
      <c r="D114" s="9" t="s">
        <v>44</v>
      </c>
      <c r="E114" s="9" t="s">
        <v>60</v>
      </c>
      <c r="F114" s="9"/>
      <c r="G114" s="9"/>
      <c r="H114" s="10">
        <v>46165</v>
      </c>
      <c r="I114" s="10">
        <v>46153</v>
      </c>
      <c r="J114" s="10">
        <v>46153</v>
      </c>
    </row>
    <row r="115" spans="1:10" ht="14.25" customHeight="1">
      <c r="A115" s="9" t="s">
        <v>40</v>
      </c>
      <c r="B115" s="9" t="s">
        <v>206</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224</v>
      </c>
      <c r="C119" s="9" t="s">
        <v>113</v>
      </c>
      <c r="D119" s="9" t="s">
        <v>59</v>
      </c>
      <c r="E119" s="9" t="s">
        <v>46</v>
      </c>
      <c r="F119" s="9"/>
      <c r="G119" s="9"/>
      <c r="H119" s="10">
        <v>46162</v>
      </c>
      <c r="I119" s="10">
        <v>46186</v>
      </c>
      <c r="J119" s="10">
        <v>46186</v>
      </c>
    </row>
    <row r="120" spans="1:10" ht="14.25" customHeight="1">
      <c r="A120" s="9" t="s">
        <v>40</v>
      </c>
      <c r="B120" s="9" t="s">
        <v>206</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224</v>
      </c>
      <c r="C122" s="9" t="s">
        <v>116</v>
      </c>
      <c r="D122" s="9" t="s">
        <v>59</v>
      </c>
      <c r="E122" s="9" t="s">
        <v>77</v>
      </c>
      <c r="F122" s="9"/>
      <c r="G122" s="9"/>
      <c r="H122" s="10">
        <v>46162</v>
      </c>
      <c r="I122" s="10">
        <v>46164</v>
      </c>
      <c r="J122" s="10">
        <v>46164</v>
      </c>
    </row>
    <row r="123" spans="1:10" ht="14.25" customHeight="1">
      <c r="A123" s="9" t="s">
        <v>40</v>
      </c>
      <c r="B123" s="9" t="s">
        <v>206</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224</v>
      </c>
      <c r="C127" s="9" t="s">
        <v>117</v>
      </c>
      <c r="D127" s="9" t="s">
        <v>65</v>
      </c>
      <c r="E127" s="9" t="s">
        <v>60</v>
      </c>
      <c r="F127" s="9"/>
      <c r="G127" s="9"/>
      <c r="H127" s="10">
        <v>46169</v>
      </c>
      <c r="I127" s="10">
        <v>46191</v>
      </c>
      <c r="J127" s="10">
        <v>46191</v>
      </c>
    </row>
    <row r="128" spans="1:10" ht="14.25" customHeight="1">
      <c r="A128" s="9" t="s">
        <v>40</v>
      </c>
      <c r="B128" s="9" t="s">
        <v>206</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224</v>
      </c>
      <c r="C132" s="9" t="s">
        <v>121</v>
      </c>
      <c r="D132" s="9" t="s">
        <v>103</v>
      </c>
      <c r="E132" s="9" t="s">
        <v>77</v>
      </c>
      <c r="F132" s="9"/>
      <c r="G132" s="9"/>
      <c r="H132" s="10">
        <v>46168</v>
      </c>
      <c r="I132" s="10">
        <v>46189</v>
      </c>
      <c r="J132" s="10">
        <v>46189</v>
      </c>
    </row>
    <row r="133" spans="1:10" ht="14.25" customHeight="1">
      <c r="A133" s="9" t="s">
        <v>40</v>
      </c>
      <c r="B133" s="9" t="s">
        <v>206</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224</v>
      </c>
      <c r="C137" s="9" t="s">
        <v>123</v>
      </c>
      <c r="D137" s="9" t="s">
        <v>84</v>
      </c>
      <c r="E137" s="9" t="s">
        <v>77</v>
      </c>
      <c r="F137" s="9"/>
      <c r="G137" s="9"/>
      <c r="H137" s="10">
        <v>46169</v>
      </c>
      <c r="I137" s="10">
        <v>46195</v>
      </c>
      <c r="J137" s="10">
        <v>46195</v>
      </c>
    </row>
    <row r="138" spans="1:10" ht="14.25" customHeight="1">
      <c r="A138" s="9" t="s">
        <v>40</v>
      </c>
      <c r="B138" s="9" t="s">
        <v>206</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224</v>
      </c>
      <c r="C142" s="9" t="s">
        <v>127</v>
      </c>
      <c r="D142" s="9" t="s">
        <v>76</v>
      </c>
      <c r="E142" s="9" t="s">
        <v>60</v>
      </c>
      <c r="F142" s="9"/>
      <c r="G142" s="9" t="s">
        <v>129</v>
      </c>
      <c r="H142" s="9"/>
      <c r="I142" s="10">
        <v>46213</v>
      </c>
      <c r="J142" s="10">
        <v>46213</v>
      </c>
    </row>
    <row r="143" spans="1:10" ht="14.25" customHeight="1">
      <c r="A143" s="9" t="s">
        <v>126</v>
      </c>
      <c r="B143" s="9" t="s">
        <v>206</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224</v>
      </c>
      <c r="C145" s="9" t="s">
        <v>135</v>
      </c>
      <c r="D145" s="9" t="s">
        <v>65</v>
      </c>
      <c r="E145" s="9" t="s">
        <v>77</v>
      </c>
      <c r="F145" s="9"/>
      <c r="G145" s="9" t="s">
        <v>129</v>
      </c>
      <c r="H145" s="9"/>
      <c r="I145" s="10">
        <v>46218</v>
      </c>
      <c r="J145" s="10">
        <v>46218</v>
      </c>
    </row>
    <row r="146" spans="1:10" ht="14.25" customHeight="1">
      <c r="A146" s="9" t="s">
        <v>126</v>
      </c>
      <c r="B146" s="9" t="s">
        <v>206</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224</v>
      </c>
      <c r="C148" s="9" t="s">
        <v>137</v>
      </c>
      <c r="D148" s="9" t="s">
        <v>65</v>
      </c>
      <c r="E148" s="9" t="s">
        <v>77</v>
      </c>
      <c r="F148" s="9"/>
      <c r="G148" s="9" t="s">
        <v>129</v>
      </c>
      <c r="H148" s="9"/>
      <c r="I148" s="10">
        <v>46225</v>
      </c>
      <c r="J148" s="10">
        <v>46225</v>
      </c>
    </row>
    <row r="149" spans="1:10" ht="14.25" customHeight="1">
      <c r="A149" s="9" t="s">
        <v>126</v>
      </c>
      <c r="B149" s="9" t="s">
        <v>206</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224</v>
      </c>
      <c r="C151" s="9" t="s">
        <v>139</v>
      </c>
      <c r="D151" s="9" t="s">
        <v>59</v>
      </c>
      <c r="E151" s="9" t="s">
        <v>46</v>
      </c>
      <c r="F151" s="9"/>
      <c r="G151" s="9" t="s">
        <v>129</v>
      </c>
      <c r="H151" s="9"/>
      <c r="I151" s="10">
        <v>46227</v>
      </c>
      <c r="J151" s="10">
        <v>46227</v>
      </c>
    </row>
    <row r="152" spans="1:10" ht="14.25" customHeight="1">
      <c r="A152" s="9" t="s">
        <v>126</v>
      </c>
      <c r="B152" s="9" t="s">
        <v>206</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224</v>
      </c>
      <c r="C154" s="9" t="s">
        <v>141</v>
      </c>
      <c r="D154" s="9" t="s">
        <v>103</v>
      </c>
      <c r="E154" s="9" t="s">
        <v>77</v>
      </c>
      <c r="F154" s="9"/>
      <c r="G154" s="9" t="s">
        <v>129</v>
      </c>
      <c r="H154" s="9"/>
      <c r="I154" s="10">
        <v>46216</v>
      </c>
      <c r="J154" s="10">
        <v>46216</v>
      </c>
    </row>
    <row r="155" spans="1:10" ht="14.25" customHeight="1">
      <c r="A155" s="9" t="s">
        <v>126</v>
      </c>
      <c r="B155" s="9" t="s">
        <v>206</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224</v>
      </c>
      <c r="C159" s="3" t="s">
        <v>149</v>
      </c>
      <c r="D159" s="3" t="s">
        <v>65</v>
      </c>
      <c r="E159" s="3" t="s">
        <v>46</v>
      </c>
      <c r="F159" s="3"/>
      <c r="G159" s="3" t="s">
        <v>144</v>
      </c>
      <c r="H159" s="3"/>
      <c r="I159" s="4">
        <v>46221</v>
      </c>
      <c r="J159" s="4">
        <v>46221</v>
      </c>
    </row>
    <row r="160" spans="1:10">
      <c r="A160" s="3" t="s">
        <v>126</v>
      </c>
      <c r="B160" s="3" t="s">
        <v>206</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224</v>
      </c>
      <c r="C162" s="3" t="s">
        <v>150</v>
      </c>
      <c r="D162" s="3" t="s">
        <v>84</v>
      </c>
      <c r="E162" s="3" t="s">
        <v>60</v>
      </c>
      <c r="F162" s="3"/>
      <c r="G162" s="3" t="s">
        <v>144</v>
      </c>
      <c r="H162" s="3"/>
      <c r="I162" s="4">
        <v>46220</v>
      </c>
      <c r="J162" s="4">
        <v>46220</v>
      </c>
    </row>
    <row r="163" spans="1:10">
      <c r="A163" s="3" t="s">
        <v>126</v>
      </c>
      <c r="B163" s="3" t="s">
        <v>206</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224</v>
      </c>
      <c r="C165" s="3" t="s">
        <v>153</v>
      </c>
      <c r="D165" s="3" t="s">
        <v>155</v>
      </c>
      <c r="E165" s="3" t="s">
        <v>60</v>
      </c>
      <c r="F165" s="3"/>
      <c r="G165" s="3" t="s">
        <v>144</v>
      </c>
      <c r="H165" s="3"/>
      <c r="I165" s="4">
        <v>46224</v>
      </c>
      <c r="J165" s="4">
        <v>46224</v>
      </c>
    </row>
    <row r="166" spans="1:10">
      <c r="A166" s="3" t="s">
        <v>126</v>
      </c>
      <c r="B166" s="3" t="s">
        <v>206</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224</v>
      </c>
      <c r="C168" s="3" t="s">
        <v>156</v>
      </c>
      <c r="D168" s="3" t="s">
        <v>155</v>
      </c>
      <c r="E168" s="3" t="s">
        <v>77</v>
      </c>
      <c r="F168" s="3"/>
      <c r="G168" s="3" t="s">
        <v>144</v>
      </c>
      <c r="H168" s="3"/>
      <c r="I168" s="4">
        <v>46225</v>
      </c>
      <c r="J168" s="4">
        <v>46225</v>
      </c>
    </row>
    <row r="169" spans="1:10">
      <c r="A169" s="3" t="s">
        <v>126</v>
      </c>
      <c r="B169" s="3" t="s">
        <v>206</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224</v>
      </c>
      <c r="C171" s="3" t="s">
        <v>157</v>
      </c>
      <c r="D171" s="3" t="s">
        <v>76</v>
      </c>
      <c r="E171" s="3" t="s">
        <v>46</v>
      </c>
      <c r="F171" s="3"/>
      <c r="G171" s="3" t="s">
        <v>129</v>
      </c>
      <c r="H171" s="3"/>
      <c r="I171" s="4">
        <v>46226</v>
      </c>
      <c r="J171" s="4">
        <v>46226</v>
      </c>
    </row>
    <row r="172" spans="1:10">
      <c r="A172" s="3" t="s">
        <v>126</v>
      </c>
      <c r="B172" s="3" t="s">
        <v>206</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224</v>
      </c>
      <c r="C174" s="3" t="s">
        <v>159</v>
      </c>
      <c r="D174" s="3" t="s">
        <v>59</v>
      </c>
      <c r="E174" s="3" t="s">
        <v>60</v>
      </c>
      <c r="F174" s="3"/>
      <c r="G174" s="3" t="s">
        <v>129</v>
      </c>
      <c r="H174" s="3"/>
      <c r="I174" s="4">
        <v>46225</v>
      </c>
      <c r="J174" s="4">
        <v>46225</v>
      </c>
    </row>
    <row r="175" spans="1:10">
      <c r="A175" s="3" t="s">
        <v>126</v>
      </c>
      <c r="B175" s="3" t="s">
        <v>206</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224</v>
      </c>
      <c r="C177" s="3" t="s">
        <v>161</v>
      </c>
      <c r="D177" s="3" t="s">
        <v>76</v>
      </c>
      <c r="E177" s="3" t="s">
        <v>77</v>
      </c>
      <c r="F177" s="3"/>
      <c r="G177" s="3" t="s">
        <v>144</v>
      </c>
      <c r="H177" s="3"/>
      <c r="I177" s="4">
        <v>46225</v>
      </c>
      <c r="J177" s="4">
        <v>46225</v>
      </c>
    </row>
    <row r="178" spans="1:10">
      <c r="A178" s="3" t="s">
        <v>126</v>
      </c>
      <c r="B178" s="3" t="s">
        <v>206</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224</v>
      </c>
      <c r="C180" s="3" t="s">
        <v>164</v>
      </c>
      <c r="D180" s="3" t="s">
        <v>103</v>
      </c>
      <c r="E180" s="3"/>
      <c r="F180" s="3"/>
      <c r="G180" s="3"/>
      <c r="H180" s="3"/>
      <c r="I180" s="3"/>
      <c r="J180" s="3"/>
    </row>
    <row r="181" spans="1:10">
      <c r="A181" s="3" t="s">
        <v>126</v>
      </c>
      <c r="B181" s="3" t="s">
        <v>206</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224</v>
      </c>
      <c r="C183" s="3" t="s">
        <v>175</v>
      </c>
      <c r="D183" s="3" t="s">
        <v>84</v>
      </c>
      <c r="E183" s="3"/>
      <c r="F183" s="3"/>
      <c r="G183" s="3"/>
      <c r="H183" s="3"/>
      <c r="I183" s="3"/>
      <c r="J183" s="3"/>
    </row>
    <row r="184" spans="1:10">
      <c r="A184" s="3" t="s">
        <v>126</v>
      </c>
      <c r="B184" s="3" t="s">
        <v>206</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447</v>
      </c>
      <c r="F1" s="1" t="s">
        <v>346</v>
      </c>
      <c r="G1" s="5" t="s">
        <v>448</v>
      </c>
      <c r="H1" s="5" t="s">
        <v>20</v>
      </c>
      <c r="I1" t="s">
        <v>35</v>
      </c>
      <c r="J1" s="5" t="s">
        <v>449</v>
      </c>
      <c r="K1" s="5" t="s">
        <v>187</v>
      </c>
      <c r="L1" s="5" t="s">
        <v>363</v>
      </c>
      <c r="M1" s="1" t="s">
        <v>450</v>
      </c>
      <c r="N1" s="1" t="s">
        <v>451</v>
      </c>
      <c r="R1" t="s">
        <v>13</v>
      </c>
      <c r="T1" t="s">
        <v>452</v>
      </c>
    </row>
    <row r="2" spans="1:20" ht="13.5" customHeight="1">
      <c r="A2" s="2" t="s">
        <v>453</v>
      </c>
      <c r="B2" s="2" t="s">
        <v>454</v>
      </c>
      <c r="C2" s="2" t="s">
        <v>455</v>
      </c>
      <c r="D2" s="2" t="s">
        <v>456</v>
      </c>
      <c r="E2" s="2" t="s">
        <v>457</v>
      </c>
      <c r="F2" s="2" t="s">
        <v>458</v>
      </c>
      <c r="G2" t="s">
        <v>459</v>
      </c>
      <c r="H2" t="s">
        <v>460</v>
      </c>
      <c r="I2" t="s">
        <v>461</v>
      </c>
      <c r="J2" s="29" t="s">
        <v>462</v>
      </c>
      <c r="K2" s="29" t="s">
        <v>463</v>
      </c>
      <c r="L2" s="29" t="s">
        <v>464</v>
      </c>
      <c r="M2" t="s">
        <v>144</v>
      </c>
      <c r="N2" t="s">
        <v>465</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466</v>
      </c>
      <c r="R3" t="s">
        <v>45</v>
      </c>
      <c r="T3" t="s">
        <v>94</v>
      </c>
    </row>
    <row r="4" spans="1:20" ht="15" customHeight="1">
      <c r="A4" t="s">
        <v>126</v>
      </c>
      <c r="B4" t="s">
        <v>59</v>
      </c>
      <c r="C4" t="s">
        <v>46</v>
      </c>
      <c r="D4" t="s">
        <v>144</v>
      </c>
      <c r="E4" t="s">
        <v>53</v>
      </c>
      <c r="F4" t="s">
        <v>264</v>
      </c>
      <c r="G4" t="s">
        <v>59</v>
      </c>
      <c r="H4" t="s">
        <v>88</v>
      </c>
      <c r="I4" t="s">
        <v>207</v>
      </c>
      <c r="J4" t="s">
        <v>224</v>
      </c>
      <c r="L4" t="s">
        <v>50</v>
      </c>
      <c r="M4" t="s">
        <v>103</v>
      </c>
      <c r="N4" t="s">
        <v>467</v>
      </c>
      <c r="R4" t="s">
        <v>468</v>
      </c>
      <c r="T4" t="s">
        <v>72</v>
      </c>
    </row>
    <row r="5" spans="1:20" ht="15" customHeight="1">
      <c r="A5" t="s">
        <v>337</v>
      </c>
      <c r="B5" t="s">
        <v>446</v>
      </c>
      <c r="C5" t="s">
        <v>77</v>
      </c>
      <c r="F5" t="s">
        <v>224</v>
      </c>
      <c r="G5" t="s">
        <v>446</v>
      </c>
      <c r="H5" t="s">
        <v>129</v>
      </c>
      <c r="I5" t="s">
        <v>255</v>
      </c>
      <c r="J5" t="s">
        <v>206</v>
      </c>
      <c r="L5" t="s">
        <v>469</v>
      </c>
      <c r="M5" t="s">
        <v>88</v>
      </c>
      <c r="N5" t="s">
        <v>470</v>
      </c>
    </row>
    <row r="6" spans="1:20" ht="15" customHeight="1">
      <c r="A6" t="s">
        <v>312</v>
      </c>
      <c r="B6" t="s">
        <v>84</v>
      </c>
      <c r="F6" t="s">
        <v>206</v>
      </c>
      <c r="G6" t="s">
        <v>84</v>
      </c>
      <c r="H6" t="s">
        <v>144</v>
      </c>
      <c r="I6" t="s">
        <v>471</v>
      </c>
      <c r="J6" t="s">
        <v>187</v>
      </c>
      <c r="M6" t="s">
        <v>48</v>
      </c>
      <c r="N6" t="s">
        <v>470</v>
      </c>
    </row>
    <row r="7" spans="1:20" ht="15" customHeight="1">
      <c r="A7" t="s">
        <v>303</v>
      </c>
      <c r="B7" t="s">
        <v>65</v>
      </c>
      <c r="F7" t="s">
        <v>187</v>
      </c>
      <c r="G7" t="s">
        <v>65</v>
      </c>
      <c r="H7" t="s">
        <v>201</v>
      </c>
      <c r="I7" t="s">
        <v>472</v>
      </c>
      <c r="M7" t="s">
        <v>129</v>
      </c>
      <c r="N7" t="s">
        <v>473</v>
      </c>
    </row>
    <row r="8" spans="1:20" ht="15" customHeight="1">
      <c r="B8" t="s">
        <v>76</v>
      </c>
      <c r="F8" t="s">
        <v>128</v>
      </c>
      <c r="G8" t="s">
        <v>76</v>
      </c>
      <c r="I8" t="s">
        <v>171</v>
      </c>
      <c r="M8" t="s">
        <v>60</v>
      </c>
      <c r="N8" t="s">
        <v>474</v>
      </c>
    </row>
    <row r="9" spans="1:20" ht="15" customHeight="1">
      <c r="B9" t="s">
        <v>103</v>
      </c>
      <c r="F9" t="s">
        <v>42</v>
      </c>
      <c r="G9" t="s">
        <v>103</v>
      </c>
      <c r="I9" t="s">
        <v>133</v>
      </c>
      <c r="M9" t="s">
        <v>155</v>
      </c>
      <c r="N9" t="s">
        <v>475</v>
      </c>
    </row>
    <row r="10" spans="1:20" ht="15" customHeight="1">
      <c r="B10" t="s">
        <v>155</v>
      </c>
      <c r="G10" t="s">
        <v>155</v>
      </c>
      <c r="I10" t="s">
        <v>476</v>
      </c>
      <c r="M10" t="s">
        <v>47</v>
      </c>
      <c r="N10" t="s">
        <v>477</v>
      </c>
    </row>
    <row r="11" spans="1:20">
      <c r="B11" t="s">
        <v>478</v>
      </c>
      <c r="G11" t="s">
        <v>60</v>
      </c>
      <c r="M11" t="s">
        <v>76</v>
      </c>
      <c r="N11" t="s">
        <v>479</v>
      </c>
    </row>
    <row r="12" spans="1:20">
      <c r="B12" t="s">
        <v>480</v>
      </c>
      <c r="G12" t="s">
        <v>46</v>
      </c>
      <c r="M12" t="s">
        <v>46</v>
      </c>
      <c r="N12" t="s">
        <v>481</v>
      </c>
    </row>
    <row r="13" spans="1:20">
      <c r="G13" t="s">
        <v>77</v>
      </c>
      <c r="M13" t="s">
        <v>77</v>
      </c>
      <c r="N13" t="s">
        <v>482</v>
      </c>
    </row>
    <row r="14" spans="1:20">
      <c r="M14" t="s">
        <v>84</v>
      </c>
      <c r="N14" t="s">
        <v>483</v>
      </c>
    </row>
    <row r="15" spans="1:20">
      <c r="M15" t="s">
        <v>59</v>
      </c>
      <c r="N15" t="s">
        <v>484</v>
      </c>
    </row>
    <row r="16" spans="1:20">
      <c r="M16" t="s">
        <v>65</v>
      </c>
      <c r="N16" t="s">
        <v>485</v>
      </c>
    </row>
    <row r="17" spans="13:14">
      <c r="M17" t="s">
        <v>446</v>
      </c>
      <c r="N17" t="s">
        <v>485</v>
      </c>
    </row>
    <row r="18" spans="13:14">
      <c r="M18" t="s">
        <v>230</v>
      </c>
      <c r="N18" t="s">
        <v>486</v>
      </c>
    </row>
    <row r="19" spans="13:14">
      <c r="M19" t="s">
        <v>201</v>
      </c>
      <c r="N19" t="s">
        <v>487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488</v>
      </c>
      <c r="C2" s="142"/>
      <c r="D2" s="142"/>
      <c r="E2" s="142"/>
      <c r="F2" s="142"/>
      <c r="G2" s="142"/>
      <c r="H2" s="142"/>
      <c r="I2" s="142"/>
      <c r="J2" s="142"/>
      <c r="K2" s="142"/>
      <c r="L2" s="142"/>
      <c r="M2" s="222" t="str">
        <f ca="1">"As of "&amp;TEXT(TODAY(),"d mmm yyyy")&amp;". Live from Combined Delivery Data."</f>
        <v>As of 14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32 of 72</v>
      </c>
      <c r="C5" s="223" t="str">
        <f>IF(C7+E7=0,"No CMS reports are blocked.","reports are blocked. "&amp;C7&amp;" are approved and waiting for a production release, "&amp;E7&amp;" are blocked in build or QA.")</f>
        <v>reports are blocked. 28 are approved and waiting for a production release, 4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4</v>
      </c>
      <c r="F7" s="229"/>
      <c r="G7" s="230" cm="1">
        <f t="array" ref="G7">SUM(COUNTIFS(cmsDom,"CMS",cmsBlocked,"&lt;&gt;Yes*",cmsStatus,{"DB Dev","PBI Dev","QA","DPO Approval"}))</f>
        <v>26</v>
      </c>
      <c r="H7" s="231"/>
      <c r="I7" s="232" cm="1">
        <f t="array" ref="I7">COUNTIFS(cmsDom,"CMS",cmsBlocked,"&lt;&gt;Yes*",cmsStatus,"NOT STARTED")</f>
        <v>13</v>
      </c>
      <c r="J7" s="233"/>
      <c r="K7" s="234" cm="1">
        <f t="array" ref="K7">COUNTIFS(cmsDom,"CMS",cmsStatus,"RELEASED IN PROD")</f>
        <v>1</v>
      </c>
      <c r="L7" s="235"/>
      <c r="M7" s="236" t="s">
        <v>489</v>
      </c>
      <c r="N7" s="237"/>
      <c r="O7" s="238"/>
      <c r="P7" s="142"/>
      <c r="Q7" s="142"/>
      <c r="R7" s="142"/>
      <c r="S7" s="142"/>
      <c r="T7" s="142"/>
      <c r="U7" s="142"/>
      <c r="V7" s="142"/>
      <c r="W7" s="142"/>
      <c r="X7" s="142"/>
      <c r="Y7" s="142"/>
      <c r="Z7" s="142"/>
    </row>
    <row r="8" spans="1:26" ht="30" customHeight="1">
      <c r="A8" s="142"/>
      <c r="B8" s="142"/>
      <c r="C8" s="226" t="s">
        <v>490</v>
      </c>
      <c r="D8" s="227"/>
      <c r="E8" s="226" t="s">
        <v>491</v>
      </c>
      <c r="F8" s="227"/>
      <c r="G8" s="226" t="s">
        <v>492</v>
      </c>
      <c r="H8" s="227"/>
      <c r="I8" s="226" t="s">
        <v>493</v>
      </c>
      <c r="J8" s="227"/>
      <c r="K8" s="226" t="s">
        <v>494</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495</v>
      </c>
      <c r="C10" s="246" t="s">
        <v>496</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497</v>
      </c>
      <c r="C11" s="156" t="s">
        <v>498</v>
      </c>
      <c r="D11" s="156" t="s">
        <v>499</v>
      </c>
      <c r="E11" s="156" t="s">
        <v>187</v>
      </c>
      <c r="F11" s="156" t="s">
        <v>206</v>
      </c>
      <c r="G11" s="156" t="s">
        <v>224</v>
      </c>
      <c r="H11" s="156" t="s">
        <v>264</v>
      </c>
      <c r="I11" s="156" t="s">
        <v>493</v>
      </c>
      <c r="J11" s="156" t="s">
        <v>500</v>
      </c>
      <c r="K11" s="156" t="s">
        <v>501</v>
      </c>
      <c r="L11" s="156" t="s">
        <v>502</v>
      </c>
      <c r="M11" s="247" t="s">
        <v>503</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35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14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6</v>
      </c>
      <c r="F14" s="167" cm="1">
        <f t="array" ref="F14">COUNTIFS(cmsDom,"CMS",cmsMonth,$B14,cmsBlocked,"&lt;&gt;Yes*",cmsStatus,"QA")</f>
        <v>2</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16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1</v>
      </c>
      <c r="E15" s="167" cm="1">
        <f t="array" ref="E15">COUNTIFS(cmsDom,"CMS",cmsMonth,$B15,cmsBlocked,"&lt;&gt;Yes*",cmsStatus,"DPO Approval")</f>
        <v>1</v>
      </c>
      <c r="F15" s="167" cm="1">
        <f t="array" ref="F15">COUNTIFS(cmsDom,"CMS",cmsMonth,$B15,cmsBlocked,"&lt;&gt;Yes*",cmsStatus,"QA")</f>
        <v>4</v>
      </c>
      <c r="G15" s="167" cm="1">
        <f t="array" ref="G15">COUNTIFS(cmsDom,"CMS",cmsMonth,$B15,cmsBlocked,"&lt;&gt;Yes*",cmsStatus,"PBI Dev")</f>
        <v>2</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47 days to milestone, 1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4</v>
      </c>
      <c r="H16" s="164" cm="1">
        <f t="array" ref="H16">COUNTIFS(cmsDom,"CMS",cmsMonth,$B16,cmsBlocked,"&lt;&gt;Yes*",cmsStatus,"DB Dev")</f>
        <v>3</v>
      </c>
      <c r="I16" s="164" cm="1">
        <f t="array" ref="I16">COUNTIFS(cmsDom,"CMS",cmsMonth,$B16,cmsBlocked,"&lt;&gt;Yes*",cmsStatus,"NOT STARTED")</f>
        <v>8</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78 days to milestone</v>
      </c>
      <c r="N16" s="244"/>
      <c r="O16" s="245"/>
      <c r="P16" s="142"/>
      <c r="Q16" s="142"/>
      <c r="R16" s="142"/>
      <c r="S16" s="142"/>
      <c r="T16" s="142"/>
      <c r="U16" s="142"/>
      <c r="V16" s="142"/>
      <c r="W16" s="142"/>
      <c r="X16" s="142"/>
      <c r="Y16" s="142"/>
      <c r="Z16" s="142"/>
    </row>
    <row r="17" spans="1:26" ht="24" customHeight="1">
      <c r="A17" s="142"/>
      <c r="B17" s="157" t="s">
        <v>504</v>
      </c>
      <c r="C17" s="169">
        <f t="shared" ref="C17:K17" si="0">SUM(C12:C16)</f>
        <v>28</v>
      </c>
      <c r="D17" s="169">
        <f t="shared" si="0"/>
        <v>4</v>
      </c>
      <c r="E17" s="169">
        <f t="shared" si="0"/>
        <v>8</v>
      </c>
      <c r="F17" s="169">
        <f t="shared" si="0"/>
        <v>6</v>
      </c>
      <c r="G17" s="169">
        <f t="shared" si="0"/>
        <v>8</v>
      </c>
      <c r="H17" s="169">
        <f t="shared" si="0"/>
        <v>4</v>
      </c>
      <c r="I17" s="169">
        <f t="shared" si="0"/>
        <v>13</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505</v>
      </c>
      <c r="C19" s="246" t="s">
        <v>506</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6" t="s">
        <v>507</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508</v>
      </c>
      <c r="C36" s="170" t="s">
        <v>497</v>
      </c>
      <c r="D36" s="170" t="s">
        <v>509</v>
      </c>
      <c r="E36" s="170" t="s">
        <v>440</v>
      </c>
      <c r="F36" s="170" t="s">
        <v>510</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501</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497</v>
      </c>
      <c r="D49" s="258"/>
      <c r="E49" s="258" t="s">
        <v>440</v>
      </c>
      <c r="F49" s="258"/>
      <c r="G49" s="258" t="s">
        <v>450</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511</v>
      </c>
      <c r="D50" s="260"/>
      <c r="E50" s="259" t="s">
        <v>511</v>
      </c>
      <c r="F50" s="260"/>
      <c r="G50" s="259" t="s">
        <v>511</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508</v>
      </c>
      <c r="C52" s="179" t="s">
        <v>497</v>
      </c>
      <c r="D52" s="179" t="s">
        <v>509</v>
      </c>
      <c r="E52" s="179" t="s">
        <v>35</v>
      </c>
      <c r="F52" s="179" t="s">
        <v>512</v>
      </c>
      <c r="G52" s="179" t="s">
        <v>513</v>
      </c>
      <c r="H52" s="179" t="s">
        <v>514</v>
      </c>
      <c r="I52" s="179" t="s">
        <v>515</v>
      </c>
      <c r="J52" s="181" t="s">
        <v>516</v>
      </c>
      <c r="K52" s="181" t="s">
        <v>517</v>
      </c>
      <c r="L52" s="181" t="s">
        <v>518</v>
      </c>
      <c r="M52" s="181" t="s">
        <v>519</v>
      </c>
      <c r="N52" s="181" t="s">
        <v>520</v>
      </c>
      <c r="O52" s="179" t="s">
        <v>521</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Yes – Blocked in Prod</v>
      </c>
      <c r="F73" s="173" t="str">
        <v>Nick</v>
      </c>
      <c r="G73" s="173" t="str">
        <v>Sarath</v>
      </c>
      <c r="H73" s="173" t="str">
        <v>Kushal</v>
      </c>
      <c r="I73" s="173" t="str">
        <v>Brooke Allen</v>
      </c>
      <c r="J73" s="184">
        <v>46265</v>
      </c>
      <c r="K73" s="184">
        <v>46266</v>
      </c>
      <c r="L73" s="184">
        <v>46286</v>
      </c>
      <c r="M73" s="184">
        <v>46302</v>
      </c>
      <c r="N73" s="185">
        <v>5</v>
      </c>
      <c r="O73" s="173" t="str">
        <v>Blocked - log it on Rework Log</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QA</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Yes – Blocked in Prod</v>
      </c>
      <c r="F83" s="173" t="str">
        <v>Fetwi</v>
      </c>
      <c r="G83" s="173" t="str">
        <v>Navya</v>
      </c>
      <c r="H83" s="173" t="str">
        <v>Preety</v>
      </c>
      <c r="I83" s="173" t="str">
        <v>Oneil Lashley</v>
      </c>
      <c r="J83" s="184">
        <v>46253</v>
      </c>
      <c r="K83" s="184">
        <v>46266</v>
      </c>
      <c r="L83" s="184">
        <v>46290</v>
      </c>
      <c r="M83" s="184">
        <v>46301</v>
      </c>
      <c r="N83" s="185">
        <v>1</v>
      </c>
      <c r="O83" s="173" t="str">
        <v>Blocked - log it on Rework Log</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QA</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QA</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QA</v>
      </c>
      <c r="E98" s="173" t="str">
        <v/>
      </c>
      <c r="F98" s="173" t="str">
        <v>Michael</v>
      </c>
      <c r="G98" s="173" t="str">
        <v>Shraddha</v>
      </c>
      <c r="H98" s="173" t="str">
        <v>Preety</v>
      </c>
      <c r="I98" s="173" t="str">
        <v>Shaunna Peters</v>
      </c>
      <c r="J98" s="184">
        <v>46269</v>
      </c>
      <c r="K98" s="184">
        <v>46303</v>
      </c>
      <c r="L98" s="184" t="str">
        <v/>
      </c>
      <c r="M98" s="184" t="str">
        <v/>
      </c>
      <c r="N98" s="185">
        <v>0</v>
      </c>
      <c r="O98" s="173" t="str">
        <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QA</v>
      </c>
      <c r="E104" s="173" t="str">
        <v>No</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PBI Dev</v>
      </c>
      <c r="E117" s="173" t="str">
        <v/>
      </c>
      <c r="F117" s="173" t="str">
        <v>Nick</v>
      </c>
      <c r="G117" s="173" t="str">
        <v>Navya</v>
      </c>
      <c r="H117" s="173" t="str">
        <v/>
      </c>
      <c r="I117" s="173" t="str">
        <v>Reginald Durham, Bill Contreras</v>
      </c>
      <c r="J117" s="184">
        <v>46308</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DB Dev</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522</v>
      </c>
      <c r="C1" t="s">
        <v>523</v>
      </c>
      <c r="D1" t="s">
        <v>35</v>
      </c>
      <c r="E1" t="s">
        <v>524</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224</v>
      </c>
      <c r="D16" t="s">
        <v>471</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224</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206</v>
      </c>
      <c r="D36" t="s">
        <v>53</v>
      </c>
      <c r="E36" t="str">
        <f t="shared" si="1"/>
        <v>QA</v>
      </c>
    </row>
    <row r="37" spans="1:5">
      <c r="A37" t="s">
        <v>220</v>
      </c>
      <c r="B37" t="s">
        <v>194</v>
      </c>
      <c r="C37" t="s">
        <v>206</v>
      </c>
      <c r="D37" t="s">
        <v>53</v>
      </c>
      <c r="E37" t="str">
        <f t="shared" si="1"/>
        <v>QA</v>
      </c>
    </row>
    <row r="38" spans="1:5">
      <c r="A38" t="s">
        <v>222</v>
      </c>
      <c r="B38" t="s">
        <v>194</v>
      </c>
      <c r="C38" t="s">
        <v>187</v>
      </c>
      <c r="D38" t="s">
        <v>53</v>
      </c>
      <c r="E38" t="str">
        <f t="shared" si="1"/>
        <v>DPO Approval</v>
      </c>
    </row>
    <row r="39" spans="1:5">
      <c r="A39" t="s">
        <v>223</v>
      </c>
      <c r="B39" t="s">
        <v>194</v>
      </c>
      <c r="C39" t="s">
        <v>224</v>
      </c>
      <c r="D39" t="s">
        <v>53</v>
      </c>
      <c r="E39" t="str">
        <f t="shared" si="1"/>
        <v>PBI Dev</v>
      </c>
    </row>
    <row r="40" spans="1:5">
      <c r="A40" t="s">
        <v>225</v>
      </c>
      <c r="B40" t="s">
        <v>194</v>
      </c>
      <c r="C40" t="s">
        <v>264</v>
      </c>
      <c r="D40" t="s">
        <v>53</v>
      </c>
      <c r="E40" t="str">
        <f t="shared" si="1"/>
        <v>DB Dev</v>
      </c>
    </row>
    <row r="41" spans="1:5">
      <c r="A41" t="s">
        <v>229</v>
      </c>
      <c r="B41" t="s">
        <v>194</v>
      </c>
      <c r="C41" t="s">
        <v>224</v>
      </c>
      <c r="D41" t="s">
        <v>53</v>
      </c>
      <c r="E41" t="str">
        <f t="shared" si="1"/>
        <v>PBI Dev</v>
      </c>
    </row>
    <row r="42" spans="1:5">
      <c r="A42" t="s">
        <v>234</v>
      </c>
      <c r="B42" t="s">
        <v>194</v>
      </c>
      <c r="C42" t="s">
        <v>235</v>
      </c>
      <c r="D42" t="s">
        <v>53</v>
      </c>
      <c r="E42" t="str">
        <f t="shared" si="1"/>
        <v>Not Started</v>
      </c>
    </row>
    <row r="43" spans="1:5">
      <c r="A43" t="s">
        <v>238</v>
      </c>
      <c r="B43" t="s">
        <v>194</v>
      </c>
      <c r="C43" t="s">
        <v>224</v>
      </c>
      <c r="D43" t="s">
        <v>207</v>
      </c>
      <c r="E43" t="str">
        <f t="shared" si="1"/>
        <v>Blocked - Build/QA</v>
      </c>
    </row>
    <row r="44" spans="1:5">
      <c r="A44" t="s">
        <v>240</v>
      </c>
      <c r="B44" t="s">
        <v>194</v>
      </c>
      <c r="C44" t="s">
        <v>187</v>
      </c>
      <c r="D44" t="s">
        <v>53</v>
      </c>
      <c r="E44" t="str">
        <f t="shared" si="1"/>
        <v>DPO Approval</v>
      </c>
    </row>
    <row r="45" spans="1:5">
      <c r="A45" t="s">
        <v>243</v>
      </c>
      <c r="B45" t="s">
        <v>194</v>
      </c>
      <c r="C45" t="s">
        <v>224</v>
      </c>
      <c r="D45" t="s">
        <v>53</v>
      </c>
      <c r="E45" t="str">
        <f t="shared" si="1"/>
        <v>PBI Dev</v>
      </c>
    </row>
    <row r="46" spans="1:5">
      <c r="A46" t="s">
        <v>244</v>
      </c>
      <c r="B46" t="s">
        <v>245</v>
      </c>
      <c r="C46" t="s">
        <v>206</v>
      </c>
      <c r="E46" t="str">
        <f t="shared" si="1"/>
        <v>QA</v>
      </c>
    </row>
    <row r="47" spans="1:5">
      <c r="A47" t="s">
        <v>248</v>
      </c>
      <c r="B47" t="s">
        <v>245</v>
      </c>
      <c r="C47" t="s">
        <v>224</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224</v>
      </c>
      <c r="D51" t="s">
        <v>255</v>
      </c>
      <c r="E51" t="str">
        <f t="shared" si="1"/>
        <v>Blocked - Build/QA</v>
      </c>
    </row>
    <row r="52" spans="1:5">
      <c r="A52" t="s">
        <v>257</v>
      </c>
      <c r="B52" t="s">
        <v>245</v>
      </c>
      <c r="C52" t="s">
        <v>224</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224</v>
      </c>
      <c r="E56" t="str">
        <f t="shared" si="1"/>
        <v>PBI Dev</v>
      </c>
    </row>
    <row r="57" spans="1:5">
      <c r="A57" t="s">
        <v>269</v>
      </c>
      <c r="B57" t="s">
        <v>245</v>
      </c>
      <c r="C57" t="s">
        <v>224</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525</v>
      </c>
      <c r="B1" t="s">
        <v>526</v>
      </c>
      <c r="C1" t="s">
        <v>527</v>
      </c>
    </row>
    <row r="2" spans="1:3">
      <c r="A2" t="s">
        <v>511</v>
      </c>
      <c r="B2" t="s">
        <v>511</v>
      </c>
      <c r="C2" t="s">
        <v>511</v>
      </c>
    </row>
    <row r="3" spans="1:3">
      <c r="A3" t="str" cm="1">
        <f t="array" ref="A3:A7">_xlfn.LET(_xlpm.u,_xlfn.UNIQUE(_xlfn._xlws.FILTER(cmsMonth,(cmsDom="CMS")*(cmsMonth&lt;&gt;""))),_xlfn.SORTBY(_xlpm.u,MONTH(DATEVALUE("1 "&amp;_xlpm.u&amp;" 2026"))))</f>
        <v>July</v>
      </c>
      <c r="B3" t="s">
        <v>498</v>
      </c>
      <c r="C3" t="str" cm="1">
        <f t="array" ref="C3:C18">_xlfn.LET(_xlpm.v,_xlfn.VSTACK(cmsDBDev,cmsPBIDev,cmsQA),_xlpm.d,_xlfn.VSTACK(cmsDom,cmsDom,cmsDom),_xlfn._xlws.SORT(_xlfn.UNIQUE(_xlfn._xlws.FILTER(_xlpm.v,(_xlpm.d="CMS")*(_xlpm.v&lt;&gt;"")))))</f>
        <v>Bardia</v>
      </c>
    </row>
    <row r="4" spans="1:3">
      <c r="A4" t="str">
        <v>August</v>
      </c>
      <c r="B4" t="s">
        <v>499</v>
      </c>
      <c r="C4" t="str">
        <v>Fetwi</v>
      </c>
    </row>
    <row r="5" spans="1:3">
      <c r="A5" t="str">
        <v>September</v>
      </c>
      <c r="B5" t="s">
        <v>187</v>
      </c>
      <c r="C5" t="str">
        <v>Geetha</v>
      </c>
    </row>
    <row r="6" spans="1:3">
      <c r="A6" t="str">
        <v>October</v>
      </c>
      <c r="B6" t="s">
        <v>206</v>
      </c>
      <c r="C6" t="str">
        <v>Greeta</v>
      </c>
    </row>
    <row r="7" spans="1:3">
      <c r="A7" t="str">
        <v>November</v>
      </c>
      <c r="B7" t="s">
        <v>224</v>
      </c>
      <c r="C7" t="str">
        <v>Kushal</v>
      </c>
    </row>
    <row r="8" spans="1:3">
      <c r="B8" t="s">
        <v>264</v>
      </c>
      <c r="C8" t="str">
        <v>Michael</v>
      </c>
    </row>
    <row r="9" spans="1:3">
      <c r="B9" t="s">
        <v>493</v>
      </c>
      <c r="C9" t="str">
        <v>Navya</v>
      </c>
    </row>
    <row r="10" spans="1:3">
      <c r="B10" t="s">
        <v>500</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Sreevarsha Potluri</cp:lastModifiedBy>
  <cp:revision>0</cp:revision>
  <dcterms:created xsi:type="dcterms:W3CDTF">2026-07-21T14:32:59Z</dcterms:created>
  <dcterms:modified xsi:type="dcterms:W3CDTF">2026-10-14T15:06:05Z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