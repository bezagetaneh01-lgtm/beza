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02" documentId="13_ncr:1_{52745E9B-3AA1-4770-AAD3-E6166BFC13AE}" xr6:coauthVersionLast="47" xr6:coauthVersionMax="47" xr10:uidLastSave="{1052A8DC-6E3A-4FA4-91C1-487B26BE77C7}"/>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<sst xmlns="http://schemas.openxmlformats.org/spreadsheetml/2006/main" count="3245" uniqueCount="475">
  <si>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</si>
  <si>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</si>
  <si>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</si>
  <si>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</si>
  <si>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</si>
  <si>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</si>
  <si>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</si>
  <si>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</si>
  <si>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</si>
  <si>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</si>
  <si>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</si>
  <si>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</si>
  <si>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</si>
  <si>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</si>
  <si>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</si>
  <si>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</si>
  <si>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</si>
  <si>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</si>
  <si>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</si>
  <si>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</si>
  <si>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</si>
  <si>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</si>
  <si>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</si>
  <si>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</si>
  <si>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</si>
  <si>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</si>
  <si>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</si>
  <si>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</si>
  <si>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</si>
  <si>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</si>
  <si>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</si>
  <si>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</si>
  <si>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</si>
  <si>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</si>
  <si>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</si>
  <si>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</si>
  <si>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</si>
  <si>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</si>
  <si>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</si>
  <si>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</si>
  <si>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</si>
  <si>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</si>
  <si>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</si>
  <si>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</si>
  <si>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</si>
  <si>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</si>
  <si>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</si>
  <si>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</si>
  <si>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</si>
  <si>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</si>
  <si>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</si>
  <si>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</si>
  <si>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</si>
  <si>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</si>
  <si>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</si>
  <si>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</si>
  <si>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</si>
  <si>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</si>
  <si>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</si>
  <si>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</si>
  <si>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</si>
  <si>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</si>
  <si>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</si>
  <si>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</si>
  <si>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</si>
  <si>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</si>
  <si>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</si>
  <si>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</si>
  <si>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</si>
  <si>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</si>
  <si>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</si>
  <si>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</si>
  <si>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</si>
  <si>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</si>
  <si>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</si>
  <si>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</si>
  <si>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</si>
  <si>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</si>
  <si>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</si>
  <si>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</si>
  <si>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</si>
  <si>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</si>
  <si>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</si>
  <si>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</si>
  <si>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</si>
  <si>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</si>
  <si>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</si>
  <si>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</si>
  <si>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</si>
  <si>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</si>
  <si>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</si>
  <si>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</si>
  <si>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</si>
  <si>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</si>
  <si>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</si>
  <si>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</si>
  <si>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</si>
  <si>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</si>
  <si>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</si>
  <si>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</si>
  <si>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</si>
  <si>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</si>
  <si>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</si>
  <si>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</si>
  <si>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</si>
  <si>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</si>
  <si>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</si>
  <si>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</si>
  <si>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</si>
  <si>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</si>
  <si>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</si>
  <si>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</si>
  <si>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</si>
  <si>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</si>
  <si>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</si>
  <si>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</si>
  <si>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</si>
  <si>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</si>
  <si>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</si>
  <si>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</si>
  <si>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</si>
  <si>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</si>
  <si>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</si>
  <si>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</si>
  <si>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</si>
  <si>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</si>
  <si>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</si>
  <si>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</si>
  <si>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</si>
  <si>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</si>
  <si>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</si>
  <si>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</si>
  <si>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</si>
  <si>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</si>
  <si>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</si>
  <si>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</si>
  <si>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</si>
  <si>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</si>
  <si>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</si>
  <si>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</si>
  <si>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</si>
  <si>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</si>
  <si>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</si>
  <si>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</si>
  <si>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</si>
  <si>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</si>
  <si>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</si>
  <si>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</si>
  <si>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</si>
  <si>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</si>
  <si>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</si>
  <si>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</si>
  <si>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</si>
  <si>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</si>
  <si>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</si>
  <si>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</si>
  <si>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</si>
  <si>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</si>
  <si>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</si>
  <si>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</si>
  <si>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</si>
  <si>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</si>
  <si>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</si>
  <si>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</si>
  <si>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</si>
  <si>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</si>
  <si>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</si>
  <si>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</si>
  <si>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</si>
  <si>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</si>
  <si>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</si>
  <si>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</si>
  <si>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</si>
  <si>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</si>
  <si>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</si>
  <si>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</si>
  <si>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</si>
  <si>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</si>
  <si>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</si>
  <si>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</si>
  <si>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</si>
  <si>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</si>
  <si>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</si>
  <si>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</si>
  <si>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</si>
  <si>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</si>
  <si>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</si>
  <si>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</si>
  <si>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</si>
  <si>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</si>
  <si>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</si>
  <si>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</si>
  <si>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</si>
  <si>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</si>
  <si>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</si>
  <si>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</si>
  <si>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</si>
  <si>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</si>
  <si>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</si>
  <si>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</si>
  <si>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</si>
  <si>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</si>
  <si>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</si>
  <si>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</si>
  <si>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</si>
  <si>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</si>
  <si>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</si>
  <si>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</si>
  <si>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</si>
  <si>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</si>
  <si>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</si>
  <si>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</si>
  <si>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</si>
  <si>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</si>
  <si>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</si>
  <si>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</si>
  <si>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</si>
  <si>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QA</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</si>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</sst>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S65" activePane="topRight" state="frozen"/>
      <selection pane="topRight" activeCell="U83" sqref="U83"/>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c r="X61" s="36">
        <v>46281</v>
      </c>
      <c r="Y61" s="36"/>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214</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46295</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216</v>
      </c>
      <c r="C63" s="33" t="s">
        <v>217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208</v>
      </c>
      <c r="G63" s="33"/>
      <c r="H63" s="49">
        <v>46295</v>
      </c>
      <c r="I63" s="54" t="s">
        <v>193</v>
      </c>
      <c r="J63" s="33" t="s">
        <v>84</v>
      </c>
      <c r="K63" s="4">
        <v>46276</v>
      </c>
      <c r="L63" s="36">
        <v>46276</v>
      </c>
      <c r="M63" s="36">
        <v>46266</v>
      </c>
      <c r="N63" s="36"/>
      <c r="O63" s="36" t="s">
        <v>194</v>
      </c>
      <c r="P63" s="62" t="s">
        <v>46</v>
      </c>
      <c r="Q63" s="4">
        <v>46286</v>
      </c>
      <c r="R63" s="4">
        <v>46275</v>
      </c>
      <c r="S63" s="36">
        <v>46282</v>
      </c>
      <c r="T63" s="68" t="s">
        <v>195</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217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227</v>
      </c>
      <c r="K68" s="85">
        <v>46276</v>
      </c>
      <c r="L68" s="86">
        <v>46258</v>
      </c>
      <c r="M68" s="86">
        <v>46258</v>
      </c>
      <c r="N68" s="86"/>
      <c r="O68" s="86" t="s">
        <v>194</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228</v>
      </c>
      <c r="U71" s="33" t="s">
        <v>47</v>
      </c>
      <c r="V71" s="58">
        <v>46290</v>
      </c>
      <c r="W71" s="36"/>
      <c r="X71" s="36"/>
      <c r="Y71" s="36">
        <v>46293</v>
      </c>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217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217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194</v>
      </c>
      <c r="P73" s="65" t="s">
        <v>77</v>
      </c>
      <c r="Q73" s="43">
        <v>46313</v>
      </c>
      <c r="R73" s="43">
        <v>46289</v>
      </c>
      <c r="S73" s="43">
        <v>46289</v>
      </c>
      <c r="T73" s="69" t="s">
        <v>242</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194</v>
      </c>
      <c r="P74" s="74" t="s">
        <v>77</v>
      </c>
      <c r="Q74" s="43">
        <v>46313</v>
      </c>
      <c r="R74" s="43"/>
      <c r="S74" s="44"/>
      <c r="T74" s="69" t="s">
        <v>242</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194</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194</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194</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217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194</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46294</v>
      </c>
      <c r="S81" s="149"/>
      <c r="T81" s="167" t="s">
        <v>256</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217</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217</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217</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217</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217</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217</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217</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217</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217</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217</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217</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217</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217</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217</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217</v>
      </c>
      <c r="D17" s="31" t="s">
        <v>164</v>
      </c>
      <c r="E17" s="31" t="s">
        <v>143</v>
      </c>
      <c r="F17" s="31" t="s">
        <v>376</v>
      </c>
      <c r="G17" s="31" t="s">
        <v>50</v>
      </c>
      <c r="H17" s="32" t="s">
        <v>46</v>
      </c>
      <c r="I17" s="32"/>
      <c r="J17" s="32"/>
      <c r="K17" s="31"/>
      <c r="L17" s="31"/>
      <c r="M17" s="3"/>
      <c r="S17" s="28"/>
    </row>
    <row r="18" spans="1:20">
      <c r="A18" s="33" t="s">
        <v>181</v>
      </c>
      <c r="B18" s="32">
        <v>46261</v>
      </c>
      <c r="C18" s="31" t="s">
        <v>217</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217</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217</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217</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217</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217</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217</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217</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217</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27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217</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217</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217</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217</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217</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217</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217</v>
      </c>
      <c r="D33" s="31" t="s">
        <v>258</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217</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217</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217</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217</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217</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217</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217</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217</v>
      </c>
      <c r="D41" s="31" t="s">
        <v>164</v>
      </c>
      <c r="E41" s="31" t="s">
        <v>199</v>
      </c>
      <c r="F41" s="31" t="s">
        <v>404</v>
      </c>
      <c r="G41" s="31" t="s">
        <v>50</v>
      </c>
      <c r="H41" s="32" t="s">
        <v>46</v>
      </c>
      <c r="I41" s="32"/>
      <c r="J41" s="32"/>
      <c r="K41" s="31"/>
      <c r="L41" s="31"/>
      <c r="M41" s="3" t="str">
        <f t="shared" ca="1" si="4"/>
        <v>UNCLAIMED 13 d</v>
      </c>
      <c r="P41" t="str">
        <f>'Combined Delivery Data'!B41</f>
        <v>RPT_02_GRO Control</v>
      </c>
      <c r="Q41">
        <f t="shared" si="5"/>
        <v>0</v>
      </c>
      <c r="R41">
        <f t="shared" si="6"/>
        <v>0</v>
      </c>
      <c r="S41" s="28" t="str">
        <f t="shared" si="7"/>
        <v/>
      </c>
      <c r="T41" t="str">
        <f t="shared" si="8"/>
        <v/>
      </c>
    </row>
    <row r="42" spans="1:20" hidden="1">
      <c r="A42" s="31" t="s">
        <v>209</v>
      </c>
      <c r="B42" s="32">
        <v>46282</v>
      </c>
      <c r="C42" s="31" t="s">
        <v>217</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217</v>
      </c>
      <c r="D43" s="31" t="s">
        <v>258</v>
      </c>
      <c r="E43" s="31" t="s">
        <v>129</v>
      </c>
      <c r="F43" s="31" t="s">
        <v>407</v>
      </c>
      <c r="G43" s="31" t="s">
        <v>53</v>
      </c>
      <c r="H43" s="32"/>
      <c r="I43" s="32"/>
      <c r="J43" s="32"/>
      <c r="K43" s="31"/>
      <c r="L43" s="31"/>
      <c r="M43" s="3" t="str">
        <f t="shared" ca="1" si="4"/>
        <v>UNCLAIMED 7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6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217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217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217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217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217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217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217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217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217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217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217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217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217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217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217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217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217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217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217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217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217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217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217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217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217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217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217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217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217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217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217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217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217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217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217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217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217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217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217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217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217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217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217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217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217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217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217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217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217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217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217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217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217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217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217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217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217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217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217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217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217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217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217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217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217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217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217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217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217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217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217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217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217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217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217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217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217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217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217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217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217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217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217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217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217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217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217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217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217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217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217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217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217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217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217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217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217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217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217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217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217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217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217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217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217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217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217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217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217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217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217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217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217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217</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217</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217</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217</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217</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217</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205</v>
      </c>
      <c r="J4" t="s">
        <v>164</v>
      </c>
      <c r="L4" t="s">
        <v>50</v>
      </c>
      <c r="M4" t="s">
        <v>103</v>
      </c>
      <c r="N4" t="s">
        <v>454</v>
      </c>
      <c r="R4" t="s">
        <v>455</v>
      </c>
      <c r="T4" t="s">
        <v>72</v>
      </c>
    </row>
    <row r="5" spans="1:20" ht="15" customHeight="1">
      <c r="A5" t="s">
        <v>424</v>
      </c>
      <c r="B5" t="s">
        <v>433</v>
      </c>
      <c r="C5" t="s">
        <v>77</v>
      </c>
      <c r="F5" t="s">
        <v>164</v>
      </c>
      <c r="G5" t="s">
        <v>433</v>
      </c>
      <c r="H5" t="s">
        <v>129</v>
      </c>
      <c r="I5" t="s">
        <v>213</v>
      </c>
      <c r="J5" t="s">
        <v>217</v>
      </c>
      <c r="L5" t="s">
        <v>456</v>
      </c>
      <c r="M5" t="s">
        <v>88</v>
      </c>
      <c r="N5" t="s">
        <v>457</v>
      </c>
    </row>
    <row r="6" spans="1:20" ht="15" customHeight="1">
      <c r="A6" t="s">
        <v>306</v>
      </c>
      <c r="B6" t="s">
        <v>84</v>
      </c>
      <c r="F6" t="s">
        <v>217</v>
      </c>
      <c r="G6" t="s">
        <v>84</v>
      </c>
      <c r="H6" t="s">
        <v>143</v>
      </c>
      <c r="I6" t="s">
        <v>168</v>
      </c>
      <c r="J6" t="s">
        <v>182</v>
      </c>
      <c r="M6" t="s">
        <v>48</v>
      </c>
      <c r="N6" t="s">
        <v>457</v>
      </c>
    </row>
    <row r="7" spans="1:20" ht="15" customHeight="1">
      <c r="A7" t="s">
        <v>297</v>
      </c>
      <c r="B7" t="s">
        <v>65</v>
      </c>
      <c r="F7" t="s">
        <v>182</v>
      </c>
      <c r="G7" t="s">
        <v>65</v>
      </c>
      <c r="H7" t="s">
        <v>199</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199</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2026-09-29T10:33:22Z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