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1" documentId="13_ncr:1_{52745E9B-3AA1-4770-AAD3-E6166BFC13AE}" xr6:coauthVersionLast="47" xr6:coauthVersionMax="47" xr10:uidLastSave="{77F3E71F-875A-46EB-9880-DCBEDE7AA046}"/>
  <bookViews>
    <workbookView xWindow="28995" yWindow="-1920" windowWidth="29040" windowHeight="175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<sst xmlns="http://schemas.openxmlformats.org/spreadsheetml/2006/main" count="3678" uniqueCount="529">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</sst>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ySplit="1" topLeftCell="A76" activePane="bottomLeft" state="frozen"/>
      <selection pane="bottomLeft" activeCell="C85" sqref="C8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tabSelected="1"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44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30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24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16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2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4" t="str">
        <f ca="1">"As of "&amp;TEXT(TODAY(),"d mmm yyyy")&amp;". Live from Combined Delivery Data."</f>
        <v>As of 16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5" t="str">
        <f>IF(C7+E7=0,"No CMS reports are blocked.","reports are blocked. "&amp;C7&amp;" are approved and waiting for a production release, "&amp;E7&amp;" are blocked in build or QA.")</f>
        <v>reports are blocked. 26 are approved and waiting for a production release, 4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26</v>
      </c>
      <c r="D7" s="227"/>
      <c r="E7" s="230" cm="1">
        <f t="array" ref="E7">COUNTIFS(cmsDom,"CMS",cmsBlocked,"Yes*",cmsStatus,"&lt;&gt;Ready for Release in Prod",cmsStatus,"&lt;&gt;RELEASED IN PROD")</f>
        <v>4</v>
      </c>
      <c r="F7" s="231"/>
      <c r="G7" s="232" cm="1">
        <f t="array" ref="G7">SUM(COUNTIFS(cmsDom,"CMS",cmsBlocked,"&lt;&gt;Yes*",cmsStatus,{"DB Dev","PBI Dev","QA","DPO Approval"}))</f>
        <v>26</v>
      </c>
      <c r="H7" s="233"/>
      <c r="I7" s="234" cm="1">
        <f t="array" ref="I7">COUNTIFS(cmsDom,"CMS",cmsBlocked,"&lt;&gt;Yes*",cmsStatus,"NOT STARTED")</f>
        <v>12</v>
      </c>
      <c r="J7" s="235"/>
      <c r="K7" s="236" cm="1">
        <f t="array" ref="K7">COUNTIFS(cmsDom,"CMS",cmsStatus,"RELEASED IN PROD")</f>
        <v>4</v>
      </c>
      <c r="L7" s="237"/>
      <c r="M7" s="238" t="s">
        <v>490</v>
      </c>
      <c r="N7" s="239"/>
      <c r="O7" s="240"/>
      <c r="P7" s="142"/>
      <c r="Q7" s="142"/>
      <c r="R7" s="142"/>
      <c r="S7" s="142"/>
      <c r="T7" s="142"/>
      <c r="U7" s="142"/>
      <c r="V7" s="142"/>
      <c r="W7" s="142"/>
      <c r="X7" s="142"/>
      <c r="Y7" s="142"/>
      <c r="Z7" s="142"/>
    </row>
    <row r="8" spans="1:26" ht="30" customHeight="1">
      <c r="A8" s="142"/>
      <c r="B8" s="142"/>
      <c r="C8" s="228" t="s">
        <v>491</v>
      </c>
      <c r="D8" s="229"/>
      <c r="E8" s="228" t="s">
        <v>492</v>
      </c>
      <c r="F8" s="229"/>
      <c r="G8" s="228" t="s">
        <v>493</v>
      </c>
      <c r="H8" s="229"/>
      <c r="I8" s="228" t="s">
        <v>494</v>
      </c>
      <c r="J8" s="229"/>
      <c r="K8" s="228" t="s">
        <v>495</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8" t="s">
        <v>497</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9" t="s">
        <v>504</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37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16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14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45 days to milestone, 2 blocked</v>
      </c>
      <c r="N15" s="243"/>
      <c r="O15" s="244"/>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76 days to milestone</v>
      </c>
      <c r="N16" s="246"/>
      <c r="O16" s="247"/>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8" t="s">
        <v>507</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8" t="s">
        <v>508</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498</v>
      </c>
      <c r="D49" s="260"/>
      <c r="E49" s="260" t="s">
        <v>440</v>
      </c>
      <c r="F49" s="260"/>
      <c r="G49" s="260" t="s">
        <v>450</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512</v>
      </c>
      <c r="D50" s="262"/>
      <c r="E50" s="261" t="s">
        <v>512</v>
      </c>
      <c r="F50" s="262"/>
      <c r="G50" s="261" t="s">
        <v>512</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2026-10-16T20:14:24Z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