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26" documentId="13_ncr:1_{52745E9B-3AA1-4770-AAD3-E6166BFC13AE}" xr6:coauthVersionLast="47" xr6:coauthVersionMax="47" xr10:uidLastSave="{E7168051-9B1D-4ABA-9253-33513C107396}"/>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<sst xmlns="http://schemas.openxmlformats.org/spreadsheetml/2006/main" count="3218" uniqueCount="471">
  <si>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</si>
  <si>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</si>
  <si>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</si>
  <si>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</si>
  <si>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</si>
  <si>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</si>
  <si>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</si>
  <si>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</si>
  <si>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</si>
  <si>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</si>
  <si>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</si>
  <si>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</si>
  <si>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</si>
  <si>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</si>
  <si>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</si>
  <si>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</si>
  <si>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</si>
  <si>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</si>
  <si>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</si>
  <si>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</si>
  <si>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</si>
  <si>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</si>
  <si>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</si>
  <si>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</si>
  <si>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</si>
  <si>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</si>
  <si>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</si>
  <si>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</si>
  <si>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</si>
  <si>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</si>
  <si>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</si>
  <si>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</si>
  <si>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</si>
  <si>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</si>
  <si>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</si>
  <si>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</si>
  <si>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</si>
  <si>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</si>
  <si>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</si>
  <si>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</si>
  <si>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</si>
  <si>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</si>
  <si>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</si>
  <si>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</si>
  <si>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</si>
  <si>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</si>
  <si>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</si>
  <si>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</si>
  <si>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</si>
  <si>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</si>
  <si>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</si>
  <si>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</si>
  <si>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</si>
  <si>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</si>
  <si>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</si>
  <si>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</si>
  <si>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</si>
  <si>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</si>
  <si>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</si>
  <si>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</si>
  <si>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</si>
  <si>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</si>
  <si>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</si>
  <si>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</si>
  <si>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</si>
  <si>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</si>
  <si>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</si>
  <si>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</si>
  <si>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</si>
  <si>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</si>
  <si>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</si>
  <si>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</si>
  <si>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</si>
  <si>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</si>
  <si>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</si>
  <si>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</si>
  <si>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</si>
  <si>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</si>
  <si>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</si>
  <si>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</si>
  <si>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</si>
  <si>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</si>
  <si>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</si>
  <si>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</si>
  <si>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</si>
  <si>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</si>
  <si>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</si>
  <si>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</si>
  <si>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</si>
  <si>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</si>
  <si>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</si>
  <si>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</si>
  <si>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</si>
  <si>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</si>
  <si>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</si>
  <si>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</si>
  <si>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</si>
  <si>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</si>
  <si>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</si>
  <si>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</si>
  <si>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</si>
  <si>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</si>
  <si>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</si>
  <si>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</si>
  <si>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</si>
  <si>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</si>
  <si>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</si>
  <si>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</si>
  <si>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</si>
  <si>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</si>
  <si>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</si>
  <si>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</si>
  <si>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</si>
  <si>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</si>
  <si>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</si>
  <si>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</si>
  <si>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</si>
  <si>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</si>
  <si>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</si>
  <si>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</si>
  <si>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</si>
  <si>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</si>
  <si>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</si>
  <si>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</si>
  <si>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</si>
  <si>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</si>
  <si>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</si>
  <si>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</si>
  <si>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</si>
  <si>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</si>
  <si>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</si>
  <si>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</si>
  <si>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</si>
  <si>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</si>
  <si>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</si>
  <si>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</si>
  <si>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</si>
  <si>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</si>
  <si>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</si>
  <si>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</si>
  <si>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</si>
  <si>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</si>
  <si>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</si>
  <si>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</si>
  <si>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</si>
  <si>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</si>
  <si>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</si>
  <si>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</si>
  <si>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</si>
  <si>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</si>
  <si>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</si>
  <si>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</si>
  <si>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</si>
  <si>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</si>
  <si>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</si>
  <si>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</si>
  <si>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</si>
  <si>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</si>
  <si>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</si>
  <si>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</si>
  <si>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</si>
  <si>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</si>
  <si>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</si>
  <si>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</si>
  <si>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</si>
  <si>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</si>
  <si>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</si>
  <si>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</si>
  <si>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</si>
  <si>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</si>
  <si>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</si>
  <si>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</si>
  <si>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</si>
  <si>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</si>
  <si>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</si>
  <si>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</si>
  <si>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</si>
  <si>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</si>
  <si>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</si>
  <si>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</si>
  <si>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</si>
  <si>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Yes – other</t>
  </si>
  <si>
    <t>RPT_02_Fitting Work</t>
  </si>
  <si>
    <t>RPT_02_Field Collector Report</t>
  </si>
  <si>
    <t>Jeanne Timmons, Shaunna Peters</t>
  </si>
  <si>
    <t>RPT_02_Turn On for Non-Payment</t>
  </si>
  <si>
    <t>DB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</si>
  <si>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</si>
  <si>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</si>
  <si>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</si>
  <si>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</si>
  <si>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</si>
  <si>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</si>
  <si>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</si>
  <si>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</si>
  <si>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</si>
  <si>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</si>
  <si>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</si>
  <si>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</si>
  <si>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</si>
  <si>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</si>
  <si>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</si>
  <si>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</si>
  <si>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</si>
  <si>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</si>
  <si>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</si>
  <si>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</si>
  <si>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</si>
  <si>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</si>
  <si>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</si>
  <si>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</si>
  <si>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</si>
  <si>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</si>
  <si>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</si>
  <si>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</si>
  <si>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</si>
  <si>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</si>
  <si>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</si>
  <si>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</si>
  <si>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</si>
  <si>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</si>
  <si>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</si>
  <si>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</si>
  <si>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</si>
  <si>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</si>
  <si>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</si>
  <si>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</si>
  <si>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</si>
  <si>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</si>
  <si>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</si>
  <si>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</si>
  <si>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</si>
  <si>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</si>
  <si>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</si>
  <si>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</si>
  <si>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</si>
  <si>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</si>
  <si>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</si>
  <si>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</si>
  <si>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</si>
  <si>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</si>
  <si>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</si>
  <si>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</si>
  <si>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</si>
  <si>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</si>
  <si>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</si>
  <si>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</si>
  <si>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</si>
  <si>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</si>
  <si>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</si>
  <si>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</si>
  <si>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</si>
  <si>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</si>
  <si>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</si>
  <si>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</si>
  <si>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</si>
  <si>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</si>
  <si>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</si>
  <si>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</si>
  <si>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</si>
  <si>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</si>
  <si>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</si>
  <si>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</si>
  <si>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</si>
  <si>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</si>
  <si>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</si>
  <si>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</si>
  <si>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</si>
  <si>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</si>
  <si>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</si>
  <si>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</si>
  <si>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</si>
  <si>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</si>
  <si>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</si>
  <si>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</si>
  <si>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</si>
  <si>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</si>
  <si>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</si>
  <si>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</si>
  <si>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</si>
  <si>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</si>
  <si>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</si>
  <si>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</si>
  <si>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</si>
  <si>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</si>
  <si>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</si>
  <si>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</si>
  <si>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</si>
  <si>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</si>
  <si>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</si>
  <si>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</si>
  <si>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</si>
  <si>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</si>
  <si>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</si>
  <si>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</si>
  <si>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</si>
  <si>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</si>
  <si>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</si>
  <si>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</si>
  <si>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</si>
  <si>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</si>
  <si>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</si>
  <si>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</si>
  <si>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</si>
  <si>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</si>
  <si>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</si>
  <si>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</si>
  <si>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</si>
  <si>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</si>
  <si>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</si>
  <si>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</si>
  <si>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</si>
  <si>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</si>
  <si>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</si>
  <si>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</si>
  <si>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</si>
  <si>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</si>
  <si>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</si>
  <si>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</si>
  <si>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</si>
  <si>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</si>
  <si>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</si>
  <si>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</si>
  <si>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</si>
  <si>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</si>
  <si>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</si>
  <si>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</si>
  <si>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</si>
  <si>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</si>
  <si>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</si>
  <si>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</si>
  <si>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</si>
  <si>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</si>
  <si>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</si>
  <si>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</si>
  <si>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</si>
  <si>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</si>
  <si>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</si>
  <si>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</si>
  <si>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</si>
  <si>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</si>
  <si>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</si>
  <si>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</si>
  <si>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</si>
  <si>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</si>
  <si>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</si>
  <si>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</si>
  <si>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</si>
  <si>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</si>
  <si>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</si>
  <si>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</si>
  <si>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</si>
  <si>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</si>
  <si>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</si>
  <si>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</si>
  <si>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</si>
  <si>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</si>
  <si>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</si>
  <si>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</si>
  <si>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</si>
  <si>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</si>
  <si>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</si>
  <si>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</si>
  <si>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</si>
  <si>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</si>
  <si>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</si>
  <si>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</si>
  <si>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</si>
  <si>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</si>
  <si>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</si>
  <si>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</si>
  <si>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</si>
  <si>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</si>
  <si>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</si>
  <si>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</si>
  <si>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</si>
  <si>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</si>
  <si>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</si>
  <si>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</si>
  <si>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</si>
  <si>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</si>
  <si>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</si>
  <si>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</si>
  <si>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</si>
  <si>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</si>
  <si>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</si>
  <si>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</si>
  <si>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</si>
  <si>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</si>
  <si>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</si>
  <si>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</si>
  <si>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</si>
  <si>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</si>
  <si>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</si>
  <si>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</si>
  <si>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</si>
  <si>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</si>
  <si>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</si>
  <si>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</si>
  <si>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</si>
  <si>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</si>
  <si>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</si>
  <si>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</si>
  <si>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</si>
  <si>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</si>
  <si>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</si>
  <si>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</si>
  <si>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</si>
  <si>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</si>
  <si>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</si>
  <si>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</si>
  <si>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</si>
  <si>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</si>
  <si>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</si>
  <si>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</si>
  <si>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</si>
  <si>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</si>
  <si>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</si>
  <si>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</si>
  <si>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</si>
  <si>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</si>
  <si>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</si>
  <si>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</si>
  <si>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</si>
  <si>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</si>
  <si>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</si>
  <si>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</si>
  <si>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</si>
  <si>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</si>
  <si>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</si>
  <si>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</si>
  <si>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</si>
  <si>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</si>
  <si>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</si>
  <si>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</si>
  <si>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</si>
  <si>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</si>
  <si>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</si>
  <si>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</si>
  <si>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</si>
  <si>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</si>
  <si>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</si>
  <si>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</si>
  <si>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</si>
  <si>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</si>
  <si>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</si>
  <si>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</si>
  <si>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</si>
  <si>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</si>
  <si>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</si>
  <si>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</si>
  <si>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Yes – needs DB Dev to fix</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</si>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</sst>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 val="olu"/>
      </filters>
    </filterColumn>
    <filterColumn colId="8">
      <filters>
        <filter val="August"/>
        <filter val="September"/>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B55" sqref="B55"/>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164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promised 9/17</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181</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46255</v>
      </c>
      <c r="W52" s="36">
        <v>46269</v>
      </c>
      <c r="X52" s="36"/>
      <c r="Y52" s="36"/>
      <c r="Z52" s="36"/>
      <c r="AA52" s="51">
        <v>46260</v>
      </c>
      <c r="AB52" s="36">
        <v>46295</v>
      </c>
      <c r="AC52" s="36"/>
      <c r="AD52" s="33" t="s">
        <v>187</v>
      </c>
      <c r="AE52" s="33" t="s">
        <v>72</v>
      </c>
      <c r="AF52" s="38"/>
      <c r="AG52" s="36"/>
      <c r="AH52" s="39"/>
      <c r="AI52" s="33"/>
      <c r="AJ52" s="40" t="s">
        <v>188</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189</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194</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195</v>
      </c>
      <c r="J55" s="33" t="s">
        <v>76</v>
      </c>
      <c r="K55" s="4">
        <v>46262</v>
      </c>
      <c r="L55" s="36">
        <v>46253</v>
      </c>
      <c r="M55" s="36">
        <v>46253</v>
      </c>
      <c r="N55" s="36"/>
      <c r="O55" s="36" t="s">
        <v>196</v>
      </c>
      <c r="P55" s="62" t="s">
        <v>77</v>
      </c>
      <c r="Q55" s="4">
        <v>46269</v>
      </c>
      <c r="R55" s="36">
        <v>46267</v>
      </c>
      <c r="S55" s="36">
        <v>46267</v>
      </c>
      <c r="T55" s="68" t="s">
        <v>197</v>
      </c>
      <c r="U55" s="33" t="s">
        <v>47</v>
      </c>
      <c r="V55" s="58">
        <v>46276</v>
      </c>
      <c r="W55" s="58">
        <v>46276</v>
      </c>
      <c r="X55" s="58">
        <v>46276</v>
      </c>
      <c r="Y55" s="58"/>
      <c r="Z55" s="36"/>
      <c r="AA55" s="51">
        <v>46290</v>
      </c>
      <c r="AB55" s="36"/>
      <c r="AC55" s="36"/>
      <c r="AD55" s="33" t="s">
        <v>198</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199</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200</v>
      </c>
      <c r="C56" s="33" t="s">
        <v>194</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195</v>
      </c>
      <c r="J56" s="33" t="s">
        <v>76</v>
      </c>
      <c r="K56" s="4">
        <v>46262</v>
      </c>
      <c r="L56" s="36">
        <v>46253</v>
      </c>
      <c r="M56" s="36">
        <v>46253</v>
      </c>
      <c r="N56" s="36" t="s">
        <v>146</v>
      </c>
      <c r="O56" s="36" t="s">
        <v>196</v>
      </c>
      <c r="P56" s="62" t="s">
        <v>60</v>
      </c>
      <c r="Q56" s="4">
        <v>46269</v>
      </c>
      <c r="R56" s="36">
        <v>46266</v>
      </c>
      <c r="S56" s="36">
        <v>46266</v>
      </c>
      <c r="T56" s="68" t="s">
        <v>197</v>
      </c>
      <c r="U56" s="33" t="s">
        <v>201</v>
      </c>
      <c r="V56" s="58">
        <v>46276</v>
      </c>
      <c r="W56" s="36">
        <v>46285</v>
      </c>
      <c r="X56" s="36">
        <v>46274</v>
      </c>
      <c r="Y56" s="36"/>
      <c r="Z56" s="36"/>
      <c r="AA56" s="51">
        <v>46290</v>
      </c>
      <c r="AB56" s="36"/>
      <c r="AC56" s="36"/>
      <c r="AD56" s="33" t="s">
        <v>202</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204</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195</v>
      </c>
      <c r="J57" s="33" t="s">
        <v>65</v>
      </c>
      <c r="K57" s="4">
        <v>46262</v>
      </c>
      <c r="L57" s="36">
        <v>46254</v>
      </c>
      <c r="M57" s="36"/>
      <c r="N57" s="46" t="s">
        <v>146</v>
      </c>
      <c r="O57" s="36" t="s">
        <v>196</v>
      </c>
      <c r="P57" s="62" t="s">
        <v>46</v>
      </c>
      <c r="Q57" s="4">
        <v>46269</v>
      </c>
      <c r="R57" s="36">
        <v>46268</v>
      </c>
      <c r="S57" s="36">
        <v>46268</v>
      </c>
      <c r="T57" s="68" t="s">
        <v>197</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206</v>
      </c>
      <c r="C58" s="33" t="s">
        <v>207</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195</v>
      </c>
      <c r="J58" s="33" t="s">
        <v>65</v>
      </c>
      <c r="K58" s="4">
        <v>46262</v>
      </c>
      <c r="L58" s="36">
        <v>46254</v>
      </c>
      <c r="M58" s="36"/>
      <c r="N58" s="46" t="s">
        <v>146</v>
      </c>
      <c r="O58" s="36" t="s">
        <v>196</v>
      </c>
      <c r="P58" s="62" t="s">
        <v>77</v>
      </c>
      <c r="Q58" s="4">
        <v>46269</v>
      </c>
      <c r="R58" s="36">
        <v>46272</v>
      </c>
      <c r="S58" s="36"/>
      <c r="T58" s="68" t="s">
        <v>197</v>
      </c>
      <c r="U58" s="33" t="s">
        <v>129</v>
      </c>
      <c r="V58" s="58">
        <v>46276</v>
      </c>
      <c r="W58" s="36"/>
      <c r="X58" s="36"/>
      <c r="Y58" s="36"/>
      <c r="Z58" s="36"/>
      <c r="AA58" s="51">
        <v>46290</v>
      </c>
      <c r="AB58" s="36"/>
      <c r="AC58" s="36"/>
      <c r="AD58" s="33" t="s">
        <v>132</v>
      </c>
      <c r="AE58" s="33" t="s">
        <v>49</v>
      </c>
      <c r="AF58" s="38"/>
      <c r="AG58" s="36"/>
      <c r="AH58" s="39"/>
      <c r="AI58" s="33"/>
      <c r="AJ58" s="40" t="s">
        <v>181</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209</v>
      </c>
      <c r="C59" s="33" t="s">
        <v>194</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210</v>
      </c>
      <c r="G59" s="33"/>
      <c r="H59" s="49">
        <v>46295</v>
      </c>
      <c r="I59" s="54" t="s">
        <v>195</v>
      </c>
      <c r="J59" s="33" t="s">
        <v>44</v>
      </c>
      <c r="K59" s="4">
        <v>46262</v>
      </c>
      <c r="L59" s="36">
        <v>46253</v>
      </c>
      <c r="M59" s="36">
        <v>46253</v>
      </c>
      <c r="N59" s="36"/>
      <c r="O59" s="36" t="s">
        <v>196</v>
      </c>
      <c r="P59" s="62" t="s">
        <v>60</v>
      </c>
      <c r="Q59" s="4">
        <v>46269</v>
      </c>
      <c r="R59" s="36">
        <v>46266</v>
      </c>
      <c r="S59" s="36">
        <v>46266</v>
      </c>
      <c r="T59" s="68" t="s">
        <v>197</v>
      </c>
      <c r="U59" s="33" t="s">
        <v>47</v>
      </c>
      <c r="V59" s="58">
        <v>46276</v>
      </c>
      <c r="W59" s="36">
        <v>46281</v>
      </c>
      <c r="X59" s="36">
        <v>46286</v>
      </c>
      <c r="Y59" s="36">
        <v>46281</v>
      </c>
      <c r="Z59" s="36"/>
      <c r="AA59" s="51">
        <v>46290</v>
      </c>
      <c r="AB59" s="36"/>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Move status to DPO Approval</v>
      </c>
      <c r="AL59" s="41" t="s">
        <v>205</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211</v>
      </c>
      <c r="C60" s="33" t="s">
        <v>194</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210</v>
      </c>
      <c r="G60" s="33"/>
      <c r="H60" s="49">
        <v>46295</v>
      </c>
      <c r="I60" s="54" t="s">
        <v>195</v>
      </c>
      <c r="J60" s="33" t="s">
        <v>154</v>
      </c>
      <c r="K60" s="4">
        <v>46262</v>
      </c>
      <c r="L60" s="36">
        <v>46255</v>
      </c>
      <c r="M60" s="36">
        <v>46255</v>
      </c>
      <c r="N60" s="36" t="s">
        <v>146</v>
      </c>
      <c r="O60" s="36" t="s">
        <v>196</v>
      </c>
      <c r="P60" s="62" t="s">
        <v>46</v>
      </c>
      <c r="Q60" s="4">
        <v>46269</v>
      </c>
      <c r="R60" s="36">
        <v>46273</v>
      </c>
      <c r="S60" s="36">
        <v>46273</v>
      </c>
      <c r="T60" s="68" t="s">
        <v>197</v>
      </c>
      <c r="U60" s="33" t="s">
        <v>47</v>
      </c>
      <c r="V60" s="58">
        <v>46276</v>
      </c>
      <c r="W60" s="36"/>
      <c r="X60" s="36"/>
      <c r="Y60" s="36"/>
      <c r="Z60" s="36"/>
      <c r="AA60" s="51">
        <v>46290</v>
      </c>
      <c r="AB60" s="36"/>
      <c r="AC60" s="36"/>
      <c r="AD60" s="33" t="s">
        <v>212</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205</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213</v>
      </c>
      <c r="C61" s="33" t="s">
        <v>194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49">
        <v>46295</v>
      </c>
      <c r="I61" s="54" t="s">
        <v>195</v>
      </c>
      <c r="J61" s="33" t="s">
        <v>44</v>
      </c>
      <c r="K61" s="4">
        <v>46262</v>
      </c>
      <c r="L61" s="36">
        <v>46255</v>
      </c>
      <c r="M61" s="36">
        <v>46255</v>
      </c>
      <c r="N61" s="36"/>
      <c r="O61" s="36" t="s">
        <v>196</v>
      </c>
      <c r="P61" s="62" t="s">
        <v>60</v>
      </c>
      <c r="Q61" s="4">
        <v>46269</v>
      </c>
      <c r="R61" s="36">
        <v>46268</v>
      </c>
      <c r="S61" s="36">
        <v>46268</v>
      </c>
      <c r="T61" s="68" t="s">
        <v>197</v>
      </c>
      <c r="U61" s="33" t="s">
        <v>47</v>
      </c>
      <c r="V61" s="58">
        <v>46276</v>
      </c>
      <c r="W61" s="36">
        <v>46283</v>
      </c>
      <c r="X61" s="36">
        <v>46281</v>
      </c>
      <c r="Y61" s="36"/>
      <c r="Z61" s="36"/>
      <c r="AA61" s="51">
        <v>46290</v>
      </c>
      <c r="AB61" s="36"/>
      <c r="AC61" s="36"/>
      <c r="AD61" s="33" t="s">
        <v>214</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205</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194</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210</v>
      </c>
      <c r="G62" s="33"/>
      <c r="H62" s="49">
        <v>46295</v>
      </c>
      <c r="I62" s="54" t="s">
        <v>195</v>
      </c>
      <c r="J62" s="33" t="s">
        <v>84</v>
      </c>
      <c r="K62" s="4">
        <v>46262</v>
      </c>
      <c r="L62" s="36">
        <v>46260</v>
      </c>
      <c r="M62" s="36">
        <v>46259</v>
      </c>
      <c r="N62" s="36"/>
      <c r="O62" s="36" t="s">
        <v>196</v>
      </c>
      <c r="P62" s="62" t="s">
        <v>77</v>
      </c>
      <c r="Q62" s="4">
        <v>46269</v>
      </c>
      <c r="R62" s="36">
        <v>46280</v>
      </c>
      <c r="S62" s="36">
        <v>46282</v>
      </c>
      <c r="T62" s="68" t="s">
        <v>197</v>
      </c>
      <c r="U62" s="33" t="s">
        <v>201</v>
      </c>
      <c r="V62" s="58">
        <v>46276</v>
      </c>
      <c r="W62" s="36"/>
      <c r="X62" s="36"/>
      <c r="Y62" s="36"/>
      <c r="Z62" s="36"/>
      <c r="AA62" s="51">
        <v>46290</v>
      </c>
      <c r="AB62" s="36"/>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194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210</v>
      </c>
      <c r="G63" s="33"/>
      <c r="H63" s="49">
        <v>46295</v>
      </c>
      <c r="I63" s="54" t="s">
        <v>195</v>
      </c>
      <c r="J63" s="33" t="s">
        <v>84</v>
      </c>
      <c r="K63" s="4">
        <v>46276</v>
      </c>
      <c r="L63" s="36">
        <v>46276</v>
      </c>
      <c r="M63" s="36">
        <v>46266</v>
      </c>
      <c r="N63" s="36"/>
      <c r="O63" s="36" t="s">
        <v>196</v>
      </c>
      <c r="P63" s="62" t="s">
        <v>46</v>
      </c>
      <c r="Q63" s="4">
        <v>46286</v>
      </c>
      <c r="R63" s="4">
        <v>46275</v>
      </c>
      <c r="S63" s="36">
        <v>46282</v>
      </c>
      <c r="T63" s="68" t="s">
        <v>197</v>
      </c>
      <c r="U63" s="33"/>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194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195</v>
      </c>
      <c r="J64" s="116" t="s">
        <v>103</v>
      </c>
      <c r="K64" s="121">
        <v>46276</v>
      </c>
      <c r="L64" s="122">
        <v>46265</v>
      </c>
      <c r="M64" s="122">
        <v>46266</v>
      </c>
      <c r="N64" s="122" t="s">
        <v>146</v>
      </c>
      <c r="O64" s="122" t="s">
        <v>196</v>
      </c>
      <c r="P64" s="123" t="s">
        <v>60</v>
      </c>
      <c r="Q64" s="121">
        <v>46286</v>
      </c>
      <c r="R64" s="122">
        <v>46269</v>
      </c>
      <c r="S64" s="122">
        <v>46269</v>
      </c>
      <c r="T64" s="124" t="s">
        <v>197</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194</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195</v>
      </c>
      <c r="J65" s="33" t="s">
        <v>154</v>
      </c>
      <c r="K65" s="4">
        <v>46276</v>
      </c>
      <c r="L65" s="4">
        <v>46262</v>
      </c>
      <c r="M65" s="36">
        <v>46265</v>
      </c>
      <c r="N65" s="36" t="s">
        <v>45</v>
      </c>
      <c r="O65" s="36" t="s">
        <v>196</v>
      </c>
      <c r="P65" s="62" t="s">
        <v>77</v>
      </c>
      <c r="Q65" s="4">
        <v>46286</v>
      </c>
      <c r="R65" s="43">
        <v>46273</v>
      </c>
      <c r="S65" s="32">
        <v>46273</v>
      </c>
      <c r="T65" s="68" t="s">
        <v>197</v>
      </c>
      <c r="U65" s="33" t="s">
        <v>201</v>
      </c>
      <c r="V65" s="58">
        <v>46290</v>
      </c>
      <c r="W65" s="36"/>
      <c r="X65" s="36">
        <v>46280</v>
      </c>
      <c r="Y65" s="36"/>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186</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195</v>
      </c>
      <c r="J66" s="155" t="s">
        <v>44</v>
      </c>
      <c r="K66" s="158">
        <v>46276</v>
      </c>
      <c r="L66" s="143">
        <v>46276</v>
      </c>
      <c r="M66" s="143">
        <v>46282</v>
      </c>
      <c r="N66" s="143"/>
      <c r="O66" s="143" t="s">
        <v>196</v>
      </c>
      <c r="P66" s="159" t="s">
        <v>46</v>
      </c>
      <c r="Q66" s="158">
        <v>46286</v>
      </c>
      <c r="R66" s="143">
        <v>46273</v>
      </c>
      <c r="S66" s="143"/>
      <c r="T66" s="160" t="s">
        <v>197</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194</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195</v>
      </c>
      <c r="J67" s="33" t="s">
        <v>44</v>
      </c>
      <c r="K67" s="4">
        <v>46276</v>
      </c>
      <c r="L67" s="36">
        <v>46254</v>
      </c>
      <c r="M67" s="36">
        <v>46254</v>
      </c>
      <c r="N67" s="36"/>
      <c r="O67" s="36" t="s">
        <v>196</v>
      </c>
      <c r="P67" s="62" t="s">
        <v>60</v>
      </c>
      <c r="Q67" s="4">
        <v>46286</v>
      </c>
      <c r="R67" s="36">
        <v>46254</v>
      </c>
      <c r="S67" s="36">
        <v>46254</v>
      </c>
      <c r="T67" s="68" t="s">
        <v>197</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207</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195</v>
      </c>
      <c r="J68" s="80" t="s">
        <v>227</v>
      </c>
      <c r="K68" s="85">
        <v>46276</v>
      </c>
      <c r="L68" s="86">
        <v>46258</v>
      </c>
      <c r="M68" s="86">
        <v>46258</v>
      </c>
      <c r="N68" s="86"/>
      <c r="O68" s="86" t="s">
        <v>196</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210</v>
      </c>
      <c r="G69" s="97"/>
      <c r="H69" s="99">
        <v>46295</v>
      </c>
      <c r="I69" s="100" t="s">
        <v>195</v>
      </c>
      <c r="J69" s="97" t="s">
        <v>59</v>
      </c>
      <c r="K69" s="101">
        <v>46276</v>
      </c>
      <c r="L69" s="102"/>
      <c r="M69" s="102"/>
      <c r="N69" s="102"/>
      <c r="O69" s="102" t="s">
        <v>196</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207</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210</v>
      </c>
      <c r="G70" s="33"/>
      <c r="H70" s="49">
        <v>46295</v>
      </c>
      <c r="I70" s="54" t="s">
        <v>195</v>
      </c>
      <c r="J70" s="33" t="s">
        <v>65</v>
      </c>
      <c r="K70" s="4">
        <v>46276</v>
      </c>
      <c r="L70" s="36">
        <v>46262</v>
      </c>
      <c r="M70" s="36">
        <v>46276</v>
      </c>
      <c r="N70" s="46" t="s">
        <v>146</v>
      </c>
      <c r="O70" s="36" t="s">
        <v>196</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194</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210</v>
      </c>
      <c r="G71" s="33"/>
      <c r="H71" s="49">
        <v>46295</v>
      </c>
      <c r="I71" s="54" t="s">
        <v>195</v>
      </c>
      <c r="J71" s="33" t="s">
        <v>44</v>
      </c>
      <c r="K71" s="4">
        <v>46276</v>
      </c>
      <c r="L71" s="36">
        <v>46259</v>
      </c>
      <c r="M71" s="36">
        <v>46259</v>
      </c>
      <c r="N71" s="36"/>
      <c r="O71" s="36" t="s">
        <v>196</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195</v>
      </c>
      <c r="J72" s="33" t="s">
        <v>76</v>
      </c>
      <c r="K72" s="4">
        <v>46276</v>
      </c>
      <c r="L72" s="36">
        <v>46258</v>
      </c>
      <c r="M72" s="36">
        <v>46258</v>
      </c>
      <c r="N72" s="36" t="s">
        <v>45</v>
      </c>
      <c r="O72" s="36" t="s">
        <v>196</v>
      </c>
      <c r="P72" s="62" t="s">
        <v>77</v>
      </c>
      <c r="Q72" s="4">
        <v>46286</v>
      </c>
      <c r="R72" s="36">
        <v>46276</v>
      </c>
      <c r="S72" s="36">
        <v>46276</v>
      </c>
      <c r="T72" s="68" t="s">
        <v>228</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240</v>
      </c>
      <c r="C73" s="31" t="s">
        <v>207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210</v>
      </c>
      <c r="G73" s="31"/>
      <c r="H73" s="49">
        <v>46325</v>
      </c>
      <c r="I73" s="55" t="s">
        <v>241</v>
      </c>
      <c r="J73" s="31" t="s">
        <v>76</v>
      </c>
      <c r="K73" s="43">
        <v>46304</v>
      </c>
      <c r="L73" s="43">
        <v>46259</v>
      </c>
      <c r="M73" s="46">
        <v>46259</v>
      </c>
      <c r="N73" s="44" t="s">
        <v>45</v>
      </c>
      <c r="O73" s="44" t="s">
        <v>196</v>
      </c>
      <c r="P73" s="65" t="s">
        <v>77</v>
      </c>
      <c r="Q73" s="43">
        <v>46313</v>
      </c>
      <c r="R73" s="43">
        <v>46287</v>
      </c>
      <c r="S73" s="44"/>
      <c r="T73" s="69" t="s">
        <v>242</v>
      </c>
      <c r="U73" s="31"/>
      <c r="V73" s="28">
        <v>46316</v>
      </c>
      <c r="W73" s="43"/>
      <c r="X73" s="31"/>
      <c r="Y73" s="31"/>
      <c r="Z73" s="31"/>
      <c r="AA73" s="28">
        <v>46325</v>
      </c>
      <c r="AB73" s="43"/>
      <c r="AC73" s="43"/>
      <c r="AD73" s="31" t="s">
        <v>198</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207</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210</v>
      </c>
      <c r="G74" s="31"/>
      <c r="H74" s="49">
        <v>46325</v>
      </c>
      <c r="I74" s="55" t="s">
        <v>241</v>
      </c>
      <c r="J74" s="53" t="s">
        <v>227</v>
      </c>
      <c r="K74" s="43">
        <v>46304</v>
      </c>
      <c r="L74" s="43">
        <v>46269</v>
      </c>
      <c r="M74" s="44">
        <v>46269</v>
      </c>
      <c r="N74" s="44"/>
      <c r="O74" s="44" t="s">
        <v>196</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196</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196</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196</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248</v>
      </c>
      <c r="C78" s="144" t="s">
        <v>194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c r="S78" s="149"/>
      <c r="T78" s="151" t="s">
        <v>242</v>
      </c>
      <c r="U78" s="152"/>
      <c r="V78" s="153">
        <v>46316</v>
      </c>
      <c r="W78" s="148"/>
      <c r="X78" s="144"/>
      <c r="Y78" s="144"/>
      <c r="Z78" s="154"/>
      <c r="AA78" s="153">
        <v>46325</v>
      </c>
      <c r="AB78" s="148"/>
      <c r="AC78" s="148"/>
      <c r="AD78" s="144" t="s">
        <v>187</v>
      </c>
      <c r="AE78" s="144" t="s">
        <v>94</v>
      </c>
      <c r="AF78" s="144"/>
      <c r="AG78" s="144"/>
      <c r="AH78" s="144"/>
      <c r="AI78" s="144"/>
      <c r="AJ78" s="144"/>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207</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196</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212</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c r="M81" s="149"/>
      <c r="N81" s="149"/>
      <c r="O81" s="149" t="s">
        <v>249</v>
      </c>
      <c r="P81" s="150" t="s">
        <v>60</v>
      </c>
      <c r="Q81" s="148">
        <v>46313</v>
      </c>
      <c r="R81" s="148"/>
      <c r="S81" s="149"/>
      <c r="T81" s="167" t="s">
        <v>255</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186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207</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186</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210</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4" t="s">
        <v>210</v>
      </c>
      <c r="G85" s="31"/>
      <c r="H85" s="49">
        <v>46325</v>
      </c>
      <c r="I85" s="55" t="s">
        <v>241</v>
      </c>
      <c r="J85" s="53" t="s">
        <v>44</v>
      </c>
      <c r="K85" s="43">
        <v>46304</v>
      </c>
      <c r="L85" s="43">
        <v>46276</v>
      </c>
      <c r="M85" s="44"/>
      <c r="N85" s="44"/>
      <c r="O85" s="44" t="s">
        <v>249</v>
      </c>
      <c r="P85" s="74" t="s">
        <v>60</v>
      </c>
      <c r="Q85" s="43">
        <v>46313</v>
      </c>
      <c r="R85" s="43"/>
      <c r="S85" s="44"/>
      <c r="T85" s="68" t="s">
        <v>255</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210</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210</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210</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269</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210</v>
      </c>
      <c r="G89" s="31"/>
      <c r="H89" s="49">
        <v>46356</v>
      </c>
      <c r="I89" s="55" t="s">
        <v>264</v>
      </c>
      <c r="J89" s="53" t="s">
        <v>227</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210</v>
      </c>
      <c r="G90" s="31"/>
      <c r="H90" s="49">
        <v>46356</v>
      </c>
      <c r="I90" s="55" t="s">
        <v>264</v>
      </c>
      <c r="J90" s="53" t="s">
        <v>227</v>
      </c>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272</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210</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t="s">
        <v>154</v>
      </c>
      <c r="K93" s="49">
        <v>46332</v>
      </c>
      <c r="L93" s="43"/>
      <c r="M93" s="44"/>
      <c r="N93" s="44"/>
      <c r="O93" s="36" t="s">
        <v>271</v>
      </c>
      <c r="P93" s="74"/>
      <c r="Q93" s="49">
        <v>46339</v>
      </c>
      <c r="R93" s="43"/>
      <c r="S93" s="44"/>
      <c r="T93" s="68" t="s">
        <v>268</v>
      </c>
      <c r="U93" s="46"/>
      <c r="V93" s="28">
        <v>46344</v>
      </c>
      <c r="W93" s="43"/>
      <c r="X93" s="31"/>
      <c r="Y93" s="31"/>
      <c r="Z93" s="36"/>
      <c r="AA93" s="28">
        <v>46356</v>
      </c>
      <c r="AB93" s="43"/>
      <c r="AC93" s="43"/>
      <c r="AD93" s="31" t="s">
        <v>278</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279</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210</v>
      </c>
      <c r="G94" s="31"/>
      <c r="H94" s="49">
        <v>46356</v>
      </c>
      <c r="I94" s="55" t="s">
        <v>264</v>
      </c>
      <c r="J94" s="53" t="s">
        <v>154</v>
      </c>
      <c r="K94" s="49">
        <v>46332</v>
      </c>
      <c r="L94" s="43"/>
      <c r="M94" s="44"/>
      <c r="N94" s="44"/>
      <c r="O94" s="36" t="s">
        <v>271</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280</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210</v>
      </c>
      <c r="G95" s="31"/>
      <c r="H95" s="49">
        <v>46356</v>
      </c>
      <c r="I95" s="55" t="s">
        <v>264</v>
      </c>
      <c r="J95" s="53" t="s">
        <v>76</v>
      </c>
      <c r="K95" s="49">
        <v>46332</v>
      </c>
      <c r="L95" s="43"/>
      <c r="M95" s="44"/>
      <c r="N95" s="44"/>
      <c r="O95" s="36" t="s">
        <v>271</v>
      </c>
      <c r="P95" s="74"/>
      <c r="Q95" s="49">
        <v>46339</v>
      </c>
      <c r="R95" s="43"/>
      <c r="S95" s="44"/>
      <c r="T95" s="68" t="s">
        <v>281</v>
      </c>
      <c r="U95" s="46"/>
      <c r="V95" s="28">
        <v>46344</v>
      </c>
      <c r="W95" s="43"/>
      <c r="X95" s="31"/>
      <c r="Y95" s="31"/>
      <c r="Z95" s="36"/>
      <c r="AA95" s="28">
        <v>46356</v>
      </c>
      <c r="AB95" s="43"/>
      <c r="AC95" s="43"/>
      <c r="AD95" s="31" t="s">
        <v>282</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283</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281</v>
      </c>
      <c r="U96" s="46"/>
      <c r="V96" s="28">
        <v>46344</v>
      </c>
      <c r="W96" s="43"/>
      <c r="X96" s="31"/>
      <c r="Y96" s="31"/>
      <c r="Z96" s="36"/>
      <c r="AA96" s="28">
        <v>46356</v>
      </c>
      <c r="AB96" s="43"/>
      <c r="AC96" s="43"/>
      <c r="AD96" s="31" t="s">
        <v>284</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285</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286</v>
      </c>
      <c r="P97" s="74"/>
      <c r="Q97" s="49">
        <v>46339</v>
      </c>
      <c r="R97" s="43"/>
      <c r="S97" s="44"/>
      <c r="T97" s="68" t="s">
        <v>281</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210</v>
      </c>
      <c r="G98" s="31"/>
      <c r="H98" s="49">
        <v>46356</v>
      </c>
      <c r="I98" s="55" t="s">
        <v>264</v>
      </c>
      <c r="J98" s="53"/>
      <c r="K98" s="49">
        <v>46332</v>
      </c>
      <c r="L98" s="43"/>
      <c r="M98" s="44"/>
      <c r="N98" s="44"/>
      <c r="O98" s="36" t="s">
        <v>286</v>
      </c>
      <c r="P98" s="74"/>
      <c r="Q98" s="49">
        <v>46339</v>
      </c>
      <c r="R98" s="43"/>
      <c r="S98" s="44"/>
      <c r="T98" s="68" t="s">
        <v>281</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281</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286</v>
      </c>
      <c r="P100" s="74"/>
      <c r="Q100" s="49">
        <v>46339</v>
      </c>
      <c r="R100" s="43"/>
      <c r="S100" s="44"/>
      <c r="T100" s="68" t="s">
        <v>281</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294</v>
      </c>
      <c r="B101" s="31" t="s">
        <v>295</v>
      </c>
      <c r="C101" s="31" t="s">
        <v>186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281</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294</v>
      </c>
      <c r="B102" s="31" t="s">
        <v>299</v>
      </c>
      <c r="C102" s="31" t="s">
        <v>207</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294</v>
      </c>
      <c r="B103" s="31" t="s">
        <v>302</v>
      </c>
      <c r="C103" s="31" t="s">
        <v>207</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294</v>
      </c>
      <c r="B105" s="31" t="s">
        <v>307</v>
      </c>
      <c r="C105" s="31" t="s">
        <v>207</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294</v>
      </c>
      <c r="B106" s="31" t="s">
        <v>309</v>
      </c>
      <c r="C106" s="31" t="s">
        <v>207</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294</v>
      </c>
      <c r="B107" s="31" t="s">
        <v>311</v>
      </c>
      <c r="C107" s="31" t="s">
        <v>207</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294</v>
      </c>
      <c r="B108" s="31" t="s">
        <v>313</v>
      </c>
      <c r="C108" s="31" t="s">
        <v>186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294</v>
      </c>
      <c r="B110" s="31" t="s">
        <v>319</v>
      </c>
      <c r="C110" s="31" t="s">
        <v>207</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2">
      <formula>ISNUMBER(SEARCH("Blocked",$D2))</formula>
    </cfRule>
    <cfRule type="expression" dxfId="139" priority="43">
      <formula>ISNUMBER(SEARCH("overdue",$D2))</formula>
    </cfRule>
    <cfRule type="expression" dxfId="138" priority="44">
      <formula>ISNUMBER(SEARCH("no target",$D2))</formula>
    </cfRule>
    <cfRule type="expression" dxfId="137" priority="45">
      <formula>ISNUMBER(SEARCH("Review",$D2))</formula>
    </cfRule>
    <cfRule type="expression" dxfId="136" priority="46">
      <formula>OR($D2="On track",$D2="Delivered")</formula>
    </cfRule>
  </conditionalFormatting>
  <conditionalFormatting sqref="J2:O115">
    <cfRule type="expression" dxfId="135" priority="20">
      <formula>$AJ2="Yes – needs DB Dev to fix"</formula>
    </cfRule>
  </conditionalFormatting>
  <conditionalFormatting sqref="J116:O192">
    <cfRule type="expression" dxfId="134" priority="25">
      <formula>$AH116="Yes – needs DB Dev to fix"</formula>
    </cfRule>
  </conditionalFormatting>
  <conditionalFormatting sqref="K41">
    <cfRule type="expression" dxfId="133" priority="601">
      <formula>AND($B41&lt;&gt;"",MOD(ROW(),2)=0)</formula>
    </cfRule>
    <cfRule type="expression" dxfId="132" priority="602">
      <formula>$AJ41="Yes – needs DB Dev to fix"</formula>
    </cfRule>
  </conditionalFormatting>
  <conditionalFormatting sqref="K42">
    <cfRule type="expression" dxfId="131" priority="603">
      <formula>AND($B41&lt;&gt;"",MOD(ROW(),2)=0)</formula>
    </cfRule>
    <cfRule type="expression" dxfId="130" priority="604">
      <formula>$AJ41="Yes – needs DB Dev to fix"</formula>
    </cfRule>
  </conditionalFormatting>
  <conditionalFormatting sqref="K73:L100">
    <cfRule type="expression" dxfId="129" priority="117">
      <formula>$AF73="Yes – needs DB Dev to fix"</formula>
    </cfRule>
  </conditionalFormatting>
  <conditionalFormatting sqref="K101:L115">
    <cfRule type="expression" dxfId="128" priority="347">
      <formula>$AA101="Yes – needs DB Dev to fix"</formula>
    </cfRule>
  </conditionalFormatting>
  <conditionalFormatting sqref="K116:L527">
    <cfRule type="expression" dxfId="127" priority="574">
      <formula>$X116="Yes – needs DB Dev to fix"</formula>
    </cfRule>
  </conditionalFormatting>
  <conditionalFormatting sqref="M73">
    <cfRule type="expression" dxfId="126" priority="24">
      <formula>$AF73="Yes – needs DB Dev to fix"</formula>
    </cfRule>
  </conditionalFormatting>
  <conditionalFormatting sqref="M79">
    <cfRule type="expression" dxfId="125" priority="11">
      <formula>$AF79="Yes – needs DB Dev to fix"</formula>
    </cfRule>
  </conditionalFormatting>
  <conditionalFormatting sqref="M73:P100">
    <cfRule type="expression" dxfId="124" priority="302">
      <formula>$AD73="Yes – needs PBI Dev to fix"</formula>
    </cfRule>
  </conditionalFormatting>
  <conditionalFormatting sqref="M101:P115">
    <cfRule type="expression" dxfId="123" priority="349">
      <formula>$AA101="Yes – needs PBI Dev to fix"</formula>
    </cfRule>
  </conditionalFormatting>
  <conditionalFormatting sqref="M116:P527">
    <cfRule type="expression" dxfId="122" priority="575">
      <formula>$X116="Yes – needs PBI Dev to fix"</formula>
    </cfRule>
  </conditionalFormatting>
  <conditionalFormatting sqref="O101:O113">
    <cfRule type="expression" dxfId="121" priority="23">
      <formula>$AD101="Yes – needs PBI Dev to fix"</formula>
    </cfRule>
  </conditionalFormatting>
  <conditionalFormatting sqref="Q73:Q100">
    <cfRule type="expression" dxfId="120" priority="18">
      <formula>$AJ73="Yes – needs DB Dev to fix"</formula>
    </cfRule>
    <cfRule type="expression" dxfId="119" priority="19">
      <formula>$AF73="Yes – needs DB Dev to fix"</formula>
    </cfRule>
    <cfRule type="expression" dxfId="118" priority="121">
      <formula>$AF73="Yes – needs PBI Dev to fix"</formula>
    </cfRule>
  </conditionalFormatting>
  <conditionalFormatting sqref="Q101:R115 V101:V115 X101:X115">
    <cfRule type="expression" dxfId="117" priority="17">
      <formula>$AA101="Yes – needs QA to fix"</formula>
    </cfRule>
  </conditionalFormatting>
  <conditionalFormatting sqref="Q116:R527">
    <cfRule type="expression" dxfId="116" priority="576">
      <formula>$X116="Yes – needs QA to fix"</formula>
    </cfRule>
  </conditionalFormatting>
  <conditionalFormatting sqref="U10:V19 X10:X19 J29 M29:P29 J32:J33 M32:P33 K40:K41 M40:P41 Q65 T65:U65 V101:V115 X101:X115 Q2:U64 Q66:U115">
    <cfRule type="expression" dxfId="115" priority="32">
      <formula>$AJ2="Yes – needs PBI Dev to fix"</formula>
    </cfRule>
  </conditionalFormatting>
  <conditionalFormatting sqref="R58">
    <cfRule type="expression" dxfId="114" priority="317">
      <formula>AND($B65&lt;&gt;"",MOD(ROW(),2)=0)</formula>
    </cfRule>
    <cfRule type="expression" dxfId="113" priority="319">
      <formula>$AJ65="Yes – needs PBI Dev to fix"</formula>
    </cfRule>
  </conditionalFormatting>
  <conditionalFormatting sqref="R73:U100 T96:T101">
    <cfRule type="expression" dxfId="112" priority="123">
      <formula>$AF73="Yes – needs QA to fix"</formula>
    </cfRule>
  </conditionalFormatting>
  <conditionalFormatting sqref="S101:U115">
    <cfRule type="expression" dxfId="111" priority="363">
      <formula>$AA101="Yes – needs DPO Approval to fix"</formula>
    </cfRule>
  </conditionalFormatting>
  <conditionalFormatting sqref="S116:U527">
    <cfRule type="expression" dxfId="110" priority="577">
      <formula>$X116="Yes – needs DPO Approval to fix"</formula>
    </cfRule>
  </conditionalFormatting>
  <conditionalFormatting sqref="U101:V527 X101:X527">
    <cfRule type="expression" dxfId="109" priority="50">
      <formula>$V101="Yes"</formula>
    </cfRule>
  </conditionalFormatting>
  <conditionalFormatting sqref="U73:Y100">
    <cfRule type="expression" dxfId="108" priority="125">
      <formula>$AF73="Yes – needs DPO Approval to fix"</formula>
    </cfRule>
  </conditionalFormatting>
  <conditionalFormatting sqref="X116:X527">
    <cfRule type="expression" dxfId="107" priority="578">
      <formula>LEFT($X116,3)="Yes"</formula>
    </cfRule>
  </conditionalFormatting>
  <conditionalFormatting sqref="X73:Z100">
    <cfRule type="expression" dxfId="106" priority="477">
      <formula>$Y73="Yes"</formula>
    </cfRule>
  </conditionalFormatting>
  <conditionalFormatting sqref="Z116:AA527">
    <cfRule type="expression" dxfId="105" priority="55">
      <formula>ISNUMBER(SEARCH("Move old",$Z116))</formula>
    </cfRule>
    <cfRule type="expression" dxfId="104" priority="55">
      <formula>ISNUMBER(SEARCH("log it",$Z116))</formula>
    </cfRule>
    <cfRule type="expression" dxfId="103" priority="55">
      <formula>ISNUMBER(SEARCH("Open rework",$Z116))</formula>
    </cfRule>
    <cfRule type="expression" dxfId="102" priority="56">
      <formula>ISNUMBER(SEARCH("Duplicate",$Z116))</formula>
    </cfRule>
    <cfRule type="expression" dxfId="101" priority="57">
      <formula>$Z116&lt;&gt;""</formula>
    </cfRule>
  </conditionalFormatting>
  <conditionalFormatting sqref="Z116:AC527 G2:V40 N3:N44 L41:V42 T65:V65 G41:J42 Z2:AL2 Z3 Z4:AL41 Z42:AK42 Z43:AL44 Z45:AK47 Z101:AE115 AB3:AL3 G65:Q65 Z48:AL72 Z73:AH100 G43:V64 G66:V73 A2:F87 W2:Y527 A74:V527">
    <cfRule type="expression" dxfId="100" priority="58">
      <formula>AND($B2&lt;&gt;"",MOD(ROW(),2)=0)</formula>
    </cfRule>
  </conditionalFormatting>
  <conditionalFormatting sqref="AA3">
    <cfRule type="expression" dxfId="99" priority="605">
      <formula>AND($B3&lt;&gt;"",MOD(ROW(),2)=0)</formula>
    </cfRule>
    <cfRule type="expression" dxfId="98" priority="606">
      <formula>$AJ3="Yes – needs DPO Approval to fix"</formula>
    </cfRule>
  </conditionalFormatting>
  <conditionalFormatting sqref="AA101:AA115 U2:Z115">
    <cfRule type="expression" dxfId="97" priority="15">
      <formula>$AJ2="Yes – needs QA to fix"</formula>
    </cfRule>
  </conditionalFormatting>
  <conditionalFormatting sqref="AA101:AA115">
    <cfRule type="expression" dxfId="96" priority="12">
      <formula>$AJ101="Yes – needs PBI Dev to fix"</formula>
    </cfRule>
    <cfRule type="expression" dxfId="95" priority="13">
      <formula>$AA101="Yes – needs QA to fix"</formula>
    </cfRule>
    <cfRule type="expression" dxfId="94" priority="14">
      <formula>$V101="Yes"</formula>
    </cfRule>
    <cfRule type="expression" dxfId="93" priority="371">
      <formula>LEFT($AA101,3)="Yes"</formula>
    </cfRule>
  </conditionalFormatting>
  <conditionalFormatting sqref="AA2:AE2 AB3:AE3 AA4:AE100">
    <cfRule type="expression" dxfId="92" priority="99">
      <formula>$AJ2="Yes – needs DPO Approval to fix"</formula>
    </cfRule>
  </conditionalFormatting>
  <conditionalFormatting sqref="AB101:AC115">
    <cfRule type="expression" dxfId="91" priority="379">
      <formula>ISNUMBER(SEARCH("Open rework",$AB101))</formula>
    </cfRule>
    <cfRule type="expression" dxfId="90" priority="380">
      <formula>ISNUMBER(SEARCH("Move old",$AB101))</formula>
    </cfRule>
    <cfRule type="expression" dxfId="89" priority="381">
      <formula>ISNUMBER(SEARCH("log it",$AB101))</formula>
    </cfRule>
    <cfRule type="expression" dxfId="88" priority="382">
      <formula>ISNUMBER(SEARCH("Duplicate",$AB101))</formula>
    </cfRule>
    <cfRule type="expression" dxfId="87" priority="383">
      <formula>$AB101&lt;&gt;""</formula>
    </cfRule>
  </conditionalFormatting>
  <conditionalFormatting sqref="AF2:AF115">
    <cfRule type="expression" dxfId="86" priority="71">
      <formula>$AF2="Yes"</formula>
    </cfRule>
  </conditionalFormatting>
  <conditionalFormatting sqref="AF73:AF100">
    <cfRule type="expression" dxfId="85" priority="129">
      <formula>LEFT($AF73,3)="Yes"</formula>
    </cfRule>
  </conditionalFormatting>
  <conditionalFormatting sqref="AG73:AG100">
    <cfRule type="expression" dxfId="84" priority="135">
      <formula>ISNUMBER(SEARCH("Open rework",$AG73))</formula>
    </cfRule>
    <cfRule type="expression" dxfId="83" priority="136">
      <formula>ISNUMBER(SEARCH("Move old",$AG73))</formula>
    </cfRule>
    <cfRule type="expression" dxfId="82" priority="137">
      <formula>ISNUMBER(SEARCH("log it",$AG73))</formula>
    </cfRule>
    <cfRule type="expression" dxfId="81" priority="138">
      <formula>ISNUMBER(SEARCH("Duplicate",$AG73))</formula>
    </cfRule>
    <cfRule type="expression" dxfId="80" priority="139">
      <formula>$AG73&lt;&gt;""</formula>
    </cfRule>
  </conditionalFormatting>
  <conditionalFormatting sqref="AJ2:AJ115">
    <cfRule type="expression" dxfId="79" priority="73">
      <formula>LEFT($AJ2,3)="Yes"</formula>
    </cfRule>
  </conditionalFormatting>
  <conditionalFormatting sqref="AK2:AK115">
    <cfRule type="expression" dxfId="78" priority="79">
      <formula>ISNUMBER(SEARCH("log it",$AK2))</formula>
    </cfRule>
    <cfRule type="expression" dxfId="77" priority="80">
      <formula>ISNUMBER(SEARCH("Open rework",$AK2))</formula>
    </cfRule>
    <cfRule type="expression" dxfId="76" priority="81">
      <formula>ISNUMBER(SEARCH("Move old",$AK2))</formula>
    </cfRule>
    <cfRule type="expression" dxfId="75" priority="82">
      <formula>ISNUMBER(SEARCH("Duplicate",$AK2))</formula>
    </cfRule>
    <cfRule type="expression" dxfId="74" priority="83">
      <formula>$AK2&lt;&gt;""</formula>
    </cfRule>
  </conditionalFormatting>
  <conditionalFormatting sqref="AL45:AL47">
    <cfRule type="expression" dxfId="73" priority="22">
      <formula>AND($B49&lt;&gt;"",MOD(ROW(),2)=0)</formula>
    </cfRule>
  </conditionalFormatting>
  <conditionalFormatting sqref="D88">
    <cfRule type="expression" dxfId="72" priority="618">
      <formula>AND($B50&lt;&gt;"",MOD(ROW(),2)=0)</formula>
    </cfRule>
  </conditionalFormatting>
  <conditionalFormatting sqref="R60">
    <cfRule type="expression" dxfId="71" priority="9">
      <formula>AND($B67&lt;&gt;"",MOD(ROW(),2)=0)</formula>
    </cfRule>
    <cfRule type="expression" dxfId="70" priority="10">
      <formula>$AJ67="Yes – needs PBI Dev to fix"</formula>
    </cfRule>
  </conditionalFormatting>
  <conditionalFormatting sqref="R60:S60">
    <cfRule type="expression" dxfId="69" priority="7">
      <formula>AND($B67&lt;&gt;"",MOD(ROW(),2)=0)</formula>
    </cfRule>
    <cfRule type="expression" dxfId="68" priority="8">
      <formula>$AJ67="Yes – needs PBI Dev to fix"</formula>
    </cfRule>
  </conditionalFormatting>
  <conditionalFormatting sqref="N70">
    <cfRule type="expression" dxfId="67" priority="6">
      <formula>$AD70="Yes – needs PBI Dev to fix"</formula>
    </cfRule>
  </conditionalFormatting>
  <conditionalFormatting sqref="N58">
    <cfRule type="expression" dxfId="66" priority="5">
      <formula>$AD58="Yes – needs PBI Dev to fix"</formula>
    </cfRule>
  </conditionalFormatting>
  <conditionalFormatting sqref="M91">
    <cfRule type="expression" dxfId="65" priority="4">
      <formula>$AF91="Yes – needs DB Dev to fix"</formula>
    </cfRule>
  </conditionalFormatting>
  <conditionalFormatting sqref="M80">
    <cfRule type="expression" dxfId="64" priority="3">
      <formula>$AF80="Yes – needs DB Dev to fix"</formula>
    </cfRule>
  </conditionalFormatting>
  <conditionalFormatting sqref="N82">
    <cfRule type="expression" dxfId="63" priority="2">
      <formula>$AD82="Yes – needs PBI Dev to fix"</formula>
    </cfRule>
  </conditionalFormatting>
  <conditionalFormatting sqref="M83">
    <cfRule type="expression" dxfId="62" priority="1">
      <formula>$AF83="Yes – needs DB Dev to fix"</formula>
    </cfRule>
  </conditionalFormatting>
  <conditionalFormatting sqref="C2:C115">
    <cfRule type="expression" dxfId="61"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2" t="str">
        <f>IF($B$4="","",IFERROR(INDEX('Combined Delivery Data'!$A:$A,MATCH($B$4,'Combined Delivery Data'!$B:$B,0)),""))</f>
        <v/>
      </c>
      <c r="C6" s="176"/>
      <c r="D6" s="176"/>
      <c r="E6" s="177"/>
    </row>
    <row r="7" spans="1:5">
      <c r="A7" s="42" t="s">
        <v>331</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332</v>
      </c>
      <c r="B14" s="171" t="str">
        <f>IF($B$4="","",IFERROR(INDEX('Combined Delivery Data'!$K:$K,MATCH($B$4,'Combined Delivery Data'!$B:$B,0)),""))</f>
        <v/>
      </c>
      <c r="C14" s="176"/>
      <c r="D14" s="176"/>
      <c r="E14" s="177"/>
    </row>
    <row r="15" spans="1:5">
      <c r="A15" s="42" t="s">
        <v>333</v>
      </c>
      <c r="B15" s="171" t="str">
        <f>IF($B$4="","",IFERROR(INDEX('Combined Delivery Data'!$L:$L,MATCH($B$4,'Combined Delivery Data'!$B:$B,0)),""))</f>
        <v/>
      </c>
      <c r="C15" s="176"/>
      <c r="D15" s="176"/>
      <c r="E15" s="177"/>
    </row>
    <row r="16" spans="1:5">
      <c r="A16" s="42" t="s">
        <v>334</v>
      </c>
      <c r="B16" s="171" t="str">
        <f>IF($B$4="","",IFERROR(INDEX('Combined Delivery Data'!$M:$M,MATCH($B$4,'Combined Delivery Data'!$B:$B,0)),""))</f>
        <v/>
      </c>
      <c r="C16" s="176"/>
      <c r="D16" s="176"/>
      <c r="E16" s="177"/>
    </row>
    <row r="17" spans="1:5">
      <c r="A17" s="42" t="s">
        <v>335</v>
      </c>
      <c r="B17" s="171" t="str">
        <f>IF($B$4="","",IFERROR(INDEX('Combined Delivery Data'!$O:$O,MATCH($B$4,'Combined Delivery Data'!$B:$B,0)),""))</f>
        <v/>
      </c>
      <c r="C17" s="176"/>
      <c r="D17" s="176"/>
      <c r="E17" s="177"/>
    </row>
    <row r="18" spans="1:5">
      <c r="A18" s="42" t="s">
        <v>336</v>
      </c>
      <c r="B18" s="171" t="str">
        <f>IF($B$4="","",IFERROR(INDEX('Combined Delivery Data'!$Q:$Q,MATCH($B$4,'Combined Delivery Data'!$B:$B,0)),""))</f>
        <v/>
      </c>
      <c r="C18" s="176"/>
      <c r="D18" s="176"/>
      <c r="E18" s="177"/>
    </row>
    <row r="19" spans="1:5">
      <c r="A19" s="42" t="s">
        <v>337</v>
      </c>
      <c r="B19" s="171" t="str">
        <f>IF($B$4="","",IFERROR(INDEX('Combined Delivery Data'!$R:$R,MATCH($B$4,'Combined Delivery Data'!$B:$B,0)),""))</f>
        <v/>
      </c>
      <c r="C19" s="176"/>
      <c r="D19" s="176"/>
      <c r="E19" s="177"/>
    </row>
    <row r="20" spans="1:5">
      <c r="A20" s="42" t="s">
        <v>338</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9" activePane="bottomLeft" state="frozen"/>
      <selection pane="bottomLeft" activeCell="L45" sqref="L45"/>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56"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194</v>
      </c>
      <c r="D3" s="33" t="s">
        <v>186</v>
      </c>
      <c r="E3" s="33" t="s">
        <v>143</v>
      </c>
      <c r="F3" s="33" t="s">
        <v>358</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194</v>
      </c>
      <c r="D4" s="31" t="s">
        <v>186</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194</v>
      </c>
      <c r="D5" s="31" t="s">
        <v>186</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194</v>
      </c>
      <c r="D6" s="31" t="s">
        <v>186</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194</v>
      </c>
      <c r="D7" s="31" t="s">
        <v>186</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194</v>
      </c>
      <c r="D8" s="31" t="s">
        <v>186</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194</v>
      </c>
      <c r="D9" s="31" t="s">
        <v>186</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c r="A10" s="31" t="s">
        <v>142</v>
      </c>
      <c r="B10" s="32">
        <v>46237</v>
      </c>
      <c r="C10" s="31" t="s">
        <v>194</v>
      </c>
      <c r="D10" s="31" t="s">
        <v>186</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c r="A11" s="53" t="s">
        <v>134</v>
      </c>
      <c r="B11" s="32">
        <v>46254</v>
      </c>
      <c r="C11" s="31" t="s">
        <v>194</v>
      </c>
      <c r="D11" s="31" t="s">
        <v>186</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194</v>
      </c>
      <c r="D12" s="31" t="s">
        <v>186</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c r="A13" s="53" t="s">
        <v>138</v>
      </c>
      <c r="B13" s="32">
        <v>46258</v>
      </c>
      <c r="C13" s="31" t="s">
        <v>194</v>
      </c>
      <c r="D13" s="31" t="s">
        <v>186</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194</v>
      </c>
      <c r="D14" s="31" t="s">
        <v>207</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194</v>
      </c>
      <c r="D15" s="31" t="s">
        <v>207</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194</v>
      </c>
      <c r="D16" s="31" t="s">
        <v>186</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194</v>
      </c>
      <c r="D17" s="31" t="s">
        <v>207</v>
      </c>
      <c r="E17" s="31" t="s">
        <v>143</v>
      </c>
      <c r="F17" s="31" t="s">
        <v>373</v>
      </c>
      <c r="G17" s="31" t="s">
        <v>50</v>
      </c>
      <c r="H17" s="32" t="s">
        <v>46</v>
      </c>
      <c r="I17" s="32"/>
      <c r="J17" s="32"/>
      <c r="K17" s="31"/>
      <c r="L17" s="31"/>
      <c r="M17" s="3"/>
      <c r="S17" s="28"/>
    </row>
    <row r="18" spans="1:20">
      <c r="A18" s="33" t="s">
        <v>180</v>
      </c>
      <c r="B18" s="32">
        <v>46261</v>
      </c>
      <c r="C18" s="31" t="s">
        <v>194</v>
      </c>
      <c r="D18" s="31" t="s">
        <v>186</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194</v>
      </c>
      <c r="D19" s="31" t="s">
        <v>207</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194</v>
      </c>
      <c r="D20" s="31" t="s">
        <v>207</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c r="A21" s="31" t="s">
        <v>174</v>
      </c>
      <c r="B21" s="32">
        <v>46265</v>
      </c>
      <c r="C21" s="31" t="s">
        <v>194</v>
      </c>
      <c r="D21" s="31" t="s">
        <v>186</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194</v>
      </c>
      <c r="D22" s="31" t="s">
        <v>186</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c r="A23" s="31" t="s">
        <v>169</v>
      </c>
      <c r="B23" s="32">
        <v>46266</v>
      </c>
      <c r="C23" s="31" t="s">
        <v>194</v>
      </c>
      <c r="D23" s="31" t="s">
        <v>207</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194</v>
      </c>
      <c r="D24" s="31" t="s">
        <v>207</v>
      </c>
      <c r="E24" s="31" t="s">
        <v>47</v>
      </c>
      <c r="F24" s="31" t="s">
        <v>382</v>
      </c>
      <c r="G24" s="31" t="s">
        <v>50</v>
      </c>
      <c r="H24" s="32" t="s">
        <v>46</v>
      </c>
      <c r="I24" s="168">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194</v>
      </c>
      <c r="D25" s="31" t="s">
        <v>207</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c r="A26" s="53" t="s">
        <v>185</v>
      </c>
      <c r="B26" s="32">
        <v>46267</v>
      </c>
      <c r="C26" s="31" t="s">
        <v>194</v>
      </c>
      <c r="D26" s="31" t="s">
        <v>207</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19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194</v>
      </c>
      <c r="D27" s="31" t="s">
        <v>186</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c r="A28" s="31" t="s">
        <v>155</v>
      </c>
      <c r="B28" s="32">
        <v>46267</v>
      </c>
      <c r="C28" s="31" t="s">
        <v>194</v>
      </c>
      <c r="D28" s="31" t="s">
        <v>207</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c r="A29" s="31" t="s">
        <v>136</v>
      </c>
      <c r="B29" s="32">
        <v>46267</v>
      </c>
      <c r="C29" s="31" t="s">
        <v>194</v>
      </c>
      <c r="D29" s="31" t="s">
        <v>207</v>
      </c>
      <c r="E29" s="31" t="s">
        <v>129</v>
      </c>
      <c r="F29" s="31" t="s">
        <v>385</v>
      </c>
      <c r="G29" s="31" t="s">
        <v>50</v>
      </c>
      <c r="H29" s="32" t="s">
        <v>77</v>
      </c>
      <c r="I29" s="32"/>
      <c r="J29" s="32">
        <v>46267</v>
      </c>
      <c r="K29" s="31" t="s">
        <v>77</v>
      </c>
      <c r="L29" s="113"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194</v>
      </c>
      <c r="D30" s="31" t="s">
        <v>207</v>
      </c>
      <c r="E30" s="31" t="s">
        <v>129</v>
      </c>
      <c r="F30" s="31" t="s">
        <v>385</v>
      </c>
      <c r="G30" s="31" t="s">
        <v>50</v>
      </c>
      <c r="H30" s="32" t="s">
        <v>77</v>
      </c>
      <c r="I30" s="32"/>
      <c r="J30" s="32">
        <v>46267</v>
      </c>
      <c r="K30" s="31" t="s">
        <v>77</v>
      </c>
      <c r="L30" s="113"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194</v>
      </c>
      <c r="D31" s="31" t="s">
        <v>186</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194</v>
      </c>
      <c r="D32" s="31" t="s">
        <v>186</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194</v>
      </c>
      <c r="D33" s="31" t="s">
        <v>186</v>
      </c>
      <c r="E33" s="31" t="s">
        <v>201</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194</v>
      </c>
      <c r="D34" s="31" t="s">
        <v>186</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194</v>
      </c>
      <c r="D35" s="31" t="s">
        <v>207</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194</v>
      </c>
      <c r="D36" s="31" t="s">
        <v>186</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194</v>
      </c>
      <c r="D37" s="31" t="s">
        <v>186</v>
      </c>
      <c r="E37" s="31" t="s">
        <v>129</v>
      </c>
      <c r="F37" s="31" t="s">
        <v>394</v>
      </c>
      <c r="G37" s="31" t="s">
        <v>53</v>
      </c>
      <c r="H37" s="32" t="s">
        <v>65</v>
      </c>
      <c r="I37" s="32"/>
      <c r="J37" s="32"/>
      <c r="K37" s="31"/>
      <c r="L37" s="31"/>
      <c r="M37" s="3" t="str">
        <f t="shared" ca="1" si="4"/>
        <v>UNCLAIMED 11 d</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194</v>
      </c>
      <c r="D38" s="31" t="s">
        <v>186</v>
      </c>
      <c r="E38" s="31" t="s">
        <v>129</v>
      </c>
      <c r="F38" s="31" t="s">
        <v>395</v>
      </c>
      <c r="G38" s="31" t="s">
        <v>53</v>
      </c>
      <c r="H38" s="32" t="s">
        <v>154</v>
      </c>
      <c r="I38" s="32">
        <v>46282</v>
      </c>
      <c r="J38" s="32">
        <v>46282</v>
      </c>
      <c r="K38" s="31" t="s">
        <v>154</v>
      </c>
      <c r="L38" s="31" t="s">
        <v>396</v>
      </c>
      <c r="M38" s="3" t="str">
        <f t="shared" ca="1" si="4"/>
        <v>Fixed</v>
      </c>
      <c r="N38" t="s">
        <v>368</v>
      </c>
      <c r="P38" t="str">
        <f>'Combined Delivery Data'!B38</f>
        <v>RPT_02_Fixed Factor</v>
      </c>
      <c r="Q38">
        <f t="shared" si="5"/>
        <v>2</v>
      </c>
      <c r="R38">
        <f t="shared" si="6"/>
        <v>0</v>
      </c>
      <c r="S38" s="28">
        <f t="shared" si="7"/>
        <v>46251</v>
      </c>
      <c r="T38" t="str">
        <f t="shared" si="8"/>
        <v>QA -&gt; DB Dev</v>
      </c>
    </row>
    <row r="39" spans="1:20">
      <c r="A39" s="31" t="s">
        <v>190</v>
      </c>
      <c r="B39" s="32">
        <v>46279</v>
      </c>
      <c r="C39" s="31" t="s">
        <v>194</v>
      </c>
      <c r="D39" s="31" t="s">
        <v>207</v>
      </c>
      <c r="E39" s="31" t="s">
        <v>143</v>
      </c>
      <c r="F39" s="31" t="s">
        <v>397</v>
      </c>
      <c r="G39" s="31" t="s">
        <v>50</v>
      </c>
      <c r="H39" s="32" t="s">
        <v>77</v>
      </c>
      <c r="I39" s="32">
        <v>46281</v>
      </c>
      <c r="J39" s="32">
        <v>46281</v>
      </c>
      <c r="K39" s="31" t="s">
        <v>77</v>
      </c>
      <c r="L39" s="31" t="s">
        <v>398</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209</v>
      </c>
      <c r="B40" s="32">
        <v>46280</v>
      </c>
      <c r="C40" s="31" t="s">
        <v>194</v>
      </c>
      <c r="D40" s="31" t="s">
        <v>186</v>
      </c>
      <c r="E40" s="31" t="s">
        <v>47</v>
      </c>
      <c r="F40" s="31" t="s">
        <v>399</v>
      </c>
      <c r="G40" s="31" t="s">
        <v>50</v>
      </c>
      <c r="H40" s="32" t="s">
        <v>44</v>
      </c>
      <c r="I40" s="32">
        <v>46283</v>
      </c>
      <c r="J40" s="32">
        <v>46283</v>
      </c>
      <c r="K40" s="31"/>
      <c r="L40" s="31" t="s">
        <v>400</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c r="A41" s="31" t="s">
        <v>204</v>
      </c>
      <c r="B41" s="32">
        <v>46281</v>
      </c>
      <c r="C41" s="31" t="s">
        <v>194</v>
      </c>
      <c r="D41" s="31" t="s">
        <v>207</v>
      </c>
      <c r="E41" s="31" t="s">
        <v>201</v>
      </c>
      <c r="F41" s="31" t="s">
        <v>401</v>
      </c>
      <c r="G41" s="31" t="s">
        <v>50</v>
      </c>
      <c r="H41" s="32" t="s">
        <v>46</v>
      </c>
      <c r="I41" s="32"/>
      <c r="J41" s="32"/>
      <c r="K41" s="31"/>
      <c r="L41" s="31"/>
      <c r="M41" s="3" t="str">
        <f t="shared" ca="1" si="4"/>
        <v>UNCLAIMED 5 d</v>
      </c>
      <c r="P41" t="str">
        <f>'Combined Delivery Data'!B41</f>
        <v>RPT_02_GRO Control</v>
      </c>
      <c r="Q41">
        <f t="shared" si="5"/>
        <v>0</v>
      </c>
      <c r="R41">
        <f t="shared" si="6"/>
        <v>0</v>
      </c>
      <c r="S41" s="28" t="str">
        <f t="shared" si="7"/>
        <v/>
      </c>
      <c r="T41" t="str">
        <f t="shared" si="8"/>
        <v/>
      </c>
    </row>
    <row r="42" spans="1:20">
      <c r="A42" s="31" t="s">
        <v>211</v>
      </c>
      <c r="B42" s="32">
        <v>46282</v>
      </c>
      <c r="C42" s="31" t="s">
        <v>194</v>
      </c>
      <c r="D42" s="31" t="s">
        <v>186</v>
      </c>
      <c r="E42" s="31" t="s">
        <v>47</v>
      </c>
      <c r="F42" s="31" t="s">
        <v>402</v>
      </c>
      <c r="G42" s="31" t="s">
        <v>50</v>
      </c>
      <c r="H42" s="32" t="s">
        <v>154</v>
      </c>
      <c r="I42" s="32">
        <v>46282</v>
      </c>
      <c r="J42" s="32">
        <v>46282</v>
      </c>
      <c r="K42" s="31"/>
      <c r="L42" s="31" t="s">
        <v>403</v>
      </c>
      <c r="M42" s="3" t="str">
        <f t="shared" ca="1" si="4"/>
        <v>Fixed</v>
      </c>
      <c r="P42" t="str">
        <f>'Combined Delivery Data'!B42</f>
        <v>RPT_02_GRO Monitor</v>
      </c>
      <c r="Q42">
        <f t="shared" si="5"/>
        <v>0</v>
      </c>
      <c r="R42">
        <f t="shared" si="6"/>
        <v>0</v>
      </c>
      <c r="S42" s="28" t="str">
        <f t="shared" si="7"/>
        <v/>
      </c>
      <c r="T42" t="str">
        <f t="shared" si="8"/>
        <v/>
      </c>
    </row>
    <row r="43" spans="1:20">
      <c r="A43" s="31"/>
      <c r="B43" s="32"/>
      <c r="C43" s="31" t="s">
        <v>194</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c r="A44" s="31"/>
      <c r="B44" s="32"/>
      <c r="C44" s="31" t="s">
        <v>194</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194</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194</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194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194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194</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194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194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194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194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194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194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194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194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194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194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194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194</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c r="A62" s="31"/>
      <c r="B62" s="32"/>
      <c r="C62" s="31" t="s">
        <v>194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194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194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194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194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194</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194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194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194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194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194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194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194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194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194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194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194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194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194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194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194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194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194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194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194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194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194</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194</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c r="A90" s="31"/>
      <c r="B90" s="32"/>
      <c r="C90" s="31" t="s">
        <v>194</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c r="A91" s="31"/>
      <c r="B91" s="32"/>
      <c r="C91" s="31" t="s">
        <v>194</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c r="A92" s="31"/>
      <c r="B92" s="32"/>
      <c r="C92" s="31" t="s">
        <v>194</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c r="A93" s="31"/>
      <c r="B93" s="32"/>
      <c r="C93" s="31" t="s">
        <v>194</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c r="A94" s="31"/>
      <c r="B94" s="32"/>
      <c r="C94" s="31" t="s">
        <v>194</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c r="A95" s="31"/>
      <c r="B95" s="32"/>
      <c r="C95" s="31" t="s">
        <v>194</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c r="A96" s="31"/>
      <c r="B96" s="32"/>
      <c r="C96" s="31" t="s">
        <v>194</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c r="A97" s="31"/>
      <c r="B97" s="32"/>
      <c r="C97" s="31" t="s">
        <v>194</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c r="A98" s="31"/>
      <c r="B98" s="32"/>
      <c r="C98" s="31" t="s">
        <v>194</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c r="A99" s="31"/>
      <c r="B99" s="32"/>
      <c r="C99" s="31" t="s">
        <v>194</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c r="A100" s="31"/>
      <c r="B100" s="32"/>
      <c r="C100" s="31" t="s">
        <v>194</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c r="A101" s="31"/>
      <c r="B101" s="32"/>
      <c r="C101" s="31" t="s">
        <v>194</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c r="A102" s="31"/>
      <c r="B102" s="32"/>
      <c r="C102" s="31" t="s">
        <v>194</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c r="A103" s="31"/>
      <c r="B103" s="32"/>
      <c r="C103" s="31" t="s">
        <v>194</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c r="A104" s="31"/>
      <c r="B104" s="32"/>
      <c r="C104" s="31" t="s">
        <v>194</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c r="A105" s="31"/>
      <c r="B105" s="32"/>
      <c r="C105" s="31" t="s">
        <v>194</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c r="A106" s="31"/>
      <c r="B106" s="32"/>
      <c r="C106" s="31" t="s">
        <v>194</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c r="A107" s="31"/>
      <c r="B107" s="32"/>
      <c r="C107" s="31" t="s">
        <v>194</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c r="A108" s="31"/>
      <c r="B108" s="32"/>
      <c r="C108" s="31" t="s">
        <v>194</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c r="A109" s="31"/>
      <c r="B109" s="32"/>
      <c r="C109" s="31" t="s">
        <v>194</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c r="A110" s="31"/>
      <c r="B110" s="32"/>
      <c r="C110" s="31" t="s">
        <v>194</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c r="A111" s="31"/>
      <c r="B111" s="32"/>
      <c r="C111" s="31" t="s">
        <v>194</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c r="A112" s="31"/>
      <c r="B112" s="32"/>
      <c r="C112" s="31" t="s">
        <v>194</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c r="A113" s="31"/>
      <c r="B113" s="32"/>
      <c r="C113" s="31" t="s">
        <v>194</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c r="A114" s="31"/>
      <c r="B114" s="32"/>
      <c r="C114" s="31" t="s">
        <v>194</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c r="A115" s="31"/>
      <c r="B115" s="32"/>
      <c r="C115" s="31" t="s">
        <v>194</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c r="A116" s="31"/>
      <c r="B116" s="32"/>
      <c r="C116" s="31" t="s">
        <v>194</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c r="A117" s="31"/>
      <c r="B117" s="32"/>
      <c r="C117" s="31" t="s">
        <v>194</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c r="A118" s="31"/>
      <c r="B118" s="32"/>
      <c r="C118" s="31" t="s">
        <v>194</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c r="A119" s="31"/>
      <c r="B119" s="32"/>
      <c r="C119" s="31" t="s">
        <v>194</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c r="A120" s="31"/>
      <c r="B120" s="32"/>
      <c r="C120" s="31" t="s">
        <v>194</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c r="A121" s="31"/>
      <c r="B121" s="32"/>
      <c r="C121" s="31" t="s">
        <v>194</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c r="A122" s="31"/>
      <c r="B122" s="32"/>
      <c r="C122" s="31" t="s">
        <v>194</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c r="A123" s="31"/>
      <c r="B123" s="32"/>
      <c r="C123" s="31" t="s">
        <v>194</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c r="A124" s="31"/>
      <c r="B124" s="32"/>
      <c r="C124" s="31" t="s">
        <v>194</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c r="A125" s="31"/>
      <c r="B125" s="32"/>
      <c r="C125" s="31" t="s">
        <v>194</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c r="A126" s="31"/>
      <c r="B126" s="32"/>
      <c r="C126" s="31" t="s">
        <v>194</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c r="A127" s="31"/>
      <c r="B127" s="32"/>
      <c r="C127" s="31" t="s">
        <v>194</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c r="A128" s="31"/>
      <c r="B128" s="32"/>
      <c r="C128" s="31" t="s">
        <v>194</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c r="A129" s="31"/>
      <c r="B129" s="32"/>
      <c r="C129" s="31" t="s">
        <v>194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c r="A130" s="31"/>
      <c r="B130" s="32"/>
      <c r="C130" s="31" t="s">
        <v>194</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c r="A131" s="31"/>
      <c r="B131" s="32"/>
      <c r="C131" s="31" t="s">
        <v>194</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c r="A132" s="31"/>
      <c r="B132" s="32"/>
      <c r="C132" s="31" t="s">
        <v>194</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c r="A133" s="31"/>
      <c r="B133" s="32"/>
      <c r="C133" s="31" t="s">
        <v>194</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c r="A134" s="31"/>
      <c r="B134" s="32"/>
      <c r="C134" s="31" t="s">
        <v>194</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c r="A135" s="31"/>
      <c r="B135" s="32"/>
      <c r="C135" s="31" t="s">
        <v>194</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c r="A136" s="31"/>
      <c r="B136" s="32"/>
      <c r="C136" s="31" t="s">
        <v>194</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c r="A137" s="31"/>
      <c r="B137" s="32"/>
      <c r="C137" s="31" t="s">
        <v>194</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c r="A138" s="31"/>
      <c r="B138" s="32"/>
      <c r="C138" s="31" t="s">
        <v>194</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c r="A139" s="31"/>
      <c r="B139" s="32"/>
      <c r="C139" s="31" t="s">
        <v>194</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c r="A140" s="31"/>
      <c r="B140" s="32"/>
      <c r="C140" s="31" t="s">
        <v>194</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c r="A141" s="31"/>
      <c r="B141" s="32"/>
      <c r="C141" s="31" t="s">
        <v>194</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c r="A142" s="31"/>
      <c r="B142" s="32"/>
      <c r="C142" s="31" t="s">
        <v>194</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c r="A143" s="31"/>
      <c r="B143" s="32"/>
      <c r="C143" s="31" t="s">
        <v>194</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c r="A144" s="31"/>
      <c r="B144" s="32"/>
      <c r="C144" s="31" t="s">
        <v>194</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c r="A145" s="31"/>
      <c r="B145" s="32"/>
      <c r="C145" s="31" t="s">
        <v>194</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c r="A146" s="31"/>
      <c r="B146" s="32"/>
      <c r="C146" s="31" t="s">
        <v>194</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194</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c r="A148" s="31"/>
      <c r="B148" s="32"/>
      <c r="C148" s="31" t="s">
        <v>194</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c r="A149" s="31"/>
      <c r="B149" s="32"/>
      <c r="C149" s="31" t="s">
        <v>194</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c r="A150" s="31"/>
      <c r="B150" s="32"/>
      <c r="C150" s="31" t="s">
        <v>194</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c r="A151" s="31"/>
      <c r="B151" s="32"/>
      <c r="C151" s="31" t="s">
        <v>194</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c r="A152" s="31"/>
      <c r="B152" s="32"/>
      <c r="C152" s="31" t="s">
        <v>194</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c r="A153" s="31"/>
      <c r="B153" s="32"/>
      <c r="C153" s="31" t="s">
        <v>194</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c r="A154" s="31"/>
      <c r="B154" s="32"/>
      <c r="C154" s="31" t="s">
        <v>194</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c r="A155" s="31"/>
      <c r="B155" s="32"/>
      <c r="C155" s="31" t="s">
        <v>194</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c r="A156" s="31"/>
      <c r="B156" s="32"/>
      <c r="C156" s="31" t="s">
        <v>194</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c r="A157" s="31"/>
      <c r="B157" s="32"/>
      <c r="C157" s="31" t="s">
        <v>194</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c r="A158" s="31"/>
      <c r="B158" s="32"/>
      <c r="C158" s="31" t="s">
        <v>194</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c r="A159" s="31"/>
      <c r="B159" s="32"/>
      <c r="C159" s="31" t="s">
        <v>194</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c r="A160" s="31"/>
      <c r="B160" s="32"/>
      <c r="C160" s="31" t="s">
        <v>194</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c r="A161" s="31"/>
      <c r="B161" s="32"/>
      <c r="C161" s="31" t="s">
        <v>194</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c r="A162" s="31"/>
      <c r="B162" s="32"/>
      <c r="C162" s="31" t="s">
        <v>194</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c r="A163" s="31"/>
      <c r="B163" s="32"/>
      <c r="C163" s="31" t="s">
        <v>194</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c r="A164" s="31"/>
      <c r="B164" s="32"/>
      <c r="C164" s="31" t="s">
        <v>194</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c r="A165" s="31"/>
      <c r="B165" s="32"/>
      <c r="C165" s="31" t="s">
        <v>194</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c r="A166" s="31"/>
      <c r="B166" s="32"/>
      <c r="C166" s="31" t="s">
        <v>194</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c r="A167" s="31"/>
      <c r="B167" s="32"/>
      <c r="C167" s="31" t="s">
        <v>194</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c r="A168" s="31"/>
      <c r="B168" s="32"/>
      <c r="C168" s="31" t="s">
        <v>194</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c r="A169" s="31"/>
      <c r="B169" s="32"/>
      <c r="C169" s="31" t="s">
        <v>194</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c r="A170" s="31"/>
      <c r="B170" s="32"/>
      <c r="C170" s="31" t="s">
        <v>194</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c r="A171" s="31"/>
      <c r="B171" s="32"/>
      <c r="C171" s="31" t="s">
        <v>194</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c r="A172" s="31"/>
      <c r="B172" s="32"/>
      <c r="C172" s="31" t="s">
        <v>194</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c r="A173" s="31"/>
      <c r="B173" s="32"/>
      <c r="C173" s="31" t="s">
        <v>194</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c r="A174" s="31"/>
      <c r="B174" s="32"/>
      <c r="C174" s="31" t="s">
        <v>194</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c r="A175" s="31"/>
      <c r="B175" s="32"/>
      <c r="C175" s="31" t="s">
        <v>194</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c r="A176" s="31"/>
      <c r="B176" s="32"/>
      <c r="C176" s="31" t="s">
        <v>194</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c r="A177" s="31"/>
      <c r="B177" s="32"/>
      <c r="C177" s="31" t="s">
        <v>194</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c r="A178" s="31"/>
      <c r="B178" s="32"/>
      <c r="C178" s="31" t="s">
        <v>194</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c r="A179" s="31"/>
      <c r="B179" s="32"/>
      <c r="C179" s="31" t="s">
        <v>194</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c r="A180" s="31"/>
      <c r="B180" s="32"/>
      <c r="C180" s="31" t="s">
        <v>194</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c r="A181" s="31"/>
      <c r="B181" s="32"/>
      <c r="C181" s="31" t="s">
        <v>194</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c r="A182" s="31"/>
      <c r="B182" s="32"/>
      <c r="C182" s="31" t="s">
        <v>194</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c r="A183" s="31"/>
      <c r="B183" s="32"/>
      <c r="C183" s="31" t="s">
        <v>194</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c r="A184" s="31"/>
      <c r="B184" s="32"/>
      <c r="C184" s="31" t="s">
        <v>194</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c r="A185" s="31"/>
      <c r="B185" s="32"/>
      <c r="C185" s="31" t="s">
        <v>194</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c r="A186" s="31"/>
      <c r="B186" s="32"/>
      <c r="C186" s="31" t="s">
        <v>194</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c r="A187" s="31"/>
      <c r="B187" s="32"/>
      <c r="C187" s="31" t="s">
        <v>194</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c r="A188" s="31"/>
      <c r="B188" s="32"/>
      <c r="C188" s="31" t="s">
        <v>194</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c r="A189" s="31"/>
      <c r="B189" s="32"/>
      <c r="C189" s="31" t="s">
        <v>194</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c r="A190" s="31"/>
      <c r="B190" s="32"/>
      <c r="C190" s="31" t="s">
        <v>194</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c r="A191" s="31"/>
      <c r="B191" s="32"/>
      <c r="C191" s="31" t="s">
        <v>194</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c r="A192" s="31"/>
      <c r="B192" s="32"/>
      <c r="C192" s="31" t="s">
        <v>194</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c r="A193" s="31"/>
      <c r="B193" s="32"/>
      <c r="C193" s="31" t="s">
        <v>194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c r="A194" s="31"/>
      <c r="B194" s="32"/>
      <c r="C194" s="31" t="s">
        <v>194</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c r="A195" s="31"/>
      <c r="B195" s="32"/>
      <c r="C195" s="31" t="s">
        <v>194</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c r="A196" s="31"/>
      <c r="B196" s="32"/>
      <c r="C196" s="31" t="s">
        <v>194</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c r="A197" s="31"/>
      <c r="B197" s="32"/>
      <c r="C197" s="31" t="s">
        <v>194</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c r="A198" s="31"/>
      <c r="B198" s="32"/>
      <c r="C198" s="31" t="s">
        <v>194</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404</v>
      </c>
      <c r="B1" s="175"/>
      <c r="C1" s="175"/>
    </row>
    <row r="2" spans="1:8" ht="14.25" customHeight="1">
      <c r="A2" s="8" t="s">
        <v>0</v>
      </c>
      <c r="B2" s="8" t="s">
        <v>405</v>
      </c>
      <c r="C2" s="8" t="s">
        <v>406</v>
      </c>
      <c r="E2" t="s">
        <v>407</v>
      </c>
      <c r="F2" t="s">
        <v>408</v>
      </c>
      <c r="G2" t="s">
        <v>409</v>
      </c>
      <c r="H2" t="s">
        <v>410</v>
      </c>
    </row>
    <row r="3" spans="1:8" ht="14.25" customHeight="1">
      <c r="A3" s="11" t="s">
        <v>40</v>
      </c>
      <c r="B3" s="11">
        <v>8</v>
      </c>
      <c r="C3" s="12">
        <v>46142</v>
      </c>
      <c r="E3" t="s">
        <v>411</v>
      </c>
      <c r="F3" s="28">
        <v>46233</v>
      </c>
      <c r="G3" s="28">
        <v>46274</v>
      </c>
    </row>
    <row r="4" spans="1:8" ht="14.25" customHeight="1">
      <c r="A4" s="11" t="s">
        <v>40</v>
      </c>
      <c r="B4" s="11">
        <v>10</v>
      </c>
      <c r="C4" s="12">
        <v>46172</v>
      </c>
      <c r="E4" t="s">
        <v>412</v>
      </c>
      <c r="F4" s="28">
        <v>46264</v>
      </c>
      <c r="G4" s="28">
        <v>46295</v>
      </c>
    </row>
    <row r="5" spans="1:8" ht="14.25" customHeight="1">
      <c r="A5" s="11" t="s">
        <v>40</v>
      </c>
      <c r="B5" s="11">
        <v>9</v>
      </c>
      <c r="C5" s="12">
        <v>46203</v>
      </c>
      <c r="E5" t="s">
        <v>413</v>
      </c>
      <c r="F5" s="28">
        <v>46295</v>
      </c>
      <c r="G5" s="28">
        <v>46325</v>
      </c>
    </row>
    <row r="6" spans="1:8" ht="14.25" customHeight="1">
      <c r="A6" s="11" t="s">
        <v>126</v>
      </c>
      <c r="B6" s="11">
        <v>15</v>
      </c>
      <c r="C6" s="12">
        <v>46233</v>
      </c>
      <c r="E6" t="s">
        <v>414</v>
      </c>
      <c r="F6" s="28">
        <v>46325</v>
      </c>
      <c r="G6" s="28">
        <v>46356</v>
      </c>
    </row>
    <row r="7" spans="1:8" ht="14.25" customHeight="1">
      <c r="A7" s="11" t="s">
        <v>126</v>
      </c>
      <c r="B7" s="11">
        <v>15</v>
      </c>
      <c r="C7" s="12">
        <v>46264</v>
      </c>
      <c r="E7" t="s">
        <v>415</v>
      </c>
      <c r="F7" s="28">
        <v>46356</v>
      </c>
      <c r="G7" s="28">
        <v>46387</v>
      </c>
    </row>
    <row r="8" spans="1:8" ht="14.25" customHeight="1">
      <c r="A8" s="11" t="s">
        <v>126</v>
      </c>
      <c r="B8" s="11">
        <v>17</v>
      </c>
      <c r="C8" s="12">
        <v>46295</v>
      </c>
      <c r="E8" t="s">
        <v>416</v>
      </c>
      <c r="F8" s="28">
        <v>46387</v>
      </c>
      <c r="G8" s="28">
        <v>46417</v>
      </c>
    </row>
    <row r="9" spans="1:8" ht="14.25" customHeight="1">
      <c r="A9" s="11" t="s">
        <v>126</v>
      </c>
      <c r="B9" s="11">
        <v>20</v>
      </c>
      <c r="C9" s="12">
        <v>46325</v>
      </c>
      <c r="E9" t="s">
        <v>417</v>
      </c>
      <c r="F9" s="28">
        <v>46417</v>
      </c>
      <c r="G9" s="28">
        <v>46445</v>
      </c>
    </row>
    <row r="10" spans="1:8" ht="14.25" customHeight="1">
      <c r="A10" s="11" t="s">
        <v>126</v>
      </c>
      <c r="B10" s="11">
        <v>20</v>
      </c>
      <c r="C10" s="12">
        <v>46356</v>
      </c>
      <c r="E10" t="s">
        <v>418</v>
      </c>
      <c r="F10" s="28">
        <v>46446</v>
      </c>
      <c r="G10" s="28">
        <v>46477</v>
      </c>
    </row>
    <row r="11" spans="1:8" ht="14.25" customHeight="1">
      <c r="A11" s="11" t="s">
        <v>419</v>
      </c>
      <c r="B11" s="11">
        <v>18</v>
      </c>
      <c r="C11" s="12">
        <v>46417</v>
      </c>
      <c r="E11" t="s">
        <v>420</v>
      </c>
      <c r="F11" s="28">
        <v>46477</v>
      </c>
      <c r="G11" s="28">
        <v>46480</v>
      </c>
    </row>
    <row r="12" spans="1:8" ht="14.25" customHeight="1">
      <c r="A12" s="11" t="s">
        <v>419</v>
      </c>
      <c r="B12" s="11">
        <v>18</v>
      </c>
      <c r="C12" s="12">
        <v>46446</v>
      </c>
    </row>
    <row r="13" spans="1:8" ht="14.25" customHeight="1">
      <c r="A13" s="11" t="s">
        <v>419</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421</v>
      </c>
      <c r="B1" s="175"/>
      <c r="C1" s="175"/>
      <c r="D1" s="175"/>
      <c r="E1" s="175"/>
      <c r="F1" s="175"/>
      <c r="G1" s="175"/>
      <c r="H1" s="175"/>
      <c r="I1" s="175"/>
      <c r="J1" s="175"/>
    </row>
    <row r="2" spans="1:10" ht="27" customHeight="1">
      <c r="A2" s="8" t="s">
        <v>0</v>
      </c>
      <c r="B2" s="8" t="s">
        <v>422</v>
      </c>
      <c r="C2" s="8" t="s">
        <v>1</v>
      </c>
      <c r="D2" s="8" t="s">
        <v>423</v>
      </c>
      <c r="E2" s="8" t="s">
        <v>424</v>
      </c>
      <c r="F2" s="8" t="s">
        <v>6</v>
      </c>
      <c r="G2" s="8" t="s">
        <v>5</v>
      </c>
      <c r="H2" s="8" t="s">
        <v>425</v>
      </c>
      <c r="I2" s="8" t="s">
        <v>406</v>
      </c>
      <c r="J2" s="8" t="s">
        <v>426</v>
      </c>
    </row>
    <row r="3" spans="1:10" ht="14.25" customHeight="1">
      <c r="A3" s="9" t="s">
        <v>40</v>
      </c>
      <c r="B3" s="9" t="s">
        <v>186</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194</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186</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194</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186</v>
      </c>
      <c r="C13" s="9" t="s">
        <v>427</v>
      </c>
      <c r="D13" s="9" t="s">
        <v>428</v>
      </c>
      <c r="E13" s="9" t="s">
        <v>46</v>
      </c>
      <c r="F13" s="9"/>
      <c r="G13" s="9"/>
      <c r="H13" s="10"/>
      <c r="I13" s="10">
        <v>46115</v>
      </c>
      <c r="J13" s="10">
        <v>46115</v>
      </c>
    </row>
    <row r="14" spans="1:10" ht="14.25" customHeight="1">
      <c r="A14" s="9" t="s">
        <v>40</v>
      </c>
      <c r="B14" s="9" t="s">
        <v>207</v>
      </c>
      <c r="C14" s="9" t="s">
        <v>427</v>
      </c>
      <c r="D14" s="9" t="s">
        <v>428</v>
      </c>
      <c r="E14" s="9" t="s">
        <v>46</v>
      </c>
      <c r="F14" s="9"/>
      <c r="G14" s="9"/>
      <c r="H14" s="10">
        <v>46115</v>
      </c>
      <c r="I14" s="10">
        <v>46120</v>
      </c>
      <c r="J14" s="10">
        <v>46120</v>
      </c>
    </row>
    <row r="15" spans="1:10" ht="14.25" customHeight="1">
      <c r="A15" s="9" t="s">
        <v>40</v>
      </c>
      <c r="B15" s="9" t="s">
        <v>194</v>
      </c>
      <c r="C15" s="9" t="s">
        <v>427</v>
      </c>
      <c r="D15" s="9" t="s">
        <v>428</v>
      </c>
      <c r="E15" s="9" t="s">
        <v>46</v>
      </c>
      <c r="F15" s="9"/>
      <c r="G15" s="9"/>
      <c r="H15" s="10">
        <v>46120</v>
      </c>
      <c r="I15" s="10">
        <v>46122</v>
      </c>
      <c r="J15" s="10">
        <v>46122</v>
      </c>
    </row>
    <row r="16" spans="1:10" ht="14.25" customHeight="1">
      <c r="A16" s="9" t="s">
        <v>40</v>
      </c>
      <c r="B16" s="9" t="s">
        <v>164</v>
      </c>
      <c r="C16" s="9" t="s">
        <v>427</v>
      </c>
      <c r="D16" s="9" t="s">
        <v>428</v>
      </c>
      <c r="E16" s="9" t="s">
        <v>46</v>
      </c>
      <c r="F16" s="9"/>
      <c r="G16" s="9"/>
      <c r="H16" s="10">
        <v>46122</v>
      </c>
      <c r="I16" s="10"/>
      <c r="J16" s="10"/>
    </row>
    <row r="17" spans="1:10" ht="14.25" customHeight="1">
      <c r="A17" s="9" t="s">
        <v>40</v>
      </c>
      <c r="B17" s="9" t="s">
        <v>42</v>
      </c>
      <c r="C17" s="9" t="s">
        <v>427</v>
      </c>
      <c r="D17" s="9" t="s">
        <v>428</v>
      </c>
      <c r="E17" s="9" t="s">
        <v>46</v>
      </c>
      <c r="F17" s="9"/>
      <c r="G17" s="9"/>
      <c r="H17" s="10"/>
      <c r="I17" s="10"/>
      <c r="J17" s="10"/>
    </row>
    <row r="18" spans="1:10" ht="14.25" customHeight="1">
      <c r="A18" s="9" t="s">
        <v>40</v>
      </c>
      <c r="B18" s="9" t="s">
        <v>186</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194</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186</v>
      </c>
      <c r="C23" s="9" t="s">
        <v>64</v>
      </c>
      <c r="D23" s="9" t="s">
        <v>428</v>
      </c>
      <c r="E23" s="9" t="s">
        <v>46</v>
      </c>
      <c r="F23" s="9"/>
      <c r="G23" s="9"/>
      <c r="H23" s="10"/>
      <c r="I23" s="10">
        <v>46115</v>
      </c>
      <c r="J23" s="10">
        <v>46115</v>
      </c>
    </row>
    <row r="24" spans="1:10" ht="14.25" customHeight="1">
      <c r="A24" s="9" t="s">
        <v>40</v>
      </c>
      <c r="B24" s="9" t="s">
        <v>207</v>
      </c>
      <c r="C24" s="9" t="s">
        <v>64</v>
      </c>
      <c r="D24" s="9" t="s">
        <v>428</v>
      </c>
      <c r="E24" s="9" t="s">
        <v>46</v>
      </c>
      <c r="F24" s="9"/>
      <c r="G24" s="9"/>
      <c r="H24" s="10">
        <v>46115</v>
      </c>
      <c r="I24" s="10">
        <v>46120</v>
      </c>
      <c r="J24" s="10">
        <v>46120</v>
      </c>
    </row>
    <row r="25" spans="1:10" ht="14.25" customHeight="1">
      <c r="A25" s="9" t="s">
        <v>40</v>
      </c>
      <c r="B25" s="9" t="s">
        <v>194</v>
      </c>
      <c r="C25" s="9" t="s">
        <v>64</v>
      </c>
      <c r="D25" s="9" t="s">
        <v>428</v>
      </c>
      <c r="E25" s="9" t="s">
        <v>46</v>
      </c>
      <c r="F25" s="9"/>
      <c r="G25" s="9"/>
      <c r="H25" s="10">
        <v>46120</v>
      </c>
      <c r="I25" s="10">
        <v>46122</v>
      </c>
      <c r="J25" s="10">
        <v>46122</v>
      </c>
    </row>
    <row r="26" spans="1:10" ht="14.25" customHeight="1">
      <c r="A26" s="9" t="s">
        <v>40</v>
      </c>
      <c r="B26" s="9" t="s">
        <v>164</v>
      </c>
      <c r="C26" s="9" t="s">
        <v>64</v>
      </c>
      <c r="D26" s="9" t="s">
        <v>428</v>
      </c>
      <c r="E26" s="9" t="s">
        <v>46</v>
      </c>
      <c r="F26" s="9"/>
      <c r="G26" s="9"/>
      <c r="H26" s="10">
        <v>46122</v>
      </c>
      <c r="I26" s="10"/>
      <c r="J26" s="10"/>
    </row>
    <row r="27" spans="1:10" ht="14.25" customHeight="1">
      <c r="A27" s="9" t="s">
        <v>40</v>
      </c>
      <c r="B27" s="9" t="s">
        <v>42</v>
      </c>
      <c r="C27" s="9" t="s">
        <v>64</v>
      </c>
      <c r="D27" s="9" t="s">
        <v>428</v>
      </c>
      <c r="E27" s="9" t="s">
        <v>46</v>
      </c>
      <c r="F27" s="9"/>
      <c r="G27" s="9"/>
      <c r="H27" s="10"/>
      <c r="I27" s="10"/>
      <c r="J27" s="10"/>
    </row>
    <row r="28" spans="1:10" ht="14.25" customHeight="1">
      <c r="A28" s="9" t="s">
        <v>40</v>
      </c>
      <c r="B28" s="9" t="s">
        <v>186</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194</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186</v>
      </c>
      <c r="C33" s="9" t="s">
        <v>70</v>
      </c>
      <c r="D33" s="9" t="s">
        <v>428</v>
      </c>
      <c r="E33" s="9" t="s">
        <v>60</v>
      </c>
      <c r="F33" s="9"/>
      <c r="G33" s="9"/>
      <c r="H33" s="10"/>
      <c r="I33" s="10">
        <v>46122</v>
      </c>
      <c r="J33" s="10">
        <v>46122</v>
      </c>
    </row>
    <row r="34" spans="1:10" ht="14.25" customHeight="1">
      <c r="A34" s="9" t="s">
        <v>40</v>
      </c>
      <c r="B34" s="9" t="s">
        <v>207</v>
      </c>
      <c r="C34" s="9" t="s">
        <v>70</v>
      </c>
      <c r="D34" s="9" t="s">
        <v>428</v>
      </c>
      <c r="E34" s="9" t="s">
        <v>60</v>
      </c>
      <c r="F34" s="9"/>
      <c r="G34" s="9"/>
      <c r="H34" s="10">
        <v>46122</v>
      </c>
      <c r="I34" s="10">
        <v>46126</v>
      </c>
      <c r="J34" s="10">
        <v>46126</v>
      </c>
    </row>
    <row r="35" spans="1:10" ht="14.25" customHeight="1">
      <c r="A35" s="9" t="s">
        <v>40</v>
      </c>
      <c r="B35" s="9" t="s">
        <v>194</v>
      </c>
      <c r="C35" s="9" t="s">
        <v>70</v>
      </c>
      <c r="D35" s="9" t="s">
        <v>428</v>
      </c>
      <c r="E35" s="9" t="s">
        <v>60</v>
      </c>
      <c r="F35" s="9"/>
      <c r="G35" s="9"/>
      <c r="H35" s="10">
        <v>46126</v>
      </c>
      <c r="I35" s="10">
        <v>46122</v>
      </c>
      <c r="J35" s="10">
        <v>46122</v>
      </c>
    </row>
    <row r="36" spans="1:10" ht="14.25" customHeight="1">
      <c r="A36" s="9" t="s">
        <v>40</v>
      </c>
      <c r="B36" s="9" t="s">
        <v>164</v>
      </c>
      <c r="C36" s="9" t="s">
        <v>70</v>
      </c>
      <c r="D36" s="9" t="s">
        <v>428</v>
      </c>
      <c r="E36" s="9" t="s">
        <v>60</v>
      </c>
      <c r="F36" s="9"/>
      <c r="G36" s="9"/>
      <c r="H36" s="10">
        <v>46122</v>
      </c>
      <c r="I36" s="10"/>
      <c r="J36" s="10"/>
    </row>
    <row r="37" spans="1:10" ht="14.25" customHeight="1">
      <c r="A37" s="9" t="s">
        <v>40</v>
      </c>
      <c r="B37" s="9" t="s">
        <v>42</v>
      </c>
      <c r="C37" s="9" t="s">
        <v>70</v>
      </c>
      <c r="D37" s="9" t="s">
        <v>428</v>
      </c>
      <c r="E37" s="9" t="s">
        <v>60</v>
      </c>
      <c r="F37" s="9"/>
      <c r="G37" s="9"/>
      <c r="H37" s="10"/>
      <c r="I37" s="10"/>
      <c r="J37" s="10"/>
    </row>
    <row r="38" spans="1:10" ht="14.25" customHeight="1">
      <c r="A38" s="9" t="s">
        <v>40</v>
      </c>
      <c r="B38" s="9" t="s">
        <v>186</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194</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186</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194</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186</v>
      </c>
      <c r="C48" s="9" t="s">
        <v>97</v>
      </c>
      <c r="D48" s="9" t="s">
        <v>428</v>
      </c>
      <c r="E48" s="9" t="s">
        <v>60</v>
      </c>
      <c r="F48" s="9"/>
      <c r="G48" s="9"/>
      <c r="H48" s="10"/>
      <c r="I48" s="10"/>
      <c r="J48" s="10"/>
    </row>
    <row r="49" spans="1:10" ht="14.25" customHeight="1">
      <c r="A49" s="9" t="s">
        <v>40</v>
      </c>
      <c r="B49" s="9" t="s">
        <v>207</v>
      </c>
      <c r="C49" s="9" t="s">
        <v>97</v>
      </c>
      <c r="D49" s="9" t="s">
        <v>428</v>
      </c>
      <c r="E49" s="9" t="s">
        <v>60</v>
      </c>
      <c r="F49" s="9"/>
      <c r="G49" s="9"/>
      <c r="H49" s="10"/>
      <c r="I49" s="10">
        <v>46139</v>
      </c>
      <c r="J49" s="10">
        <v>46139</v>
      </c>
    </row>
    <row r="50" spans="1:10" ht="14.25" customHeight="1">
      <c r="A50" s="9" t="s">
        <v>40</v>
      </c>
      <c r="B50" s="9" t="s">
        <v>194</v>
      </c>
      <c r="C50" s="9" t="s">
        <v>97</v>
      </c>
      <c r="D50" s="9" t="s">
        <v>428</v>
      </c>
      <c r="E50" s="9" t="s">
        <v>60</v>
      </c>
      <c r="F50" s="9"/>
      <c r="G50" s="9"/>
      <c r="H50" s="10">
        <v>46139</v>
      </c>
      <c r="I50" s="10">
        <v>46139</v>
      </c>
      <c r="J50" s="10">
        <v>46139</v>
      </c>
    </row>
    <row r="51" spans="1:10" ht="14.25" customHeight="1">
      <c r="A51" s="9" t="s">
        <v>40</v>
      </c>
      <c r="B51" s="9" t="s">
        <v>164</v>
      </c>
      <c r="C51" s="9" t="s">
        <v>97</v>
      </c>
      <c r="D51" s="9" t="s">
        <v>428</v>
      </c>
      <c r="E51" s="9" t="s">
        <v>60</v>
      </c>
      <c r="F51" s="9"/>
      <c r="G51" s="9"/>
      <c r="H51" s="10">
        <v>46139</v>
      </c>
      <c r="I51" s="10"/>
      <c r="J51" s="10"/>
    </row>
    <row r="52" spans="1:10" ht="14.25" customHeight="1">
      <c r="A52" s="9" t="s">
        <v>40</v>
      </c>
      <c r="B52" s="9" t="s">
        <v>42</v>
      </c>
      <c r="C52" s="9" t="s">
        <v>97</v>
      </c>
      <c r="D52" s="9" t="s">
        <v>428</v>
      </c>
      <c r="E52" s="9" t="s">
        <v>60</v>
      </c>
      <c r="F52" s="9"/>
      <c r="G52" s="9"/>
      <c r="H52" s="10"/>
      <c r="I52" s="10"/>
      <c r="J52" s="10"/>
    </row>
    <row r="53" spans="1:10" ht="14.25" customHeight="1">
      <c r="A53" s="9" t="s">
        <v>40</v>
      </c>
      <c r="B53" s="9" t="s">
        <v>186</v>
      </c>
      <c r="C53" s="9" t="s">
        <v>98</v>
      </c>
      <c r="D53" s="9" t="s">
        <v>428</v>
      </c>
      <c r="E53" s="9" t="s">
        <v>60</v>
      </c>
      <c r="F53" s="9"/>
      <c r="G53" s="9"/>
      <c r="H53" s="10"/>
      <c r="I53" s="10"/>
      <c r="J53" s="10"/>
    </row>
    <row r="54" spans="1:10" ht="14.25" customHeight="1">
      <c r="A54" s="9" t="s">
        <v>40</v>
      </c>
      <c r="B54" s="9" t="s">
        <v>207</v>
      </c>
      <c r="C54" s="9" t="s">
        <v>98</v>
      </c>
      <c r="D54" s="9" t="s">
        <v>428</v>
      </c>
      <c r="E54" s="9" t="s">
        <v>60</v>
      </c>
      <c r="F54" s="9"/>
      <c r="G54" s="9"/>
      <c r="H54" s="9"/>
      <c r="I54" s="10">
        <v>46141</v>
      </c>
      <c r="J54" s="10">
        <v>46141</v>
      </c>
    </row>
    <row r="55" spans="1:10" ht="14.25" customHeight="1">
      <c r="A55" s="9" t="s">
        <v>40</v>
      </c>
      <c r="B55" s="9" t="s">
        <v>194</v>
      </c>
      <c r="C55" s="9" t="s">
        <v>98</v>
      </c>
      <c r="D55" s="9" t="s">
        <v>428</v>
      </c>
      <c r="E55" s="9" t="s">
        <v>60</v>
      </c>
      <c r="F55" s="9"/>
      <c r="G55" s="9"/>
      <c r="H55" s="10">
        <v>46141</v>
      </c>
      <c r="I55" s="10">
        <v>46141</v>
      </c>
      <c r="J55" s="10">
        <v>46141</v>
      </c>
    </row>
    <row r="56" spans="1:10" ht="14.25" customHeight="1">
      <c r="A56" s="9" t="s">
        <v>40</v>
      </c>
      <c r="B56" s="9" t="s">
        <v>164</v>
      </c>
      <c r="C56" s="9" t="s">
        <v>98</v>
      </c>
      <c r="D56" s="9" t="s">
        <v>428</v>
      </c>
      <c r="E56" s="9" t="s">
        <v>60</v>
      </c>
      <c r="F56" s="9"/>
      <c r="G56" s="9"/>
      <c r="H56" s="10">
        <v>46141</v>
      </c>
      <c r="I56" s="10"/>
      <c r="J56" s="10"/>
    </row>
    <row r="57" spans="1:10" ht="14.25" customHeight="1">
      <c r="A57" s="9" t="s">
        <v>40</v>
      </c>
      <c r="B57" s="9" t="s">
        <v>42</v>
      </c>
      <c r="C57" s="9" t="s">
        <v>98</v>
      </c>
      <c r="D57" s="9" t="s">
        <v>428</v>
      </c>
      <c r="E57" s="9" t="s">
        <v>60</v>
      </c>
      <c r="F57" s="9"/>
      <c r="G57" s="9"/>
      <c r="H57" s="10"/>
      <c r="I57" s="10"/>
      <c r="J57" s="10"/>
    </row>
    <row r="58" spans="1:10" ht="14.25" customHeight="1">
      <c r="A58" s="9" t="s">
        <v>40</v>
      </c>
      <c r="B58" s="9" t="s">
        <v>186</v>
      </c>
      <c r="C58" s="9" t="s">
        <v>99</v>
      </c>
      <c r="D58" s="9" t="s">
        <v>428</v>
      </c>
      <c r="E58" s="9" t="s">
        <v>46</v>
      </c>
      <c r="F58" s="9"/>
      <c r="G58" s="9"/>
      <c r="H58" s="9"/>
      <c r="I58" s="10"/>
      <c r="J58" s="10"/>
    </row>
    <row r="59" spans="1:10" ht="14.25" customHeight="1">
      <c r="A59" s="9" t="s">
        <v>40</v>
      </c>
      <c r="B59" s="9" t="s">
        <v>207</v>
      </c>
      <c r="C59" s="9" t="s">
        <v>99</v>
      </c>
      <c r="D59" s="9" t="s">
        <v>428</v>
      </c>
      <c r="E59" s="9" t="s">
        <v>46</v>
      </c>
      <c r="F59" s="9"/>
      <c r="G59" s="9"/>
      <c r="H59" s="10"/>
      <c r="I59" s="10">
        <v>46161</v>
      </c>
      <c r="J59" s="10">
        <v>46161</v>
      </c>
    </row>
    <row r="60" spans="1:10" ht="14.25" customHeight="1">
      <c r="A60" s="9" t="s">
        <v>40</v>
      </c>
      <c r="B60" s="9" t="s">
        <v>194</v>
      </c>
      <c r="C60" s="9" t="s">
        <v>99</v>
      </c>
      <c r="D60" s="9" t="s">
        <v>428</v>
      </c>
      <c r="E60" s="9" t="s">
        <v>46</v>
      </c>
      <c r="F60" s="9"/>
      <c r="G60" s="9"/>
      <c r="H60" s="10">
        <v>46161</v>
      </c>
      <c r="I60" s="10">
        <v>46161</v>
      </c>
      <c r="J60" s="10">
        <v>46161</v>
      </c>
    </row>
    <row r="61" spans="1:10" ht="14.25" customHeight="1">
      <c r="A61" s="9" t="s">
        <v>40</v>
      </c>
      <c r="B61" s="9" t="s">
        <v>164</v>
      </c>
      <c r="C61" s="9" t="s">
        <v>99</v>
      </c>
      <c r="D61" s="9" t="s">
        <v>428</v>
      </c>
      <c r="E61" s="9" t="s">
        <v>46</v>
      </c>
      <c r="F61" s="9"/>
      <c r="G61" s="9"/>
      <c r="H61" s="10">
        <v>46161</v>
      </c>
      <c r="I61" s="10"/>
      <c r="J61" s="10"/>
    </row>
    <row r="62" spans="1:10" ht="14.25" customHeight="1">
      <c r="A62" s="9" t="s">
        <v>40</v>
      </c>
      <c r="B62" s="9" t="s">
        <v>42</v>
      </c>
      <c r="C62" s="9" t="s">
        <v>99</v>
      </c>
      <c r="D62" s="9" t="s">
        <v>428</v>
      </c>
      <c r="E62" s="9" t="s">
        <v>46</v>
      </c>
      <c r="F62" s="9"/>
      <c r="G62" s="9"/>
      <c r="H62" s="9"/>
      <c r="I62" s="10"/>
      <c r="J62" s="10"/>
    </row>
    <row r="63" spans="1:10" ht="14.25" customHeight="1">
      <c r="A63" s="9" t="s">
        <v>40</v>
      </c>
      <c r="B63" s="9" t="s">
        <v>186</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194</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186</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194</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186</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194</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186</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194</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186</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194</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186</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194</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186</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194</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186</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194</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186</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194</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186</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194</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186</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194</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186</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194</v>
      </c>
      <c r="C120" s="9" t="s">
        <v>113</v>
      </c>
      <c r="D120" s="9" t="s">
        <v>59</v>
      </c>
      <c r="E120" s="9" t="s">
        <v>46</v>
      </c>
      <c r="F120" s="9"/>
      <c r="G120" s="9"/>
      <c r="H120" s="10">
        <v>46186</v>
      </c>
      <c r="I120" s="10">
        <v>46188</v>
      </c>
      <c r="J120" s="10">
        <v>46188</v>
      </c>
    </row>
    <row r="121" spans="1:10" ht="14.25" customHeight="1">
      <c r="A121" s="9" t="s">
        <v>40</v>
      </c>
      <c r="B121" s="9" t="s">
        <v>186</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194</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186</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194</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186</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194</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186</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194</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186</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194</v>
      </c>
      <c r="C143" s="9" t="s">
        <v>127</v>
      </c>
      <c r="D143" s="9" t="s">
        <v>76</v>
      </c>
      <c r="E143" s="9" t="s">
        <v>60</v>
      </c>
      <c r="F143" s="9"/>
      <c r="G143" s="9" t="s">
        <v>129</v>
      </c>
      <c r="H143" s="10">
        <v>46213</v>
      </c>
      <c r="I143" s="10">
        <v>46223</v>
      </c>
      <c r="J143" s="10">
        <v>46223</v>
      </c>
    </row>
    <row r="144" spans="1:10" ht="14.25" customHeight="1">
      <c r="A144" s="9" t="s">
        <v>126</v>
      </c>
      <c r="B144" s="9" t="s">
        <v>186</v>
      </c>
      <c r="C144" s="9" t="s">
        <v>134</v>
      </c>
      <c r="D144" s="9" t="s">
        <v>65</v>
      </c>
      <c r="E144" s="9" t="s">
        <v>77</v>
      </c>
      <c r="F144" s="9"/>
      <c r="G144" s="9" t="s">
        <v>129</v>
      </c>
      <c r="H144" s="9"/>
      <c r="I144" s="9"/>
      <c r="J144" s="9"/>
    </row>
    <row r="145" spans="1:10" ht="14.25" customHeight="1">
      <c r="A145" s="9" t="s">
        <v>126</v>
      </c>
      <c r="B145" s="9" t="s">
        <v>207</v>
      </c>
      <c r="C145" s="9" t="s">
        <v>134</v>
      </c>
      <c r="D145" s="9" t="s">
        <v>65</v>
      </c>
      <c r="E145" s="9" t="s">
        <v>77</v>
      </c>
      <c r="F145" s="9"/>
      <c r="G145" s="9" t="s">
        <v>129</v>
      </c>
      <c r="H145" s="9"/>
      <c r="I145" s="10">
        <v>46218</v>
      </c>
      <c r="J145" s="10">
        <v>46218</v>
      </c>
    </row>
    <row r="146" spans="1:10" ht="14.25" customHeight="1">
      <c r="A146" s="9" t="s">
        <v>126</v>
      </c>
      <c r="B146" s="9" t="s">
        <v>194</v>
      </c>
      <c r="C146" s="9" t="s">
        <v>134</v>
      </c>
      <c r="D146" s="9" t="s">
        <v>65</v>
      </c>
      <c r="E146" s="9" t="s">
        <v>77</v>
      </c>
      <c r="F146" s="9"/>
      <c r="G146" s="9" t="s">
        <v>129</v>
      </c>
      <c r="H146" s="10">
        <v>46218</v>
      </c>
      <c r="I146" s="10">
        <v>46223</v>
      </c>
      <c r="J146" s="10">
        <v>46223</v>
      </c>
    </row>
    <row r="147" spans="1:10" ht="14.25" customHeight="1">
      <c r="A147" s="9" t="s">
        <v>126</v>
      </c>
      <c r="B147" s="9" t="s">
        <v>186</v>
      </c>
      <c r="C147" s="9" t="s">
        <v>136</v>
      </c>
      <c r="D147" s="9" t="s">
        <v>65</v>
      </c>
      <c r="E147" s="9" t="s">
        <v>77</v>
      </c>
      <c r="F147" s="9"/>
      <c r="G147" s="9" t="s">
        <v>129</v>
      </c>
      <c r="H147" s="9"/>
      <c r="I147" s="9"/>
      <c r="J147" s="9"/>
    </row>
    <row r="148" spans="1:10" ht="14.25" customHeight="1">
      <c r="A148" s="9" t="s">
        <v>126</v>
      </c>
      <c r="B148" s="9" t="s">
        <v>207</v>
      </c>
      <c r="C148" s="9" t="s">
        <v>136</v>
      </c>
      <c r="D148" s="9" t="s">
        <v>65</v>
      </c>
      <c r="E148" s="9" t="s">
        <v>77</v>
      </c>
      <c r="F148" s="9"/>
      <c r="G148" s="9" t="s">
        <v>129</v>
      </c>
      <c r="H148" s="9"/>
      <c r="I148" s="10">
        <v>46225</v>
      </c>
      <c r="J148" s="10">
        <v>46225</v>
      </c>
    </row>
    <row r="149" spans="1:10" ht="14.25" customHeight="1">
      <c r="A149" s="9" t="s">
        <v>126</v>
      </c>
      <c r="B149" s="9" t="s">
        <v>194</v>
      </c>
      <c r="C149" s="9" t="s">
        <v>136</v>
      </c>
      <c r="D149" s="9" t="s">
        <v>65</v>
      </c>
      <c r="E149" s="9" t="s">
        <v>77</v>
      </c>
      <c r="F149" s="9"/>
      <c r="G149" s="9" t="s">
        <v>129</v>
      </c>
      <c r="H149" s="10">
        <v>46225</v>
      </c>
      <c r="I149" s="10">
        <v>46223</v>
      </c>
      <c r="J149" s="10">
        <v>46223</v>
      </c>
    </row>
    <row r="150" spans="1:10" ht="14.25" customHeight="1">
      <c r="A150" s="9" t="s">
        <v>126</v>
      </c>
      <c r="B150" s="9" t="s">
        <v>186</v>
      </c>
      <c r="C150" s="9" t="s">
        <v>138</v>
      </c>
      <c r="D150" s="9" t="s">
        <v>59</v>
      </c>
      <c r="E150" s="9" t="s">
        <v>46</v>
      </c>
      <c r="F150" s="9"/>
      <c r="G150" s="9" t="s">
        <v>129</v>
      </c>
      <c r="H150" s="9"/>
      <c r="I150" s="9"/>
      <c r="J150" s="9"/>
    </row>
    <row r="151" spans="1:10" ht="14.25" customHeight="1">
      <c r="A151" s="9" t="s">
        <v>126</v>
      </c>
      <c r="B151" s="9" t="s">
        <v>207</v>
      </c>
      <c r="C151" s="9" t="s">
        <v>138</v>
      </c>
      <c r="D151" s="9" t="s">
        <v>59</v>
      </c>
      <c r="E151" s="9" t="s">
        <v>46</v>
      </c>
      <c r="F151" s="9"/>
      <c r="G151" s="9" t="s">
        <v>129</v>
      </c>
      <c r="H151" s="9"/>
      <c r="I151" s="10">
        <v>46227</v>
      </c>
      <c r="J151" s="10">
        <v>46227</v>
      </c>
    </row>
    <row r="152" spans="1:10" ht="14.25" customHeight="1">
      <c r="A152" s="9" t="s">
        <v>126</v>
      </c>
      <c r="B152" s="9" t="s">
        <v>194</v>
      </c>
      <c r="C152" s="9" t="s">
        <v>138</v>
      </c>
      <c r="D152" s="9" t="s">
        <v>59</v>
      </c>
      <c r="E152" s="9" t="s">
        <v>46</v>
      </c>
      <c r="F152" s="9"/>
      <c r="G152" s="9" t="s">
        <v>129</v>
      </c>
      <c r="H152" s="10">
        <v>46227</v>
      </c>
      <c r="I152" s="10">
        <v>46223</v>
      </c>
      <c r="J152" s="10">
        <v>46223</v>
      </c>
    </row>
    <row r="153" spans="1:10" ht="14.25" customHeight="1">
      <c r="A153" s="9" t="s">
        <v>126</v>
      </c>
      <c r="B153" s="9" t="s">
        <v>186</v>
      </c>
      <c r="C153" s="9" t="s">
        <v>140</v>
      </c>
      <c r="D153" s="9" t="s">
        <v>103</v>
      </c>
      <c r="E153" s="9" t="s">
        <v>77</v>
      </c>
      <c r="F153" s="9"/>
      <c r="G153" s="9" t="s">
        <v>129</v>
      </c>
      <c r="H153" s="9"/>
      <c r="I153" s="9"/>
      <c r="J153" s="9"/>
    </row>
    <row r="154" spans="1:10" ht="14.25" customHeight="1">
      <c r="A154" s="9" t="s">
        <v>126</v>
      </c>
      <c r="B154" s="9" t="s">
        <v>207</v>
      </c>
      <c r="C154" s="9" t="s">
        <v>140</v>
      </c>
      <c r="D154" s="9" t="s">
        <v>103</v>
      </c>
      <c r="E154" s="9" t="s">
        <v>77</v>
      </c>
      <c r="F154" s="9"/>
      <c r="G154" s="9" t="s">
        <v>129</v>
      </c>
      <c r="H154" s="9"/>
      <c r="I154" s="10">
        <v>46216</v>
      </c>
      <c r="J154" s="10">
        <v>46216</v>
      </c>
    </row>
    <row r="155" spans="1:10" ht="14.25" customHeight="1">
      <c r="A155" s="9" t="s">
        <v>126</v>
      </c>
      <c r="B155" s="9" t="s">
        <v>194</v>
      </c>
      <c r="C155" s="9" t="s">
        <v>140</v>
      </c>
      <c r="D155" s="9" t="s">
        <v>103</v>
      </c>
      <c r="E155" s="9" t="s">
        <v>77</v>
      </c>
      <c r="F155" s="9"/>
      <c r="G155" s="9" t="s">
        <v>129</v>
      </c>
      <c r="H155" s="10">
        <v>46216</v>
      </c>
      <c r="I155" s="10">
        <v>46225</v>
      </c>
      <c r="J155" s="10">
        <v>46225</v>
      </c>
    </row>
    <row r="156" spans="1:10" ht="14.25" customHeight="1">
      <c r="A156" s="9" t="s">
        <v>126</v>
      </c>
      <c r="B156" s="9" t="s">
        <v>186</v>
      </c>
      <c r="C156" s="9" t="s">
        <v>142</v>
      </c>
      <c r="D156" s="9" t="s">
        <v>84</v>
      </c>
      <c r="E156" s="9" t="s">
        <v>60</v>
      </c>
      <c r="F156" s="9"/>
      <c r="G156" s="9" t="s">
        <v>143</v>
      </c>
      <c r="H156" s="9"/>
      <c r="I156" s="9"/>
      <c r="J156" s="9"/>
    </row>
    <row r="157" spans="1:10">
      <c r="A157" s="3" t="s">
        <v>126</v>
      </c>
      <c r="B157" s="3" t="s">
        <v>186</v>
      </c>
      <c r="C157" s="3" t="s">
        <v>145</v>
      </c>
      <c r="D157" s="3" t="s">
        <v>65</v>
      </c>
      <c r="E157" s="3" t="s">
        <v>46</v>
      </c>
      <c r="F157" s="3"/>
      <c r="G157" s="3" t="s">
        <v>143</v>
      </c>
      <c r="H157" s="3"/>
      <c r="I157" s="3"/>
      <c r="J157" s="3"/>
    </row>
    <row r="158" spans="1:10">
      <c r="A158" s="3" t="s">
        <v>126</v>
      </c>
      <c r="B158" s="3" t="s">
        <v>186</v>
      </c>
      <c r="C158" s="3" t="s">
        <v>148</v>
      </c>
      <c r="D158" s="3" t="s">
        <v>65</v>
      </c>
      <c r="E158" s="3" t="s">
        <v>46</v>
      </c>
      <c r="F158" s="3"/>
      <c r="G158" s="3" t="s">
        <v>143</v>
      </c>
      <c r="H158" s="3"/>
      <c r="I158" s="3"/>
      <c r="J158" s="3"/>
    </row>
    <row r="159" spans="1:10">
      <c r="A159" s="3" t="s">
        <v>126</v>
      </c>
      <c r="B159" s="3" t="s">
        <v>207</v>
      </c>
      <c r="C159" s="3" t="s">
        <v>148</v>
      </c>
      <c r="D159" s="3" t="s">
        <v>65</v>
      </c>
      <c r="E159" s="3" t="s">
        <v>46</v>
      </c>
      <c r="F159" s="3"/>
      <c r="G159" s="3" t="s">
        <v>143</v>
      </c>
      <c r="H159" s="3"/>
      <c r="I159" s="4">
        <v>46221</v>
      </c>
      <c r="J159" s="4">
        <v>46221</v>
      </c>
    </row>
    <row r="160" spans="1:10">
      <c r="A160" s="3" t="s">
        <v>126</v>
      </c>
      <c r="B160" s="3" t="s">
        <v>194</v>
      </c>
      <c r="C160" s="3" t="s">
        <v>148</v>
      </c>
      <c r="D160" s="3" t="s">
        <v>65</v>
      </c>
      <c r="E160" s="3" t="s">
        <v>46</v>
      </c>
      <c r="F160" s="3"/>
      <c r="G160" s="3" t="s">
        <v>143</v>
      </c>
      <c r="H160" s="4">
        <v>46221</v>
      </c>
      <c r="I160" s="4">
        <v>46223</v>
      </c>
      <c r="J160" s="4">
        <v>46223</v>
      </c>
    </row>
    <row r="161" spans="1:10">
      <c r="A161" s="3" t="s">
        <v>126</v>
      </c>
      <c r="B161" s="3" t="s">
        <v>186</v>
      </c>
      <c r="C161" s="3" t="s">
        <v>149</v>
      </c>
      <c r="D161" s="3" t="s">
        <v>84</v>
      </c>
      <c r="E161" s="3" t="s">
        <v>60</v>
      </c>
      <c r="F161" s="3"/>
      <c r="G161" s="3" t="s">
        <v>143</v>
      </c>
      <c r="H161" s="3"/>
      <c r="I161" s="3"/>
      <c r="J161" s="3"/>
    </row>
    <row r="162" spans="1:10">
      <c r="A162" s="3" t="s">
        <v>126</v>
      </c>
      <c r="B162" s="3" t="s">
        <v>207</v>
      </c>
      <c r="C162" s="3" t="s">
        <v>149</v>
      </c>
      <c r="D162" s="3" t="s">
        <v>84</v>
      </c>
      <c r="E162" s="3" t="s">
        <v>60</v>
      </c>
      <c r="F162" s="3"/>
      <c r="G162" s="3" t="s">
        <v>143</v>
      </c>
      <c r="H162" s="3"/>
      <c r="I162" s="4">
        <v>46220</v>
      </c>
      <c r="J162" s="4">
        <v>46220</v>
      </c>
    </row>
    <row r="163" spans="1:10">
      <c r="A163" s="3" t="s">
        <v>126</v>
      </c>
      <c r="B163" s="3" t="s">
        <v>194</v>
      </c>
      <c r="C163" s="3" t="s">
        <v>149</v>
      </c>
      <c r="D163" s="3" t="s">
        <v>84</v>
      </c>
      <c r="E163" s="3" t="s">
        <v>60</v>
      </c>
      <c r="F163" s="3"/>
      <c r="G163" s="3" t="s">
        <v>143</v>
      </c>
      <c r="H163" s="4">
        <v>46220</v>
      </c>
      <c r="I163" s="4">
        <v>46223</v>
      </c>
      <c r="J163" s="4">
        <v>46223</v>
      </c>
    </row>
    <row r="164" spans="1:10">
      <c r="A164" s="3" t="s">
        <v>126</v>
      </c>
      <c r="B164" s="3" t="s">
        <v>186</v>
      </c>
      <c r="C164" s="3" t="s">
        <v>152</v>
      </c>
      <c r="D164" s="3" t="s">
        <v>154</v>
      </c>
      <c r="E164" s="3" t="s">
        <v>60</v>
      </c>
      <c r="F164" s="3"/>
      <c r="G164" s="3" t="s">
        <v>143</v>
      </c>
      <c r="H164" s="3"/>
      <c r="I164" s="3"/>
      <c r="J164" s="3"/>
    </row>
    <row r="165" spans="1:10">
      <c r="A165" s="3" t="s">
        <v>126</v>
      </c>
      <c r="B165" s="3" t="s">
        <v>207</v>
      </c>
      <c r="C165" s="3" t="s">
        <v>152</v>
      </c>
      <c r="D165" s="3" t="s">
        <v>154</v>
      </c>
      <c r="E165" s="3" t="s">
        <v>60</v>
      </c>
      <c r="F165" s="3"/>
      <c r="G165" s="3" t="s">
        <v>143</v>
      </c>
      <c r="H165" s="3"/>
      <c r="I165" s="4">
        <v>46224</v>
      </c>
      <c r="J165" s="4">
        <v>46224</v>
      </c>
    </row>
    <row r="166" spans="1:10">
      <c r="A166" s="3" t="s">
        <v>126</v>
      </c>
      <c r="B166" s="3" t="s">
        <v>194</v>
      </c>
      <c r="C166" s="3" t="s">
        <v>152</v>
      </c>
      <c r="D166" s="3" t="s">
        <v>154</v>
      </c>
      <c r="E166" s="3" t="s">
        <v>60</v>
      </c>
      <c r="F166" s="3"/>
      <c r="G166" s="3" t="s">
        <v>143</v>
      </c>
      <c r="H166" s="4">
        <v>46224</v>
      </c>
      <c r="I166" s="4">
        <v>46223</v>
      </c>
      <c r="J166" s="4">
        <v>46223</v>
      </c>
    </row>
    <row r="167" spans="1:10">
      <c r="A167" s="3" t="s">
        <v>126</v>
      </c>
      <c r="B167" s="3" t="s">
        <v>186</v>
      </c>
      <c r="C167" s="3" t="s">
        <v>155</v>
      </c>
      <c r="D167" s="3" t="s">
        <v>154</v>
      </c>
      <c r="E167" s="3" t="s">
        <v>77</v>
      </c>
      <c r="F167" s="3"/>
      <c r="G167" s="3" t="s">
        <v>143</v>
      </c>
      <c r="H167" s="3"/>
      <c r="I167" s="3"/>
      <c r="J167" s="3"/>
    </row>
    <row r="168" spans="1:10">
      <c r="A168" s="3" t="s">
        <v>126</v>
      </c>
      <c r="B168" s="3" t="s">
        <v>207</v>
      </c>
      <c r="C168" s="3" t="s">
        <v>155</v>
      </c>
      <c r="D168" s="3" t="s">
        <v>154</v>
      </c>
      <c r="E168" s="3" t="s">
        <v>77</v>
      </c>
      <c r="F168" s="3"/>
      <c r="G168" s="3" t="s">
        <v>143</v>
      </c>
      <c r="H168" s="3"/>
      <c r="I168" s="4">
        <v>46225</v>
      </c>
      <c r="J168" s="4">
        <v>46225</v>
      </c>
    </row>
    <row r="169" spans="1:10">
      <c r="A169" s="3" t="s">
        <v>126</v>
      </c>
      <c r="B169" s="3" t="s">
        <v>194</v>
      </c>
      <c r="C169" s="3" t="s">
        <v>155</v>
      </c>
      <c r="D169" s="3" t="s">
        <v>154</v>
      </c>
      <c r="E169" s="3" t="s">
        <v>77</v>
      </c>
      <c r="F169" s="3"/>
      <c r="G169" s="3" t="s">
        <v>143</v>
      </c>
      <c r="H169" s="4">
        <v>46225</v>
      </c>
      <c r="I169" s="4">
        <v>46223</v>
      </c>
      <c r="J169" s="4">
        <v>46223</v>
      </c>
    </row>
    <row r="170" spans="1:10">
      <c r="A170" s="3" t="s">
        <v>126</v>
      </c>
      <c r="B170" s="3" t="s">
        <v>186</v>
      </c>
      <c r="C170" s="3" t="s">
        <v>156</v>
      </c>
      <c r="D170" s="3" t="s">
        <v>76</v>
      </c>
      <c r="E170" s="3" t="s">
        <v>46</v>
      </c>
      <c r="F170" s="3"/>
      <c r="G170" s="3" t="s">
        <v>129</v>
      </c>
      <c r="H170" s="3"/>
      <c r="I170" s="3"/>
      <c r="J170" s="3"/>
    </row>
    <row r="171" spans="1:10">
      <c r="A171" s="3" t="s">
        <v>126</v>
      </c>
      <c r="B171" s="3" t="s">
        <v>207</v>
      </c>
      <c r="C171" s="3" t="s">
        <v>156</v>
      </c>
      <c r="D171" s="3" t="s">
        <v>76</v>
      </c>
      <c r="E171" s="3" t="s">
        <v>46</v>
      </c>
      <c r="F171" s="3"/>
      <c r="G171" s="3" t="s">
        <v>129</v>
      </c>
      <c r="H171" s="3"/>
      <c r="I171" s="4">
        <v>46226</v>
      </c>
      <c r="J171" s="4">
        <v>46226</v>
      </c>
    </row>
    <row r="172" spans="1:10">
      <c r="A172" s="3" t="s">
        <v>126</v>
      </c>
      <c r="B172" s="3" t="s">
        <v>194</v>
      </c>
      <c r="C172" s="3" t="s">
        <v>156</v>
      </c>
      <c r="D172" s="3" t="s">
        <v>76</v>
      </c>
      <c r="E172" s="3" t="s">
        <v>46</v>
      </c>
      <c r="F172" s="3"/>
      <c r="G172" s="3" t="s">
        <v>129</v>
      </c>
      <c r="H172" s="4">
        <v>46226</v>
      </c>
      <c r="I172" s="4">
        <v>46223</v>
      </c>
      <c r="J172" s="4">
        <v>46223</v>
      </c>
    </row>
    <row r="173" spans="1:10">
      <c r="A173" s="3" t="s">
        <v>126</v>
      </c>
      <c r="B173" s="3" t="s">
        <v>186</v>
      </c>
      <c r="C173" s="3" t="s">
        <v>158</v>
      </c>
      <c r="D173" s="3" t="s">
        <v>59</v>
      </c>
      <c r="E173" s="3" t="s">
        <v>60</v>
      </c>
      <c r="F173" s="3"/>
      <c r="G173" s="3" t="s">
        <v>129</v>
      </c>
      <c r="H173" s="3"/>
      <c r="I173" s="3"/>
      <c r="J173" s="3"/>
    </row>
    <row r="174" spans="1:10">
      <c r="A174" s="3" t="s">
        <v>126</v>
      </c>
      <c r="B174" s="3" t="s">
        <v>207</v>
      </c>
      <c r="C174" s="3" t="s">
        <v>158</v>
      </c>
      <c r="D174" s="3" t="s">
        <v>59</v>
      </c>
      <c r="E174" s="3" t="s">
        <v>60</v>
      </c>
      <c r="F174" s="3"/>
      <c r="G174" s="3" t="s">
        <v>129</v>
      </c>
      <c r="H174" s="3"/>
      <c r="I174" s="4">
        <v>46225</v>
      </c>
      <c r="J174" s="4">
        <v>46225</v>
      </c>
    </row>
    <row r="175" spans="1:10">
      <c r="A175" s="3" t="s">
        <v>126</v>
      </c>
      <c r="B175" s="3" t="s">
        <v>194</v>
      </c>
      <c r="C175" s="3" t="s">
        <v>158</v>
      </c>
      <c r="D175" s="3" t="s">
        <v>59</v>
      </c>
      <c r="E175" s="3" t="s">
        <v>60</v>
      </c>
      <c r="F175" s="3"/>
      <c r="G175" s="3" t="s">
        <v>129</v>
      </c>
      <c r="H175" s="4">
        <v>46225</v>
      </c>
      <c r="I175" s="4">
        <v>46223</v>
      </c>
      <c r="J175" s="4">
        <v>46223</v>
      </c>
    </row>
    <row r="176" spans="1:10">
      <c r="A176" s="3" t="s">
        <v>126</v>
      </c>
      <c r="B176" s="3" t="s">
        <v>186</v>
      </c>
      <c r="C176" s="3" t="s">
        <v>160</v>
      </c>
      <c r="D176" s="3" t="s">
        <v>76</v>
      </c>
      <c r="E176" s="3" t="s">
        <v>77</v>
      </c>
      <c r="F176" s="3"/>
      <c r="G176" s="3" t="s">
        <v>143</v>
      </c>
      <c r="H176" s="3"/>
      <c r="I176" s="3"/>
      <c r="J176" s="3"/>
    </row>
    <row r="177" spans="1:10">
      <c r="A177" s="3" t="s">
        <v>126</v>
      </c>
      <c r="B177" s="3" t="s">
        <v>207</v>
      </c>
      <c r="C177" s="3" t="s">
        <v>160</v>
      </c>
      <c r="D177" s="3" t="s">
        <v>76</v>
      </c>
      <c r="E177" s="3" t="s">
        <v>77</v>
      </c>
      <c r="F177" s="3"/>
      <c r="G177" s="3" t="s">
        <v>143</v>
      </c>
      <c r="H177" s="3"/>
      <c r="I177" s="4">
        <v>46225</v>
      </c>
      <c r="J177" s="4">
        <v>46225</v>
      </c>
    </row>
    <row r="178" spans="1:10">
      <c r="A178" s="3" t="s">
        <v>126</v>
      </c>
      <c r="B178" s="3" t="s">
        <v>194</v>
      </c>
      <c r="C178" s="3" t="s">
        <v>160</v>
      </c>
      <c r="D178" s="3" t="s">
        <v>76</v>
      </c>
      <c r="E178" s="3" t="s">
        <v>77</v>
      </c>
      <c r="F178" s="3"/>
      <c r="G178" s="3" t="s">
        <v>143</v>
      </c>
      <c r="H178" s="4">
        <v>46225</v>
      </c>
      <c r="I178" s="4">
        <v>46230</v>
      </c>
      <c r="J178" s="4">
        <v>46230</v>
      </c>
    </row>
    <row r="179" spans="1:10">
      <c r="A179" s="3" t="s">
        <v>126</v>
      </c>
      <c r="B179" s="3" t="s">
        <v>186</v>
      </c>
      <c r="C179" s="3" t="s">
        <v>163</v>
      </c>
      <c r="D179" s="3" t="s">
        <v>103</v>
      </c>
      <c r="E179" s="3"/>
      <c r="F179" s="3"/>
      <c r="G179" s="3"/>
      <c r="H179" s="3"/>
      <c r="I179" s="3"/>
      <c r="J179" s="3"/>
    </row>
    <row r="180" spans="1:10">
      <c r="A180" s="3" t="s">
        <v>126</v>
      </c>
      <c r="B180" s="3" t="s">
        <v>207</v>
      </c>
      <c r="C180" s="3" t="s">
        <v>163</v>
      </c>
      <c r="D180" s="3" t="s">
        <v>103</v>
      </c>
      <c r="E180" s="3"/>
      <c r="F180" s="3"/>
      <c r="G180" s="3"/>
      <c r="H180" s="3"/>
      <c r="I180" s="3"/>
      <c r="J180" s="3"/>
    </row>
    <row r="181" spans="1:10">
      <c r="A181" s="3" t="s">
        <v>126</v>
      </c>
      <c r="B181" s="3" t="s">
        <v>194</v>
      </c>
      <c r="C181" s="3" t="s">
        <v>163</v>
      </c>
      <c r="D181" s="3" t="s">
        <v>103</v>
      </c>
      <c r="E181" s="3"/>
      <c r="F181" s="3"/>
      <c r="G181" s="3"/>
      <c r="H181" s="3"/>
      <c r="I181" s="3"/>
      <c r="J181" s="3"/>
    </row>
    <row r="182" spans="1:10">
      <c r="A182" s="3" t="s">
        <v>126</v>
      </c>
      <c r="B182" s="3" t="s">
        <v>186</v>
      </c>
      <c r="C182" s="3" t="s">
        <v>174</v>
      </c>
      <c r="D182" s="3" t="s">
        <v>84</v>
      </c>
      <c r="E182" s="3"/>
      <c r="F182" s="3"/>
      <c r="G182" s="3"/>
      <c r="H182" s="3"/>
      <c r="I182" s="3"/>
      <c r="J182" s="3"/>
    </row>
    <row r="183" spans="1:10">
      <c r="A183" s="3" t="s">
        <v>126</v>
      </c>
      <c r="B183" s="3" t="s">
        <v>207</v>
      </c>
      <c r="C183" s="3" t="s">
        <v>174</v>
      </c>
      <c r="D183" s="3" t="s">
        <v>84</v>
      </c>
      <c r="E183" s="3"/>
      <c r="F183" s="3"/>
      <c r="G183" s="3"/>
      <c r="H183" s="3"/>
      <c r="I183" s="3"/>
      <c r="J183" s="3"/>
    </row>
    <row r="184" spans="1:10">
      <c r="A184" s="3" t="s">
        <v>126</v>
      </c>
      <c r="B184" s="3" t="s">
        <v>194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429</v>
      </c>
      <c r="F1" s="1" t="s">
        <v>331</v>
      </c>
      <c r="G1" s="5" t="s">
        <v>430</v>
      </c>
      <c r="H1" s="5" t="s">
        <v>20</v>
      </c>
      <c r="I1" t="s">
        <v>35</v>
      </c>
      <c r="J1" s="5" t="s">
        <v>431</v>
      </c>
      <c r="K1" s="5" t="s">
        <v>164</v>
      </c>
      <c r="L1" s="5" t="s">
        <v>350</v>
      </c>
      <c r="M1" s="1" t="s">
        <v>432</v>
      </c>
      <c r="N1" s="1" t="s">
        <v>433</v>
      </c>
      <c r="R1" t="s">
        <v>13</v>
      </c>
      <c r="T1" t="s">
        <v>434</v>
      </c>
    </row>
    <row r="2" spans="1:20" ht="13.5" customHeight="1">
      <c r="A2" s="2" t="s">
        <v>435</v>
      </c>
      <c r="B2" s="2" t="s">
        <v>436</v>
      </c>
      <c r="C2" s="2" t="s">
        <v>437</v>
      </c>
      <c r="D2" s="2" t="s">
        <v>438</v>
      </c>
      <c r="E2" s="2" t="s">
        <v>439</v>
      </c>
      <c r="F2" s="2" t="s">
        <v>440</v>
      </c>
      <c r="G2" t="s">
        <v>441</v>
      </c>
      <c r="H2" t="s">
        <v>442</v>
      </c>
      <c r="I2" t="s">
        <v>443</v>
      </c>
      <c r="J2" s="29" t="s">
        <v>444</v>
      </c>
      <c r="K2" s="29" t="s">
        <v>445</v>
      </c>
      <c r="L2" s="29" t="s">
        <v>446</v>
      </c>
      <c r="M2" t="s">
        <v>143</v>
      </c>
      <c r="N2" t="s">
        <v>447</v>
      </c>
      <c r="R2" t="s">
        <v>251</v>
      </c>
      <c r="T2" t="s">
        <v>49</v>
      </c>
    </row>
    <row r="3" spans="1:20" ht="15" customHeight="1">
      <c r="A3" t="s">
        <v>40</v>
      </c>
      <c r="B3" t="s">
        <v>44</v>
      </c>
      <c r="C3" t="s">
        <v>60</v>
      </c>
      <c r="D3" t="s">
        <v>129</v>
      </c>
      <c r="E3" t="s">
        <v>50</v>
      </c>
      <c r="F3" t="s">
        <v>232</v>
      </c>
      <c r="G3" t="s">
        <v>44</v>
      </c>
      <c r="H3" t="s">
        <v>47</v>
      </c>
      <c r="I3" t="s">
        <v>53</v>
      </c>
      <c r="J3" t="s">
        <v>186</v>
      </c>
      <c r="K3" t="s">
        <v>48</v>
      </c>
      <c r="L3" t="s">
        <v>53</v>
      </c>
      <c r="M3" t="s">
        <v>44</v>
      </c>
      <c r="N3" t="s">
        <v>448</v>
      </c>
      <c r="R3" t="s">
        <v>45</v>
      </c>
      <c r="T3" t="s">
        <v>94</v>
      </c>
    </row>
    <row r="4" spans="1:20" ht="15" customHeight="1">
      <c r="A4" t="s">
        <v>126</v>
      </c>
      <c r="B4" t="s">
        <v>59</v>
      </c>
      <c r="C4" t="s">
        <v>46</v>
      </c>
      <c r="D4" t="s">
        <v>143</v>
      </c>
      <c r="E4" t="s">
        <v>53</v>
      </c>
      <c r="F4" t="s">
        <v>186</v>
      </c>
      <c r="G4" t="s">
        <v>59</v>
      </c>
      <c r="H4" t="s">
        <v>88</v>
      </c>
      <c r="I4" t="s">
        <v>181</v>
      </c>
      <c r="J4" t="s">
        <v>207</v>
      </c>
      <c r="L4" t="s">
        <v>50</v>
      </c>
      <c r="M4" t="s">
        <v>103</v>
      </c>
      <c r="N4" t="s">
        <v>449</v>
      </c>
      <c r="R4" t="s">
        <v>450</v>
      </c>
      <c r="T4" t="s">
        <v>72</v>
      </c>
    </row>
    <row r="5" spans="1:20" ht="15" customHeight="1">
      <c r="A5" t="s">
        <v>419</v>
      </c>
      <c r="B5" t="s">
        <v>428</v>
      </c>
      <c r="C5" t="s">
        <v>77</v>
      </c>
      <c r="F5" t="s">
        <v>207</v>
      </c>
      <c r="G5" t="s">
        <v>428</v>
      </c>
      <c r="H5" t="s">
        <v>129</v>
      </c>
      <c r="I5" t="s">
        <v>451</v>
      </c>
      <c r="J5" t="s">
        <v>194</v>
      </c>
      <c r="L5" t="s">
        <v>452</v>
      </c>
      <c r="M5" t="s">
        <v>88</v>
      </c>
      <c r="N5" t="s">
        <v>453</v>
      </c>
    </row>
    <row r="6" spans="1:20" ht="15" customHeight="1">
      <c r="A6" t="s">
        <v>304</v>
      </c>
      <c r="B6" t="s">
        <v>84</v>
      </c>
      <c r="F6" t="s">
        <v>194</v>
      </c>
      <c r="G6" t="s">
        <v>84</v>
      </c>
      <c r="H6" t="s">
        <v>143</v>
      </c>
      <c r="I6" t="s">
        <v>188</v>
      </c>
      <c r="J6" t="s">
        <v>164</v>
      </c>
      <c r="M6" t="s">
        <v>48</v>
      </c>
      <c r="N6" t="s">
        <v>453</v>
      </c>
    </row>
    <row r="7" spans="1:20" ht="15" customHeight="1">
      <c r="A7" t="s">
        <v>294</v>
      </c>
      <c r="B7" t="s">
        <v>65</v>
      </c>
      <c r="F7" t="s">
        <v>164</v>
      </c>
      <c r="G7" t="s">
        <v>65</v>
      </c>
      <c r="H7" t="s">
        <v>201</v>
      </c>
      <c r="I7" t="s">
        <v>454</v>
      </c>
      <c r="M7" t="s">
        <v>129</v>
      </c>
      <c r="N7" t="s">
        <v>455</v>
      </c>
    </row>
    <row r="8" spans="1:20" ht="15" customHeight="1">
      <c r="B8" t="s">
        <v>76</v>
      </c>
      <c r="F8" t="s">
        <v>128</v>
      </c>
      <c r="G8" t="s">
        <v>76</v>
      </c>
      <c r="I8" t="s">
        <v>456</v>
      </c>
      <c r="M8" t="s">
        <v>60</v>
      </c>
      <c r="N8" t="s">
        <v>457</v>
      </c>
    </row>
    <row r="9" spans="1:20" ht="15" customHeight="1">
      <c r="B9" t="s">
        <v>103</v>
      </c>
      <c r="F9" t="s">
        <v>42</v>
      </c>
      <c r="G9" t="s">
        <v>103</v>
      </c>
      <c r="I9" t="s">
        <v>458</v>
      </c>
      <c r="M9" t="s">
        <v>154</v>
      </c>
      <c r="N9" t="s">
        <v>459</v>
      </c>
    </row>
    <row r="10" spans="1:20" ht="15" customHeight="1">
      <c r="B10" t="s">
        <v>154</v>
      </c>
      <c r="G10" t="s">
        <v>154</v>
      </c>
      <c r="M10" t="s">
        <v>47</v>
      </c>
      <c r="N10" t="s">
        <v>460</v>
      </c>
    </row>
    <row r="11" spans="1:20">
      <c r="B11" t="s">
        <v>461</v>
      </c>
      <c r="G11" t="s">
        <v>60</v>
      </c>
      <c r="M11" t="s">
        <v>76</v>
      </c>
      <c r="N11" t="s">
        <v>462</v>
      </c>
    </row>
    <row r="12" spans="1:20">
      <c r="B12" t="s">
        <v>463</v>
      </c>
      <c r="G12" t="s">
        <v>46</v>
      </c>
      <c r="M12" t="s">
        <v>46</v>
      </c>
      <c r="N12" t="s">
        <v>464</v>
      </c>
    </row>
    <row r="13" spans="1:20">
      <c r="G13" t="s">
        <v>77</v>
      </c>
      <c r="M13" t="s">
        <v>77</v>
      </c>
      <c r="N13" t="s">
        <v>465</v>
      </c>
    </row>
    <row r="14" spans="1:20">
      <c r="M14" t="s">
        <v>84</v>
      </c>
      <c r="N14" t="s">
        <v>466</v>
      </c>
    </row>
    <row r="15" spans="1:20">
      <c r="M15" t="s">
        <v>59</v>
      </c>
      <c r="N15" t="s">
        <v>467</v>
      </c>
    </row>
    <row r="16" spans="1:20">
      <c r="M16" t="s">
        <v>65</v>
      </c>
      <c r="N16" t="s">
        <v>468</v>
      </c>
    </row>
    <row r="17" spans="13:14">
      <c r="M17" t="s">
        <v>428</v>
      </c>
      <c r="N17" t="s">
        <v>468</v>
      </c>
    </row>
    <row r="18" spans="13:14">
      <c r="M18" t="s">
        <v>227</v>
      </c>
      <c r="N18" t="s">
        <v>469</v>
      </c>
    </row>
    <row r="19" spans="13:14">
      <c r="M19" t="s">
        <v>201</v>
      </c>
      <c r="N19" t="s">
        <v>470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2026-09-21T20:51:01Z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