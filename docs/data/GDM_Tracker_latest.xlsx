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97" documentId="13_ncr:1_{52745E9B-3AA1-4770-AAD3-E6166BFC13AE}" xr6:coauthVersionLast="47" xr6:coauthVersionMax="47" xr10:uidLastSave="{2F05534A-FA18-47CD-ABC6-C8E7B7DA9A77}"/>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<sst xmlns="http://schemas.openxmlformats.org/spreadsheetml/2006/main" count="3225" uniqueCount="472">
  <si>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</si>
  <si>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</si>
  <si>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</si>
  <si>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</si>
  <si>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</si>
  <si>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</si>
  <si>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</si>
  <si>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</si>
  <si>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</si>
  <si>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</si>
  <si>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</si>
  <si>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</si>
  <si>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</si>
  <si>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</si>
  <si>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</si>
  <si>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</si>
  <si>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</si>
  <si>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</si>
  <si>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</si>
  <si>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</si>
  <si>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</si>
  <si>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</si>
  <si>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</si>
  <si>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</si>
  <si>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</si>
  <si>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</si>
  <si>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</si>
  <si>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</si>
  <si>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</si>
  <si>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</si>
  <si>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</si>
  <si>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</si>
  <si>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</si>
  <si>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</si>
  <si>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</si>
  <si>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</si>
  <si>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</si>
  <si>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</si>
  <si>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</si>
  <si>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</si>
  <si>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</si>
  <si>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</si>
  <si>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</si>
  <si>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</si>
  <si>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</si>
  <si>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</si>
  <si>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</si>
  <si>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</si>
  <si>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</si>
  <si>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</si>
  <si>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</si>
  <si>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</si>
  <si>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</si>
  <si>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</si>
  <si>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</si>
  <si>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</si>
  <si>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</si>
  <si>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</si>
  <si>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</si>
  <si>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</si>
  <si>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</si>
  <si>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</si>
  <si>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</si>
  <si>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</si>
  <si>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</si>
  <si>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</si>
  <si>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</si>
  <si>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</si>
  <si>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</si>
  <si>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</si>
  <si>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</si>
  <si>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</si>
  <si>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</si>
  <si>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</si>
  <si>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</si>
  <si>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</si>
  <si>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</si>
  <si>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</si>
  <si>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</si>
  <si>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</si>
  <si>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</si>
  <si>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</si>
  <si>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</si>
  <si>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</si>
  <si>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</si>
  <si>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</si>
  <si>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</si>
  <si>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</si>
  <si>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</si>
  <si>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</si>
  <si>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</si>
  <si>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</si>
  <si>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</si>
  <si>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</si>
  <si>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</si>
  <si>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</si>
  <si>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</si>
  <si>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</si>
  <si>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</si>
  <si>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</si>
  <si>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</si>
  <si>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</si>
  <si>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</si>
  <si>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</si>
  <si>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</si>
  <si>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</si>
  <si>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</si>
  <si>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</si>
  <si>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</si>
  <si>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</si>
  <si>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</si>
  <si>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</si>
  <si>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</si>
  <si>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</si>
  <si>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</si>
  <si>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</si>
  <si>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</si>
  <si>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</si>
  <si>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</si>
  <si>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</si>
  <si>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</si>
  <si>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</si>
  <si>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</si>
  <si>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</si>
  <si>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</si>
  <si>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</si>
  <si>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</si>
  <si>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</si>
  <si>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</si>
  <si>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</si>
  <si>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</si>
  <si>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</si>
  <si>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</si>
  <si>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</si>
  <si>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</si>
  <si>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</si>
  <si>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</si>
  <si>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</si>
  <si>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</si>
  <si>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</si>
  <si>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</si>
  <si>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</si>
  <si>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</si>
  <si>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</si>
  <si>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</si>
  <si>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</si>
  <si>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</si>
  <si>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</si>
  <si>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</si>
  <si>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</si>
  <si>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</si>
  <si>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</si>
  <si>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</si>
  <si>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</si>
  <si>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</si>
  <si>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</si>
  <si>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</si>
  <si>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</si>
  <si>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</si>
  <si>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</si>
  <si>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</si>
  <si>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</si>
  <si>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</si>
  <si>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</si>
  <si>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</si>
  <si>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</si>
  <si>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</si>
  <si>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</si>
  <si>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</si>
  <si>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</si>
  <si>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</si>
  <si>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</si>
  <si>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</si>
  <si>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</si>
  <si>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</si>
  <si>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</si>
  <si>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</si>
  <si>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</si>
  <si>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</si>
  <si>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</si>
  <si>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</si>
  <si>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</si>
  <si>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</si>
  <si>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</si>
  <si>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</si>
  <si>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</si>
  <si>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</si>
  <si>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</si>
  <si>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</si>
  <si>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</si>
  <si>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</si>
  <si>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</si>
  <si>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</si>
  <si>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</si>
  <si>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</si>
  <si>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</si>
  <si>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</si>
  <si>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</si>
  <si>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</si>
  <si>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</si>
  <si>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</si>
  <si>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</si>
  <si>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</si>
  <si>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</si>
  <si>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</si>
  <si>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</si>
  <si>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</si>
  <si>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</si>
  <si>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</si>
  <si>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</si>
  <si>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</si>
  <si>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</si>
  <si>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</si>
  <si>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PBI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</si>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</sst>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R1" activePane="topRight" state="frozen"/>
      <selection pane="topRight" activeCell="W55" sqref="W55"/>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46281</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204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PBI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186</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46</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252</v>
      </c>
      <c r="O81" s="149" t="s">
        <v>248</v>
      </c>
      <c r="P81" s="150" t="s">
        <v>60</v>
      </c>
      <c r="Q81" s="148">
        <v>46313</v>
      </c>
      <c r="R81" s="148"/>
      <c r="S81" s="149"/>
      <c r="T81" s="167" t="s">
        <v>256</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248</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258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252</v>
      </c>
      <c r="O84" s="44" t="s">
        <v>248</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240</v>
      </c>
      <c r="J85" s="53" t="s">
        <v>44</v>
      </c>
      <c r="K85" s="43">
        <v>46304</v>
      </c>
      <c r="L85" s="43">
        <v>46276</v>
      </c>
      <c r="M85" s="44"/>
      <c r="N85" s="44"/>
      <c r="O85" s="44" t="s">
        <v>248</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c r="M86" s="44"/>
      <c r="N86" s="44"/>
      <c r="O86" s="44" t="s">
        <v>248</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248</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c r="K97" s="49">
        <v>46332</v>
      </c>
      <c r="L97" s="43"/>
      <c r="M97" s="44"/>
      <c r="N97" s="44"/>
      <c r="O97" s="36" t="s">
        <v>288</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c r="K98" s="49">
        <v>46332</v>
      </c>
      <c r="L98" s="43"/>
      <c r="M98" s="44"/>
      <c r="N98" s="44"/>
      <c r="O98" s="36" t="s">
        <v>288</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c r="K100" s="49">
        <v>46332</v>
      </c>
      <c r="L100" s="43"/>
      <c r="M100" s="44"/>
      <c r="N100" s="44"/>
      <c r="O100" s="36" t="s">
        <v>288</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c r="K101" s="28">
        <v>46363</v>
      </c>
      <c r="L101" s="43"/>
      <c r="M101" s="31"/>
      <c r="N101" s="31"/>
      <c r="O101" s="36" t="s">
        <v>299</v>
      </c>
      <c r="P101" s="74"/>
      <c r="Q101" s="28">
        <v>46370</v>
      </c>
      <c r="R101" s="43"/>
      <c r="S101" s="31"/>
      <c r="T101" s="68" t="s">
        <v>283</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c r="K102" s="28">
        <v>46363</v>
      </c>
      <c r="L102" s="43"/>
      <c r="M102" s="31"/>
      <c r="N102" s="31"/>
      <c r="O102" s="36" t="s">
        <v>299</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299</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299</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299</v>
      </c>
      <c r="P105" s="74"/>
      <c r="Q105" s="28">
        <v>46370</v>
      </c>
      <c r="R105" s="43"/>
      <c r="S105" s="31"/>
      <c r="T105" s="68" t="s">
        <v>302</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299</v>
      </c>
      <c r="P106" s="74"/>
      <c r="Q106" s="28">
        <v>46370</v>
      </c>
      <c r="R106" s="43"/>
      <c r="S106" s="31"/>
      <c r="T106" s="68" t="s">
        <v>302</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299</v>
      </c>
      <c r="P107" s="74"/>
      <c r="Q107" s="28">
        <v>46370</v>
      </c>
      <c r="R107" s="43"/>
      <c r="S107" s="31"/>
      <c r="T107" s="68" t="s">
        <v>302</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302</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3" t="str">
        <f>IF($B$4="","",IFERROR(INDEX('Combined Delivery Data'!$A:$A,MATCH($B$4,'Combined Delivery Data'!$B:$B,0)),""))</f>
        <v/>
      </c>
      <c r="C6" s="176"/>
      <c r="D6" s="176"/>
      <c r="E6" s="177"/>
    </row>
    <row r="7" spans="1:5">
      <c r="A7" s="42" t="s">
        <v>333</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334</v>
      </c>
      <c r="B14" s="172" t="str">
        <f>IF($B$4="","",IFERROR(INDEX('Combined Delivery Data'!$K:$K,MATCH($B$4,'Combined Delivery Data'!$B:$B,0)),""))</f>
        <v/>
      </c>
      <c r="C14" s="176"/>
      <c r="D14" s="176"/>
      <c r="E14" s="177"/>
    </row>
    <row r="15" spans="1:5">
      <c r="A15" s="42" t="s">
        <v>335</v>
      </c>
      <c r="B15" s="172" t="str">
        <f>IF($B$4="","",IFERROR(INDEX('Combined Delivery Data'!$L:$L,MATCH($B$4,'Combined Delivery Data'!$B:$B,0)),""))</f>
        <v/>
      </c>
      <c r="C15" s="176"/>
      <c r="D15" s="176"/>
      <c r="E15" s="177"/>
    </row>
    <row r="16" spans="1:5">
      <c r="A16" s="42" t="s">
        <v>336</v>
      </c>
      <c r="B16" s="172" t="str">
        <f>IF($B$4="","",IFERROR(INDEX('Combined Delivery Data'!$M:$M,MATCH($B$4,'Combined Delivery Data'!$B:$B,0)),""))</f>
        <v/>
      </c>
      <c r="C16" s="176"/>
      <c r="D16" s="176"/>
      <c r="E16" s="177"/>
    </row>
    <row r="17" spans="1:5">
      <c r="A17" s="42" t="s">
        <v>337</v>
      </c>
      <c r="B17" s="172" t="str">
        <f>IF($B$4="","",IFERROR(INDEX('Combined Delivery Data'!$O:$O,MATCH($B$4,'Combined Delivery Data'!$B:$B,0)),""))</f>
        <v/>
      </c>
      <c r="C17" s="176"/>
      <c r="D17" s="176"/>
      <c r="E17" s="177"/>
    </row>
    <row r="18" spans="1:5">
      <c r="A18" s="42" t="s">
        <v>338</v>
      </c>
      <c r="B18" s="172" t="str">
        <f>IF($B$4="","",IFERROR(INDEX('Combined Delivery Data'!$Q:$Q,MATCH($B$4,'Combined Delivery Data'!$B:$B,0)),""))</f>
        <v/>
      </c>
      <c r="C18" s="176"/>
      <c r="D18" s="176"/>
      <c r="E18" s="177"/>
    </row>
    <row r="19" spans="1:5">
      <c r="A19" s="42" t="s">
        <v>339</v>
      </c>
      <c r="B19" s="172" t="str">
        <f>IF($B$4="","",IFERROR(INDEX('Combined Delivery Data'!$R:$R,MATCH($B$4,'Combined Delivery Data'!$B:$B,0)),""))</f>
        <v/>
      </c>
      <c r="C19" s="176"/>
      <c r="D19" s="176"/>
      <c r="E19" s="177"/>
    </row>
    <row r="20" spans="1:5">
      <c r="A20" s="42" t="s">
        <v>340</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341</v>
      </c>
      <c r="B26" s="173" t="str">
        <f>IF($B$4="","",IFERROR(INDEX('Rework Log'!$Q:$Q,MATCH($B$4,'Rework Log'!$P:$P,0)),""))</f>
        <v/>
      </c>
      <c r="C26" s="176"/>
      <c r="D26" s="176"/>
      <c r="E26" s="177"/>
    </row>
    <row r="27" spans="1:5">
      <c r="A27" s="42" t="s">
        <v>342</v>
      </c>
      <c r="B27" s="173" t="str">
        <f>IF($B$4="","",IFERROR(INDEX('Rework Log'!$R:$R,MATCH($B$4,'Rework Log'!$P:$P,0)),""))</f>
        <v/>
      </c>
      <c r="C27" s="176"/>
      <c r="D27" s="176"/>
      <c r="E27" s="177"/>
    </row>
    <row r="28" spans="1:5">
      <c r="A28" s="42" t="s">
        <v>343</v>
      </c>
      <c r="B28" s="173" t="str">
        <f>IF($B$4="","",IFERROR(INDEX('Rework Log'!$S:$S,MATCH($B$4,'Rework Log'!$P:$P,0)),""))</f>
        <v/>
      </c>
      <c r="C28" s="176"/>
      <c r="D28" s="176"/>
      <c r="E28" s="177"/>
    </row>
    <row r="29" spans="1:5">
      <c r="A29" s="42" t="s">
        <v>344</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H28" activePane="bottomLeft" state="frozen"/>
      <selection pane="bottomLeft" activeCell="O43" sqref="O4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345</v>
      </c>
      <c r="B1" s="171"/>
      <c r="C1" s="171"/>
      <c r="D1" s="171"/>
      <c r="E1" s="171"/>
      <c r="F1" s="171"/>
      <c r="G1" s="171"/>
      <c r="H1" s="171"/>
      <c r="I1" s="171"/>
      <c r="J1" s="171"/>
      <c r="K1" s="171"/>
      <c r="L1" s="171"/>
      <c r="M1" s="171"/>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185</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375</v>
      </c>
      <c r="G17" s="31" t="s">
        <v>50</v>
      </c>
      <c r="H17" s="32" t="s">
        <v>46</v>
      </c>
      <c r="I17" s="32"/>
      <c r="J17" s="32"/>
      <c r="K17" s="31"/>
      <c r="L17" s="31"/>
      <c r="M17" s="3"/>
      <c r="S17" s="28"/>
    </row>
    <row r="18" spans="1:20">
      <c r="A18" s="33" t="s">
        <v>180</v>
      </c>
      <c r="B18" s="32">
        <v>46261</v>
      </c>
      <c r="C18" s="31" t="s">
        <v>185</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258</v>
      </c>
      <c r="E33" s="31" t="s">
        <v>198</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404</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406</v>
      </c>
      <c r="B1" s="175"/>
      <c r="C1" s="175"/>
    </row>
    <row r="2" spans="1:8" ht="14.25" customHeight="1">
      <c r="A2" s="8" t="s">
        <v>0</v>
      </c>
      <c r="B2" s="8" t="s">
        <v>407</v>
      </c>
      <c r="C2" s="8" t="s">
        <v>408</v>
      </c>
      <c r="E2" t="s">
        <v>409</v>
      </c>
      <c r="F2" t="s">
        <v>410</v>
      </c>
      <c r="G2" t="s">
        <v>411</v>
      </c>
      <c r="H2" t="s">
        <v>412</v>
      </c>
    </row>
    <row r="3" spans="1:8" ht="14.25" customHeight="1">
      <c r="A3" s="11" t="s">
        <v>40</v>
      </c>
      <c r="B3" s="11">
        <v>8</v>
      </c>
      <c r="C3" s="12">
        <v>46142</v>
      </c>
      <c r="E3" t="s">
        <v>413</v>
      </c>
      <c r="F3" s="28">
        <v>46233</v>
      </c>
      <c r="G3" s="28">
        <v>46274</v>
      </c>
    </row>
    <row r="4" spans="1:8" ht="14.25" customHeight="1">
      <c r="A4" s="11" t="s">
        <v>40</v>
      </c>
      <c r="B4" s="11">
        <v>10</v>
      </c>
      <c r="C4" s="12">
        <v>46172</v>
      </c>
      <c r="E4" t="s">
        <v>414</v>
      </c>
      <c r="F4" s="28">
        <v>46264</v>
      </c>
      <c r="G4" s="28">
        <v>46295</v>
      </c>
    </row>
    <row r="5" spans="1:8" ht="14.25" customHeight="1">
      <c r="A5" s="11" t="s">
        <v>40</v>
      </c>
      <c r="B5" s="11">
        <v>9</v>
      </c>
      <c r="C5" s="12">
        <v>46203</v>
      </c>
      <c r="E5" t="s">
        <v>415</v>
      </c>
      <c r="F5" s="28">
        <v>46295</v>
      </c>
      <c r="G5" s="28">
        <v>46325</v>
      </c>
    </row>
    <row r="6" spans="1:8" ht="14.25" customHeight="1">
      <c r="A6" s="11" t="s">
        <v>126</v>
      </c>
      <c r="B6" s="11">
        <v>15</v>
      </c>
      <c r="C6" s="12">
        <v>46233</v>
      </c>
      <c r="E6" t="s">
        <v>416</v>
      </c>
      <c r="F6" s="28">
        <v>46325</v>
      </c>
      <c r="G6" s="28">
        <v>46356</v>
      </c>
    </row>
    <row r="7" spans="1:8" ht="14.25" customHeight="1">
      <c r="A7" s="11" t="s">
        <v>126</v>
      </c>
      <c r="B7" s="11">
        <v>15</v>
      </c>
      <c r="C7" s="12">
        <v>46264</v>
      </c>
      <c r="E7" t="s">
        <v>417</v>
      </c>
      <c r="F7" s="28">
        <v>46356</v>
      </c>
      <c r="G7" s="28">
        <v>46387</v>
      </c>
    </row>
    <row r="8" spans="1:8" ht="14.25" customHeight="1">
      <c r="A8" s="11" t="s">
        <v>126</v>
      </c>
      <c r="B8" s="11">
        <v>17</v>
      </c>
      <c r="C8" s="12">
        <v>46295</v>
      </c>
      <c r="E8" t="s">
        <v>418</v>
      </c>
      <c r="F8" s="28">
        <v>46387</v>
      </c>
      <c r="G8" s="28">
        <v>46417</v>
      </c>
    </row>
    <row r="9" spans="1:8" ht="14.25" customHeight="1">
      <c r="A9" s="11" t="s">
        <v>126</v>
      </c>
      <c r="B9" s="11">
        <v>20</v>
      </c>
      <c r="C9" s="12">
        <v>46325</v>
      </c>
      <c r="E9" t="s">
        <v>419</v>
      </c>
      <c r="F9" s="28">
        <v>46417</v>
      </c>
      <c r="G9" s="28">
        <v>46445</v>
      </c>
    </row>
    <row r="10" spans="1:8" ht="14.25" customHeight="1">
      <c r="A10" s="11" t="s">
        <v>126</v>
      </c>
      <c r="B10" s="11">
        <v>20</v>
      </c>
      <c r="C10" s="12">
        <v>46356</v>
      </c>
      <c r="E10" t="s">
        <v>420</v>
      </c>
      <c r="F10" s="28">
        <v>46446</v>
      </c>
      <c r="G10" s="28">
        <v>46477</v>
      </c>
    </row>
    <row r="11" spans="1:8" ht="14.25" customHeight="1">
      <c r="A11" s="11" t="s">
        <v>421</v>
      </c>
      <c r="B11" s="11">
        <v>18</v>
      </c>
      <c r="C11" s="12">
        <v>46417</v>
      </c>
      <c r="E11" t="s">
        <v>422</v>
      </c>
      <c r="F11" s="28">
        <v>46477</v>
      </c>
      <c r="G11" s="28">
        <v>46480</v>
      </c>
    </row>
    <row r="12" spans="1:8" ht="14.25" customHeight="1">
      <c r="A12" s="11" t="s">
        <v>421</v>
      </c>
      <c r="B12" s="11">
        <v>18</v>
      </c>
      <c r="C12" s="12">
        <v>46446</v>
      </c>
    </row>
    <row r="13" spans="1:8" ht="14.25" customHeight="1">
      <c r="A13" s="11" t="s">
        <v>421</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423</v>
      </c>
      <c r="B1" s="175"/>
      <c r="C1" s="175"/>
      <c r="D1" s="175"/>
      <c r="E1" s="175"/>
      <c r="F1" s="175"/>
      <c r="G1" s="175"/>
      <c r="H1" s="175"/>
      <c r="I1" s="175"/>
      <c r="J1" s="175"/>
    </row>
    <row r="2" spans="1:10" ht="27" customHeight="1">
      <c r="A2" s="8" t="s">
        <v>0</v>
      </c>
      <c r="B2" s="8" t="s">
        <v>424</v>
      </c>
      <c r="C2" s="8" t="s">
        <v>1</v>
      </c>
      <c r="D2" s="8" t="s">
        <v>425</v>
      </c>
      <c r="E2" s="8" t="s">
        <v>426</v>
      </c>
      <c r="F2" s="8" t="s">
        <v>6</v>
      </c>
      <c r="G2" s="8" t="s">
        <v>5</v>
      </c>
      <c r="H2" s="8" t="s">
        <v>427</v>
      </c>
      <c r="I2" s="8" t="s">
        <v>408</v>
      </c>
      <c r="J2" s="8" t="s">
        <v>428</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429</v>
      </c>
      <c r="D13" s="9" t="s">
        <v>430</v>
      </c>
      <c r="E13" s="9" t="s">
        <v>46</v>
      </c>
      <c r="F13" s="9"/>
      <c r="G13" s="9"/>
      <c r="H13" s="10"/>
      <c r="I13" s="10">
        <v>46115</v>
      </c>
      <c r="J13" s="10">
        <v>46115</v>
      </c>
    </row>
    <row r="14" spans="1:10" ht="14.25" customHeight="1">
      <c r="A14" s="9" t="s">
        <v>40</v>
      </c>
      <c r="B14" s="9" t="s">
        <v>204</v>
      </c>
      <c r="C14" s="9" t="s">
        <v>429</v>
      </c>
      <c r="D14" s="9" t="s">
        <v>430</v>
      </c>
      <c r="E14" s="9" t="s">
        <v>46</v>
      </c>
      <c r="F14" s="9"/>
      <c r="G14" s="9"/>
      <c r="H14" s="10">
        <v>46115</v>
      </c>
      <c r="I14" s="10">
        <v>46120</v>
      </c>
      <c r="J14" s="10">
        <v>46120</v>
      </c>
    </row>
    <row r="15" spans="1:10" ht="14.25" customHeight="1">
      <c r="A15" s="9" t="s">
        <v>40</v>
      </c>
      <c r="B15" s="9" t="s">
        <v>185</v>
      </c>
      <c r="C15" s="9" t="s">
        <v>429</v>
      </c>
      <c r="D15" s="9" t="s">
        <v>430</v>
      </c>
      <c r="E15" s="9" t="s">
        <v>46</v>
      </c>
      <c r="F15" s="9"/>
      <c r="G15" s="9"/>
      <c r="H15" s="10">
        <v>46120</v>
      </c>
      <c r="I15" s="10">
        <v>46122</v>
      </c>
      <c r="J15" s="10">
        <v>46122</v>
      </c>
    </row>
    <row r="16" spans="1:10" ht="14.25" customHeight="1">
      <c r="A16" s="9" t="s">
        <v>40</v>
      </c>
      <c r="B16" s="9" t="s">
        <v>164</v>
      </c>
      <c r="C16" s="9" t="s">
        <v>429</v>
      </c>
      <c r="D16" s="9" t="s">
        <v>430</v>
      </c>
      <c r="E16" s="9" t="s">
        <v>46</v>
      </c>
      <c r="F16" s="9"/>
      <c r="G16" s="9"/>
      <c r="H16" s="10">
        <v>46122</v>
      </c>
      <c r="I16" s="10"/>
      <c r="J16" s="10"/>
    </row>
    <row r="17" spans="1:10" ht="14.25" customHeight="1">
      <c r="A17" s="9" t="s">
        <v>40</v>
      </c>
      <c r="B17" s="9" t="s">
        <v>42</v>
      </c>
      <c r="C17" s="9" t="s">
        <v>429</v>
      </c>
      <c r="D17" s="9" t="s">
        <v>430</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430</v>
      </c>
      <c r="E23" s="9" t="s">
        <v>46</v>
      </c>
      <c r="F23" s="9"/>
      <c r="G23" s="9"/>
      <c r="H23" s="10"/>
      <c r="I23" s="10">
        <v>46115</v>
      </c>
      <c r="J23" s="10">
        <v>46115</v>
      </c>
    </row>
    <row r="24" spans="1:10" ht="14.25" customHeight="1">
      <c r="A24" s="9" t="s">
        <v>40</v>
      </c>
      <c r="B24" s="9" t="s">
        <v>204</v>
      </c>
      <c r="C24" s="9" t="s">
        <v>64</v>
      </c>
      <c r="D24" s="9" t="s">
        <v>430</v>
      </c>
      <c r="E24" s="9" t="s">
        <v>46</v>
      </c>
      <c r="F24" s="9"/>
      <c r="G24" s="9"/>
      <c r="H24" s="10">
        <v>46115</v>
      </c>
      <c r="I24" s="10">
        <v>46120</v>
      </c>
      <c r="J24" s="10">
        <v>46120</v>
      </c>
    </row>
    <row r="25" spans="1:10" ht="14.25" customHeight="1">
      <c r="A25" s="9" t="s">
        <v>40</v>
      </c>
      <c r="B25" s="9" t="s">
        <v>185</v>
      </c>
      <c r="C25" s="9" t="s">
        <v>64</v>
      </c>
      <c r="D25" s="9" t="s">
        <v>430</v>
      </c>
      <c r="E25" s="9" t="s">
        <v>46</v>
      </c>
      <c r="F25" s="9"/>
      <c r="G25" s="9"/>
      <c r="H25" s="10">
        <v>46120</v>
      </c>
      <c r="I25" s="10">
        <v>46122</v>
      </c>
      <c r="J25" s="10">
        <v>46122</v>
      </c>
    </row>
    <row r="26" spans="1:10" ht="14.25" customHeight="1">
      <c r="A26" s="9" t="s">
        <v>40</v>
      </c>
      <c r="B26" s="9" t="s">
        <v>164</v>
      </c>
      <c r="C26" s="9" t="s">
        <v>64</v>
      </c>
      <c r="D26" s="9" t="s">
        <v>430</v>
      </c>
      <c r="E26" s="9" t="s">
        <v>46</v>
      </c>
      <c r="F26" s="9"/>
      <c r="G26" s="9"/>
      <c r="H26" s="10">
        <v>46122</v>
      </c>
      <c r="I26" s="10"/>
      <c r="J26" s="10"/>
    </row>
    <row r="27" spans="1:10" ht="14.25" customHeight="1">
      <c r="A27" s="9" t="s">
        <v>40</v>
      </c>
      <c r="B27" s="9" t="s">
        <v>42</v>
      </c>
      <c r="C27" s="9" t="s">
        <v>64</v>
      </c>
      <c r="D27" s="9" t="s">
        <v>430</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430</v>
      </c>
      <c r="E33" s="9" t="s">
        <v>60</v>
      </c>
      <c r="F33" s="9"/>
      <c r="G33" s="9"/>
      <c r="H33" s="10"/>
      <c r="I33" s="10">
        <v>46122</v>
      </c>
      <c r="J33" s="10">
        <v>46122</v>
      </c>
    </row>
    <row r="34" spans="1:10" ht="14.25" customHeight="1">
      <c r="A34" s="9" t="s">
        <v>40</v>
      </c>
      <c r="B34" s="9" t="s">
        <v>204</v>
      </c>
      <c r="C34" s="9" t="s">
        <v>70</v>
      </c>
      <c r="D34" s="9" t="s">
        <v>430</v>
      </c>
      <c r="E34" s="9" t="s">
        <v>60</v>
      </c>
      <c r="F34" s="9"/>
      <c r="G34" s="9"/>
      <c r="H34" s="10">
        <v>46122</v>
      </c>
      <c r="I34" s="10">
        <v>46126</v>
      </c>
      <c r="J34" s="10">
        <v>46126</v>
      </c>
    </row>
    <row r="35" spans="1:10" ht="14.25" customHeight="1">
      <c r="A35" s="9" t="s">
        <v>40</v>
      </c>
      <c r="B35" s="9" t="s">
        <v>185</v>
      </c>
      <c r="C35" s="9" t="s">
        <v>70</v>
      </c>
      <c r="D35" s="9" t="s">
        <v>430</v>
      </c>
      <c r="E35" s="9" t="s">
        <v>60</v>
      </c>
      <c r="F35" s="9"/>
      <c r="G35" s="9"/>
      <c r="H35" s="10">
        <v>46126</v>
      </c>
      <c r="I35" s="10">
        <v>46122</v>
      </c>
      <c r="J35" s="10">
        <v>46122</v>
      </c>
    </row>
    <row r="36" spans="1:10" ht="14.25" customHeight="1">
      <c r="A36" s="9" t="s">
        <v>40</v>
      </c>
      <c r="B36" s="9" t="s">
        <v>164</v>
      </c>
      <c r="C36" s="9" t="s">
        <v>70</v>
      </c>
      <c r="D36" s="9" t="s">
        <v>430</v>
      </c>
      <c r="E36" s="9" t="s">
        <v>60</v>
      </c>
      <c r="F36" s="9"/>
      <c r="G36" s="9"/>
      <c r="H36" s="10">
        <v>46122</v>
      </c>
      <c r="I36" s="10"/>
      <c r="J36" s="10"/>
    </row>
    <row r="37" spans="1:10" ht="14.25" customHeight="1">
      <c r="A37" s="9" t="s">
        <v>40</v>
      </c>
      <c r="B37" s="9" t="s">
        <v>42</v>
      </c>
      <c r="C37" s="9" t="s">
        <v>70</v>
      </c>
      <c r="D37" s="9" t="s">
        <v>430</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430</v>
      </c>
      <c r="E48" s="9" t="s">
        <v>60</v>
      </c>
      <c r="F48" s="9"/>
      <c r="G48" s="9"/>
      <c r="H48" s="10"/>
      <c r="I48" s="10"/>
      <c r="J48" s="10"/>
    </row>
    <row r="49" spans="1:10" ht="14.25" customHeight="1">
      <c r="A49" s="9" t="s">
        <v>40</v>
      </c>
      <c r="B49" s="9" t="s">
        <v>204</v>
      </c>
      <c r="C49" s="9" t="s">
        <v>97</v>
      </c>
      <c r="D49" s="9" t="s">
        <v>430</v>
      </c>
      <c r="E49" s="9" t="s">
        <v>60</v>
      </c>
      <c r="F49" s="9"/>
      <c r="G49" s="9"/>
      <c r="H49" s="10"/>
      <c r="I49" s="10">
        <v>46139</v>
      </c>
      <c r="J49" s="10">
        <v>46139</v>
      </c>
    </row>
    <row r="50" spans="1:10" ht="14.25" customHeight="1">
      <c r="A50" s="9" t="s">
        <v>40</v>
      </c>
      <c r="B50" s="9" t="s">
        <v>185</v>
      </c>
      <c r="C50" s="9" t="s">
        <v>97</v>
      </c>
      <c r="D50" s="9" t="s">
        <v>430</v>
      </c>
      <c r="E50" s="9" t="s">
        <v>60</v>
      </c>
      <c r="F50" s="9"/>
      <c r="G50" s="9"/>
      <c r="H50" s="10">
        <v>46139</v>
      </c>
      <c r="I50" s="10">
        <v>46139</v>
      </c>
      <c r="J50" s="10">
        <v>46139</v>
      </c>
    </row>
    <row r="51" spans="1:10" ht="14.25" customHeight="1">
      <c r="A51" s="9" t="s">
        <v>40</v>
      </c>
      <c r="B51" s="9" t="s">
        <v>164</v>
      </c>
      <c r="C51" s="9" t="s">
        <v>97</v>
      </c>
      <c r="D51" s="9" t="s">
        <v>430</v>
      </c>
      <c r="E51" s="9" t="s">
        <v>60</v>
      </c>
      <c r="F51" s="9"/>
      <c r="G51" s="9"/>
      <c r="H51" s="10">
        <v>46139</v>
      </c>
      <c r="I51" s="10"/>
      <c r="J51" s="10"/>
    </row>
    <row r="52" spans="1:10" ht="14.25" customHeight="1">
      <c r="A52" s="9" t="s">
        <v>40</v>
      </c>
      <c r="B52" s="9" t="s">
        <v>42</v>
      </c>
      <c r="C52" s="9" t="s">
        <v>97</v>
      </c>
      <c r="D52" s="9" t="s">
        <v>430</v>
      </c>
      <c r="E52" s="9" t="s">
        <v>60</v>
      </c>
      <c r="F52" s="9"/>
      <c r="G52" s="9"/>
      <c r="H52" s="10"/>
      <c r="I52" s="10"/>
      <c r="J52" s="10"/>
    </row>
    <row r="53" spans="1:10" ht="14.25" customHeight="1">
      <c r="A53" s="9" t="s">
        <v>40</v>
      </c>
      <c r="B53" s="9" t="s">
        <v>258</v>
      </c>
      <c r="C53" s="9" t="s">
        <v>98</v>
      </c>
      <c r="D53" s="9" t="s">
        <v>430</v>
      </c>
      <c r="E53" s="9" t="s">
        <v>60</v>
      </c>
      <c r="F53" s="9"/>
      <c r="G53" s="9"/>
      <c r="H53" s="10"/>
      <c r="I53" s="10"/>
      <c r="J53" s="10"/>
    </row>
    <row r="54" spans="1:10" ht="14.25" customHeight="1">
      <c r="A54" s="9" t="s">
        <v>40</v>
      </c>
      <c r="B54" s="9" t="s">
        <v>204</v>
      </c>
      <c r="C54" s="9" t="s">
        <v>98</v>
      </c>
      <c r="D54" s="9" t="s">
        <v>430</v>
      </c>
      <c r="E54" s="9" t="s">
        <v>60</v>
      </c>
      <c r="F54" s="9"/>
      <c r="G54" s="9"/>
      <c r="H54" s="9"/>
      <c r="I54" s="10">
        <v>46141</v>
      </c>
      <c r="J54" s="10">
        <v>46141</v>
      </c>
    </row>
    <row r="55" spans="1:10" ht="14.25" customHeight="1">
      <c r="A55" s="9" t="s">
        <v>40</v>
      </c>
      <c r="B55" s="9" t="s">
        <v>185</v>
      </c>
      <c r="C55" s="9" t="s">
        <v>98</v>
      </c>
      <c r="D55" s="9" t="s">
        <v>430</v>
      </c>
      <c r="E55" s="9" t="s">
        <v>60</v>
      </c>
      <c r="F55" s="9"/>
      <c r="G55" s="9"/>
      <c r="H55" s="10">
        <v>46141</v>
      </c>
      <c r="I55" s="10">
        <v>46141</v>
      </c>
      <c r="J55" s="10">
        <v>46141</v>
      </c>
    </row>
    <row r="56" spans="1:10" ht="14.25" customHeight="1">
      <c r="A56" s="9" t="s">
        <v>40</v>
      </c>
      <c r="B56" s="9" t="s">
        <v>164</v>
      </c>
      <c r="C56" s="9" t="s">
        <v>98</v>
      </c>
      <c r="D56" s="9" t="s">
        <v>430</v>
      </c>
      <c r="E56" s="9" t="s">
        <v>60</v>
      </c>
      <c r="F56" s="9"/>
      <c r="G56" s="9"/>
      <c r="H56" s="10">
        <v>46141</v>
      </c>
      <c r="I56" s="10"/>
      <c r="J56" s="10"/>
    </row>
    <row r="57" spans="1:10" ht="14.25" customHeight="1">
      <c r="A57" s="9" t="s">
        <v>40</v>
      </c>
      <c r="B57" s="9" t="s">
        <v>42</v>
      </c>
      <c r="C57" s="9" t="s">
        <v>98</v>
      </c>
      <c r="D57" s="9" t="s">
        <v>430</v>
      </c>
      <c r="E57" s="9" t="s">
        <v>60</v>
      </c>
      <c r="F57" s="9"/>
      <c r="G57" s="9"/>
      <c r="H57" s="10"/>
      <c r="I57" s="10"/>
      <c r="J57" s="10"/>
    </row>
    <row r="58" spans="1:10" ht="14.25" customHeight="1">
      <c r="A58" s="9" t="s">
        <v>40</v>
      </c>
      <c r="B58" s="9" t="s">
        <v>258</v>
      </c>
      <c r="C58" s="9" t="s">
        <v>99</v>
      </c>
      <c r="D58" s="9" t="s">
        <v>430</v>
      </c>
      <c r="E58" s="9" t="s">
        <v>46</v>
      </c>
      <c r="F58" s="9"/>
      <c r="G58" s="9"/>
      <c r="H58" s="9"/>
      <c r="I58" s="10"/>
      <c r="J58" s="10"/>
    </row>
    <row r="59" spans="1:10" ht="14.25" customHeight="1">
      <c r="A59" s="9" t="s">
        <v>40</v>
      </c>
      <c r="B59" s="9" t="s">
        <v>204</v>
      </c>
      <c r="C59" s="9" t="s">
        <v>99</v>
      </c>
      <c r="D59" s="9" t="s">
        <v>430</v>
      </c>
      <c r="E59" s="9" t="s">
        <v>46</v>
      </c>
      <c r="F59" s="9"/>
      <c r="G59" s="9"/>
      <c r="H59" s="10"/>
      <c r="I59" s="10">
        <v>46161</v>
      </c>
      <c r="J59" s="10">
        <v>46161</v>
      </c>
    </row>
    <row r="60" spans="1:10" ht="14.25" customHeight="1">
      <c r="A60" s="9" t="s">
        <v>40</v>
      </c>
      <c r="B60" s="9" t="s">
        <v>185</v>
      </c>
      <c r="C60" s="9" t="s">
        <v>99</v>
      </c>
      <c r="D60" s="9" t="s">
        <v>430</v>
      </c>
      <c r="E60" s="9" t="s">
        <v>46</v>
      </c>
      <c r="F60" s="9"/>
      <c r="G60" s="9"/>
      <c r="H60" s="10">
        <v>46161</v>
      </c>
      <c r="I60" s="10">
        <v>46161</v>
      </c>
      <c r="J60" s="10">
        <v>46161</v>
      </c>
    </row>
    <row r="61" spans="1:10" ht="14.25" customHeight="1">
      <c r="A61" s="9" t="s">
        <v>40</v>
      </c>
      <c r="B61" s="9" t="s">
        <v>164</v>
      </c>
      <c r="C61" s="9" t="s">
        <v>99</v>
      </c>
      <c r="D61" s="9" t="s">
        <v>430</v>
      </c>
      <c r="E61" s="9" t="s">
        <v>46</v>
      </c>
      <c r="F61" s="9"/>
      <c r="G61" s="9"/>
      <c r="H61" s="10">
        <v>46161</v>
      </c>
      <c r="I61" s="10"/>
      <c r="J61" s="10"/>
    </row>
    <row r="62" spans="1:10" ht="14.25" customHeight="1">
      <c r="A62" s="9" t="s">
        <v>40</v>
      </c>
      <c r="B62" s="9" t="s">
        <v>42</v>
      </c>
      <c r="C62" s="9" t="s">
        <v>99</v>
      </c>
      <c r="D62" s="9" t="s">
        <v>430</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258</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431</v>
      </c>
      <c r="F1" s="1" t="s">
        <v>333</v>
      </c>
      <c r="G1" s="5" t="s">
        <v>432</v>
      </c>
      <c r="H1" s="5" t="s">
        <v>20</v>
      </c>
      <c r="I1" t="s">
        <v>35</v>
      </c>
      <c r="J1" s="5" t="s">
        <v>433</v>
      </c>
      <c r="K1" s="5" t="s">
        <v>164</v>
      </c>
      <c r="L1" s="5" t="s">
        <v>352</v>
      </c>
      <c r="M1" s="1" t="s">
        <v>434</v>
      </c>
      <c r="N1" s="1" t="s">
        <v>435</v>
      </c>
      <c r="R1" t="s">
        <v>13</v>
      </c>
      <c r="T1" t="s">
        <v>436</v>
      </c>
    </row>
    <row r="2" spans="1:20" ht="13.5" customHeight="1">
      <c r="A2" s="2" t="s">
        <v>437</v>
      </c>
      <c r="B2" s="2" t="s">
        <v>438</v>
      </c>
      <c r="C2" s="2" t="s">
        <v>439</v>
      </c>
      <c r="D2" s="2" t="s">
        <v>440</v>
      </c>
      <c r="E2" s="2" t="s">
        <v>441</v>
      </c>
      <c r="F2" s="2" t="s">
        <v>442</v>
      </c>
      <c r="G2" t="s">
        <v>443</v>
      </c>
      <c r="H2" t="s">
        <v>444</v>
      </c>
      <c r="I2" t="s">
        <v>445</v>
      </c>
      <c r="J2" s="29" t="s">
        <v>446</v>
      </c>
      <c r="K2" s="29" t="s">
        <v>447</v>
      </c>
      <c r="L2" s="29" t="s">
        <v>448</v>
      </c>
      <c r="M2" t="s">
        <v>143</v>
      </c>
      <c r="N2" t="s">
        <v>449</v>
      </c>
      <c r="R2" t="s">
        <v>252</v>
      </c>
      <c r="T2" t="s">
        <v>49</v>
      </c>
    </row>
    <row r="3" spans="1:20" ht="15" customHeight="1">
      <c r="A3" t="s">
        <v>40</v>
      </c>
      <c r="B3" t="s">
        <v>44</v>
      </c>
      <c r="C3" t="s">
        <v>60</v>
      </c>
      <c r="D3" t="s">
        <v>129</v>
      </c>
      <c r="E3" t="s">
        <v>50</v>
      </c>
      <c r="F3" t="s">
        <v>231</v>
      </c>
      <c r="G3" t="s">
        <v>44</v>
      </c>
      <c r="H3" t="s">
        <v>47</v>
      </c>
      <c r="I3" t="s">
        <v>53</v>
      </c>
      <c r="J3" t="s">
        <v>258</v>
      </c>
      <c r="K3" t="s">
        <v>48</v>
      </c>
      <c r="L3" t="s">
        <v>53</v>
      </c>
      <c r="M3" t="s">
        <v>44</v>
      </c>
      <c r="N3" t="s">
        <v>450</v>
      </c>
      <c r="R3" t="s">
        <v>45</v>
      </c>
      <c r="T3" t="s">
        <v>94</v>
      </c>
    </row>
    <row r="4" spans="1:20" ht="15" customHeight="1">
      <c r="A4" t="s">
        <v>126</v>
      </c>
      <c r="B4" t="s">
        <v>59</v>
      </c>
      <c r="C4" t="s">
        <v>46</v>
      </c>
      <c r="D4" t="s">
        <v>143</v>
      </c>
      <c r="E4" t="s">
        <v>53</v>
      </c>
      <c r="F4" t="s">
        <v>258</v>
      </c>
      <c r="G4" t="s">
        <v>59</v>
      </c>
      <c r="H4" t="s">
        <v>88</v>
      </c>
      <c r="I4" t="s">
        <v>205</v>
      </c>
      <c r="J4" t="s">
        <v>204</v>
      </c>
      <c r="L4" t="s">
        <v>50</v>
      </c>
      <c r="M4" t="s">
        <v>103</v>
      </c>
      <c r="N4" t="s">
        <v>451</v>
      </c>
      <c r="R4" t="s">
        <v>452</v>
      </c>
      <c r="T4" t="s">
        <v>72</v>
      </c>
    </row>
    <row r="5" spans="1:20" ht="15" customHeight="1">
      <c r="A5" t="s">
        <v>421</v>
      </c>
      <c r="B5" t="s">
        <v>430</v>
      </c>
      <c r="C5" t="s">
        <v>77</v>
      </c>
      <c r="F5" t="s">
        <v>204</v>
      </c>
      <c r="G5" t="s">
        <v>430</v>
      </c>
      <c r="H5" t="s">
        <v>129</v>
      </c>
      <c r="I5" t="s">
        <v>249</v>
      </c>
      <c r="J5" t="s">
        <v>185</v>
      </c>
      <c r="L5" t="s">
        <v>453</v>
      </c>
      <c r="M5" t="s">
        <v>88</v>
      </c>
      <c r="N5" t="s">
        <v>454</v>
      </c>
    </row>
    <row r="6" spans="1:20" ht="15" customHeight="1">
      <c r="A6" t="s">
        <v>306</v>
      </c>
      <c r="B6" t="s">
        <v>84</v>
      </c>
      <c r="F6" t="s">
        <v>185</v>
      </c>
      <c r="G6" t="s">
        <v>84</v>
      </c>
      <c r="H6" t="s">
        <v>143</v>
      </c>
      <c r="I6" t="s">
        <v>213</v>
      </c>
      <c r="J6" t="s">
        <v>164</v>
      </c>
      <c r="M6" t="s">
        <v>48</v>
      </c>
      <c r="N6" t="s">
        <v>454</v>
      </c>
    </row>
    <row r="7" spans="1:20" ht="15" customHeight="1">
      <c r="A7" t="s">
        <v>296</v>
      </c>
      <c r="B7" t="s">
        <v>65</v>
      </c>
      <c r="F7" t="s">
        <v>164</v>
      </c>
      <c r="G7" t="s">
        <v>65</v>
      </c>
      <c r="H7" t="s">
        <v>198</v>
      </c>
      <c r="I7" t="s">
        <v>455</v>
      </c>
      <c r="M7" t="s">
        <v>129</v>
      </c>
      <c r="N7" t="s">
        <v>456</v>
      </c>
    </row>
    <row r="8" spans="1:20" ht="15" customHeight="1">
      <c r="B8" t="s">
        <v>76</v>
      </c>
      <c r="F8" t="s">
        <v>128</v>
      </c>
      <c r="G8" t="s">
        <v>76</v>
      </c>
      <c r="I8" t="s">
        <v>457</v>
      </c>
      <c r="M8" t="s">
        <v>60</v>
      </c>
      <c r="N8" t="s">
        <v>458</v>
      </c>
    </row>
    <row r="9" spans="1:20" ht="15" customHeight="1">
      <c r="B9" t="s">
        <v>103</v>
      </c>
      <c r="F9" t="s">
        <v>42</v>
      </c>
      <c r="G9" t="s">
        <v>103</v>
      </c>
      <c r="I9" t="s">
        <v>459</v>
      </c>
      <c r="M9" t="s">
        <v>154</v>
      </c>
      <c r="N9" t="s">
        <v>460</v>
      </c>
    </row>
    <row r="10" spans="1:20" ht="15" customHeight="1">
      <c r="B10" t="s">
        <v>154</v>
      </c>
      <c r="G10" t="s">
        <v>154</v>
      </c>
      <c r="M10" t="s">
        <v>47</v>
      </c>
      <c r="N10" t="s">
        <v>461</v>
      </c>
    </row>
    <row r="11" spans="1:20">
      <c r="B11" t="s">
        <v>462</v>
      </c>
      <c r="G11" t="s">
        <v>60</v>
      </c>
      <c r="M11" t="s">
        <v>76</v>
      </c>
      <c r="N11" t="s">
        <v>463</v>
      </c>
    </row>
    <row r="12" spans="1:20">
      <c r="B12" t="s">
        <v>464</v>
      </c>
      <c r="G12" t="s">
        <v>46</v>
      </c>
      <c r="M12" t="s">
        <v>46</v>
      </c>
      <c r="N12" t="s">
        <v>465</v>
      </c>
    </row>
    <row r="13" spans="1:20">
      <c r="G13" t="s">
        <v>77</v>
      </c>
      <c r="M13" t="s">
        <v>77</v>
      </c>
      <c r="N13" t="s">
        <v>466</v>
      </c>
    </row>
    <row r="14" spans="1:20">
      <c r="M14" t="s">
        <v>84</v>
      </c>
      <c r="N14" t="s">
        <v>467</v>
      </c>
    </row>
    <row r="15" spans="1:20">
      <c r="M15" t="s">
        <v>59</v>
      </c>
      <c r="N15" t="s">
        <v>468</v>
      </c>
    </row>
    <row r="16" spans="1:20">
      <c r="M16" t="s">
        <v>65</v>
      </c>
      <c r="N16" t="s">
        <v>469</v>
      </c>
    </row>
    <row r="17" spans="13:14">
      <c r="M17" t="s">
        <v>430</v>
      </c>
      <c r="N17" t="s">
        <v>469</v>
      </c>
    </row>
    <row r="18" spans="13:14">
      <c r="M18" t="s">
        <v>226</v>
      </c>
      <c r="N18" t="s">
        <v>470</v>
      </c>
    </row>
    <row r="19" spans="13:14">
      <c r="M19" t="s">
        <v>198</v>
      </c>
      <c r="N19" t="s">
        <v>471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2026-09-23T15:59:25Z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