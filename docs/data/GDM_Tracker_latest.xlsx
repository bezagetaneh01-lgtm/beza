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97" documentId="13_ncr:1_{52745E9B-3AA1-4770-AAD3-E6166BFC13AE}" xr6:coauthVersionLast="47" xr6:coauthVersionMax="47" xr10:uidLastSave="{6095C9CD-41EF-4633-89B0-90F05DCD6091}"/>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<sst xmlns="http://schemas.openxmlformats.org/spreadsheetml/2006/main" count="3551" uniqueCount="498">
  <si>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</si>
  <si>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</si>
  <si>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</si>
  <si>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</si>
  <si>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</si>
  <si>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</si>
  <si>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</si>
  <si>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</si>
  <si>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</si>
  <si>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</si>
  <si>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</si>
  <si>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</si>
  <si>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</si>
  <si>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</si>
  <si>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</si>
  <si>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</si>
  <si>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</si>
  <si>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</si>
  <si>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</si>
  <si>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</si>
  <si>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</si>
  <si>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</si>
  <si>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</si>
  <si>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</si>
  <si>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</si>
  <si>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</si>
  <si>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</si>
  <si>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</si>
  <si>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</si>
  <si>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</si>
  <si>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</si>
  <si>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</si>
  <si>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</si>
  <si>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</si>
  <si>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</si>
  <si>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</si>
  <si>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</si>
  <si>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</si>
  <si>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</si>
  <si>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</si>
  <si>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</si>
  <si>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</si>
  <si>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</si>
  <si>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</si>
  <si>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</si>
  <si>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</si>
  <si>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</si>
  <si>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</si>
  <si>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</si>
  <si>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</si>
  <si>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</si>
  <si>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</si>
  <si>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</si>
  <si>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</si>
  <si>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</si>
  <si>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</si>
  <si>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</si>
  <si>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</si>
  <si>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</si>
  <si>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</si>
  <si>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</si>
  <si>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</si>
  <si>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</si>
  <si>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</si>
  <si>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</si>
  <si>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</si>
  <si>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</si>
  <si>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</si>
  <si>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</si>
  <si>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</si>
  <si>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</si>
  <si>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</si>
  <si>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</si>
  <si>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</si>
  <si>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</si>
  <si>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</si>
  <si>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</si>
  <si>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</si>
  <si>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</si>
  <si>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</si>
  <si>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</si>
  <si>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</si>
  <si>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</si>
  <si>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</si>
  <si>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</si>
  <si>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</si>
  <si>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</si>
  <si>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</si>
  <si>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</si>
  <si>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</si>
  <si>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</si>
  <si>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</si>
  <si>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</si>
  <si>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</si>
  <si>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</si>
  <si>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</si>
  <si>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</si>
  <si>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</si>
  <si>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</si>
  <si>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</si>
  <si>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</si>
  <si>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</si>
  <si>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</si>
  <si>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</si>
  <si>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</si>
  <si>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</si>
  <si>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</si>
  <si>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</si>
  <si>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</si>
  <si>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</si>
  <si>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</si>
  <si>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</si>
  <si>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</si>
  <si>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</si>
  <si>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</si>
  <si>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</si>
  <si>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</si>
  <si>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</si>
  <si>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</si>
  <si>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</si>
  <si>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</si>
  <si>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</si>
  <si>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</si>
  <si>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</si>
  <si>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</si>
  <si>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</si>
  <si>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</si>
  <si>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</si>
  <si>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</si>
  <si>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</si>
  <si>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</si>
  <si>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</si>
  <si>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</si>
  <si>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</si>
  <si>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</si>
  <si>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</si>
  <si>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</si>
  <si>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</si>
  <si>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</si>
  <si>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</si>
  <si>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</si>
  <si>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</si>
  <si>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</si>
  <si>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</si>
  <si>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</si>
  <si>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</si>
  <si>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</si>
  <si>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</si>
  <si>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</si>
  <si>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</si>
  <si>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</si>
  <si>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</si>
  <si>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</si>
  <si>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</si>
  <si>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</si>
  <si>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</si>
  <si>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</si>
  <si>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</si>
  <si>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</si>
  <si>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</si>
  <si>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</si>
  <si>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</si>
  <si>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</si>
  <si>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</si>
  <si>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</si>
  <si>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</si>
  <si>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</si>
  <si>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</si>
  <si>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</si>
  <si>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</si>
  <si>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</si>
  <si>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</si>
  <si>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</si>
  <si>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</si>
  <si>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</si>
  <si>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</si>
  <si>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</si>
  <si>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</si>
  <si>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</si>
  <si>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</si>
  <si>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</si>
  <si>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</si>
  <si>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</si>
  <si>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</si>
  <si>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</si>
  <si>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</si>
  <si>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</si>
  <si>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</si>
  <si>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</si>
  <si>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</si>
  <si>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</si>
  <si>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</si>
  <si>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</si>
  <si>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</si>
  <si>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</si>
  <si>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</si>
  <si>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</si>
  <si>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</si>
  <si>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</si>
  <si>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</si>
  <si>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</si>
  <si>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</si>
  <si>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</si>
  <si>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</si>
  <si>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</si>
  <si>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</si>
  <si>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</si>
  <si>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</si>
  <si>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</si>
  <si>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</si>
  <si>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</si>
  <si>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</si>
  <si>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</si>
  <si>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</si>
  <si>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</si>
  <si>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</si>
  <si>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</si>
  <si>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</si>
  <si>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</si>
  <si>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</si>
  <si>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</si>
  <si>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</si>
  <si>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</si>
  <si>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</si>
  <si>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</si>
  <si>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</si>
  <si>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</si>
  <si>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</si>
  <si>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</si>
  <si>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</si>
  <si>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</si>
  <si>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</si>
  <si>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</si>
  <si>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</si>
  <si>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</si>
  <si>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</si>
  <si>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</si>
  <si>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</si>
  <si>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</si>
  <si>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</si>
  <si>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</si>
  <si>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</si>
  <si>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</si>
  <si>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 xml:space="preserve">Ready for Olu's review </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</si>
  <si>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</si>
  <si>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</si>
  <si>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</si>
  <si>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</si>
  <si>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</si>
  <si>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</si>
  <si>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</si>
  <si>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</si>
  <si>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</si>
  <si>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</si>
  <si>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</si>
  <si>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</si>
  <si>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</si>
  <si>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</si>
  <si>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</si>
  <si>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</si>
  <si>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</si>
  <si>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</si>
  <si>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</si>
  <si>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</si>
  <si>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</si>
  <si>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</si>
  <si>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</si>
  <si>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</si>
  <si>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</si>
  <si>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</si>
  <si>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</si>
  <si>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</si>
  <si>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</si>
  <si>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</si>
  <si>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</si>
  <si>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</si>
  <si>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</si>
  <si>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</si>
  <si>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</si>
  <si>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</si>
  <si>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</si>
  <si>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</si>
  <si>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</si>
  <si>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</si>
  <si>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</si>
  <si>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</si>
  <si>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</si>
  <si>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</si>
  <si>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</si>
  <si>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</si>
  <si>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</si>
  <si>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</si>
  <si>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hybrid</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</si>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</sst>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November"/>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J82" activePane="topRight" state="frozen"/>
      <selection pane="topRight" activeCell="M118" sqref="M11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243</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250</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253</v>
      </c>
      <c r="O79" s="44" t="s">
        <v>193</v>
      </c>
      <c r="P79" s="74" t="s">
        <v>60</v>
      </c>
      <c r="Q79" s="43">
        <v>46313</v>
      </c>
      <c r="R79" s="43"/>
      <c r="S79" s="44"/>
      <c r="T79" s="69" t="s">
        <v>242</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250</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v>46296</v>
      </c>
      <c r="N98" s="44" t="s">
        <v>292</v>
      </c>
      <c r="O98" s="36" t="s">
        <v>274</v>
      </c>
      <c r="P98" s="74"/>
      <c r="Q98" s="49">
        <v>46339</v>
      </c>
      <c r="R98" s="43"/>
      <c r="S98" s="44"/>
      <c r="T98" s="68" t="s">
        <v>284</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293</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294</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295</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296</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297</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298</v>
      </c>
      <c r="B101" s="31" t="s">
        <v>299</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300</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301</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298</v>
      </c>
      <c r="B102" s="31" t="s">
        <v>302</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300</v>
      </c>
      <c r="J102" s="53" t="s">
        <v>44</v>
      </c>
      <c r="K102" s="28">
        <v>46363</v>
      </c>
      <c r="L102" s="43"/>
      <c r="M102" s="31"/>
      <c r="N102" s="31"/>
      <c r="O102" s="36" t="s">
        <v>274</v>
      </c>
      <c r="P102" s="74"/>
      <c r="Q102" s="28">
        <v>46370</v>
      </c>
      <c r="R102" s="43"/>
      <c r="S102" s="31"/>
      <c r="T102" s="68" t="s">
        <v>303</v>
      </c>
      <c r="U102" s="46"/>
      <c r="V102" s="28">
        <v>46373</v>
      </c>
      <c r="W102" s="43"/>
      <c r="X102" s="31"/>
      <c r="Y102" s="31"/>
      <c r="Z102" s="36"/>
      <c r="AA102" s="28">
        <v>46386</v>
      </c>
      <c r="AB102" s="43"/>
      <c r="AC102" s="43"/>
      <c r="AD102" s="31" t="s">
        <v>304</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298</v>
      </c>
      <c r="B103" s="31" t="s">
        <v>305</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300</v>
      </c>
      <c r="J103" s="53" t="s">
        <v>44</v>
      </c>
      <c r="K103" s="28">
        <v>46363</v>
      </c>
      <c r="L103" s="43"/>
      <c r="M103" s="31"/>
      <c r="N103" s="31"/>
      <c r="O103" s="36" t="s">
        <v>274</v>
      </c>
      <c r="P103" s="74"/>
      <c r="Q103" s="28">
        <v>46370</v>
      </c>
      <c r="R103" s="43"/>
      <c r="S103" s="31"/>
      <c r="T103" s="68" t="s">
        <v>303</v>
      </c>
      <c r="U103" s="46"/>
      <c r="V103" s="28">
        <v>46373</v>
      </c>
      <c r="W103" s="43"/>
      <c r="X103" s="31"/>
      <c r="Y103" s="31"/>
      <c r="Z103" s="36"/>
      <c r="AA103" s="28">
        <v>46386</v>
      </c>
      <c r="AB103" s="43"/>
      <c r="AC103" s="43"/>
      <c r="AD103" s="31" t="s">
        <v>306</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307</v>
      </c>
      <c r="B104" s="31" t="s">
        <v>308</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300</v>
      </c>
      <c r="J104" s="53" t="s">
        <v>84</v>
      </c>
      <c r="K104" s="28">
        <v>46363</v>
      </c>
      <c r="L104" s="43"/>
      <c r="M104" s="31"/>
      <c r="N104" s="31"/>
      <c r="O104" s="36" t="s">
        <v>274</v>
      </c>
      <c r="P104" s="74"/>
      <c r="Q104" s="28">
        <v>46370</v>
      </c>
      <c r="R104" s="43"/>
      <c r="S104" s="31"/>
      <c r="T104" s="68" t="s">
        <v>303</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298</v>
      </c>
      <c r="B105" s="31" t="s">
        <v>310</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300</v>
      </c>
      <c r="J105" s="53"/>
      <c r="K105" s="28">
        <v>46363</v>
      </c>
      <c r="L105" s="43"/>
      <c r="M105" s="31"/>
      <c r="N105" s="31"/>
      <c r="O105" s="36" t="s">
        <v>311</v>
      </c>
      <c r="P105" s="74"/>
      <c r="Q105" s="28">
        <v>46370</v>
      </c>
      <c r="R105" s="43"/>
      <c r="S105" s="31"/>
      <c r="T105" s="68" t="s">
        <v>303</v>
      </c>
      <c r="U105" s="46"/>
      <c r="V105" s="28">
        <v>46373</v>
      </c>
      <c r="W105" s="43"/>
      <c r="X105" s="31"/>
      <c r="Y105" s="31"/>
      <c r="Z105" s="36"/>
      <c r="AA105" s="28">
        <v>46386</v>
      </c>
      <c r="AB105" s="43"/>
      <c r="AC105" s="43"/>
      <c r="AD105" s="31" t="s">
        <v>312</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298</v>
      </c>
      <c r="B106" s="31" t="s">
        <v>313</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300</v>
      </c>
      <c r="J106" s="53"/>
      <c r="K106" s="28">
        <v>46363</v>
      </c>
      <c r="L106" s="43"/>
      <c r="M106" s="31"/>
      <c r="N106" s="31"/>
      <c r="O106" s="36" t="s">
        <v>311</v>
      </c>
      <c r="P106" s="74"/>
      <c r="Q106" s="28">
        <v>46370</v>
      </c>
      <c r="R106" s="43"/>
      <c r="S106" s="31"/>
      <c r="T106" s="68" t="s">
        <v>303</v>
      </c>
      <c r="U106" s="46"/>
      <c r="V106" s="28">
        <v>46373</v>
      </c>
      <c r="W106" s="43"/>
      <c r="X106" s="31"/>
      <c r="Y106" s="31"/>
      <c r="Z106" s="36"/>
      <c r="AA106" s="28">
        <v>46386</v>
      </c>
      <c r="AB106" s="43"/>
      <c r="AC106" s="43"/>
      <c r="AD106" s="31" t="s">
        <v>314</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298</v>
      </c>
      <c r="B107" s="31" t="s">
        <v>315</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300</v>
      </c>
      <c r="J107" s="53"/>
      <c r="K107" s="28">
        <v>46363</v>
      </c>
      <c r="L107" s="43"/>
      <c r="M107" s="31"/>
      <c r="N107" s="31"/>
      <c r="O107" s="36" t="s">
        <v>311</v>
      </c>
      <c r="P107" s="74"/>
      <c r="Q107" s="28">
        <v>46370</v>
      </c>
      <c r="R107" s="43"/>
      <c r="S107" s="31"/>
      <c r="T107" s="68" t="s">
        <v>303</v>
      </c>
      <c r="U107" s="46"/>
      <c r="V107" s="28">
        <v>46373</v>
      </c>
      <c r="W107" s="43"/>
      <c r="X107" s="31"/>
      <c r="Y107" s="31"/>
      <c r="Z107" s="36"/>
      <c r="AA107" s="28">
        <v>46386</v>
      </c>
      <c r="AB107" s="43"/>
      <c r="AC107" s="43"/>
      <c r="AD107" s="31" t="s">
        <v>316</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298</v>
      </c>
      <c r="B108" s="31" t="s">
        <v>317</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300</v>
      </c>
      <c r="J108" s="53"/>
      <c r="K108" s="28">
        <v>46363</v>
      </c>
      <c r="L108" s="43"/>
      <c r="M108" s="31"/>
      <c r="N108" s="31"/>
      <c r="O108" s="36" t="s">
        <v>318</v>
      </c>
      <c r="P108" s="74"/>
      <c r="Q108" s="28">
        <v>46370</v>
      </c>
      <c r="R108" s="43"/>
      <c r="S108" s="31"/>
      <c r="T108" s="68" t="s">
        <v>303</v>
      </c>
      <c r="U108" s="46"/>
      <c r="V108" s="28">
        <v>46373</v>
      </c>
      <c r="W108" s="43"/>
      <c r="X108" s="31"/>
      <c r="Y108" s="31"/>
      <c r="Z108" s="36"/>
      <c r="AA108" s="28">
        <v>46386</v>
      </c>
      <c r="AB108" s="43"/>
      <c r="AC108" s="43"/>
      <c r="AD108" s="31" t="s">
        <v>319</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307</v>
      </c>
      <c r="B109" s="31" t="s">
        <v>320</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300</v>
      </c>
      <c r="J109" s="53"/>
      <c r="K109" s="28">
        <v>46363</v>
      </c>
      <c r="L109" s="43"/>
      <c r="M109" s="31"/>
      <c r="N109" s="31"/>
      <c r="O109" s="36" t="s">
        <v>318</v>
      </c>
      <c r="P109" s="74"/>
      <c r="Q109" s="28">
        <v>46370</v>
      </c>
      <c r="R109" s="43"/>
      <c r="S109" s="31"/>
      <c r="T109" s="68" t="s">
        <v>321</v>
      </c>
      <c r="U109" s="46"/>
      <c r="V109" s="28">
        <v>46373</v>
      </c>
      <c r="W109" s="43"/>
      <c r="X109" s="31"/>
      <c r="Y109" s="31"/>
      <c r="Z109" s="36"/>
      <c r="AA109" s="28">
        <v>46386</v>
      </c>
      <c r="AB109" s="43"/>
      <c r="AC109" s="43"/>
      <c r="AD109" s="31" t="s">
        <v>322</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298</v>
      </c>
      <c r="B110" s="31" t="s">
        <v>323</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300</v>
      </c>
      <c r="J110" s="53"/>
      <c r="K110" s="28">
        <v>46363</v>
      </c>
      <c r="L110" s="43"/>
      <c r="M110" s="31"/>
      <c r="N110" s="31"/>
      <c r="O110" s="36" t="s">
        <v>318</v>
      </c>
      <c r="P110" s="74"/>
      <c r="Q110" s="28">
        <v>46370</v>
      </c>
      <c r="R110" s="43"/>
      <c r="S110" s="31"/>
      <c r="T110" s="68" t="s">
        <v>321</v>
      </c>
      <c r="U110" s="46"/>
      <c r="V110" s="28">
        <v>46373</v>
      </c>
      <c r="W110" s="43"/>
      <c r="X110" s="31"/>
      <c r="Y110" s="31"/>
      <c r="Z110" s="36"/>
      <c r="AA110" s="28">
        <v>46386</v>
      </c>
      <c r="AB110" s="43"/>
      <c r="AC110" s="43"/>
      <c r="AD110" s="31" t="s">
        <v>324</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307</v>
      </c>
      <c r="B111" s="31" t="s">
        <v>325</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300</v>
      </c>
      <c r="J111" s="53"/>
      <c r="K111" s="28">
        <v>46363</v>
      </c>
      <c r="L111" s="43"/>
      <c r="M111" s="31"/>
      <c r="N111" s="31"/>
      <c r="O111" s="36" t="s">
        <v>318</v>
      </c>
      <c r="P111" s="74"/>
      <c r="Q111" s="28">
        <v>46370</v>
      </c>
      <c r="R111" s="43"/>
      <c r="S111" s="31"/>
      <c r="T111" s="68" t="s">
        <v>321</v>
      </c>
      <c r="U111" s="46"/>
      <c r="V111" s="28">
        <v>46373</v>
      </c>
      <c r="W111" s="43"/>
      <c r="X111" s="31"/>
      <c r="Y111" s="31"/>
      <c r="Z111" s="36"/>
      <c r="AA111" s="28">
        <v>46386</v>
      </c>
      <c r="AB111" s="43"/>
      <c r="AC111" s="43"/>
      <c r="AD111" s="31" t="s">
        <v>326</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307</v>
      </c>
      <c r="B112" s="31" t="s">
        <v>327</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300</v>
      </c>
      <c r="J112" s="53"/>
      <c r="K112" s="28">
        <v>46363</v>
      </c>
      <c r="L112" s="43"/>
      <c r="M112" s="31"/>
      <c r="N112" s="31"/>
      <c r="O112" s="36" t="s">
        <v>318</v>
      </c>
      <c r="P112" s="74"/>
      <c r="Q112" s="28">
        <v>46370</v>
      </c>
      <c r="R112" s="43"/>
      <c r="S112" s="31"/>
      <c r="T112" s="68" t="s">
        <v>321</v>
      </c>
      <c r="U112" s="46"/>
      <c r="V112" s="28">
        <v>46373</v>
      </c>
      <c r="W112" s="43"/>
      <c r="X112" s="31"/>
      <c r="Y112" s="31"/>
      <c r="Z112" s="36"/>
      <c r="AA112" s="28">
        <v>46386</v>
      </c>
      <c r="AB112" s="43"/>
      <c r="AC112" s="43"/>
      <c r="AD112" s="31" t="s">
        <v>322</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307</v>
      </c>
      <c r="B113" s="31" t="s">
        <v>328</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300</v>
      </c>
      <c r="J113" s="53"/>
      <c r="K113" s="28">
        <v>46363</v>
      </c>
      <c r="L113" s="43"/>
      <c r="M113" s="31"/>
      <c r="N113" s="31"/>
      <c r="O113" s="36" t="s">
        <v>318</v>
      </c>
      <c r="P113" s="74"/>
      <c r="Q113" s="28">
        <v>46370</v>
      </c>
      <c r="R113" s="43"/>
      <c r="S113" s="31"/>
      <c r="T113" s="68" t="s">
        <v>321</v>
      </c>
      <c r="U113" s="46"/>
      <c r="V113" s="28">
        <v>46373</v>
      </c>
      <c r="W113" s="43"/>
      <c r="X113" s="31"/>
      <c r="Y113" s="31"/>
      <c r="Z113" s="36"/>
      <c r="AA113" s="28">
        <v>46386</v>
      </c>
      <c r="AB113" s="43"/>
      <c r="AC113" s="43"/>
      <c r="AD113" s="31" t="s">
        <v>322</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307</v>
      </c>
      <c r="B114" s="31" t="s">
        <v>329</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300</v>
      </c>
      <c r="J114" s="53"/>
      <c r="K114" s="28">
        <v>46363</v>
      </c>
      <c r="L114" s="43"/>
      <c r="M114" s="31"/>
      <c r="N114" s="31"/>
      <c r="O114" s="36" t="s">
        <v>330</v>
      </c>
      <c r="P114" s="74"/>
      <c r="Q114" s="28">
        <v>46370</v>
      </c>
      <c r="R114" s="43"/>
      <c r="S114" s="31"/>
      <c r="T114" s="68" t="s">
        <v>321</v>
      </c>
      <c r="U114" s="46"/>
      <c r="V114" s="28">
        <v>46373</v>
      </c>
      <c r="W114" s="43"/>
      <c r="X114" s="31"/>
      <c r="Y114" s="31"/>
      <c r="Z114" s="36"/>
      <c r="AA114" s="28">
        <v>46386</v>
      </c>
      <c r="AB114" s="43"/>
      <c r="AC114" s="43"/>
      <c r="AD114" s="31" t="s">
        <v>326</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307</v>
      </c>
      <c r="B115" s="31" t="s">
        <v>331</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300</v>
      </c>
      <c r="J115" s="53"/>
      <c r="K115" s="28">
        <v>46363</v>
      </c>
      <c r="L115" s="43"/>
      <c r="M115" s="31"/>
      <c r="N115" s="31"/>
      <c r="O115" s="36" t="s">
        <v>330</v>
      </c>
      <c r="P115" s="74"/>
      <c r="Q115" s="28">
        <v>46370</v>
      </c>
      <c r="R115" s="43"/>
      <c r="S115" s="31"/>
      <c r="T115" s="68" t="s">
        <v>321</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332</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333</v>
      </c>
    </row>
    <row r="2" spans="1:5">
      <c r="A2" s="6" t="s">
        <v>334</v>
      </c>
    </row>
    <row r="4" spans="1:5" ht="21.95" customHeight="1">
      <c r="A4" s="5" t="s">
        <v>335</v>
      </c>
      <c r="B4" s="217"/>
      <c r="C4" s="218"/>
      <c r="D4" s="218"/>
      <c r="E4" s="218"/>
    </row>
    <row r="6" spans="1:5">
      <c r="A6" s="42" t="s">
        <v>0</v>
      </c>
      <c r="B6" s="201" t="str">
        <f>IF($B$4="","",IFERROR(INDEX('Combined Delivery Data'!$A:$A,MATCH($B$4,'Combined Delivery Data'!$B:$B,0)),""))</f>
        <v/>
      </c>
      <c r="C6" s="219"/>
      <c r="D6" s="219"/>
      <c r="E6" s="220"/>
    </row>
    <row r="7" spans="1:5">
      <c r="A7" s="42" t="s">
        <v>336</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337</v>
      </c>
      <c r="B14" s="200" t="str">
        <f>IF($B$4="","",IFERROR(INDEX('Combined Delivery Data'!$K:$K,MATCH($B$4,'Combined Delivery Data'!$B:$B,0)),""))</f>
        <v/>
      </c>
      <c r="C14" s="219"/>
      <c r="D14" s="219"/>
      <c r="E14" s="220"/>
    </row>
    <row r="15" spans="1:5">
      <c r="A15" s="42" t="s">
        <v>338</v>
      </c>
      <c r="B15" s="200" t="str">
        <f>IF($B$4="","",IFERROR(INDEX('Combined Delivery Data'!$L:$L,MATCH($B$4,'Combined Delivery Data'!$B:$B,0)),""))</f>
        <v/>
      </c>
      <c r="C15" s="219"/>
      <c r="D15" s="219"/>
      <c r="E15" s="220"/>
    </row>
    <row r="16" spans="1:5">
      <c r="A16" s="42" t="s">
        <v>339</v>
      </c>
      <c r="B16" s="200" t="str">
        <f>IF($B$4="","",IFERROR(INDEX('Combined Delivery Data'!$M:$M,MATCH($B$4,'Combined Delivery Data'!$B:$B,0)),""))</f>
        <v/>
      </c>
      <c r="C16" s="219"/>
      <c r="D16" s="219"/>
      <c r="E16" s="220"/>
    </row>
    <row r="17" spans="1:5">
      <c r="A17" s="42" t="s">
        <v>340</v>
      </c>
      <c r="B17" s="200" t="str">
        <f>IF($B$4="","",IFERROR(INDEX('Combined Delivery Data'!$O:$O,MATCH($B$4,'Combined Delivery Data'!$B:$B,0)),""))</f>
        <v/>
      </c>
      <c r="C17" s="219"/>
      <c r="D17" s="219"/>
      <c r="E17" s="220"/>
    </row>
    <row r="18" spans="1:5">
      <c r="A18" s="42" t="s">
        <v>341</v>
      </c>
      <c r="B18" s="200" t="str">
        <f>IF($B$4="","",IFERROR(INDEX('Combined Delivery Data'!$Q:$Q,MATCH($B$4,'Combined Delivery Data'!$B:$B,0)),""))</f>
        <v/>
      </c>
      <c r="C18" s="219"/>
      <c r="D18" s="219"/>
      <c r="E18" s="220"/>
    </row>
    <row r="19" spans="1:5">
      <c r="A19" s="42" t="s">
        <v>342</v>
      </c>
      <c r="B19" s="200" t="str">
        <f>IF($B$4="","",IFERROR(INDEX('Combined Delivery Data'!$R:$R,MATCH($B$4,'Combined Delivery Data'!$B:$B,0)),""))</f>
        <v/>
      </c>
      <c r="C19" s="219"/>
      <c r="D19" s="219"/>
      <c r="E19" s="220"/>
    </row>
    <row r="20" spans="1:5">
      <c r="A20" s="42" t="s">
        <v>343</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344</v>
      </c>
      <c r="B26" s="201" t="str">
        <f>IF($B$4="","",IFERROR(INDEX('Rework Log'!$Q:$Q,MATCH($B$4,'Rework Log'!$P:$P,0)),""))</f>
        <v/>
      </c>
      <c r="C26" s="219"/>
      <c r="D26" s="219"/>
      <c r="E26" s="220"/>
    </row>
    <row r="27" spans="1:5">
      <c r="A27" s="42" t="s">
        <v>345</v>
      </c>
      <c r="B27" s="201" t="str">
        <f>IF($B$4="","",IFERROR(INDEX('Rework Log'!$R:$R,MATCH($B$4,'Rework Log'!$P:$P,0)),""))</f>
        <v/>
      </c>
      <c r="C27" s="219"/>
      <c r="D27" s="219"/>
      <c r="E27" s="220"/>
    </row>
    <row r="28" spans="1:5">
      <c r="A28" s="42" t="s">
        <v>346</v>
      </c>
      <c r="B28" s="201" t="str">
        <f>IF($B$4="","",IFERROR(INDEX('Rework Log'!$S:$S,MATCH($B$4,'Rework Log'!$P:$P,0)),""))</f>
        <v/>
      </c>
      <c r="C28" s="219"/>
      <c r="D28" s="219"/>
      <c r="E28" s="220"/>
    </row>
    <row r="29" spans="1:5">
      <c r="A29" s="42" t="s">
        <v>347</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348</v>
      </c>
      <c r="B1" s="202"/>
      <c r="C1" s="202"/>
      <c r="D1" s="202"/>
      <c r="E1" s="202"/>
      <c r="F1" s="202"/>
      <c r="G1" s="202"/>
      <c r="H1" s="202"/>
      <c r="I1" s="202"/>
      <c r="J1" s="202"/>
      <c r="K1" s="202"/>
      <c r="L1" s="202"/>
      <c r="M1" s="202"/>
      <c r="P1" s="222" t="s">
        <v>349</v>
      </c>
      <c r="Q1" s="222"/>
      <c r="R1" s="222"/>
      <c r="S1" s="222"/>
      <c r="T1" s="222"/>
    </row>
    <row r="2" spans="1:20" ht="30" customHeight="1">
      <c r="A2" s="17" t="s">
        <v>1</v>
      </c>
      <c r="B2" s="17" t="s">
        <v>350</v>
      </c>
      <c r="C2" s="17" t="s">
        <v>351</v>
      </c>
      <c r="D2" s="17" t="s">
        <v>352</v>
      </c>
      <c r="E2" s="17" t="s">
        <v>353</v>
      </c>
      <c r="F2" s="17" t="s">
        <v>354</v>
      </c>
      <c r="G2" s="17" t="s">
        <v>355</v>
      </c>
      <c r="H2" s="56" t="s">
        <v>356</v>
      </c>
      <c r="I2" s="30" t="s">
        <v>357</v>
      </c>
      <c r="J2" s="30" t="s">
        <v>358</v>
      </c>
      <c r="K2" s="30" t="s">
        <v>359</v>
      </c>
      <c r="L2" s="30" t="s">
        <v>360</v>
      </c>
      <c r="M2" s="21" t="s">
        <v>361</v>
      </c>
      <c r="N2" s="21" t="s">
        <v>362</v>
      </c>
      <c r="P2" s="13" t="s">
        <v>1</v>
      </c>
      <c r="Q2" s="13" t="s">
        <v>344</v>
      </c>
      <c r="R2" s="13" t="s">
        <v>345</v>
      </c>
      <c r="S2" s="13" t="s">
        <v>346</v>
      </c>
      <c r="T2" s="13" t="s">
        <v>347</v>
      </c>
    </row>
    <row r="3" spans="1:20">
      <c r="A3" s="33" t="s">
        <v>142</v>
      </c>
      <c r="B3" s="36">
        <v>46230</v>
      </c>
      <c r="C3" s="33" t="s">
        <v>164</v>
      </c>
      <c r="D3" s="33" t="s">
        <v>224</v>
      </c>
      <c r="E3" s="33" t="s">
        <v>143</v>
      </c>
      <c r="F3" s="33" t="s">
        <v>363</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364</v>
      </c>
      <c r="G4" s="31" t="s">
        <v>50</v>
      </c>
      <c r="H4" s="32" t="s">
        <v>154</v>
      </c>
      <c r="I4" s="32"/>
      <c r="J4" s="32">
        <v>46247</v>
      </c>
      <c r="K4" s="31" t="s">
        <v>60</v>
      </c>
      <c r="L4" s="31" t="s">
        <v>365</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366</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367</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368</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369</v>
      </c>
      <c r="G8" s="31" t="s">
        <v>50</v>
      </c>
      <c r="H8" s="32" t="s">
        <v>65</v>
      </c>
      <c r="I8" s="32"/>
      <c r="J8" s="32">
        <v>46251</v>
      </c>
      <c r="K8" s="31"/>
      <c r="L8" s="31"/>
      <c r="M8" s="3" t="str">
        <f t="shared" ca="1" si="4"/>
        <v>Fixed</v>
      </c>
      <c r="N8" t="s">
        <v>370</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371</v>
      </c>
      <c r="G9" s="31" t="s">
        <v>50</v>
      </c>
      <c r="H9" s="32" t="s">
        <v>154</v>
      </c>
      <c r="I9" s="32"/>
      <c r="J9" s="32">
        <v>46254</v>
      </c>
      <c r="K9" s="31"/>
      <c r="L9" s="31"/>
      <c r="M9" s="3" t="str">
        <f t="shared" ca="1" si="4"/>
        <v>Fixed</v>
      </c>
      <c r="N9" t="s">
        <v>370</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364</v>
      </c>
      <c r="G10" s="31" t="s">
        <v>50</v>
      </c>
      <c r="H10" s="32" t="s">
        <v>84</v>
      </c>
      <c r="I10" s="32"/>
      <c r="J10" s="32">
        <v>46252</v>
      </c>
      <c r="K10" s="31"/>
      <c r="L10" s="31"/>
      <c r="M10" s="3" t="str">
        <f t="shared" ca="1" si="4"/>
        <v>Fixed</v>
      </c>
      <c r="N10" t="s">
        <v>370</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366</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372</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373</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374</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375</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376</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377</v>
      </c>
      <c r="G16" s="31" t="s">
        <v>50</v>
      </c>
      <c r="H16" s="32" t="s">
        <v>65</v>
      </c>
      <c r="I16" s="32"/>
      <c r="J16" s="32">
        <v>46258</v>
      </c>
      <c r="K16" s="31"/>
      <c r="L16" s="31"/>
      <c r="M16" s="3" t="str">
        <f t="shared" ca="1" si="4"/>
        <v>Fixed</v>
      </c>
      <c r="N16" t="s">
        <v>373</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378</v>
      </c>
      <c r="G17" s="31" t="s">
        <v>50</v>
      </c>
      <c r="H17" s="32" t="s">
        <v>46</v>
      </c>
      <c r="I17" s="32"/>
      <c r="J17" s="32"/>
      <c r="K17" s="31"/>
      <c r="L17" s="31"/>
      <c r="M17" s="3"/>
      <c r="S17" s="28"/>
    </row>
    <row r="18" spans="1:20">
      <c r="A18" s="33" t="s">
        <v>180</v>
      </c>
      <c r="B18" s="32">
        <v>46261</v>
      </c>
      <c r="C18" s="31" t="s">
        <v>164</v>
      </c>
      <c r="D18" s="31" t="s">
        <v>224</v>
      </c>
      <c r="E18" s="31" t="s">
        <v>129</v>
      </c>
      <c r="F18" s="31" t="s">
        <v>379</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380</v>
      </c>
      <c r="G19" s="31" t="s">
        <v>50</v>
      </c>
      <c r="H19" s="32" t="s">
        <v>46</v>
      </c>
      <c r="I19" s="32"/>
      <c r="J19" s="32">
        <v>46266</v>
      </c>
      <c r="K19" s="31"/>
      <c r="L19" s="31"/>
      <c r="M19" s="3" t="str">
        <f t="shared" ca="1" si="4"/>
        <v>Fixed</v>
      </c>
      <c r="N19" t="s">
        <v>370</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381</v>
      </c>
      <c r="G20" s="31" t="s">
        <v>50</v>
      </c>
      <c r="H20" s="32" t="s">
        <v>77</v>
      </c>
      <c r="I20" s="32">
        <v>46265</v>
      </c>
      <c r="J20" s="32">
        <v>46265</v>
      </c>
      <c r="K20" s="31" t="s">
        <v>77</v>
      </c>
      <c r="L20" s="31" t="s">
        <v>382</v>
      </c>
      <c r="M20" s="3" t="str">
        <f t="shared" ca="1" si="4"/>
        <v>Fixed</v>
      </c>
      <c r="N20" t="s">
        <v>373</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383</v>
      </c>
      <c r="G21" s="31" t="s">
        <v>50</v>
      </c>
      <c r="H21" s="32" t="s">
        <v>84</v>
      </c>
      <c r="I21" s="32">
        <v>46266</v>
      </c>
      <c r="J21" s="32">
        <v>46266</v>
      </c>
      <c r="K21" s="31"/>
      <c r="L21" s="31" t="s">
        <v>384</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385</v>
      </c>
      <c r="G22" s="31" t="s">
        <v>50</v>
      </c>
      <c r="H22" s="32" t="s">
        <v>59</v>
      </c>
      <c r="I22" s="32"/>
      <c r="J22" s="32">
        <v>46266</v>
      </c>
      <c r="K22" s="31" t="s">
        <v>59</v>
      </c>
      <c r="L22" s="31"/>
      <c r="M22" s="3" t="str">
        <f t="shared" ca="1" si="4"/>
        <v>Fixed</v>
      </c>
      <c r="N22" t="s">
        <v>373</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386</v>
      </c>
      <c r="G23" s="31" t="s">
        <v>50</v>
      </c>
      <c r="H23" s="32" t="s">
        <v>46</v>
      </c>
      <c r="I23" s="32">
        <v>46267</v>
      </c>
      <c r="J23" s="32">
        <v>46268</v>
      </c>
      <c r="K23" s="31" t="s">
        <v>46</v>
      </c>
      <c r="L23" s="31" t="s">
        <v>384</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387</v>
      </c>
      <c r="G24" s="31" t="s">
        <v>50</v>
      </c>
      <c r="H24" s="32" t="s">
        <v>46</v>
      </c>
      <c r="I24" s="168">
        <v>46267</v>
      </c>
      <c r="J24" s="32">
        <v>46268</v>
      </c>
      <c r="K24" s="31" t="s">
        <v>46</v>
      </c>
      <c r="L24" s="31" t="s">
        <v>384</v>
      </c>
      <c r="M24" s="3" t="str">
        <f t="shared" ca="1" si="4"/>
        <v>Fixed</v>
      </c>
      <c r="N24" t="s">
        <v>373</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388</v>
      </c>
      <c r="G25" s="31" t="s">
        <v>50</v>
      </c>
      <c r="H25" s="32" t="s">
        <v>46</v>
      </c>
      <c r="I25" s="32">
        <v>46267</v>
      </c>
      <c r="J25" s="32">
        <v>46268</v>
      </c>
      <c r="K25" s="31" t="s">
        <v>46</v>
      </c>
      <c r="L25" s="31" t="s">
        <v>384</v>
      </c>
      <c r="M25" s="3" t="str">
        <f t="shared" ca="1" si="4"/>
        <v>Fixed</v>
      </c>
      <c r="N25" s="33" t="s">
        <v>373</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389</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379</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373</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390</v>
      </c>
      <c r="G28" s="31" t="s">
        <v>50</v>
      </c>
      <c r="H28" s="32" t="s">
        <v>77</v>
      </c>
      <c r="I28" s="32"/>
      <c r="J28" s="32">
        <v>46267</v>
      </c>
      <c r="K28" s="31" t="s">
        <v>77</v>
      </c>
      <c r="L28" s="31" t="s">
        <v>391</v>
      </c>
      <c r="M28" s="3" t="str">
        <f t="shared" ca="1" si="4"/>
        <v>Fixed</v>
      </c>
      <c r="N28" t="s">
        <v>373</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390</v>
      </c>
      <c r="G29" s="31" t="s">
        <v>50</v>
      </c>
      <c r="H29" s="32" t="s">
        <v>77</v>
      </c>
      <c r="I29" s="32"/>
      <c r="J29" s="32">
        <v>46267</v>
      </c>
      <c r="K29" s="31" t="s">
        <v>77</v>
      </c>
      <c r="L29" s="113" t="s">
        <v>391</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390</v>
      </c>
      <c r="G30" s="31" t="s">
        <v>50</v>
      </c>
      <c r="H30" s="32" t="s">
        <v>77</v>
      </c>
      <c r="I30" s="32"/>
      <c r="J30" s="32">
        <v>46267</v>
      </c>
      <c r="K30" s="31" t="s">
        <v>77</v>
      </c>
      <c r="L30" s="113" t="s">
        <v>391</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392</v>
      </c>
      <c r="G31" s="31" t="s">
        <v>50</v>
      </c>
      <c r="H31" s="32" t="s">
        <v>154</v>
      </c>
      <c r="I31" s="32"/>
      <c r="J31" s="32">
        <v>46267</v>
      </c>
      <c r="K31" s="31" t="s">
        <v>154</v>
      </c>
      <c r="L31" s="31"/>
      <c r="M31" s="3" t="str">
        <f t="shared" ca="1" si="4"/>
        <v>Fixed</v>
      </c>
      <c r="N31" t="s">
        <v>373</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393</v>
      </c>
      <c r="G32" s="31" t="s">
        <v>50</v>
      </c>
      <c r="H32" s="32" t="s">
        <v>103</v>
      </c>
      <c r="I32" s="32">
        <v>46269</v>
      </c>
      <c r="J32" s="32">
        <v>46269</v>
      </c>
      <c r="K32" s="31"/>
      <c r="L32" s="31" t="s">
        <v>384</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394</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395</v>
      </c>
      <c r="G34" s="31" t="s">
        <v>50</v>
      </c>
      <c r="H34" s="32" t="s">
        <v>103</v>
      </c>
      <c r="I34" s="32">
        <v>46274</v>
      </c>
      <c r="J34" s="32">
        <v>46274</v>
      </c>
      <c r="K34" s="31"/>
      <c r="L34" s="31" t="s">
        <v>384</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396</v>
      </c>
      <c r="G35" s="31" t="s">
        <v>50</v>
      </c>
      <c r="H35" s="32" t="s">
        <v>77</v>
      </c>
      <c r="I35" s="32">
        <v>46275</v>
      </c>
      <c r="J35" s="32">
        <v>46275</v>
      </c>
      <c r="K35" s="31" t="s">
        <v>77</v>
      </c>
      <c r="L35" s="31" t="s">
        <v>397</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398</v>
      </c>
      <c r="G36" s="31" t="s">
        <v>50</v>
      </c>
      <c r="H36" s="32" t="s">
        <v>154</v>
      </c>
      <c r="I36" s="32"/>
      <c r="J36" s="32">
        <v>46276</v>
      </c>
      <c r="K36" s="31" t="s">
        <v>154</v>
      </c>
      <c r="L36" s="31"/>
      <c r="M36" s="3" t="str">
        <f t="shared" ca="1" si="4"/>
        <v>Fixed</v>
      </c>
      <c r="N36" t="s">
        <v>373</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399</v>
      </c>
      <c r="G37" s="31" t="s">
        <v>53</v>
      </c>
      <c r="H37" s="32" t="s">
        <v>65</v>
      </c>
      <c r="I37" s="32"/>
      <c r="J37" s="32">
        <v>46288</v>
      </c>
      <c r="K37" s="31"/>
      <c r="L37" s="31"/>
      <c r="M37" s="3" t="str">
        <f t="shared" ca="1" si="4"/>
        <v>Fixed</v>
      </c>
      <c r="N37" t="s">
        <v>373</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400</v>
      </c>
      <c r="G38" s="31" t="s">
        <v>50</v>
      </c>
      <c r="H38" s="32" t="s">
        <v>154</v>
      </c>
      <c r="I38" s="32">
        <v>46282</v>
      </c>
      <c r="J38" s="32">
        <v>46282</v>
      </c>
      <c r="K38" s="31" t="s">
        <v>154</v>
      </c>
      <c r="L38" s="31" t="s">
        <v>401</v>
      </c>
      <c r="M38" s="3" t="str">
        <f t="shared" ca="1" si="4"/>
        <v>Fixed</v>
      </c>
      <c r="N38" t="s">
        <v>373</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402</v>
      </c>
      <c r="G39" s="31" t="s">
        <v>50</v>
      </c>
      <c r="H39" s="32" t="s">
        <v>77</v>
      </c>
      <c r="I39" s="32">
        <v>46281</v>
      </c>
      <c r="J39" s="32">
        <v>46281</v>
      </c>
      <c r="K39" s="31" t="s">
        <v>77</v>
      </c>
      <c r="L39" s="31" t="s">
        <v>403</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404</v>
      </c>
      <c r="G40" s="31" t="s">
        <v>50</v>
      </c>
      <c r="H40" s="32" t="s">
        <v>44</v>
      </c>
      <c r="I40" s="32">
        <v>46283</v>
      </c>
      <c r="J40" s="32">
        <v>46283</v>
      </c>
      <c r="K40" s="31"/>
      <c r="L40" s="31" t="s">
        <v>405</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406</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407</v>
      </c>
      <c r="G42" s="31" t="s">
        <v>50</v>
      </c>
      <c r="H42" s="32" t="s">
        <v>154</v>
      </c>
      <c r="I42" s="32">
        <v>46282</v>
      </c>
      <c r="J42" s="32">
        <v>46282</v>
      </c>
      <c r="K42" s="31"/>
      <c r="L42" s="31" t="s">
        <v>408</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409</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410</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411</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307</v>
      </c>
      <c r="B14" s="11">
        <v>9</v>
      </c>
      <c r="C14" s="12">
        <v>46387</v>
      </c>
    </row>
    <row r="15" spans="1:8" ht="14.25" customHeight="1">
      <c r="A15" s="11" t="s">
        <v>298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435</v>
      </c>
      <c r="D13" s="9" t="s">
        <v>436</v>
      </c>
      <c r="E13" s="9" t="s">
        <v>46</v>
      </c>
      <c r="F13" s="9"/>
      <c r="G13" s="9"/>
      <c r="H13" s="10"/>
      <c r="I13" s="10">
        <v>46115</v>
      </c>
      <c r="J13" s="10">
        <v>46115</v>
      </c>
    </row>
    <row r="14" spans="1:10" ht="14.25" customHeight="1">
      <c r="A14" s="9" t="s">
        <v>40</v>
      </c>
      <c r="B14" s="9" t="s">
        <v>204</v>
      </c>
      <c r="C14" s="9" t="s">
        <v>435</v>
      </c>
      <c r="D14" s="9" t="s">
        <v>436</v>
      </c>
      <c r="E14" s="9" t="s">
        <v>46</v>
      </c>
      <c r="F14" s="9"/>
      <c r="G14" s="9"/>
      <c r="H14" s="10">
        <v>46115</v>
      </c>
      <c r="I14" s="10">
        <v>46120</v>
      </c>
      <c r="J14" s="10">
        <v>46120</v>
      </c>
    </row>
    <row r="15" spans="1:10" ht="14.25" customHeight="1">
      <c r="A15" s="9" t="s">
        <v>40</v>
      </c>
      <c r="B15" s="9" t="s">
        <v>164</v>
      </c>
      <c r="C15" s="9" t="s">
        <v>435</v>
      </c>
      <c r="D15" s="9" t="s">
        <v>436</v>
      </c>
      <c r="E15" s="9" t="s">
        <v>46</v>
      </c>
      <c r="F15" s="9"/>
      <c r="G15" s="9"/>
      <c r="H15" s="10">
        <v>46120</v>
      </c>
      <c r="I15" s="10">
        <v>46122</v>
      </c>
      <c r="J15" s="10">
        <v>46122</v>
      </c>
    </row>
    <row r="16" spans="1:10" ht="14.25" customHeight="1">
      <c r="A16" s="9" t="s">
        <v>40</v>
      </c>
      <c r="B16" s="9" t="s">
        <v>181</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436</v>
      </c>
      <c r="E23" s="9" t="s">
        <v>46</v>
      </c>
      <c r="F23" s="9"/>
      <c r="G23" s="9"/>
      <c r="H23" s="10"/>
      <c r="I23" s="10">
        <v>46115</v>
      </c>
      <c r="J23" s="10">
        <v>46115</v>
      </c>
    </row>
    <row r="24" spans="1:10" ht="14.25" customHeight="1">
      <c r="A24" s="9" t="s">
        <v>40</v>
      </c>
      <c r="B24" s="9" t="s">
        <v>204</v>
      </c>
      <c r="C24" s="9" t="s">
        <v>64</v>
      </c>
      <c r="D24" s="9" t="s">
        <v>436</v>
      </c>
      <c r="E24" s="9" t="s">
        <v>46</v>
      </c>
      <c r="F24" s="9"/>
      <c r="G24" s="9"/>
      <c r="H24" s="10">
        <v>46115</v>
      </c>
      <c r="I24" s="10">
        <v>46120</v>
      </c>
      <c r="J24" s="10">
        <v>46120</v>
      </c>
    </row>
    <row r="25" spans="1:10" ht="14.25" customHeight="1">
      <c r="A25" s="9" t="s">
        <v>40</v>
      </c>
      <c r="B25" s="9" t="s">
        <v>164</v>
      </c>
      <c r="C25" s="9" t="s">
        <v>64</v>
      </c>
      <c r="D25" s="9" t="s">
        <v>436</v>
      </c>
      <c r="E25" s="9" t="s">
        <v>46</v>
      </c>
      <c r="F25" s="9"/>
      <c r="G25" s="9"/>
      <c r="H25" s="10">
        <v>46120</v>
      </c>
      <c r="I25" s="10">
        <v>46122</v>
      </c>
      <c r="J25" s="10">
        <v>46122</v>
      </c>
    </row>
    <row r="26" spans="1:10" ht="14.25" customHeight="1">
      <c r="A26" s="9" t="s">
        <v>40</v>
      </c>
      <c r="B26" s="9" t="s">
        <v>181</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436</v>
      </c>
      <c r="E33" s="9" t="s">
        <v>60</v>
      </c>
      <c r="F33" s="9"/>
      <c r="G33" s="9"/>
      <c r="H33" s="10"/>
      <c r="I33" s="10">
        <v>46122</v>
      </c>
      <c r="J33" s="10">
        <v>46122</v>
      </c>
    </row>
    <row r="34" spans="1:10" ht="14.25" customHeight="1">
      <c r="A34" s="9" t="s">
        <v>40</v>
      </c>
      <c r="B34" s="9" t="s">
        <v>204</v>
      </c>
      <c r="C34" s="9" t="s">
        <v>70</v>
      </c>
      <c r="D34" s="9" t="s">
        <v>436</v>
      </c>
      <c r="E34" s="9" t="s">
        <v>60</v>
      </c>
      <c r="F34" s="9"/>
      <c r="G34" s="9"/>
      <c r="H34" s="10">
        <v>46122</v>
      </c>
      <c r="I34" s="10">
        <v>46126</v>
      </c>
      <c r="J34" s="10">
        <v>46126</v>
      </c>
    </row>
    <row r="35" spans="1:10" ht="14.25" customHeight="1">
      <c r="A35" s="9" t="s">
        <v>40</v>
      </c>
      <c r="B35" s="9" t="s">
        <v>164</v>
      </c>
      <c r="C35" s="9" t="s">
        <v>70</v>
      </c>
      <c r="D35" s="9" t="s">
        <v>436</v>
      </c>
      <c r="E35" s="9" t="s">
        <v>60</v>
      </c>
      <c r="F35" s="9"/>
      <c r="G35" s="9"/>
      <c r="H35" s="10">
        <v>46126</v>
      </c>
      <c r="I35" s="10">
        <v>46122</v>
      </c>
      <c r="J35" s="10">
        <v>46122</v>
      </c>
    </row>
    <row r="36" spans="1:10" ht="14.25" customHeight="1">
      <c r="A36" s="9" t="s">
        <v>40</v>
      </c>
      <c r="B36" s="9" t="s">
        <v>181</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436</v>
      </c>
      <c r="E48" s="9" t="s">
        <v>60</v>
      </c>
      <c r="F48" s="9"/>
      <c r="G48" s="9"/>
      <c r="H48" s="10"/>
      <c r="I48" s="10"/>
      <c r="J48" s="10"/>
    </row>
    <row r="49" spans="1:10" ht="14.25" customHeight="1">
      <c r="A49" s="9" t="s">
        <v>40</v>
      </c>
      <c r="B49" s="9" t="s">
        <v>204</v>
      </c>
      <c r="C49" s="9" t="s">
        <v>97</v>
      </c>
      <c r="D49" s="9" t="s">
        <v>436</v>
      </c>
      <c r="E49" s="9" t="s">
        <v>60</v>
      </c>
      <c r="F49" s="9"/>
      <c r="G49" s="9"/>
      <c r="H49" s="10"/>
      <c r="I49" s="10">
        <v>46139</v>
      </c>
      <c r="J49" s="10">
        <v>46139</v>
      </c>
    </row>
    <row r="50" spans="1:10" ht="14.25" customHeight="1">
      <c r="A50" s="9" t="s">
        <v>40</v>
      </c>
      <c r="B50" s="9" t="s">
        <v>164</v>
      </c>
      <c r="C50" s="9" t="s">
        <v>97</v>
      </c>
      <c r="D50" s="9" t="s">
        <v>436</v>
      </c>
      <c r="E50" s="9" t="s">
        <v>60</v>
      </c>
      <c r="F50" s="9"/>
      <c r="G50" s="9"/>
      <c r="H50" s="10">
        <v>46139</v>
      </c>
      <c r="I50" s="10">
        <v>46139</v>
      </c>
      <c r="J50" s="10">
        <v>46139</v>
      </c>
    </row>
    <row r="51" spans="1:10" ht="14.25" customHeight="1">
      <c r="A51" s="9" t="s">
        <v>40</v>
      </c>
      <c r="B51" s="9" t="s">
        <v>181</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224</v>
      </c>
      <c r="C53" s="9" t="s">
        <v>98</v>
      </c>
      <c r="D53" s="9" t="s">
        <v>436</v>
      </c>
      <c r="E53" s="9" t="s">
        <v>60</v>
      </c>
      <c r="F53" s="9"/>
      <c r="G53" s="9"/>
      <c r="H53" s="10"/>
      <c r="I53" s="10"/>
      <c r="J53" s="10"/>
    </row>
    <row r="54" spans="1:10" ht="14.25" customHeight="1">
      <c r="A54" s="9" t="s">
        <v>40</v>
      </c>
      <c r="B54" s="9" t="s">
        <v>204</v>
      </c>
      <c r="C54" s="9" t="s">
        <v>98</v>
      </c>
      <c r="D54" s="9" t="s">
        <v>436</v>
      </c>
      <c r="E54" s="9" t="s">
        <v>60</v>
      </c>
      <c r="F54" s="9"/>
      <c r="G54" s="9"/>
      <c r="H54" s="9"/>
      <c r="I54" s="10">
        <v>46141</v>
      </c>
      <c r="J54" s="10">
        <v>46141</v>
      </c>
    </row>
    <row r="55" spans="1:10" ht="14.25" customHeight="1">
      <c r="A55" s="9" t="s">
        <v>40</v>
      </c>
      <c r="B55" s="9" t="s">
        <v>164</v>
      </c>
      <c r="C55" s="9" t="s">
        <v>98</v>
      </c>
      <c r="D55" s="9" t="s">
        <v>436</v>
      </c>
      <c r="E55" s="9" t="s">
        <v>60</v>
      </c>
      <c r="F55" s="9"/>
      <c r="G55" s="9"/>
      <c r="H55" s="10">
        <v>46141</v>
      </c>
      <c r="I55" s="10">
        <v>46141</v>
      </c>
      <c r="J55" s="10">
        <v>46141</v>
      </c>
    </row>
    <row r="56" spans="1:10" ht="14.25" customHeight="1">
      <c r="A56" s="9" t="s">
        <v>40</v>
      </c>
      <c r="B56" s="9" t="s">
        <v>181</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224</v>
      </c>
      <c r="C58" s="9" t="s">
        <v>99</v>
      </c>
      <c r="D58" s="9" t="s">
        <v>436</v>
      </c>
      <c r="E58" s="9" t="s">
        <v>46</v>
      </c>
      <c r="F58" s="9"/>
      <c r="G58" s="9"/>
      <c r="H58" s="9"/>
      <c r="I58" s="10"/>
      <c r="J58" s="10"/>
    </row>
    <row r="59" spans="1:10" ht="14.25" customHeight="1">
      <c r="A59" s="9" t="s">
        <v>40</v>
      </c>
      <c r="B59" s="9" t="s">
        <v>204</v>
      </c>
      <c r="C59" s="9" t="s">
        <v>99</v>
      </c>
      <c r="D59" s="9" t="s">
        <v>436</v>
      </c>
      <c r="E59" s="9" t="s">
        <v>46</v>
      </c>
      <c r="F59" s="9"/>
      <c r="G59" s="9"/>
      <c r="H59" s="10"/>
      <c r="I59" s="10">
        <v>46161</v>
      </c>
      <c r="J59" s="10">
        <v>46161</v>
      </c>
    </row>
    <row r="60" spans="1:10" ht="14.25" customHeight="1">
      <c r="A60" s="9" t="s">
        <v>40</v>
      </c>
      <c r="B60" s="9" t="s">
        <v>164</v>
      </c>
      <c r="C60" s="9" t="s">
        <v>99</v>
      </c>
      <c r="D60" s="9" t="s">
        <v>436</v>
      </c>
      <c r="E60" s="9" t="s">
        <v>46</v>
      </c>
      <c r="F60" s="9"/>
      <c r="G60" s="9"/>
      <c r="H60" s="10">
        <v>46161</v>
      </c>
      <c r="I60" s="10">
        <v>46161</v>
      </c>
      <c r="J60" s="10">
        <v>46161</v>
      </c>
    </row>
    <row r="61" spans="1:10" ht="14.25" customHeight="1">
      <c r="A61" s="9" t="s">
        <v>40</v>
      </c>
      <c r="B61" s="9" t="s">
        <v>181</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336</v>
      </c>
      <c r="G1" s="5" t="s">
        <v>438</v>
      </c>
      <c r="H1" s="5" t="s">
        <v>20</v>
      </c>
      <c r="I1" t="s">
        <v>35</v>
      </c>
      <c r="J1" s="5" t="s">
        <v>439</v>
      </c>
      <c r="K1" s="5" t="s">
        <v>181</v>
      </c>
      <c r="L1" s="5" t="s">
        <v>355</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456</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457</v>
      </c>
      <c r="R4" t="s">
        <v>292</v>
      </c>
      <c r="T4" t="s">
        <v>72</v>
      </c>
    </row>
    <row r="5" spans="1:20" ht="15" customHeight="1">
      <c r="A5" t="s">
        <v>427</v>
      </c>
      <c r="B5" t="s">
        <v>436</v>
      </c>
      <c r="C5" t="s">
        <v>77</v>
      </c>
      <c r="F5" t="s">
        <v>204</v>
      </c>
      <c r="G5" t="s">
        <v>436</v>
      </c>
      <c r="H5" t="s">
        <v>129</v>
      </c>
      <c r="I5" t="s">
        <v>214</v>
      </c>
      <c r="J5" t="s">
        <v>164</v>
      </c>
      <c r="L5" t="s">
        <v>458</v>
      </c>
      <c r="M5" t="s">
        <v>88</v>
      </c>
      <c r="N5" t="s">
        <v>459</v>
      </c>
    </row>
    <row r="6" spans="1:20" ht="15" customHeight="1">
      <c r="A6" t="s">
        <v>307</v>
      </c>
      <c r="B6" t="s">
        <v>84</v>
      </c>
      <c r="F6" t="s">
        <v>164</v>
      </c>
      <c r="G6" t="s">
        <v>84</v>
      </c>
      <c r="H6" t="s">
        <v>143</v>
      </c>
      <c r="I6" t="s">
        <v>460</v>
      </c>
      <c r="J6" t="s">
        <v>181</v>
      </c>
      <c r="M6" t="s">
        <v>48</v>
      </c>
      <c r="N6" t="s">
        <v>459</v>
      </c>
    </row>
    <row r="7" spans="1:20" ht="15" customHeight="1">
      <c r="A7" t="s">
        <v>298</v>
      </c>
      <c r="B7" t="s">
        <v>65</v>
      </c>
      <c r="F7" t="s">
        <v>181</v>
      </c>
      <c r="G7" t="s">
        <v>65</v>
      </c>
      <c r="H7" t="s">
        <v>198</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332</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227</v>
      </c>
      <c r="N18" t="s">
        <v>476</v>
      </c>
    </row>
    <row r="19" spans="13:14" ht="15">
      <c r="M19" t="s">
        <v>198</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181</v>
      </c>
      <c r="G13" s="177" t="s">
        <v>164</v>
      </c>
      <c r="H13" s="177" t="s">
        <v>204</v>
      </c>
      <c r="I13" s="177" t="s">
        <v>224</v>
      </c>
      <c r="J13" s="177" t="s">
        <v>488</v>
      </c>
      <c r="K13" s="176" t="s">
        <v>489</v>
      </c>
      <c r="L13" s="176" t="s">
        <v>430</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332</v>
      </c>
      <c r="E2" t="str">
        <f>IF(C2="Ready for Release in Prod","Blocked in Prod",IF(C2="RELEASED IN PROD","Released",IF(LEFT(D2,3)="Yes","Blocked - Build/QA",IF(C2="NOT STARTED","Not Started",C2))))</f>
        <v>Blocked in Prod</v>
      </c>
    </row>
    <row r="3" spans="1:5">
      <c r="A3" t="s">
        <v>134</v>
      </c>
      <c r="B3" t="s">
        <v>130</v>
      </c>
      <c r="C3" t="s">
        <v>128</v>
      </c>
      <c r="D3" t="s">
        <v>332</v>
      </c>
      <c r="E3" t="str">
        <f>IF(C3="Ready for Release in Prod","Blocked in Prod",IF(C3="RELEASED IN PROD","Released",IF(LEFT(D3,3)="Yes","Blocked - Build/QA",IF(C3="NOT STARTED","Not Started",C3))))</f>
        <v>Blocked in Prod</v>
      </c>
    </row>
    <row r="4" spans="1:5">
      <c r="A4" t="s">
        <v>136</v>
      </c>
      <c r="B4" t="s">
        <v>130</v>
      </c>
      <c r="C4" t="s">
        <v>128</v>
      </c>
      <c r="D4" t="s">
        <v>332</v>
      </c>
      <c r="E4" t="str">
        <f>IF(C4="Ready for Release in Prod","Blocked in Prod",IF(C4="RELEASED IN PROD","Released",IF(LEFT(D4,3)="Yes","Blocked - Build/QA",IF(C4="NOT STARTED","Not Started",C4))))</f>
        <v>Blocked in Prod</v>
      </c>
    </row>
    <row r="5" spans="1:5">
      <c r="A5" t="s">
        <v>138</v>
      </c>
      <c r="B5" t="s">
        <v>130</v>
      </c>
      <c r="C5" t="s">
        <v>128</v>
      </c>
      <c r="D5" t="s">
        <v>332</v>
      </c>
      <c r="E5" t="str">
        <f>IF(C5="Ready for Release in Prod","Blocked in Prod",IF(C5="RELEASED IN PROD","Released",IF(LEFT(D5,3)="Yes","Blocked - Build/QA",IF(C5="NOT STARTED","Not Started",C5))))</f>
        <v>Blocked in Prod</v>
      </c>
    </row>
    <row r="6" spans="1:5">
      <c r="A6" t="s">
        <v>140</v>
      </c>
      <c r="B6" t="s">
        <v>130</v>
      </c>
      <c r="C6" t="s">
        <v>128</v>
      </c>
      <c r="D6" t="s">
        <v>332</v>
      </c>
      <c r="E6" t="str">
        <f>IF(C6="Ready for Release in Prod","Blocked in Prod",IF(C6="RELEASED IN PROD","Released",IF(LEFT(D6,3)="Yes","Blocked - Build/QA",IF(C6="NOT STARTED","Not Started",C6))))</f>
        <v>Blocked in Prod</v>
      </c>
    </row>
    <row r="7" spans="1:5">
      <c r="A7" t="s">
        <v>142</v>
      </c>
      <c r="B7" t="s">
        <v>130</v>
      </c>
      <c r="C7" t="s">
        <v>128</v>
      </c>
      <c r="D7" t="s">
        <v>332</v>
      </c>
      <c r="E7" t="str">
        <f>IF(C7="Ready for Release in Prod","Blocked in Prod",IF(C7="RELEASED IN PROD","Released",IF(LEFT(D7,3)="Yes","Blocked - Build/QA",IF(C7="NOT STARTED","Not Started",C7))))</f>
        <v>Blocked in Prod</v>
      </c>
    </row>
    <row r="8" spans="1:5">
      <c r="A8" t="s">
        <v>145</v>
      </c>
      <c r="B8" t="s">
        <v>130</v>
      </c>
      <c r="C8" t="s">
        <v>128</v>
      </c>
      <c r="D8" t="s">
        <v>332</v>
      </c>
      <c r="E8" t="str">
        <f>IF(C8="Ready for Release in Prod","Blocked in Prod",IF(C8="RELEASED IN PROD","Released",IF(LEFT(D8,3)="Yes","Blocked - Build/QA",IF(C8="NOT STARTED","Not Started",C8))))</f>
        <v>Blocked in Prod</v>
      </c>
    </row>
    <row r="9" spans="1:5">
      <c r="A9" t="s">
        <v>148</v>
      </c>
      <c r="B9" t="s">
        <v>130</v>
      </c>
      <c r="C9" t="s">
        <v>128</v>
      </c>
      <c r="D9" t="s">
        <v>332</v>
      </c>
      <c r="E9" t="str">
        <f>IF(C9="Ready for Release in Prod","Blocked in Prod",IF(C9="RELEASED IN PROD","Released",IF(LEFT(D9,3)="Yes","Blocked - Build/QA",IF(C9="NOT STARTED","Not Started",C9))))</f>
        <v>Blocked in Prod</v>
      </c>
    </row>
    <row r="10" spans="1:5">
      <c r="A10" t="s">
        <v>149</v>
      </c>
      <c r="B10" t="s">
        <v>130</v>
      </c>
      <c r="C10" t="s">
        <v>128</v>
      </c>
      <c r="D10" t="s">
        <v>332</v>
      </c>
      <c r="E10" t="str">
        <f>IF(C10="Ready for Release in Prod","Blocked in Prod",IF(C10="RELEASED IN PROD","Released",IF(LEFT(D10,3)="Yes","Blocked - Build/QA",IF(C10="NOT STARTED","Not Started",C10))))</f>
        <v>Blocked in Prod</v>
      </c>
    </row>
    <row r="11" spans="1:5">
      <c r="A11" t="s">
        <v>152</v>
      </c>
      <c r="B11" t="s">
        <v>130</v>
      </c>
      <c r="C11" t="s">
        <v>128</v>
      </c>
      <c r="D11" t="s">
        <v>332</v>
      </c>
      <c r="E11" t="str">
        <f>IF(C11="Ready for Release in Prod","Blocked in Prod",IF(C11="RELEASED IN PROD","Released",IF(LEFT(D11,3)="Yes","Blocked - Build/QA",IF(C11="NOT STARTED","Not Started",C11))))</f>
        <v>Blocked in Prod</v>
      </c>
    </row>
    <row r="12" spans="1:5">
      <c r="A12" t="s">
        <v>155</v>
      </c>
      <c r="B12" t="s">
        <v>130</v>
      </c>
      <c r="C12" t="s">
        <v>128</v>
      </c>
      <c r="D12" t="s">
        <v>332</v>
      </c>
      <c r="E12" t="str">
        <f>IF(C12="Ready for Release in Prod","Blocked in Prod",IF(C12="RELEASED IN PROD","Released",IF(LEFT(D12,3)="Yes","Blocked - Build/QA",IF(C12="NOT STARTED","Not Started",C12))))</f>
        <v>Blocked in Prod</v>
      </c>
    </row>
    <row r="13" spans="1:5">
      <c r="A13" t="s">
        <v>156</v>
      </c>
      <c r="B13" t="s">
        <v>130</v>
      </c>
      <c r="C13" t="s">
        <v>128</v>
      </c>
      <c r="D13" t="s">
        <v>332</v>
      </c>
      <c r="E13" t="str">
        <f>IF(C13="Ready for Release in Prod","Blocked in Prod",IF(C13="RELEASED IN PROD","Released",IF(LEFT(D13,3)="Yes","Blocked - Build/QA",IF(C13="NOT STARTED","Not Started",C13))))</f>
        <v>Blocked in Prod</v>
      </c>
    </row>
    <row r="14" spans="1:5">
      <c r="A14" t="s">
        <v>158</v>
      </c>
      <c r="B14" t="s">
        <v>130</v>
      </c>
      <c r="C14" t="s">
        <v>128</v>
      </c>
      <c r="D14" t="s">
        <v>332</v>
      </c>
      <c r="E14" t="str">
        <f>IF(C14="Ready for Release in Prod","Blocked in Prod",IF(C14="RELEASED IN PROD","Released",IF(LEFT(D14,3)="Yes","Blocked - Build/QA",IF(C14="NOT STARTED","Not Started",C14))))</f>
        <v>Blocked in Prod</v>
      </c>
    </row>
    <row r="15" spans="1:5">
      <c r="A15" t="s">
        <v>160</v>
      </c>
      <c r="B15" t="s">
        <v>130</v>
      </c>
      <c r="C15" t="s">
        <v>128</v>
      </c>
      <c r="D15" t="s">
        <v>332</v>
      </c>
      <c r="E15" t="str">
        <f>IF(C15="Ready for Release in Prod","Blocked in Prod",IF(C15="RELEASED IN PROD","Released",IF(LEFT(D15,3)="Yes","Blocked - Build/QA",IF(C15="NOT STARTED","Not Started",C15))))</f>
        <v>Blocked in Prod</v>
      </c>
    </row>
    <row r="16" spans="1:5">
      <c r="A16" t="s">
        <v>163</v>
      </c>
      <c r="B16" t="s">
        <v>166</v>
      </c>
      <c r="C16" t="s">
        <v>204</v>
      </c>
      <c r="D16" t="s">
        <v>460</v>
      </c>
      <c r="E16" t="str">
        <f>IF(C16="Ready for Release in Prod","Blocked in Prod",IF(C16="RELEASED IN PROD","Released",IF(LEFT(D16,3)="Yes","Blocked - Build/QA",IF(C16="NOT STARTED","Not Started",C16))))</f>
        <v>Blocked - Build/QA</v>
      </c>
    </row>
    <row r="17" spans="1:5">
      <c r="A17" t="s">
        <v>169</v>
      </c>
      <c r="B17" t="s">
        <v>166</v>
      </c>
      <c r="C17" t="s">
        <v>128</v>
      </c>
      <c r="D17" t="s">
        <v>332</v>
      </c>
      <c r="E17" t="str">
        <f>IF(C17="Ready for Release in Prod","Blocked in Prod",IF(C17="RELEASED IN PROD","Released",IF(LEFT(D17,3)="Yes","Blocked - Build/QA",IF(C17="NOT STARTED","Not Started",C17))))</f>
        <v>Blocked in Prod</v>
      </c>
    </row>
    <row r="18" spans="1:5">
      <c r="A18" t="s">
        <v>172</v>
      </c>
      <c r="B18" t="s">
        <v>166</v>
      </c>
      <c r="C18" t="s">
        <v>128</v>
      </c>
      <c r="D18" t="s">
        <v>332</v>
      </c>
      <c r="E18" t="str">
        <f>IF(C18="Ready for Release in Prod","Blocked in Prod",IF(C18="RELEASED IN PROD","Released",IF(LEFT(D18,3)="Yes","Blocked - Build/QA",IF(C18="NOT STARTED","Not Started",C18))))</f>
        <v>Blocked in Prod</v>
      </c>
    </row>
    <row r="19" spans="1:5">
      <c r="A19" t="s">
        <v>174</v>
      </c>
      <c r="B19" t="s">
        <v>166</v>
      </c>
      <c r="C19" t="s">
        <v>128</v>
      </c>
      <c r="D19" t="s">
        <v>332</v>
      </c>
      <c r="E19" t="str">
        <f>IF(C19="Ready for Release in Prod","Blocked in Prod",IF(C19="RELEASED IN PROD","Released",IF(LEFT(D19,3)="Yes","Blocked - Build/QA",IF(C19="NOT STARTED","Not Started",C19))))</f>
        <v>Blocked in Prod</v>
      </c>
    </row>
    <row r="20" spans="1:5">
      <c r="A20" t="s">
        <v>176</v>
      </c>
      <c r="B20" t="s">
        <v>166</v>
      </c>
      <c r="C20" t="s">
        <v>128</v>
      </c>
      <c r="D20" t="s">
        <v>332</v>
      </c>
      <c r="E20" t="str">
        <f>IF(C20="Ready for Release in Prod","Blocked in Prod",IF(C20="RELEASED IN PROD","Released",IF(LEFT(D20,3)="Yes","Blocked - Build/QA",IF(C20="NOT STARTED","Not Started",C20))))</f>
        <v>Blocked in Prod</v>
      </c>
    </row>
    <row r="21" spans="1:5">
      <c r="A21" t="s">
        <v>178</v>
      </c>
      <c r="B21" t="s">
        <v>166</v>
      </c>
      <c r="C21" t="s">
        <v>128</v>
      </c>
      <c r="D21" t="s">
        <v>332</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332</v>
      </c>
      <c r="E23" t="str">
        <f>IF(C23="Ready for Release in Prod","Blocked in Prod",IF(C23="RELEASED IN PROD","Released",IF(LEFT(D23,3)="Yes","Blocked - Build/QA",IF(C23="NOT STARTED","Not Started",C23))))</f>
        <v>Blocked in Prod</v>
      </c>
    </row>
    <row r="24" spans="1:5">
      <c r="A24" t="s">
        <v>183</v>
      </c>
      <c r="B24" t="s">
        <v>166</v>
      </c>
      <c r="C24" t="s">
        <v>128</v>
      </c>
      <c r="D24" t="s">
        <v>332</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332</v>
      </c>
      <c r="E26" t="str">
        <f>IF(C26="Ready for Release in Prod","Blocked in Prod",IF(C26="RELEASED IN PROD","Released",IF(LEFT(D26,3)="Yes","Blocked - Build/QA",IF(C26="NOT STARTED","Not Started",C26))))</f>
        <v>Blocked in Prod</v>
      </c>
    </row>
    <row r="27" spans="1:5">
      <c r="A27" t="s">
        <v>189</v>
      </c>
      <c r="B27" t="s">
        <v>166</v>
      </c>
      <c r="C27" t="s">
        <v>128</v>
      </c>
      <c r="D27" t="s">
        <v>332</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332</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332</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244</v>
      </c>
      <c r="B47" t="s">
        <v>241</v>
      </c>
      <c r="C47" t="s">
        <v>204</v>
      </c>
      <c r="E47" t="str">
        <f>IF(C47="Ready for Release in Prod","Blocked in Prod",IF(C47="RELEASED IN PROD","Released",IF(LEFT(D47,3)="Yes","Blocked - Build/QA",IF(C47="NOT STARTED","Not Started",C47))))</f>
        <v>PBI Dev</v>
      </c>
    </row>
    <row r="48" spans="1:5">
      <c r="A48" t="s">
        <v>245</v>
      </c>
      <c r="B48" t="s">
        <v>241</v>
      </c>
      <c r="C48" t="s">
        <v>232</v>
      </c>
      <c r="E48" t="str">
        <f>IF(C48="Ready for Release in Prod","Blocked in Prod",IF(C48="RELEASED IN PROD","Released",IF(LEFT(D48,3)="Yes","Blocked - Build/QA",IF(C48="NOT STARTED","Not Started",C48))))</f>
        <v>Not Started</v>
      </c>
    </row>
    <row r="49" spans="1:5">
      <c r="A49" t="s">
        <v>247</v>
      </c>
      <c r="B49" t="s">
        <v>241</v>
      </c>
      <c r="C49" t="s">
        <v>232</v>
      </c>
      <c r="E49" t="str">
        <f>IF(C49="Ready for Release in Prod","Blocked in Prod",IF(C49="RELEASED IN PROD","Released",IF(LEFT(D49,3)="Yes","Blocked - Build/QA",IF(C49="NOT STARTED","Not Started",C49))))</f>
        <v>Not Started</v>
      </c>
    </row>
    <row r="50" spans="1:5">
      <c r="A50" t="s">
        <v>248</v>
      </c>
      <c r="B50" t="s">
        <v>241</v>
      </c>
      <c r="C50" t="s">
        <v>232</v>
      </c>
      <c r="E50" t="str">
        <f>IF(C50="Ready for Release in Prod","Blocked in Prod",IF(C50="RELEASED IN PROD","Released",IF(LEFT(D50,3)="Yes","Blocked - Build/QA",IF(C50="NOT STARTED","Not Started",C50))))</f>
        <v>Not Started</v>
      </c>
    </row>
    <row r="51" spans="1:5">
      <c r="A51" t="s">
        <v>249</v>
      </c>
      <c r="B51" t="s">
        <v>241</v>
      </c>
      <c r="C51" t="s">
        <v>204</v>
      </c>
      <c r="D51" t="s">
        <v>214</v>
      </c>
      <c r="E51" t="str">
        <f>IF(C51="Ready for Release in Prod","Blocked in Prod",IF(C51="RELEASED IN PROD","Released",IF(LEFT(D51,3)="Yes","Blocked - Build/QA",IF(C51="NOT STARTED","Not Started",C51))))</f>
        <v>Blocked - Build/QA</v>
      </c>
    </row>
    <row r="52" spans="1:5">
      <c r="A52" t="s">
        <v>252</v>
      </c>
      <c r="B52" t="s">
        <v>241</v>
      </c>
      <c r="C52" t="s">
        <v>204</v>
      </c>
      <c r="E52" t="str">
        <f>IF(C52="Ready for Release in Prod","Blocked in Prod",IF(C52="RELEASED IN PROD","Released",IF(LEFT(D52,3)="Yes","Blocked - Build/QA",IF(C52="NOT STARTED","Not Started",C52))))</f>
        <v>PBI Dev</v>
      </c>
    </row>
    <row r="53" spans="1:5">
      <c r="A53" t="s">
        <v>255</v>
      </c>
      <c r="B53" t="s">
        <v>241</v>
      </c>
      <c r="C53" t="s">
        <v>232</v>
      </c>
      <c r="E53" t="str">
        <f>IF(C53="Ready for Release in Prod","Blocked in Prod",IF(C53="RELEASED IN PROD","Released",IF(LEFT(D53,3)="Yes","Blocked - Build/QA",IF(C53="NOT STARTED","Not Started",C53))))</f>
        <v>Not Started</v>
      </c>
    </row>
    <row r="54" spans="1:5">
      <c r="A54" t="s">
        <v>256</v>
      </c>
      <c r="B54" t="s">
        <v>241</v>
      </c>
      <c r="C54" t="s">
        <v>232</v>
      </c>
      <c r="E54" t="str">
        <f>IF(C54="Ready for Release in Prod","Blocked in Prod",IF(C54="RELEASED IN PROD","Released",IF(LEFT(D54,3)="Yes","Blocked - Build/QA",IF(C54="NOT STARTED","Not Started",C54))))</f>
        <v>Not Started</v>
      </c>
    </row>
    <row r="55" spans="1:5">
      <c r="A55" t="s">
        <v>258</v>
      </c>
      <c r="B55" t="s">
        <v>241</v>
      </c>
      <c r="C55" t="s">
        <v>224</v>
      </c>
      <c r="E55" t="str">
        <f>IF(C55="Ready for Release in Prod","Blocked in Prod",IF(C55="RELEASED IN PROD","Released",IF(LEFT(D55,3)="Yes","Blocked - Build/QA",IF(C55="NOT STARTED","Not Started",C55))))</f>
        <v>DB Dev</v>
      </c>
    </row>
    <row r="56" spans="1:5">
      <c r="A56" t="s">
        <v>260</v>
      </c>
      <c r="B56" t="s">
        <v>241</v>
      </c>
      <c r="C56" t="s">
        <v>204</v>
      </c>
      <c r="E56" t="str">
        <f>IF(C56="Ready for Release in Prod","Blocked in Prod",IF(C56="RELEASED IN PROD","Released",IF(LEFT(D56,3)="Yes","Blocked - Build/QA",IF(C56="NOT STARTED","Not Started",C56))))</f>
        <v>PBI Dev</v>
      </c>
    </row>
    <row r="57" spans="1:5">
      <c r="A57" t="s">
        <v>262</v>
      </c>
      <c r="B57" t="s">
        <v>241</v>
      </c>
      <c r="C57" t="s">
        <v>204</v>
      </c>
      <c r="E57" t="str">
        <f>IF(C57="Ready for Release in Prod","Blocked in Prod",IF(C57="RELEASED IN PROD","Released",IF(LEFT(D57,3)="Yes","Blocked - Build/QA",IF(C57="NOT STARTED","Not Started",C57))))</f>
        <v>PBI Dev</v>
      </c>
    </row>
    <row r="58" spans="1:5">
      <c r="A58" t="s">
        <v>263</v>
      </c>
      <c r="B58" t="s">
        <v>241</v>
      </c>
      <c r="C58" t="s">
        <v>232</v>
      </c>
      <c r="E58" t="str">
        <f>IF(C58="Ready for Release in Prod","Blocked in Prod",IF(C58="RELEASED IN PROD","Released",IF(LEFT(D58,3)="Yes","Blocked - Build/QA",IF(C58="NOT STARTED","Not Started",C58))))</f>
        <v>Not Started</v>
      </c>
    </row>
    <row r="59" spans="1:5">
      <c r="A59" t="s">
        <v>265</v>
      </c>
      <c r="B59" t="s">
        <v>490</v>
      </c>
      <c r="C59" t="s">
        <v>232</v>
      </c>
      <c r="E59" t="str">
        <f>IF(C59="Ready for Release in Prod","Blocked in Prod",IF(C59="RELEASED IN PROD","Released",IF(LEFT(D59,3)="Yes","Blocked - Build/QA",IF(C59="NOT STARTED","Not Started",C59))))</f>
        <v>Not Started</v>
      </c>
    </row>
    <row r="60" spans="1:5">
      <c r="A60" t="s">
        <v>269</v>
      </c>
      <c r="B60" t="s">
        <v>490</v>
      </c>
      <c r="C60" t="s">
        <v>232</v>
      </c>
      <c r="E60" t="str">
        <f>IF(C60="Ready for Release in Prod","Blocked in Prod",IF(C60="RELEASED IN PROD","Released",IF(LEFT(D60,3)="Yes","Blocked - Build/QA",IF(C60="NOT STARTED","Not Started",C60))))</f>
        <v>Not Started</v>
      </c>
    </row>
    <row r="61" spans="1:5">
      <c r="A61" t="s">
        <v>270</v>
      </c>
      <c r="B61" t="s">
        <v>490</v>
      </c>
      <c r="C61" t="s">
        <v>232</v>
      </c>
      <c r="E61" t="str">
        <f>IF(C61="Ready for Release in Prod","Blocked in Prod",IF(C61="RELEASED IN PROD","Released",IF(LEFT(D61,3)="Yes","Blocked - Build/QA",IF(C61="NOT STARTED","Not Started",C61))))</f>
        <v>Not Started</v>
      </c>
    </row>
    <row r="62" spans="1:5">
      <c r="A62" t="s">
        <v>272</v>
      </c>
      <c r="B62" t="s">
        <v>490</v>
      </c>
      <c r="C62" t="s">
        <v>232</v>
      </c>
      <c r="E62" t="str">
        <f>IF(C62="Ready for Release in Prod","Blocked in Prod",IF(C62="RELEASED IN PROD","Released",IF(LEFT(D62,3)="Yes","Blocked - Build/QA",IF(C62="NOT STARTED","Not Started",C62))))</f>
        <v>Not Started</v>
      </c>
    </row>
    <row r="63" spans="1:5">
      <c r="A63" t="s">
        <v>273</v>
      </c>
      <c r="B63" t="s">
        <v>490</v>
      </c>
      <c r="C63" t="s">
        <v>232</v>
      </c>
      <c r="E63" t="str">
        <f>IF(C63="Ready for Release in Prod","Blocked in Prod",IF(C63="RELEASED IN PROD","Released",IF(LEFT(D63,3)="Yes","Blocked - Build/QA",IF(C63="NOT STARTED","Not Started",C63))))</f>
        <v>Not Started</v>
      </c>
    </row>
    <row r="64" spans="1:5">
      <c r="A64" t="s">
        <v>275</v>
      </c>
      <c r="B64" t="s">
        <v>490</v>
      </c>
      <c r="C64" t="s">
        <v>232</v>
      </c>
      <c r="E64" t="str">
        <f>IF(C64="Ready for Release in Prod","Blocked in Prod",IF(C64="RELEASED IN PROD","Released",IF(LEFT(D64,3)="Yes","Blocked - Build/QA",IF(C64="NOT STARTED","Not Started",C64))))</f>
        <v>Not Started</v>
      </c>
    </row>
    <row r="65" spans="1:5">
      <c r="A65" t="s">
        <v>278</v>
      </c>
      <c r="B65" t="s">
        <v>490</v>
      </c>
      <c r="C65" t="s">
        <v>232</v>
      </c>
      <c r="E65" t="str">
        <f>IF(C65="Ready for Release in Prod","Blocked in Prod",IF(C65="RELEASED IN PROD","Released",IF(LEFT(D65,3)="Yes","Blocked - Build/QA",IF(C65="NOT STARTED","Not Started",C65))))</f>
        <v>Not Started</v>
      </c>
    </row>
    <row r="66" spans="1:5">
      <c r="A66" t="s">
        <v>280</v>
      </c>
      <c r="B66" t="s">
        <v>490</v>
      </c>
      <c r="C66" t="s">
        <v>232</v>
      </c>
      <c r="E66" t="str">
        <f>IF(C66="Ready for Release in Prod","Blocked in Prod",IF(C66="RELEASED IN PROD","Released",IF(LEFT(D66,3)="Yes","Blocked - Build/QA",IF(C66="NOT STARTED","Not Started",C66))))</f>
        <v>Not Started</v>
      </c>
    </row>
    <row r="67" spans="1:5">
      <c r="A67" t="s">
        <v>282</v>
      </c>
      <c r="B67" t="s">
        <v>490</v>
      </c>
      <c r="C67" t="s">
        <v>232</v>
      </c>
      <c r="E67" t="str">
        <f>IF(C67="Ready for Release in Prod","Blocked in Prod",IF(C67="RELEASED IN PROD","Released",IF(LEFT(D67,3)="Yes","Blocked - Build/QA",IF(C67="NOT STARTED","Not Started",C67))))</f>
        <v>Not Started</v>
      </c>
    </row>
    <row r="68" spans="1:5">
      <c r="A68" t="s">
        <v>283</v>
      </c>
      <c r="B68" t="s">
        <v>490</v>
      </c>
      <c r="C68" t="s">
        <v>232</v>
      </c>
      <c r="E68" t="str">
        <f>IF(C68="Ready for Release in Prod","Blocked in Prod",IF(C68="RELEASED IN PROD","Released",IF(LEFT(D68,3)="Yes","Blocked - Build/QA",IF(C68="NOT STARTED","Not Started",C68))))</f>
        <v>Not Started</v>
      </c>
    </row>
    <row r="69" spans="1:5">
      <c r="A69" t="s">
        <v>286</v>
      </c>
      <c r="B69" t="s">
        <v>490</v>
      </c>
      <c r="C69" t="s">
        <v>232</v>
      </c>
      <c r="E69" t="str">
        <f>IF(C69="Ready for Release in Prod","Blocked in Prod",IF(C69="RELEASED IN PROD","Released",IF(LEFT(D69,3)="Yes","Blocked - Build/QA",IF(C69="NOT STARTED","Not Started",C69))))</f>
        <v>Not Started</v>
      </c>
    </row>
    <row r="70" spans="1:5">
      <c r="A70" t="s">
        <v>288</v>
      </c>
      <c r="B70" t="s">
        <v>490</v>
      </c>
      <c r="C70" t="s">
        <v>232</v>
      </c>
      <c r="E70" t="str">
        <f>IF(C70="Ready for Release in Prod","Blocked in Prod",IF(C70="RELEASED IN PROD","Released",IF(LEFT(D70,3)="Yes","Blocked - Build/QA",IF(C70="NOT STARTED","Not Started",C70))))</f>
        <v>Not Started</v>
      </c>
    </row>
    <row r="71" spans="1:5">
      <c r="A71" t="s">
        <v>291</v>
      </c>
      <c r="B71" t="s">
        <v>490</v>
      </c>
      <c r="C71" t="s">
        <v>232</v>
      </c>
      <c r="E71" t="str">
        <f>IF(C71="Ready for Release in Prod","Blocked in Prod",IF(C71="RELEASED IN PROD","Released",IF(LEFT(D71,3)="Yes","Blocked - Build/QA",IF(C71="NOT STARTED","Not Started",C71))))</f>
        <v>Not Started</v>
      </c>
    </row>
    <row r="72" spans="1:5">
      <c r="A72" t="s">
        <v>293</v>
      </c>
      <c r="B72" t="s">
        <v>490</v>
      </c>
      <c r="C72" t="s">
        <v>232</v>
      </c>
      <c r="E72" t="str">
        <f>IF(C72="Ready for Release in Prod","Blocked in Prod",IF(C72="RELEASED IN PROD","Released",IF(LEFT(D72,3)="Yes","Blocked - Build/QA",IF(C72="NOT STARTED","Not Started",C72))))</f>
        <v>Not Started</v>
      </c>
    </row>
    <row r="73" spans="1:5">
      <c r="A73" t="s">
        <v>296</v>
      </c>
      <c r="B73" t="s">
        <v>490</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Geetha S</cp:lastModifiedBy>
  <cp:revision>0</cp:revision>
  <dcterms:created xsi:type="dcterms:W3CDTF">2026-07-21T14:32:59Z</dcterms:created>
  <dcterms:modified xsi:type="dcterms:W3CDTF">2026-10-01T16:45:48Z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