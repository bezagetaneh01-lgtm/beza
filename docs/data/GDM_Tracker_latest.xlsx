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903" documentId="13_ncr:1_{52745E9B-3AA1-4770-AAD3-E6166BFC13AE}" xr6:coauthVersionLast="47" xr6:coauthVersionMax="47" xr10:uidLastSave="{95252849-80ED-4EAF-BA80-4ED42AB6659A}"/>
  <bookViews>
    <workbookView xWindow="-28920" yWindow="-105" windowWidth="29040" windowHeight="15720" tabRatio="500" firstSheet="6" activeTab="6"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r:id="rId7"/>
    <sheet name="Data" sheetId="9" state="hidden" r:id="rId8"/>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<sst xmlns="http://schemas.openxmlformats.org/spreadsheetml/2006/main" count="3551" uniqueCount="496">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</sst>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November"/>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AJ1" activePane="topRight" state="frozen"/>
      <selection pane="topRight" activeCell="K34" sqref="K3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214</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216</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217</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218</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220</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221</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222</v>
      </c>
      <c r="C67" s="33" t="s">
        <v>223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225</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234</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235</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v>46296</v>
      </c>
      <c r="X71" s="46"/>
      <c r="Y71" s="46"/>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238</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240</v>
      </c>
      <c r="J73" s="31" t="s">
        <v>76</v>
      </c>
      <c r="K73" s="43">
        <v>46304</v>
      </c>
      <c r="L73" s="43">
        <v>46259</v>
      </c>
      <c r="M73" s="46">
        <v>46259</v>
      </c>
      <c r="N73" s="44" t="s">
        <v>45</v>
      </c>
      <c r="O73" s="44" t="s">
        <v>193</v>
      </c>
      <c r="P73" s="65" t="s">
        <v>77</v>
      </c>
      <c r="Q73" s="43">
        <v>46313</v>
      </c>
      <c r="R73" s="43">
        <v>46289</v>
      </c>
      <c r="S73" s="43">
        <v>46289</v>
      </c>
      <c r="T73" s="69" t="s">
        <v>241</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242</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240</v>
      </c>
      <c r="J74" s="53" t="s">
        <v>226</v>
      </c>
      <c r="K74" s="43">
        <v>46304</v>
      </c>
      <c r="L74" s="43">
        <v>46269</v>
      </c>
      <c r="M74" s="44">
        <v>46269</v>
      </c>
      <c r="N74" s="44"/>
      <c r="O74" s="44" t="s">
        <v>193</v>
      </c>
      <c r="P74" s="74" t="s">
        <v>77</v>
      </c>
      <c r="Q74" s="43">
        <v>46313</v>
      </c>
      <c r="R74" s="43">
        <v>46300</v>
      </c>
      <c r="S74" s="44"/>
      <c r="T74" s="69" t="s">
        <v>241</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249</v>
      </c>
      <c r="P78" s="150" t="s">
        <v>60</v>
      </c>
      <c r="Q78" s="148">
        <v>46313</v>
      </c>
      <c r="R78" s="148">
        <v>46296</v>
      </c>
      <c r="S78" s="149"/>
      <c r="T78" s="151" t="s">
        <v>241</v>
      </c>
      <c r="U78" s="152"/>
      <c r="V78" s="153">
        <v>46316</v>
      </c>
      <c r="W78" s="148">
        <v>46296</v>
      </c>
      <c r="X78" s="144"/>
      <c r="Y78" s="144"/>
      <c r="Z78" s="154"/>
      <c r="AA78" s="153">
        <v>46325</v>
      </c>
      <c r="AB78" s="148"/>
      <c r="AC78" s="148"/>
      <c r="AD78" s="144" t="s">
        <v>186</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193</v>
      </c>
      <c r="P79" s="74" t="s">
        <v>60</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249</v>
      </c>
      <c r="P80" s="74" t="s">
        <v>60</v>
      </c>
      <c r="Q80" s="43">
        <v>46313</v>
      </c>
      <c r="R80" s="43"/>
      <c r="S80" s="44"/>
      <c r="T80" s="69" t="s">
        <v>241</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249</v>
      </c>
      <c r="P82" s="74" t="s">
        <v>77</v>
      </c>
      <c r="Q82" s="43">
        <v>46313</v>
      </c>
      <c r="R82" s="43">
        <v>46304</v>
      </c>
      <c r="S82" s="44"/>
      <c r="T82" s="68" t="s">
        <v>256</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249</v>
      </c>
      <c r="P83" s="74" t="s">
        <v>77</v>
      </c>
      <c r="Q83" s="43">
        <v>46313</v>
      </c>
      <c r="R83" s="43">
        <v>46294</v>
      </c>
      <c r="S83" s="44">
        <v>46294</v>
      </c>
      <c r="T83" s="68" t="s">
        <v>256</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240</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207</v>
      </c>
      <c r="G85" s="31"/>
      <c r="H85" s="49">
        <v>46325</v>
      </c>
      <c r="I85" s="55" t="s">
        <v>240</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265</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265</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265</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265</v>
      </c>
      <c r="J89" s="53" t="s">
        <v>226</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265</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265</v>
      </c>
      <c r="J98" s="53" t="s">
        <v>288</v>
      </c>
      <c r="K98" s="49">
        <v>46332</v>
      </c>
      <c r="L98" s="49">
        <v>46332</v>
      </c>
      <c r="M98" s="44">
        <v>46296</v>
      </c>
      <c r="N98" s="44" t="s">
        <v>146</v>
      </c>
      <c r="O98" s="36" t="s">
        <v>273</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330</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Z71 U2:Z54 Z55 U55:X55 U56:Z58 U60:Z70 Z59 U59:X59 U71:W71 U72:Z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217"/>
      <c r="C4" s="218"/>
      <c r="D4" s="218"/>
      <c r="E4" s="218"/>
    </row>
    <row r="6" spans="1:5">
      <c r="A6" s="42" t="s">
        <v>0</v>
      </c>
      <c r="B6" s="215" t="str">
        <f>IF($B$4="","",IFERROR(INDEX('Combined Delivery Data'!$A:$A,MATCH($B$4,'Combined Delivery Data'!$B:$B,0)),""))</f>
        <v/>
      </c>
      <c r="C6" s="219"/>
      <c r="D6" s="219"/>
      <c r="E6" s="220"/>
    </row>
    <row r="7" spans="1:5">
      <c r="A7" s="42" t="s">
        <v>334</v>
      </c>
      <c r="B7" s="215" t="str">
        <f>IF($B$4="","",IFERROR(INDEX('Combined Delivery Data'!$C:$C,MATCH($B$4,'Combined Delivery Data'!$B:$B,0)),""))</f>
        <v/>
      </c>
      <c r="C7" s="219"/>
      <c r="D7" s="219"/>
      <c r="E7" s="220"/>
    </row>
    <row r="8" spans="1:5">
      <c r="A8" s="42" t="s">
        <v>3</v>
      </c>
      <c r="B8" s="215" t="str">
        <f>IF($B$4="","",IFERROR(INDEX('Combined Delivery Data'!$D:$D,MATCH($B$4,'Combined Delivery Data'!$B:$B,0)),""))</f>
        <v/>
      </c>
      <c r="C8" s="219"/>
      <c r="D8" s="219"/>
      <c r="E8" s="220"/>
    </row>
    <row r="9" spans="1:5">
      <c r="A9" s="42" t="s">
        <v>4</v>
      </c>
      <c r="B9" s="215" t="str">
        <f>IF($B$4="","",IFERROR(INDEX('Combined Delivery Data'!$E:$E,MATCH($B$4,'Combined Delivery Data'!$B:$B,0)),""))</f>
        <v/>
      </c>
      <c r="C9" s="219"/>
      <c r="D9" s="219"/>
      <c r="E9" s="220"/>
    </row>
    <row r="10" spans="1:5">
      <c r="A10" s="42" t="s">
        <v>5</v>
      </c>
      <c r="B10" s="215" t="str">
        <f>IF($B$4="","",IFERROR(INDEX('Combined Delivery Data'!$F:$F,MATCH($B$4,'Combined Delivery Data'!$B:$B,0)),""))</f>
        <v/>
      </c>
      <c r="C10" s="219"/>
      <c r="D10" s="219"/>
      <c r="E10" s="220"/>
    </row>
    <row r="11" spans="1:5">
      <c r="A11" s="42" t="s">
        <v>9</v>
      </c>
      <c r="B11" s="215" t="str">
        <f>IF($B$4="","",IFERROR(INDEX('Combined Delivery Data'!$J:$J,MATCH($B$4,'Combined Delivery Data'!$B:$B,0)),""))</f>
        <v/>
      </c>
      <c r="C11" s="219"/>
      <c r="D11" s="219"/>
      <c r="E11" s="220"/>
    </row>
    <row r="12" spans="1:5">
      <c r="A12" s="42" t="s">
        <v>15</v>
      </c>
      <c r="B12" s="215" t="str">
        <f>IF($B$4="","",IFERROR(INDEX('Combined Delivery Data'!$P:$P,MATCH($B$4,'Combined Delivery Data'!$B:$B,0)),""))</f>
        <v/>
      </c>
      <c r="C12" s="219"/>
      <c r="D12" s="219"/>
      <c r="E12" s="220"/>
    </row>
    <row r="13" spans="1:5">
      <c r="A13" s="42" t="s">
        <v>20</v>
      </c>
      <c r="B13" s="215" t="str">
        <f>IF($B$4="","",IFERROR(INDEX('Combined Delivery Data'!$U:$U,MATCH($B$4,'Combined Delivery Data'!$B:$B,0)),""))</f>
        <v/>
      </c>
      <c r="C13" s="219"/>
      <c r="D13" s="219"/>
      <c r="E13" s="220"/>
    </row>
    <row r="14" spans="1:5">
      <c r="A14" s="42" t="s">
        <v>335</v>
      </c>
      <c r="B14" s="214" t="str">
        <f>IF($B$4="","",IFERROR(INDEX('Combined Delivery Data'!$K:$K,MATCH($B$4,'Combined Delivery Data'!$B:$B,0)),""))</f>
        <v/>
      </c>
      <c r="C14" s="219"/>
      <c r="D14" s="219"/>
      <c r="E14" s="220"/>
    </row>
    <row r="15" spans="1:5">
      <c r="A15" s="42" t="s">
        <v>336</v>
      </c>
      <c r="B15" s="214" t="str">
        <f>IF($B$4="","",IFERROR(INDEX('Combined Delivery Data'!$L:$L,MATCH($B$4,'Combined Delivery Data'!$B:$B,0)),""))</f>
        <v/>
      </c>
      <c r="C15" s="219"/>
      <c r="D15" s="219"/>
      <c r="E15" s="220"/>
    </row>
    <row r="16" spans="1:5">
      <c r="A16" s="42" t="s">
        <v>337</v>
      </c>
      <c r="B16" s="214" t="str">
        <f>IF($B$4="","",IFERROR(INDEX('Combined Delivery Data'!$M:$M,MATCH($B$4,'Combined Delivery Data'!$B:$B,0)),""))</f>
        <v/>
      </c>
      <c r="C16" s="219"/>
      <c r="D16" s="219"/>
      <c r="E16" s="220"/>
    </row>
    <row r="17" spans="1:5">
      <c r="A17" s="42" t="s">
        <v>338</v>
      </c>
      <c r="B17" s="214" t="str">
        <f>IF($B$4="","",IFERROR(INDEX('Combined Delivery Data'!$O:$O,MATCH($B$4,'Combined Delivery Data'!$B:$B,0)),""))</f>
        <v/>
      </c>
      <c r="C17" s="219"/>
      <c r="D17" s="219"/>
      <c r="E17" s="220"/>
    </row>
    <row r="18" spans="1:5">
      <c r="A18" s="42" t="s">
        <v>339</v>
      </c>
      <c r="B18" s="214" t="str">
        <f>IF($B$4="","",IFERROR(INDEX('Combined Delivery Data'!$Q:$Q,MATCH($B$4,'Combined Delivery Data'!$B:$B,0)),""))</f>
        <v/>
      </c>
      <c r="C18" s="219"/>
      <c r="D18" s="219"/>
      <c r="E18" s="220"/>
    </row>
    <row r="19" spans="1:5">
      <c r="A19" s="42" t="s">
        <v>340</v>
      </c>
      <c r="B19" s="214" t="str">
        <f>IF($B$4="","",IFERROR(INDEX('Combined Delivery Data'!$R:$R,MATCH($B$4,'Combined Delivery Data'!$B:$B,0)),""))</f>
        <v/>
      </c>
      <c r="C19" s="219"/>
      <c r="D19" s="219"/>
      <c r="E19" s="220"/>
    </row>
    <row r="20" spans="1:5">
      <c r="A20" s="42" t="s">
        <v>341</v>
      </c>
      <c r="B20" s="214" t="str">
        <f>IF($B$4="","",IFERROR(INDEX('Combined Delivery Data'!$S:$S,MATCH($B$4,'Combined Delivery Data'!$B:$B,0)),""))</f>
        <v/>
      </c>
      <c r="C20" s="219"/>
      <c r="D20" s="219"/>
      <c r="E20" s="220"/>
    </row>
    <row r="21" spans="1:5">
      <c r="A21" s="42" t="s">
        <v>29</v>
      </c>
      <c r="B21" s="215" t="str">
        <f>IF($B$4="","",IFERROR(INDEX('Combined Delivery Data'!$T:$T,MATCH($B$4,'Combined Delivery Data'!$B:$B,0)),""))</f>
        <v/>
      </c>
      <c r="C21" s="219"/>
      <c r="D21" s="219"/>
      <c r="E21" s="220"/>
    </row>
    <row r="22" spans="1:5">
      <c r="A22" s="42" t="s">
        <v>31</v>
      </c>
      <c r="B22" s="215" t="str">
        <f>IF($B$4="","",IFERROR(INDEX('Combined Delivery Data'!$V:$V,MATCH($B$4,'Combined Delivery Data'!$B:$B,0)),""))</f>
        <v/>
      </c>
      <c r="C22" s="219"/>
      <c r="D22" s="219"/>
      <c r="E22" s="220"/>
    </row>
    <row r="23" spans="1:5">
      <c r="A23" s="42" t="s">
        <v>32</v>
      </c>
      <c r="B23" s="214" t="str">
        <f>IF($B$4="","",IFERROR(INDEX('Combined Delivery Data'!$W:$W,MATCH($B$4,'Combined Delivery Data'!$B:$B,0)),""))</f>
        <v/>
      </c>
      <c r="C23" s="219"/>
      <c r="D23" s="219"/>
      <c r="E23" s="220"/>
    </row>
    <row r="24" spans="1:5">
      <c r="A24" s="42" t="s">
        <v>35</v>
      </c>
      <c r="B24" s="215" t="str">
        <f>IF($B$4="","",IFERROR(INDEX('Combined Delivery Data'!$X:$X,MATCH($B$4,'Combined Delivery Data'!$B:$B,0)),""))</f>
        <v/>
      </c>
      <c r="C24" s="219"/>
      <c r="D24" s="219"/>
      <c r="E24" s="220"/>
    </row>
    <row r="25" spans="1:5">
      <c r="A25" s="42" t="s">
        <v>36</v>
      </c>
      <c r="B25" s="215" t="str">
        <f>IF($B$4="","",IFERROR(INDEX('Combined Delivery Data'!$Z:$Z,MATCH($B$4,'Combined Delivery Data'!$B:$B,0)),""))</f>
        <v/>
      </c>
      <c r="C25" s="219"/>
      <c r="D25" s="219"/>
      <c r="E25" s="220"/>
    </row>
    <row r="26" spans="1:5">
      <c r="A26" s="42" t="s">
        <v>342</v>
      </c>
      <c r="B26" s="215" t="str">
        <f>IF($B$4="","",IFERROR(INDEX('Rework Log'!$Q:$Q,MATCH($B$4,'Rework Log'!$P:$P,0)),""))</f>
        <v/>
      </c>
      <c r="C26" s="219"/>
      <c r="D26" s="219"/>
      <c r="E26" s="220"/>
    </row>
    <row r="27" spans="1:5">
      <c r="A27" s="42" t="s">
        <v>343</v>
      </c>
      <c r="B27" s="215" t="str">
        <f>IF($B$4="","",IFERROR(INDEX('Rework Log'!$R:$R,MATCH($B$4,'Rework Log'!$P:$P,0)),""))</f>
        <v/>
      </c>
      <c r="C27" s="219"/>
      <c r="D27" s="219"/>
      <c r="E27" s="220"/>
    </row>
    <row r="28" spans="1:5">
      <c r="A28" s="42" t="s">
        <v>344</v>
      </c>
      <c r="B28" s="215" t="str">
        <f>IF($B$4="","",IFERROR(INDEX('Rework Log'!$S:$S,MATCH($B$4,'Rework Log'!$P:$P,0)),""))</f>
        <v/>
      </c>
      <c r="C28" s="219"/>
      <c r="D28" s="219"/>
      <c r="E28" s="220"/>
    </row>
    <row r="29" spans="1:5">
      <c r="A29" s="42" t="s">
        <v>345</v>
      </c>
      <c r="B29" s="215" t="str">
        <f>IF($B$4="","",IFERROR(INDEX('Rework Log'!$T:$T,MATCH($B$4,'Rework Log'!$P:$P,0)),""))</f>
        <v/>
      </c>
      <c r="C29" s="219"/>
      <c r="D29" s="219"/>
      <c r="E29" s="220"/>
    </row>
    <row r="30" spans="1:5" ht="15.6" customHeight="1">
      <c r="A30" s="42"/>
      <c r="B30" s="215"/>
      <c r="C30" s="219"/>
      <c r="D30" s="219"/>
      <c r="E30" s="220"/>
    </row>
    <row r="31" spans="1:5" ht="15.6" customHeight="1">
      <c r="A31" s="5" t="s">
        <v>37</v>
      </c>
      <c r="B31" s="221" t="str">
        <f>IF($B$4="","",IFERROR(INDEX('Combined Delivery Data'!$AB:$AB,MATCH($B$4,'Combined Delivery Data'!$B:$B,0)),""))</f>
        <v/>
      </c>
      <c r="C31" s="218"/>
      <c r="D31" s="218"/>
      <c r="E31" s="21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6" t="s">
        <v>346</v>
      </c>
      <c r="B1" s="216"/>
      <c r="C1" s="216"/>
      <c r="D1" s="216"/>
      <c r="E1" s="216"/>
      <c r="F1" s="216"/>
      <c r="G1" s="216"/>
      <c r="H1" s="216"/>
      <c r="I1" s="216"/>
      <c r="J1" s="216"/>
      <c r="K1" s="216"/>
      <c r="L1" s="216"/>
      <c r="M1" s="216"/>
      <c r="P1" s="222" t="s">
        <v>347</v>
      </c>
      <c r="Q1" s="222"/>
      <c r="R1" s="222"/>
      <c r="S1" s="222"/>
      <c r="T1" s="222"/>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164</v>
      </c>
      <c r="D3" s="33" t="s">
        <v>223</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223</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223</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223</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223</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223</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223</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223</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223</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223</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223</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203</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203</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223</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203</v>
      </c>
      <c r="E17" s="31" t="s">
        <v>143</v>
      </c>
      <c r="F17" s="31" t="s">
        <v>376</v>
      </c>
      <c r="G17" s="31" t="s">
        <v>50</v>
      </c>
      <c r="H17" s="32" t="s">
        <v>46</v>
      </c>
      <c r="I17" s="32"/>
      <c r="J17" s="32"/>
      <c r="K17" s="31"/>
      <c r="L17" s="31"/>
      <c r="M17" s="3"/>
      <c r="S17" s="28"/>
    </row>
    <row r="18" spans="1:20">
      <c r="A18" s="33" t="s">
        <v>180</v>
      </c>
      <c r="B18" s="32">
        <v>46261</v>
      </c>
      <c r="C18" s="31" t="s">
        <v>164</v>
      </c>
      <c r="D18" s="31" t="s">
        <v>223</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203</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203</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223</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223</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203</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203</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203</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203</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223</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203</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203</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203</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223</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223</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223</v>
      </c>
      <c r="E33" s="31" t="s">
        <v>198</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223</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203</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223</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223</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223</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203</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164</v>
      </c>
      <c r="D40" s="31" t="s">
        <v>223</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203</v>
      </c>
      <c r="E41" s="31" t="s">
        <v>198</v>
      </c>
      <c r="F41" s="31" t="s">
        <v>404</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208</v>
      </c>
      <c r="B42" s="32">
        <v>46282</v>
      </c>
      <c r="C42" s="31" t="s">
        <v>164</v>
      </c>
      <c r="D42" s="31" t="s">
        <v>223</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164</v>
      </c>
      <c r="D43" s="31" t="s">
        <v>223</v>
      </c>
      <c r="E43" s="31" t="s">
        <v>129</v>
      </c>
      <c r="F43" s="31" t="s">
        <v>407</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203</v>
      </c>
      <c r="E44" s="31" t="s">
        <v>143</v>
      </c>
      <c r="F44" s="31" t="s">
        <v>408</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222</v>
      </c>
      <c r="B45" s="32">
        <v>46295</v>
      </c>
      <c r="C45" s="31" t="s">
        <v>164</v>
      </c>
      <c r="D45" s="31" t="s">
        <v>223</v>
      </c>
      <c r="E45" s="31" t="s">
        <v>129</v>
      </c>
      <c r="F45" s="31" t="s">
        <v>409</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410</v>
      </c>
      <c r="B1" s="218"/>
      <c r="C1" s="218"/>
    </row>
    <row r="2" spans="1:8" ht="14.25" customHeight="1">
      <c r="A2" s="8" t="s">
        <v>0</v>
      </c>
      <c r="B2" s="8" t="s">
        <v>411</v>
      </c>
      <c r="C2" s="8" t="s">
        <v>412</v>
      </c>
      <c r="E2" t="s">
        <v>413</v>
      </c>
      <c r="F2" t="s">
        <v>414</v>
      </c>
      <c r="G2" t="s">
        <v>415</v>
      </c>
      <c r="H2" t="s">
        <v>416</v>
      </c>
    </row>
    <row r="3" spans="1:8" ht="14.25" customHeight="1">
      <c r="A3" s="11" t="s">
        <v>40</v>
      </c>
      <c r="B3" s="11">
        <v>8</v>
      </c>
      <c r="C3" s="12">
        <v>46142</v>
      </c>
      <c r="E3" t="s">
        <v>417</v>
      </c>
      <c r="F3" s="28">
        <v>46233</v>
      </c>
      <c r="G3" s="28">
        <v>46274</v>
      </c>
    </row>
    <row r="4" spans="1:8" ht="14.25" customHeight="1">
      <c r="A4" s="11" t="s">
        <v>40</v>
      </c>
      <c r="B4" s="11">
        <v>10</v>
      </c>
      <c r="C4" s="12">
        <v>46172</v>
      </c>
      <c r="E4" t="s">
        <v>418</v>
      </c>
      <c r="F4" s="28">
        <v>46264</v>
      </c>
      <c r="G4" s="28">
        <v>46295</v>
      </c>
    </row>
    <row r="5" spans="1:8" ht="14.25" customHeight="1">
      <c r="A5" s="11" t="s">
        <v>40</v>
      </c>
      <c r="B5" s="11">
        <v>9</v>
      </c>
      <c r="C5" s="12">
        <v>46203</v>
      </c>
      <c r="E5" t="s">
        <v>419</v>
      </c>
      <c r="F5" s="28">
        <v>46295</v>
      </c>
      <c r="G5" s="28">
        <v>46325</v>
      </c>
    </row>
    <row r="6" spans="1:8" ht="14.25" customHeight="1">
      <c r="A6" s="11" t="s">
        <v>126</v>
      </c>
      <c r="B6" s="11">
        <v>15</v>
      </c>
      <c r="C6" s="12">
        <v>46233</v>
      </c>
      <c r="E6" t="s">
        <v>420</v>
      </c>
      <c r="F6" s="28">
        <v>46325</v>
      </c>
      <c r="G6" s="28">
        <v>46356</v>
      </c>
    </row>
    <row r="7" spans="1:8" ht="14.25" customHeight="1">
      <c r="A7" s="11" t="s">
        <v>126</v>
      </c>
      <c r="B7" s="11">
        <v>15</v>
      </c>
      <c r="C7" s="12">
        <v>46264</v>
      </c>
      <c r="E7" t="s">
        <v>421</v>
      </c>
      <c r="F7" s="28">
        <v>46356</v>
      </c>
      <c r="G7" s="28">
        <v>46387</v>
      </c>
    </row>
    <row r="8" spans="1:8" ht="14.25" customHeight="1">
      <c r="A8" s="11" t="s">
        <v>126</v>
      </c>
      <c r="B8" s="11">
        <v>17</v>
      </c>
      <c r="C8" s="12">
        <v>46295</v>
      </c>
      <c r="E8" t="s">
        <v>422</v>
      </c>
      <c r="F8" s="28">
        <v>46387</v>
      </c>
      <c r="G8" s="28">
        <v>46417</v>
      </c>
    </row>
    <row r="9" spans="1:8" ht="14.25" customHeight="1">
      <c r="A9" s="11" t="s">
        <v>126</v>
      </c>
      <c r="B9" s="11">
        <v>20</v>
      </c>
      <c r="C9" s="12">
        <v>46325</v>
      </c>
      <c r="E9" t="s">
        <v>423</v>
      </c>
      <c r="F9" s="28">
        <v>46417</v>
      </c>
      <c r="G9" s="28">
        <v>46445</v>
      </c>
    </row>
    <row r="10" spans="1:8" ht="14.25" customHeight="1">
      <c r="A10" s="11" t="s">
        <v>126</v>
      </c>
      <c r="B10" s="11">
        <v>20</v>
      </c>
      <c r="C10" s="12">
        <v>46356</v>
      </c>
      <c r="E10" t="s">
        <v>424</v>
      </c>
      <c r="F10" s="28">
        <v>46446</v>
      </c>
      <c r="G10" s="28">
        <v>46477</v>
      </c>
    </row>
    <row r="11" spans="1:8" ht="14.25" customHeight="1">
      <c r="A11" s="11" t="s">
        <v>425</v>
      </c>
      <c r="B11" s="11">
        <v>18</v>
      </c>
      <c r="C11" s="12">
        <v>46417</v>
      </c>
      <c r="E11" t="s">
        <v>426</v>
      </c>
      <c r="F11" s="28">
        <v>46477</v>
      </c>
      <c r="G11" s="28">
        <v>46480</v>
      </c>
    </row>
    <row r="12" spans="1:8" ht="14.25" customHeight="1">
      <c r="A12" s="11" t="s">
        <v>425</v>
      </c>
      <c r="B12" s="11">
        <v>18</v>
      </c>
      <c r="C12" s="12">
        <v>46446</v>
      </c>
    </row>
    <row r="13" spans="1:8" ht="14.25" customHeight="1">
      <c r="A13" s="11" t="s">
        <v>425</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427</v>
      </c>
      <c r="B1" s="218"/>
      <c r="C1" s="218"/>
      <c r="D1" s="218"/>
      <c r="E1" s="218"/>
      <c r="F1" s="218"/>
      <c r="G1" s="218"/>
      <c r="H1" s="218"/>
      <c r="I1" s="218"/>
      <c r="J1" s="218"/>
    </row>
    <row r="2" spans="1:10" ht="27" customHeight="1">
      <c r="A2" s="8" t="s">
        <v>0</v>
      </c>
      <c r="B2" s="8" t="s">
        <v>428</v>
      </c>
      <c r="C2" s="8" t="s">
        <v>1</v>
      </c>
      <c r="D2" s="8" t="s">
        <v>429</v>
      </c>
      <c r="E2" s="8" t="s">
        <v>430</v>
      </c>
      <c r="F2" s="8" t="s">
        <v>6</v>
      </c>
      <c r="G2" s="8" t="s">
        <v>5</v>
      </c>
      <c r="H2" s="8" t="s">
        <v>431</v>
      </c>
      <c r="I2" s="8" t="s">
        <v>412</v>
      </c>
      <c r="J2" s="8" t="s">
        <v>432</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433</v>
      </c>
      <c r="D13" s="9" t="s">
        <v>434</v>
      </c>
      <c r="E13" s="9" t="s">
        <v>46</v>
      </c>
      <c r="F13" s="9"/>
      <c r="G13" s="9"/>
      <c r="H13" s="10"/>
      <c r="I13" s="10">
        <v>46115</v>
      </c>
      <c r="J13" s="10">
        <v>46115</v>
      </c>
    </row>
    <row r="14" spans="1:10" ht="14.25" customHeight="1">
      <c r="A14" s="9" t="s">
        <v>40</v>
      </c>
      <c r="B14" s="9" t="s">
        <v>203</v>
      </c>
      <c r="C14" s="9" t="s">
        <v>433</v>
      </c>
      <c r="D14" s="9" t="s">
        <v>434</v>
      </c>
      <c r="E14" s="9" t="s">
        <v>46</v>
      </c>
      <c r="F14" s="9"/>
      <c r="G14" s="9"/>
      <c r="H14" s="10">
        <v>46115</v>
      </c>
      <c r="I14" s="10">
        <v>46120</v>
      </c>
      <c r="J14" s="10">
        <v>46120</v>
      </c>
    </row>
    <row r="15" spans="1:10" ht="14.25" customHeight="1">
      <c r="A15" s="9" t="s">
        <v>40</v>
      </c>
      <c r="B15" s="9" t="s">
        <v>164</v>
      </c>
      <c r="C15" s="9" t="s">
        <v>433</v>
      </c>
      <c r="D15" s="9" t="s">
        <v>434</v>
      </c>
      <c r="E15" s="9" t="s">
        <v>46</v>
      </c>
      <c r="F15" s="9"/>
      <c r="G15" s="9"/>
      <c r="H15" s="10">
        <v>46120</v>
      </c>
      <c r="I15" s="10">
        <v>46122</v>
      </c>
      <c r="J15" s="10">
        <v>46122</v>
      </c>
    </row>
    <row r="16" spans="1:10" ht="14.25" customHeight="1">
      <c r="A16" s="9" t="s">
        <v>40</v>
      </c>
      <c r="B16" s="9" t="s">
        <v>181</v>
      </c>
      <c r="C16" s="9" t="s">
        <v>433</v>
      </c>
      <c r="D16" s="9" t="s">
        <v>434</v>
      </c>
      <c r="E16" s="9" t="s">
        <v>46</v>
      </c>
      <c r="F16" s="9"/>
      <c r="G16" s="9"/>
      <c r="H16" s="10">
        <v>46122</v>
      </c>
      <c r="I16" s="10"/>
      <c r="J16" s="10"/>
    </row>
    <row r="17" spans="1:10" ht="14.25" customHeight="1">
      <c r="A17" s="9" t="s">
        <v>40</v>
      </c>
      <c r="B17" s="9" t="s">
        <v>42</v>
      </c>
      <c r="C17" s="9" t="s">
        <v>433</v>
      </c>
      <c r="D17" s="9" t="s">
        <v>434</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434</v>
      </c>
      <c r="E23" s="9" t="s">
        <v>46</v>
      </c>
      <c r="F23" s="9"/>
      <c r="G23" s="9"/>
      <c r="H23" s="10"/>
      <c r="I23" s="10">
        <v>46115</v>
      </c>
      <c r="J23" s="10">
        <v>46115</v>
      </c>
    </row>
    <row r="24" spans="1:10" ht="14.25" customHeight="1">
      <c r="A24" s="9" t="s">
        <v>40</v>
      </c>
      <c r="B24" s="9" t="s">
        <v>203</v>
      </c>
      <c r="C24" s="9" t="s">
        <v>64</v>
      </c>
      <c r="D24" s="9" t="s">
        <v>434</v>
      </c>
      <c r="E24" s="9" t="s">
        <v>46</v>
      </c>
      <c r="F24" s="9"/>
      <c r="G24" s="9"/>
      <c r="H24" s="10">
        <v>46115</v>
      </c>
      <c r="I24" s="10">
        <v>46120</v>
      </c>
      <c r="J24" s="10">
        <v>46120</v>
      </c>
    </row>
    <row r="25" spans="1:10" ht="14.25" customHeight="1">
      <c r="A25" s="9" t="s">
        <v>40</v>
      </c>
      <c r="B25" s="9" t="s">
        <v>164</v>
      </c>
      <c r="C25" s="9" t="s">
        <v>64</v>
      </c>
      <c r="D25" s="9" t="s">
        <v>434</v>
      </c>
      <c r="E25" s="9" t="s">
        <v>46</v>
      </c>
      <c r="F25" s="9"/>
      <c r="G25" s="9"/>
      <c r="H25" s="10">
        <v>46120</v>
      </c>
      <c r="I25" s="10">
        <v>46122</v>
      </c>
      <c r="J25" s="10">
        <v>46122</v>
      </c>
    </row>
    <row r="26" spans="1:10" ht="14.25" customHeight="1">
      <c r="A26" s="9" t="s">
        <v>40</v>
      </c>
      <c r="B26" s="9" t="s">
        <v>181</v>
      </c>
      <c r="C26" s="9" t="s">
        <v>64</v>
      </c>
      <c r="D26" s="9" t="s">
        <v>434</v>
      </c>
      <c r="E26" s="9" t="s">
        <v>46</v>
      </c>
      <c r="F26" s="9"/>
      <c r="G26" s="9"/>
      <c r="H26" s="10">
        <v>46122</v>
      </c>
      <c r="I26" s="10"/>
      <c r="J26" s="10"/>
    </row>
    <row r="27" spans="1:10" ht="14.25" customHeight="1">
      <c r="A27" s="9" t="s">
        <v>40</v>
      </c>
      <c r="B27" s="9" t="s">
        <v>42</v>
      </c>
      <c r="C27" s="9" t="s">
        <v>64</v>
      </c>
      <c r="D27" s="9" t="s">
        <v>434</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434</v>
      </c>
      <c r="E33" s="9" t="s">
        <v>60</v>
      </c>
      <c r="F33" s="9"/>
      <c r="G33" s="9"/>
      <c r="H33" s="10"/>
      <c r="I33" s="10">
        <v>46122</v>
      </c>
      <c r="J33" s="10">
        <v>46122</v>
      </c>
    </row>
    <row r="34" spans="1:10" ht="14.25" customHeight="1">
      <c r="A34" s="9" t="s">
        <v>40</v>
      </c>
      <c r="B34" s="9" t="s">
        <v>203</v>
      </c>
      <c r="C34" s="9" t="s">
        <v>70</v>
      </c>
      <c r="D34" s="9" t="s">
        <v>434</v>
      </c>
      <c r="E34" s="9" t="s">
        <v>60</v>
      </c>
      <c r="F34" s="9"/>
      <c r="G34" s="9"/>
      <c r="H34" s="10">
        <v>46122</v>
      </c>
      <c r="I34" s="10">
        <v>46126</v>
      </c>
      <c r="J34" s="10">
        <v>46126</v>
      </c>
    </row>
    <row r="35" spans="1:10" ht="14.25" customHeight="1">
      <c r="A35" s="9" t="s">
        <v>40</v>
      </c>
      <c r="B35" s="9" t="s">
        <v>164</v>
      </c>
      <c r="C35" s="9" t="s">
        <v>70</v>
      </c>
      <c r="D35" s="9" t="s">
        <v>434</v>
      </c>
      <c r="E35" s="9" t="s">
        <v>60</v>
      </c>
      <c r="F35" s="9"/>
      <c r="G35" s="9"/>
      <c r="H35" s="10">
        <v>46126</v>
      </c>
      <c r="I35" s="10">
        <v>46122</v>
      </c>
      <c r="J35" s="10">
        <v>46122</v>
      </c>
    </row>
    <row r="36" spans="1:10" ht="14.25" customHeight="1">
      <c r="A36" s="9" t="s">
        <v>40</v>
      </c>
      <c r="B36" s="9" t="s">
        <v>181</v>
      </c>
      <c r="C36" s="9" t="s">
        <v>70</v>
      </c>
      <c r="D36" s="9" t="s">
        <v>434</v>
      </c>
      <c r="E36" s="9" t="s">
        <v>60</v>
      </c>
      <c r="F36" s="9"/>
      <c r="G36" s="9"/>
      <c r="H36" s="10">
        <v>46122</v>
      </c>
      <c r="I36" s="10"/>
      <c r="J36" s="10"/>
    </row>
    <row r="37" spans="1:10" ht="14.25" customHeight="1">
      <c r="A37" s="9" t="s">
        <v>40</v>
      </c>
      <c r="B37" s="9" t="s">
        <v>42</v>
      </c>
      <c r="C37" s="9" t="s">
        <v>70</v>
      </c>
      <c r="D37" s="9" t="s">
        <v>434</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434</v>
      </c>
      <c r="E48" s="9" t="s">
        <v>60</v>
      </c>
      <c r="F48" s="9"/>
      <c r="G48" s="9"/>
      <c r="H48" s="10"/>
      <c r="I48" s="10"/>
      <c r="J48" s="10"/>
    </row>
    <row r="49" spans="1:10" ht="14.25" customHeight="1">
      <c r="A49" s="9" t="s">
        <v>40</v>
      </c>
      <c r="B49" s="9" t="s">
        <v>203</v>
      </c>
      <c r="C49" s="9" t="s">
        <v>97</v>
      </c>
      <c r="D49" s="9" t="s">
        <v>434</v>
      </c>
      <c r="E49" s="9" t="s">
        <v>60</v>
      </c>
      <c r="F49" s="9"/>
      <c r="G49" s="9"/>
      <c r="H49" s="10"/>
      <c r="I49" s="10">
        <v>46139</v>
      </c>
      <c r="J49" s="10">
        <v>46139</v>
      </c>
    </row>
    <row r="50" spans="1:10" ht="14.25" customHeight="1">
      <c r="A50" s="9" t="s">
        <v>40</v>
      </c>
      <c r="B50" s="9" t="s">
        <v>164</v>
      </c>
      <c r="C50" s="9" t="s">
        <v>97</v>
      </c>
      <c r="D50" s="9" t="s">
        <v>434</v>
      </c>
      <c r="E50" s="9" t="s">
        <v>60</v>
      </c>
      <c r="F50" s="9"/>
      <c r="G50" s="9"/>
      <c r="H50" s="10">
        <v>46139</v>
      </c>
      <c r="I50" s="10">
        <v>46139</v>
      </c>
      <c r="J50" s="10">
        <v>46139</v>
      </c>
    </row>
    <row r="51" spans="1:10" ht="14.25" customHeight="1">
      <c r="A51" s="9" t="s">
        <v>40</v>
      </c>
      <c r="B51" s="9" t="s">
        <v>181</v>
      </c>
      <c r="C51" s="9" t="s">
        <v>97</v>
      </c>
      <c r="D51" s="9" t="s">
        <v>434</v>
      </c>
      <c r="E51" s="9" t="s">
        <v>60</v>
      </c>
      <c r="F51" s="9"/>
      <c r="G51" s="9"/>
      <c r="H51" s="10">
        <v>46139</v>
      </c>
      <c r="I51" s="10"/>
      <c r="J51" s="10"/>
    </row>
    <row r="52" spans="1:10" ht="14.25" customHeight="1">
      <c r="A52" s="9" t="s">
        <v>40</v>
      </c>
      <c r="B52" s="9" t="s">
        <v>42</v>
      </c>
      <c r="C52" s="9" t="s">
        <v>97</v>
      </c>
      <c r="D52" s="9" t="s">
        <v>434</v>
      </c>
      <c r="E52" s="9" t="s">
        <v>60</v>
      </c>
      <c r="F52" s="9"/>
      <c r="G52" s="9"/>
      <c r="H52" s="10"/>
      <c r="I52" s="10"/>
      <c r="J52" s="10"/>
    </row>
    <row r="53" spans="1:10" ht="14.25" customHeight="1">
      <c r="A53" s="9" t="s">
        <v>40</v>
      </c>
      <c r="B53" s="9" t="s">
        <v>223</v>
      </c>
      <c r="C53" s="9" t="s">
        <v>98</v>
      </c>
      <c r="D53" s="9" t="s">
        <v>434</v>
      </c>
      <c r="E53" s="9" t="s">
        <v>60</v>
      </c>
      <c r="F53" s="9"/>
      <c r="G53" s="9"/>
      <c r="H53" s="10"/>
      <c r="I53" s="10"/>
      <c r="J53" s="10"/>
    </row>
    <row r="54" spans="1:10" ht="14.25" customHeight="1">
      <c r="A54" s="9" t="s">
        <v>40</v>
      </c>
      <c r="B54" s="9" t="s">
        <v>203</v>
      </c>
      <c r="C54" s="9" t="s">
        <v>98</v>
      </c>
      <c r="D54" s="9" t="s">
        <v>434</v>
      </c>
      <c r="E54" s="9" t="s">
        <v>60</v>
      </c>
      <c r="F54" s="9"/>
      <c r="G54" s="9"/>
      <c r="H54" s="9"/>
      <c r="I54" s="10">
        <v>46141</v>
      </c>
      <c r="J54" s="10">
        <v>46141</v>
      </c>
    </row>
    <row r="55" spans="1:10" ht="14.25" customHeight="1">
      <c r="A55" s="9" t="s">
        <v>40</v>
      </c>
      <c r="B55" s="9" t="s">
        <v>164</v>
      </c>
      <c r="C55" s="9" t="s">
        <v>98</v>
      </c>
      <c r="D55" s="9" t="s">
        <v>434</v>
      </c>
      <c r="E55" s="9" t="s">
        <v>60</v>
      </c>
      <c r="F55" s="9"/>
      <c r="G55" s="9"/>
      <c r="H55" s="10">
        <v>46141</v>
      </c>
      <c r="I55" s="10">
        <v>46141</v>
      </c>
      <c r="J55" s="10">
        <v>46141</v>
      </c>
    </row>
    <row r="56" spans="1:10" ht="14.25" customHeight="1">
      <c r="A56" s="9" t="s">
        <v>40</v>
      </c>
      <c r="B56" s="9" t="s">
        <v>181</v>
      </c>
      <c r="C56" s="9" t="s">
        <v>98</v>
      </c>
      <c r="D56" s="9" t="s">
        <v>434</v>
      </c>
      <c r="E56" s="9" t="s">
        <v>60</v>
      </c>
      <c r="F56" s="9"/>
      <c r="G56" s="9"/>
      <c r="H56" s="10">
        <v>46141</v>
      </c>
      <c r="I56" s="10"/>
      <c r="J56" s="10"/>
    </row>
    <row r="57" spans="1:10" ht="14.25" customHeight="1">
      <c r="A57" s="9" t="s">
        <v>40</v>
      </c>
      <c r="B57" s="9" t="s">
        <v>42</v>
      </c>
      <c r="C57" s="9" t="s">
        <v>98</v>
      </c>
      <c r="D57" s="9" t="s">
        <v>434</v>
      </c>
      <c r="E57" s="9" t="s">
        <v>60</v>
      </c>
      <c r="F57" s="9"/>
      <c r="G57" s="9"/>
      <c r="H57" s="10"/>
      <c r="I57" s="10"/>
      <c r="J57" s="10"/>
    </row>
    <row r="58" spans="1:10" ht="14.25" customHeight="1">
      <c r="A58" s="9" t="s">
        <v>40</v>
      </c>
      <c r="B58" s="9" t="s">
        <v>223</v>
      </c>
      <c r="C58" s="9" t="s">
        <v>99</v>
      </c>
      <c r="D58" s="9" t="s">
        <v>434</v>
      </c>
      <c r="E58" s="9" t="s">
        <v>46</v>
      </c>
      <c r="F58" s="9"/>
      <c r="G58" s="9"/>
      <c r="H58" s="9"/>
      <c r="I58" s="10"/>
      <c r="J58" s="10"/>
    </row>
    <row r="59" spans="1:10" ht="14.25" customHeight="1">
      <c r="A59" s="9" t="s">
        <v>40</v>
      </c>
      <c r="B59" s="9" t="s">
        <v>203</v>
      </c>
      <c r="C59" s="9" t="s">
        <v>99</v>
      </c>
      <c r="D59" s="9" t="s">
        <v>434</v>
      </c>
      <c r="E59" s="9" t="s">
        <v>46</v>
      </c>
      <c r="F59" s="9"/>
      <c r="G59" s="9"/>
      <c r="H59" s="10"/>
      <c r="I59" s="10">
        <v>46161</v>
      </c>
      <c r="J59" s="10">
        <v>46161</v>
      </c>
    </row>
    <row r="60" spans="1:10" ht="14.25" customHeight="1">
      <c r="A60" s="9" t="s">
        <v>40</v>
      </c>
      <c r="B60" s="9" t="s">
        <v>164</v>
      </c>
      <c r="C60" s="9" t="s">
        <v>99</v>
      </c>
      <c r="D60" s="9" t="s">
        <v>434</v>
      </c>
      <c r="E60" s="9" t="s">
        <v>46</v>
      </c>
      <c r="F60" s="9"/>
      <c r="G60" s="9"/>
      <c r="H60" s="10">
        <v>46161</v>
      </c>
      <c r="I60" s="10">
        <v>46161</v>
      </c>
      <c r="J60" s="10">
        <v>46161</v>
      </c>
    </row>
    <row r="61" spans="1:10" ht="14.25" customHeight="1">
      <c r="A61" s="9" t="s">
        <v>40</v>
      </c>
      <c r="B61" s="9" t="s">
        <v>181</v>
      </c>
      <c r="C61" s="9" t="s">
        <v>99</v>
      </c>
      <c r="D61" s="9" t="s">
        <v>434</v>
      </c>
      <c r="E61" s="9" t="s">
        <v>46</v>
      </c>
      <c r="F61" s="9"/>
      <c r="G61" s="9"/>
      <c r="H61" s="10">
        <v>46161</v>
      </c>
      <c r="I61" s="10"/>
      <c r="J61" s="10"/>
    </row>
    <row r="62" spans="1:10" ht="14.25" customHeight="1">
      <c r="A62" s="9" t="s">
        <v>40</v>
      </c>
      <c r="B62" s="9" t="s">
        <v>42</v>
      </c>
      <c r="C62" s="9" t="s">
        <v>99</v>
      </c>
      <c r="D62" s="9" t="s">
        <v>434</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203</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203</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203</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203</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223</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435</v>
      </c>
      <c r="F1" s="1" t="s">
        <v>334</v>
      </c>
      <c r="G1" s="5" t="s">
        <v>436</v>
      </c>
      <c r="H1" s="5" t="s">
        <v>20</v>
      </c>
      <c r="I1" t="s">
        <v>35</v>
      </c>
      <c r="J1" s="5" t="s">
        <v>437</v>
      </c>
      <c r="K1" s="5" t="s">
        <v>181</v>
      </c>
      <c r="L1" s="5" t="s">
        <v>353</v>
      </c>
      <c r="M1" s="1" t="s">
        <v>438</v>
      </c>
      <c r="N1" s="1" t="s">
        <v>439</v>
      </c>
      <c r="R1" t="s">
        <v>13</v>
      </c>
      <c r="T1" t="s">
        <v>440</v>
      </c>
    </row>
    <row r="2" spans="1:20" ht="13.5" customHeight="1">
      <c r="A2" s="2" t="s">
        <v>441</v>
      </c>
      <c r="B2" s="2" t="s">
        <v>442</v>
      </c>
      <c r="C2" s="2" t="s">
        <v>443</v>
      </c>
      <c r="D2" s="2" t="s">
        <v>444</v>
      </c>
      <c r="E2" s="2" t="s">
        <v>445</v>
      </c>
      <c r="F2" s="2" t="s">
        <v>446</v>
      </c>
      <c r="G2" t="s">
        <v>447</v>
      </c>
      <c r="H2" t="s">
        <v>448</v>
      </c>
      <c r="I2" t="s">
        <v>449</v>
      </c>
      <c r="J2" s="29" t="s">
        <v>450</v>
      </c>
      <c r="K2" s="29" t="s">
        <v>451</v>
      </c>
      <c r="L2" s="29" t="s">
        <v>452</v>
      </c>
      <c r="M2" t="s">
        <v>143</v>
      </c>
      <c r="N2" t="s">
        <v>453</v>
      </c>
      <c r="R2" t="s">
        <v>252</v>
      </c>
      <c r="T2" t="s">
        <v>49</v>
      </c>
    </row>
    <row r="3" spans="1:20" ht="15" customHeight="1">
      <c r="A3" t="s">
        <v>40</v>
      </c>
      <c r="B3" t="s">
        <v>44</v>
      </c>
      <c r="C3" t="s">
        <v>60</v>
      </c>
      <c r="D3" t="s">
        <v>129</v>
      </c>
      <c r="E3" t="s">
        <v>50</v>
      </c>
      <c r="F3" t="s">
        <v>231</v>
      </c>
      <c r="G3" t="s">
        <v>44</v>
      </c>
      <c r="H3" t="s">
        <v>47</v>
      </c>
      <c r="I3" t="s">
        <v>53</v>
      </c>
      <c r="J3" t="s">
        <v>223</v>
      </c>
      <c r="K3" t="s">
        <v>48</v>
      </c>
      <c r="L3" t="s">
        <v>53</v>
      </c>
      <c r="M3" t="s">
        <v>44</v>
      </c>
      <c r="N3" t="s">
        <v>454</v>
      </c>
      <c r="R3" t="s">
        <v>45</v>
      </c>
      <c r="T3" t="s">
        <v>94</v>
      </c>
    </row>
    <row r="4" spans="1:20" ht="15" customHeight="1">
      <c r="A4" t="s">
        <v>126</v>
      </c>
      <c r="B4" t="s">
        <v>59</v>
      </c>
      <c r="C4" t="s">
        <v>46</v>
      </c>
      <c r="D4" t="s">
        <v>143</v>
      </c>
      <c r="E4" t="s">
        <v>53</v>
      </c>
      <c r="F4" t="s">
        <v>223</v>
      </c>
      <c r="G4" t="s">
        <v>59</v>
      </c>
      <c r="H4" t="s">
        <v>88</v>
      </c>
      <c r="I4" t="s">
        <v>204</v>
      </c>
      <c r="J4" t="s">
        <v>203</v>
      </c>
      <c r="L4" t="s">
        <v>50</v>
      </c>
      <c r="M4" t="s">
        <v>103</v>
      </c>
      <c r="N4" t="s">
        <v>455</v>
      </c>
      <c r="R4" t="s">
        <v>456</v>
      </c>
      <c r="T4" t="s">
        <v>72</v>
      </c>
    </row>
    <row r="5" spans="1:20" ht="15" customHeight="1">
      <c r="A5" t="s">
        <v>425</v>
      </c>
      <c r="B5" t="s">
        <v>434</v>
      </c>
      <c r="C5" t="s">
        <v>77</v>
      </c>
      <c r="F5" t="s">
        <v>203</v>
      </c>
      <c r="G5" t="s">
        <v>434</v>
      </c>
      <c r="H5" t="s">
        <v>129</v>
      </c>
      <c r="I5" t="s">
        <v>213</v>
      </c>
      <c r="J5" t="s">
        <v>164</v>
      </c>
      <c r="L5" t="s">
        <v>457</v>
      </c>
      <c r="M5" t="s">
        <v>88</v>
      </c>
      <c r="N5" t="s">
        <v>458</v>
      </c>
    </row>
    <row r="6" spans="1:20" ht="15" customHeight="1">
      <c r="A6" t="s">
        <v>305</v>
      </c>
      <c r="B6" t="s">
        <v>84</v>
      </c>
      <c r="F6" t="s">
        <v>164</v>
      </c>
      <c r="G6" t="s">
        <v>84</v>
      </c>
      <c r="H6" t="s">
        <v>143</v>
      </c>
      <c r="I6" t="s">
        <v>459</v>
      </c>
      <c r="J6" t="s">
        <v>181</v>
      </c>
      <c r="M6" t="s">
        <v>48</v>
      </c>
      <c r="N6" t="s">
        <v>458</v>
      </c>
    </row>
    <row r="7" spans="1:20" ht="15" customHeight="1">
      <c r="A7" t="s">
        <v>296</v>
      </c>
      <c r="B7" t="s">
        <v>65</v>
      </c>
      <c r="F7" t="s">
        <v>181</v>
      </c>
      <c r="G7" t="s">
        <v>65</v>
      </c>
      <c r="H7" t="s">
        <v>198</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330</v>
      </c>
      <c r="M9" t="s">
        <v>154</v>
      </c>
      <c r="N9" t="s">
        <v>464</v>
      </c>
    </row>
    <row r="10" spans="1:20" ht="15" customHeight="1">
      <c r="B10" t="s">
        <v>154</v>
      </c>
      <c r="G10" t="s">
        <v>154</v>
      </c>
      <c r="I10" t="s">
        <v>465</v>
      </c>
      <c r="M10" t="s">
        <v>47</v>
      </c>
      <c r="N10" t="s">
        <v>466</v>
      </c>
    </row>
    <row r="11" spans="1:20" ht="15">
      <c r="B11" t="s">
        <v>467</v>
      </c>
      <c r="G11" t="s">
        <v>60</v>
      </c>
      <c r="M11" t="s">
        <v>76</v>
      </c>
      <c r="N11" t="s">
        <v>468</v>
      </c>
    </row>
    <row r="12" spans="1:20" ht="15">
      <c r="B12" t="s">
        <v>469</v>
      </c>
      <c r="G12" t="s">
        <v>46</v>
      </c>
      <c r="M12" t="s">
        <v>46</v>
      </c>
      <c r="N12" t="s">
        <v>470</v>
      </c>
    </row>
    <row r="13" spans="1:20" ht="15">
      <c r="G13" t="s">
        <v>77</v>
      </c>
      <c r="M13" t="s">
        <v>77</v>
      </c>
      <c r="N13" t="s">
        <v>471</v>
      </c>
    </row>
    <row r="14" spans="1:20" ht="15">
      <c r="M14" t="s">
        <v>84</v>
      </c>
      <c r="N14" t="s">
        <v>472</v>
      </c>
    </row>
    <row r="15" spans="1:20" ht="15">
      <c r="M15" t="s">
        <v>59</v>
      </c>
      <c r="N15" t="s">
        <v>473</v>
      </c>
    </row>
    <row r="16" spans="1:20" ht="15">
      <c r="M16" t="s">
        <v>65</v>
      </c>
      <c r="N16" t="s">
        <v>474</v>
      </c>
    </row>
    <row r="17" spans="13:14" ht="15">
      <c r="M17" t="s">
        <v>434</v>
      </c>
      <c r="N17" t="s">
        <v>474</v>
      </c>
    </row>
    <row r="18" spans="13:14" ht="15">
      <c r="M18" t="s">
        <v>226</v>
      </c>
      <c r="N18" t="s">
        <v>475</v>
      </c>
    </row>
    <row r="19" spans="13:14" ht="15">
      <c r="M19" t="s">
        <v>198</v>
      </c>
      <c r="N19" t="s">
        <v>476</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tabSelected="1" workbookViewId="0">
      <selection activeCell="B3" sqref="B3"/>
    </sheetView>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477</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6"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5"/>
      <c r="D5" s="205"/>
      <c r="E5" s="205"/>
      <c r="F5" s="205"/>
      <c r="G5" s="205"/>
      <c r="H5" s="205"/>
      <c r="I5" s="205"/>
      <c r="J5" s="205"/>
      <c r="K5" s="205"/>
    </row>
    <row r="6" spans="2:12" ht="32.25" customHeight="1">
      <c r="B6" s="205"/>
      <c r="C6" s="205"/>
      <c r="D6" s="205"/>
      <c r="E6" s="205"/>
      <c r="F6" s="205"/>
      <c r="G6" s="205"/>
      <c r="H6" s="205"/>
      <c r="I6" s="205"/>
      <c r="J6" s="205"/>
      <c r="K6" s="205"/>
    </row>
    <row r="7" spans="2:12" ht="8.25" customHeight="1"/>
    <row r="8" spans="2:12" ht="6" customHeight="1"/>
    <row r="9" spans="2:12" ht="45.75" customHeight="1">
      <c r="B9" s="207">
        <f>COUNTIF(Data!E:E,"Blocked in Prod")</f>
        <v>25</v>
      </c>
      <c r="C9" s="208"/>
      <c r="D9" s="211">
        <f>COUNTIF(Data!E:E,"Blocked - Build/QA")</f>
        <v>5</v>
      </c>
      <c r="E9" s="208"/>
      <c r="F9" s="213">
        <v>11</v>
      </c>
      <c r="G9" s="208"/>
      <c r="H9" s="208"/>
      <c r="I9" s="213">
        <f>COUNTIF(Data!E:E,"Released")</f>
        <v>0</v>
      </c>
      <c r="J9" s="208"/>
      <c r="K9" s="208"/>
    </row>
    <row r="10" spans="2:12" ht="30" customHeight="1">
      <c r="B10" s="209" t="s">
        <v>478</v>
      </c>
      <c r="C10" s="210"/>
      <c r="D10" s="212" t="s">
        <v>479</v>
      </c>
      <c r="E10" s="210"/>
      <c r="F10" s="212" t="s">
        <v>480</v>
      </c>
      <c r="G10" s="210"/>
      <c r="H10" s="210"/>
      <c r="I10" s="212" t="s">
        <v>481</v>
      </c>
      <c r="J10" s="210"/>
      <c r="K10" s="210"/>
    </row>
    <row r="11" spans="2:12" ht="12" customHeight="1"/>
    <row r="12" spans="2:12" ht="15.75" customHeight="1">
      <c r="B12" s="175" t="s">
        <v>482</v>
      </c>
    </row>
    <row r="13" spans="2:12" ht="30" customHeight="1">
      <c r="B13" s="176" t="s">
        <v>483</v>
      </c>
      <c r="C13" s="177" t="s">
        <v>484</v>
      </c>
      <c r="D13" s="177" t="s">
        <v>485</v>
      </c>
      <c r="E13" s="177" t="s">
        <v>486</v>
      </c>
      <c r="F13" s="177" t="s">
        <v>181</v>
      </c>
      <c r="G13" s="177" t="s">
        <v>164</v>
      </c>
      <c r="H13" s="177" t="s">
        <v>203</v>
      </c>
      <c r="I13" s="177" t="s">
        <v>223</v>
      </c>
      <c r="J13" s="177" t="s">
        <v>487</v>
      </c>
      <c r="K13" s="176" t="s">
        <v>488</v>
      </c>
      <c r="L13" s="176" t="s">
        <v>428</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240</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265</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489</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490</v>
      </c>
      <c r="H39" s="175" t="s">
        <v>491</v>
      </c>
    </row>
    <row r="40" spans="2:12" ht="21.75" customHeight="1">
      <c r="B40" s="200"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1"/>
      <c r="D40" s="201"/>
      <c r="E40" s="201"/>
      <c r="F40" s="201"/>
      <c r="H40" s="202" t="s">
        <v>492</v>
      </c>
      <c r="I40" s="203"/>
      <c r="J40" s="203"/>
      <c r="K40" s="203"/>
    </row>
    <row r="41" spans="2:12" ht="21.75" customHeight="1">
      <c r="B41" s="201"/>
      <c r="C41" s="201"/>
      <c r="D41" s="201"/>
      <c r="E41" s="201"/>
      <c r="F41" s="201"/>
      <c r="H41" s="203"/>
      <c r="I41" s="203"/>
      <c r="J41" s="203"/>
      <c r="K41" s="203"/>
    </row>
    <row r="42" spans="2:12" ht="21.75" customHeight="1">
      <c r="B42" s="201"/>
      <c r="C42" s="201"/>
      <c r="D42" s="201"/>
      <c r="E42" s="201"/>
      <c r="F42" s="201"/>
      <c r="H42" s="203"/>
      <c r="I42" s="203"/>
      <c r="J42" s="203"/>
      <c r="K42" s="203"/>
    </row>
    <row r="43" spans="2:12" ht="8.25" customHeight="1"/>
    <row r="44" spans="2:12" ht="24" customHeight="1">
      <c r="B44" s="204" t="s">
        <v>493</v>
      </c>
      <c r="C44" s="205"/>
      <c r="D44" s="205"/>
      <c r="E44" s="205"/>
      <c r="F44" s="205"/>
      <c r="G44" s="205"/>
      <c r="H44" s="205"/>
      <c r="I44" s="205"/>
      <c r="J44" s="205"/>
      <c r="K44" s="205"/>
      <c r="L44" s="205"/>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483</v>
      </c>
      <c r="C1" t="s">
        <v>494</v>
      </c>
      <c r="D1" t="s">
        <v>35</v>
      </c>
      <c r="E1" t="s">
        <v>495</v>
      </c>
    </row>
    <row r="2" spans="1:5">
      <c r="A2" t="s">
        <v>127</v>
      </c>
      <c r="B2" t="s">
        <v>130</v>
      </c>
      <c r="C2" t="s">
        <v>128</v>
      </c>
      <c r="D2" t="s">
        <v>330</v>
      </c>
      <c r="E2" t="str">
        <f>IF(C2="Ready for Release in Prod","Blocked in Prod",IF(C2="RELEASED IN PROD","Released",IF(LEFT(D2,3)="Yes","Blocked - Build/QA",IF(C2="NOT STARTED","Not Started",C2))))</f>
        <v>Blocked in Prod</v>
      </c>
    </row>
    <row r="3" spans="1:5">
      <c r="A3" t="s">
        <v>134</v>
      </c>
      <c r="B3" t="s">
        <v>130</v>
      </c>
      <c r="C3" t="s">
        <v>128</v>
      </c>
      <c r="D3" t="s">
        <v>330</v>
      </c>
      <c r="E3" t="str">
        <f>IF(C3="Ready for Release in Prod","Blocked in Prod",IF(C3="RELEASED IN PROD","Released",IF(LEFT(D3,3)="Yes","Blocked - Build/QA",IF(C3="NOT STARTED","Not Started",C3))))</f>
        <v>Blocked in Prod</v>
      </c>
    </row>
    <row r="4" spans="1:5">
      <c r="A4" t="s">
        <v>136</v>
      </c>
      <c r="B4" t="s">
        <v>130</v>
      </c>
      <c r="C4" t="s">
        <v>128</v>
      </c>
      <c r="D4" t="s">
        <v>330</v>
      </c>
      <c r="E4" t="str">
        <f>IF(C4="Ready for Release in Prod","Blocked in Prod",IF(C4="RELEASED IN PROD","Released",IF(LEFT(D4,3)="Yes","Blocked - Build/QA",IF(C4="NOT STARTED","Not Started",C4))))</f>
        <v>Blocked in Prod</v>
      </c>
    </row>
    <row r="5" spans="1:5">
      <c r="A5" t="s">
        <v>138</v>
      </c>
      <c r="B5" t="s">
        <v>130</v>
      </c>
      <c r="C5" t="s">
        <v>128</v>
      </c>
      <c r="D5" t="s">
        <v>330</v>
      </c>
      <c r="E5" t="str">
        <f>IF(C5="Ready for Release in Prod","Blocked in Prod",IF(C5="RELEASED IN PROD","Released",IF(LEFT(D5,3)="Yes","Blocked - Build/QA",IF(C5="NOT STARTED","Not Started",C5))))</f>
        <v>Blocked in Prod</v>
      </c>
    </row>
    <row r="6" spans="1:5">
      <c r="A6" t="s">
        <v>140</v>
      </c>
      <c r="B6" t="s">
        <v>130</v>
      </c>
      <c r="C6" t="s">
        <v>128</v>
      </c>
      <c r="D6" t="s">
        <v>330</v>
      </c>
      <c r="E6" t="str">
        <f>IF(C6="Ready for Release in Prod","Blocked in Prod",IF(C6="RELEASED IN PROD","Released",IF(LEFT(D6,3)="Yes","Blocked - Build/QA",IF(C6="NOT STARTED","Not Started",C6))))</f>
        <v>Blocked in Prod</v>
      </c>
    </row>
    <row r="7" spans="1:5">
      <c r="A7" t="s">
        <v>142</v>
      </c>
      <c r="B7" t="s">
        <v>130</v>
      </c>
      <c r="C7" t="s">
        <v>128</v>
      </c>
      <c r="D7" t="s">
        <v>330</v>
      </c>
      <c r="E7" t="str">
        <f>IF(C7="Ready for Release in Prod","Blocked in Prod",IF(C7="RELEASED IN PROD","Released",IF(LEFT(D7,3)="Yes","Blocked - Build/QA",IF(C7="NOT STARTED","Not Started",C7))))</f>
        <v>Blocked in Prod</v>
      </c>
    </row>
    <row r="8" spans="1:5">
      <c r="A8" t="s">
        <v>145</v>
      </c>
      <c r="B8" t="s">
        <v>130</v>
      </c>
      <c r="C8" t="s">
        <v>128</v>
      </c>
      <c r="D8" t="s">
        <v>330</v>
      </c>
      <c r="E8" t="str">
        <f>IF(C8="Ready for Release in Prod","Blocked in Prod",IF(C8="RELEASED IN PROD","Released",IF(LEFT(D8,3)="Yes","Blocked - Build/QA",IF(C8="NOT STARTED","Not Started",C8))))</f>
        <v>Blocked in Prod</v>
      </c>
    </row>
    <row r="9" spans="1:5">
      <c r="A9" t="s">
        <v>148</v>
      </c>
      <c r="B9" t="s">
        <v>130</v>
      </c>
      <c r="C9" t="s">
        <v>128</v>
      </c>
      <c r="D9" t="s">
        <v>330</v>
      </c>
      <c r="E9" t="str">
        <f>IF(C9="Ready for Release in Prod","Blocked in Prod",IF(C9="RELEASED IN PROD","Released",IF(LEFT(D9,3)="Yes","Blocked - Build/QA",IF(C9="NOT STARTED","Not Started",C9))))</f>
        <v>Blocked in Prod</v>
      </c>
    </row>
    <row r="10" spans="1:5">
      <c r="A10" t="s">
        <v>149</v>
      </c>
      <c r="B10" t="s">
        <v>130</v>
      </c>
      <c r="C10" t="s">
        <v>128</v>
      </c>
      <c r="D10" t="s">
        <v>330</v>
      </c>
      <c r="E10" t="str">
        <f>IF(C10="Ready for Release in Prod","Blocked in Prod",IF(C10="RELEASED IN PROD","Released",IF(LEFT(D10,3)="Yes","Blocked - Build/QA",IF(C10="NOT STARTED","Not Started",C10))))</f>
        <v>Blocked in Prod</v>
      </c>
    </row>
    <row r="11" spans="1:5">
      <c r="A11" t="s">
        <v>152</v>
      </c>
      <c r="B11" t="s">
        <v>130</v>
      </c>
      <c r="C11" t="s">
        <v>128</v>
      </c>
      <c r="D11" t="s">
        <v>330</v>
      </c>
      <c r="E11" t="str">
        <f>IF(C11="Ready for Release in Prod","Blocked in Prod",IF(C11="RELEASED IN PROD","Released",IF(LEFT(D11,3)="Yes","Blocked - Build/QA",IF(C11="NOT STARTED","Not Started",C11))))</f>
        <v>Blocked in Prod</v>
      </c>
    </row>
    <row r="12" spans="1:5">
      <c r="A12" t="s">
        <v>155</v>
      </c>
      <c r="B12" t="s">
        <v>130</v>
      </c>
      <c r="C12" t="s">
        <v>128</v>
      </c>
      <c r="D12" t="s">
        <v>330</v>
      </c>
      <c r="E12" t="str">
        <f>IF(C12="Ready for Release in Prod","Blocked in Prod",IF(C12="RELEASED IN PROD","Released",IF(LEFT(D12,3)="Yes","Blocked - Build/QA",IF(C12="NOT STARTED","Not Started",C12))))</f>
        <v>Blocked in Prod</v>
      </c>
    </row>
    <row r="13" spans="1:5">
      <c r="A13" t="s">
        <v>156</v>
      </c>
      <c r="B13" t="s">
        <v>130</v>
      </c>
      <c r="C13" t="s">
        <v>128</v>
      </c>
      <c r="D13" t="s">
        <v>330</v>
      </c>
      <c r="E13" t="str">
        <f>IF(C13="Ready for Release in Prod","Blocked in Prod",IF(C13="RELEASED IN PROD","Released",IF(LEFT(D13,3)="Yes","Blocked - Build/QA",IF(C13="NOT STARTED","Not Started",C13))))</f>
        <v>Blocked in Prod</v>
      </c>
    </row>
    <row r="14" spans="1:5">
      <c r="A14" t="s">
        <v>158</v>
      </c>
      <c r="B14" t="s">
        <v>130</v>
      </c>
      <c r="C14" t="s">
        <v>128</v>
      </c>
      <c r="D14" t="s">
        <v>330</v>
      </c>
      <c r="E14" t="str">
        <f>IF(C14="Ready for Release in Prod","Blocked in Prod",IF(C14="RELEASED IN PROD","Released",IF(LEFT(D14,3)="Yes","Blocked - Build/QA",IF(C14="NOT STARTED","Not Started",C14))))</f>
        <v>Blocked in Prod</v>
      </c>
    </row>
    <row r="15" spans="1:5">
      <c r="A15" t="s">
        <v>160</v>
      </c>
      <c r="B15" t="s">
        <v>130</v>
      </c>
      <c r="C15" t="s">
        <v>128</v>
      </c>
      <c r="D15" t="s">
        <v>330</v>
      </c>
      <c r="E15" t="str">
        <f>IF(C15="Ready for Release in Prod","Blocked in Prod",IF(C15="RELEASED IN PROD","Released",IF(LEFT(D15,3)="Yes","Blocked - Build/QA",IF(C15="NOT STARTED","Not Started",C15))))</f>
        <v>Blocked in Prod</v>
      </c>
    </row>
    <row r="16" spans="1:5">
      <c r="A16" t="s">
        <v>163</v>
      </c>
      <c r="B16" t="s">
        <v>166</v>
      </c>
      <c r="C16" t="s">
        <v>203</v>
      </c>
      <c r="D16" t="s">
        <v>459</v>
      </c>
      <c r="E16" t="str">
        <f>IF(C16="Ready for Release in Prod","Blocked in Prod",IF(C16="RELEASED IN PROD","Released",IF(LEFT(D16,3)="Yes","Blocked - Build/QA",IF(C16="NOT STARTED","Not Started",C16))))</f>
        <v>Blocked - Build/QA</v>
      </c>
    </row>
    <row r="17" spans="1:5">
      <c r="A17" t="s">
        <v>169</v>
      </c>
      <c r="B17" t="s">
        <v>166</v>
      </c>
      <c r="C17" t="s">
        <v>128</v>
      </c>
      <c r="D17" t="s">
        <v>330</v>
      </c>
      <c r="E17" t="str">
        <f>IF(C17="Ready for Release in Prod","Blocked in Prod",IF(C17="RELEASED IN PROD","Released",IF(LEFT(D17,3)="Yes","Blocked - Build/QA",IF(C17="NOT STARTED","Not Started",C17))))</f>
        <v>Blocked in Prod</v>
      </c>
    </row>
    <row r="18" spans="1:5">
      <c r="A18" t="s">
        <v>172</v>
      </c>
      <c r="B18" t="s">
        <v>166</v>
      </c>
      <c r="C18" t="s">
        <v>128</v>
      </c>
      <c r="D18" t="s">
        <v>330</v>
      </c>
      <c r="E18" t="str">
        <f>IF(C18="Ready for Release in Prod","Blocked in Prod",IF(C18="RELEASED IN PROD","Released",IF(LEFT(D18,3)="Yes","Blocked - Build/QA",IF(C18="NOT STARTED","Not Started",C18))))</f>
        <v>Blocked in Prod</v>
      </c>
    </row>
    <row r="19" spans="1:5">
      <c r="A19" t="s">
        <v>174</v>
      </c>
      <c r="B19" t="s">
        <v>166</v>
      </c>
      <c r="C19" t="s">
        <v>128</v>
      </c>
      <c r="D19" t="s">
        <v>330</v>
      </c>
      <c r="E19" t="str">
        <f>IF(C19="Ready for Release in Prod","Blocked in Prod",IF(C19="RELEASED IN PROD","Released",IF(LEFT(D19,3)="Yes","Blocked - Build/QA",IF(C19="NOT STARTED","Not Started",C19))))</f>
        <v>Blocked in Prod</v>
      </c>
    </row>
    <row r="20" spans="1:5">
      <c r="A20" t="s">
        <v>176</v>
      </c>
      <c r="B20" t="s">
        <v>166</v>
      </c>
      <c r="C20" t="s">
        <v>128</v>
      </c>
      <c r="D20" t="s">
        <v>330</v>
      </c>
      <c r="E20" t="str">
        <f>IF(C20="Ready for Release in Prod","Blocked in Prod",IF(C20="RELEASED IN PROD","Released",IF(LEFT(D20,3)="Yes","Blocked - Build/QA",IF(C20="NOT STARTED","Not Started",C20))))</f>
        <v>Blocked in Prod</v>
      </c>
    </row>
    <row r="21" spans="1:5">
      <c r="A21" t="s">
        <v>178</v>
      </c>
      <c r="B21" t="s">
        <v>166</v>
      </c>
      <c r="C21" t="s">
        <v>128</v>
      </c>
      <c r="D21" t="s">
        <v>330</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330</v>
      </c>
      <c r="E23" t="str">
        <f>IF(C23="Ready for Release in Prod","Blocked in Prod",IF(C23="RELEASED IN PROD","Released",IF(LEFT(D23,3)="Yes","Blocked - Build/QA",IF(C23="NOT STARTED","Not Started",C23))))</f>
        <v>Blocked in Prod</v>
      </c>
    </row>
    <row r="24" spans="1:5">
      <c r="A24" t="s">
        <v>183</v>
      </c>
      <c r="B24" t="s">
        <v>166</v>
      </c>
      <c r="C24" t="s">
        <v>128</v>
      </c>
      <c r="D24" t="s">
        <v>330</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330</v>
      </c>
      <c r="E26" t="str">
        <f>IF(C26="Ready for Release in Prod","Blocked in Prod",IF(C26="RELEASED IN PROD","Released",IF(LEFT(D26,3)="Yes","Blocked - Build/QA",IF(C26="NOT STARTED","Not Started",C26))))</f>
        <v>Blocked in Prod</v>
      </c>
    </row>
    <row r="27" spans="1:5">
      <c r="A27" t="s">
        <v>189</v>
      </c>
      <c r="B27" t="s">
        <v>166</v>
      </c>
      <c r="C27" t="s">
        <v>128</v>
      </c>
      <c r="D27" t="s">
        <v>330</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330</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330</v>
      </c>
      <c r="E33" t="str">
        <f>IF(C33="Ready for Release in Prod","Blocked in Prod",IF(C33="RELEASED IN PROD","Released",IF(LEFT(D33,3)="Yes","Blocked - Build/QA",IF(C33="NOT STARTED","Not Started",C33))))</f>
        <v>Blocked in Prod</v>
      </c>
    </row>
    <row r="34" spans="1:5">
      <c r="A34" t="s">
        <v>210</v>
      </c>
      <c r="B34" t="s">
        <v>192</v>
      </c>
      <c r="C34" t="s">
        <v>181</v>
      </c>
      <c r="D34" t="s">
        <v>213</v>
      </c>
      <c r="E34" t="str">
        <f>IF(C34="Ready for Release in Prod","Blocked in Prod",IF(C34="RELEASED IN PROD","Released",IF(LEFT(D34,3)="Yes","Blocked - Build/QA",IF(C34="NOT STARTED","Not Started",C34))))</f>
        <v>Blocked - Build/QA</v>
      </c>
    </row>
    <row r="35" spans="1:5">
      <c r="A35" t="s">
        <v>214</v>
      </c>
      <c r="B35" t="s">
        <v>192</v>
      </c>
      <c r="C35" t="s">
        <v>181</v>
      </c>
      <c r="D35" t="s">
        <v>53</v>
      </c>
      <c r="E35" t="str">
        <f>IF(C35="Ready for Release in Prod","Blocked in Prod",IF(C35="RELEASED IN PROD","Released",IF(LEFT(D35,3)="Yes","Blocked - Build/QA",IF(C35="NOT STARTED","Not Started",C35))))</f>
        <v>DPO Approval</v>
      </c>
    </row>
    <row r="36" spans="1:5">
      <c r="A36" t="s">
        <v>216</v>
      </c>
      <c r="B36" t="s">
        <v>192</v>
      </c>
      <c r="C36" t="s">
        <v>164</v>
      </c>
      <c r="D36" t="s">
        <v>53</v>
      </c>
      <c r="E36" t="str">
        <f>IF(C36="Ready for Release in Prod","Blocked in Prod",IF(C36="RELEASED IN PROD","Released",IF(LEFT(D36,3)="Yes","Blocked - Build/QA",IF(C36="NOT STARTED","Not Started",C36))))</f>
        <v>QA</v>
      </c>
    </row>
    <row r="37" spans="1:5">
      <c r="A37" t="s">
        <v>218</v>
      </c>
      <c r="B37" t="s">
        <v>192</v>
      </c>
      <c r="C37" t="s">
        <v>164</v>
      </c>
      <c r="D37" t="s">
        <v>53</v>
      </c>
      <c r="E37" t="str">
        <f>IF(C37="Ready for Release in Prod","Blocked in Prod",IF(C37="RELEASED IN PROD","Released",IF(LEFT(D37,3)="Yes","Blocked - Build/QA",IF(C37="NOT STARTED","Not Started",C37))))</f>
        <v>QA</v>
      </c>
    </row>
    <row r="38" spans="1:5">
      <c r="A38" t="s">
        <v>220</v>
      </c>
      <c r="B38" t="s">
        <v>192</v>
      </c>
      <c r="C38" t="s">
        <v>181</v>
      </c>
      <c r="D38" t="s">
        <v>53</v>
      </c>
      <c r="E38" t="str">
        <f>IF(C38="Ready for Release in Prod","Blocked in Prod",IF(C38="RELEASED IN PROD","Released",IF(LEFT(D38,3)="Yes","Blocked - Build/QA",IF(C38="NOT STARTED","Not Started",C38))))</f>
        <v>DPO Approval</v>
      </c>
    </row>
    <row r="39" spans="1:5">
      <c r="A39" t="s">
        <v>221</v>
      </c>
      <c r="B39" t="s">
        <v>192</v>
      </c>
      <c r="C39" t="s">
        <v>203</v>
      </c>
      <c r="D39" t="s">
        <v>53</v>
      </c>
      <c r="E39" t="str">
        <f>IF(C39="Ready for Release in Prod","Blocked in Prod",IF(C39="RELEASED IN PROD","Released",IF(LEFT(D39,3)="Yes","Blocked - Build/QA",IF(C39="NOT STARTED","Not Started",C39))))</f>
        <v>PBI Dev</v>
      </c>
    </row>
    <row r="40" spans="1:5">
      <c r="A40" t="s">
        <v>222</v>
      </c>
      <c r="B40" t="s">
        <v>192</v>
      </c>
      <c r="C40" t="s">
        <v>223</v>
      </c>
      <c r="D40" t="s">
        <v>53</v>
      </c>
      <c r="E40" t="str">
        <f>IF(C40="Ready for Release in Prod","Blocked in Prod",IF(C40="RELEASED IN PROD","Released",IF(LEFT(D40,3)="Yes","Blocked - Build/QA",IF(C40="NOT STARTED","Not Started",C40))))</f>
        <v>DB Dev</v>
      </c>
    </row>
    <row r="41" spans="1:5">
      <c r="A41" t="s">
        <v>225</v>
      </c>
      <c r="B41" t="s">
        <v>192</v>
      </c>
      <c r="C41" t="s">
        <v>203</v>
      </c>
      <c r="D41" t="s">
        <v>53</v>
      </c>
      <c r="E41" t="str">
        <f>IF(C41="Ready for Release in Prod","Blocked in Prod",IF(C41="RELEASED IN PROD","Released",IF(LEFT(D41,3)="Yes","Blocked - Build/QA",IF(C41="NOT STARTED","Not Started",C41))))</f>
        <v>PBI Dev</v>
      </c>
    </row>
    <row r="42" spans="1:5">
      <c r="A42" t="s">
        <v>230</v>
      </c>
      <c r="B42" t="s">
        <v>192</v>
      </c>
      <c r="C42" t="s">
        <v>231</v>
      </c>
      <c r="D42" t="s">
        <v>53</v>
      </c>
      <c r="E42" t="str">
        <f>IF(C42="Ready for Release in Prod","Blocked in Prod",IF(C42="RELEASED IN PROD","Released",IF(LEFT(D42,3)="Yes","Blocked - Build/QA",IF(C42="NOT STARTED","Not Started",C42))))</f>
        <v>Not Started</v>
      </c>
    </row>
    <row r="43" spans="1:5">
      <c r="A43" t="s">
        <v>234</v>
      </c>
      <c r="B43" t="s">
        <v>192</v>
      </c>
      <c r="C43" t="s">
        <v>203</v>
      </c>
      <c r="D43" t="s">
        <v>204</v>
      </c>
      <c r="E43" t="str">
        <f>IF(C43="Ready for Release in Prod","Blocked in Prod",IF(C43="RELEASED IN PROD","Released",IF(LEFT(D43,3)="Yes","Blocked - Build/QA",IF(C43="NOT STARTED","Not Started",C43))))</f>
        <v>Blocked - Build/QA</v>
      </c>
    </row>
    <row r="44" spans="1:5">
      <c r="A44" t="s">
        <v>235</v>
      </c>
      <c r="B44" t="s">
        <v>192</v>
      </c>
      <c r="C44" t="s">
        <v>181</v>
      </c>
      <c r="D44" t="s">
        <v>53</v>
      </c>
      <c r="E44" t="str">
        <f>IF(C44="Ready for Release in Prod","Blocked in Prod",IF(C44="RELEASED IN PROD","Released",IF(LEFT(D44,3)="Yes","Blocked - Build/QA",IF(C44="NOT STARTED","Not Started",C44))))</f>
        <v>DPO Approval</v>
      </c>
    </row>
    <row r="45" spans="1:5">
      <c r="A45" t="s">
        <v>238</v>
      </c>
      <c r="B45" t="s">
        <v>192</v>
      </c>
      <c r="C45" t="s">
        <v>203</v>
      </c>
      <c r="D45" t="s">
        <v>53</v>
      </c>
      <c r="E45" t="str">
        <f>IF(C45="Ready for Release in Prod","Blocked in Prod",IF(C45="RELEASED IN PROD","Released",IF(LEFT(D45,3)="Yes","Blocked - Build/QA",IF(C45="NOT STARTED","Not Started",C45))))</f>
        <v>PBI Dev</v>
      </c>
    </row>
    <row r="46" spans="1:5">
      <c r="A46" t="s">
        <v>239</v>
      </c>
      <c r="B46" t="s">
        <v>240</v>
      </c>
      <c r="C46" t="s">
        <v>164</v>
      </c>
      <c r="E46" t="str">
        <f>IF(C46="Ready for Release in Prod","Blocked in Prod",IF(C46="RELEASED IN PROD","Released",IF(LEFT(D46,3)="Yes","Blocked - Build/QA",IF(C46="NOT STARTED","Not Started",C46))))</f>
        <v>QA</v>
      </c>
    </row>
    <row r="47" spans="1:5">
      <c r="A47" t="s">
        <v>243</v>
      </c>
      <c r="B47" t="s">
        <v>240</v>
      </c>
      <c r="C47" t="s">
        <v>203</v>
      </c>
      <c r="E47" t="str">
        <f>IF(C47="Ready for Release in Prod","Blocked in Prod",IF(C47="RELEASED IN PROD","Released",IF(LEFT(D47,3)="Yes","Blocked - Build/QA",IF(C47="NOT STARTED","Not Started",C47))))</f>
        <v>PBI Dev</v>
      </c>
    </row>
    <row r="48" spans="1:5">
      <c r="A48" t="s">
        <v>244</v>
      </c>
      <c r="B48" t="s">
        <v>240</v>
      </c>
      <c r="C48" t="s">
        <v>231</v>
      </c>
      <c r="E48" t="str">
        <f>IF(C48="Ready for Release in Prod","Blocked in Prod",IF(C48="RELEASED IN PROD","Released",IF(LEFT(D48,3)="Yes","Blocked - Build/QA",IF(C48="NOT STARTED","Not Started",C48))))</f>
        <v>Not Started</v>
      </c>
    </row>
    <row r="49" spans="1:5">
      <c r="A49" t="s">
        <v>246</v>
      </c>
      <c r="B49" t="s">
        <v>240</v>
      </c>
      <c r="C49" t="s">
        <v>231</v>
      </c>
      <c r="E49" t="str">
        <f>IF(C49="Ready for Release in Prod","Blocked in Prod",IF(C49="RELEASED IN PROD","Released",IF(LEFT(D49,3)="Yes","Blocked - Build/QA",IF(C49="NOT STARTED","Not Started",C49))))</f>
        <v>Not Started</v>
      </c>
    </row>
    <row r="50" spans="1:5">
      <c r="A50" t="s">
        <v>247</v>
      </c>
      <c r="B50" t="s">
        <v>240</v>
      </c>
      <c r="C50" t="s">
        <v>231</v>
      </c>
      <c r="E50" t="str">
        <f>IF(C50="Ready for Release in Prod","Blocked in Prod",IF(C50="RELEASED IN PROD","Released",IF(LEFT(D50,3)="Yes","Blocked - Build/QA",IF(C50="NOT STARTED","Not Started",C50))))</f>
        <v>Not Started</v>
      </c>
    </row>
    <row r="51" spans="1:5">
      <c r="A51" t="s">
        <v>248</v>
      </c>
      <c r="B51" t="s">
        <v>240</v>
      </c>
      <c r="C51" t="s">
        <v>203</v>
      </c>
      <c r="D51" t="s">
        <v>213</v>
      </c>
      <c r="E51" t="str">
        <f>IF(C51="Ready for Release in Prod","Blocked in Prod",IF(C51="RELEASED IN PROD","Released",IF(LEFT(D51,3)="Yes","Blocked - Build/QA",IF(C51="NOT STARTED","Not Started",C51))))</f>
        <v>Blocked - Build/QA</v>
      </c>
    </row>
    <row r="52" spans="1:5">
      <c r="A52" t="s">
        <v>251</v>
      </c>
      <c r="B52" t="s">
        <v>240</v>
      </c>
      <c r="C52" t="s">
        <v>203</v>
      </c>
      <c r="E52" t="str">
        <f>IF(C52="Ready for Release in Prod","Blocked in Prod",IF(C52="RELEASED IN PROD","Released",IF(LEFT(D52,3)="Yes","Blocked - Build/QA",IF(C52="NOT STARTED","Not Started",C52))))</f>
        <v>PBI Dev</v>
      </c>
    </row>
    <row r="53" spans="1:5">
      <c r="A53" t="s">
        <v>254</v>
      </c>
      <c r="B53" t="s">
        <v>240</v>
      </c>
      <c r="C53" t="s">
        <v>231</v>
      </c>
      <c r="E53" t="str">
        <f>IF(C53="Ready for Release in Prod","Blocked in Prod",IF(C53="RELEASED IN PROD","Released",IF(LEFT(D53,3)="Yes","Blocked - Build/QA",IF(C53="NOT STARTED","Not Started",C53))))</f>
        <v>Not Started</v>
      </c>
    </row>
    <row r="54" spans="1:5">
      <c r="A54" t="s">
        <v>255</v>
      </c>
      <c r="B54" t="s">
        <v>240</v>
      </c>
      <c r="C54" t="s">
        <v>231</v>
      </c>
      <c r="E54" t="str">
        <f>IF(C54="Ready for Release in Prod","Blocked in Prod",IF(C54="RELEASED IN PROD","Released",IF(LEFT(D54,3)="Yes","Blocked - Build/QA",IF(C54="NOT STARTED","Not Started",C54))))</f>
        <v>Not Started</v>
      </c>
    </row>
    <row r="55" spans="1:5">
      <c r="A55" t="s">
        <v>257</v>
      </c>
      <c r="B55" t="s">
        <v>240</v>
      </c>
      <c r="C55" t="s">
        <v>223</v>
      </c>
      <c r="E55" t="str">
        <f>IF(C55="Ready for Release in Prod","Blocked in Prod",IF(C55="RELEASED IN PROD","Released",IF(LEFT(D55,3)="Yes","Blocked - Build/QA",IF(C55="NOT STARTED","Not Started",C55))))</f>
        <v>DB Dev</v>
      </c>
    </row>
    <row r="56" spans="1:5">
      <c r="A56" t="s">
        <v>259</v>
      </c>
      <c r="B56" t="s">
        <v>240</v>
      </c>
      <c r="C56" t="s">
        <v>203</v>
      </c>
      <c r="E56" t="str">
        <f>IF(C56="Ready for Release in Prod","Blocked in Prod",IF(C56="RELEASED IN PROD","Released",IF(LEFT(D56,3)="Yes","Blocked - Build/QA",IF(C56="NOT STARTED","Not Started",C56))))</f>
        <v>PBI Dev</v>
      </c>
    </row>
    <row r="57" spans="1:5">
      <c r="A57" t="s">
        <v>261</v>
      </c>
      <c r="B57" t="s">
        <v>240</v>
      </c>
      <c r="C57" t="s">
        <v>203</v>
      </c>
      <c r="E57" t="str">
        <f>IF(C57="Ready for Release in Prod","Blocked in Prod",IF(C57="RELEASED IN PROD","Released",IF(LEFT(D57,3)="Yes","Blocked - Build/QA",IF(C57="NOT STARTED","Not Started",C57))))</f>
        <v>PBI Dev</v>
      </c>
    </row>
    <row r="58" spans="1:5">
      <c r="A58" t="s">
        <v>262</v>
      </c>
      <c r="B58" t="s">
        <v>240</v>
      </c>
      <c r="C58" t="s">
        <v>231</v>
      </c>
      <c r="E58" t="str">
        <f>IF(C58="Ready for Release in Prod","Blocked in Prod",IF(C58="RELEASED IN PROD","Released",IF(LEFT(D58,3)="Yes","Blocked - Build/QA",IF(C58="NOT STARTED","Not Started",C58))))</f>
        <v>Not Started</v>
      </c>
    </row>
    <row r="59" spans="1:5">
      <c r="A59" t="s">
        <v>264</v>
      </c>
      <c r="B59" t="s">
        <v>265</v>
      </c>
      <c r="C59" t="s">
        <v>231</v>
      </c>
      <c r="E59" t="str">
        <f>IF(C59="Ready for Release in Prod","Blocked in Prod",IF(C59="RELEASED IN PROD","Released",IF(LEFT(D59,3)="Yes","Blocked - Build/QA",IF(C59="NOT STARTED","Not Started",C59))))</f>
        <v>Not Started</v>
      </c>
    </row>
    <row r="60" spans="1:5">
      <c r="A60" t="s">
        <v>268</v>
      </c>
      <c r="B60" t="s">
        <v>265</v>
      </c>
      <c r="C60" t="s">
        <v>231</v>
      </c>
      <c r="E60" t="str">
        <f>IF(C60="Ready for Release in Prod","Blocked in Prod",IF(C60="RELEASED IN PROD","Released",IF(LEFT(D60,3)="Yes","Blocked - Build/QA",IF(C60="NOT STARTED","Not Started",C60))))</f>
        <v>Not Started</v>
      </c>
    </row>
    <row r="61" spans="1:5">
      <c r="A61" t="s">
        <v>269</v>
      </c>
      <c r="B61" t="s">
        <v>265</v>
      </c>
      <c r="C61" t="s">
        <v>231</v>
      </c>
      <c r="E61" t="str">
        <f>IF(C61="Ready for Release in Prod","Blocked in Prod",IF(C61="RELEASED IN PROD","Released",IF(LEFT(D61,3)="Yes","Blocked - Build/QA",IF(C61="NOT STARTED","Not Started",C61))))</f>
        <v>Not Started</v>
      </c>
    </row>
    <row r="62" spans="1:5">
      <c r="A62" t="s">
        <v>271</v>
      </c>
      <c r="B62" t="s">
        <v>265</v>
      </c>
      <c r="C62" t="s">
        <v>231</v>
      </c>
      <c r="E62" t="str">
        <f>IF(C62="Ready for Release in Prod","Blocked in Prod",IF(C62="RELEASED IN PROD","Released",IF(LEFT(D62,3)="Yes","Blocked - Build/QA",IF(C62="NOT STARTED","Not Started",C62))))</f>
        <v>Not Started</v>
      </c>
    </row>
    <row r="63" spans="1:5">
      <c r="A63" t="s">
        <v>272</v>
      </c>
      <c r="B63" t="s">
        <v>265</v>
      </c>
      <c r="C63" t="s">
        <v>231</v>
      </c>
      <c r="E63" t="str">
        <f>IF(C63="Ready for Release in Prod","Blocked in Prod",IF(C63="RELEASED IN PROD","Released",IF(LEFT(D63,3)="Yes","Blocked - Build/QA",IF(C63="NOT STARTED","Not Started",C63))))</f>
        <v>Not Started</v>
      </c>
    </row>
    <row r="64" spans="1:5">
      <c r="A64" t="s">
        <v>274</v>
      </c>
      <c r="B64" t="s">
        <v>265</v>
      </c>
      <c r="C64" t="s">
        <v>231</v>
      </c>
      <c r="E64" t="str">
        <f>IF(C64="Ready for Release in Prod","Blocked in Prod",IF(C64="RELEASED IN PROD","Released",IF(LEFT(D64,3)="Yes","Blocked - Build/QA",IF(C64="NOT STARTED","Not Started",C64))))</f>
        <v>Not Started</v>
      </c>
    </row>
    <row r="65" spans="1:5">
      <c r="A65" t="s">
        <v>277</v>
      </c>
      <c r="B65" t="s">
        <v>265</v>
      </c>
      <c r="C65" t="s">
        <v>231</v>
      </c>
      <c r="E65" t="str">
        <f>IF(C65="Ready for Release in Prod","Blocked in Prod",IF(C65="RELEASED IN PROD","Released",IF(LEFT(D65,3)="Yes","Blocked - Build/QA",IF(C65="NOT STARTED","Not Started",C65))))</f>
        <v>Not Started</v>
      </c>
    </row>
    <row r="66" spans="1:5">
      <c r="A66" t="s">
        <v>279</v>
      </c>
      <c r="B66" t="s">
        <v>265</v>
      </c>
      <c r="C66" t="s">
        <v>231</v>
      </c>
      <c r="E66" t="str">
        <f>IF(C66="Ready for Release in Prod","Blocked in Prod",IF(C66="RELEASED IN PROD","Released",IF(LEFT(D66,3)="Yes","Blocked - Build/QA",IF(C66="NOT STARTED","Not Started",C66))))</f>
        <v>Not Started</v>
      </c>
    </row>
    <row r="67" spans="1:5">
      <c r="A67" t="s">
        <v>281</v>
      </c>
      <c r="B67" t="s">
        <v>265</v>
      </c>
      <c r="C67" t="s">
        <v>231</v>
      </c>
      <c r="E67" t="str">
        <f>IF(C67="Ready for Release in Prod","Blocked in Prod",IF(C67="RELEASED IN PROD","Released",IF(LEFT(D67,3)="Yes","Blocked - Build/QA",IF(C67="NOT STARTED","Not Started",C67))))</f>
        <v>Not Started</v>
      </c>
    </row>
    <row r="68" spans="1:5">
      <c r="A68" t="s">
        <v>282</v>
      </c>
      <c r="B68" t="s">
        <v>265</v>
      </c>
      <c r="C68" t="s">
        <v>231</v>
      </c>
      <c r="E68" t="str">
        <f>IF(C68="Ready for Release in Prod","Blocked in Prod",IF(C68="RELEASED IN PROD","Released",IF(LEFT(D68,3)="Yes","Blocked - Build/QA",IF(C68="NOT STARTED","Not Started",C68))))</f>
        <v>Not Started</v>
      </c>
    </row>
    <row r="69" spans="1:5">
      <c r="A69" t="s">
        <v>285</v>
      </c>
      <c r="B69" t="s">
        <v>265</v>
      </c>
      <c r="C69" t="s">
        <v>231</v>
      </c>
      <c r="E69" t="str">
        <f>IF(C69="Ready for Release in Prod","Blocked in Prod",IF(C69="RELEASED IN PROD","Released",IF(LEFT(D69,3)="Yes","Blocked - Build/QA",IF(C69="NOT STARTED","Not Started",C69))))</f>
        <v>Not Started</v>
      </c>
    </row>
    <row r="70" spans="1:5">
      <c r="A70" t="s">
        <v>287</v>
      </c>
      <c r="B70" t="s">
        <v>265</v>
      </c>
      <c r="C70" t="s">
        <v>231</v>
      </c>
      <c r="E70" t="str">
        <f>IF(C70="Ready for Release in Prod","Blocked in Prod",IF(C70="RELEASED IN PROD","Released",IF(LEFT(D70,3)="Yes","Blocked - Build/QA",IF(C70="NOT STARTED","Not Started",C70))))</f>
        <v>Not Started</v>
      </c>
    </row>
    <row r="71" spans="1:5">
      <c r="A71" t="s">
        <v>290</v>
      </c>
      <c r="B71" t="s">
        <v>265</v>
      </c>
      <c r="C71" t="s">
        <v>231</v>
      </c>
      <c r="E71" t="str">
        <f>IF(C71="Ready for Release in Prod","Blocked in Prod",IF(C71="RELEASED IN PROD","Released",IF(LEFT(D71,3)="Yes","Blocked - Build/QA",IF(C71="NOT STARTED","Not Started",C71))))</f>
        <v>Not Started</v>
      </c>
    </row>
    <row r="72" spans="1:5">
      <c r="A72" t="s">
        <v>291</v>
      </c>
      <c r="B72" t="s">
        <v>265</v>
      </c>
      <c r="C72" t="s">
        <v>231</v>
      </c>
      <c r="E72" t="str">
        <f>IF(C72="Ready for Release in Prod","Blocked in Prod",IF(C72="RELEASED IN PROD","Released",IF(LEFT(D72,3)="Yes","Blocked - Build/QA",IF(C72="NOT STARTED","Not Started",C72))))</f>
        <v>Not Started</v>
      </c>
    </row>
    <row r="73" spans="1:5">
      <c r="A73" t="s">
        <v>294</v>
      </c>
      <c r="B73" t="s">
        <v>265</v>
      </c>
      <c r="C73" t="s">
        <v>231</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2026-10-01T18:24:26Z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