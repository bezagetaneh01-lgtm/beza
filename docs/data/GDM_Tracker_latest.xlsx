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22" documentId="13_ncr:1_{52745E9B-3AA1-4770-AAD3-E6166BFC13AE}" xr6:coauthVersionLast="47" xr6:coauthVersionMax="47" xr10:uidLastSave="{E405D844-0D88-4120-88E9-E613CCD608B5}"/>
  <bookViews>
    <workbookView xWindow="28680" yWindow="-120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<sst xmlns="http://schemas.openxmlformats.org/spreadsheetml/2006/main" count="2954" uniqueCount="418">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</sst>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C1" activePane="topRight" state="frozen"/>
      <selection pane="topRight" activeCell="D117" sqref="D117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147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>
        <v>46275</v>
      </c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155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Blocked - needs PBI Dev to fix - unclaimed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46269</v>
      </c>
      <c r="X49" s="36"/>
      <c r="Y49" s="36"/>
      <c r="Z49" s="53">
        <v>46260</v>
      </c>
      <c r="AA49" s="36">
        <v>46274</v>
      </c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152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150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150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46265</v>
      </c>
      <c r="S59" s="36"/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:AK41 W42:AJ42 W43:AK44 W45:AJ47 W48:AK72 W73:AG73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AA2:AA72 AB2:AB3 Q2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B9" activePane="bottomLeft" state="frozen"/>
      <selection pane="bottomLeft" activeCell="J18" sqref="J18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46266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1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0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0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2</v>
      </c>
      <c r="R45">
        <f>IF($P45="","",SUMPRODUCT(($A$3:$A$499=$P45)*($G$3:$G$499&lt;&gt;"Yes")*($G$3:$G$499&lt;&gt;"Did not pass re-test")))</f>
        <v>2</v>
      </c>
      <c r="S45" s="28">
        <f>IF($P45="","",IF(SUMPRODUCT(MAX(($A$3:$A$499=$P45)*ROW($A$3:$A$499)))=0,"",INDEX($B:$B,SUMPRODUCT(MAX(($A$3:$A$499=$P45)*ROW($A$3:$A$499))))))</f>
        <v>46266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DB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A23:M499 B22:M22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A23:M499 B22:M22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326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345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147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410</v>
      </c>
      <c r="J4" t="s">
        <v>150</v>
      </c>
      <c r="L4" t="s">
        <v>49</v>
      </c>
      <c r="M4" t="s">
        <v>102</v>
      </c>
      <c r="N4" s="45" t="s">
        <v>409</v>
      </c>
      <c r="R4" t="s">
        <v>173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411</v>
      </c>
      <c r="M5" t="s">
        <v>87</v>
      </c>
      <c r="N5" s="45" t="s">
        <v>409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414</v>
      </c>
      <c r="M9" t="s">
        <v>161</v>
      </c>
      <c r="N9" s="45" t="s">
        <v>409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409</v>
      </c>
    </row>
    <row r="11" spans="1:20">
      <c r="B11" t="s">
        <v>415</v>
      </c>
      <c r="G11" t="s">
        <v>59</v>
      </c>
      <c r="M11" t="s">
        <v>75</v>
      </c>
      <c r="N11" s="45" t="s">
        <v>409</v>
      </c>
    </row>
    <row r="12" spans="1:20">
      <c r="B12" t="s">
        <v>416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417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2026-09-01T18:14:47Z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