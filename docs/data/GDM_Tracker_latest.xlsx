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406" documentId="13_ncr:1_{52745E9B-3AA1-4770-AAD3-E6166BFC13AE}" xr6:coauthVersionLast="47" xr6:coauthVersionMax="47" xr10:uidLastSave="{E2BD8D08-CBFB-4F62-B7F2-B55301AADEEB}"/>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2" l="1" a="1"/>
  <c r="AM78" i="2"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89" i="2" a="1"/>
  <c r="D88" i="2" a="1"/>
  <c r="D87" i="2" a="1"/>
  <c r="D83"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D90" i="2" s="1" a="1"/>
  <c r="AM89" i="2" a="1"/>
  <c r="AM88" i="2" a="1"/>
  <c r="AM87" i="2" a="1"/>
  <c r="AM86" i="2" a="1"/>
  <c r="D86" i="2" s="1" a="1"/>
  <c r="AM85" i="2" a="1"/>
  <c r="D85" i="2" s="1" a="1"/>
  <c r="AM84" i="2" a="1"/>
  <c r="D84" i="2" s="1" a="1"/>
  <c r="AM83" i="2" a="1"/>
  <c r="AM82" i="2" a="1"/>
  <c r="D82" i="2" s="1" a="1"/>
  <c r="AM81" i="2" a="1"/>
  <c r="AM80" i="2" a="1"/>
  <c r="D80" i="2" s="1"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B37" i="8" l="1" a="1"/>
  <c r="B35" i="8" a="1"/>
  <c r="D74" i="2" l="1" a="1"/>
  <c r="D73" i="2" l="1" a="1"/>
  <c r="D70" i="2" l="1" a="1"/>
  <c r="D64" i="2" l="1" a="1"/>
  <c r="B53" i="8" l="1" a="1"/>
  <c r="C3" i="10" l="1"/>
  <c r="A3" i="10"/>
  <c r="B53" i="8"/>
  <c r="B37" i="8"/>
  <c r="B35" i="8"/>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H12" i="8"/>
  <c r="G12" i="8"/>
  <c r="G17" i="8" s="1"/>
  <c r="I50" i="8" s="1"/>
  <c r="F12" i="8"/>
  <c r="E12" i="8"/>
  <c r="D12" i="8"/>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D74" i="2"/>
  <c r="AN73" i="2"/>
  <c r="AM73" i="2"/>
  <c r="AK73" i="2"/>
  <c r="D73" i="2"/>
  <c r="AN72" i="2"/>
  <c r="AM72" i="2"/>
  <c r="AK72" i="2"/>
  <c r="D72" i="2"/>
  <c r="AN71" i="2"/>
  <c r="AM71" i="2"/>
  <c r="AK71" i="2"/>
  <c r="D71" i="2"/>
  <c r="AN70" i="2"/>
  <c r="AM70" i="2"/>
  <c r="AK70" i="2"/>
  <c r="D70" i="2"/>
  <c r="AN69" i="2"/>
  <c r="AM69" i="2"/>
  <c r="AK69" i="2"/>
  <c r="D69" i="2"/>
  <c r="AN68" i="2"/>
  <c r="AM68" i="2"/>
  <c r="AK68" i="2"/>
  <c r="D68" i="2"/>
  <c r="AN67" i="2"/>
  <c r="AM67" i="2"/>
  <c r="AN66" i="2"/>
  <c r="AM66" i="2"/>
  <c r="AK66" i="2"/>
  <c r="D66" i="2"/>
  <c r="AN65" i="2"/>
  <c r="AM65" i="2"/>
  <c r="AK65" i="2"/>
  <c r="D65" i="2"/>
  <c r="AN64" i="2"/>
  <c r="AM64" i="2"/>
  <c r="AK64" i="2"/>
  <c r="D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D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C5" i="8" l="1"/>
  <c r="C17" i="8"/>
  <c r="I17" i="8"/>
  <c r="H17" i="8" s="1"/>
  <c r="F17" i="8" s="1"/>
  <c r="E17" i="8" s="1"/>
  <c r="D17" i="8" s="1"/>
  <c r="K17" i="8"/>
  <c r="M12" i="8"/>
  <c r="M13" i="8"/>
  <c r="M14" i="8"/>
  <c r="M15" i="8"/>
  <c r="M16" i="8"/>
  <c r="D81" i="2" s="1" a="1"/>
  <c r="D81" i="2" s="1"/>
  <c r="B3" i="8" l="1"/>
  <c r="B5" i="8"/>
  <c r="M8" i="8" a="1"/>
  <c r="M8" i="8" s="1"/>
  <c r="M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<sst xmlns="http://schemas.openxmlformats.org/spreadsheetml/2006/main" count="3733" uniqueCount="540">
  <si>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</si>
  <si>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</si>
  <si>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</si>
  <si>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</si>
  <si>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</si>
  <si>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</si>
  <si>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</si>
  <si>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</si>
  <si>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</si>
  <si>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</si>
  <si>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</si>
  <si>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</si>
  <si>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</si>
  <si>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</si>
  <si>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</si>
  <si>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</si>
  <si>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</si>
  <si>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</si>
  <si>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</si>
  <si>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</si>
  <si>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</si>
  <si>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</si>
  <si>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</si>
  <si>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</si>
  <si>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</si>
  <si>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</si>
  <si>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</si>
  <si>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</si>
  <si>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</si>
  <si>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</si>
  <si>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</si>
  <si>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</si>
  <si>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</si>
  <si>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</si>
  <si>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</si>
  <si>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</si>
  <si>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</si>
  <si>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</si>
  <si>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</si>
  <si>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</si>
  <si>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</si>
  <si>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</si>
  <si>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</si>
  <si>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</si>
  <si>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</si>
  <si>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</si>
  <si>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</si>
  <si>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</si>
  <si>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</si>
  <si>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</si>
  <si>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</si>
  <si>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</si>
  <si>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</si>
  <si>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</si>
  <si>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</si>
  <si>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</si>
  <si>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</si>
  <si>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</si>
  <si>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</si>
  <si>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</si>
  <si>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</si>
  <si>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</si>
  <si>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</si>
  <si>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</si>
  <si>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</si>
  <si>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</si>
  <si>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</si>
  <si>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</si>
  <si>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</si>
  <si>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</si>
  <si>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</si>
  <si>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</si>
  <si>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</si>
  <si>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</si>
  <si>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</si>
  <si>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</si>
  <si>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</si>
  <si>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</si>
  <si>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</si>
  <si>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</si>
  <si>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</si>
  <si>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</si>
  <si>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</si>
  <si>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</si>
  <si>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</si>
  <si>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</si>
  <si>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</si>
  <si>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</si>
  <si>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</si>
  <si>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</si>
  <si>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</si>
  <si>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</si>
  <si>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</si>
  <si>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</si>
  <si>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</si>
  <si>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</si>
  <si>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</si>
  <si>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</si>
  <si>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</si>
  <si>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</si>
  <si>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</si>
  <si>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</si>
  <si>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</si>
  <si>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</si>
  <si>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</si>
  <si>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</si>
  <si>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</si>
  <si>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</si>
  <si>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</si>
  <si>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</si>
  <si>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</si>
  <si>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</si>
  <si>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</si>
  <si>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</si>
  <si>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</si>
  <si>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</si>
  <si>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</si>
  <si>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</si>
  <si>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</si>
  <si>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</si>
  <si>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</si>
  <si>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</si>
  <si>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</si>
  <si>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</si>
  <si>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</si>
  <si>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</si>
  <si>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</si>
  <si>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</si>
  <si>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</si>
  <si>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</si>
  <si>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</si>
  <si>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</si>
  <si>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</si>
  <si>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</si>
  <si>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</si>
  <si>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</si>
  <si>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</si>
  <si>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</si>
  <si>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</si>
  <si>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</si>
  <si>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</si>
  <si>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</si>
  <si>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</si>
  <si>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</si>
  <si>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</si>
  <si>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</si>
  <si>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</si>
  <si>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</si>
  <si>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</si>
  <si>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</si>
  <si>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</si>
  <si>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</si>
  <si>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</si>
  <si>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</si>
  <si>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</si>
  <si>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</si>
  <si>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</si>
  <si>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</si>
  <si>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</si>
  <si>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</si>
  <si>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</si>
  <si>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</si>
  <si>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</si>
  <si>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</si>
  <si>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</si>
  <si>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</si>
  <si>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</si>
  <si>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</si>
  <si>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</si>
  <si>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</si>
  <si>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</si>
  <si>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</si>
  <si>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</si>
  <si>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</si>
  <si>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</si>
  <si>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</si>
  <si>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</si>
  <si>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</si>
  <si>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</si>
  <si>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</si>
  <si>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</si>
  <si>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</si>
  <si>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</si>
  <si>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</si>
  <si>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</si>
  <si>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</si>
  <si>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</si>
  <si>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</si>
  <si>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</si>
  <si>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</si>
  <si>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</si>
  <si>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</si>
  <si>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</si>
  <si>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olu</t>
  </si>
  <si>
    <t>September</t>
  </si>
  <si>
    <t>PI2, S5</t>
  </si>
  <si>
    <t>PI2,S6</t>
  </si>
  <si>
    <t>Simone Brooks</t>
  </si>
  <si>
    <t>9/11 : Ready for review. no DPO</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</si>
  <si>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</si>
  <si>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</si>
  <si>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</si>
  <si>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</si>
  <si>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</si>
  <si>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</si>
  <si>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</si>
  <si>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</si>
  <si>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</si>
  <si>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</si>
  <si>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</si>
  <si>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</si>
  <si>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</si>
  <si>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</si>
  <si>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</si>
  <si>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</si>
  <si>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</si>
  <si>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</si>
  <si>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</si>
  <si>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</si>
  <si>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</si>
  <si>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</si>
  <si>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</si>
  <si>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</si>
  <si>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</si>
  <si>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</si>
  <si>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</si>
  <si>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</si>
  <si>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</si>
  <si>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</si>
  <si>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</si>
  <si>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</si>
  <si>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</si>
  <si>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</si>
  <si>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</si>
  <si>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</si>
  <si>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</si>
  <si>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</si>
  <si>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</si>
  <si>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</si>
  <si>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</si>
  <si>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</si>
  <si>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</si>
  <si>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</si>
  <si>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</si>
  <si>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</si>
  <si>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</si>
  <si>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</si>
  <si>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</si>
  <si>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</si>
  <si>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</si>
  <si>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</si>
  <si>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</si>
  <si>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</si>
  <si>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</si>
  <si>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</si>
  <si>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</si>
  <si>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</si>
  <si>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DB Dev</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</si>
  <si>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</si>
  <si>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</si>
  <si>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</si>
  <si>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</si>
  <si>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</si>
  <si>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</si>
  <si>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</si>
  <si>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</si>
  <si>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</si>
  <si>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</si>
  <si>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</si>
  <si>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</si>
  <si>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</si>
  <si>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</si>
  <si>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</si>
  <si>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</si>
  <si>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</si>
  <si>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</si>
  <si>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</si>
  <si>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</si>
  <si>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</si>
  <si>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</si>
  <si>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</si>
  <si>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</si>
  <si>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</si>
  <si>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</si>
  <si>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</si>
  <si>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</si>
  <si>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</si>
  <si>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</si>
  <si>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</si>
  <si>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</si>
  <si>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</si>
  <si>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</si>
  <si>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</si>
  <si>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</si>
  <si>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</si>
  <si>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</si>
  <si>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</si>
  <si>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</si>
  <si>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</si>
  <si>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</si>
  <si>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</si>
  <si>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</si>
  <si>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</si>
  <si>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</si>
  <si>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</si>
  <si>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</si>
  <si>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</si>
  <si>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</si>
  <si>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</si>
  <si>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</si>
  <si>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</si>
  <si>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</si>
  <si>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</si>
  <si>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</si>
  <si>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</si>
  <si>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</si>
  <si>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</si>
  <si>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</si>
  <si>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</si>
  <si>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</si>
  <si>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</si>
  <si>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</si>
  <si>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</si>
  <si>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</si>
  <si>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</si>
  <si>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</si>
  <si>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</si>
  <si>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</si>
  <si>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</si>
  <si>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</si>
  <si>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</si>
  <si>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</si>
  <si>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</si>
  <si>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</si>
  <si>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</si>
  <si>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</si>
  <si>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</si>
  <si>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</si>
  <si>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</si>
  <si>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</si>
  <si>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</si>
  <si>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</si>
  <si>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</si>
  <si>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</si>
  <si>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</si>
  <si>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</si>
  <si>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</si>
  <si>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</si>
  <si>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</si>
  <si>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</si>
  <si>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</si>
  <si>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</si>
  <si>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</si>
  <si>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</si>
  <si>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</si>
  <si>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</si>
  <si>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</si>
  <si>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</si>
  <si>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</si>
  <si>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</si>
  <si>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</si>
  <si>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</si>
  <si>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</si>
  <si>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</si>
  <si>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</si>
  <si>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</si>
  <si>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</si>
  <si>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</si>
  <si>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</si>
  <si>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</si>
  <si>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</si>
  <si>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</si>
  <si>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</si>
  <si>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</si>
  <si>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</si>
  <si>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</si>
  <si>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</si>
  <si>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</si>
  <si>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</si>
  <si>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</si>
  <si>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</si>
  <si>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</si>
  <si>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</si>
  <si>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</si>
  <si>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</si>
  <si>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</si>
  <si>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</si>
  <si>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</si>
  <si>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</si>
  <si>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</si>
  <si>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</si>
  <si>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</si>
  <si>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</si>
  <si>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</si>
  <si>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</si>
  <si>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</si>
  <si>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</si>
  <si>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</si>
  <si>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</si>
  <si>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</si>
  <si>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</si>
  <si>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</si>
  <si>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</si>
  <si>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</si>
  <si>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</si>
  <si>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</si>
  <si>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</si>
  <si>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</si>
  <si>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</si>
  <si>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</si>
  <si>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</si>
  <si>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</si>
  <si>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</si>
  <si>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</si>
  <si>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</si>
  <si>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</si>
  <si>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</si>
  <si>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</si>
  <si>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</si>
  <si>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</si>
  <si>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</si>
  <si>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</si>
  <si>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</si>
  <si>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</si>
  <si>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</si>
  <si>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</si>
  <si>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Approval</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</si>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</sst>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7</c:v>
                </c:pt>
                <c:pt idx="3">
                  <c:v>1</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4</c:v>
                </c:pt>
                <c:pt idx="4">
                  <c:v>2</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8</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Q1" activePane="topRight" state="frozen"/>
      <selection pane="topRight" activeCell="R93" sqref="R93"/>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42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193</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v>46310</v>
      </c>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On track</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193</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193</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213</v>
      </c>
      <c r="C61" s="33" t="s">
        <v>128</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216</v>
      </c>
      <c r="C62" s="33" t="s">
        <v>128</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On track</v>
      </c>
      <c r="E62" s="33">
        <v>38</v>
      </c>
      <c r="F62" s="34" t="s">
        <v>193</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217</v>
      </c>
      <c r="AE62" s="33" t="s">
        <v>72</v>
      </c>
      <c r="AF62" s="38"/>
      <c r="AG62" s="36"/>
      <c r="AH62" s="39"/>
      <c r="AI62" s="33"/>
      <c r="AJ62" s="40" t="s">
        <v>53</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218</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193</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220</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222</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223</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224</v>
      </c>
      <c r="C67" s="33" t="s">
        <v>128</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228</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233</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193</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237</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193</v>
      </c>
      <c r="G70" s="33"/>
      <c r="H70" s="49">
        <v>46295</v>
      </c>
      <c r="I70" s="54" t="s">
        <v>238</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240</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193</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241</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244</v>
      </c>
      <c r="C73" s="31" t="s">
        <v>128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193</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248</v>
      </c>
      <c r="C74" s="31" t="s">
        <v>237</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193</v>
      </c>
      <c r="G74" s="31"/>
      <c r="H74" s="49">
        <v>46325</v>
      </c>
      <c r="I74" s="55" t="s">
        <v>245</v>
      </c>
      <c r="J74" s="53" t="s">
        <v>229</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249</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245</v>
      </c>
      <c r="J75" s="116" t="s">
        <v>59</v>
      </c>
      <c r="K75" s="120">
        <v>46304</v>
      </c>
      <c r="L75" s="120"/>
      <c r="M75" s="46">
        <v>46267</v>
      </c>
      <c r="N75" s="121" t="s">
        <v>250</v>
      </c>
      <c r="O75" s="121" t="s">
        <v>195</v>
      </c>
      <c r="P75" s="122"/>
      <c r="Q75" s="120">
        <v>46313</v>
      </c>
      <c r="R75" s="120"/>
      <c r="S75" s="121"/>
      <c r="T75" s="123" t="s">
        <v>246</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252</v>
      </c>
      <c r="C76" s="116" t="s">
        <v>253</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254</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255</v>
      </c>
      <c r="C77" s="116" t="s">
        <v>253</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256</v>
      </c>
      <c r="C79" s="127" t="s">
        <v>257</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245</v>
      </c>
      <c r="J79" s="127" t="s">
        <v>44</v>
      </c>
      <c r="K79" s="131">
        <v>46304</v>
      </c>
      <c r="L79" s="131">
        <v>46266</v>
      </c>
      <c r="M79" s="132">
        <v>46266</v>
      </c>
      <c r="N79" s="132"/>
      <c r="O79" s="132" t="s">
        <v>258</v>
      </c>
      <c r="P79" s="133" t="s">
        <v>60</v>
      </c>
      <c r="Q79" s="131">
        <v>46313</v>
      </c>
      <c r="R79" s="131">
        <v>46302</v>
      </c>
      <c r="S79" s="132"/>
      <c r="T79" s="134" t="s">
        <v>246</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261</v>
      </c>
      <c r="C80" s="31" t="s">
        <v>237</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Overdue</v>
      </c>
      <c r="E80" s="31">
        <v>55</v>
      </c>
      <c r="F80" s="31" t="s">
        <v>129</v>
      </c>
      <c r="G80" s="31"/>
      <c r="H80" s="49">
        <v>46326</v>
      </c>
      <c r="I80" s="55" t="s">
        <v>245</v>
      </c>
      <c r="J80" s="53" t="s">
        <v>76</v>
      </c>
      <c r="K80" s="43">
        <v>46304</v>
      </c>
      <c r="L80" s="43">
        <v>46266</v>
      </c>
      <c r="M80" s="46">
        <v>46266</v>
      </c>
      <c r="N80" s="44" t="s">
        <v>262</v>
      </c>
      <c r="O80" s="44" t="s">
        <v>195</v>
      </c>
      <c r="P80" s="74" t="s">
        <v>60</v>
      </c>
      <c r="Q80" s="43">
        <v>46313</v>
      </c>
      <c r="R80" s="43">
        <v>46297</v>
      </c>
      <c r="S80" s="44">
        <v>46317</v>
      </c>
      <c r="T80" s="69" t="s">
        <v>246</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265</v>
      </c>
      <c r="C81" s="31" t="s">
        <v>237</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245</v>
      </c>
      <c r="J81" s="33" t="s">
        <v>103</v>
      </c>
      <c r="K81" s="43">
        <v>46304</v>
      </c>
      <c r="L81" s="43">
        <v>46276</v>
      </c>
      <c r="M81" s="46">
        <v>46280</v>
      </c>
      <c r="N81" s="44" t="s">
        <v>45</v>
      </c>
      <c r="O81" s="44" t="s">
        <v>258</v>
      </c>
      <c r="P81" s="74" t="s">
        <v>60</v>
      </c>
      <c r="Q81" s="43">
        <v>46313</v>
      </c>
      <c r="R81" s="43">
        <v>46302</v>
      </c>
      <c r="S81" s="44">
        <v>46303</v>
      </c>
      <c r="T81" s="69" t="s">
        <v>246</v>
      </c>
      <c r="U81" s="46" t="s">
        <v>47</v>
      </c>
      <c r="V81" s="28">
        <v>46316</v>
      </c>
      <c r="W81" s="43"/>
      <c r="X81" s="32">
        <v>46309</v>
      </c>
      <c r="Y81" s="31"/>
      <c r="Z81" s="36"/>
      <c r="AA81" s="28">
        <v>46325</v>
      </c>
      <c r="AB81" s="43"/>
      <c r="AC81" s="43"/>
      <c r="AD81" s="31" t="s">
        <v>212</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266</v>
      </c>
      <c r="C82" s="127" t="s">
        <v>257</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245</v>
      </c>
      <c r="J82" s="33" t="s">
        <v>103</v>
      </c>
      <c r="K82" s="131">
        <v>46304</v>
      </c>
      <c r="L82" s="131">
        <v>46287</v>
      </c>
      <c r="M82" s="131">
        <v>46287</v>
      </c>
      <c r="N82" s="132" t="s">
        <v>262</v>
      </c>
      <c r="O82" s="132" t="s">
        <v>258</v>
      </c>
      <c r="P82" s="133" t="s">
        <v>60</v>
      </c>
      <c r="Q82" s="131">
        <v>46313</v>
      </c>
      <c r="R82" s="131">
        <v>46295</v>
      </c>
      <c r="S82" s="132">
        <v>46294</v>
      </c>
      <c r="T82" s="69" t="s">
        <v>246</v>
      </c>
      <c r="U82" s="135" t="s">
        <v>47</v>
      </c>
      <c r="V82" s="136">
        <v>46316</v>
      </c>
      <c r="W82" s="131"/>
      <c r="X82" s="135">
        <v>46301</v>
      </c>
      <c r="Y82" s="127"/>
      <c r="Z82" s="137"/>
      <c r="AA82" s="136">
        <v>46325</v>
      </c>
      <c r="AB82" s="131"/>
      <c r="AC82" s="131"/>
      <c r="AD82" s="127" t="s">
        <v>221</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267</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245</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270</v>
      </c>
      <c r="C84" s="31" t="s">
        <v>257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245</v>
      </c>
      <c r="J84" s="53" t="s">
        <v>76</v>
      </c>
      <c r="K84" s="43">
        <v>46304</v>
      </c>
      <c r="L84" s="43">
        <v>46268</v>
      </c>
      <c r="M84" s="46">
        <v>46268</v>
      </c>
      <c r="N84" s="44" t="s">
        <v>262</v>
      </c>
      <c r="O84" s="44" t="s">
        <v>258</v>
      </c>
      <c r="P84" s="74" t="s">
        <v>77</v>
      </c>
      <c r="Q84" s="43">
        <v>46313</v>
      </c>
      <c r="R84" s="43">
        <v>46294</v>
      </c>
      <c r="S84" s="44">
        <v>46294</v>
      </c>
      <c r="T84" s="69" t="s">
        <v>246</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272</v>
      </c>
      <c r="C85" s="31" t="s">
        <v>237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Overdue</v>
      </c>
      <c r="E85" s="31">
        <v>60</v>
      </c>
      <c r="F85" s="34" t="s">
        <v>193</v>
      </c>
      <c r="G85" s="31"/>
      <c r="H85" s="49">
        <v>46325</v>
      </c>
      <c r="I85" s="55" t="s">
        <v>245</v>
      </c>
      <c r="J85" s="53" t="s">
        <v>76</v>
      </c>
      <c r="K85" s="43">
        <v>46304</v>
      </c>
      <c r="L85" s="43">
        <v>46286</v>
      </c>
      <c r="M85" s="46">
        <v>46286</v>
      </c>
      <c r="N85" s="44" t="s">
        <v>262</v>
      </c>
      <c r="O85" s="44" t="s">
        <v>258</v>
      </c>
      <c r="P85" s="74" t="s">
        <v>60</v>
      </c>
      <c r="Q85" s="43">
        <v>46313</v>
      </c>
      <c r="R85" s="43">
        <v>46304</v>
      </c>
      <c r="S85" s="44">
        <v>46307</v>
      </c>
      <c r="T85" s="69" t="s">
        <v>246</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273</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193</v>
      </c>
      <c r="G86" s="31"/>
      <c r="H86" s="49">
        <v>46325</v>
      </c>
      <c r="I86" s="55" t="s">
        <v>245</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276</v>
      </c>
      <c r="C87" s="31" t="s">
        <v>253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193</v>
      </c>
      <c r="G87" s="31"/>
      <c r="H87" s="49">
        <v>46356</v>
      </c>
      <c r="I87" s="55" t="s">
        <v>238</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279</v>
      </c>
      <c r="C88" s="31" t="s">
        <v>257</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193</v>
      </c>
      <c r="G88" s="31"/>
      <c r="H88" s="49">
        <v>46356</v>
      </c>
      <c r="I88" s="55" t="s">
        <v>238</v>
      </c>
      <c r="J88" s="53" t="s">
        <v>59</v>
      </c>
      <c r="K88" s="49">
        <v>46332</v>
      </c>
      <c r="L88" s="43"/>
      <c r="M88" s="46">
        <v>46282</v>
      </c>
      <c r="N88" s="44" t="s">
        <v>250</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280</v>
      </c>
      <c r="C89" s="31" t="s">
        <v>257</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193</v>
      </c>
      <c r="G89" s="31"/>
      <c r="H89" s="49">
        <v>46356</v>
      </c>
      <c r="I89" s="55" t="s">
        <v>238</v>
      </c>
      <c r="J89" s="53" t="s">
        <v>59</v>
      </c>
      <c r="K89" s="49">
        <v>46332</v>
      </c>
      <c r="L89" s="43"/>
      <c r="M89" s="46">
        <v>46315</v>
      </c>
      <c r="N89" s="44" t="s">
        <v>262</v>
      </c>
      <c r="O89" s="44" t="s">
        <v>258</v>
      </c>
      <c r="P89" s="74" t="s">
        <v>77</v>
      </c>
      <c r="Q89" s="49">
        <v>46339</v>
      </c>
      <c r="R89" s="43"/>
      <c r="S89" s="44"/>
      <c r="T89" s="68" t="s">
        <v>281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282</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283</v>
      </c>
      <c r="C90" s="31" t="s">
        <v>237</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193</v>
      </c>
      <c r="G90" s="31"/>
      <c r="H90" s="49">
        <v>46356</v>
      </c>
      <c r="I90" s="55" t="s">
        <v>238</v>
      </c>
      <c r="J90" s="53" t="s">
        <v>229</v>
      </c>
      <c r="K90" s="49">
        <v>46332</v>
      </c>
      <c r="L90" s="43">
        <v>46282</v>
      </c>
      <c r="M90" s="44">
        <v>46282</v>
      </c>
      <c r="N90" s="44"/>
      <c r="O90" s="44" t="s">
        <v>258</v>
      </c>
      <c r="P90" s="74" t="s">
        <v>77</v>
      </c>
      <c r="Q90" s="49">
        <v>46339</v>
      </c>
      <c r="R90" s="43">
        <v>46324</v>
      </c>
      <c r="S90" s="44">
        <v>46324</v>
      </c>
      <c r="T90" s="68" t="s">
        <v>281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284</v>
      </c>
      <c r="C91" s="31" t="s">
        <v>253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193</v>
      </c>
      <c r="G91" s="31"/>
      <c r="H91" s="49">
        <v>46356</v>
      </c>
      <c r="I91" s="55" t="s">
        <v>238</v>
      </c>
      <c r="J91" s="53" t="s">
        <v>229</v>
      </c>
      <c r="K91" s="49">
        <v>46332</v>
      </c>
      <c r="L91" s="43">
        <v>46303</v>
      </c>
      <c r="M91" s="44">
        <v>46303</v>
      </c>
      <c r="N91" s="44"/>
      <c r="O91" s="36" t="s">
        <v>285</v>
      </c>
      <c r="P91" s="74" t="s">
        <v>286</v>
      </c>
      <c r="Q91" s="49">
        <v>46339</v>
      </c>
      <c r="R91" s="43"/>
      <c r="S91" s="44"/>
      <c r="T91" s="68" t="s">
        <v>281</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287</v>
      </c>
      <c r="C92" s="31" t="s">
        <v>253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238</v>
      </c>
      <c r="J92" s="53" t="s">
        <v>65</v>
      </c>
      <c r="K92" s="49">
        <v>46332</v>
      </c>
      <c r="L92" s="43">
        <v>46273</v>
      </c>
      <c r="M92" s="46">
        <v>46273</v>
      </c>
      <c r="N92" s="46" t="s">
        <v>147</v>
      </c>
      <c r="O92" s="44" t="s">
        <v>258</v>
      </c>
      <c r="P92" s="74" t="s">
        <v>286</v>
      </c>
      <c r="Q92" s="49">
        <v>46339</v>
      </c>
      <c r="R92" s="43"/>
      <c r="S92" s="44"/>
      <c r="T92" s="68" t="s">
        <v>281</v>
      </c>
      <c r="U92" s="46"/>
      <c r="V92" s="28">
        <v>46344</v>
      </c>
      <c r="W92" s="43"/>
      <c r="X92" s="31"/>
      <c r="Y92" s="31"/>
      <c r="Z92" s="36"/>
      <c r="AA92" s="28">
        <v>46356</v>
      </c>
      <c r="AB92" s="43"/>
      <c r="AC92" s="43"/>
      <c r="AD92" s="31" t="s">
        <v>288</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289</v>
      </c>
      <c r="C93" s="31" t="s">
        <v>253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193</v>
      </c>
      <c r="G93" s="31"/>
      <c r="H93" s="49">
        <v>46356</v>
      </c>
      <c r="I93" s="55" t="s">
        <v>238</v>
      </c>
      <c r="J93" s="53" t="s">
        <v>84</v>
      </c>
      <c r="K93" s="49">
        <v>46332</v>
      </c>
      <c r="L93" s="43">
        <v>46332</v>
      </c>
      <c r="M93" s="44">
        <v>46275</v>
      </c>
      <c r="N93" s="44"/>
      <c r="O93" s="44" t="s">
        <v>258</v>
      </c>
      <c r="P93" s="74" t="s">
        <v>77</v>
      </c>
      <c r="Q93" s="49">
        <v>46339</v>
      </c>
      <c r="R93" s="43"/>
      <c r="S93" s="44"/>
      <c r="T93" s="68" t="s">
        <v>281</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290</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291</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238</v>
      </c>
      <c r="J94" s="53" t="s">
        <v>155</v>
      </c>
      <c r="K94" s="49">
        <v>46332</v>
      </c>
      <c r="L94" s="43">
        <v>46303</v>
      </c>
      <c r="M94" s="43">
        <v>46308</v>
      </c>
      <c r="N94" s="46" t="s">
        <v>147</v>
      </c>
      <c r="O94" s="36" t="s">
        <v>285</v>
      </c>
      <c r="P94" s="74" t="s">
        <v>60</v>
      </c>
      <c r="Q94" s="49">
        <v>46339</v>
      </c>
      <c r="R94" s="43">
        <v>46325</v>
      </c>
      <c r="S94" s="44"/>
      <c r="T94" s="68" t="s">
        <v>281</v>
      </c>
      <c r="U94" s="46"/>
      <c r="V94" s="28">
        <v>46344</v>
      </c>
      <c r="W94" s="43"/>
      <c r="X94" s="31"/>
      <c r="Y94" s="31"/>
      <c r="Z94" s="36"/>
      <c r="AA94" s="28">
        <v>46356</v>
      </c>
      <c r="AB94" s="43"/>
      <c r="AC94" s="43"/>
      <c r="AD94" s="31" t="s">
        <v>292</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293</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193</v>
      </c>
      <c r="G95" s="31"/>
      <c r="H95" s="49">
        <v>46356</v>
      </c>
      <c r="I95" s="55" t="s">
        <v>238</v>
      </c>
      <c r="J95" s="53" t="s">
        <v>155</v>
      </c>
      <c r="K95" s="49">
        <v>46332</v>
      </c>
      <c r="L95" s="43">
        <v>46301</v>
      </c>
      <c r="M95" s="43">
        <v>46301</v>
      </c>
      <c r="N95" s="46" t="s">
        <v>147</v>
      </c>
      <c r="O95" s="36" t="s">
        <v>285</v>
      </c>
      <c r="P95" s="74" t="s">
        <v>77</v>
      </c>
      <c r="Q95" s="49">
        <v>46339</v>
      </c>
      <c r="R95" s="43"/>
      <c r="S95" s="44"/>
      <c r="T95" s="68" t="s">
        <v>281</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294</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193</v>
      </c>
      <c r="G96" s="31"/>
      <c r="H96" s="49">
        <v>46356</v>
      </c>
      <c r="I96" s="55" t="s">
        <v>238</v>
      </c>
      <c r="J96" s="53" t="s">
        <v>76</v>
      </c>
      <c r="K96" s="49">
        <v>46332</v>
      </c>
      <c r="L96" s="43">
        <v>46310</v>
      </c>
      <c r="M96" s="44"/>
      <c r="N96" s="44"/>
      <c r="O96" s="36" t="s">
        <v>285</v>
      </c>
      <c r="P96" s="74" t="s">
        <v>77</v>
      </c>
      <c r="Q96" s="49">
        <v>46339</v>
      </c>
      <c r="R96" s="43"/>
      <c r="S96" s="44"/>
      <c r="T96" s="68" t="s">
        <v>295</v>
      </c>
      <c r="U96" s="46"/>
      <c r="V96" s="28">
        <v>46344</v>
      </c>
      <c r="W96" s="43"/>
      <c r="X96" s="31"/>
      <c r="Y96" s="31"/>
      <c r="Z96" s="36"/>
      <c r="AA96" s="28">
        <v>46356</v>
      </c>
      <c r="AB96" s="43"/>
      <c r="AC96" s="43"/>
      <c r="AD96" s="31" t="s">
        <v>296</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297</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238</v>
      </c>
      <c r="J97" s="53" t="s">
        <v>76</v>
      </c>
      <c r="K97" s="49">
        <v>46332</v>
      </c>
      <c r="L97" s="43">
        <v>46297</v>
      </c>
      <c r="M97" s="44"/>
      <c r="N97" s="44" t="s">
        <v>262</v>
      </c>
      <c r="O97" s="36" t="s">
        <v>285</v>
      </c>
      <c r="P97" s="74" t="s">
        <v>60</v>
      </c>
      <c r="Q97" s="49">
        <v>46339</v>
      </c>
      <c r="R97" s="43"/>
      <c r="S97" s="44"/>
      <c r="T97" s="68" t="s">
        <v>295</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299</v>
      </c>
      <c r="C98" s="31" t="s">
        <v>257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238</v>
      </c>
      <c r="J98" s="33" t="s">
        <v>103</v>
      </c>
      <c r="K98" s="49">
        <v>46332</v>
      </c>
      <c r="L98" s="49">
        <v>46332</v>
      </c>
      <c r="M98" s="44">
        <v>46316</v>
      </c>
      <c r="N98" s="44"/>
      <c r="O98" s="36" t="s">
        <v>285</v>
      </c>
      <c r="P98" s="74" t="s">
        <v>77</v>
      </c>
      <c r="Q98" s="49">
        <v>46339</v>
      </c>
      <c r="R98" s="43"/>
      <c r="S98" s="44"/>
      <c r="T98" s="68" t="s">
        <v>295</v>
      </c>
      <c r="U98" s="46"/>
      <c r="V98" s="28">
        <v>46344</v>
      </c>
      <c r="W98" s="43"/>
      <c r="X98" s="31"/>
      <c r="Y98" s="31"/>
      <c r="Z98" s="36"/>
      <c r="AA98" s="28">
        <v>46356</v>
      </c>
      <c r="AB98" s="43"/>
      <c r="AC98" s="43"/>
      <c r="AD98" s="31" t="s">
        <v>300</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301</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v>84</v>
      </c>
      <c r="F99" s="34" t="s">
        <v>193</v>
      </c>
      <c r="G99" s="31"/>
      <c r="H99" s="49">
        <v>46356</v>
      </c>
      <c r="I99" s="55" t="s">
        <v>238</v>
      </c>
      <c r="J99" s="33" t="s">
        <v>103</v>
      </c>
      <c r="K99" s="49">
        <v>46332</v>
      </c>
      <c r="L99" s="49">
        <v>46332</v>
      </c>
      <c r="M99" s="44">
        <v>46296</v>
      </c>
      <c r="N99" s="44" t="s">
        <v>147</v>
      </c>
      <c r="O99" s="36" t="s">
        <v>285</v>
      </c>
      <c r="P99" s="74" t="s">
        <v>60</v>
      </c>
      <c r="Q99" s="49">
        <v>46339</v>
      </c>
      <c r="R99" s="43">
        <v>46323</v>
      </c>
      <c r="S99" s="44"/>
      <c r="T99" s="68" t="s">
        <v>295</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302</v>
      </c>
      <c r="C100" s="31" t="s">
        <v>257</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303</v>
      </c>
      <c r="F100" s="31" t="s">
        <v>129</v>
      </c>
      <c r="G100" s="31"/>
      <c r="H100" s="49">
        <v>46356</v>
      </c>
      <c r="I100" s="55" t="s">
        <v>238</v>
      </c>
      <c r="J100" s="53" t="s">
        <v>65</v>
      </c>
      <c r="K100" s="49">
        <v>46332</v>
      </c>
      <c r="L100" s="43">
        <v>46302</v>
      </c>
      <c r="M100" s="44">
        <v>46314</v>
      </c>
      <c r="N100" s="46" t="s">
        <v>147</v>
      </c>
      <c r="O100" s="44" t="s">
        <v>258</v>
      </c>
      <c r="P100" s="74" t="s">
        <v>60</v>
      </c>
      <c r="Q100" s="49">
        <v>46339</v>
      </c>
      <c r="R100" s="43"/>
      <c r="S100" s="44"/>
      <c r="T100" s="68" t="s">
        <v>295</v>
      </c>
      <c r="U100" s="46"/>
      <c r="V100" s="28">
        <v>46344</v>
      </c>
      <c r="W100" s="43"/>
      <c r="X100" s="31"/>
      <c r="Y100" s="31"/>
      <c r="Z100" s="36"/>
      <c r="AA100" s="28">
        <v>46356</v>
      </c>
      <c r="AB100" s="43"/>
      <c r="AC100" s="43"/>
      <c r="AD100" s="31" t="s">
        <v>304</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305</v>
      </c>
      <c r="C101" s="31" t="s">
        <v>253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238</v>
      </c>
      <c r="J101" s="53" t="s">
        <v>84</v>
      </c>
      <c r="K101" s="49">
        <v>46332</v>
      </c>
      <c r="L101" s="43">
        <v>46332</v>
      </c>
      <c r="M101" s="44">
        <v>46297</v>
      </c>
      <c r="N101" s="44"/>
      <c r="O101" s="36" t="s">
        <v>285</v>
      </c>
      <c r="P101" s="74" t="s">
        <v>77</v>
      </c>
      <c r="Q101" s="49">
        <v>46339</v>
      </c>
      <c r="R101" s="43"/>
      <c r="S101" s="44"/>
      <c r="T101" s="68" t="s">
        <v>295</v>
      </c>
      <c r="U101" s="46"/>
      <c r="V101" s="28">
        <v>46344</v>
      </c>
      <c r="W101" s="43"/>
      <c r="X101" s="31"/>
      <c r="Y101" s="31"/>
      <c r="Z101" s="36"/>
      <c r="AA101" s="28">
        <v>46356</v>
      </c>
      <c r="AB101" s="43"/>
      <c r="AC101" s="43"/>
      <c r="AD101" s="31" t="s">
        <v>306</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307</v>
      </c>
      <c r="B102" s="31" t="s">
        <v>308</v>
      </c>
      <c r="C102" s="31" t="s">
        <v>257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309</v>
      </c>
      <c r="J102" s="53" t="s">
        <v>59</v>
      </c>
      <c r="K102" s="28">
        <v>46363</v>
      </c>
      <c r="L102" s="43"/>
      <c r="M102" s="31"/>
      <c r="N102" s="31"/>
      <c r="O102" s="36" t="s">
        <v>285</v>
      </c>
      <c r="P102" s="74"/>
      <c r="Q102" s="28">
        <v>46370</v>
      </c>
      <c r="R102" s="43"/>
      <c r="S102" s="31"/>
      <c r="T102" s="68" t="s">
        <v>295</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307</v>
      </c>
      <c r="B103" s="31" t="s">
        <v>311</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309</v>
      </c>
      <c r="J103" s="53" t="s">
        <v>44</v>
      </c>
      <c r="K103" s="28">
        <v>46363</v>
      </c>
      <c r="L103" s="43">
        <v>46301</v>
      </c>
      <c r="M103" s="31"/>
      <c r="N103" s="31"/>
      <c r="O103" s="36" t="s">
        <v>285</v>
      </c>
      <c r="P103" s="74"/>
      <c r="Q103" s="28">
        <v>46370</v>
      </c>
      <c r="R103" s="43"/>
      <c r="S103" s="31"/>
      <c r="T103" s="68" t="s">
        <v>312</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307</v>
      </c>
      <c r="B104" s="31" t="s">
        <v>314</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309</v>
      </c>
      <c r="J104" s="53" t="s">
        <v>44</v>
      </c>
      <c r="K104" s="28">
        <v>46363</v>
      </c>
      <c r="L104" s="43">
        <v>46301</v>
      </c>
      <c r="M104" s="31"/>
      <c r="N104" s="31"/>
      <c r="O104" s="36" t="s">
        <v>285</v>
      </c>
      <c r="P104" s="74"/>
      <c r="Q104" s="28">
        <v>46370</v>
      </c>
      <c r="R104" s="43"/>
      <c r="S104" s="31"/>
      <c r="T104" s="68" t="s">
        <v>312</v>
      </c>
      <c r="U104" s="46"/>
      <c r="V104" s="28">
        <v>46373</v>
      </c>
      <c r="W104" s="43"/>
      <c r="X104" s="31"/>
      <c r="Y104" s="31"/>
      <c r="Z104" s="36"/>
      <c r="AA104" s="28">
        <v>46386</v>
      </c>
      <c r="AB104" s="43"/>
      <c r="AC104" s="43"/>
      <c r="AD104" s="31" t="s">
        <v>315</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316</v>
      </c>
      <c r="B105" s="31" t="s">
        <v>317</v>
      </c>
      <c r="C105" s="31" t="s">
        <v>253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309</v>
      </c>
      <c r="J105" s="53" t="s">
        <v>84</v>
      </c>
      <c r="K105" s="28">
        <v>46363</v>
      </c>
      <c r="L105" s="43">
        <v>46304</v>
      </c>
      <c r="M105" s="32">
        <v>46302</v>
      </c>
      <c r="N105" s="31"/>
      <c r="O105" s="36" t="s">
        <v>285</v>
      </c>
      <c r="P105" s="74"/>
      <c r="Q105" s="28">
        <v>46370</v>
      </c>
      <c r="R105" s="43"/>
      <c r="S105" s="31"/>
      <c r="T105" s="68" t="s">
        <v>312</v>
      </c>
      <c r="U105" s="46"/>
      <c r="V105" s="28">
        <v>46373</v>
      </c>
      <c r="W105" s="43"/>
      <c r="X105" s="31"/>
      <c r="Y105" s="31"/>
      <c r="Z105" s="36"/>
      <c r="AA105" s="28">
        <v>46386</v>
      </c>
      <c r="AB105" s="43"/>
      <c r="AC105" s="43"/>
      <c r="AD105" s="31" t="s">
        <v>318</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307</v>
      </c>
      <c r="B106" s="31" t="s">
        <v>319</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309</v>
      </c>
      <c r="J106" s="53" t="s">
        <v>84</v>
      </c>
      <c r="K106" s="28">
        <v>46363</v>
      </c>
      <c r="L106" s="28">
        <v>46363</v>
      </c>
      <c r="M106" s="32">
        <v>46310</v>
      </c>
      <c r="N106" s="31"/>
      <c r="O106" s="36" t="s">
        <v>320</v>
      </c>
      <c r="P106" s="74"/>
      <c r="Q106" s="28">
        <v>46370</v>
      </c>
      <c r="R106" s="43"/>
      <c r="S106" s="31"/>
      <c r="T106" s="68" t="s">
        <v>312</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307</v>
      </c>
      <c r="B107" s="31" t="s">
        <v>322</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309</v>
      </c>
      <c r="J107" s="53" t="s">
        <v>84</v>
      </c>
      <c r="K107" s="28">
        <v>46363</v>
      </c>
      <c r="L107" s="28">
        <v>46363</v>
      </c>
      <c r="M107" s="32">
        <v>46307</v>
      </c>
      <c r="N107" s="31"/>
      <c r="O107" s="36" t="s">
        <v>320</v>
      </c>
      <c r="P107" s="74"/>
      <c r="Q107" s="28">
        <v>46370</v>
      </c>
      <c r="R107" s="43"/>
      <c r="S107" s="31"/>
      <c r="T107" s="68" t="s">
        <v>312</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307</v>
      </c>
      <c r="B108" s="31" t="s">
        <v>324</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309</v>
      </c>
      <c r="J108" s="53" t="s">
        <v>84</v>
      </c>
      <c r="K108" s="28">
        <v>46363</v>
      </c>
      <c r="L108" s="28">
        <v>46363</v>
      </c>
      <c r="M108" s="32">
        <v>46308</v>
      </c>
      <c r="N108" s="31"/>
      <c r="O108" s="36" t="s">
        <v>320</v>
      </c>
      <c r="P108" s="74"/>
      <c r="Q108" s="28">
        <v>46370</v>
      </c>
      <c r="R108" s="43"/>
      <c r="S108" s="31"/>
      <c r="T108" s="68" t="s">
        <v>312</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307</v>
      </c>
      <c r="B109" s="31" t="s">
        <v>326</v>
      </c>
      <c r="C109" s="31" t="s">
        <v>257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309</v>
      </c>
      <c r="J109" s="53" t="s">
        <v>327</v>
      </c>
      <c r="K109" s="28">
        <v>46363</v>
      </c>
      <c r="L109" s="43">
        <v>46321</v>
      </c>
      <c r="M109" s="31"/>
      <c r="N109" s="31"/>
      <c r="O109" s="36" t="s">
        <v>320</v>
      </c>
      <c r="P109" s="74"/>
      <c r="Q109" s="28">
        <v>46370</v>
      </c>
      <c r="R109" s="43"/>
      <c r="S109" s="31"/>
      <c r="T109" s="68" t="s">
        <v>312</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316</v>
      </c>
      <c r="B110" s="31" t="s">
        <v>329</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309</v>
      </c>
      <c r="J110" s="53" t="s">
        <v>155</v>
      </c>
      <c r="K110" s="28">
        <v>46363</v>
      </c>
      <c r="L110" s="32">
        <v>46315</v>
      </c>
      <c r="M110" s="32">
        <v>46310</v>
      </c>
      <c r="N110" s="44" t="s">
        <v>262</v>
      </c>
      <c r="O110" s="36" t="s">
        <v>320</v>
      </c>
      <c r="P110" s="74"/>
      <c r="Q110" s="28">
        <v>46370</v>
      </c>
      <c r="R110" s="43"/>
      <c r="S110" s="31"/>
      <c r="T110" s="68" t="s">
        <v>330</v>
      </c>
      <c r="U110" s="46"/>
      <c r="V110" s="28">
        <v>46373</v>
      </c>
      <c r="W110" s="43"/>
      <c r="X110" s="31"/>
      <c r="Y110" s="31"/>
      <c r="Z110" s="36"/>
      <c r="AA110" s="28">
        <v>46386</v>
      </c>
      <c r="AB110" s="43"/>
      <c r="AC110" s="43"/>
      <c r="AD110" s="31" t="s">
        <v>331</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307</v>
      </c>
      <c r="B111" s="31" t="s">
        <v>332</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309</v>
      </c>
      <c r="J111" s="53" t="s">
        <v>155</v>
      </c>
      <c r="K111" s="28">
        <v>46363</v>
      </c>
      <c r="L111" s="32">
        <v>46310</v>
      </c>
      <c r="M111" s="32">
        <v>46308</v>
      </c>
      <c r="N111" s="44" t="s">
        <v>262</v>
      </c>
      <c r="O111" s="36" t="s">
        <v>320</v>
      </c>
      <c r="P111" s="74"/>
      <c r="Q111" s="28">
        <v>46370</v>
      </c>
      <c r="R111" s="43"/>
      <c r="S111" s="31"/>
      <c r="T111" s="68" t="s">
        <v>330</v>
      </c>
      <c r="U111" s="46"/>
      <c r="V111" s="28">
        <v>46373</v>
      </c>
      <c r="W111" s="43"/>
      <c r="X111" s="31"/>
      <c r="Y111" s="31"/>
      <c r="Z111" s="36"/>
      <c r="AA111" s="28">
        <v>46386</v>
      </c>
      <c r="AB111" s="43"/>
      <c r="AC111" s="43"/>
      <c r="AD111" s="31" t="s">
        <v>333</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316</v>
      </c>
      <c r="B112" s="31" t="s">
        <v>334</v>
      </c>
      <c r="C112" s="31" t="s">
        <v>253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309</v>
      </c>
      <c r="J112" s="53" t="s">
        <v>76</v>
      </c>
      <c r="K112" s="28">
        <v>46363</v>
      </c>
      <c r="L112" s="43"/>
      <c r="M112" s="31"/>
      <c r="N112" s="31"/>
      <c r="O112" s="36" t="s">
        <v>320</v>
      </c>
      <c r="P112" s="74"/>
      <c r="Q112" s="28">
        <v>46370</v>
      </c>
      <c r="R112" s="43"/>
      <c r="S112" s="31"/>
      <c r="T112" s="68" t="s">
        <v>330</v>
      </c>
      <c r="U112" s="46"/>
      <c r="V112" s="28">
        <v>46373</v>
      </c>
      <c r="W112" s="43"/>
      <c r="X112" s="31"/>
      <c r="Y112" s="31"/>
      <c r="Z112" s="36"/>
      <c r="AA112" s="28">
        <v>46386</v>
      </c>
      <c r="AB112" s="43"/>
      <c r="AC112" s="43"/>
      <c r="AD112" s="31" t="s">
        <v>335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316</v>
      </c>
      <c r="B113" s="31" t="s">
        <v>336</v>
      </c>
      <c r="C113" s="31" t="s">
        <v>253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309</v>
      </c>
      <c r="J113" s="53" t="s">
        <v>229</v>
      </c>
      <c r="K113" s="28">
        <v>46363</v>
      </c>
      <c r="L113" s="43"/>
      <c r="M113" s="31"/>
      <c r="N113" s="31"/>
      <c r="O113" s="36" t="s">
        <v>320</v>
      </c>
      <c r="P113" s="74"/>
      <c r="Q113" s="28">
        <v>46370</v>
      </c>
      <c r="R113" s="43"/>
      <c r="S113" s="31"/>
      <c r="T113" s="68" t="s">
        <v>330</v>
      </c>
      <c r="U113" s="46"/>
      <c r="V113" s="28">
        <v>46373</v>
      </c>
      <c r="W113" s="43"/>
      <c r="X113" s="31"/>
      <c r="Y113" s="31"/>
      <c r="Z113" s="36"/>
      <c r="AA113" s="28">
        <v>46386</v>
      </c>
      <c r="AB113" s="43"/>
      <c r="AC113" s="43"/>
      <c r="AD113" s="31" t="s">
        <v>331</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316</v>
      </c>
      <c r="B114" s="31" t="s">
        <v>337</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309</v>
      </c>
      <c r="J114" s="53" t="s">
        <v>155</v>
      </c>
      <c r="K114" s="28">
        <v>46363</v>
      </c>
      <c r="L114" s="32">
        <v>46318</v>
      </c>
      <c r="M114" s="32">
        <v>46316</v>
      </c>
      <c r="N114" s="44" t="s">
        <v>262</v>
      </c>
      <c r="O114" s="36" t="s">
        <v>320</v>
      </c>
      <c r="P114" s="74"/>
      <c r="Q114" s="28">
        <v>46370</v>
      </c>
      <c r="R114" s="43"/>
      <c r="S114" s="31"/>
      <c r="T114" s="68" t="s">
        <v>330</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316</v>
      </c>
      <c r="B115" s="31" t="s">
        <v>338</v>
      </c>
      <c r="C115" s="31" t="s">
        <v>253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309</v>
      </c>
      <c r="J115" s="53" t="s">
        <v>84</v>
      </c>
      <c r="K115" s="28">
        <v>46363</v>
      </c>
      <c r="L115" s="43">
        <v>46363</v>
      </c>
      <c r="M115" s="31"/>
      <c r="N115" s="31"/>
      <c r="O115" s="36" t="s">
        <v>320</v>
      </c>
      <c r="P115" s="74"/>
      <c r="Q115" s="28">
        <v>46370</v>
      </c>
      <c r="R115" s="43"/>
      <c r="S115" s="31"/>
      <c r="T115" s="68" t="s">
        <v>330</v>
      </c>
      <c r="U115" s="46"/>
      <c r="V115" s="28">
        <v>46373</v>
      </c>
      <c r="W115" s="43"/>
      <c r="X115" s="31"/>
      <c r="Y115" s="31"/>
      <c r="Z115" s="36"/>
      <c r="AA115" s="28">
        <v>46386</v>
      </c>
      <c r="AB115" s="43"/>
      <c r="AC115" s="43"/>
      <c r="AD115" s="31" t="s">
        <v>335</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316</v>
      </c>
      <c r="B116" s="31" t="s">
        <v>339</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309</v>
      </c>
      <c r="J116" s="53" t="s">
        <v>155</v>
      </c>
      <c r="K116" s="28">
        <v>46363</v>
      </c>
      <c r="L116" s="32">
        <v>46318</v>
      </c>
      <c r="M116" s="32">
        <v>46318</v>
      </c>
      <c r="N116" s="44" t="s">
        <v>262</v>
      </c>
      <c r="O116" s="36" t="s">
        <v>340</v>
      </c>
      <c r="P116" s="74"/>
      <c r="Q116" s="28">
        <v>46370</v>
      </c>
      <c r="R116" s="43"/>
      <c r="S116" s="31"/>
      <c r="T116" s="68" t="s">
        <v>330</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341</v>
      </c>
      <c r="B117" s="31" t="s">
        <v>342</v>
      </c>
      <c r="C117" s="31" t="s">
        <v>253</v>
      </c>
      <c r="E117" s="31">
        <v>1</v>
      </c>
      <c r="F117" s="31" t="s">
        <v>144</v>
      </c>
      <c r="G117" s="31"/>
      <c r="H117" s="28">
        <v>46418</v>
      </c>
      <c r="I117" s="55" t="s">
        <v>343</v>
      </c>
      <c r="J117" s="53" t="s">
        <v>65</v>
      </c>
      <c r="K117" s="28">
        <v>46387</v>
      </c>
      <c r="L117" s="43">
        <v>46324</v>
      </c>
      <c r="M117" s="32">
        <v>46324</v>
      </c>
      <c r="N117" s="31" t="s">
        <v>147</v>
      </c>
      <c r="O117" s="36" t="s">
        <v>340</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341</v>
      </c>
      <c r="B118" s="31" t="s">
        <v>344</v>
      </c>
      <c r="C118" s="31" t="s">
        <v>253</v>
      </c>
      <c r="E118" s="31">
        <v>2</v>
      </c>
      <c r="F118" s="31" t="s">
        <v>144</v>
      </c>
      <c r="G118" s="31"/>
      <c r="H118" s="28">
        <v>46418</v>
      </c>
      <c r="I118" s="55" t="s">
        <v>343</v>
      </c>
      <c r="J118" s="53" t="s">
        <v>44</v>
      </c>
      <c r="K118" s="28">
        <v>46387</v>
      </c>
      <c r="L118" s="43"/>
      <c r="M118" s="31"/>
      <c r="N118" s="31"/>
      <c r="O118" s="36" t="s">
        <v>340</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341</v>
      </c>
      <c r="B119" s="31" t="s">
        <v>345</v>
      </c>
      <c r="C119" s="31" t="s">
        <v>253</v>
      </c>
      <c r="E119" s="31">
        <v>3</v>
      </c>
      <c r="F119" s="31" t="s">
        <v>144</v>
      </c>
      <c r="G119" s="31"/>
      <c r="H119" s="28">
        <v>46418</v>
      </c>
      <c r="I119" s="55" t="s">
        <v>343</v>
      </c>
      <c r="J119" s="53" t="s">
        <v>44</v>
      </c>
      <c r="K119" s="28">
        <v>46387</v>
      </c>
      <c r="L119" s="43"/>
      <c r="M119" s="31"/>
      <c r="N119" s="31"/>
      <c r="O119" s="36" t="s">
        <v>340</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341</v>
      </c>
      <c r="B120" s="31" t="s">
        <v>346</v>
      </c>
      <c r="C120" s="31" t="s">
        <v>253</v>
      </c>
      <c r="E120" s="31">
        <v>4</v>
      </c>
      <c r="F120" s="31" t="s">
        <v>144</v>
      </c>
      <c r="G120" s="31"/>
      <c r="H120" s="28">
        <v>46418</v>
      </c>
      <c r="I120" s="55" t="s">
        <v>343</v>
      </c>
      <c r="J120" s="53" t="s">
        <v>59</v>
      </c>
      <c r="K120" s="28">
        <v>46387</v>
      </c>
      <c r="L120" s="43"/>
      <c r="M120" s="31"/>
      <c r="N120" s="31"/>
      <c r="O120" s="36" t="s">
        <v>340</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341</v>
      </c>
      <c r="B121" s="31" t="s">
        <v>347</v>
      </c>
      <c r="C121" s="31" t="s">
        <v>253</v>
      </c>
      <c r="E121" s="31">
        <v>5</v>
      </c>
      <c r="F121" s="31" t="s">
        <v>144</v>
      </c>
      <c r="G121" s="31"/>
      <c r="H121" s="28">
        <v>46418</v>
      </c>
      <c r="I121" s="55" t="s">
        <v>343</v>
      </c>
      <c r="J121" s="53" t="s">
        <v>229</v>
      </c>
      <c r="K121" s="28">
        <v>46387</v>
      </c>
      <c r="L121" s="43"/>
      <c r="M121" s="31"/>
      <c r="N121" s="31"/>
      <c r="O121" s="36" t="s">
        <v>340</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341</v>
      </c>
      <c r="B122" s="31" t="s">
        <v>348</v>
      </c>
      <c r="C122" s="31" t="s">
        <v>253</v>
      </c>
      <c r="E122" s="31">
        <v>6</v>
      </c>
      <c r="F122" s="31" t="s">
        <v>144</v>
      </c>
      <c r="G122" s="31"/>
      <c r="H122" s="28">
        <v>46418</v>
      </c>
      <c r="I122" s="55" t="s">
        <v>343</v>
      </c>
      <c r="J122" s="53" t="s">
        <v>65</v>
      </c>
      <c r="K122" s="28">
        <v>46387</v>
      </c>
      <c r="L122" s="43"/>
      <c r="M122" s="31"/>
      <c r="N122" s="31"/>
      <c r="O122" s="36" t="s">
        <v>340</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341</v>
      </c>
      <c r="B123" s="31" t="s">
        <v>349</v>
      </c>
      <c r="C123" s="31" t="s">
        <v>253</v>
      </c>
      <c r="E123" s="31">
        <v>7</v>
      </c>
      <c r="F123" s="31" t="s">
        <v>144</v>
      </c>
      <c r="G123" s="31"/>
      <c r="H123" s="28">
        <v>46418</v>
      </c>
      <c r="I123" s="55" t="s">
        <v>343</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341</v>
      </c>
      <c r="B124" s="31" t="s">
        <v>350</v>
      </c>
      <c r="C124" s="31" t="s">
        <v>253</v>
      </c>
      <c r="E124" s="31">
        <v>8</v>
      </c>
      <c r="F124" s="31" t="s">
        <v>144</v>
      </c>
      <c r="G124" s="31"/>
      <c r="H124" s="28">
        <v>46418</v>
      </c>
      <c r="I124" s="55" t="s">
        <v>343</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117:F120 G2:V40 W2:Y54 N3:N44 L41:V42 G43:V64 G65:Q65 T65:V65 G66:V73 G41:J42 Z2:AL2 Z3 Z4:AL41 Z42:AK42 Z43:AL44 Z45:AK47 Z48:AL72 W55:X55 W56:Y58 W59:X59 W60:Y70 W71 Z73:AH101 Z102:AE116 AB3:AL3 AJ30:AJ42 AJ44:AJ48 AJ117 A121:A124 A2:F88">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351</v>
      </c>
    </row>
    <row r="2" spans="1:5">
      <c r="A2" s="6" t="s">
        <v>352</v>
      </c>
    </row>
    <row r="4" spans="1:5" ht="21.95" customHeight="1">
      <c r="A4" s="5" t="s">
        <v>353</v>
      </c>
      <c r="B4" s="267"/>
      <c r="C4" s="268"/>
      <c r="D4" s="268"/>
      <c r="E4" s="268"/>
    </row>
    <row r="6" spans="1:5">
      <c r="A6" s="42" t="s">
        <v>0</v>
      </c>
      <c r="B6" s="223" t="str">
        <f>IF($B$4="","",IFERROR(INDEX('Combined Delivery Data'!$A:$A,MATCH($B$4,'Combined Delivery Data'!$B:$B,0)),""))</f>
        <v/>
      </c>
      <c r="C6" s="269"/>
      <c r="D6" s="269"/>
      <c r="E6" s="270"/>
    </row>
    <row r="7" spans="1:5">
      <c r="A7" s="42" t="s">
        <v>354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355</v>
      </c>
      <c r="B14" s="222" t="str">
        <f>IF($B$4="","",IFERROR(INDEX('Combined Delivery Data'!$K:$K,MATCH($B$4,'Combined Delivery Data'!$B:$B,0)),""))</f>
        <v/>
      </c>
      <c r="C14" s="269"/>
      <c r="D14" s="269"/>
      <c r="E14" s="270"/>
    </row>
    <row r="15" spans="1:5">
      <c r="A15" s="42" t="s">
        <v>356</v>
      </c>
      <c r="B15" s="222" t="str">
        <f>IF($B$4="","",IFERROR(INDEX('Combined Delivery Data'!$L:$L,MATCH($B$4,'Combined Delivery Data'!$B:$B,0)),""))</f>
        <v/>
      </c>
      <c r="C15" s="269"/>
      <c r="D15" s="269"/>
      <c r="E15" s="270"/>
    </row>
    <row r="16" spans="1:5">
      <c r="A16" s="42" t="s">
        <v>357</v>
      </c>
      <c r="B16" s="222" t="str">
        <f>IF($B$4="","",IFERROR(INDEX('Combined Delivery Data'!$M:$M,MATCH($B$4,'Combined Delivery Data'!$B:$B,0)),""))</f>
        <v/>
      </c>
      <c r="C16" s="269"/>
      <c r="D16" s="269"/>
      <c r="E16" s="270"/>
    </row>
    <row r="17" spans="1:5">
      <c r="A17" s="42" t="s">
        <v>358</v>
      </c>
      <c r="B17" s="222" t="str">
        <f>IF($B$4="","",IFERROR(INDEX('Combined Delivery Data'!$O:$O,MATCH($B$4,'Combined Delivery Data'!$B:$B,0)),""))</f>
        <v/>
      </c>
      <c r="C17" s="269"/>
      <c r="D17" s="269"/>
      <c r="E17" s="270"/>
    </row>
    <row r="18" spans="1:5">
      <c r="A18" s="42" t="s">
        <v>359</v>
      </c>
      <c r="B18" s="222" t="str">
        <f>IF($B$4="","",IFERROR(INDEX('Combined Delivery Data'!$Q:$Q,MATCH($B$4,'Combined Delivery Data'!$B:$B,0)),""))</f>
        <v/>
      </c>
      <c r="C18" s="269"/>
      <c r="D18" s="269"/>
      <c r="E18" s="270"/>
    </row>
    <row r="19" spans="1:5">
      <c r="A19" s="42" t="s">
        <v>360</v>
      </c>
      <c r="B19" s="222" t="str">
        <f>IF($B$4="","",IFERROR(INDEX('Combined Delivery Data'!$R:$R,MATCH($B$4,'Combined Delivery Data'!$B:$B,0)),""))</f>
        <v/>
      </c>
      <c r="C19" s="269"/>
      <c r="D19" s="269"/>
      <c r="E19" s="270"/>
    </row>
    <row r="20" spans="1:5">
      <c r="A20" s="42" t="s">
        <v>361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362</v>
      </c>
      <c r="B26" s="223" t="str">
        <f>IF($B$4="","",IFERROR(INDEX('Rework Log'!$Q:$Q,MATCH($B$4,'Rework Log'!$P:$P,0)),""))</f>
        <v/>
      </c>
      <c r="C26" s="269"/>
      <c r="D26" s="269"/>
      <c r="E26" s="270"/>
    </row>
    <row r="27" spans="1:5">
      <c r="A27" s="42" t="s">
        <v>363</v>
      </c>
      <c r="B27" s="223" t="str">
        <f>IF($B$4="","",IFERROR(INDEX('Rework Log'!$R:$R,MATCH($B$4,'Rework Log'!$P:$P,0)),""))</f>
        <v/>
      </c>
      <c r="C27" s="269"/>
      <c r="D27" s="269"/>
      <c r="E27" s="270"/>
    </row>
    <row r="28" spans="1:5">
      <c r="A28" s="42" t="s">
        <v>364</v>
      </c>
      <c r="B28" s="223" t="str">
        <f>IF($B$4="","",IFERROR(INDEX('Rework Log'!$S:$S,MATCH($B$4,'Rework Log'!$P:$P,0)),""))</f>
        <v/>
      </c>
      <c r="C28" s="269"/>
      <c r="D28" s="269"/>
      <c r="E28" s="270"/>
    </row>
    <row r="29" spans="1:5">
      <c r="A29" s="42" t="s">
        <v>365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366</v>
      </c>
      <c r="C1" s="17" t="s">
        <v>367</v>
      </c>
      <c r="D1" s="17" t="s">
        <v>368</v>
      </c>
      <c r="E1" s="17" t="s">
        <v>369</v>
      </c>
      <c r="F1" s="17" t="s">
        <v>370</v>
      </c>
      <c r="G1" s="17" t="s">
        <v>371</v>
      </c>
      <c r="H1" s="56" t="s">
        <v>372</v>
      </c>
      <c r="I1" s="30" t="s">
        <v>373</v>
      </c>
      <c r="J1" s="30" t="s">
        <v>374</v>
      </c>
      <c r="K1" s="30" t="s">
        <v>375</v>
      </c>
      <c r="L1" s="30" t="s">
        <v>376</v>
      </c>
      <c r="M1" s="21" t="s">
        <v>377</v>
      </c>
      <c r="N1" s="21" t="s">
        <v>378</v>
      </c>
      <c r="P1" s="13" t="s">
        <v>1</v>
      </c>
      <c r="Q1" s="13" t="s">
        <v>362</v>
      </c>
      <c r="R1" s="13" t="s">
        <v>363</v>
      </c>
      <c r="S1" s="13" t="s">
        <v>364</v>
      </c>
      <c r="T1" s="13" t="s">
        <v>365</v>
      </c>
    </row>
    <row r="2" spans="1:20">
      <c r="A2" s="33" t="s">
        <v>143</v>
      </c>
      <c r="B2" s="36">
        <v>46230</v>
      </c>
      <c r="C2" s="33" t="s">
        <v>237</v>
      </c>
      <c r="D2" s="33" t="s">
        <v>257</v>
      </c>
      <c r="E2" s="33" t="s">
        <v>144</v>
      </c>
      <c r="F2" s="33" t="s">
        <v>379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237</v>
      </c>
      <c r="D3" s="31" t="s">
        <v>257</v>
      </c>
      <c r="E3" s="31" t="s">
        <v>144</v>
      </c>
      <c r="F3" s="31" t="s">
        <v>380</v>
      </c>
      <c r="G3" s="31" t="s">
        <v>50</v>
      </c>
      <c r="H3" s="32" t="s">
        <v>155</v>
      </c>
      <c r="I3" s="32"/>
      <c r="J3" s="32">
        <v>46247</v>
      </c>
      <c r="K3" s="31" t="s">
        <v>60</v>
      </c>
      <c r="L3" s="31" t="s">
        <v>381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237</v>
      </c>
      <c r="D4" s="31" t="s">
        <v>257</v>
      </c>
      <c r="E4" s="31" t="s">
        <v>129</v>
      </c>
      <c r="F4" s="31" t="s">
        <v>382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237</v>
      </c>
      <c r="D5" s="31" t="s">
        <v>257</v>
      </c>
      <c r="E5" s="31" t="s">
        <v>129</v>
      </c>
      <c r="F5" s="31" t="s">
        <v>383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237</v>
      </c>
      <c r="D6" s="31" t="s">
        <v>257</v>
      </c>
      <c r="E6" s="31" t="s">
        <v>129</v>
      </c>
      <c r="F6" s="31" t="s">
        <v>384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237</v>
      </c>
      <c r="D7" s="31" t="s">
        <v>257</v>
      </c>
      <c r="E7" s="31" t="s">
        <v>129</v>
      </c>
      <c r="F7" s="31" t="s">
        <v>385</v>
      </c>
      <c r="G7" s="31" t="s">
        <v>50</v>
      </c>
      <c r="H7" s="32" t="s">
        <v>65</v>
      </c>
      <c r="I7" s="32"/>
      <c r="J7" s="32">
        <v>46251</v>
      </c>
      <c r="K7" s="31"/>
      <c r="L7" s="31"/>
      <c r="M7" s="3" t="str">
        <f t="shared" ca="1" si="4"/>
        <v>Fixed</v>
      </c>
      <c r="N7" t="s">
        <v>386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237</v>
      </c>
      <c r="D8" s="31" t="s">
        <v>257</v>
      </c>
      <c r="E8" s="31" t="s">
        <v>144</v>
      </c>
      <c r="F8" s="31" t="s">
        <v>387</v>
      </c>
      <c r="G8" s="31" t="s">
        <v>50</v>
      </c>
      <c r="H8" s="32" t="s">
        <v>155</v>
      </c>
      <c r="I8" s="32"/>
      <c r="J8" s="32">
        <v>46254</v>
      </c>
      <c r="K8" s="31"/>
      <c r="L8" s="31"/>
      <c r="M8" s="3" t="str">
        <f t="shared" ca="1" si="4"/>
        <v>Fixed</v>
      </c>
      <c r="N8" t="s">
        <v>386</v>
      </c>
      <c r="P8" t="str">
        <f>'Combined Delivery Data'!B11</f>
        <v>RPT_04_SEI Leak Activity</v>
      </c>
      <c r="Q8">
        <f t="shared" si="0"/>
        <v>0</v>
      </c>
      <c r="R8">
        <f t="shared" si="1"/>
        <v>0</v>
      </c>
      <c r="S8" s="28" t="str">
        <f t="shared" si="2"/>
        <v/>
      </c>
      <c r="T8" t="str">
        <f t="shared" si="3"/>
        <v/>
      </c>
    </row>
    <row r="9" spans="1:20">
      <c r="A9" s="31" t="s">
        <v>143</v>
      </c>
      <c r="B9" s="32">
        <v>46237</v>
      </c>
      <c r="C9" s="31" t="s">
        <v>237</v>
      </c>
      <c r="D9" s="31" t="s">
        <v>257</v>
      </c>
      <c r="E9" s="31" t="s">
        <v>144</v>
      </c>
      <c r="F9" s="31" t="s">
        <v>380</v>
      </c>
      <c r="G9" s="31" t="s">
        <v>50</v>
      </c>
      <c r="H9" s="32" t="s">
        <v>84</v>
      </c>
      <c r="I9" s="32"/>
      <c r="J9" s="32">
        <v>46252</v>
      </c>
      <c r="K9" s="31"/>
      <c r="L9" s="31"/>
      <c r="M9" s="3" t="str">
        <f t="shared" ca="1" si="4"/>
        <v>Fixed</v>
      </c>
      <c r="N9" t="s">
        <v>386</v>
      </c>
      <c r="P9" t="str">
        <f>'Combined Delivery Data'!B12</f>
        <v>RPT_04_CMS Leak Productivity</v>
      </c>
      <c r="Q9">
        <f t="shared" si="0"/>
        <v>0</v>
      </c>
      <c r="R9">
        <f t="shared" si="1"/>
        <v>0</v>
      </c>
      <c r="S9" s="28" t="str">
        <f t="shared" si="2"/>
        <v/>
      </c>
      <c r="T9" t="str">
        <f t="shared" si="3"/>
        <v/>
      </c>
    </row>
    <row r="10" spans="1:20">
      <c r="A10" s="53" t="s">
        <v>135</v>
      </c>
      <c r="B10" s="32">
        <v>46254</v>
      </c>
      <c r="C10" s="31" t="s">
        <v>237</v>
      </c>
      <c r="D10" s="31" t="s">
        <v>257</v>
      </c>
      <c r="E10" s="31" t="s">
        <v>129</v>
      </c>
      <c r="F10" s="31" t="s">
        <v>382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237</v>
      </c>
      <c r="D11" s="31" t="s">
        <v>257</v>
      </c>
      <c r="E11" s="31" t="s">
        <v>144</v>
      </c>
      <c r="F11" s="31" t="s">
        <v>388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389</v>
      </c>
      <c r="P11" t="str">
        <f>'Combined Delivery Data'!B14</f>
        <v>RPT_04_Leak Summary Status</v>
      </c>
      <c r="Q11">
        <f t="shared" si="0"/>
        <v>0</v>
      </c>
      <c r="R11">
        <f t="shared" si="1"/>
        <v>0</v>
      </c>
      <c r="S11" s="28" t="str">
        <f t="shared" si="2"/>
        <v/>
      </c>
      <c r="T11" t="str">
        <f t="shared" si="3"/>
        <v/>
      </c>
    </row>
    <row r="12" spans="1:20">
      <c r="A12" s="53" t="s">
        <v>139</v>
      </c>
      <c r="B12" s="32">
        <v>46258</v>
      </c>
      <c r="C12" s="31" t="s">
        <v>237</v>
      </c>
      <c r="D12" s="31" t="s">
        <v>257</v>
      </c>
      <c r="E12" s="31" t="s">
        <v>129</v>
      </c>
      <c r="F12" s="31" t="s">
        <v>390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237</v>
      </c>
      <c r="D13" s="31" t="s">
        <v>200</v>
      </c>
      <c r="E13" s="31" t="s">
        <v>144</v>
      </c>
      <c r="F13" s="31" t="s">
        <v>391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237</v>
      </c>
      <c r="D14" s="31" t="s">
        <v>200</v>
      </c>
      <c r="E14" s="31" t="s">
        <v>144</v>
      </c>
      <c r="F14" s="31" t="s">
        <v>392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237</v>
      </c>
      <c r="D15" s="31" t="s">
        <v>257</v>
      </c>
      <c r="E15" s="31" t="s">
        <v>144</v>
      </c>
      <c r="F15" s="31" t="s">
        <v>393</v>
      </c>
      <c r="G15" s="31" t="s">
        <v>50</v>
      </c>
      <c r="H15" s="32" t="s">
        <v>65</v>
      </c>
      <c r="I15" s="32"/>
      <c r="J15" s="32">
        <v>46258</v>
      </c>
      <c r="K15" s="31"/>
      <c r="L15" s="31"/>
      <c r="M15" s="3" t="str">
        <f t="shared" ca="1" si="4"/>
        <v>Fixed</v>
      </c>
      <c r="N15" t="s">
        <v>389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237</v>
      </c>
      <c r="D16" s="31" t="s">
        <v>200</v>
      </c>
      <c r="E16" s="31" t="s">
        <v>144</v>
      </c>
      <c r="F16" s="31" t="s">
        <v>394</v>
      </c>
      <c r="G16" s="31" t="s">
        <v>50</v>
      </c>
      <c r="H16" s="32" t="s">
        <v>46</v>
      </c>
      <c r="I16" s="32"/>
      <c r="J16" s="32"/>
      <c r="K16" s="31"/>
      <c r="L16" s="31"/>
      <c r="M16" s="3"/>
      <c r="S16" s="28"/>
    </row>
    <row r="17" spans="1:20">
      <c r="A17" s="33" t="s">
        <v>181</v>
      </c>
      <c r="B17" s="32">
        <v>46261</v>
      </c>
      <c r="C17" s="31" t="s">
        <v>237</v>
      </c>
      <c r="D17" s="31" t="s">
        <v>257</v>
      </c>
      <c r="E17" s="31" t="s">
        <v>129</v>
      </c>
      <c r="F17" s="31" t="s">
        <v>395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237</v>
      </c>
      <c r="D18" s="31" t="s">
        <v>200</v>
      </c>
      <c r="E18" s="31" t="s">
        <v>144</v>
      </c>
      <c r="F18" s="31" t="s">
        <v>396</v>
      </c>
      <c r="G18" s="31" t="s">
        <v>50</v>
      </c>
      <c r="H18" s="32" t="s">
        <v>46</v>
      </c>
      <c r="I18" s="32"/>
      <c r="J18" s="32">
        <v>46266</v>
      </c>
      <c r="K18" s="31"/>
      <c r="L18" s="31"/>
      <c r="M18" s="3" t="str">
        <f t="shared" ca="1" si="4"/>
        <v>Fixed</v>
      </c>
      <c r="N18" t="s">
        <v>386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237</v>
      </c>
      <c r="D19" s="31" t="s">
        <v>200</v>
      </c>
      <c r="E19" s="31" t="s">
        <v>47</v>
      </c>
      <c r="F19" s="31" t="s">
        <v>397</v>
      </c>
      <c r="G19" s="31" t="s">
        <v>50</v>
      </c>
      <c r="H19" s="32" t="s">
        <v>77</v>
      </c>
      <c r="I19" s="32">
        <v>46265</v>
      </c>
      <c r="J19" s="32">
        <v>46265</v>
      </c>
      <c r="K19" s="31" t="s">
        <v>77</v>
      </c>
      <c r="L19" s="31" t="s">
        <v>398</v>
      </c>
      <c r="M19" s="3" t="str">
        <f t="shared" ca="1" si="4"/>
        <v>Fixed</v>
      </c>
      <c r="N19" t="s">
        <v>389</v>
      </c>
      <c r="P19" t="str">
        <f>'Combined Delivery Data'!B14</f>
        <v>RPT_04_Leak Summary Status</v>
      </c>
      <c r="Q19">
        <f t="shared" si="5"/>
        <v>0</v>
      </c>
      <c r="R19">
        <f t="shared" si="6"/>
        <v>0</v>
      </c>
      <c r="S19" s="28" t="str">
        <f t="shared" si="7"/>
        <v/>
      </c>
      <c r="T19" t="str">
        <f t="shared" si="8"/>
        <v/>
      </c>
    </row>
    <row r="20" spans="1:20">
      <c r="A20" s="31" t="s">
        <v>175</v>
      </c>
      <c r="B20" s="32">
        <v>46265</v>
      </c>
      <c r="C20" s="31" t="s">
        <v>237</v>
      </c>
      <c r="D20" s="31" t="s">
        <v>257</v>
      </c>
      <c r="E20" s="31" t="s">
        <v>47</v>
      </c>
      <c r="F20" s="31" t="s">
        <v>399</v>
      </c>
      <c r="G20" s="31" t="s">
        <v>50</v>
      </c>
      <c r="H20" s="32" t="s">
        <v>84</v>
      </c>
      <c r="I20" s="32">
        <v>46266</v>
      </c>
      <c r="J20" s="32">
        <v>46266</v>
      </c>
      <c r="K20" s="31"/>
      <c r="L20" s="31" t="s">
        <v>400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237</v>
      </c>
      <c r="D21" s="31" t="s">
        <v>257</v>
      </c>
      <c r="E21" s="31" t="s">
        <v>129</v>
      </c>
      <c r="F21" s="31" t="s">
        <v>401</v>
      </c>
      <c r="G21" s="31" t="s">
        <v>50</v>
      </c>
      <c r="H21" s="32" t="s">
        <v>59</v>
      </c>
      <c r="I21" s="32"/>
      <c r="J21" s="32">
        <v>46266</v>
      </c>
      <c r="K21" s="31" t="s">
        <v>59</v>
      </c>
      <c r="L21" s="31"/>
      <c r="M21" s="3" t="str">
        <f t="shared" ca="1" si="4"/>
        <v>Fixed</v>
      </c>
      <c r="N21" t="s">
        <v>389</v>
      </c>
      <c r="P21" t="str">
        <f>'Combined Delivery Data'!B21</f>
        <v>RPT_04_Leak Life Cycle</v>
      </c>
      <c r="Q21">
        <f t="shared" si="5"/>
        <v>0</v>
      </c>
      <c r="R21">
        <f t="shared" si="6"/>
        <v>0</v>
      </c>
      <c r="S21" s="28" t="str">
        <f t="shared" si="7"/>
        <v/>
      </c>
      <c r="T21" t="str">
        <f t="shared" si="8"/>
        <v/>
      </c>
    </row>
    <row r="22" spans="1:20">
      <c r="A22" s="31" t="s">
        <v>169</v>
      </c>
      <c r="B22" s="32">
        <v>46266</v>
      </c>
      <c r="C22" s="31" t="s">
        <v>237</v>
      </c>
      <c r="D22" s="31" t="s">
        <v>200</v>
      </c>
      <c r="E22" s="31" t="s">
        <v>47</v>
      </c>
      <c r="F22" s="31" t="s">
        <v>402</v>
      </c>
      <c r="G22" s="31" t="s">
        <v>50</v>
      </c>
      <c r="H22" s="32" t="s">
        <v>46</v>
      </c>
      <c r="I22" s="32">
        <v>46267</v>
      </c>
      <c r="J22" s="32">
        <v>46268</v>
      </c>
      <c r="K22" s="31" t="s">
        <v>46</v>
      </c>
      <c r="L22" s="31" t="s">
        <v>400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237</v>
      </c>
      <c r="D23" s="31" t="s">
        <v>200</v>
      </c>
      <c r="E23" s="31" t="s">
        <v>47</v>
      </c>
      <c r="F23" s="31" t="s">
        <v>403</v>
      </c>
      <c r="G23" s="31" t="s">
        <v>50</v>
      </c>
      <c r="H23" s="32" t="s">
        <v>46</v>
      </c>
      <c r="I23" s="138">
        <v>46267</v>
      </c>
      <c r="J23" s="32">
        <v>46268</v>
      </c>
      <c r="K23" s="31" t="s">
        <v>46</v>
      </c>
      <c r="L23" s="31" t="s">
        <v>400</v>
      </c>
      <c r="M23" s="3" t="str">
        <f t="shared" ca="1" si="4"/>
        <v>Fixed</v>
      </c>
      <c r="N23" t="s">
        <v>389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237</v>
      </c>
      <c r="D24" s="31" t="s">
        <v>200</v>
      </c>
      <c r="E24" s="31" t="s">
        <v>47</v>
      </c>
      <c r="F24" s="76" t="s">
        <v>404</v>
      </c>
      <c r="G24" s="31" t="s">
        <v>50</v>
      </c>
      <c r="H24" s="32" t="s">
        <v>46</v>
      </c>
      <c r="I24" s="32">
        <v>46267</v>
      </c>
      <c r="J24" s="32">
        <v>46268</v>
      </c>
      <c r="K24" s="31" t="s">
        <v>46</v>
      </c>
      <c r="L24" s="31" t="s">
        <v>400</v>
      </c>
      <c r="M24" s="3" t="str">
        <f t="shared" ca="1" si="4"/>
        <v>Fixed</v>
      </c>
      <c r="N24" s="33" t="s">
        <v>389</v>
      </c>
      <c r="P24" t="str">
        <f>'Combined Delivery Data'!B24</f>
        <v>Leak 360 Dashboard</v>
      </c>
      <c r="Q24">
        <f t="shared" si="5"/>
        <v>0</v>
      </c>
      <c r="R24">
        <f t="shared" si="6"/>
        <v>0</v>
      </c>
      <c r="S24" s="28" t="str">
        <f t="shared" si="7"/>
        <v/>
      </c>
      <c r="T24" t="str">
        <f t="shared" si="8"/>
        <v/>
      </c>
    </row>
    <row r="25" spans="1:20">
      <c r="A25" s="53" t="s">
        <v>186</v>
      </c>
      <c r="B25" s="32">
        <v>46267</v>
      </c>
      <c r="C25" s="31" t="s">
        <v>237</v>
      </c>
      <c r="D25" s="31" t="s">
        <v>200</v>
      </c>
      <c r="E25" s="31" t="s">
        <v>129</v>
      </c>
      <c r="F25" s="31" t="s">
        <v>405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237</v>
      </c>
      <c r="D26" s="31" t="s">
        <v>257</v>
      </c>
      <c r="E26" s="31" t="s">
        <v>129</v>
      </c>
      <c r="F26" s="31" t="s">
        <v>395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389</v>
      </c>
      <c r="P26" t="str">
        <f>'Combined Delivery Data'!B26</f>
        <v>RPT_04_Main_Replacement Report</v>
      </c>
      <c r="Q26">
        <f t="shared" si="5"/>
        <v>0</v>
      </c>
      <c r="R26">
        <f t="shared" si="6"/>
        <v>0</v>
      </c>
      <c r="S26" s="28" t="str">
        <f t="shared" si="7"/>
        <v/>
      </c>
      <c r="T26" t="str">
        <f t="shared" si="8"/>
        <v/>
      </c>
    </row>
    <row r="27" spans="1:20">
      <c r="A27" s="31" t="s">
        <v>156</v>
      </c>
      <c r="B27" s="32">
        <v>46267</v>
      </c>
      <c r="C27" s="31" t="s">
        <v>237</v>
      </c>
      <c r="D27" s="31" t="s">
        <v>200</v>
      </c>
      <c r="E27" s="31" t="s">
        <v>144</v>
      </c>
      <c r="F27" s="31" t="s">
        <v>406</v>
      </c>
      <c r="G27" s="31" t="s">
        <v>50</v>
      </c>
      <c r="H27" s="32" t="s">
        <v>77</v>
      </c>
      <c r="I27" s="32"/>
      <c r="J27" s="32">
        <v>46267</v>
      </c>
      <c r="K27" s="31" t="s">
        <v>77</v>
      </c>
      <c r="L27" s="31" t="s">
        <v>407</v>
      </c>
      <c r="M27" s="3" t="str">
        <f t="shared" ca="1" si="4"/>
        <v>Fixed</v>
      </c>
      <c r="N27" t="s">
        <v>389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237</v>
      </c>
      <c r="D28" s="31" t="s">
        <v>200</v>
      </c>
      <c r="E28" s="31" t="s">
        <v>129</v>
      </c>
      <c r="F28" s="31" t="s">
        <v>406</v>
      </c>
      <c r="G28" s="31" t="s">
        <v>50</v>
      </c>
      <c r="H28" s="32" t="s">
        <v>77</v>
      </c>
      <c r="I28" s="32"/>
      <c r="J28" s="32">
        <v>46267</v>
      </c>
      <c r="K28" s="31" t="s">
        <v>77</v>
      </c>
      <c r="L28" s="113" t="s">
        <v>407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237</v>
      </c>
      <c r="D29" s="31" t="s">
        <v>200</v>
      </c>
      <c r="E29" s="31" t="s">
        <v>129</v>
      </c>
      <c r="F29" s="31" t="s">
        <v>406</v>
      </c>
      <c r="G29" s="31" t="s">
        <v>50</v>
      </c>
      <c r="H29" s="32" t="s">
        <v>77</v>
      </c>
      <c r="I29" s="32"/>
      <c r="J29" s="32">
        <v>46267</v>
      </c>
      <c r="K29" s="31" t="s">
        <v>77</v>
      </c>
      <c r="L29" s="113" t="s">
        <v>407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237</v>
      </c>
      <c r="D30" s="31" t="s">
        <v>257</v>
      </c>
      <c r="E30" s="31" t="s">
        <v>129</v>
      </c>
      <c r="F30" s="31" t="s">
        <v>408</v>
      </c>
      <c r="G30" s="31" t="s">
        <v>50</v>
      </c>
      <c r="H30" s="32" t="s">
        <v>155</v>
      </c>
      <c r="I30" s="32"/>
      <c r="J30" s="32">
        <v>46267</v>
      </c>
      <c r="K30" s="31" t="s">
        <v>155</v>
      </c>
      <c r="L30" s="31"/>
      <c r="M30" s="3" t="str">
        <f t="shared" ca="1" si="4"/>
        <v>Fixed</v>
      </c>
      <c r="N30" t="s">
        <v>389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237</v>
      </c>
      <c r="D31" s="31" t="s">
        <v>257</v>
      </c>
      <c r="E31" s="31" t="s">
        <v>47</v>
      </c>
      <c r="F31" s="31" t="s">
        <v>409</v>
      </c>
      <c r="G31" s="31" t="s">
        <v>50</v>
      </c>
      <c r="H31" s="32" t="s">
        <v>103</v>
      </c>
      <c r="I31" s="32">
        <v>46269</v>
      </c>
      <c r="J31" s="32">
        <v>46269</v>
      </c>
      <c r="K31" s="31"/>
      <c r="L31" s="31" t="s">
        <v>400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237</v>
      </c>
      <c r="D32" s="31" t="s">
        <v>257</v>
      </c>
      <c r="E32" s="31" t="s">
        <v>202</v>
      </c>
      <c r="F32" s="31" t="s">
        <v>410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237</v>
      </c>
      <c r="D33" s="31" t="s">
        <v>257</v>
      </c>
      <c r="E33" s="31" t="s">
        <v>47</v>
      </c>
      <c r="F33" s="31" t="s">
        <v>411</v>
      </c>
      <c r="G33" s="31" t="s">
        <v>50</v>
      </c>
      <c r="H33" s="32" t="s">
        <v>103</v>
      </c>
      <c r="I33" s="32">
        <v>46274</v>
      </c>
      <c r="J33" s="32">
        <v>46274</v>
      </c>
      <c r="K33" s="31"/>
      <c r="L33" s="31" t="s">
        <v>400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237</v>
      </c>
      <c r="D34" s="31" t="s">
        <v>200</v>
      </c>
      <c r="E34" s="31" t="s">
        <v>47</v>
      </c>
      <c r="F34" s="76" t="s">
        <v>412</v>
      </c>
      <c r="G34" s="31" t="s">
        <v>50</v>
      </c>
      <c r="H34" s="32" t="s">
        <v>77</v>
      </c>
      <c r="I34" s="32">
        <v>46275</v>
      </c>
      <c r="J34" s="32">
        <v>46275</v>
      </c>
      <c r="K34" s="31" t="s">
        <v>77</v>
      </c>
      <c r="L34" s="31" t="s">
        <v>413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237</v>
      </c>
      <c r="D35" s="31" t="s">
        <v>257</v>
      </c>
      <c r="E35" s="31" t="s">
        <v>129</v>
      </c>
      <c r="F35" s="31" t="s">
        <v>414</v>
      </c>
      <c r="G35" s="31" t="s">
        <v>50</v>
      </c>
      <c r="H35" s="32" t="s">
        <v>155</v>
      </c>
      <c r="I35" s="32"/>
      <c r="J35" s="32">
        <v>46276</v>
      </c>
      <c r="K35" s="31" t="s">
        <v>155</v>
      </c>
      <c r="L35" s="31"/>
      <c r="M35" s="3" t="str">
        <f t="shared" ca="1" si="4"/>
        <v>Fixed</v>
      </c>
      <c r="N35" t="s">
        <v>389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237</v>
      </c>
      <c r="D36" s="31" t="s">
        <v>257</v>
      </c>
      <c r="E36" s="31" t="s">
        <v>129</v>
      </c>
      <c r="F36" s="31" t="s">
        <v>415</v>
      </c>
      <c r="G36" s="31" t="s">
        <v>53</v>
      </c>
      <c r="H36" s="32" t="s">
        <v>65</v>
      </c>
      <c r="I36" s="32"/>
      <c r="J36" s="32">
        <v>46288</v>
      </c>
      <c r="K36" s="31"/>
      <c r="L36" s="31"/>
      <c r="M36" s="3" t="str">
        <f t="shared" ca="1" si="4"/>
        <v>Fixed</v>
      </c>
      <c r="N36" t="s">
        <v>389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237</v>
      </c>
      <c r="D37" s="31" t="s">
        <v>257</v>
      </c>
      <c r="E37" s="31" t="s">
        <v>129</v>
      </c>
      <c r="F37" s="31" t="s">
        <v>416</v>
      </c>
      <c r="G37" s="31" t="s">
        <v>50</v>
      </c>
      <c r="H37" s="32" t="s">
        <v>155</v>
      </c>
      <c r="I37" s="32">
        <v>46282</v>
      </c>
      <c r="J37" s="32">
        <v>46282</v>
      </c>
      <c r="K37" s="31" t="s">
        <v>155</v>
      </c>
      <c r="L37" s="31" t="s">
        <v>417</v>
      </c>
      <c r="M37" s="3" t="str">
        <f t="shared" ca="1" si="4"/>
        <v>Fixed</v>
      </c>
      <c r="N37" t="s">
        <v>389</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237</v>
      </c>
      <c r="D38" s="31" t="s">
        <v>200</v>
      </c>
      <c r="E38" s="31" t="s">
        <v>144</v>
      </c>
      <c r="F38" s="31" t="s">
        <v>418</v>
      </c>
      <c r="G38" s="31" t="s">
        <v>50</v>
      </c>
      <c r="H38" s="32" t="s">
        <v>77</v>
      </c>
      <c r="I38" s="32">
        <v>46281</v>
      </c>
      <c r="J38" s="32">
        <v>46281</v>
      </c>
      <c r="K38" s="31" t="s">
        <v>77</v>
      </c>
      <c r="L38" s="31" t="s">
        <v>419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237</v>
      </c>
      <c r="D39" s="31" t="s">
        <v>257</v>
      </c>
      <c r="E39" s="31" t="s">
        <v>47</v>
      </c>
      <c r="F39" s="31" t="s">
        <v>420</v>
      </c>
      <c r="G39" s="31" t="s">
        <v>50</v>
      </c>
      <c r="H39" s="32" t="s">
        <v>44</v>
      </c>
      <c r="I39" s="32">
        <v>46283</v>
      </c>
      <c r="J39" s="32">
        <v>46283</v>
      </c>
      <c r="K39" s="31"/>
      <c r="L39" s="31" t="s">
        <v>421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237</v>
      </c>
      <c r="D40" s="31" t="s">
        <v>200</v>
      </c>
      <c r="E40" s="31" t="s">
        <v>202</v>
      </c>
      <c r="F40" s="31" t="s">
        <v>422</v>
      </c>
      <c r="G40" s="31" t="s">
        <v>50</v>
      </c>
      <c r="H40" s="32" t="s">
        <v>46</v>
      </c>
      <c r="I40" s="32"/>
      <c r="J40" s="32"/>
      <c r="K40" s="31"/>
      <c r="L40" s="31"/>
      <c r="M40" s="3" t="str">
        <f t="shared" ca="1" si="4"/>
        <v>UNCLAIMED 44 d</v>
      </c>
      <c r="P40" t="str">
        <f>'Combined Delivery Data'!B41</f>
        <v>RPT_02_GRO Control</v>
      </c>
      <c r="Q40">
        <f t="shared" si="5"/>
        <v>0</v>
      </c>
      <c r="R40">
        <f t="shared" si="6"/>
        <v>0</v>
      </c>
      <c r="S40" s="28" t="str">
        <f t="shared" si="7"/>
        <v/>
      </c>
      <c r="T40" t="str">
        <f t="shared" si="8"/>
        <v/>
      </c>
    </row>
    <row r="41" spans="1:20">
      <c r="A41" s="31" t="s">
        <v>211</v>
      </c>
      <c r="B41" s="32">
        <v>46282</v>
      </c>
      <c r="C41" s="31" t="s">
        <v>237</v>
      </c>
      <c r="D41" s="31" t="s">
        <v>257</v>
      </c>
      <c r="E41" s="31" t="s">
        <v>47</v>
      </c>
      <c r="F41" s="31" t="s">
        <v>423</v>
      </c>
      <c r="G41" s="31" t="s">
        <v>50</v>
      </c>
      <c r="H41" s="32" t="s">
        <v>155</v>
      </c>
      <c r="I41" s="32">
        <v>46282</v>
      </c>
      <c r="J41" s="32">
        <v>46282</v>
      </c>
      <c r="K41" s="31"/>
      <c r="L41" s="31" t="s">
        <v>424</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237</v>
      </c>
      <c r="D42" s="31" t="s">
        <v>257</v>
      </c>
      <c r="E42" s="31" t="s">
        <v>129</v>
      </c>
      <c r="F42" s="31" t="s">
        <v>425</v>
      </c>
      <c r="G42" s="31" t="s">
        <v>50</v>
      </c>
      <c r="H42" s="32" t="s">
        <v>44</v>
      </c>
      <c r="I42" s="32"/>
      <c r="J42" s="32"/>
      <c r="K42" s="31"/>
      <c r="L42" s="31"/>
      <c r="M42" s="3" t="str">
        <f t="shared" ca="1" si="4"/>
        <v>UNCLAIMED 38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426</v>
      </c>
      <c r="D43" s="31" t="s">
        <v>200</v>
      </c>
      <c r="E43" s="31" t="s">
        <v>144</v>
      </c>
      <c r="F43" s="31" t="s">
        <v>427</v>
      </c>
      <c r="G43" s="31" t="s">
        <v>50</v>
      </c>
      <c r="H43" s="32" t="s">
        <v>60</v>
      </c>
      <c r="I43" s="32">
        <v>46294</v>
      </c>
      <c r="J43" s="32">
        <v>46295</v>
      </c>
      <c r="K43" s="31" t="s">
        <v>60</v>
      </c>
      <c r="L43" s="31" t="s">
        <v>428</v>
      </c>
      <c r="M43" s="3" t="str">
        <f t="shared" ca="1" si="4"/>
        <v>Fixed</v>
      </c>
      <c r="N43" t="s">
        <v>389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237</v>
      </c>
      <c r="D44" s="31" t="s">
        <v>257</v>
      </c>
      <c r="E44" s="31" t="s">
        <v>129</v>
      </c>
      <c r="F44" s="31" t="s">
        <v>429</v>
      </c>
      <c r="G44" s="31" t="s">
        <v>53</v>
      </c>
      <c r="H44" s="32" t="s">
        <v>44</v>
      </c>
      <c r="I44" s="32"/>
      <c r="J44" s="32"/>
      <c r="K44" s="31"/>
      <c r="L44" s="31"/>
      <c r="M44" s="3" t="str">
        <f t="shared" ca="1" si="4"/>
        <v>UNCLAIMED 30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237</v>
      </c>
      <c r="D45" s="31" t="s">
        <v>257</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237</v>
      </c>
      <c r="D46" s="31" t="s">
        <v>200</v>
      </c>
      <c r="E46" s="31" t="s">
        <v>129</v>
      </c>
      <c r="F46" s="31" t="s">
        <v>432</v>
      </c>
      <c r="G46" s="31" t="s">
        <v>53</v>
      </c>
      <c r="H46" s="32" t="s">
        <v>77</v>
      </c>
      <c r="I46" s="32"/>
      <c r="J46" s="32"/>
      <c r="K46" s="31" t="s">
        <v>77</v>
      </c>
      <c r="L46" s="31" t="s">
        <v>433</v>
      </c>
      <c r="M46" s="3" t="str">
        <f t="shared" ca="1" si="4"/>
        <v>UNCLAIMED 16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237</v>
      </c>
      <c r="D47" s="31" t="s">
        <v>257</v>
      </c>
      <c r="E47" s="31" t="s">
        <v>129</v>
      </c>
      <c r="F47" s="31" t="s">
        <v>434</v>
      </c>
      <c r="G47" s="31" t="s">
        <v>53</v>
      </c>
      <c r="H47" s="32"/>
      <c r="I47" s="32"/>
      <c r="J47" s="32"/>
      <c r="K47" s="31"/>
      <c r="L47" s="31"/>
      <c r="M47" s="3" t="str">
        <f t="shared" ca="1" si="4"/>
        <v>UNCLAIMED 11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237</v>
      </c>
      <c r="D48" s="31" t="s">
        <v>257</v>
      </c>
      <c r="E48" s="31" t="s">
        <v>129</v>
      </c>
      <c r="F48" s="31" t="s">
        <v>435</v>
      </c>
      <c r="G48" s="31" t="s">
        <v>53</v>
      </c>
      <c r="H48" s="32"/>
      <c r="I48" s="32"/>
      <c r="J48" s="32"/>
      <c r="K48" s="31"/>
      <c r="L48" s="31"/>
      <c r="M48" s="3" t="str">
        <f t="shared" ca="1" si="4"/>
        <v>UNCLAIMED 11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237</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237</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237</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237</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237</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237</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237</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237</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237</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237</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237</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237</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237</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237</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237</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237</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237</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237</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237</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237</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237</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237</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237</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237</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237</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237</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237</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237</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237</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237</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237</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237</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237</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237</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237</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237</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237</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237</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237</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237</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237</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237</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237</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237</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237</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237</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237</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237</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237</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237</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237</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237</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237</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237</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237</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237</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237</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237</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237</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237</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237</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237</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237</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237</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237</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237</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237</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237</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237</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237</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237</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237</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237</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237</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237</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237</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237</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237</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237</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237</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237</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237</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237</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237</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237</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237</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237</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237</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237</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237</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237</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237</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237</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237</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237</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237</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237</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237</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237</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237</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237</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237</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237</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237</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237</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237</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237</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237</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237</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237</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237</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237</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237</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237</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237</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237</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237</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237</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237</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237</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237</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237</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237</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237</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237</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237</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237</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237</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237</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237</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237</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237</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237</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237</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237</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237</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237</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237</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237</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237</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237</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237</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237</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237</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237</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237</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237</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237</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237</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341</v>
      </c>
      <c r="B11" s="11">
        <v>18</v>
      </c>
      <c r="C11" s="12">
        <v>46417</v>
      </c>
      <c r="E11" t="s">
        <v>451</v>
      </c>
      <c r="F11" s="28">
        <v>46477</v>
      </c>
      <c r="G11" s="28">
        <v>46480</v>
      </c>
    </row>
    <row r="12" spans="1:8" ht="14.25" customHeight="1">
      <c r="A12" s="11" t="s">
        <v>341</v>
      </c>
      <c r="B12" s="11">
        <v>18</v>
      </c>
      <c r="C12" s="12">
        <v>46446</v>
      </c>
    </row>
    <row r="13" spans="1:8" ht="14.25" customHeight="1">
      <c r="A13" s="11" t="s">
        <v>341</v>
      </c>
      <c r="B13" s="11">
        <v>19</v>
      </c>
      <c r="C13" s="12">
        <v>46477</v>
      </c>
    </row>
    <row r="14" spans="1:8" ht="14.25" customHeight="1">
      <c r="A14" s="11" t="s">
        <v>316</v>
      </c>
      <c r="B14" s="11">
        <v>9</v>
      </c>
      <c r="C14" s="12">
        <v>46387</v>
      </c>
    </row>
    <row r="15" spans="1:8" ht="14.25" customHeight="1">
      <c r="A15" s="11" t="s">
        <v>307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237</v>
      </c>
      <c r="C5" s="9" t="s">
        <v>41</v>
      </c>
      <c r="D5" s="9" t="s">
        <v>44</v>
      </c>
      <c r="E5" s="9" t="s">
        <v>46</v>
      </c>
      <c r="F5" s="9"/>
      <c r="G5" s="9"/>
      <c r="H5" s="10">
        <v>46114</v>
      </c>
      <c r="I5" s="10">
        <v>46122</v>
      </c>
      <c r="J5" s="10">
        <v>46122</v>
      </c>
    </row>
    <row r="6" spans="1:10" ht="14.25" customHeight="1">
      <c r="A6" s="9" t="s">
        <v>40</v>
      </c>
      <c r="B6" s="9" t="s">
        <v>426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237</v>
      </c>
      <c r="C10" s="9" t="s">
        <v>55</v>
      </c>
      <c r="D10" s="9" t="s">
        <v>44</v>
      </c>
      <c r="E10" s="9" t="s">
        <v>46</v>
      </c>
      <c r="F10" s="9"/>
      <c r="G10" s="9"/>
      <c r="H10" s="10">
        <v>46114</v>
      </c>
      <c r="I10" s="10">
        <v>46122</v>
      </c>
      <c r="J10" s="10">
        <v>46122</v>
      </c>
    </row>
    <row r="11" spans="1:10" ht="14.25" customHeight="1">
      <c r="A11" s="9" t="s">
        <v>40</v>
      </c>
      <c r="B11" s="9" t="s">
        <v>426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237</v>
      </c>
      <c r="C15" s="9" t="s">
        <v>458</v>
      </c>
      <c r="D15" s="9" t="s">
        <v>459</v>
      </c>
      <c r="E15" s="9" t="s">
        <v>46</v>
      </c>
      <c r="F15" s="9"/>
      <c r="G15" s="9"/>
      <c r="H15" s="10">
        <v>46120</v>
      </c>
      <c r="I15" s="10">
        <v>46122</v>
      </c>
      <c r="J15" s="10">
        <v>46122</v>
      </c>
    </row>
    <row r="16" spans="1:10" ht="14.25" customHeight="1">
      <c r="A16" s="9" t="s">
        <v>40</v>
      </c>
      <c r="B16" s="9" t="s">
        <v>426</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237</v>
      </c>
      <c r="C20" s="9" t="s">
        <v>58</v>
      </c>
      <c r="D20" s="9" t="s">
        <v>59</v>
      </c>
      <c r="E20" s="9" t="s">
        <v>60</v>
      </c>
      <c r="F20" s="9"/>
      <c r="G20" s="9"/>
      <c r="H20" s="10">
        <v>46126</v>
      </c>
      <c r="I20" s="10">
        <v>46122</v>
      </c>
      <c r="J20" s="10">
        <v>46122</v>
      </c>
    </row>
    <row r="21" spans="1:10" ht="14.25" customHeight="1">
      <c r="A21" s="9" t="s">
        <v>40</v>
      </c>
      <c r="B21" s="9" t="s">
        <v>426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237</v>
      </c>
      <c r="C25" s="9" t="s">
        <v>64</v>
      </c>
      <c r="D25" s="9" t="s">
        <v>459</v>
      </c>
      <c r="E25" s="9" t="s">
        <v>46</v>
      </c>
      <c r="F25" s="9"/>
      <c r="G25" s="9"/>
      <c r="H25" s="10">
        <v>46120</v>
      </c>
      <c r="I25" s="10">
        <v>46122</v>
      </c>
      <c r="J25" s="10">
        <v>46122</v>
      </c>
    </row>
    <row r="26" spans="1:10" ht="14.25" customHeight="1">
      <c r="A26" s="9" t="s">
        <v>40</v>
      </c>
      <c r="B26" s="9" t="s">
        <v>426</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237</v>
      </c>
      <c r="C30" s="9" t="s">
        <v>69</v>
      </c>
      <c r="D30" s="9" t="s">
        <v>76</v>
      </c>
      <c r="E30" s="9" t="s">
        <v>60</v>
      </c>
      <c r="F30" s="9"/>
      <c r="G30" s="9"/>
      <c r="H30" s="10">
        <v>46126</v>
      </c>
      <c r="I30" s="10">
        <v>46122</v>
      </c>
      <c r="J30" s="10">
        <v>46122</v>
      </c>
    </row>
    <row r="31" spans="1:10" ht="14.25" customHeight="1">
      <c r="A31" s="9" t="s">
        <v>40</v>
      </c>
      <c r="B31" s="9" t="s">
        <v>426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237</v>
      </c>
      <c r="C35" s="9" t="s">
        <v>70</v>
      </c>
      <c r="D35" s="9" t="s">
        <v>459</v>
      </c>
      <c r="E35" s="9" t="s">
        <v>60</v>
      </c>
      <c r="F35" s="9"/>
      <c r="G35" s="9"/>
      <c r="H35" s="10">
        <v>46126</v>
      </c>
      <c r="I35" s="10">
        <v>46122</v>
      </c>
      <c r="J35" s="10">
        <v>46122</v>
      </c>
    </row>
    <row r="36" spans="1:10" ht="14.25" customHeight="1">
      <c r="A36" s="9" t="s">
        <v>40</v>
      </c>
      <c r="B36" s="9" t="s">
        <v>426</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237</v>
      </c>
      <c r="C40" s="9" t="s">
        <v>71</v>
      </c>
      <c r="D40" s="9" t="s">
        <v>84</v>
      </c>
      <c r="E40" s="9" t="s">
        <v>60</v>
      </c>
      <c r="F40" s="9"/>
      <c r="G40" s="9"/>
      <c r="H40" s="10">
        <v>46126</v>
      </c>
      <c r="I40" s="10">
        <v>46122</v>
      </c>
      <c r="J40" s="10">
        <v>46122</v>
      </c>
    </row>
    <row r="41" spans="1:10" ht="14.25" customHeight="1">
      <c r="A41" s="9" t="s">
        <v>40</v>
      </c>
      <c r="B41" s="9" t="s">
        <v>426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237</v>
      </c>
      <c r="C45" s="9" t="s">
        <v>73</v>
      </c>
      <c r="D45" s="9" t="s">
        <v>59</v>
      </c>
      <c r="E45" s="9" t="s">
        <v>60</v>
      </c>
      <c r="F45" s="9"/>
      <c r="G45" s="9"/>
      <c r="H45" s="10">
        <v>46126</v>
      </c>
      <c r="I45" s="10">
        <v>46122</v>
      </c>
      <c r="J45" s="10">
        <v>46122</v>
      </c>
    </row>
    <row r="46" spans="1:10" ht="14.25" customHeight="1">
      <c r="A46" s="9" t="s">
        <v>40</v>
      </c>
      <c r="B46" s="9" t="s">
        <v>426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237</v>
      </c>
      <c r="C50" s="9" t="s">
        <v>97</v>
      </c>
      <c r="D50" s="9" t="s">
        <v>459</v>
      </c>
      <c r="E50" s="9" t="s">
        <v>60</v>
      </c>
      <c r="F50" s="9"/>
      <c r="G50" s="9"/>
      <c r="H50" s="10">
        <v>46139</v>
      </c>
      <c r="I50" s="10">
        <v>46139</v>
      </c>
      <c r="J50" s="10">
        <v>46139</v>
      </c>
    </row>
    <row r="51" spans="1:10" ht="14.25" customHeight="1">
      <c r="A51" s="9" t="s">
        <v>40</v>
      </c>
      <c r="B51" s="9" t="s">
        <v>426</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257</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237</v>
      </c>
      <c r="C55" s="9" t="s">
        <v>98</v>
      </c>
      <c r="D55" s="9" t="s">
        <v>459</v>
      </c>
      <c r="E55" s="9" t="s">
        <v>60</v>
      </c>
      <c r="F55" s="9"/>
      <c r="G55" s="9"/>
      <c r="H55" s="10">
        <v>46141</v>
      </c>
      <c r="I55" s="10">
        <v>46141</v>
      </c>
      <c r="J55" s="10">
        <v>46141</v>
      </c>
    </row>
    <row r="56" spans="1:10" ht="14.25" customHeight="1">
      <c r="A56" s="9" t="s">
        <v>40</v>
      </c>
      <c r="B56" s="9" t="s">
        <v>426</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257</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237</v>
      </c>
      <c r="C60" s="9" t="s">
        <v>99</v>
      </c>
      <c r="D60" s="9" t="s">
        <v>459</v>
      </c>
      <c r="E60" s="9" t="s">
        <v>46</v>
      </c>
      <c r="F60" s="9"/>
      <c r="G60" s="9"/>
      <c r="H60" s="10">
        <v>46161</v>
      </c>
      <c r="I60" s="10">
        <v>46161</v>
      </c>
      <c r="J60" s="10">
        <v>46161</v>
      </c>
    </row>
    <row r="61" spans="1:10" ht="14.25" customHeight="1">
      <c r="A61" s="9" t="s">
        <v>40</v>
      </c>
      <c r="B61" s="9" t="s">
        <v>426</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237</v>
      </c>
      <c r="C65" s="9" t="s">
        <v>100</v>
      </c>
      <c r="D65" s="9" t="s">
        <v>103</v>
      </c>
      <c r="E65" s="9" t="s">
        <v>46</v>
      </c>
      <c r="F65" s="9"/>
      <c r="G65" s="9"/>
      <c r="H65" s="10">
        <v>46175</v>
      </c>
      <c r="I65" s="10">
        <v>46175</v>
      </c>
      <c r="J65" s="10">
        <v>46175</v>
      </c>
    </row>
    <row r="66" spans="1:10" ht="14.25" customHeight="1">
      <c r="A66" s="9" t="s">
        <v>40</v>
      </c>
      <c r="B66" s="9" t="s">
        <v>426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237</v>
      </c>
      <c r="C70" s="9" t="s">
        <v>74</v>
      </c>
      <c r="D70" s="9" t="s">
        <v>76</v>
      </c>
      <c r="E70" s="9" t="s">
        <v>77</v>
      </c>
      <c r="F70" s="9"/>
      <c r="G70" s="9"/>
      <c r="H70" s="10">
        <v>46134</v>
      </c>
      <c r="I70" s="10">
        <v>46134</v>
      </c>
      <c r="J70" s="10">
        <v>46134</v>
      </c>
    </row>
    <row r="71" spans="1:10" ht="14.25" customHeight="1">
      <c r="A71" s="9" t="s">
        <v>40</v>
      </c>
      <c r="B71" s="9" t="s">
        <v>426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237</v>
      </c>
      <c r="C75" s="9" t="s">
        <v>80</v>
      </c>
      <c r="D75" s="9" t="s">
        <v>59</v>
      </c>
      <c r="E75" s="9" t="s">
        <v>77</v>
      </c>
      <c r="F75" s="9"/>
      <c r="G75" s="9"/>
      <c r="H75" s="10">
        <v>46139</v>
      </c>
      <c r="I75" s="10">
        <v>46139</v>
      </c>
      <c r="J75" s="10">
        <v>46139</v>
      </c>
    </row>
    <row r="76" spans="1:10" ht="14.25" customHeight="1">
      <c r="A76" s="9" t="s">
        <v>40</v>
      </c>
      <c r="B76" s="9" t="s">
        <v>426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237</v>
      </c>
      <c r="C80" s="9" t="s">
        <v>83</v>
      </c>
      <c r="D80" s="9" t="s">
        <v>84</v>
      </c>
      <c r="E80" s="9" t="s">
        <v>60</v>
      </c>
      <c r="F80" s="9"/>
      <c r="G80" s="9"/>
      <c r="H80" s="10">
        <v>46147</v>
      </c>
      <c r="I80" s="10">
        <v>46147</v>
      </c>
      <c r="J80" s="10">
        <v>46147</v>
      </c>
    </row>
    <row r="81" spans="1:10" ht="14.25" customHeight="1">
      <c r="A81" s="9" t="s">
        <v>40</v>
      </c>
      <c r="B81" s="9" t="s">
        <v>426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237</v>
      </c>
      <c r="C85" s="9" t="s">
        <v>87</v>
      </c>
      <c r="D85" s="9" t="s">
        <v>84</v>
      </c>
      <c r="E85" s="9" t="s">
        <v>46</v>
      </c>
      <c r="F85" s="9"/>
      <c r="G85" s="9"/>
      <c r="H85" s="10">
        <v>46175</v>
      </c>
      <c r="I85" s="10">
        <v>46179</v>
      </c>
      <c r="J85" s="10">
        <v>46179</v>
      </c>
    </row>
    <row r="86" spans="1:10" ht="14.25" customHeight="1">
      <c r="A86" s="9" t="s">
        <v>40</v>
      </c>
      <c r="B86" s="9" t="s">
        <v>426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237</v>
      </c>
      <c r="C90" s="9" t="s">
        <v>90</v>
      </c>
      <c r="D90" s="9" t="s">
        <v>44</v>
      </c>
      <c r="E90" s="9" t="s">
        <v>60</v>
      </c>
      <c r="F90" s="9"/>
      <c r="G90" s="9"/>
      <c r="H90" s="10">
        <v>46143</v>
      </c>
      <c r="I90" s="10">
        <v>46175</v>
      </c>
      <c r="J90" s="10">
        <v>46175</v>
      </c>
    </row>
    <row r="91" spans="1:10" ht="14.25" customHeight="1">
      <c r="A91" s="9" t="s">
        <v>40</v>
      </c>
      <c r="B91" s="9" t="s">
        <v>426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237</v>
      </c>
      <c r="C95" s="9" t="s">
        <v>93</v>
      </c>
      <c r="D95" s="9" t="s">
        <v>44</v>
      </c>
      <c r="E95" s="9" t="s">
        <v>77</v>
      </c>
      <c r="F95" s="9"/>
      <c r="G95" s="9"/>
      <c r="H95" s="10">
        <v>46178</v>
      </c>
      <c r="I95" s="10">
        <v>46175</v>
      </c>
      <c r="J95" s="10">
        <v>46175</v>
      </c>
    </row>
    <row r="96" spans="1:10" ht="14.25" customHeight="1">
      <c r="A96" s="9" t="s">
        <v>40</v>
      </c>
      <c r="B96" s="9" t="s">
        <v>426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237</v>
      </c>
      <c r="C100" s="9" t="s">
        <v>101</v>
      </c>
      <c r="D100" s="9" t="s">
        <v>103</v>
      </c>
      <c r="E100" s="9" t="s">
        <v>60</v>
      </c>
      <c r="F100" s="9"/>
      <c r="G100" s="9"/>
      <c r="H100" s="10">
        <v>46183</v>
      </c>
      <c r="I100" s="10">
        <v>46195</v>
      </c>
      <c r="J100" s="10">
        <v>46195</v>
      </c>
    </row>
    <row r="101" spans="1:10" ht="14.25" customHeight="1">
      <c r="A101" s="9" t="s">
        <v>40</v>
      </c>
      <c r="B101" s="9" t="s">
        <v>426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237</v>
      </c>
      <c r="C105" s="9" t="s">
        <v>105</v>
      </c>
      <c r="D105" s="9" t="s">
        <v>103</v>
      </c>
      <c r="E105" s="9" t="s">
        <v>77</v>
      </c>
      <c r="F105" s="9"/>
      <c r="G105" s="9"/>
      <c r="H105" s="10">
        <v>46182</v>
      </c>
      <c r="I105" s="10">
        <v>46198</v>
      </c>
      <c r="J105" s="10">
        <v>46198</v>
      </c>
    </row>
    <row r="106" spans="1:10" ht="14.25" customHeight="1">
      <c r="A106" s="9" t="s">
        <v>40</v>
      </c>
      <c r="B106" s="9" t="s">
        <v>426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237</v>
      </c>
      <c r="C110" s="9" t="s">
        <v>108</v>
      </c>
      <c r="D110" s="9" t="s">
        <v>44</v>
      </c>
      <c r="E110" s="9" t="s">
        <v>60</v>
      </c>
      <c r="F110" s="9"/>
      <c r="G110" s="9"/>
      <c r="H110" s="10">
        <v>46183</v>
      </c>
      <c r="I110" s="10">
        <v>46198</v>
      </c>
      <c r="J110" s="10">
        <v>46198</v>
      </c>
    </row>
    <row r="111" spans="1:10" ht="14.25" customHeight="1">
      <c r="A111" s="9" t="s">
        <v>40</v>
      </c>
      <c r="B111" s="9" t="s">
        <v>426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237</v>
      </c>
      <c r="C115" s="9" t="s">
        <v>109</v>
      </c>
      <c r="D115" s="9" t="s">
        <v>44</v>
      </c>
      <c r="E115" s="9" t="s">
        <v>60</v>
      </c>
      <c r="F115" s="9"/>
      <c r="G115" s="9"/>
      <c r="H115" s="10">
        <v>46153</v>
      </c>
      <c r="I115" s="10">
        <v>46154</v>
      </c>
      <c r="J115" s="10">
        <v>46154</v>
      </c>
    </row>
    <row r="116" spans="1:10" ht="14.25" customHeight="1">
      <c r="A116" s="9" t="s">
        <v>40</v>
      </c>
      <c r="B116" s="9" t="s">
        <v>426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237</v>
      </c>
      <c r="C123" s="9" t="s">
        <v>116</v>
      </c>
      <c r="D123" s="9" t="s">
        <v>59</v>
      </c>
      <c r="E123" s="9" t="s">
        <v>77</v>
      </c>
      <c r="F123" s="9"/>
      <c r="G123" s="9"/>
      <c r="H123" s="10">
        <v>46164</v>
      </c>
      <c r="I123" s="10">
        <v>46204</v>
      </c>
      <c r="J123" s="10">
        <v>46204</v>
      </c>
    </row>
    <row r="124" spans="1:10" ht="14.25" customHeight="1">
      <c r="A124" s="9" t="s">
        <v>40</v>
      </c>
      <c r="B124" s="9" t="s">
        <v>426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237</v>
      </c>
      <c r="C128" s="9" t="s">
        <v>117</v>
      </c>
      <c r="D128" s="9" t="s">
        <v>65</v>
      </c>
      <c r="E128" s="9" t="s">
        <v>60</v>
      </c>
      <c r="F128" s="9"/>
      <c r="G128" s="9"/>
      <c r="H128" s="10">
        <v>46191</v>
      </c>
      <c r="I128" s="10">
        <v>46196</v>
      </c>
      <c r="J128" s="10">
        <v>46196</v>
      </c>
    </row>
    <row r="129" spans="1:10" ht="14.25" customHeight="1">
      <c r="A129" s="9" t="s">
        <v>40</v>
      </c>
      <c r="B129" s="9" t="s">
        <v>426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237</v>
      </c>
      <c r="C133" s="9" t="s">
        <v>121</v>
      </c>
      <c r="D133" s="9" t="s">
        <v>103</v>
      </c>
      <c r="E133" s="9" t="s">
        <v>77</v>
      </c>
      <c r="F133" s="9"/>
      <c r="G133" s="9"/>
      <c r="H133" s="10">
        <v>46189</v>
      </c>
      <c r="I133" s="10">
        <v>46189</v>
      </c>
      <c r="J133" s="10">
        <v>46189</v>
      </c>
    </row>
    <row r="134" spans="1:10" ht="14.25" customHeight="1">
      <c r="A134" s="9" t="s">
        <v>40</v>
      </c>
      <c r="B134" s="9" t="s">
        <v>426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237</v>
      </c>
      <c r="C138" s="9" t="s">
        <v>123</v>
      </c>
      <c r="D138" s="9" t="s">
        <v>84</v>
      </c>
      <c r="E138" s="9" t="s">
        <v>77</v>
      </c>
      <c r="F138" s="9"/>
      <c r="G138" s="9"/>
      <c r="H138" s="10">
        <v>46195</v>
      </c>
      <c r="I138" s="10">
        <v>46197</v>
      </c>
      <c r="J138" s="10">
        <v>46197</v>
      </c>
    </row>
    <row r="139" spans="1:10" ht="14.25" customHeight="1">
      <c r="A139" s="9" t="s">
        <v>40</v>
      </c>
      <c r="B139" s="9" t="s">
        <v>426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237</v>
      </c>
      <c r="C143" s="9" t="s">
        <v>127</v>
      </c>
      <c r="D143" s="9" t="s">
        <v>76</v>
      </c>
      <c r="E143" s="9" t="s">
        <v>60</v>
      </c>
      <c r="F143" s="9"/>
      <c r="G143" s="9" t="s">
        <v>129</v>
      </c>
      <c r="H143" s="10">
        <v>46213</v>
      </c>
      <c r="I143" s="10">
        <v>46223</v>
      </c>
      <c r="J143" s="10">
        <v>46223</v>
      </c>
    </row>
    <row r="144" spans="1:10" ht="14.25" customHeight="1">
      <c r="A144" s="9" t="s">
        <v>126</v>
      </c>
      <c r="B144" s="9" t="s">
        <v>257</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237</v>
      </c>
      <c r="C146" s="9" t="s">
        <v>135</v>
      </c>
      <c r="D146" s="9" t="s">
        <v>65</v>
      </c>
      <c r="E146" s="9" t="s">
        <v>77</v>
      </c>
      <c r="F146" s="9"/>
      <c r="G146" s="9" t="s">
        <v>129</v>
      </c>
      <c r="H146" s="10">
        <v>46218</v>
      </c>
      <c r="I146" s="10">
        <v>46223</v>
      </c>
      <c r="J146" s="10">
        <v>46223</v>
      </c>
    </row>
    <row r="147" spans="1:10" ht="14.25" customHeight="1">
      <c r="A147" s="9" t="s">
        <v>126</v>
      </c>
      <c r="B147" s="9" t="s">
        <v>257</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237</v>
      </c>
      <c r="C149" s="9" t="s">
        <v>137</v>
      </c>
      <c r="D149" s="9" t="s">
        <v>65</v>
      </c>
      <c r="E149" s="9" t="s">
        <v>77</v>
      </c>
      <c r="F149" s="9"/>
      <c r="G149" s="9" t="s">
        <v>129</v>
      </c>
      <c r="H149" s="10">
        <v>46225</v>
      </c>
      <c r="I149" s="10">
        <v>46223</v>
      </c>
      <c r="J149" s="10">
        <v>46223</v>
      </c>
    </row>
    <row r="150" spans="1:10" ht="14.25" customHeight="1">
      <c r="A150" s="9" t="s">
        <v>126</v>
      </c>
      <c r="B150" s="9" t="s">
        <v>257</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237</v>
      </c>
      <c r="C152" s="9" t="s">
        <v>139</v>
      </c>
      <c r="D152" s="9" t="s">
        <v>59</v>
      </c>
      <c r="E152" s="9" t="s">
        <v>46</v>
      </c>
      <c r="F152" s="9"/>
      <c r="G152" s="9" t="s">
        <v>129</v>
      </c>
      <c r="H152" s="10">
        <v>46227</v>
      </c>
      <c r="I152" s="10">
        <v>46223</v>
      </c>
      <c r="J152" s="10">
        <v>46223</v>
      </c>
    </row>
    <row r="153" spans="1:10" ht="14.25" customHeight="1">
      <c r="A153" s="9" t="s">
        <v>126</v>
      </c>
      <c r="B153" s="9" t="s">
        <v>257</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237</v>
      </c>
      <c r="C155" s="9" t="s">
        <v>141</v>
      </c>
      <c r="D155" s="9" t="s">
        <v>103</v>
      </c>
      <c r="E155" s="9" t="s">
        <v>77</v>
      </c>
      <c r="F155" s="9"/>
      <c r="G155" s="9" t="s">
        <v>129</v>
      </c>
      <c r="H155" s="10">
        <v>46216</v>
      </c>
      <c r="I155" s="10">
        <v>46225</v>
      </c>
      <c r="J155" s="10">
        <v>46225</v>
      </c>
    </row>
    <row r="156" spans="1:10" ht="14.25" customHeight="1">
      <c r="A156" s="9" t="s">
        <v>126</v>
      </c>
      <c r="B156" s="9" t="s">
        <v>257</v>
      </c>
      <c r="C156" s="9" t="s">
        <v>143</v>
      </c>
      <c r="D156" s="9" t="s">
        <v>84</v>
      </c>
      <c r="E156" s="9" t="s">
        <v>60</v>
      </c>
      <c r="F156" s="9"/>
      <c r="G156" s="9" t="s">
        <v>144</v>
      </c>
      <c r="H156" s="9"/>
      <c r="I156" s="9"/>
      <c r="J156" s="9"/>
    </row>
    <row r="157" spans="1:10">
      <c r="A157" s="3" t="s">
        <v>126</v>
      </c>
      <c r="B157" s="3" t="s">
        <v>257</v>
      </c>
      <c r="C157" s="3" t="s">
        <v>146</v>
      </c>
      <c r="D157" s="3" t="s">
        <v>65</v>
      </c>
      <c r="E157" s="3" t="s">
        <v>46</v>
      </c>
      <c r="F157" s="3"/>
      <c r="G157" s="3" t="s">
        <v>144</v>
      </c>
      <c r="H157" s="3"/>
      <c r="I157" s="3"/>
      <c r="J157" s="3"/>
    </row>
    <row r="158" spans="1:10">
      <c r="A158" s="3" t="s">
        <v>126</v>
      </c>
      <c r="B158" s="3" t="s">
        <v>257</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237</v>
      </c>
      <c r="C160" s="3" t="s">
        <v>149</v>
      </c>
      <c r="D160" s="3" t="s">
        <v>65</v>
      </c>
      <c r="E160" s="3" t="s">
        <v>46</v>
      </c>
      <c r="F160" s="3"/>
      <c r="G160" s="3" t="s">
        <v>144</v>
      </c>
      <c r="H160" s="4">
        <v>46221</v>
      </c>
      <c r="I160" s="4">
        <v>46223</v>
      </c>
      <c r="J160" s="4">
        <v>46223</v>
      </c>
    </row>
    <row r="161" spans="1:10">
      <c r="A161" s="3" t="s">
        <v>126</v>
      </c>
      <c r="B161" s="3" t="s">
        <v>257</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237</v>
      </c>
      <c r="C163" s="3" t="s">
        <v>150</v>
      </c>
      <c r="D163" s="3" t="s">
        <v>84</v>
      </c>
      <c r="E163" s="3" t="s">
        <v>60</v>
      </c>
      <c r="F163" s="3"/>
      <c r="G163" s="3" t="s">
        <v>144</v>
      </c>
      <c r="H163" s="4">
        <v>46220</v>
      </c>
      <c r="I163" s="4">
        <v>46223</v>
      </c>
      <c r="J163" s="4">
        <v>46223</v>
      </c>
    </row>
    <row r="164" spans="1:10">
      <c r="A164" s="3" t="s">
        <v>126</v>
      </c>
      <c r="B164" s="3" t="s">
        <v>257</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237</v>
      </c>
      <c r="C166" s="3" t="s">
        <v>153</v>
      </c>
      <c r="D166" s="3" t="s">
        <v>155</v>
      </c>
      <c r="E166" s="3" t="s">
        <v>60</v>
      </c>
      <c r="F166" s="3"/>
      <c r="G166" s="3" t="s">
        <v>144</v>
      </c>
      <c r="H166" s="4">
        <v>46224</v>
      </c>
      <c r="I166" s="4">
        <v>46223</v>
      </c>
      <c r="J166" s="4">
        <v>46223</v>
      </c>
    </row>
    <row r="167" spans="1:10">
      <c r="A167" s="3" t="s">
        <v>126</v>
      </c>
      <c r="B167" s="3" t="s">
        <v>257</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237</v>
      </c>
      <c r="C169" s="3" t="s">
        <v>156</v>
      </c>
      <c r="D169" s="3" t="s">
        <v>155</v>
      </c>
      <c r="E169" s="3" t="s">
        <v>77</v>
      </c>
      <c r="F169" s="3"/>
      <c r="G169" s="3" t="s">
        <v>144</v>
      </c>
      <c r="H169" s="4">
        <v>46225</v>
      </c>
      <c r="I169" s="4">
        <v>46223</v>
      </c>
      <c r="J169" s="4">
        <v>46223</v>
      </c>
    </row>
    <row r="170" spans="1:10">
      <c r="A170" s="3" t="s">
        <v>126</v>
      </c>
      <c r="B170" s="3" t="s">
        <v>257</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237</v>
      </c>
      <c r="C172" s="3" t="s">
        <v>157</v>
      </c>
      <c r="D172" s="3" t="s">
        <v>76</v>
      </c>
      <c r="E172" s="3" t="s">
        <v>46</v>
      </c>
      <c r="F172" s="3"/>
      <c r="G172" s="3" t="s">
        <v>129</v>
      </c>
      <c r="H172" s="4">
        <v>46226</v>
      </c>
      <c r="I172" s="4">
        <v>46223</v>
      </c>
      <c r="J172" s="4">
        <v>46223</v>
      </c>
    </row>
    <row r="173" spans="1:10">
      <c r="A173" s="3" t="s">
        <v>126</v>
      </c>
      <c r="B173" s="3" t="s">
        <v>257</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237</v>
      </c>
      <c r="C175" s="3" t="s">
        <v>159</v>
      </c>
      <c r="D175" s="3" t="s">
        <v>59</v>
      </c>
      <c r="E175" s="3" t="s">
        <v>60</v>
      </c>
      <c r="F175" s="3"/>
      <c r="G175" s="3" t="s">
        <v>129</v>
      </c>
      <c r="H175" s="4">
        <v>46225</v>
      </c>
      <c r="I175" s="4">
        <v>46223</v>
      </c>
      <c r="J175" s="4">
        <v>46223</v>
      </c>
    </row>
    <row r="176" spans="1:10">
      <c r="A176" s="3" t="s">
        <v>126</v>
      </c>
      <c r="B176" s="3" t="s">
        <v>257</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237</v>
      </c>
      <c r="C178" s="3" t="s">
        <v>161</v>
      </c>
      <c r="D178" s="3" t="s">
        <v>76</v>
      </c>
      <c r="E178" s="3" t="s">
        <v>77</v>
      </c>
      <c r="F178" s="3"/>
      <c r="G178" s="3" t="s">
        <v>144</v>
      </c>
      <c r="H178" s="4">
        <v>46225</v>
      </c>
      <c r="I178" s="4">
        <v>46230</v>
      </c>
      <c r="J178" s="4">
        <v>46230</v>
      </c>
    </row>
    <row r="179" spans="1:10">
      <c r="A179" s="3" t="s">
        <v>126</v>
      </c>
      <c r="B179" s="3" t="s">
        <v>257</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237</v>
      </c>
      <c r="C181" s="3" t="s">
        <v>164</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354</v>
      </c>
      <c r="G1" s="5" t="s">
        <v>461</v>
      </c>
      <c r="H1" s="5" t="s">
        <v>20</v>
      </c>
      <c r="I1" t="s">
        <v>35</v>
      </c>
      <c r="J1" s="5" t="s">
        <v>462</v>
      </c>
      <c r="K1" s="5" t="s">
        <v>426</v>
      </c>
      <c r="L1" s="5" t="s">
        <v>371</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253</v>
      </c>
      <c r="G3" t="s">
        <v>44</v>
      </c>
      <c r="H3" t="s">
        <v>47</v>
      </c>
      <c r="I3" t="s">
        <v>53</v>
      </c>
      <c r="J3" t="s">
        <v>257</v>
      </c>
      <c r="K3" t="s">
        <v>48</v>
      </c>
      <c r="L3" t="s">
        <v>53</v>
      </c>
      <c r="M3" t="s">
        <v>44</v>
      </c>
      <c r="N3" t="s">
        <v>479</v>
      </c>
      <c r="R3" t="s">
        <v>45</v>
      </c>
      <c r="T3" t="s">
        <v>94</v>
      </c>
    </row>
    <row r="4" spans="1:20" ht="15" customHeight="1">
      <c r="A4" t="s">
        <v>126</v>
      </c>
      <c r="B4" t="s">
        <v>59</v>
      </c>
      <c r="C4" t="s">
        <v>46</v>
      </c>
      <c r="D4" t="s">
        <v>144</v>
      </c>
      <c r="E4" t="s">
        <v>53</v>
      </c>
      <c r="F4" t="s">
        <v>257</v>
      </c>
      <c r="G4" t="s">
        <v>59</v>
      </c>
      <c r="H4" t="s">
        <v>88</v>
      </c>
      <c r="I4" t="s">
        <v>480</v>
      </c>
      <c r="J4" t="s">
        <v>200</v>
      </c>
      <c r="L4" t="s">
        <v>50</v>
      </c>
      <c r="M4" t="s">
        <v>103</v>
      </c>
      <c r="N4" t="s">
        <v>481</v>
      </c>
      <c r="R4" t="s">
        <v>250</v>
      </c>
      <c r="T4" t="s">
        <v>72</v>
      </c>
    </row>
    <row r="5" spans="1:20" ht="15" customHeight="1">
      <c r="A5" t="s">
        <v>341</v>
      </c>
      <c r="B5" t="s">
        <v>459</v>
      </c>
      <c r="C5" t="s">
        <v>77</v>
      </c>
      <c r="F5" t="s">
        <v>200</v>
      </c>
      <c r="G5" t="s">
        <v>459</v>
      </c>
      <c r="H5" t="s">
        <v>129</v>
      </c>
      <c r="I5" t="s">
        <v>259</v>
      </c>
      <c r="J5" t="s">
        <v>237</v>
      </c>
      <c r="L5" t="s">
        <v>482</v>
      </c>
      <c r="M5" t="s">
        <v>88</v>
      </c>
      <c r="N5" t="s">
        <v>483</v>
      </c>
    </row>
    <row r="6" spans="1:20" ht="15" customHeight="1">
      <c r="A6" t="s">
        <v>316</v>
      </c>
      <c r="B6" t="s">
        <v>84</v>
      </c>
      <c r="F6" t="s">
        <v>237</v>
      </c>
      <c r="G6" t="s">
        <v>84</v>
      </c>
      <c r="H6" t="s">
        <v>144</v>
      </c>
      <c r="I6" t="s">
        <v>208</v>
      </c>
      <c r="J6" t="s">
        <v>426</v>
      </c>
      <c r="M6" t="s">
        <v>48</v>
      </c>
      <c r="N6" t="s">
        <v>483</v>
      </c>
    </row>
    <row r="7" spans="1:20" ht="15" customHeight="1">
      <c r="A7" t="s">
        <v>307</v>
      </c>
      <c r="B7" t="s">
        <v>65</v>
      </c>
      <c r="F7" t="s">
        <v>426</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229</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24" t="str">
        <f ca="1">"As of "&amp;TEXT(TODAY(),"d mmm yyyy")&amp;". Live from Combined Delivery Data."</f>
        <v>As of 30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40 of 72</v>
      </c>
      <c r="C5" s="225" t="str">
        <f>IF(C7+E7=0,"No CMS reports are blocked.","reports are blocked. "&amp;C7&amp;" are approved and waiting for a production release, "&amp;E7&amp;" are blocked in build or QA.")</f>
        <v>reports are blocked. 34 are approved and waiting for a production release, 6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34</v>
      </c>
      <c r="D7" s="227"/>
      <c r="E7" s="230" cm="1">
        <f t="array" ref="E7">COUNTIFS(cmsDom,"CMS",cmsBlocked,"Yes*",cmsStatus,"&lt;&gt;Ready for Release in Prod",cmsStatus,"&lt;&gt;RELEASED IN PROD")</f>
        <v>6</v>
      </c>
      <c r="F7" s="231"/>
      <c r="G7" s="232" cm="1">
        <f t="array" ref="G7">SUM(COUNTIFS(cmsDom,"CMS",cmsBlocked,"&lt;&gt;Yes*",cmsStatus,{"DB Dev","PBI Dev","QA","DPO Approval"}))</f>
        <v>17</v>
      </c>
      <c r="H7" s="233"/>
      <c r="I7" s="234" cm="1">
        <f t="array" ref="I7">COUNTIFS(cmsDom,"CMS",cmsBlocked,"&lt;&gt;Yes*",cmsStatus,"NOT STARTED")</f>
        <v>7</v>
      </c>
      <c r="J7" s="235"/>
      <c r="K7" s="236" cm="1">
        <f t="array" ref="K7">COUNTIFS(cmsDom,"CMS",cmsStatus,"RELEASED IN PROD")</f>
        <v>8</v>
      </c>
      <c r="L7" s="237"/>
      <c r="M7" s="238" t="s">
        <v>501</v>
      </c>
      <c r="N7" s="239"/>
      <c r="O7" s="240"/>
      <c r="P7" s="142"/>
      <c r="Q7" s="142"/>
      <c r="R7" s="142"/>
      <c r="S7" s="142"/>
      <c r="T7" s="142"/>
      <c r="U7" s="142"/>
      <c r="V7" s="142"/>
      <c r="W7" s="142"/>
      <c r="X7" s="142"/>
      <c r="Y7" s="142"/>
      <c r="Z7" s="142"/>
    </row>
    <row r="8" spans="1:26" ht="30" customHeight="1">
      <c r="A8" s="142"/>
      <c r="B8" s="142"/>
      <c r="C8" s="228" t="s">
        <v>502</v>
      </c>
      <c r="D8" s="229"/>
      <c r="E8" s="228" t="s">
        <v>503</v>
      </c>
      <c r="F8" s="229"/>
      <c r="G8" s="228" t="s">
        <v>504</v>
      </c>
      <c r="H8" s="229"/>
      <c r="I8" s="228" t="s">
        <v>505</v>
      </c>
      <c r="J8" s="229"/>
      <c r="K8" s="228" t="s">
        <v>506</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48" t="s">
        <v>508</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509</v>
      </c>
      <c r="C11" s="156" t="s">
        <v>510</v>
      </c>
      <c r="D11" s="156" t="s">
        <v>511</v>
      </c>
      <c r="E11" s="156" t="s">
        <v>426</v>
      </c>
      <c r="F11" s="156" t="s">
        <v>237</v>
      </c>
      <c r="G11" s="156" t="s">
        <v>200</v>
      </c>
      <c r="H11" s="156" t="s">
        <v>257</v>
      </c>
      <c r="I11" s="156" t="s">
        <v>505</v>
      </c>
      <c r="J11" s="156" t="s">
        <v>512</v>
      </c>
      <c r="K11" s="156" t="s">
        <v>513</v>
      </c>
      <c r="L11" s="156" t="s">
        <v>514</v>
      </c>
      <c r="M11" s="249" t="s">
        <v>515</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51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30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7</v>
      </c>
      <c r="D14" s="167" cm="1">
        <f t="array" ref="D14">COUNTIFS(cmsDom,"CMS",cmsMonth,$B14,cmsBlocked,"Yes*",cmsStatus,"&lt;&gt;Ready for Release in Prod",cmsStatus,"&lt;&gt;RELEASED IN PROD")</f>
        <v>2</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8</v>
      </c>
      <c r="K14" s="167" cm="1">
        <f t="array" ref="K14">COUNTIFS(cmsDom,"CMS",cmsMonth,$B14)</f>
        <v>17</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0 days to milestone, 2 blocked</v>
      </c>
      <c r="N14" s="243"/>
      <c r="O14" s="244"/>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1</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31 days to milestone, 4 blocked</v>
      </c>
      <c r="N15" s="243"/>
      <c r="O15" s="244"/>
      <c r="P15" s="142"/>
      <c r="Q15" s="142"/>
      <c r="R15" s="142"/>
      <c r="S15" s="142"/>
      <c r="T15" s="142"/>
      <c r="U15" s="142"/>
      <c r="V15" s="142"/>
      <c r="W15" s="142"/>
      <c r="X15" s="142"/>
      <c r="Y15" s="142"/>
      <c r="Z15" s="142"/>
    </row>
    <row r="16" spans="1:26" ht="21.75" customHeight="1">
      <c r="A16" s="142"/>
      <c r="B16" s="163" t="s">
        <v>238</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2</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5</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62 days to milestone</v>
      </c>
      <c r="N16" s="246"/>
      <c r="O16" s="247"/>
      <c r="P16" s="142"/>
      <c r="Q16" s="142"/>
      <c r="R16" s="142"/>
      <c r="S16" s="142"/>
      <c r="T16" s="142"/>
      <c r="U16" s="142"/>
      <c r="V16" s="142"/>
      <c r="W16" s="142"/>
      <c r="X16" s="142"/>
      <c r="Y16" s="142"/>
      <c r="Z16" s="142"/>
    </row>
    <row r="17" spans="1:26" ht="24" customHeight="1">
      <c r="A17" s="142"/>
      <c r="B17" s="157" t="s">
        <v>516</v>
      </c>
      <c r="C17" s="169">
        <f t="shared" ref="C17:K17" si="0">SUM(C12:C16)</f>
        <v>34</v>
      </c>
      <c r="D17" s="169">
        <f t="shared" si="0"/>
        <v>6</v>
      </c>
      <c r="E17" s="169">
        <f t="shared" si="0"/>
        <v>0</v>
      </c>
      <c r="F17" s="169">
        <f t="shared" si="0"/>
        <v>6</v>
      </c>
      <c r="G17" s="169">
        <f t="shared" si="0"/>
        <v>7</v>
      </c>
      <c r="H17" s="169">
        <f t="shared" si="0"/>
        <v>4</v>
      </c>
      <c r="I17" s="169">
        <f t="shared" si="0"/>
        <v>7</v>
      </c>
      <c r="J17" s="169">
        <f t="shared" si="0"/>
        <v>8</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48" t="s">
        <v>518</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48" t="s">
        <v>519</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509</v>
      </c>
      <c r="D49" s="260"/>
      <c r="E49" s="260" t="s">
        <v>453</v>
      </c>
      <c r="F49" s="260"/>
      <c r="G49" s="260" t="s">
        <v>463</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523</v>
      </c>
      <c r="D50" s="262"/>
      <c r="E50" s="261" t="s">
        <v>523</v>
      </c>
      <c r="F50" s="262"/>
      <c r="G50" s="261" t="s">
        <v>523</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RELEASED IN PROD</v>
      </c>
      <c r="E79" s="173" t="str">
        <v>Yes – needs DPO Approval to fix</v>
      </c>
      <c r="F79" s="173" t="str">
        <v>Rupa</v>
      </c>
      <c r="G79" s="173" t="str">
        <v>Shraddha</v>
      </c>
      <c r="H79" s="173" t="str">
        <v>Preety</v>
      </c>
      <c r="I79" s="173" t="str">
        <v>Simone Brooks</v>
      </c>
      <c r="J79" s="184">
        <v>46253</v>
      </c>
      <c r="K79" s="184">
        <v>46295</v>
      </c>
      <c r="L79" s="184" t="str">
        <v/>
      </c>
      <c r="M79" s="184">
        <v>46310</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No</v>
      </c>
      <c r="F81" s="173" t="str">
        <v>Sree</v>
      </c>
      <c r="G81" s="173" t="str">
        <v>Sarath</v>
      </c>
      <c r="H81" s="173" t="str">
        <v>Preety</v>
      </c>
      <c r="I81" s="173" t="str">
        <v>Oneil Lashley</v>
      </c>
      <c r="J81" s="184" t="str">
        <v/>
      </c>
      <c r="K81" s="184">
        <v>46268</v>
      </c>
      <c r="L81" s="184">
        <v>46282</v>
      </c>
      <c r="M81" s="184">
        <v>46286</v>
      </c>
      <c r="N81" s="185">
        <v>1</v>
      </c>
      <c r="O81" s="173" t="str">
        <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Ready for Release in Prod</v>
      </c>
      <c r="E86" s="173" t="str">
        <v>No</v>
      </c>
      <c r="F86" s="173" t="str">
        <v>Siddu</v>
      </c>
      <c r="G86" s="173" t="str">
        <v>Shraddha</v>
      </c>
      <c r="H86" s="173" t="str">
        <v>Olu</v>
      </c>
      <c r="I86" s="173" t="str">
        <v>Michelle Fitten</v>
      </c>
      <c r="J86" s="184">
        <v>46259</v>
      </c>
      <c r="K86" s="184">
        <v>46282</v>
      </c>
      <c r="L86" s="184">
        <v>46289</v>
      </c>
      <c r="M86" s="184" t="str">
        <v/>
      </c>
      <c r="N86" s="185">
        <v>0</v>
      </c>
      <c r="O86" s="173" t="str">
        <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Ready for Release in Prod</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DB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QA</v>
      </c>
      <c r="E103" s="182" t="str">
        <v/>
      </c>
      <c r="F103" s="173" t="str">
        <v>Rupa</v>
      </c>
      <c r="G103" s="173" t="str">
        <v>Navya</v>
      </c>
      <c r="H103" s="173" t="str">
        <v/>
      </c>
      <c r="I103" s="173" t="str">
        <v>Angela Keegan</v>
      </c>
      <c r="J103" s="184">
        <v>46266</v>
      </c>
      <c r="K103" s="184">
        <v>46317</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DB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QA</v>
      </c>
      <c r="E108" s="173" t="str">
        <v/>
      </c>
      <c r="F108" s="173" t="str">
        <v>Rupa</v>
      </c>
      <c r="G108" s="173" t="str">
        <v>Navya</v>
      </c>
      <c r="H108" s="173" t="str">
        <v/>
      </c>
      <c r="I108" s="173" t="str">
        <v>Oneil Lashley</v>
      </c>
      <c r="J108" s="184">
        <v>46286</v>
      </c>
      <c r="K108" s="184">
        <v>46307</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QA</v>
      </c>
      <c r="E113" s="173" t="str">
        <v/>
      </c>
      <c r="F113" s="173" t="str">
        <v>Michael</v>
      </c>
      <c r="G113" s="173" t="str">
        <v>Shraddha</v>
      </c>
      <c r="H113" s="173" t="str">
        <v/>
      </c>
      <c r="I113" s="173" t="str">
        <v>Shaunna Peters</v>
      </c>
      <c r="J113" s="184">
        <v>46282</v>
      </c>
      <c r="K113" s="184">
        <v>46324</v>
      </c>
      <c r="L113" s="184" t="str">
        <v/>
      </c>
      <c r="M113" s="184" t="str">
        <v/>
      </c>
      <c r="N113" s="185">
        <v>0</v>
      </c>
      <c r="O113" s="173" t="str">
        <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426</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426</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426</v>
      </c>
      <c r="D28" t="s">
        <v>53</v>
      </c>
      <c r="E28" t="str">
        <f t="shared" si="0"/>
        <v>DPO Approval</v>
      </c>
    </row>
    <row r="29" spans="1:5">
      <c r="A29" t="s">
        <v>199</v>
      </c>
      <c r="B29" t="s">
        <v>194</v>
      </c>
      <c r="C29" t="s">
        <v>426</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426</v>
      </c>
      <c r="D32" t="s">
        <v>53</v>
      </c>
      <c r="E32" t="str">
        <f t="shared" si="0"/>
        <v>DPO Approval</v>
      </c>
    </row>
    <row r="33" spans="1:5">
      <c r="A33" t="s">
        <v>211</v>
      </c>
      <c r="B33" t="s">
        <v>194</v>
      </c>
      <c r="C33" t="s">
        <v>128</v>
      </c>
      <c r="D33" t="s">
        <v>133</v>
      </c>
      <c r="E33" t="str">
        <f t="shared" si="0"/>
        <v>Blocked in Prod</v>
      </c>
    </row>
    <row r="34" spans="1:5">
      <c r="A34" t="s">
        <v>213</v>
      </c>
      <c r="B34" t="s">
        <v>194</v>
      </c>
      <c r="C34" t="s">
        <v>426</v>
      </c>
      <c r="D34" t="s">
        <v>259</v>
      </c>
      <c r="E34" t="str">
        <f t="shared" ref="E34:E65" si="1">IF(C34="Ready for Release in Prod","Blocked in Prod",IF(C34="RELEASED IN PROD","Released",IF(LEFT(D34,3)="Yes","Blocked - Build/QA",IF(C34="NOT STARTED","Not Started",C34))))</f>
        <v>Blocked - Build/QA</v>
      </c>
    </row>
    <row r="35" spans="1:5">
      <c r="A35" t="s">
        <v>216</v>
      </c>
      <c r="B35" t="s">
        <v>194</v>
      </c>
      <c r="C35" t="s">
        <v>426</v>
      </c>
      <c r="D35" t="s">
        <v>53</v>
      </c>
      <c r="E35" t="str">
        <f t="shared" si="1"/>
        <v>DPO Approval</v>
      </c>
    </row>
    <row r="36" spans="1:5">
      <c r="A36" t="s">
        <v>218</v>
      </c>
      <c r="B36" t="s">
        <v>194</v>
      </c>
      <c r="C36" t="s">
        <v>237</v>
      </c>
      <c r="D36" t="s">
        <v>53</v>
      </c>
      <c r="E36" t="str">
        <f t="shared" si="1"/>
        <v>QA</v>
      </c>
    </row>
    <row r="37" spans="1:5">
      <c r="A37" t="s">
        <v>220</v>
      </c>
      <c r="B37" t="s">
        <v>194</v>
      </c>
      <c r="C37" t="s">
        <v>237</v>
      </c>
      <c r="D37" t="s">
        <v>53</v>
      </c>
      <c r="E37" t="str">
        <f t="shared" si="1"/>
        <v>QA</v>
      </c>
    </row>
    <row r="38" spans="1:5">
      <c r="A38" t="s">
        <v>222</v>
      </c>
      <c r="B38" t="s">
        <v>194</v>
      </c>
      <c r="C38" t="s">
        <v>426</v>
      </c>
      <c r="D38" t="s">
        <v>53</v>
      </c>
      <c r="E38" t="str">
        <f t="shared" si="1"/>
        <v>DPO Approval</v>
      </c>
    </row>
    <row r="39" spans="1:5">
      <c r="A39" t="s">
        <v>223</v>
      </c>
      <c r="B39" t="s">
        <v>194</v>
      </c>
      <c r="C39" t="s">
        <v>200</v>
      </c>
      <c r="D39" t="s">
        <v>53</v>
      </c>
      <c r="E39" t="str">
        <f t="shared" si="1"/>
        <v>PBI Dev</v>
      </c>
    </row>
    <row r="40" spans="1:5">
      <c r="A40" t="s">
        <v>224</v>
      </c>
      <c r="B40" t="s">
        <v>194</v>
      </c>
      <c r="C40" t="s">
        <v>257</v>
      </c>
      <c r="D40" t="s">
        <v>53</v>
      </c>
      <c r="E40" t="str">
        <f t="shared" si="1"/>
        <v>DB Dev</v>
      </c>
    </row>
    <row r="41" spans="1:5">
      <c r="A41" t="s">
        <v>228</v>
      </c>
      <c r="B41" t="s">
        <v>194</v>
      </c>
      <c r="C41" t="s">
        <v>200</v>
      </c>
      <c r="D41" t="s">
        <v>53</v>
      </c>
      <c r="E41" t="str">
        <f t="shared" si="1"/>
        <v>PBI Dev</v>
      </c>
    </row>
    <row r="42" spans="1:5">
      <c r="A42" t="s">
        <v>233</v>
      </c>
      <c r="B42" t="s">
        <v>194</v>
      </c>
      <c r="C42" t="s">
        <v>253</v>
      </c>
      <c r="D42" t="s">
        <v>53</v>
      </c>
      <c r="E42" t="str">
        <f t="shared" si="1"/>
        <v>Not Started</v>
      </c>
    </row>
    <row r="43" spans="1:5">
      <c r="A43" t="s">
        <v>236</v>
      </c>
      <c r="B43" t="s">
        <v>194</v>
      </c>
      <c r="C43" t="s">
        <v>200</v>
      </c>
      <c r="D43" t="s">
        <v>480</v>
      </c>
      <c r="E43" t="str">
        <f t="shared" si="1"/>
        <v>Blocked - Build/QA</v>
      </c>
    </row>
    <row r="44" spans="1:5">
      <c r="A44" t="s">
        <v>240</v>
      </c>
      <c r="B44" t="s">
        <v>194</v>
      </c>
      <c r="C44" t="s">
        <v>426</v>
      </c>
      <c r="D44" t="s">
        <v>53</v>
      </c>
      <c r="E44" t="str">
        <f t="shared" si="1"/>
        <v>DPO Approval</v>
      </c>
    </row>
    <row r="45" spans="1:5">
      <c r="A45" t="s">
        <v>243</v>
      </c>
      <c r="B45" t="s">
        <v>194</v>
      </c>
      <c r="C45" t="s">
        <v>200</v>
      </c>
      <c r="D45" t="s">
        <v>53</v>
      </c>
      <c r="E45" t="str">
        <f t="shared" si="1"/>
        <v>PBI Dev</v>
      </c>
    </row>
    <row r="46" spans="1:5">
      <c r="A46" t="s">
        <v>244</v>
      </c>
      <c r="B46" t="s">
        <v>245</v>
      </c>
      <c r="C46" t="s">
        <v>237</v>
      </c>
      <c r="E46" t="str">
        <f t="shared" si="1"/>
        <v>QA</v>
      </c>
    </row>
    <row r="47" spans="1:5">
      <c r="A47" t="s">
        <v>248</v>
      </c>
      <c r="B47" t="s">
        <v>245</v>
      </c>
      <c r="C47" t="s">
        <v>200</v>
      </c>
      <c r="E47" t="str">
        <f t="shared" si="1"/>
        <v>PBI Dev</v>
      </c>
    </row>
    <row r="48" spans="1:5">
      <c r="A48" t="s">
        <v>249</v>
      </c>
      <c r="B48" t="s">
        <v>245</v>
      </c>
      <c r="C48" t="s">
        <v>253</v>
      </c>
      <c r="E48" t="str">
        <f t="shared" si="1"/>
        <v>Not Started</v>
      </c>
    </row>
    <row r="49" spans="1:5">
      <c r="A49" t="s">
        <v>252</v>
      </c>
      <c r="B49" t="s">
        <v>245</v>
      </c>
      <c r="C49" t="s">
        <v>253</v>
      </c>
      <c r="E49" t="str">
        <f t="shared" si="1"/>
        <v>Not Started</v>
      </c>
    </row>
    <row r="50" spans="1:5">
      <c r="A50" t="s">
        <v>255</v>
      </c>
      <c r="B50" t="s">
        <v>245</v>
      </c>
      <c r="C50" t="s">
        <v>253</v>
      </c>
      <c r="E50" t="str">
        <f t="shared" si="1"/>
        <v>Not Started</v>
      </c>
    </row>
    <row r="51" spans="1:5">
      <c r="A51" t="s">
        <v>256</v>
      </c>
      <c r="B51" t="s">
        <v>245</v>
      </c>
      <c r="C51" t="s">
        <v>200</v>
      </c>
      <c r="D51" t="s">
        <v>259</v>
      </c>
      <c r="E51" t="str">
        <f t="shared" si="1"/>
        <v>Blocked - Build/QA</v>
      </c>
    </row>
    <row r="52" spans="1:5">
      <c r="A52" t="s">
        <v>261</v>
      </c>
      <c r="B52" t="s">
        <v>245</v>
      </c>
      <c r="C52" t="s">
        <v>200</v>
      </c>
      <c r="E52" t="str">
        <f t="shared" si="1"/>
        <v>PBI Dev</v>
      </c>
    </row>
    <row r="53" spans="1:5">
      <c r="A53" t="s">
        <v>265</v>
      </c>
      <c r="B53" t="s">
        <v>245</v>
      </c>
      <c r="C53" t="s">
        <v>253</v>
      </c>
      <c r="E53" t="str">
        <f t="shared" si="1"/>
        <v>Not Started</v>
      </c>
    </row>
    <row r="54" spans="1:5">
      <c r="A54" t="s">
        <v>266</v>
      </c>
      <c r="B54" t="s">
        <v>245</v>
      </c>
      <c r="C54" t="s">
        <v>253</v>
      </c>
      <c r="E54" t="str">
        <f t="shared" si="1"/>
        <v>Not Started</v>
      </c>
    </row>
    <row r="55" spans="1:5">
      <c r="A55" t="s">
        <v>267</v>
      </c>
      <c r="B55" t="s">
        <v>245</v>
      </c>
      <c r="C55" t="s">
        <v>257</v>
      </c>
      <c r="E55" t="str">
        <f t="shared" si="1"/>
        <v>DB Dev</v>
      </c>
    </row>
    <row r="56" spans="1:5">
      <c r="A56" t="s">
        <v>270</v>
      </c>
      <c r="B56" t="s">
        <v>245</v>
      </c>
      <c r="C56" t="s">
        <v>200</v>
      </c>
      <c r="E56" t="str">
        <f t="shared" si="1"/>
        <v>PBI Dev</v>
      </c>
    </row>
    <row r="57" spans="1:5">
      <c r="A57" t="s">
        <v>272</v>
      </c>
      <c r="B57" t="s">
        <v>245</v>
      </c>
      <c r="C57" t="s">
        <v>200</v>
      </c>
      <c r="E57" t="str">
        <f t="shared" si="1"/>
        <v>PBI Dev</v>
      </c>
    </row>
    <row r="58" spans="1:5">
      <c r="A58" t="s">
        <v>273</v>
      </c>
      <c r="B58" t="s">
        <v>245</v>
      </c>
      <c r="C58" t="s">
        <v>253</v>
      </c>
      <c r="E58" t="str">
        <f t="shared" si="1"/>
        <v>Not Started</v>
      </c>
    </row>
    <row r="59" spans="1:5">
      <c r="A59" t="s">
        <v>276</v>
      </c>
      <c r="B59" t="s">
        <v>238</v>
      </c>
      <c r="C59" t="s">
        <v>253</v>
      </c>
      <c r="E59" t="str">
        <f t="shared" si="1"/>
        <v>Not Started</v>
      </c>
    </row>
    <row r="60" spans="1:5">
      <c r="A60" t="s">
        <v>279</v>
      </c>
      <c r="B60" t="s">
        <v>238</v>
      </c>
      <c r="C60" t="s">
        <v>253</v>
      </c>
      <c r="E60" t="str">
        <f t="shared" si="1"/>
        <v>Not Started</v>
      </c>
    </row>
    <row r="61" spans="1:5">
      <c r="A61" t="s">
        <v>280</v>
      </c>
      <c r="B61" t="s">
        <v>238</v>
      </c>
      <c r="C61" t="s">
        <v>253</v>
      </c>
      <c r="E61" t="str">
        <f t="shared" si="1"/>
        <v>Not Started</v>
      </c>
    </row>
    <row r="62" spans="1:5">
      <c r="A62" t="s">
        <v>283</v>
      </c>
      <c r="B62" t="s">
        <v>238</v>
      </c>
      <c r="C62" t="s">
        <v>253</v>
      </c>
      <c r="E62" t="str">
        <f t="shared" si="1"/>
        <v>Not Started</v>
      </c>
    </row>
    <row r="63" spans="1:5">
      <c r="A63" t="s">
        <v>284</v>
      </c>
      <c r="B63" t="s">
        <v>238</v>
      </c>
      <c r="C63" t="s">
        <v>253</v>
      </c>
      <c r="E63" t="str">
        <f t="shared" si="1"/>
        <v>Not Started</v>
      </c>
    </row>
    <row r="64" spans="1:5">
      <c r="A64" t="s">
        <v>287</v>
      </c>
      <c r="B64" t="s">
        <v>238</v>
      </c>
      <c r="C64" t="s">
        <v>253</v>
      </c>
      <c r="E64" t="str">
        <f t="shared" si="1"/>
        <v>Not Started</v>
      </c>
    </row>
    <row r="65" spans="1:5">
      <c r="A65" t="s">
        <v>289</v>
      </c>
      <c r="B65" t="s">
        <v>238</v>
      </c>
      <c r="C65" t="s">
        <v>253</v>
      </c>
      <c r="E65" t="str">
        <f t="shared" si="1"/>
        <v>Not Started</v>
      </c>
    </row>
    <row r="66" spans="1:5">
      <c r="A66" t="s">
        <v>291</v>
      </c>
      <c r="B66" t="s">
        <v>238</v>
      </c>
      <c r="C66" t="s">
        <v>253</v>
      </c>
      <c r="E66" t="str">
        <f t="shared" ref="E66:E73" si="2">IF(C66="Ready for Release in Prod","Blocked in Prod",IF(C66="RELEASED IN PROD","Released",IF(LEFT(D66,3)="Yes","Blocked - Build/QA",IF(C66="NOT STARTED","Not Started",C66))))</f>
        <v>Not Started</v>
      </c>
    </row>
    <row r="67" spans="1:5">
      <c r="A67" t="s">
        <v>293</v>
      </c>
      <c r="B67" t="s">
        <v>238</v>
      </c>
      <c r="C67" t="s">
        <v>253</v>
      </c>
      <c r="E67" t="str">
        <f t="shared" si="2"/>
        <v>Not Started</v>
      </c>
    </row>
    <row r="68" spans="1:5">
      <c r="A68" t="s">
        <v>294</v>
      </c>
      <c r="B68" t="s">
        <v>238</v>
      </c>
      <c r="C68" t="s">
        <v>253</v>
      </c>
      <c r="E68" t="str">
        <f t="shared" si="2"/>
        <v>Not Started</v>
      </c>
    </row>
    <row r="69" spans="1:5">
      <c r="A69" t="s">
        <v>297</v>
      </c>
      <c r="B69" t="s">
        <v>238</v>
      </c>
      <c r="C69" t="s">
        <v>253</v>
      </c>
      <c r="E69" t="str">
        <f t="shared" si="2"/>
        <v>Not Started</v>
      </c>
    </row>
    <row r="70" spans="1:5">
      <c r="A70" t="s">
        <v>299</v>
      </c>
      <c r="B70" t="s">
        <v>238</v>
      </c>
      <c r="C70" t="s">
        <v>253</v>
      </c>
      <c r="E70" t="str">
        <f t="shared" si="2"/>
        <v>Not Started</v>
      </c>
    </row>
    <row r="71" spans="1:5">
      <c r="A71" t="s">
        <v>301</v>
      </c>
      <c r="B71" t="s">
        <v>238</v>
      </c>
      <c r="C71" t="s">
        <v>253</v>
      </c>
      <c r="E71" t="str">
        <f t="shared" si="2"/>
        <v>Not Started</v>
      </c>
    </row>
    <row r="72" spans="1:5">
      <c r="A72" t="s">
        <v>302</v>
      </c>
      <c r="B72" t="s">
        <v>238</v>
      </c>
      <c r="C72" t="s">
        <v>253</v>
      </c>
      <c r="E72" t="str">
        <f t="shared" si="2"/>
        <v>Not Started</v>
      </c>
    </row>
    <row r="73" spans="1:5">
      <c r="A73" t="s">
        <v>305</v>
      </c>
      <c r="B73" t="s">
        <v>238</v>
      </c>
      <c r="C73" t="s">
        <v>253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426</v>
      </c>
      <c r="C5" t="str">
        <v>Geetha</v>
      </c>
    </row>
    <row r="6" spans="1:3">
      <c r="A6" t="str">
        <v>October</v>
      </c>
      <c r="B6" t="s">
        <v>237</v>
      </c>
      <c r="C6" t="str">
        <v>Kushal</v>
      </c>
    </row>
    <row r="7" spans="1:3">
      <c r="A7" t="str">
        <v>November</v>
      </c>
      <c r="B7" t="s">
        <v>200</v>
      </c>
      <c r="C7" t="str">
        <v>Michael</v>
      </c>
    </row>
    <row r="8" spans="1:3">
      <c r="B8" t="s">
        <v>257</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2026-10-30T17:19:31Z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