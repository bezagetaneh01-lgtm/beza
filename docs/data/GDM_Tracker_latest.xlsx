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020" documentId="13_ncr:1_{52745E9B-3AA1-4770-AAD3-E6166BFC13AE}" xr6:coauthVersionLast="47" xr6:coauthVersionMax="47" xr10:uidLastSave="{8628BAF6-6B9E-494F-AD2B-39F131B7A7F4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<sst xmlns="http://schemas.openxmlformats.org/spreadsheetml/2006/main" count="2253" uniqueCount="269">
  <si>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</si>
  <si>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</si>
  <si>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</si>
  <si>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</si>
  <si>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</si>
  <si>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</si>
  <si>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</si>
  <si>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</si>
  <si>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</si>
  <si>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</si>
  <si>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</si>
  <si>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</si>
  <si>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</si>
  <si>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</si>
  <si>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</si>
  <si>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</si>
  <si>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</si>
  <si>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</si>
  <si>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</si>
  <si>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</si>
  <si>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</si>
  <si>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</si>
  <si>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</si>
  <si>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</si>
  <si>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</si>
  <si>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</si>
  <si>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</si>
  <si>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</si>
  <si>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</si>
  <si>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</si>
  <si>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</si>
  <si>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</si>
  <si>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</si>
  <si>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</si>
  <si>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</si>
  <si>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</si>
  <si>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</si>
  <si>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</si>
  <si>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</si>
  <si>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</si>
  <si>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</si>
  <si>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</si>
  <si>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</si>
  <si>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</si>
  <si>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</si>
  <si>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</si>
  <si>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</si>
  <si>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</si>
  <si>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</si>
  <si>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</si>
  <si>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</si>
  <si>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</si>
  <si>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</si>
  <si>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</si>
  <si>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</si>
  <si>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</si>
  <si>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</si>
  <si>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</si>
  <si>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</si>
  <si>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</si>
  <si>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</si>
  <si>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</si>
  <si>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</si>
  <si>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</si>
  <si>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</si>
  <si>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</si>
  <si>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</si>
  <si>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</si>
  <si>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</si>
  <si>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</si>
  <si>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</si>
  <si>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</si>
  <si>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</si>
  <si>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</si>
  <si>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</si>
  <si>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</si>
  <si>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</si>
  <si>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</si>
  <si>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</si>
  <si>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</si>
  <si>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</si>
  <si>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</si>
  <si>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</si>
  <si>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</si>
  <si>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</si>
  <si>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</si>
  <si>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</si>
  <si>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</si>
  <si>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</si>
  <si>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</si>
  <si>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</si>
  <si>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</si>
  <si>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</si>
  <si>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</si>
  <si>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</si>
  <si>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</si>
  <si>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</si>
  <si>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</si>
  <si>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</si>
  <si>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</si>
  <si>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</si>
  <si>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</si>
  <si>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</si>
  <si>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</si>
  <si>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</si>
  <si>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</si>
  <si>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</si>
  <si>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</si>
  <si>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</si>
  <si>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</si>
  <si>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</si>
  <si>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</si>
  <si>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</si>
  <si>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</si>
  <si>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</si>
  <si>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</si>
  <si>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</si>
  <si>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</si>
  <si>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</si>
  <si>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</si>
  <si>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QA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</si>
  <si>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</si>
  <si>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</si>
  <si>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</si>
  <si>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</si>
  <si>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PBI Dev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</si>
  <si>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</si>
  <si>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</si>
  <si>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</si>
  <si>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</si>
  <si>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</si>
  <si>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</si>
  <si>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</si>
  <si>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Available for PBI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</si>
  <si>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</si>
  <si>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</si>
  <si>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</si>
  <si>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</si>
  <si>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</si>
  <si>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</si>
  <si>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</si>
  <si>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</si>
  <si>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</si>
  <si>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</si>
  <si>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</si>
  <si>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</si>
  <si>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8/18/2026 : Blocked with https://jira.prod.nationalgrid.com/browse/GDMP-2929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</si>
  <si>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</si>
  <si>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</si>
  <si>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</si>
  <si>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</si>
  <si>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</si>
  <si>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</si>
  <si>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</si>
  <si>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DB Dev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</si>
  <si>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</si>
  <si>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</si>
  <si>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</si>
  <si>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</si>
  <si>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</si>
  <si>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</si>
  <si>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</si>
  <si>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</si>
  <si>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</si>
  <si>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</si>
  <si>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</si>
  <si>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</si>
  <si>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</si>
  <si>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</si>
  <si>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</si>
  <si>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</si>
  <si>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</si>
  <si>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</si>
  <si>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</si>
  <si>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</si>
  <si>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</si>
  <si>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</si>
  <si>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</si>
  <si>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</si>
  <si>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</si>
  <si>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Greeta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</si>
  <si>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</si>
  <si>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</si>
  <si>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</si>
  <si>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</si>
  <si>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</si>
  <si>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</si>
  <si>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</si>
  <si>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</si>
  <si>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</si>
  <si>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</si>
  <si>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</si>
  <si>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</si>
  <si>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</si>
  <si>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</si>
  <si>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</si>
  <si>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</si>
  <si>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</si>
  <si>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</si>
  <si>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</si>
  <si>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</si>
  <si>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</si>
  <si>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</si>
  <si>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</si>
  <si>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</si>
  <si>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</si>
  <si>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</si>
  <si>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</si>
  <si>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</si>
  <si>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</si>
  <si>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</si>
  <si>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</si>
  <si>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</si>
  <si>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</si>
  <si>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</si>
  <si>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</si>
  <si>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</si>
  <si>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</si>
  <si>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</si>
  <si>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</si>
  <si>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</si>
  <si>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yes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</si>
  <si>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</si>
  <si>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</si>
  <si>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</si>
  <si>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</si>
  <si>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2 columns missing. 1 record mismatch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</si>
  <si>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</si>
  <si>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</si>
  <si>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</si>
  <si>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</si>
  <si>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</si>
  <si>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</si>
  <si>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</si>
  <si>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</si>
  <si>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</si>
  <si>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</si>
  <si>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</si>
  <si>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</si>
  <si>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</si>
  <si>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</si>
  <si>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</si>
  <si>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</si>
  <si>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</si>
  <si>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</si>
  <si>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</si>
  <si>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</si>
  <si>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</si>
  <si>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</si>
  <si>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</si>
  <si>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</si>
  <si>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</si>
  <si>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</si>
  <si>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</si>
  <si>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</si>
  <si>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</si>
  <si>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</si>
  <si>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</si>
  <si>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</si>
  <si>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</si>
  <si>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Yes – needs DB Dev to fix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</si>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</sst>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7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80" zoomScaleNormal="80" workbookViewId="0">
      <pane xSplit="2" topLeftCell="G46" activePane="topRight" state="frozen"/>
      <selection pane="topRight" activeCell="L60" sqref="L60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46253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120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125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On track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45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46253</v>
      </c>
      <c r="W33" s="36">
        <v>46251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128</v>
      </c>
    </row>
    <row r="34" spans="1:34" ht="14.45">
      <c r="A34" s="33" t="s">
        <v>112</v>
      </c>
      <c r="B34" s="33" t="s">
        <v>129</v>
      </c>
      <c r="C34" s="33" t="s">
        <v>120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130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130</v>
      </c>
      <c r="U34" s="60">
        <v>46227</v>
      </c>
      <c r="V34" s="36">
        <v>46255</v>
      </c>
      <c r="W34" s="36"/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125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On track</v>
      </c>
      <c r="E35" s="33">
        <v>7</v>
      </c>
      <c r="F35" s="34" t="s">
        <v>130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130</v>
      </c>
      <c r="U35" s="60">
        <v>46227</v>
      </c>
      <c r="V35" s="36">
        <v>46255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133</v>
      </c>
    </row>
    <row r="36" spans="1:34" ht="14.45">
      <c r="A36" s="33" t="s">
        <v>112</v>
      </c>
      <c r="B36" s="33" t="s">
        <v>134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130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130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 ht="14.45">
      <c r="A37" s="33" t="s">
        <v>112</v>
      </c>
      <c r="B37" s="33" t="s">
        <v>135</v>
      </c>
      <c r="C37" s="33" t="s">
        <v>120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130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46248</v>
      </c>
      <c r="R37" s="36">
        <v>46248</v>
      </c>
      <c r="S37" s="70"/>
      <c r="T37" s="55" t="s">
        <v>130</v>
      </c>
      <c r="U37" s="60">
        <v>46227</v>
      </c>
      <c r="V37" s="36">
        <v>46253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136</v>
      </c>
    </row>
    <row r="38" spans="1:34" ht="14.45">
      <c r="A38" s="33" t="s">
        <v>112</v>
      </c>
      <c r="B38" s="33" t="s">
        <v>137</v>
      </c>
      <c r="C38" s="33" t="s">
        <v>120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138</v>
      </c>
      <c r="F38" s="34" t="s">
        <v>130</v>
      </c>
      <c r="G38" s="33"/>
      <c r="H38" s="50">
        <v>46234</v>
      </c>
      <c r="I38" s="62" t="s">
        <v>116</v>
      </c>
      <c r="J38" s="33" t="s">
        <v>139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46247</v>
      </c>
      <c r="R38" s="36">
        <v>46247</v>
      </c>
      <c r="S38" s="70"/>
      <c r="T38" s="55" t="s">
        <v>130</v>
      </c>
      <c r="U38" s="60">
        <v>46227</v>
      </c>
      <c r="V38" s="36">
        <v>46253</v>
      </c>
      <c r="W38" s="36"/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140</v>
      </c>
      <c r="C39" s="33" t="s">
        <v>120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130</v>
      </c>
      <c r="G39" s="33"/>
      <c r="H39" s="50">
        <v>46234</v>
      </c>
      <c r="I39" s="62" t="s">
        <v>116</v>
      </c>
      <c r="J39" s="33" t="s">
        <v>139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141</v>
      </c>
    </row>
    <row r="40" spans="1:34" ht="14.45">
      <c r="A40" s="33" t="s">
        <v>112</v>
      </c>
      <c r="B40" s="33" t="s">
        <v>142</v>
      </c>
      <c r="C40" s="33" t="s">
        <v>120</v>
      </c>
      <c r="D40" s="3" t="s">
        <v>143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144</v>
      </c>
    </row>
    <row r="41" spans="1:34" ht="14.45">
      <c r="A41" s="33" t="s">
        <v>112</v>
      </c>
      <c r="B41" s="33" t="s">
        <v>145</v>
      </c>
      <c r="C41" s="33" t="s">
        <v>120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46254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146</v>
      </c>
    </row>
    <row r="42" spans="1:34" ht="14.45">
      <c r="A42" s="33" t="s">
        <v>112</v>
      </c>
      <c r="B42" s="33" t="s">
        <v>147</v>
      </c>
      <c r="C42" s="33" t="s">
        <v>120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130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148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149</v>
      </c>
      <c r="C43" s="33" t="s">
        <v>125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150</v>
      </c>
      <c r="F43" s="34" t="s">
        <v>130</v>
      </c>
      <c r="G43" s="33"/>
      <c r="H43" s="50">
        <v>46265</v>
      </c>
      <c r="I43" s="62" t="s">
        <v>151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152</v>
      </c>
      <c r="O43" s="66" t="s">
        <v>52</v>
      </c>
      <c r="P43" s="4">
        <v>46241</v>
      </c>
      <c r="Q43" s="36"/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153</v>
      </c>
      <c r="C44" s="33" t="s">
        <v>154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130</v>
      </c>
      <c r="G44" s="33"/>
      <c r="H44" s="50">
        <v>46265</v>
      </c>
      <c r="I44" s="62" t="s">
        <v>151</v>
      </c>
      <c r="J44" s="33" t="s">
        <v>51</v>
      </c>
      <c r="K44" s="4">
        <v>46234</v>
      </c>
      <c r="L44" s="36">
        <v>46255</v>
      </c>
      <c r="M44" s="36"/>
      <c r="N44" s="36" t="s">
        <v>152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155</v>
      </c>
      <c r="C45" s="33" t="s">
        <v>120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 t="s">
        <v>115</v>
      </c>
      <c r="G45" s="33"/>
      <c r="H45" s="50">
        <v>46265</v>
      </c>
      <c r="I45" s="62" t="s">
        <v>151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152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156</v>
      </c>
      <c r="C46" s="33" t="s">
        <v>125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151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157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158</v>
      </c>
      <c r="C47" s="33" t="s">
        <v>125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151</v>
      </c>
      <c r="J47" s="33" t="s">
        <v>139</v>
      </c>
      <c r="K47" s="4">
        <v>46234</v>
      </c>
      <c r="L47" s="36">
        <v>46246</v>
      </c>
      <c r="M47" s="36">
        <v>46246</v>
      </c>
      <c r="N47" s="36" t="s">
        <v>159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160</v>
      </c>
      <c r="C48" s="33" t="s">
        <v>154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Overdue</v>
      </c>
      <c r="E48" s="33">
        <v>22</v>
      </c>
      <c r="F48" s="34" t="s">
        <v>130</v>
      </c>
      <c r="G48" s="33"/>
      <c r="H48" s="50">
        <v>46265</v>
      </c>
      <c r="I48" s="62" t="s">
        <v>151</v>
      </c>
      <c r="J48" s="33" t="s">
        <v>94</v>
      </c>
      <c r="K48" s="4">
        <v>46234</v>
      </c>
      <c r="L48" s="36">
        <v>46255</v>
      </c>
      <c r="M48" s="36"/>
      <c r="N48" s="36" t="s">
        <v>159</v>
      </c>
      <c r="O48" s="66" t="s">
        <v>39</v>
      </c>
      <c r="P48" s="4">
        <v>46241</v>
      </c>
      <c r="Q48" s="36"/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161</v>
      </c>
      <c r="C49" s="33" t="s">
        <v>154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151</v>
      </c>
      <c r="J49" s="33" t="s">
        <v>139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162</v>
      </c>
      <c r="C50" s="33" t="s">
        <v>125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Overdue</v>
      </c>
      <c r="E50" s="33">
        <v>25</v>
      </c>
      <c r="F50" s="34" t="s">
        <v>130</v>
      </c>
      <c r="G50" s="33"/>
      <c r="H50" s="50">
        <v>46265</v>
      </c>
      <c r="I50" s="62" t="s">
        <v>151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159</v>
      </c>
      <c r="O50" s="66" t="s">
        <v>52</v>
      </c>
      <c r="P50" s="4">
        <v>46241</v>
      </c>
      <c r="Q50" s="36"/>
      <c r="R50" s="36"/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163</v>
      </c>
      <c r="C51" s="33" t="s">
        <v>125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130</v>
      </c>
      <c r="G51" s="33"/>
      <c r="H51" s="50">
        <v>46265</v>
      </c>
      <c r="I51" s="62" t="s">
        <v>151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159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164</v>
      </c>
      <c r="C52" s="33" t="s">
        <v>154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151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159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165</v>
      </c>
      <c r="C53" s="33" t="s">
        <v>125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130</v>
      </c>
      <c r="G53" s="33"/>
      <c r="H53" s="50">
        <v>46265</v>
      </c>
      <c r="I53" s="62" t="s">
        <v>151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166</v>
      </c>
      <c r="C54" s="33" t="s">
        <v>154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 t="s">
        <v>115</v>
      </c>
      <c r="G54" s="33"/>
      <c r="H54" s="50">
        <v>46265</v>
      </c>
      <c r="I54" s="62" t="s">
        <v>151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167</v>
      </c>
      <c r="C55" s="33" t="s">
        <v>168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169</v>
      </c>
      <c r="J55" s="33" t="s">
        <v>68</v>
      </c>
      <c r="K55" s="4">
        <v>46262</v>
      </c>
      <c r="L55" s="36">
        <v>46253</v>
      </c>
      <c r="M55" s="36">
        <v>46253</v>
      </c>
      <c r="N55" s="36" t="s">
        <v>170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171</v>
      </c>
      <c r="C56" s="33" t="s">
        <v>168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169</v>
      </c>
      <c r="J56" s="33" t="s">
        <v>68</v>
      </c>
      <c r="K56" s="4">
        <v>46262</v>
      </c>
      <c r="L56" s="36"/>
      <c r="M56" s="36"/>
      <c r="N56" s="36" t="s">
        <v>170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172</v>
      </c>
      <c r="C57" s="33" t="s">
        <v>168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169</v>
      </c>
      <c r="J57" s="33" t="s">
        <v>105</v>
      </c>
      <c r="K57" s="4">
        <v>46262</v>
      </c>
      <c r="L57" s="36"/>
      <c r="M57" s="36"/>
      <c r="N57" s="36" t="s">
        <v>170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173</v>
      </c>
      <c r="C58" s="33" t="s">
        <v>168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169</v>
      </c>
      <c r="J58" s="33" t="s">
        <v>105</v>
      </c>
      <c r="K58" s="4">
        <v>46262</v>
      </c>
      <c r="L58" s="36"/>
      <c r="M58" s="36"/>
      <c r="N58" s="36" t="s">
        <v>170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174</v>
      </c>
      <c r="C59" s="33" t="s">
        <v>168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169</v>
      </c>
      <c r="J59" s="33" t="s">
        <v>38</v>
      </c>
      <c r="K59" s="4">
        <v>46262</v>
      </c>
      <c r="L59" s="36"/>
      <c r="M59" s="36"/>
      <c r="N59" s="36" t="s">
        <v>170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175</v>
      </c>
      <c r="C60" s="33" t="s">
        <v>168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169</v>
      </c>
      <c r="J60" s="33" t="s">
        <v>139</v>
      </c>
      <c r="K60" s="4">
        <v>46262</v>
      </c>
      <c r="L60" s="36"/>
      <c r="M60" s="36"/>
      <c r="N60" s="36" t="s">
        <v>170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176</v>
      </c>
      <c r="C61" s="33" t="s">
        <v>168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169</v>
      </c>
      <c r="J61" s="33" t="s">
        <v>38</v>
      </c>
      <c r="K61" s="4">
        <v>46262</v>
      </c>
      <c r="L61" s="36"/>
      <c r="M61" s="36"/>
      <c r="N61" s="36" t="s">
        <v>170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177</v>
      </c>
      <c r="C62" s="33" t="s">
        <v>168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169</v>
      </c>
      <c r="J62" s="33" t="s">
        <v>76</v>
      </c>
      <c r="K62" s="4">
        <v>46262</v>
      </c>
      <c r="L62" s="36"/>
      <c r="M62" s="36"/>
      <c r="N62" s="36" t="s">
        <v>170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178</v>
      </c>
      <c r="C63" s="33" t="s">
        <v>168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169</v>
      </c>
      <c r="J63" s="33" t="s">
        <v>76</v>
      </c>
      <c r="K63" s="4">
        <v>46276</v>
      </c>
      <c r="L63" s="36"/>
      <c r="M63" s="36"/>
      <c r="N63" s="36" t="s">
        <v>170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179</v>
      </c>
      <c r="C64" s="33" t="s">
        <v>168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169</v>
      </c>
      <c r="J64" s="33" t="s">
        <v>180</v>
      </c>
      <c r="K64" s="4">
        <v>46276</v>
      </c>
      <c r="L64" s="36"/>
      <c r="M64" s="36"/>
      <c r="N64" s="36" t="s">
        <v>170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181</v>
      </c>
      <c r="C65" s="33" t="s">
        <v>168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169</v>
      </c>
      <c r="J65" s="33" t="s">
        <v>139</v>
      </c>
      <c r="K65" s="4">
        <v>46276</v>
      </c>
      <c r="L65" s="36"/>
      <c r="M65" s="36"/>
      <c r="N65" s="36" t="s">
        <v>170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182</v>
      </c>
      <c r="C66" s="33" t="s">
        <v>168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169</v>
      </c>
      <c r="J66" s="33" t="s">
        <v>38</v>
      </c>
      <c r="K66" s="4">
        <v>46276</v>
      </c>
      <c r="L66" s="36"/>
      <c r="M66" s="36"/>
      <c r="N66" s="36" t="s">
        <v>170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183</v>
      </c>
      <c r="C67" s="33" t="s">
        <v>168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169</v>
      </c>
      <c r="J67" s="33" t="s">
        <v>38</v>
      </c>
      <c r="K67" s="4">
        <v>46276</v>
      </c>
      <c r="L67" s="36"/>
      <c r="M67" s="36"/>
      <c r="N67" s="36" t="s">
        <v>170</v>
      </c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184</v>
      </c>
      <c r="C68" s="33" t="s">
        <v>168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169</v>
      </c>
      <c r="J68" s="33" t="s">
        <v>38</v>
      </c>
      <c r="K68" s="4">
        <v>46276</v>
      </c>
      <c r="L68" s="36"/>
      <c r="M68" s="36"/>
      <c r="N68" s="36" t="s">
        <v>170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185</v>
      </c>
      <c r="C69" s="33" t="s">
        <v>168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169</v>
      </c>
      <c r="J69" s="33"/>
      <c r="K69" s="4">
        <v>46276</v>
      </c>
      <c r="L69" s="36"/>
      <c r="M69" s="36"/>
      <c r="N69" s="36"/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186</v>
      </c>
      <c r="C70" s="33" t="s">
        <v>168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169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187</v>
      </c>
      <c r="C71" s="33" t="s">
        <v>168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169</v>
      </c>
      <c r="J71" s="33" t="s">
        <v>38</v>
      </c>
      <c r="K71" s="4">
        <v>46276</v>
      </c>
      <c r="L71" s="36"/>
      <c r="M71" s="36"/>
      <c r="N71" s="36" t="s">
        <v>170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188</v>
      </c>
      <c r="C72" s="33" t="s">
        <v>168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169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OOnpyYwgweCTCTF/XGhLgYo/fYtme98N6XHaTcrwNZ6bE2Ufs+FtOJcyfTD+SIJR7/d8cssN5zLsX2Rs4F802g==" saltValue="HVIz0jRnXoym70BgetQopQ==" spinCount="100000" sheet="1" formatColumns="0" formatRows="0" sort="0" autoFilter="0"/>
  <phoneticPr fontId="19" type="noConversion"/>
  <conditionalFormatting sqref="D2:D499">
    <cfRule type="expression" dxfId="95" priority="20">
      <formula>ISNUMBER(SEARCH("no target",$D2))</formula>
    </cfRule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1">
      <formula>ISNUMBER(SEARCH("Review",$D2))</formula>
    </cfRule>
    <cfRule type="expression" dxfId="91" priority="22">
      <formula>OR($D2="On track",$D2="Delivered")</formula>
    </cfRule>
  </conditionalFormatting>
  <conditionalFormatting sqref="J2:N164">
    <cfRule type="expression" dxfId="90" priority="1">
      <formula>$AF2="Yes – needs DB Dev to fix"</formula>
    </cfRule>
  </conditionalFormatting>
  <conditionalFormatting sqref="K40:K41">
    <cfRule type="expression" dxfId="89" priority="8">
      <formula>$AF40="Yes – needs PBI Dev to fix"</formula>
    </cfRule>
  </conditionalFormatting>
  <conditionalFormatting sqref="K41">
    <cfRule type="expression" dxfId="88" priority="285">
      <formula>$AF41="Yes – needs DB Dev to fix"</formula>
    </cfRule>
    <cfRule type="expression" dxfId="87" priority="284">
      <formula>AND($B41&lt;&gt;"",MOD(ROW(),2)=0)</formula>
    </cfRule>
  </conditionalFormatting>
  <conditionalFormatting sqref="K42">
    <cfRule type="expression" dxfId="86" priority="286">
      <formula>AND($B41&lt;&gt;"",MOD(ROW(),2)=0)</formula>
    </cfRule>
    <cfRule type="expression" dxfId="85" priority="287">
      <formula>$AF41="Yes – needs DB Dev to fix"</formula>
    </cfRule>
  </conditionalFormatting>
  <conditionalFormatting sqref="K73:L73">
    <cfRule type="expression" dxfId="84" priority="93">
      <formula>$AB73="Yes – needs DB Dev to fix"</formula>
    </cfRule>
  </conditionalFormatting>
  <conditionalFormatting sqref="K74:L499">
    <cfRule type="expression" dxfId="83" priority="27">
      <formula>$Y74="Yes – needs DB Dev to fix"</formula>
    </cfRule>
  </conditionalFormatting>
  <conditionalFormatting sqref="M73:O73">
    <cfRule type="expression" dxfId="82" priority="278">
      <formula>$AA73="Yes – needs PBI Dev to fix"</formula>
    </cfRule>
  </conditionalFormatting>
  <conditionalFormatting sqref="M74:O499">
    <cfRule type="expression" dxfId="81" priority="280">
      <formula>$Y74="Yes – needs PBI Dev to fix"</formula>
    </cfRule>
  </conditionalFormatting>
  <conditionalFormatting sqref="P73">
    <cfRule type="expression" dxfId="80" priority="97">
      <formula>$AB73="Yes – needs PBI Dev to fix"</formula>
    </cfRule>
  </conditionalFormatting>
  <conditionalFormatting sqref="P74:Q499">
    <cfRule type="expression" dxfId="79" priority="29">
      <formula>$Y74="Yes – needs QA to fix"</formula>
    </cfRule>
  </conditionalFormatting>
  <conditionalFormatting sqref="P2:T73">
    <cfRule type="expression" dxfId="78" priority="15">
      <formula>$AF2="Yes – needs PBI Dev to fix"</formula>
    </cfRule>
  </conditionalFormatting>
  <conditionalFormatting sqref="Q73:T73">
    <cfRule type="expression" dxfId="77" priority="99">
      <formula>$AB73="Yes – needs QA to fix"</formula>
    </cfRule>
  </conditionalFormatting>
  <conditionalFormatting sqref="R74:T499">
    <cfRule type="expression" dxfId="76" priority="30">
      <formula>$Y74="Yes – needs DPO Approval to fix"</formula>
    </cfRule>
  </conditionalFormatting>
  <conditionalFormatting sqref="T10:U19 J29 M29:O29 J32:J33 M32:O33 M40:O41">
    <cfRule type="expression" dxfId="75" priority="17">
      <formula>$AF10="Yes – needs PBI Dev to fix"</formula>
    </cfRule>
  </conditionalFormatting>
  <conditionalFormatting sqref="T74:U499">
    <cfRule type="expression" dxfId="74" priority="26">
      <formula>$U74="Yes"</formula>
    </cfRule>
  </conditionalFormatting>
  <conditionalFormatting sqref="T73:V73">
    <cfRule type="expression" dxfId="73" priority="101">
      <formula>$AB73="Yes – needs DPO Approval to fix"</formula>
    </cfRule>
  </conditionalFormatting>
  <conditionalFormatting sqref="T2:X73">
    <cfRule type="expression" dxfId="72" priority="72">
      <formula>$AF2="Yes – needs QA to fix"</formula>
    </cfRule>
  </conditionalFormatting>
  <conditionalFormatting sqref="V74:AA499 G43:U499 A2:F499 G2:U40 L41:U42 G41:J42 V2:AH2 V3:X3 Z3:AH3 V4:AH72 V73:AD73">
    <cfRule type="expression" dxfId="71" priority="34">
      <formula>AND($B2&lt;&gt;"",MOD(ROW(),2)=0)</formula>
    </cfRule>
  </conditionalFormatting>
  <conditionalFormatting sqref="W73:X73">
    <cfRule type="expression" dxfId="70" priority="103">
      <formula>$W73="Yes"</formula>
    </cfRule>
  </conditionalFormatting>
  <conditionalFormatting sqref="Y3">
    <cfRule type="expression" dxfId="69" priority="289">
      <formula>$AF3="Yes – needs DPO Approval to fix"</formula>
    </cfRule>
    <cfRule type="expression" dxfId="68" priority="288">
      <formula>AND($B3&lt;&gt;"",MOD(ROW(),2)=0)</formula>
    </cfRule>
  </conditionalFormatting>
  <conditionalFormatting sqref="Y74:Y499">
    <cfRule type="expression" dxfId="67" priority="23">
      <formula>LEFT($Y74,3)="Yes"</formula>
    </cfRule>
  </conditionalFormatting>
  <conditionalFormatting sqref="Y2:AA2 Z3:AA3 Y4:AA73">
    <cfRule type="expression" dxfId="66" priority="75">
      <formula>$AF2="Yes – needs DPO Approval to fix"</formula>
    </cfRule>
  </conditionalFormatting>
  <conditionalFormatting sqref="Z74:Z499">
    <cfRule type="expression" dxfId="65" priority="32">
      <formula>ISNUMBER(SEARCH("Duplicate",$Z74))</formula>
    </cfRule>
    <cfRule type="expression" dxfId="64" priority="31">
      <formula>ISNUMBER(SEARCH("Open rework",$Z74))</formula>
    </cfRule>
    <cfRule type="expression" dxfId="63" priority="31">
      <formula>ISNUMBER(SEARCH("Move old",$Z74))</formula>
    </cfRule>
    <cfRule type="expression" dxfId="62" priority="33">
      <formula>$Z74&lt;&gt;""</formula>
    </cfRule>
    <cfRule type="expression" dxfId="61" priority="31">
      <formula>ISNUMBER(SEARCH("log it",$Z74))</formula>
    </cfRule>
  </conditionalFormatting>
  <conditionalFormatting sqref="AB2:AB73">
    <cfRule type="expression" dxfId="60" priority="47">
      <formula>$AB2="Yes"</formula>
    </cfRule>
  </conditionalFormatting>
  <conditionalFormatting sqref="AB73">
    <cfRule type="expression" dxfId="59" priority="105">
      <formula>LEFT($AB73,3)="Yes"</formula>
    </cfRule>
  </conditionalFormatting>
  <conditionalFormatting sqref="AC73">
    <cfRule type="expression" dxfId="58" priority="112">
      <formula>ISNUMBER(SEARCH("Move old",$AC73))</formula>
    </cfRule>
    <cfRule type="expression" dxfId="57" priority="113">
      <formula>ISNUMBER(SEARCH("log it",$AC73))</formula>
    </cfRule>
    <cfRule type="expression" dxfId="56" priority="114">
      <formula>ISNUMBER(SEARCH("Duplicate",$AC73))</formula>
    </cfRule>
    <cfRule type="expression" dxfId="55" priority="115">
      <formula>$AC73&lt;&gt;""</formula>
    </cfRule>
    <cfRule type="expression" dxfId="54" priority="111">
      <formula>ISNUMBER(SEARCH("Open rework",$AC73))</formula>
    </cfRule>
  </conditionalFormatting>
  <conditionalFormatting sqref="AF2:AF73">
    <cfRule type="expression" dxfId="53" priority="49">
      <formula>LEFT($AF2,3)="Yes"</formula>
    </cfRule>
  </conditionalFormatting>
  <conditionalFormatting sqref="AG2:AG73">
    <cfRule type="expression" dxfId="52" priority="55">
      <formula>ISNUMBER(SEARCH("log it",$AG2))</formula>
    </cfRule>
    <cfRule type="expression" dxfId="51" priority="57">
      <formula>ISNUMBER(SEARCH("Move old",$AG2))</formula>
    </cfRule>
    <cfRule type="expression" dxfId="50" priority="58">
      <formula>ISNUMBER(SEARCH("Duplicate",$AG2))</formula>
    </cfRule>
    <cfRule type="expression" dxfId="49" priority="59">
      <formula>$AG2&lt;&gt;""</formula>
    </cfRule>
    <cfRule type="expression" dxfId="48" priority="56">
      <formula>ISNUMBER(SEARCH("Open rework",$AG2))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74:V499 AC2:AC72 H2:H499 Y2:Y73 Z2:Z72 K2:M499 P74:R499 V2:X72 P2:Q73 S2:U73 R2:R28 R30:R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  <dataValidation type="list" allowBlank="1" showInputMessage="1" showErrorMessage="1" sqref="J1:J1048576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189</v>
      </c>
    </row>
    <row r="2" spans="1:5">
      <c r="A2" s="6" t="s">
        <v>190</v>
      </c>
    </row>
    <row r="4" spans="1:5" ht="21.95" customHeight="1">
      <c r="A4" s="5" t="s">
        <v>191</v>
      </c>
      <c r="B4" s="79"/>
      <c r="C4" s="80"/>
      <c r="D4" s="80"/>
      <c r="E4" s="80"/>
    </row>
    <row r="6" spans="1:5">
      <c r="A6" s="42" t="s">
        <v>0</v>
      </c>
      <c r="B6" s="77" t="str">
        <f>IF($B$4="","",IFERROR(INDEX('Combined Delivery Data'!$A:$A,MATCH($B$4,'Combined Delivery Data'!$B:$B,0)),""))</f>
        <v/>
      </c>
      <c r="C6" s="81"/>
      <c r="D6" s="81"/>
      <c r="E6" s="82"/>
    </row>
    <row r="7" spans="1:5">
      <c r="A7" s="42" t="s">
        <v>2</v>
      </c>
      <c r="B7" s="77" t="str">
        <f>IF($B$4="","",IFERROR(INDEX('Combined Delivery Data'!$C:$C,MATCH($B$4,'Combined Delivery Data'!$B:$B,0)),""))</f>
        <v/>
      </c>
      <c r="C7" s="81"/>
      <c r="D7" s="81"/>
      <c r="E7" s="82"/>
    </row>
    <row r="8" spans="1:5">
      <c r="A8" s="42" t="s">
        <v>3</v>
      </c>
      <c r="B8" s="77" t="str">
        <f>IF($B$4="","",IFERROR(INDEX('Combined Delivery Data'!$D:$D,MATCH($B$4,'Combined Delivery Data'!$B:$B,0)),""))</f>
        <v/>
      </c>
      <c r="C8" s="81"/>
      <c r="D8" s="81"/>
      <c r="E8" s="82"/>
    </row>
    <row r="9" spans="1:5">
      <c r="A9" s="42" t="s">
        <v>4</v>
      </c>
      <c r="B9" s="77" t="str">
        <f>IF($B$4="","",IFERROR(INDEX('Combined Delivery Data'!$E:$E,MATCH($B$4,'Combined Delivery Data'!$B:$B,0)),""))</f>
        <v/>
      </c>
      <c r="C9" s="81"/>
      <c r="D9" s="81"/>
      <c r="E9" s="82"/>
    </row>
    <row r="10" spans="1:5">
      <c r="A10" s="42" t="s">
        <v>5</v>
      </c>
      <c r="B10" s="77" t="str">
        <f>IF($B$4="","",IFERROR(INDEX('Combined Delivery Data'!$F:$F,MATCH($B$4,'Combined Delivery Data'!$B:$B,0)),""))</f>
        <v/>
      </c>
      <c r="C10" s="81"/>
      <c r="D10" s="81"/>
      <c r="E10" s="82"/>
    </row>
    <row r="11" spans="1:5">
      <c r="A11" s="42" t="s">
        <v>9</v>
      </c>
      <c r="B11" s="77" t="str">
        <f>IF($B$4="","",IFERROR(INDEX('Combined Delivery Data'!$J:$J,MATCH($B$4,'Combined Delivery Data'!$B:$B,0)),""))</f>
        <v/>
      </c>
      <c r="C11" s="81"/>
      <c r="D11" s="81"/>
      <c r="E11" s="82"/>
    </row>
    <row r="12" spans="1:5">
      <c r="A12" s="42" t="s">
        <v>14</v>
      </c>
      <c r="B12" s="77" t="str">
        <f>IF($B$4="","",IFERROR(INDEX('Combined Delivery Data'!$O:$O,MATCH($B$4,'Combined Delivery Data'!$B:$B,0)),""))</f>
        <v/>
      </c>
      <c r="C12" s="81"/>
      <c r="D12" s="81"/>
      <c r="E12" s="82"/>
    </row>
    <row r="13" spans="1:5">
      <c r="A13" s="42" t="s">
        <v>19</v>
      </c>
      <c r="B13" s="77" t="str">
        <f>IF($B$4="","",IFERROR(INDEX('Combined Delivery Data'!$T:$T,MATCH($B$4,'Combined Delivery Data'!$B:$B,0)),""))</f>
        <v/>
      </c>
      <c r="C13" s="81"/>
      <c r="D13" s="81"/>
      <c r="E13" s="82"/>
    </row>
    <row r="14" spans="1:5">
      <c r="A14" s="42" t="s">
        <v>192</v>
      </c>
      <c r="B14" s="76" t="str">
        <f>IF($B$4="","",IFERROR(INDEX('Combined Delivery Data'!$K:$K,MATCH($B$4,'Combined Delivery Data'!$B:$B,0)),""))</f>
        <v/>
      </c>
      <c r="C14" s="81"/>
      <c r="D14" s="81"/>
      <c r="E14" s="82"/>
    </row>
    <row r="15" spans="1:5">
      <c r="A15" s="42" t="s">
        <v>193</v>
      </c>
      <c r="B15" s="76" t="str">
        <f>IF($B$4="","",IFERROR(INDEX('Combined Delivery Data'!$L:$L,MATCH($B$4,'Combined Delivery Data'!$B:$B,0)),""))</f>
        <v/>
      </c>
      <c r="C15" s="81"/>
      <c r="D15" s="81"/>
      <c r="E15" s="82"/>
    </row>
    <row r="16" spans="1:5">
      <c r="A16" s="42" t="s">
        <v>194</v>
      </c>
      <c r="B16" s="76" t="str">
        <f>IF($B$4="","",IFERROR(INDEX('Combined Delivery Data'!$M:$M,MATCH($B$4,'Combined Delivery Data'!$B:$B,0)),""))</f>
        <v/>
      </c>
      <c r="C16" s="81"/>
      <c r="D16" s="81"/>
      <c r="E16" s="82"/>
    </row>
    <row r="17" spans="1:5">
      <c r="A17" s="42" t="s">
        <v>195</v>
      </c>
      <c r="B17" s="76" t="str">
        <f>IF($B$4="","",IFERROR(INDEX('Combined Delivery Data'!$N:$N,MATCH($B$4,'Combined Delivery Data'!$B:$B,0)),""))</f>
        <v/>
      </c>
      <c r="C17" s="81"/>
      <c r="D17" s="81"/>
      <c r="E17" s="82"/>
    </row>
    <row r="18" spans="1:5">
      <c r="A18" s="42" t="s">
        <v>196</v>
      </c>
      <c r="B18" s="76" t="str">
        <f>IF($B$4="","",IFERROR(INDEX('Combined Delivery Data'!$P:$P,MATCH($B$4,'Combined Delivery Data'!$B:$B,0)),""))</f>
        <v/>
      </c>
      <c r="C18" s="81"/>
      <c r="D18" s="81"/>
      <c r="E18" s="82"/>
    </row>
    <row r="19" spans="1:5">
      <c r="A19" s="42" t="s">
        <v>197</v>
      </c>
      <c r="B19" s="76" t="str">
        <f>IF($B$4="","",IFERROR(INDEX('Combined Delivery Data'!$Q:$Q,MATCH($B$4,'Combined Delivery Data'!$B:$B,0)),""))</f>
        <v/>
      </c>
      <c r="C19" s="81"/>
      <c r="D19" s="81"/>
      <c r="E19" s="82"/>
    </row>
    <row r="20" spans="1:5">
      <c r="A20" s="42" t="s">
        <v>198</v>
      </c>
      <c r="B20" s="76" t="str">
        <f>IF($B$4="","",IFERROR(INDEX('Combined Delivery Data'!$R:$R,MATCH($B$4,'Combined Delivery Data'!$B:$B,0)),""))</f>
        <v/>
      </c>
      <c r="C20" s="81"/>
      <c r="D20" s="81"/>
      <c r="E20" s="82"/>
    </row>
    <row r="21" spans="1:5">
      <c r="A21" s="42" t="s">
        <v>26</v>
      </c>
      <c r="B21" s="77" t="str">
        <f>IF($B$4="","",IFERROR(INDEX('Combined Delivery Data'!$S:$S,MATCH($B$4,'Combined Delivery Data'!$B:$B,0)),""))</f>
        <v/>
      </c>
      <c r="C21" s="81"/>
      <c r="D21" s="81"/>
      <c r="E21" s="82"/>
    </row>
    <row r="22" spans="1:5">
      <c r="A22" s="42" t="s">
        <v>27</v>
      </c>
      <c r="B22" s="77" t="str">
        <f>IF($B$4="","",IFERROR(INDEX('Combined Delivery Data'!$U:$U,MATCH($B$4,'Combined Delivery Data'!$B:$B,0)),""))</f>
        <v/>
      </c>
      <c r="C22" s="81"/>
      <c r="D22" s="81"/>
      <c r="E22" s="82"/>
    </row>
    <row r="23" spans="1:5">
      <c r="A23" s="42" t="s">
        <v>28</v>
      </c>
      <c r="B23" s="76" t="str">
        <f>IF($B$4="","",IFERROR(INDEX('Combined Delivery Data'!$V:$V,MATCH($B$4,'Combined Delivery Data'!$B:$B,0)),""))</f>
        <v/>
      </c>
      <c r="C23" s="81"/>
      <c r="D23" s="81"/>
      <c r="E23" s="82"/>
    </row>
    <row r="24" spans="1:5">
      <c r="A24" s="42" t="s">
        <v>31</v>
      </c>
      <c r="B24" s="77" t="str">
        <f>IF($B$4="","",IFERROR(INDEX('Combined Delivery Data'!$Y:$Y,MATCH($B$4,'Combined Delivery Data'!$B:$B,0)),""))</f>
        <v/>
      </c>
      <c r="C24" s="81"/>
      <c r="D24" s="81"/>
      <c r="E24" s="82"/>
    </row>
    <row r="25" spans="1:5">
      <c r="A25" s="42" t="s">
        <v>32</v>
      </c>
      <c r="B25" s="77" t="str">
        <f>IF($B$4="","",IFERROR(INDEX('Combined Delivery Data'!$Z:$Z,MATCH($B$4,'Combined Delivery Data'!$B:$B,0)),""))</f>
        <v/>
      </c>
      <c r="C25" s="81"/>
      <c r="D25" s="81"/>
      <c r="E25" s="82"/>
    </row>
    <row r="26" spans="1:5">
      <c r="A26" s="42" t="s">
        <v>199</v>
      </c>
      <c r="B26" s="77" t="str">
        <f>IF($B$4="","",IFERROR(INDEX('Rework Log'!$Q:$Q,MATCH($B$4,'Rework Log'!$P:$P,0)),""))</f>
        <v/>
      </c>
      <c r="C26" s="81"/>
      <c r="D26" s="81"/>
      <c r="E26" s="82"/>
    </row>
    <row r="27" spans="1:5">
      <c r="A27" s="42" t="s">
        <v>200</v>
      </c>
      <c r="B27" s="77" t="str">
        <f>IF($B$4="","",IFERROR(INDEX('Rework Log'!$R:$R,MATCH($B$4,'Rework Log'!$P:$P,0)),""))</f>
        <v/>
      </c>
      <c r="C27" s="81"/>
      <c r="D27" s="81"/>
      <c r="E27" s="82"/>
    </row>
    <row r="28" spans="1:5">
      <c r="A28" s="42" t="s">
        <v>201</v>
      </c>
      <c r="B28" s="77" t="str">
        <f>IF($B$4="","",IFERROR(INDEX('Rework Log'!$S:$S,MATCH($B$4,'Rework Log'!$P:$P,0)),""))</f>
        <v/>
      </c>
      <c r="C28" s="81"/>
      <c r="D28" s="81"/>
      <c r="E28" s="82"/>
    </row>
    <row r="29" spans="1:5">
      <c r="A29" s="42" t="s">
        <v>202</v>
      </c>
      <c r="B29" s="77" t="str">
        <f>IF($B$4="","",IFERROR(INDEX('Rework Log'!$T:$T,MATCH($B$4,'Rework Log'!$P:$P,0)),""))</f>
        <v/>
      </c>
      <c r="C29" s="81"/>
      <c r="D29" s="81"/>
      <c r="E29" s="82"/>
    </row>
    <row r="30" spans="1:5" ht="15.6" customHeight="1">
      <c r="A30" s="42"/>
      <c r="B30" s="77"/>
      <c r="C30" s="81"/>
      <c r="D30" s="81"/>
      <c r="E30" s="82"/>
    </row>
    <row r="31" spans="1:5" ht="15.6" customHeight="1">
      <c r="A31" s="5" t="s">
        <v>33</v>
      </c>
      <c r="B31" s="83" t="str">
        <f>IF($B$4="","",IFERROR(INDEX('Combined Delivery Data'!$AA:$AA,MATCH($B$4,'Combined Delivery Data'!$B:$B,0)),""))</f>
        <v/>
      </c>
      <c r="C31" s="80"/>
      <c r="D31" s="80"/>
      <c r="E31" s="80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F12" sqref="F12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8" t="s">
        <v>203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P1" s="84" t="s">
        <v>204</v>
      </c>
      <c r="Q1" s="80"/>
      <c r="R1" s="80"/>
      <c r="S1" s="80"/>
      <c r="T1" s="80"/>
    </row>
    <row r="2" spans="1:20" ht="30" customHeight="1">
      <c r="A2" s="17" t="s">
        <v>1</v>
      </c>
      <c r="B2" s="17" t="s">
        <v>205</v>
      </c>
      <c r="C2" s="17" t="s">
        <v>206</v>
      </c>
      <c r="D2" s="17" t="s">
        <v>207</v>
      </c>
      <c r="E2" s="17" t="s">
        <v>208</v>
      </c>
      <c r="F2" s="17" t="s">
        <v>209</v>
      </c>
      <c r="G2" s="17" t="s">
        <v>210</v>
      </c>
      <c r="H2" s="30" t="s">
        <v>211</v>
      </c>
      <c r="I2" s="30" t="s">
        <v>212</v>
      </c>
      <c r="J2" s="30" t="s">
        <v>213</v>
      </c>
      <c r="K2" s="30" t="s">
        <v>214</v>
      </c>
      <c r="L2" s="30" t="s">
        <v>215</v>
      </c>
      <c r="M2" s="21" t="s">
        <v>216</v>
      </c>
      <c r="N2" s="21" t="s">
        <v>217</v>
      </c>
      <c r="P2" s="13" t="s">
        <v>1</v>
      </c>
      <c r="Q2" s="13" t="s">
        <v>199</v>
      </c>
      <c r="R2" s="13" t="s">
        <v>200</v>
      </c>
      <c r="S2" s="13" t="s">
        <v>201</v>
      </c>
      <c r="T2" s="13" t="s">
        <v>202</v>
      </c>
    </row>
    <row r="3" spans="1:20">
      <c r="A3" s="33" t="s">
        <v>129</v>
      </c>
      <c r="B3" s="36">
        <v>46230</v>
      </c>
      <c r="C3" s="33" t="s">
        <v>120</v>
      </c>
      <c r="D3" s="33" t="s">
        <v>154</v>
      </c>
      <c r="E3" s="33" t="s">
        <v>130</v>
      </c>
      <c r="F3" s="33" t="s">
        <v>218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23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137</v>
      </c>
      <c r="B4" s="32">
        <v>46237</v>
      </c>
      <c r="C4" s="31" t="s">
        <v>120</v>
      </c>
      <c r="D4" s="31" t="s">
        <v>154</v>
      </c>
      <c r="E4" s="31" t="s">
        <v>130</v>
      </c>
      <c r="F4" s="31" t="s">
        <v>219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220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221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120</v>
      </c>
      <c r="D5" s="31" t="s">
        <v>154</v>
      </c>
      <c r="E5" s="31" t="s">
        <v>115</v>
      </c>
      <c r="F5" s="31" t="s">
        <v>222</v>
      </c>
      <c r="G5" s="31" t="s">
        <v>45</v>
      </c>
      <c r="H5" s="32"/>
      <c r="I5" s="32"/>
      <c r="J5" s="32"/>
      <c r="K5" s="31"/>
      <c r="L5" s="31"/>
      <c r="M5" s="3" t="str">
        <f t="shared" ca="1" si="4"/>
        <v>UNCLAIMED 15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127</v>
      </c>
      <c r="B6" s="32">
        <v>46234</v>
      </c>
      <c r="C6" s="31" t="s">
        <v>120</v>
      </c>
      <c r="D6" s="31" t="s">
        <v>154</v>
      </c>
      <c r="E6" s="31" t="s">
        <v>115</v>
      </c>
      <c r="F6" s="31" t="s">
        <v>223</v>
      </c>
      <c r="G6" s="31" t="s">
        <v>45</v>
      </c>
      <c r="H6" s="32"/>
      <c r="I6" s="32"/>
      <c r="J6" s="32"/>
      <c r="K6" s="31"/>
      <c r="L6" s="31"/>
      <c r="M6" s="3" t="str">
        <f t="shared" ca="1" si="4"/>
        <v>UNCLAIMED 19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120</v>
      </c>
      <c r="D7" s="31" t="s">
        <v>154</v>
      </c>
      <c r="E7" s="31" t="s">
        <v>115</v>
      </c>
      <c r="F7" s="31" t="s">
        <v>224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14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120</v>
      </c>
      <c r="D8" s="31" t="s">
        <v>154</v>
      </c>
      <c r="E8" s="31" t="s">
        <v>115</v>
      </c>
      <c r="F8" s="31" t="s">
        <v>225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7 d</v>
      </c>
      <c r="N8" t="s">
        <v>221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>
      <c r="A9" s="33" t="s">
        <v>129</v>
      </c>
      <c r="B9" s="32">
        <v>46251</v>
      </c>
      <c r="C9" s="31" t="s">
        <v>120</v>
      </c>
      <c r="D9" s="31" t="s">
        <v>154</v>
      </c>
      <c r="E9" s="31" t="s">
        <v>130</v>
      </c>
      <c r="F9" s="31" t="s">
        <v>226</v>
      </c>
      <c r="G9" s="31" t="s">
        <v>45</v>
      </c>
      <c r="H9" s="32"/>
      <c r="I9" s="32"/>
      <c r="J9" s="32"/>
      <c r="K9" s="31"/>
      <c r="L9" s="31"/>
      <c r="M9" s="3" t="str">
        <f t="shared" ca="1" si="4"/>
        <v>UNCLAIMED 2 d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/>
      <c r="B10" s="32"/>
      <c r="C10" s="31" t="s">
        <v>120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4"/>
        <v/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>
      <c r="A11" s="31"/>
      <c r="B11" s="32"/>
      <c r="C11" s="31" t="s">
        <v>120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4"/>
        <v/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>
      <c r="A12" s="31"/>
      <c r="B12" s="32"/>
      <c r="C12" s="31" t="s">
        <v>120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4"/>
        <v/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31"/>
      <c r="B13" s="32"/>
      <c r="C13" s="31" t="s">
        <v>120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/>
      <c r="B14" s="32"/>
      <c r="C14" s="31" t="s">
        <v>120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120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120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120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120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120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120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120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120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120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120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120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120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120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120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120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120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120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1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120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2</v>
      </c>
      <c r="R32">
        <f t="shared" si="1"/>
        <v>2</v>
      </c>
      <c r="S32" s="28">
        <f t="shared" si="2"/>
        <v>46246</v>
      </c>
      <c r="T32" t="str">
        <f t="shared" si="3"/>
        <v>QA -&gt; DB Dev</v>
      </c>
    </row>
    <row r="33" spans="1:20">
      <c r="A33" s="31"/>
      <c r="B33" s="32"/>
      <c r="C33" s="31" t="s">
        <v>120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120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>
      <c r="A35" s="31"/>
      <c r="B35" s="32"/>
      <c r="C35" s="31" t="s">
        <v>120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1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120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2</v>
      </c>
      <c r="S36" s="28">
        <f t="shared" si="2"/>
        <v>46251</v>
      </c>
      <c r="T36" t="str">
        <f t="shared" si="3"/>
        <v>QA -&gt; DB Dev</v>
      </c>
    </row>
    <row r="37" spans="1:20">
      <c r="A37" s="31"/>
      <c r="B37" s="32"/>
      <c r="C37" s="31" t="s">
        <v>120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>
      <c r="A38" s="31"/>
      <c r="B38" s="32"/>
      <c r="C38" s="31" t="s">
        <v>120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120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0</v>
      </c>
      <c r="R39">
        <f t="shared" si="1"/>
        <v>0</v>
      </c>
      <c r="S39" s="28" t="str">
        <f t="shared" si="2"/>
        <v/>
      </c>
      <c r="T39" t="str">
        <f t="shared" si="3"/>
        <v/>
      </c>
    </row>
    <row r="40" spans="1:20">
      <c r="A40" s="31"/>
      <c r="B40" s="32"/>
      <c r="C40" s="31" t="s">
        <v>120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1</v>
      </c>
      <c r="R40">
        <f t="shared" si="1"/>
        <v>0</v>
      </c>
      <c r="S40" s="28">
        <f t="shared" si="2"/>
        <v>46237</v>
      </c>
      <c r="T40" t="str">
        <f t="shared" si="3"/>
        <v>QA -&gt; DB Dev</v>
      </c>
    </row>
    <row r="41" spans="1:20">
      <c r="A41" s="31"/>
      <c r="B41" s="32"/>
      <c r="C41" s="31" t="s">
        <v>120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120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120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120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120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120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120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120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120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120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120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120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120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120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120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120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120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120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120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120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120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120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120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120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120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120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120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120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120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120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120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120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120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120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120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>
        <f>'Combined Delivery Data'!B73</f>
        <v>0</v>
      </c>
      <c r="Q75">
        <f t="shared" si="5"/>
        <v>0</v>
      </c>
      <c r="R75">
        <f t="shared" si="6"/>
        <v>491</v>
      </c>
      <c r="S75" s="28">
        <f t="shared" si="7"/>
        <v>0</v>
      </c>
      <c r="T75" t="str">
        <f t="shared" si="8"/>
        <v xml:space="preserve"> -&gt; </v>
      </c>
    </row>
    <row r="76" spans="1:20">
      <c r="A76" s="31"/>
      <c r="B76" s="32"/>
      <c r="C76" s="31" t="s">
        <v>120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>
        <f>'Combined Delivery Data'!B74</f>
        <v>0</v>
      </c>
      <c r="Q76">
        <f t="shared" si="5"/>
        <v>0</v>
      </c>
      <c r="R76">
        <f t="shared" si="6"/>
        <v>491</v>
      </c>
      <c r="S76" s="28">
        <f t="shared" si="7"/>
        <v>0</v>
      </c>
      <c r="T76" t="str">
        <f t="shared" si="8"/>
        <v xml:space="preserve"> -&gt; </v>
      </c>
    </row>
    <row r="77" spans="1:20">
      <c r="A77" s="31"/>
      <c r="B77" s="32"/>
      <c r="C77" s="31" t="s">
        <v>120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>
        <f>'Combined Delivery Data'!B75</f>
        <v>0</v>
      </c>
      <c r="Q77">
        <f t="shared" si="5"/>
        <v>0</v>
      </c>
      <c r="R77">
        <f t="shared" si="6"/>
        <v>491</v>
      </c>
      <c r="S77" s="28">
        <f t="shared" si="7"/>
        <v>0</v>
      </c>
      <c r="T77" t="str">
        <f t="shared" si="8"/>
        <v xml:space="preserve"> -&gt; </v>
      </c>
    </row>
    <row r="78" spans="1:20">
      <c r="A78" s="31"/>
      <c r="B78" s="32"/>
      <c r="C78" s="31" t="s">
        <v>120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>
        <f>'Combined Delivery Data'!B76</f>
        <v>0</v>
      </c>
      <c r="Q78">
        <f t="shared" si="5"/>
        <v>0</v>
      </c>
      <c r="R78">
        <f t="shared" si="6"/>
        <v>491</v>
      </c>
      <c r="S78" s="28">
        <f t="shared" si="7"/>
        <v>0</v>
      </c>
      <c r="T78" t="str">
        <f t="shared" si="8"/>
        <v xml:space="preserve"> -&gt; </v>
      </c>
    </row>
    <row r="79" spans="1:20">
      <c r="A79" s="31"/>
      <c r="B79" s="32"/>
      <c r="C79" s="31" t="s">
        <v>120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>
        <f>'Combined Delivery Data'!B77</f>
        <v>0</v>
      </c>
      <c r="Q79">
        <f t="shared" si="5"/>
        <v>0</v>
      </c>
      <c r="R79">
        <f t="shared" si="6"/>
        <v>491</v>
      </c>
      <c r="S79" s="28">
        <f t="shared" si="7"/>
        <v>0</v>
      </c>
      <c r="T79" t="str">
        <f t="shared" si="8"/>
        <v xml:space="preserve"> -&gt; </v>
      </c>
    </row>
    <row r="80" spans="1:20">
      <c r="A80" s="31"/>
      <c r="B80" s="32"/>
      <c r="C80" s="31" t="s">
        <v>120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>
        <f>'Combined Delivery Data'!B78</f>
        <v>0</v>
      </c>
      <c r="Q80">
        <f t="shared" si="5"/>
        <v>0</v>
      </c>
      <c r="R80">
        <f t="shared" si="6"/>
        <v>491</v>
      </c>
      <c r="S80" s="28">
        <f t="shared" si="7"/>
        <v>0</v>
      </c>
      <c r="T80" t="str">
        <f t="shared" si="8"/>
        <v xml:space="preserve"> -&gt; </v>
      </c>
    </row>
    <row r="81" spans="1:20">
      <c r="A81" s="31"/>
      <c r="B81" s="32"/>
      <c r="C81" s="31" t="s">
        <v>120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>
        <f>'Combined Delivery Data'!B79</f>
        <v>0</v>
      </c>
      <c r="Q81">
        <f t="shared" si="5"/>
        <v>0</v>
      </c>
      <c r="R81">
        <f t="shared" si="6"/>
        <v>491</v>
      </c>
      <c r="S81" s="28">
        <f t="shared" si="7"/>
        <v>0</v>
      </c>
      <c r="T81" t="str">
        <f t="shared" si="8"/>
        <v xml:space="preserve"> -&gt; </v>
      </c>
    </row>
    <row r="82" spans="1:20">
      <c r="A82" s="31"/>
      <c r="B82" s="32"/>
      <c r="C82" s="31" t="s">
        <v>120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>
        <f>'Combined Delivery Data'!B80</f>
        <v>0</v>
      </c>
      <c r="Q82">
        <f t="shared" si="5"/>
        <v>0</v>
      </c>
      <c r="R82">
        <f t="shared" si="6"/>
        <v>491</v>
      </c>
      <c r="S82" s="28">
        <f t="shared" si="7"/>
        <v>0</v>
      </c>
      <c r="T82" t="str">
        <f t="shared" si="8"/>
        <v xml:space="preserve"> -&gt; </v>
      </c>
    </row>
    <row r="83" spans="1:20">
      <c r="A83" s="31"/>
      <c r="B83" s="32"/>
      <c r="C83" s="31" t="s">
        <v>120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>
        <f>'Combined Delivery Data'!B81</f>
        <v>0</v>
      </c>
      <c r="Q83">
        <f t="shared" si="5"/>
        <v>0</v>
      </c>
      <c r="R83">
        <f t="shared" si="6"/>
        <v>491</v>
      </c>
      <c r="S83" s="28">
        <f t="shared" si="7"/>
        <v>0</v>
      </c>
      <c r="T83" t="str">
        <f t="shared" si="8"/>
        <v xml:space="preserve"> -&gt; </v>
      </c>
    </row>
    <row r="84" spans="1:20">
      <c r="A84" s="31"/>
      <c r="B84" s="32"/>
      <c r="C84" s="31" t="s">
        <v>120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>
        <f>'Combined Delivery Data'!B82</f>
        <v>0</v>
      </c>
      <c r="Q84">
        <f t="shared" si="5"/>
        <v>0</v>
      </c>
      <c r="R84">
        <f t="shared" si="6"/>
        <v>491</v>
      </c>
      <c r="S84" s="28">
        <f t="shared" si="7"/>
        <v>0</v>
      </c>
      <c r="T84" t="str">
        <f t="shared" si="8"/>
        <v xml:space="preserve"> -&gt; </v>
      </c>
    </row>
    <row r="85" spans="1:20">
      <c r="A85" s="31"/>
      <c r="B85" s="32"/>
      <c r="C85" s="31" t="s">
        <v>120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>
        <f>'Combined Delivery Data'!B83</f>
        <v>0</v>
      </c>
      <c r="Q85">
        <f t="shared" si="5"/>
        <v>0</v>
      </c>
      <c r="R85">
        <f t="shared" si="6"/>
        <v>491</v>
      </c>
      <c r="S85" s="28">
        <f t="shared" si="7"/>
        <v>0</v>
      </c>
      <c r="T85" t="str">
        <f t="shared" si="8"/>
        <v xml:space="preserve"> -&gt; </v>
      </c>
    </row>
    <row r="86" spans="1:20">
      <c r="A86" s="31"/>
      <c r="B86" s="32"/>
      <c r="C86" s="31" t="s">
        <v>120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>
        <f>'Combined Delivery Data'!B84</f>
        <v>0</v>
      </c>
      <c r="Q86">
        <f t="shared" si="5"/>
        <v>0</v>
      </c>
      <c r="R86">
        <f t="shared" si="6"/>
        <v>491</v>
      </c>
      <c r="S86" s="28">
        <f t="shared" si="7"/>
        <v>0</v>
      </c>
      <c r="T86" t="str">
        <f t="shared" si="8"/>
        <v xml:space="preserve"> -&gt; </v>
      </c>
    </row>
    <row r="87" spans="1:20">
      <c r="A87" s="31"/>
      <c r="B87" s="32"/>
      <c r="C87" s="31" t="s">
        <v>120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>
        <f>'Combined Delivery Data'!B85</f>
        <v>0</v>
      </c>
      <c r="Q87">
        <f t="shared" si="5"/>
        <v>0</v>
      </c>
      <c r="R87">
        <f t="shared" si="6"/>
        <v>491</v>
      </c>
      <c r="S87" s="28">
        <f t="shared" si="7"/>
        <v>0</v>
      </c>
      <c r="T87" t="str">
        <f t="shared" si="8"/>
        <v xml:space="preserve"> -&gt; </v>
      </c>
    </row>
    <row r="88" spans="1:20">
      <c r="A88" s="31"/>
      <c r="B88" s="32"/>
      <c r="C88" s="31" t="s">
        <v>120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>
        <f>'Combined Delivery Data'!B86</f>
        <v>0</v>
      </c>
      <c r="Q88">
        <f t="shared" si="5"/>
        <v>0</v>
      </c>
      <c r="R88">
        <f t="shared" si="6"/>
        <v>491</v>
      </c>
      <c r="S88" s="28">
        <f t="shared" si="7"/>
        <v>0</v>
      </c>
      <c r="T88" t="str">
        <f t="shared" si="8"/>
        <v xml:space="preserve"> -&gt; </v>
      </c>
    </row>
    <row r="89" spans="1:20">
      <c r="A89" s="31"/>
      <c r="B89" s="32"/>
      <c r="C89" s="31" t="s">
        <v>120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>
        <f>'Combined Delivery Data'!B87</f>
        <v>0</v>
      </c>
      <c r="Q89">
        <f t="shared" si="5"/>
        <v>0</v>
      </c>
      <c r="R89">
        <f t="shared" si="6"/>
        <v>491</v>
      </c>
      <c r="S89" s="28">
        <f t="shared" si="7"/>
        <v>0</v>
      </c>
      <c r="T89" t="str">
        <f t="shared" si="8"/>
        <v xml:space="preserve"> -&gt; </v>
      </c>
    </row>
    <row r="90" spans="1:20">
      <c r="A90" s="31"/>
      <c r="B90" s="32"/>
      <c r="C90" s="31" t="s">
        <v>120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Data'!B88</f>
        <v>0</v>
      </c>
      <c r="Q90">
        <f t="shared" si="5"/>
        <v>0</v>
      </c>
      <c r="R90">
        <f t="shared" si="6"/>
        <v>491</v>
      </c>
      <c r="S90" s="28">
        <f t="shared" si="7"/>
        <v>0</v>
      </c>
      <c r="T90" t="str">
        <f t="shared" si="8"/>
        <v xml:space="preserve"> -&gt; </v>
      </c>
    </row>
    <row r="91" spans="1:20">
      <c r="A91" s="31"/>
      <c r="B91" s="32"/>
      <c r="C91" s="31" t="s">
        <v>120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Data'!B89</f>
        <v>0</v>
      </c>
      <c r="Q91">
        <f t="shared" si="5"/>
        <v>0</v>
      </c>
      <c r="R91">
        <f t="shared" si="6"/>
        <v>491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120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Data'!B90</f>
        <v>0</v>
      </c>
      <c r="Q92">
        <f t="shared" si="5"/>
        <v>0</v>
      </c>
      <c r="R92">
        <f t="shared" si="6"/>
        <v>491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120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Data'!B91</f>
        <v>0</v>
      </c>
      <c r="Q93">
        <f t="shared" si="5"/>
        <v>0</v>
      </c>
      <c r="R93">
        <f t="shared" si="6"/>
        <v>491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120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Data'!B92</f>
        <v>0</v>
      </c>
      <c r="Q94">
        <f t="shared" si="5"/>
        <v>0</v>
      </c>
      <c r="R94">
        <f t="shared" si="6"/>
        <v>491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120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Data'!B93</f>
        <v>0</v>
      </c>
      <c r="Q95">
        <f t="shared" si="5"/>
        <v>0</v>
      </c>
      <c r="R95">
        <f t="shared" si="6"/>
        <v>491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120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Data'!B94</f>
        <v>0</v>
      </c>
      <c r="Q96">
        <f t="shared" si="5"/>
        <v>0</v>
      </c>
      <c r="R96">
        <f t="shared" si="6"/>
        <v>491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120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Data'!B95</f>
        <v>0</v>
      </c>
      <c r="Q97">
        <f t="shared" si="5"/>
        <v>0</v>
      </c>
      <c r="R97">
        <f t="shared" si="6"/>
        <v>491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120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Data'!B96</f>
        <v>0</v>
      </c>
      <c r="Q98">
        <f t="shared" si="5"/>
        <v>0</v>
      </c>
      <c r="R98">
        <f t="shared" si="6"/>
        <v>491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120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Data'!B97</f>
        <v>0</v>
      </c>
      <c r="Q99">
        <f t="shared" si="5"/>
        <v>0</v>
      </c>
      <c r="R99">
        <f t="shared" si="6"/>
        <v>491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120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Data'!B98</f>
        <v>0</v>
      </c>
      <c r="Q100">
        <f t="shared" si="5"/>
        <v>0</v>
      </c>
      <c r="R100">
        <f t="shared" si="6"/>
        <v>491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120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Data'!B99</f>
        <v>0</v>
      </c>
      <c r="Q101">
        <f t="shared" si="5"/>
        <v>0</v>
      </c>
      <c r="R101">
        <f t="shared" si="6"/>
        <v>491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120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Data'!B100</f>
        <v>0</v>
      </c>
      <c r="Q102">
        <f t="shared" si="5"/>
        <v>0</v>
      </c>
      <c r="R102">
        <f t="shared" si="6"/>
        <v>491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120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Data'!B101</f>
        <v>0</v>
      </c>
      <c r="Q103">
        <f t="shared" si="5"/>
        <v>0</v>
      </c>
      <c r="R103">
        <f t="shared" si="6"/>
        <v>491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120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Data'!B102</f>
        <v>0</v>
      </c>
      <c r="Q104">
        <f t="shared" si="5"/>
        <v>0</v>
      </c>
      <c r="R104">
        <f t="shared" si="6"/>
        <v>491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120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Data'!B103</f>
        <v>0</v>
      </c>
      <c r="Q105">
        <f t="shared" si="5"/>
        <v>0</v>
      </c>
      <c r="R105">
        <f t="shared" si="6"/>
        <v>491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120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Data'!B104</f>
        <v>0</v>
      </c>
      <c r="Q106">
        <f t="shared" si="5"/>
        <v>0</v>
      </c>
      <c r="R106">
        <f t="shared" si="6"/>
        <v>491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120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Data'!B105</f>
        <v>0</v>
      </c>
      <c r="Q107">
        <f t="shared" si="5"/>
        <v>0</v>
      </c>
      <c r="R107">
        <f t="shared" si="6"/>
        <v>491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120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Data'!B106</f>
        <v>0</v>
      </c>
      <c r="Q108">
        <f t="shared" si="5"/>
        <v>0</v>
      </c>
      <c r="R108">
        <f t="shared" si="6"/>
        <v>491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120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Data'!B107</f>
        <v>0</v>
      </c>
      <c r="Q109">
        <f t="shared" si="5"/>
        <v>0</v>
      </c>
      <c r="R109">
        <f t="shared" si="6"/>
        <v>491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120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Data'!B108</f>
        <v>0</v>
      </c>
      <c r="Q110">
        <f t="shared" si="5"/>
        <v>0</v>
      </c>
      <c r="R110">
        <f t="shared" si="6"/>
        <v>491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120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Data'!B109</f>
        <v>0</v>
      </c>
      <c r="Q111">
        <f t="shared" si="5"/>
        <v>0</v>
      </c>
      <c r="R111">
        <f t="shared" si="6"/>
        <v>491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120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Data'!B110</f>
        <v>0</v>
      </c>
      <c r="Q112">
        <f t="shared" si="5"/>
        <v>0</v>
      </c>
      <c r="R112">
        <f t="shared" si="6"/>
        <v>491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120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Data'!B111</f>
        <v>0</v>
      </c>
      <c r="Q113">
        <f t="shared" si="5"/>
        <v>0</v>
      </c>
      <c r="R113">
        <f t="shared" si="6"/>
        <v>491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120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Data'!B112</f>
        <v>0</v>
      </c>
      <c r="Q114">
        <f t="shared" si="5"/>
        <v>0</v>
      </c>
      <c r="R114">
        <f t="shared" si="6"/>
        <v>491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120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Data'!B113</f>
        <v>0</v>
      </c>
      <c r="Q115">
        <f t="shared" si="5"/>
        <v>0</v>
      </c>
      <c r="R115">
        <f t="shared" si="6"/>
        <v>491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120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Data'!B114</f>
        <v>0</v>
      </c>
      <c r="Q116">
        <f t="shared" si="5"/>
        <v>0</v>
      </c>
      <c r="R116">
        <f t="shared" si="6"/>
        <v>491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120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Data'!B115</f>
        <v>0</v>
      </c>
      <c r="Q117">
        <f t="shared" si="5"/>
        <v>0</v>
      </c>
      <c r="R117">
        <f t="shared" si="6"/>
        <v>491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120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Data'!B116</f>
        <v>0</v>
      </c>
      <c r="Q118">
        <f t="shared" si="5"/>
        <v>0</v>
      </c>
      <c r="R118">
        <f t="shared" si="6"/>
        <v>491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120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Data'!B117</f>
        <v>0</v>
      </c>
      <c r="Q119">
        <f t="shared" si="5"/>
        <v>0</v>
      </c>
      <c r="R119">
        <f t="shared" si="6"/>
        <v>491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120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Data'!B118</f>
        <v>0</v>
      </c>
      <c r="Q120">
        <f t="shared" si="5"/>
        <v>0</v>
      </c>
      <c r="R120">
        <f t="shared" si="6"/>
        <v>491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120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Data'!B119</f>
        <v>0</v>
      </c>
      <c r="Q121">
        <f t="shared" si="5"/>
        <v>0</v>
      </c>
      <c r="R121">
        <f t="shared" si="6"/>
        <v>491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120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Data'!B120</f>
        <v>0</v>
      </c>
      <c r="Q122">
        <f t="shared" si="5"/>
        <v>0</v>
      </c>
      <c r="R122">
        <f t="shared" si="6"/>
        <v>491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120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Data'!B121</f>
        <v>0</v>
      </c>
      <c r="Q123">
        <f t="shared" si="5"/>
        <v>0</v>
      </c>
      <c r="R123">
        <f t="shared" si="6"/>
        <v>491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120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Data'!B122</f>
        <v>0</v>
      </c>
      <c r="Q124">
        <f t="shared" si="5"/>
        <v>0</v>
      </c>
      <c r="R124">
        <f t="shared" si="6"/>
        <v>491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120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Data'!B123</f>
        <v>0</v>
      </c>
      <c r="Q125">
        <f t="shared" si="5"/>
        <v>0</v>
      </c>
      <c r="R125">
        <f t="shared" si="6"/>
        <v>491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120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Data'!B124</f>
        <v>0</v>
      </c>
      <c r="Q126">
        <f t="shared" si="5"/>
        <v>0</v>
      </c>
      <c r="R126">
        <f t="shared" si="6"/>
        <v>491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120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Data'!B125</f>
        <v>0</v>
      </c>
      <c r="Q127">
        <f t="shared" si="5"/>
        <v>0</v>
      </c>
      <c r="R127">
        <f t="shared" si="6"/>
        <v>491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120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Data'!B126</f>
        <v>0</v>
      </c>
      <c r="Q128">
        <f t="shared" si="5"/>
        <v>0</v>
      </c>
      <c r="R128">
        <f t="shared" si="6"/>
        <v>491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120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Data'!B127</f>
        <v>0</v>
      </c>
      <c r="Q129">
        <f t="shared" si="5"/>
        <v>0</v>
      </c>
      <c r="R129">
        <f t="shared" si="6"/>
        <v>491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120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Data'!B128</f>
        <v>0</v>
      </c>
      <c r="Q130">
        <f t="shared" si="5"/>
        <v>0</v>
      </c>
      <c r="R130">
        <f t="shared" si="6"/>
        <v>491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120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491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120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Data'!B130</f>
        <v>0</v>
      </c>
      <c r="Q132">
        <f t="shared" si="12"/>
        <v>0</v>
      </c>
      <c r="R132">
        <f t="shared" si="13"/>
        <v>491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120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Data'!B131</f>
        <v>0</v>
      </c>
      <c r="Q133">
        <f t="shared" si="12"/>
        <v>0</v>
      </c>
      <c r="R133">
        <f t="shared" si="13"/>
        <v>491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120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Data'!B132</f>
        <v>0</v>
      </c>
      <c r="Q134">
        <f t="shared" si="12"/>
        <v>0</v>
      </c>
      <c r="R134">
        <f t="shared" si="13"/>
        <v>491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120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Data'!B133</f>
        <v>0</v>
      </c>
      <c r="Q135">
        <f t="shared" si="12"/>
        <v>0</v>
      </c>
      <c r="R135">
        <f t="shared" si="13"/>
        <v>491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120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Data'!B134</f>
        <v>0</v>
      </c>
      <c r="Q136">
        <f t="shared" si="12"/>
        <v>0</v>
      </c>
      <c r="R136">
        <f t="shared" si="13"/>
        <v>491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120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Data'!B135</f>
        <v>0</v>
      </c>
      <c r="Q137">
        <f t="shared" si="12"/>
        <v>0</v>
      </c>
      <c r="R137">
        <f t="shared" si="13"/>
        <v>491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120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Data'!B136</f>
        <v>0</v>
      </c>
      <c r="Q138">
        <f t="shared" si="12"/>
        <v>0</v>
      </c>
      <c r="R138">
        <f t="shared" si="13"/>
        <v>491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120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Data'!B137</f>
        <v>0</v>
      </c>
      <c r="Q139">
        <f t="shared" si="12"/>
        <v>0</v>
      </c>
      <c r="R139">
        <f t="shared" si="13"/>
        <v>491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120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Data'!B138</f>
        <v>0</v>
      </c>
      <c r="Q140">
        <f t="shared" si="12"/>
        <v>0</v>
      </c>
      <c r="R140">
        <f t="shared" si="13"/>
        <v>491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120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Data'!B139</f>
        <v>0</v>
      </c>
      <c r="Q141">
        <f t="shared" si="12"/>
        <v>0</v>
      </c>
      <c r="R141">
        <f t="shared" si="13"/>
        <v>491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120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Data'!B140</f>
        <v>0</v>
      </c>
      <c r="Q142">
        <f t="shared" si="12"/>
        <v>0</v>
      </c>
      <c r="R142">
        <f t="shared" si="13"/>
        <v>491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120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Data'!B141</f>
        <v>0</v>
      </c>
      <c r="Q143">
        <f t="shared" si="12"/>
        <v>0</v>
      </c>
      <c r="R143">
        <f t="shared" si="13"/>
        <v>491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120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Data'!B142</f>
        <v>0</v>
      </c>
      <c r="Q144">
        <f t="shared" si="12"/>
        <v>0</v>
      </c>
      <c r="R144">
        <f t="shared" si="13"/>
        <v>491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120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Data'!B143</f>
        <v>0</v>
      </c>
      <c r="Q145">
        <f t="shared" si="12"/>
        <v>0</v>
      </c>
      <c r="R145">
        <f t="shared" si="13"/>
        <v>491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120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Data'!B144</f>
        <v>0</v>
      </c>
      <c r="Q146">
        <f t="shared" si="12"/>
        <v>0</v>
      </c>
      <c r="R146">
        <f t="shared" si="13"/>
        <v>491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120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Data'!B145</f>
        <v>0</v>
      </c>
      <c r="Q147">
        <f t="shared" si="12"/>
        <v>0</v>
      </c>
      <c r="R147">
        <f t="shared" si="13"/>
        <v>491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120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Data'!B146</f>
        <v>0</v>
      </c>
      <c r="Q148">
        <f t="shared" si="12"/>
        <v>0</v>
      </c>
      <c r="R148">
        <f t="shared" si="13"/>
        <v>491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120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Data'!B147</f>
        <v>0</v>
      </c>
      <c r="Q149">
        <f t="shared" si="12"/>
        <v>0</v>
      </c>
      <c r="R149">
        <f t="shared" si="13"/>
        <v>491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120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Data'!B148</f>
        <v>0</v>
      </c>
      <c r="Q150">
        <f t="shared" si="12"/>
        <v>0</v>
      </c>
      <c r="R150">
        <f t="shared" si="13"/>
        <v>491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120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Data'!B149</f>
        <v>0</v>
      </c>
      <c r="Q151">
        <f t="shared" si="12"/>
        <v>0</v>
      </c>
      <c r="R151">
        <f t="shared" si="13"/>
        <v>491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120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Data'!B150</f>
        <v>0</v>
      </c>
      <c r="Q152">
        <f t="shared" si="12"/>
        <v>0</v>
      </c>
      <c r="R152">
        <f t="shared" si="13"/>
        <v>491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120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Data'!B151</f>
        <v>0</v>
      </c>
      <c r="Q153">
        <f t="shared" si="12"/>
        <v>0</v>
      </c>
      <c r="R153">
        <f t="shared" si="13"/>
        <v>491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120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Data'!B152</f>
        <v>0</v>
      </c>
      <c r="Q154">
        <f t="shared" si="12"/>
        <v>0</v>
      </c>
      <c r="R154">
        <f t="shared" si="13"/>
        <v>491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120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Data'!B153</f>
        <v>0</v>
      </c>
      <c r="Q155">
        <f t="shared" si="12"/>
        <v>0</v>
      </c>
      <c r="R155">
        <f t="shared" si="13"/>
        <v>491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120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Data'!B154</f>
        <v>0</v>
      </c>
      <c r="Q156">
        <f t="shared" si="12"/>
        <v>0</v>
      </c>
      <c r="R156">
        <f t="shared" si="13"/>
        <v>491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120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Data'!B155</f>
        <v>0</v>
      </c>
      <c r="Q157">
        <f t="shared" si="12"/>
        <v>0</v>
      </c>
      <c r="R157">
        <f t="shared" si="13"/>
        <v>491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120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Data'!B156</f>
        <v>0</v>
      </c>
      <c r="Q158">
        <f t="shared" si="12"/>
        <v>0</v>
      </c>
      <c r="R158">
        <f t="shared" si="13"/>
        <v>491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120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Data'!B157</f>
        <v>0</v>
      </c>
      <c r="Q159">
        <f t="shared" si="12"/>
        <v>0</v>
      </c>
      <c r="R159">
        <f t="shared" si="13"/>
        <v>491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120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Data'!B158</f>
        <v>0</v>
      </c>
      <c r="Q160">
        <f t="shared" si="12"/>
        <v>0</v>
      </c>
      <c r="R160">
        <f t="shared" si="13"/>
        <v>491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120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Data'!B159</f>
        <v>0</v>
      </c>
      <c r="Q161">
        <f t="shared" si="12"/>
        <v>0</v>
      </c>
      <c r="R161">
        <f t="shared" si="13"/>
        <v>491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120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Data'!B160</f>
        <v>0</v>
      </c>
      <c r="Q162">
        <f t="shared" si="12"/>
        <v>0</v>
      </c>
      <c r="R162">
        <f t="shared" si="13"/>
        <v>491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120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Data'!B161</f>
        <v>0</v>
      </c>
      <c r="Q163">
        <f t="shared" si="12"/>
        <v>0</v>
      </c>
      <c r="R163">
        <f t="shared" si="13"/>
        <v>491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120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Data'!B162</f>
        <v>0</v>
      </c>
      <c r="Q164">
        <f t="shared" si="12"/>
        <v>0</v>
      </c>
      <c r="R164">
        <f t="shared" si="13"/>
        <v>491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120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Data'!B163</f>
        <v>0</v>
      </c>
      <c r="Q165">
        <f t="shared" si="12"/>
        <v>0</v>
      </c>
      <c r="R165">
        <f t="shared" si="13"/>
        <v>491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120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Data'!B164</f>
        <v>0</v>
      </c>
      <c r="Q166">
        <f t="shared" si="12"/>
        <v>0</v>
      </c>
      <c r="R166">
        <f t="shared" si="13"/>
        <v>491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120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Data'!B165</f>
        <v>0</v>
      </c>
      <c r="Q167">
        <f t="shared" si="12"/>
        <v>0</v>
      </c>
      <c r="R167">
        <f t="shared" si="13"/>
        <v>491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120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Data'!B166</f>
        <v>0</v>
      </c>
      <c r="Q168">
        <f t="shared" si="12"/>
        <v>0</v>
      </c>
      <c r="R168">
        <f t="shared" si="13"/>
        <v>491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120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Data'!B167</f>
        <v>0</v>
      </c>
      <c r="Q169">
        <f t="shared" si="12"/>
        <v>0</v>
      </c>
      <c r="R169">
        <f t="shared" si="13"/>
        <v>491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120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Data'!B168</f>
        <v>0</v>
      </c>
      <c r="Q170">
        <f t="shared" si="12"/>
        <v>0</v>
      </c>
      <c r="R170">
        <f t="shared" si="13"/>
        <v>491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120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Data'!B169</f>
        <v>0</v>
      </c>
      <c r="Q171">
        <f t="shared" si="12"/>
        <v>0</v>
      </c>
      <c r="R171">
        <f t="shared" si="13"/>
        <v>491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120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Data'!B170</f>
        <v>0</v>
      </c>
      <c r="Q172">
        <f t="shared" si="12"/>
        <v>0</v>
      </c>
      <c r="R172">
        <f t="shared" si="13"/>
        <v>491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120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Data'!B171</f>
        <v>0</v>
      </c>
      <c r="Q173">
        <f t="shared" si="12"/>
        <v>0</v>
      </c>
      <c r="R173">
        <f t="shared" si="13"/>
        <v>491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120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Data'!B172</f>
        <v>0</v>
      </c>
      <c r="Q174">
        <f t="shared" si="12"/>
        <v>0</v>
      </c>
      <c r="R174">
        <f t="shared" si="13"/>
        <v>491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120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Data'!B173</f>
        <v>0</v>
      </c>
      <c r="Q175">
        <f t="shared" si="12"/>
        <v>0</v>
      </c>
      <c r="R175">
        <f t="shared" si="13"/>
        <v>491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120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Data'!B174</f>
        <v>0</v>
      </c>
      <c r="Q176">
        <f t="shared" si="12"/>
        <v>0</v>
      </c>
      <c r="R176">
        <f t="shared" si="13"/>
        <v>491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120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Data'!B175</f>
        <v>0</v>
      </c>
      <c r="Q177">
        <f t="shared" si="12"/>
        <v>0</v>
      </c>
      <c r="R177">
        <f t="shared" si="13"/>
        <v>491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120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Data'!B176</f>
        <v>0</v>
      </c>
      <c r="Q178">
        <f t="shared" si="12"/>
        <v>0</v>
      </c>
      <c r="R178">
        <f t="shared" si="13"/>
        <v>491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120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Data'!B177</f>
        <v>0</v>
      </c>
      <c r="Q179">
        <f t="shared" si="12"/>
        <v>0</v>
      </c>
      <c r="R179">
        <f t="shared" si="13"/>
        <v>491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120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Data'!B178</f>
        <v>0</v>
      </c>
      <c r="Q180">
        <f t="shared" si="12"/>
        <v>0</v>
      </c>
      <c r="R180">
        <f t="shared" si="13"/>
        <v>491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120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Data'!B179</f>
        <v>0</v>
      </c>
      <c r="Q181">
        <f t="shared" si="12"/>
        <v>0</v>
      </c>
      <c r="R181">
        <f t="shared" si="13"/>
        <v>491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120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Data'!B180</f>
        <v>0</v>
      </c>
      <c r="Q182">
        <f t="shared" si="12"/>
        <v>0</v>
      </c>
      <c r="R182">
        <f t="shared" si="13"/>
        <v>491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120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Data'!B181</f>
        <v>0</v>
      </c>
      <c r="Q183">
        <f t="shared" si="12"/>
        <v>0</v>
      </c>
      <c r="R183">
        <f t="shared" si="13"/>
        <v>491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120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Data'!B182</f>
        <v>0</v>
      </c>
      <c r="Q184">
        <f t="shared" si="12"/>
        <v>0</v>
      </c>
      <c r="R184">
        <f t="shared" si="13"/>
        <v>491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120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Data'!B183</f>
        <v>0</v>
      </c>
      <c r="Q185">
        <f t="shared" si="12"/>
        <v>0</v>
      </c>
      <c r="R185">
        <f t="shared" si="13"/>
        <v>491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120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Data'!B184</f>
        <v>0</v>
      </c>
      <c r="Q186">
        <f t="shared" si="12"/>
        <v>0</v>
      </c>
      <c r="R186">
        <f t="shared" si="13"/>
        <v>491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120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Data'!B185</f>
        <v>0</v>
      </c>
      <c r="Q187">
        <f t="shared" si="12"/>
        <v>0</v>
      </c>
      <c r="R187">
        <f t="shared" si="13"/>
        <v>491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120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Data'!B186</f>
        <v>0</v>
      </c>
      <c r="Q188">
        <f t="shared" si="12"/>
        <v>0</v>
      </c>
      <c r="R188">
        <f t="shared" si="13"/>
        <v>491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120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Data'!B187</f>
        <v>0</v>
      </c>
      <c r="Q189">
        <f t="shared" si="12"/>
        <v>0</v>
      </c>
      <c r="R189">
        <f t="shared" si="13"/>
        <v>491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120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Data'!B188</f>
        <v>0</v>
      </c>
      <c r="Q190">
        <f t="shared" si="12"/>
        <v>0</v>
      </c>
      <c r="R190">
        <f t="shared" si="13"/>
        <v>491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120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Data'!B189</f>
        <v>0</v>
      </c>
      <c r="Q191">
        <f t="shared" si="12"/>
        <v>0</v>
      </c>
      <c r="R191">
        <f t="shared" si="13"/>
        <v>491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120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Data'!B190</f>
        <v>0</v>
      </c>
      <c r="Q192">
        <f t="shared" si="12"/>
        <v>0</v>
      </c>
      <c r="R192">
        <f t="shared" si="13"/>
        <v>491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120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Data'!B191</f>
        <v>0</v>
      </c>
      <c r="Q193">
        <f t="shared" si="12"/>
        <v>0</v>
      </c>
      <c r="R193">
        <f t="shared" si="13"/>
        <v>491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120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Data'!B192</f>
        <v>0</v>
      </c>
      <c r="Q194">
        <f t="shared" si="12"/>
        <v>0</v>
      </c>
      <c r="R194">
        <f t="shared" si="13"/>
        <v>491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120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491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120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Data'!B194</f>
        <v>0</v>
      </c>
      <c r="Q196">
        <f t="shared" si="17"/>
        <v>0</v>
      </c>
      <c r="R196">
        <f t="shared" si="18"/>
        <v>491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120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Data'!B195</f>
        <v>0</v>
      </c>
      <c r="Q197">
        <f t="shared" si="17"/>
        <v>0</v>
      </c>
      <c r="R197">
        <f t="shared" si="18"/>
        <v>491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120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Data'!B196</f>
        <v>0</v>
      </c>
      <c r="Q198">
        <f t="shared" si="17"/>
        <v>0</v>
      </c>
      <c r="R198">
        <f t="shared" si="18"/>
        <v>491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120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Data'!B197</f>
        <v>0</v>
      </c>
      <c r="Q199">
        <f t="shared" si="17"/>
        <v>0</v>
      </c>
      <c r="R199">
        <f t="shared" si="18"/>
        <v>491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120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Data'!B198</f>
        <v>0</v>
      </c>
      <c r="Q200">
        <f t="shared" si="17"/>
        <v>0</v>
      </c>
      <c r="R200">
        <f t="shared" si="18"/>
        <v>491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Data'!B199</f>
        <v>0</v>
      </c>
      <c r="Q201">
        <f t="shared" si="17"/>
        <v>0</v>
      </c>
      <c r="R201">
        <f t="shared" si="18"/>
        <v>491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Data'!B200</f>
        <v>0</v>
      </c>
      <c r="Q202">
        <f t="shared" si="17"/>
        <v>0</v>
      </c>
      <c r="R202">
        <f t="shared" si="18"/>
        <v>491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Data'!B201</f>
        <v>0</v>
      </c>
      <c r="Q203">
        <f t="shared" si="17"/>
        <v>0</v>
      </c>
      <c r="R203">
        <f t="shared" si="18"/>
        <v>491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Data'!B202</f>
        <v>0</v>
      </c>
      <c r="Q204">
        <f t="shared" si="17"/>
        <v>0</v>
      </c>
      <c r="R204">
        <f t="shared" si="18"/>
        <v>491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Data'!B203</f>
        <v>0</v>
      </c>
      <c r="Q205">
        <f t="shared" si="17"/>
        <v>0</v>
      </c>
      <c r="R205">
        <f t="shared" si="18"/>
        <v>491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Data'!B204</f>
        <v>0</v>
      </c>
      <c r="Q206">
        <f t="shared" si="17"/>
        <v>0</v>
      </c>
      <c r="R206">
        <f t="shared" si="18"/>
        <v>491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Data'!B205</f>
        <v>0</v>
      </c>
      <c r="Q207">
        <f t="shared" si="17"/>
        <v>0</v>
      </c>
      <c r="R207">
        <f t="shared" si="18"/>
        <v>491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Data'!B206</f>
        <v>0</v>
      </c>
      <c r="Q208">
        <f t="shared" si="17"/>
        <v>0</v>
      </c>
      <c r="R208">
        <f t="shared" si="18"/>
        <v>491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Data'!B207</f>
        <v>0</v>
      </c>
      <c r="Q209">
        <f t="shared" si="17"/>
        <v>0</v>
      </c>
      <c r="R209">
        <f t="shared" si="18"/>
        <v>491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Data'!B208</f>
        <v>0</v>
      </c>
      <c r="Q210">
        <f t="shared" si="17"/>
        <v>0</v>
      </c>
      <c r="R210">
        <f t="shared" si="18"/>
        <v>491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Data'!B209</f>
        <v>0</v>
      </c>
      <c r="Q211">
        <f t="shared" si="17"/>
        <v>0</v>
      </c>
      <c r="R211">
        <f t="shared" si="18"/>
        <v>491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Data'!B210</f>
        <v>0</v>
      </c>
      <c r="Q212">
        <f t="shared" si="17"/>
        <v>0</v>
      </c>
      <c r="R212">
        <f t="shared" si="18"/>
        <v>491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Data'!B211</f>
        <v>0</v>
      </c>
      <c r="Q213">
        <f t="shared" si="17"/>
        <v>0</v>
      </c>
      <c r="R213">
        <f t="shared" si="18"/>
        <v>491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Data'!B212</f>
        <v>0</v>
      </c>
      <c r="Q214">
        <f t="shared" si="17"/>
        <v>0</v>
      </c>
      <c r="R214">
        <f t="shared" si="18"/>
        <v>491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Data'!B213</f>
        <v>0</v>
      </c>
      <c r="Q215">
        <f t="shared" si="17"/>
        <v>0</v>
      </c>
      <c r="R215">
        <f t="shared" si="18"/>
        <v>491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Data'!B214</f>
        <v>0</v>
      </c>
      <c r="Q216">
        <f t="shared" si="17"/>
        <v>0</v>
      </c>
      <c r="R216">
        <f t="shared" si="18"/>
        <v>491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Data'!B215</f>
        <v>0</v>
      </c>
      <c r="Q217">
        <f t="shared" si="17"/>
        <v>0</v>
      </c>
      <c r="R217">
        <f t="shared" si="18"/>
        <v>491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Data'!B216</f>
        <v>0</v>
      </c>
      <c r="Q218">
        <f t="shared" si="17"/>
        <v>0</v>
      </c>
      <c r="R218">
        <f t="shared" si="18"/>
        <v>491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Data'!B217</f>
        <v>0</v>
      </c>
      <c r="Q219">
        <f t="shared" si="17"/>
        <v>0</v>
      </c>
      <c r="R219">
        <f t="shared" si="18"/>
        <v>491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Data'!B218</f>
        <v>0</v>
      </c>
      <c r="Q220">
        <f t="shared" si="17"/>
        <v>0</v>
      </c>
      <c r="R220">
        <f t="shared" si="18"/>
        <v>491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Data'!B219</f>
        <v>0</v>
      </c>
      <c r="Q221">
        <f t="shared" si="17"/>
        <v>0</v>
      </c>
      <c r="R221">
        <f t="shared" si="18"/>
        <v>491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Data'!B220</f>
        <v>0</v>
      </c>
      <c r="Q222">
        <f t="shared" si="17"/>
        <v>0</v>
      </c>
      <c r="R222">
        <f t="shared" si="18"/>
        <v>491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Data'!B221</f>
        <v>0</v>
      </c>
      <c r="Q223">
        <f t="shared" si="17"/>
        <v>0</v>
      </c>
      <c r="R223">
        <f t="shared" si="18"/>
        <v>491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Data'!B222</f>
        <v>0</v>
      </c>
      <c r="Q224">
        <f t="shared" si="17"/>
        <v>0</v>
      </c>
      <c r="R224">
        <f t="shared" si="18"/>
        <v>491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Data'!B223</f>
        <v>0</v>
      </c>
      <c r="Q225">
        <f t="shared" si="17"/>
        <v>0</v>
      </c>
      <c r="R225">
        <f t="shared" si="18"/>
        <v>491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Data'!B224</f>
        <v>0</v>
      </c>
      <c r="Q226">
        <f t="shared" si="17"/>
        <v>0</v>
      </c>
      <c r="R226">
        <f t="shared" si="18"/>
        <v>491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Data'!B225</f>
        <v>0</v>
      </c>
      <c r="Q227">
        <f t="shared" si="17"/>
        <v>0</v>
      </c>
      <c r="R227">
        <f t="shared" si="18"/>
        <v>491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Data'!B226</f>
        <v>0</v>
      </c>
      <c r="Q228">
        <f t="shared" si="17"/>
        <v>0</v>
      </c>
      <c r="R228">
        <f t="shared" si="18"/>
        <v>491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Data'!B227</f>
        <v>0</v>
      </c>
      <c r="Q229">
        <f t="shared" si="17"/>
        <v>0</v>
      </c>
      <c r="R229">
        <f t="shared" si="18"/>
        <v>491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Data'!B228</f>
        <v>0</v>
      </c>
      <c r="Q230">
        <f t="shared" si="17"/>
        <v>0</v>
      </c>
      <c r="R230">
        <f t="shared" si="18"/>
        <v>491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Data'!B229</f>
        <v>0</v>
      </c>
      <c r="Q231">
        <f t="shared" si="17"/>
        <v>0</v>
      </c>
      <c r="R231">
        <f t="shared" si="18"/>
        <v>491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Data'!B230</f>
        <v>0</v>
      </c>
      <c r="Q232">
        <f t="shared" si="17"/>
        <v>0</v>
      </c>
      <c r="R232">
        <f t="shared" si="18"/>
        <v>491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Data'!B231</f>
        <v>0</v>
      </c>
      <c r="Q233">
        <f t="shared" si="17"/>
        <v>0</v>
      </c>
      <c r="R233">
        <f t="shared" si="18"/>
        <v>491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Data'!B232</f>
        <v>0</v>
      </c>
      <c r="Q234">
        <f t="shared" si="17"/>
        <v>0</v>
      </c>
      <c r="R234">
        <f t="shared" si="18"/>
        <v>491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Data'!B233</f>
        <v>0</v>
      </c>
      <c r="Q235">
        <f t="shared" si="17"/>
        <v>0</v>
      </c>
      <c r="R235">
        <f t="shared" si="18"/>
        <v>491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Data'!B234</f>
        <v>0</v>
      </c>
      <c r="Q236">
        <f t="shared" si="17"/>
        <v>0</v>
      </c>
      <c r="R236">
        <f t="shared" si="18"/>
        <v>491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Data'!B235</f>
        <v>0</v>
      </c>
      <c r="Q237">
        <f t="shared" si="17"/>
        <v>0</v>
      </c>
      <c r="R237">
        <f t="shared" si="18"/>
        <v>491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Data'!B236</f>
        <v>0</v>
      </c>
      <c r="Q238">
        <f t="shared" si="17"/>
        <v>0</v>
      </c>
      <c r="R238">
        <f t="shared" si="18"/>
        <v>491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Data'!B237</f>
        <v>0</v>
      </c>
      <c r="Q239">
        <f t="shared" si="17"/>
        <v>0</v>
      </c>
      <c r="R239">
        <f t="shared" si="18"/>
        <v>491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Data'!B238</f>
        <v>0</v>
      </c>
      <c r="Q240">
        <f t="shared" si="17"/>
        <v>0</v>
      </c>
      <c r="R240">
        <f t="shared" si="18"/>
        <v>491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Data'!B239</f>
        <v>0</v>
      </c>
      <c r="Q241">
        <f t="shared" si="17"/>
        <v>0</v>
      </c>
      <c r="R241">
        <f t="shared" si="18"/>
        <v>491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Data'!B240</f>
        <v>0</v>
      </c>
      <c r="Q242">
        <f t="shared" si="17"/>
        <v>0</v>
      </c>
      <c r="R242">
        <f t="shared" si="18"/>
        <v>491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Data'!B241</f>
        <v>0</v>
      </c>
      <c r="Q243">
        <f t="shared" si="17"/>
        <v>0</v>
      </c>
      <c r="R243">
        <f t="shared" si="18"/>
        <v>491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Data'!B242</f>
        <v>0</v>
      </c>
      <c r="Q244">
        <f t="shared" si="17"/>
        <v>0</v>
      </c>
      <c r="R244">
        <f t="shared" si="18"/>
        <v>491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Data'!B243</f>
        <v>0</v>
      </c>
      <c r="Q245">
        <f t="shared" si="17"/>
        <v>0</v>
      </c>
      <c r="R245">
        <f t="shared" si="18"/>
        <v>491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Data'!B244</f>
        <v>0</v>
      </c>
      <c r="Q246">
        <f t="shared" si="17"/>
        <v>0</v>
      </c>
      <c r="R246">
        <f t="shared" si="18"/>
        <v>491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Data'!B245</f>
        <v>0</v>
      </c>
      <c r="Q247">
        <f t="shared" si="17"/>
        <v>0</v>
      </c>
      <c r="R247">
        <f t="shared" si="18"/>
        <v>491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Data'!B246</f>
        <v>0</v>
      </c>
      <c r="Q248">
        <f t="shared" si="17"/>
        <v>0</v>
      </c>
      <c r="R248">
        <f t="shared" si="18"/>
        <v>491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Data'!B247</f>
        <v>0</v>
      </c>
      <c r="Q249">
        <f t="shared" si="17"/>
        <v>0</v>
      </c>
      <c r="R249">
        <f t="shared" si="18"/>
        <v>491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Data'!B248</f>
        <v>0</v>
      </c>
      <c r="Q250">
        <f t="shared" si="17"/>
        <v>0</v>
      </c>
      <c r="R250">
        <f t="shared" si="18"/>
        <v>491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Data'!B249</f>
        <v>0</v>
      </c>
      <c r="Q251">
        <f t="shared" si="17"/>
        <v>0</v>
      </c>
      <c r="R251">
        <f t="shared" si="18"/>
        <v>491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Data'!B250</f>
        <v>0</v>
      </c>
      <c r="Q252">
        <f t="shared" si="17"/>
        <v>0</v>
      </c>
      <c r="R252">
        <f t="shared" si="18"/>
        <v>491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Data'!B251</f>
        <v>0</v>
      </c>
      <c r="Q253">
        <f t="shared" si="17"/>
        <v>0</v>
      </c>
      <c r="R253">
        <f t="shared" si="18"/>
        <v>491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Data'!B252</f>
        <v>0</v>
      </c>
      <c r="Q254">
        <f t="shared" si="17"/>
        <v>0</v>
      </c>
      <c r="R254">
        <f t="shared" si="18"/>
        <v>491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Data'!B253</f>
        <v>0</v>
      </c>
      <c r="Q255">
        <f t="shared" si="17"/>
        <v>0</v>
      </c>
      <c r="R255">
        <f t="shared" si="18"/>
        <v>491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Data'!B254</f>
        <v>0</v>
      </c>
      <c r="Q256">
        <f t="shared" si="17"/>
        <v>0</v>
      </c>
      <c r="R256">
        <f t="shared" si="18"/>
        <v>491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Data'!B255</f>
        <v>0</v>
      </c>
      <c r="Q257">
        <f t="shared" si="17"/>
        <v>0</v>
      </c>
      <c r="R257">
        <f t="shared" si="18"/>
        <v>491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Data'!B256</f>
        <v>0</v>
      </c>
      <c r="Q258">
        <f t="shared" si="17"/>
        <v>0</v>
      </c>
      <c r="R258">
        <f t="shared" si="18"/>
        <v>491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491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Data'!B258</f>
        <v>0</v>
      </c>
      <c r="Q260">
        <f t="shared" si="22"/>
        <v>0</v>
      </c>
      <c r="R260">
        <f t="shared" si="23"/>
        <v>491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Data'!B259</f>
        <v>0</v>
      </c>
      <c r="Q261">
        <f t="shared" si="22"/>
        <v>0</v>
      </c>
      <c r="R261">
        <f t="shared" si="23"/>
        <v>491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Data'!B260</f>
        <v>0</v>
      </c>
      <c r="Q262">
        <f t="shared" si="22"/>
        <v>0</v>
      </c>
      <c r="R262">
        <f t="shared" si="23"/>
        <v>491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Data'!B261</f>
        <v>0</v>
      </c>
      <c r="Q263">
        <f t="shared" si="22"/>
        <v>0</v>
      </c>
      <c r="R263">
        <f t="shared" si="23"/>
        <v>491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Data'!B262</f>
        <v>0</v>
      </c>
      <c r="Q264">
        <f t="shared" si="22"/>
        <v>0</v>
      </c>
      <c r="R264">
        <f t="shared" si="23"/>
        <v>491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Data'!B263</f>
        <v>0</v>
      </c>
      <c r="Q265">
        <f t="shared" si="22"/>
        <v>0</v>
      </c>
      <c r="R265">
        <f t="shared" si="23"/>
        <v>491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Data'!B264</f>
        <v>0</v>
      </c>
      <c r="Q266">
        <f t="shared" si="22"/>
        <v>0</v>
      </c>
      <c r="R266">
        <f t="shared" si="23"/>
        <v>491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Data'!B265</f>
        <v>0</v>
      </c>
      <c r="Q267">
        <f t="shared" si="22"/>
        <v>0</v>
      </c>
      <c r="R267">
        <f t="shared" si="23"/>
        <v>491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Data'!B266</f>
        <v>0</v>
      </c>
      <c r="Q268">
        <f t="shared" si="22"/>
        <v>0</v>
      </c>
      <c r="R268">
        <f t="shared" si="23"/>
        <v>491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Data'!B267</f>
        <v>0</v>
      </c>
      <c r="Q269">
        <f t="shared" si="22"/>
        <v>0</v>
      </c>
      <c r="R269">
        <f t="shared" si="23"/>
        <v>491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Data'!B268</f>
        <v>0</v>
      </c>
      <c r="Q270">
        <f t="shared" si="22"/>
        <v>0</v>
      </c>
      <c r="R270">
        <f t="shared" si="23"/>
        <v>491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Data'!B269</f>
        <v>0</v>
      </c>
      <c r="Q271">
        <f t="shared" si="22"/>
        <v>0</v>
      </c>
      <c r="R271">
        <f t="shared" si="23"/>
        <v>491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Data'!B270</f>
        <v>0</v>
      </c>
      <c r="Q272">
        <f t="shared" si="22"/>
        <v>0</v>
      </c>
      <c r="R272">
        <f t="shared" si="23"/>
        <v>491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Data'!B271</f>
        <v>0</v>
      </c>
      <c r="Q273">
        <f t="shared" si="22"/>
        <v>0</v>
      </c>
      <c r="R273">
        <f t="shared" si="23"/>
        <v>491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Data'!B272</f>
        <v>0</v>
      </c>
      <c r="Q274">
        <f t="shared" si="22"/>
        <v>0</v>
      </c>
      <c r="R274">
        <f t="shared" si="23"/>
        <v>491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Data'!B273</f>
        <v>0</v>
      </c>
      <c r="Q275">
        <f t="shared" si="22"/>
        <v>0</v>
      </c>
      <c r="R275">
        <f t="shared" si="23"/>
        <v>491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Data'!B274</f>
        <v>0</v>
      </c>
      <c r="Q276">
        <f t="shared" si="22"/>
        <v>0</v>
      </c>
      <c r="R276">
        <f t="shared" si="23"/>
        <v>491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Data'!B275</f>
        <v>0</v>
      </c>
      <c r="Q277">
        <f t="shared" si="22"/>
        <v>0</v>
      </c>
      <c r="R277">
        <f t="shared" si="23"/>
        <v>491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Data'!B276</f>
        <v>0</v>
      </c>
      <c r="Q278">
        <f t="shared" si="22"/>
        <v>0</v>
      </c>
      <c r="R278">
        <f t="shared" si="23"/>
        <v>491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Data'!B277</f>
        <v>0</v>
      </c>
      <c r="Q279">
        <f t="shared" si="22"/>
        <v>0</v>
      </c>
      <c r="R279">
        <f t="shared" si="23"/>
        <v>491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Data'!B278</f>
        <v>0</v>
      </c>
      <c r="Q280">
        <f t="shared" si="22"/>
        <v>0</v>
      </c>
      <c r="R280">
        <f t="shared" si="23"/>
        <v>491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Data'!B279</f>
        <v>0</v>
      </c>
      <c r="Q281">
        <f t="shared" si="22"/>
        <v>0</v>
      </c>
      <c r="R281">
        <f t="shared" si="23"/>
        <v>491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Data'!B280</f>
        <v>0</v>
      </c>
      <c r="Q282">
        <f t="shared" si="22"/>
        <v>0</v>
      </c>
      <c r="R282">
        <f t="shared" si="23"/>
        <v>491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Data'!B281</f>
        <v>0</v>
      </c>
      <c r="Q283">
        <f t="shared" si="22"/>
        <v>0</v>
      </c>
      <c r="R283">
        <f t="shared" si="23"/>
        <v>491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Data'!B282</f>
        <v>0</v>
      </c>
      <c r="Q284">
        <f t="shared" si="22"/>
        <v>0</v>
      </c>
      <c r="R284">
        <f t="shared" si="23"/>
        <v>491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Data'!B283</f>
        <v>0</v>
      </c>
      <c r="Q285">
        <f t="shared" si="22"/>
        <v>0</v>
      </c>
      <c r="R285">
        <f t="shared" si="23"/>
        <v>491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Data'!B284</f>
        <v>0</v>
      </c>
      <c r="Q286">
        <f t="shared" si="22"/>
        <v>0</v>
      </c>
      <c r="R286">
        <f t="shared" si="23"/>
        <v>491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Data'!B285</f>
        <v>0</v>
      </c>
      <c r="Q287">
        <f t="shared" si="22"/>
        <v>0</v>
      </c>
      <c r="R287">
        <f t="shared" si="23"/>
        <v>491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Data'!B286</f>
        <v>0</v>
      </c>
      <c r="Q288">
        <f t="shared" si="22"/>
        <v>0</v>
      </c>
      <c r="R288">
        <f t="shared" si="23"/>
        <v>491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Data'!B287</f>
        <v>0</v>
      </c>
      <c r="Q289">
        <f t="shared" si="22"/>
        <v>0</v>
      </c>
      <c r="R289">
        <f t="shared" si="23"/>
        <v>491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Data'!B288</f>
        <v>0</v>
      </c>
      <c r="Q290">
        <f t="shared" si="22"/>
        <v>0</v>
      </c>
      <c r="R290">
        <f t="shared" si="23"/>
        <v>491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Data'!B289</f>
        <v>0</v>
      </c>
      <c r="Q291">
        <f t="shared" si="22"/>
        <v>0</v>
      </c>
      <c r="R291">
        <f t="shared" si="23"/>
        <v>491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Data'!B290</f>
        <v>0</v>
      </c>
      <c r="Q292">
        <f t="shared" si="22"/>
        <v>0</v>
      </c>
      <c r="R292">
        <f t="shared" si="23"/>
        <v>491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Data'!B291</f>
        <v>0</v>
      </c>
      <c r="Q293">
        <f t="shared" si="22"/>
        <v>0</v>
      </c>
      <c r="R293">
        <f t="shared" si="23"/>
        <v>491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Data'!B292</f>
        <v>0</v>
      </c>
      <c r="Q294">
        <f t="shared" si="22"/>
        <v>0</v>
      </c>
      <c r="R294">
        <f t="shared" si="23"/>
        <v>491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Data'!B293</f>
        <v>0</v>
      </c>
      <c r="Q295">
        <f t="shared" si="22"/>
        <v>0</v>
      </c>
      <c r="R295">
        <f t="shared" si="23"/>
        <v>491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Data'!B294</f>
        <v>0</v>
      </c>
      <c r="Q296">
        <f t="shared" si="22"/>
        <v>0</v>
      </c>
      <c r="R296">
        <f t="shared" si="23"/>
        <v>491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Data'!B295</f>
        <v>0</v>
      </c>
      <c r="Q297">
        <f t="shared" si="22"/>
        <v>0</v>
      </c>
      <c r="R297">
        <f t="shared" si="23"/>
        <v>491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Data'!B296</f>
        <v>0</v>
      </c>
      <c r="Q298">
        <f t="shared" si="22"/>
        <v>0</v>
      </c>
      <c r="R298">
        <f t="shared" si="23"/>
        <v>491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Data'!B297</f>
        <v>0</v>
      </c>
      <c r="Q299">
        <f t="shared" si="22"/>
        <v>0</v>
      </c>
      <c r="R299">
        <f t="shared" si="23"/>
        <v>491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Data'!B298</f>
        <v>0</v>
      </c>
      <c r="Q300">
        <f t="shared" si="22"/>
        <v>0</v>
      </c>
      <c r="R300">
        <f t="shared" si="23"/>
        <v>491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Data'!B299</f>
        <v>0</v>
      </c>
      <c r="Q301">
        <f t="shared" si="22"/>
        <v>0</v>
      </c>
      <c r="R301">
        <f t="shared" si="23"/>
        <v>491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Data'!B300</f>
        <v>0</v>
      </c>
      <c r="Q302">
        <f t="shared" si="22"/>
        <v>0</v>
      </c>
      <c r="R302">
        <f t="shared" si="23"/>
        <v>491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Data'!B301</f>
        <v>0</v>
      </c>
      <c r="Q303">
        <f t="shared" si="22"/>
        <v>0</v>
      </c>
      <c r="R303">
        <f t="shared" si="23"/>
        <v>491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Data'!B302</f>
        <v>0</v>
      </c>
      <c r="Q304">
        <f t="shared" si="22"/>
        <v>0</v>
      </c>
      <c r="R304">
        <f t="shared" si="23"/>
        <v>491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Data'!B303</f>
        <v>0</v>
      </c>
      <c r="Q305">
        <f t="shared" si="22"/>
        <v>0</v>
      </c>
      <c r="R305">
        <f t="shared" si="23"/>
        <v>491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Data'!B304</f>
        <v>0</v>
      </c>
      <c r="Q306">
        <f t="shared" si="22"/>
        <v>0</v>
      </c>
      <c r="R306">
        <f t="shared" si="23"/>
        <v>491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Data'!B305</f>
        <v>0</v>
      </c>
      <c r="Q307">
        <f t="shared" si="22"/>
        <v>0</v>
      </c>
      <c r="R307">
        <f t="shared" si="23"/>
        <v>491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Data'!B306</f>
        <v>0</v>
      </c>
      <c r="Q308">
        <f t="shared" si="22"/>
        <v>0</v>
      </c>
      <c r="R308">
        <f t="shared" si="23"/>
        <v>491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Data'!B307</f>
        <v>0</v>
      </c>
      <c r="Q309">
        <f t="shared" si="22"/>
        <v>0</v>
      </c>
      <c r="R309">
        <f t="shared" si="23"/>
        <v>491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Data'!B308</f>
        <v>0</v>
      </c>
      <c r="Q310">
        <f t="shared" si="22"/>
        <v>0</v>
      </c>
      <c r="R310">
        <f t="shared" si="23"/>
        <v>491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Data'!B309</f>
        <v>0</v>
      </c>
      <c r="Q311">
        <f t="shared" si="22"/>
        <v>0</v>
      </c>
      <c r="R311">
        <f t="shared" si="23"/>
        <v>491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Data'!B310</f>
        <v>0</v>
      </c>
      <c r="Q312">
        <f t="shared" si="22"/>
        <v>0</v>
      </c>
      <c r="R312">
        <f t="shared" si="23"/>
        <v>491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Data'!B311</f>
        <v>0</v>
      </c>
      <c r="Q313">
        <f t="shared" si="22"/>
        <v>0</v>
      </c>
      <c r="R313">
        <f t="shared" si="23"/>
        <v>491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Data'!B312</f>
        <v>0</v>
      </c>
      <c r="Q314">
        <f t="shared" si="22"/>
        <v>0</v>
      </c>
      <c r="R314">
        <f t="shared" si="23"/>
        <v>491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Data'!B313</f>
        <v>0</v>
      </c>
      <c r="Q315">
        <f t="shared" si="22"/>
        <v>0</v>
      </c>
      <c r="R315">
        <f t="shared" si="23"/>
        <v>491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Data'!B314</f>
        <v>0</v>
      </c>
      <c r="Q316">
        <f t="shared" si="22"/>
        <v>0</v>
      </c>
      <c r="R316">
        <f t="shared" si="23"/>
        <v>491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Data'!B315</f>
        <v>0</v>
      </c>
      <c r="Q317">
        <f t="shared" si="22"/>
        <v>0</v>
      </c>
      <c r="R317">
        <f t="shared" si="23"/>
        <v>491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Data'!B316</f>
        <v>0</v>
      </c>
      <c r="Q318">
        <f t="shared" si="22"/>
        <v>0</v>
      </c>
      <c r="R318">
        <f t="shared" si="23"/>
        <v>491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Data'!B317</f>
        <v>0</v>
      </c>
      <c r="Q319">
        <f t="shared" si="22"/>
        <v>0</v>
      </c>
      <c r="R319">
        <f t="shared" si="23"/>
        <v>491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Data'!B318</f>
        <v>0</v>
      </c>
      <c r="Q320">
        <f t="shared" si="22"/>
        <v>0</v>
      </c>
      <c r="R320">
        <f t="shared" si="23"/>
        <v>491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Data'!B319</f>
        <v>0</v>
      </c>
      <c r="Q321">
        <f t="shared" si="22"/>
        <v>0</v>
      </c>
      <c r="R321">
        <f t="shared" si="23"/>
        <v>491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Data'!B320</f>
        <v>0</v>
      </c>
      <c r="Q322">
        <f t="shared" si="22"/>
        <v>0</v>
      </c>
      <c r="R322">
        <f t="shared" si="23"/>
        <v>491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491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Data'!B322</f>
        <v>0</v>
      </c>
      <c r="Q324">
        <f t="shared" si="27"/>
        <v>0</v>
      </c>
      <c r="R324">
        <f t="shared" si="28"/>
        <v>491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Data'!B323</f>
        <v>0</v>
      </c>
      <c r="Q325">
        <f t="shared" si="27"/>
        <v>0</v>
      </c>
      <c r="R325">
        <f t="shared" si="28"/>
        <v>491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Data'!B324</f>
        <v>0</v>
      </c>
      <c r="Q326">
        <f t="shared" si="27"/>
        <v>0</v>
      </c>
      <c r="R326">
        <f t="shared" si="28"/>
        <v>491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Data'!B325</f>
        <v>0</v>
      </c>
      <c r="Q327">
        <f t="shared" si="27"/>
        <v>0</v>
      </c>
      <c r="R327">
        <f t="shared" si="28"/>
        <v>491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Data'!B326</f>
        <v>0</v>
      </c>
      <c r="Q328">
        <f t="shared" si="27"/>
        <v>0</v>
      </c>
      <c r="R328">
        <f t="shared" si="28"/>
        <v>491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Data'!B327</f>
        <v>0</v>
      </c>
      <c r="Q329">
        <f t="shared" si="27"/>
        <v>0</v>
      </c>
      <c r="R329">
        <f t="shared" si="28"/>
        <v>491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Data'!B328</f>
        <v>0</v>
      </c>
      <c r="Q330">
        <f t="shared" si="27"/>
        <v>0</v>
      </c>
      <c r="R330">
        <f t="shared" si="28"/>
        <v>491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Data'!B329</f>
        <v>0</v>
      </c>
      <c r="Q331">
        <f t="shared" si="27"/>
        <v>0</v>
      </c>
      <c r="R331">
        <f t="shared" si="28"/>
        <v>491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Data'!B330</f>
        <v>0</v>
      </c>
      <c r="Q332">
        <f t="shared" si="27"/>
        <v>0</v>
      </c>
      <c r="R332">
        <f t="shared" si="28"/>
        <v>491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Data'!B331</f>
        <v>0</v>
      </c>
      <c r="Q333">
        <f t="shared" si="27"/>
        <v>0</v>
      </c>
      <c r="R333">
        <f t="shared" si="28"/>
        <v>491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Data'!B332</f>
        <v>0</v>
      </c>
      <c r="Q334">
        <f t="shared" si="27"/>
        <v>0</v>
      </c>
      <c r="R334">
        <f t="shared" si="28"/>
        <v>491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Data'!B333</f>
        <v>0</v>
      </c>
      <c r="Q335">
        <f t="shared" si="27"/>
        <v>0</v>
      </c>
      <c r="R335">
        <f t="shared" si="28"/>
        <v>491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Data'!B334</f>
        <v>0</v>
      </c>
      <c r="Q336">
        <f t="shared" si="27"/>
        <v>0</v>
      </c>
      <c r="R336">
        <f t="shared" si="28"/>
        <v>491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Data'!B335</f>
        <v>0</v>
      </c>
      <c r="Q337">
        <f t="shared" si="27"/>
        <v>0</v>
      </c>
      <c r="R337">
        <f t="shared" si="28"/>
        <v>491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Data'!B336</f>
        <v>0</v>
      </c>
      <c r="Q338">
        <f t="shared" si="27"/>
        <v>0</v>
      </c>
      <c r="R338">
        <f t="shared" si="28"/>
        <v>491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Data'!B337</f>
        <v>0</v>
      </c>
      <c r="Q339">
        <f t="shared" si="27"/>
        <v>0</v>
      </c>
      <c r="R339">
        <f t="shared" si="28"/>
        <v>491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Data'!B338</f>
        <v>0</v>
      </c>
      <c r="Q340">
        <f t="shared" si="27"/>
        <v>0</v>
      </c>
      <c r="R340">
        <f t="shared" si="28"/>
        <v>491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Data'!B339</f>
        <v>0</v>
      </c>
      <c r="Q341">
        <f t="shared" si="27"/>
        <v>0</v>
      </c>
      <c r="R341">
        <f t="shared" si="28"/>
        <v>491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Data'!B340</f>
        <v>0</v>
      </c>
      <c r="Q342">
        <f t="shared" si="27"/>
        <v>0</v>
      </c>
      <c r="R342">
        <f t="shared" si="28"/>
        <v>491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Data'!B341</f>
        <v>0</v>
      </c>
      <c r="Q343">
        <f t="shared" si="27"/>
        <v>0</v>
      </c>
      <c r="R343">
        <f t="shared" si="28"/>
        <v>491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Data'!B342</f>
        <v>0</v>
      </c>
      <c r="Q344">
        <f t="shared" si="27"/>
        <v>0</v>
      </c>
      <c r="R344">
        <f t="shared" si="28"/>
        <v>491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Data'!B343</f>
        <v>0</v>
      </c>
      <c r="Q345">
        <f t="shared" si="27"/>
        <v>0</v>
      </c>
      <c r="R345">
        <f t="shared" si="28"/>
        <v>491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Data'!B344</f>
        <v>0</v>
      </c>
      <c r="Q346">
        <f t="shared" si="27"/>
        <v>0</v>
      </c>
      <c r="R346">
        <f t="shared" si="28"/>
        <v>491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Data'!B345</f>
        <v>0</v>
      </c>
      <c r="Q347">
        <f t="shared" si="27"/>
        <v>0</v>
      </c>
      <c r="R347">
        <f t="shared" si="28"/>
        <v>491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Data'!B346</f>
        <v>0</v>
      </c>
      <c r="Q348">
        <f t="shared" si="27"/>
        <v>0</v>
      </c>
      <c r="R348">
        <f t="shared" si="28"/>
        <v>491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Data'!B347</f>
        <v>0</v>
      </c>
      <c r="Q349">
        <f t="shared" si="27"/>
        <v>0</v>
      </c>
      <c r="R349">
        <f t="shared" si="28"/>
        <v>491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Data'!B348</f>
        <v>0</v>
      </c>
      <c r="Q350">
        <f t="shared" si="27"/>
        <v>0</v>
      </c>
      <c r="R350">
        <f t="shared" si="28"/>
        <v>491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Data'!B349</f>
        <v>0</v>
      </c>
      <c r="Q351">
        <f t="shared" si="27"/>
        <v>0</v>
      </c>
      <c r="R351">
        <f t="shared" si="28"/>
        <v>491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Data'!B350</f>
        <v>0</v>
      </c>
      <c r="Q352">
        <f t="shared" si="27"/>
        <v>0</v>
      </c>
      <c r="R352">
        <f t="shared" si="28"/>
        <v>491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Data'!B351</f>
        <v>0</v>
      </c>
      <c r="Q353">
        <f t="shared" si="27"/>
        <v>0</v>
      </c>
      <c r="R353">
        <f t="shared" si="28"/>
        <v>491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Data'!B352</f>
        <v>0</v>
      </c>
      <c r="Q354">
        <f t="shared" si="27"/>
        <v>0</v>
      </c>
      <c r="R354">
        <f t="shared" si="28"/>
        <v>491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Data'!B353</f>
        <v>0</v>
      </c>
      <c r="Q355">
        <f t="shared" si="27"/>
        <v>0</v>
      </c>
      <c r="R355">
        <f t="shared" si="28"/>
        <v>491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Data'!B354</f>
        <v>0</v>
      </c>
      <c r="Q356">
        <f t="shared" si="27"/>
        <v>0</v>
      </c>
      <c r="R356">
        <f t="shared" si="28"/>
        <v>491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Data'!B355</f>
        <v>0</v>
      </c>
      <c r="Q357">
        <f t="shared" si="27"/>
        <v>0</v>
      </c>
      <c r="R357">
        <f t="shared" si="28"/>
        <v>491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Data'!B356</f>
        <v>0</v>
      </c>
      <c r="Q358">
        <f t="shared" si="27"/>
        <v>0</v>
      </c>
      <c r="R358">
        <f t="shared" si="28"/>
        <v>491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Data'!B357</f>
        <v>0</v>
      </c>
      <c r="Q359">
        <f t="shared" si="27"/>
        <v>0</v>
      </c>
      <c r="R359">
        <f t="shared" si="28"/>
        <v>491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Data'!B358</f>
        <v>0</v>
      </c>
      <c r="Q360">
        <f t="shared" si="27"/>
        <v>0</v>
      </c>
      <c r="R360">
        <f t="shared" si="28"/>
        <v>491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Data'!B359</f>
        <v>0</v>
      </c>
      <c r="Q361">
        <f t="shared" si="27"/>
        <v>0</v>
      </c>
      <c r="R361">
        <f t="shared" si="28"/>
        <v>491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Data'!B360</f>
        <v>0</v>
      </c>
      <c r="Q362">
        <f t="shared" si="27"/>
        <v>0</v>
      </c>
      <c r="R362">
        <f t="shared" si="28"/>
        <v>491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Data'!B361</f>
        <v>0</v>
      </c>
      <c r="Q363">
        <f t="shared" si="27"/>
        <v>0</v>
      </c>
      <c r="R363">
        <f t="shared" si="28"/>
        <v>491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Data'!B362</f>
        <v>0</v>
      </c>
      <c r="Q364">
        <f t="shared" si="27"/>
        <v>0</v>
      </c>
      <c r="R364">
        <f t="shared" si="28"/>
        <v>491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Data'!B363</f>
        <v>0</v>
      </c>
      <c r="Q365">
        <f t="shared" si="27"/>
        <v>0</v>
      </c>
      <c r="R365">
        <f t="shared" si="28"/>
        <v>491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Data'!B364</f>
        <v>0</v>
      </c>
      <c r="Q366">
        <f t="shared" si="27"/>
        <v>0</v>
      </c>
      <c r="R366">
        <f t="shared" si="28"/>
        <v>491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Data'!B365</f>
        <v>0</v>
      </c>
      <c r="Q367">
        <f t="shared" si="27"/>
        <v>0</v>
      </c>
      <c r="R367">
        <f t="shared" si="28"/>
        <v>491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Data'!B366</f>
        <v>0</v>
      </c>
      <c r="Q368">
        <f t="shared" si="27"/>
        <v>0</v>
      </c>
      <c r="R368">
        <f t="shared" si="28"/>
        <v>491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Data'!B367</f>
        <v>0</v>
      </c>
      <c r="Q369">
        <f t="shared" si="27"/>
        <v>0</v>
      </c>
      <c r="R369">
        <f t="shared" si="28"/>
        <v>491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Data'!B368</f>
        <v>0</v>
      </c>
      <c r="Q370">
        <f t="shared" si="27"/>
        <v>0</v>
      </c>
      <c r="R370">
        <f t="shared" si="28"/>
        <v>491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Data'!B369</f>
        <v>0</v>
      </c>
      <c r="Q371">
        <f t="shared" si="27"/>
        <v>0</v>
      </c>
      <c r="R371">
        <f t="shared" si="28"/>
        <v>491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Data'!B370</f>
        <v>0</v>
      </c>
      <c r="Q372">
        <f t="shared" si="27"/>
        <v>0</v>
      </c>
      <c r="R372">
        <f t="shared" si="28"/>
        <v>491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Data'!B371</f>
        <v>0</v>
      </c>
      <c r="Q373">
        <f t="shared" si="27"/>
        <v>0</v>
      </c>
      <c r="R373">
        <f t="shared" si="28"/>
        <v>491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Data'!B372</f>
        <v>0</v>
      </c>
      <c r="Q374">
        <f t="shared" si="27"/>
        <v>0</v>
      </c>
      <c r="R374">
        <f t="shared" si="28"/>
        <v>491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Data'!B373</f>
        <v>0</v>
      </c>
      <c r="Q375">
        <f t="shared" si="27"/>
        <v>0</v>
      </c>
      <c r="R375">
        <f t="shared" si="28"/>
        <v>491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Data'!B374</f>
        <v>0</v>
      </c>
      <c r="Q376">
        <f t="shared" si="27"/>
        <v>0</v>
      </c>
      <c r="R376">
        <f t="shared" si="28"/>
        <v>491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Data'!B375</f>
        <v>0</v>
      </c>
      <c r="Q377">
        <f t="shared" si="27"/>
        <v>0</v>
      </c>
      <c r="R377">
        <f t="shared" si="28"/>
        <v>491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Data'!B376</f>
        <v>0</v>
      </c>
      <c r="Q378">
        <f t="shared" si="27"/>
        <v>0</v>
      </c>
      <c r="R378">
        <f t="shared" si="28"/>
        <v>491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Data'!B377</f>
        <v>0</v>
      </c>
      <c r="Q379">
        <f t="shared" si="27"/>
        <v>0</v>
      </c>
      <c r="R379">
        <f t="shared" si="28"/>
        <v>491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Data'!B378</f>
        <v>0</v>
      </c>
      <c r="Q380">
        <f t="shared" si="27"/>
        <v>0</v>
      </c>
      <c r="R380">
        <f t="shared" si="28"/>
        <v>491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Data'!B379</f>
        <v>0</v>
      </c>
      <c r="Q381">
        <f t="shared" si="27"/>
        <v>0</v>
      </c>
      <c r="R381">
        <f t="shared" si="28"/>
        <v>491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Data'!B380</f>
        <v>0</v>
      </c>
      <c r="Q382">
        <f t="shared" si="27"/>
        <v>0</v>
      </c>
      <c r="R382">
        <f t="shared" si="28"/>
        <v>491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Data'!B381</f>
        <v>0</v>
      </c>
      <c r="Q383">
        <f t="shared" si="27"/>
        <v>0</v>
      </c>
      <c r="R383">
        <f t="shared" si="28"/>
        <v>491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Data'!B382</f>
        <v>0</v>
      </c>
      <c r="Q384">
        <f t="shared" si="27"/>
        <v>0</v>
      </c>
      <c r="R384">
        <f t="shared" si="28"/>
        <v>491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Data'!B383</f>
        <v>0</v>
      </c>
      <c r="Q385">
        <f t="shared" si="27"/>
        <v>0</v>
      </c>
      <c r="R385">
        <f t="shared" si="28"/>
        <v>491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Data'!B384</f>
        <v>0</v>
      </c>
      <c r="Q386">
        <f t="shared" si="27"/>
        <v>0</v>
      </c>
      <c r="R386">
        <f t="shared" si="28"/>
        <v>491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491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Data'!B386</f>
        <v>0</v>
      </c>
      <c r="Q388">
        <f t="shared" si="32"/>
        <v>0</v>
      </c>
      <c r="R388">
        <f t="shared" si="33"/>
        <v>491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Data'!B387</f>
        <v>0</v>
      </c>
      <c r="Q389">
        <f t="shared" si="32"/>
        <v>0</v>
      </c>
      <c r="R389">
        <f t="shared" si="33"/>
        <v>491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Data'!B388</f>
        <v>0</v>
      </c>
      <c r="Q390">
        <f t="shared" si="32"/>
        <v>0</v>
      </c>
      <c r="R390">
        <f t="shared" si="33"/>
        <v>491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Data'!B389</f>
        <v>0</v>
      </c>
      <c r="Q391">
        <f t="shared" si="32"/>
        <v>0</v>
      </c>
      <c r="R391">
        <f t="shared" si="33"/>
        <v>491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Data'!B390</f>
        <v>0</v>
      </c>
      <c r="Q392">
        <f t="shared" si="32"/>
        <v>0</v>
      </c>
      <c r="R392">
        <f t="shared" si="33"/>
        <v>491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Data'!B391</f>
        <v>0</v>
      </c>
      <c r="Q393">
        <f t="shared" si="32"/>
        <v>0</v>
      </c>
      <c r="R393">
        <f t="shared" si="33"/>
        <v>491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Data'!B392</f>
        <v>0</v>
      </c>
      <c r="Q394">
        <f t="shared" si="32"/>
        <v>0</v>
      </c>
      <c r="R394">
        <f t="shared" si="33"/>
        <v>491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Data'!B393</f>
        <v>0</v>
      </c>
      <c r="Q395">
        <f t="shared" si="32"/>
        <v>0</v>
      </c>
      <c r="R395">
        <f t="shared" si="33"/>
        <v>491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Data'!B394</f>
        <v>0</v>
      </c>
      <c r="Q396">
        <f t="shared" si="32"/>
        <v>0</v>
      </c>
      <c r="R396">
        <f t="shared" si="33"/>
        <v>491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Data'!B395</f>
        <v>0</v>
      </c>
      <c r="Q397">
        <f t="shared" si="32"/>
        <v>0</v>
      </c>
      <c r="R397">
        <f t="shared" si="33"/>
        <v>491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Data'!B396</f>
        <v>0</v>
      </c>
      <c r="Q398">
        <f t="shared" si="32"/>
        <v>0</v>
      </c>
      <c r="R398">
        <f t="shared" si="33"/>
        <v>491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Data'!B397</f>
        <v>0</v>
      </c>
      <c r="Q399">
        <f t="shared" si="32"/>
        <v>0</v>
      </c>
      <c r="R399">
        <f t="shared" si="33"/>
        <v>491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Data'!B398</f>
        <v>0</v>
      </c>
      <c r="Q400">
        <f t="shared" si="32"/>
        <v>0</v>
      </c>
      <c r="R400">
        <f t="shared" si="33"/>
        <v>491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Data'!B399</f>
        <v>0</v>
      </c>
      <c r="Q401">
        <f t="shared" si="32"/>
        <v>0</v>
      </c>
      <c r="R401">
        <f t="shared" si="33"/>
        <v>491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Data'!B400</f>
        <v>0</v>
      </c>
      <c r="Q402">
        <f t="shared" si="32"/>
        <v>0</v>
      </c>
      <c r="R402">
        <f t="shared" si="33"/>
        <v>491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Data'!B401</f>
        <v>0</v>
      </c>
      <c r="Q403">
        <f t="shared" si="32"/>
        <v>0</v>
      </c>
      <c r="R403">
        <f t="shared" si="33"/>
        <v>491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Data'!B402</f>
        <v>0</v>
      </c>
      <c r="Q404">
        <f t="shared" si="32"/>
        <v>0</v>
      </c>
      <c r="R404">
        <f t="shared" si="33"/>
        <v>491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Data'!B403</f>
        <v>0</v>
      </c>
      <c r="Q405">
        <f t="shared" si="32"/>
        <v>0</v>
      </c>
      <c r="R405">
        <f t="shared" si="33"/>
        <v>491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Data'!B404</f>
        <v>0</v>
      </c>
      <c r="Q406">
        <f t="shared" si="32"/>
        <v>0</v>
      </c>
      <c r="R406">
        <f t="shared" si="33"/>
        <v>491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Data'!B405</f>
        <v>0</v>
      </c>
      <c r="Q407">
        <f t="shared" si="32"/>
        <v>0</v>
      </c>
      <c r="R407">
        <f t="shared" si="33"/>
        <v>491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Data'!B406</f>
        <v>0</v>
      </c>
      <c r="Q408">
        <f t="shared" si="32"/>
        <v>0</v>
      </c>
      <c r="R408">
        <f t="shared" si="33"/>
        <v>491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Data'!B407</f>
        <v>0</v>
      </c>
      <c r="Q409">
        <f t="shared" si="32"/>
        <v>0</v>
      </c>
      <c r="R409">
        <f t="shared" si="33"/>
        <v>491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Data'!B408</f>
        <v>0</v>
      </c>
      <c r="Q410">
        <f t="shared" si="32"/>
        <v>0</v>
      </c>
      <c r="R410">
        <f t="shared" si="33"/>
        <v>491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Data'!B409</f>
        <v>0</v>
      </c>
      <c r="Q411">
        <f t="shared" si="32"/>
        <v>0</v>
      </c>
      <c r="R411">
        <f t="shared" si="33"/>
        <v>491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Data'!B410</f>
        <v>0</v>
      </c>
      <c r="Q412">
        <f t="shared" si="32"/>
        <v>0</v>
      </c>
      <c r="R412">
        <f t="shared" si="33"/>
        <v>491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Data'!B411</f>
        <v>0</v>
      </c>
      <c r="Q413">
        <f t="shared" si="32"/>
        <v>0</v>
      </c>
      <c r="R413">
        <f t="shared" si="33"/>
        <v>491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Data'!B412</f>
        <v>0</v>
      </c>
      <c r="Q414">
        <f t="shared" si="32"/>
        <v>0</v>
      </c>
      <c r="R414">
        <f t="shared" si="33"/>
        <v>491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Data'!B413</f>
        <v>0</v>
      </c>
      <c r="Q415">
        <f t="shared" si="32"/>
        <v>0</v>
      </c>
      <c r="R415">
        <f t="shared" si="33"/>
        <v>491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Data'!B414</f>
        <v>0</v>
      </c>
      <c r="Q416">
        <f t="shared" si="32"/>
        <v>0</v>
      </c>
      <c r="R416">
        <f t="shared" si="33"/>
        <v>491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Data'!B415</f>
        <v>0</v>
      </c>
      <c r="Q417">
        <f t="shared" si="32"/>
        <v>0</v>
      </c>
      <c r="R417">
        <f t="shared" si="33"/>
        <v>491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Data'!B416</f>
        <v>0</v>
      </c>
      <c r="Q418">
        <f t="shared" si="32"/>
        <v>0</v>
      </c>
      <c r="R418">
        <f t="shared" si="33"/>
        <v>491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Data'!B417</f>
        <v>0</v>
      </c>
      <c r="Q419">
        <f t="shared" si="32"/>
        <v>0</v>
      </c>
      <c r="R419">
        <f t="shared" si="33"/>
        <v>491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Data'!B418</f>
        <v>0</v>
      </c>
      <c r="Q420">
        <f t="shared" si="32"/>
        <v>0</v>
      </c>
      <c r="R420">
        <f t="shared" si="33"/>
        <v>491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Data'!B419</f>
        <v>0</v>
      </c>
      <c r="Q421">
        <f t="shared" si="32"/>
        <v>0</v>
      </c>
      <c r="R421">
        <f t="shared" si="33"/>
        <v>491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Data'!B420</f>
        <v>0</v>
      </c>
      <c r="Q422">
        <f t="shared" si="32"/>
        <v>0</v>
      </c>
      <c r="R422">
        <f t="shared" si="33"/>
        <v>491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Data'!B421</f>
        <v>0</v>
      </c>
      <c r="Q423">
        <f t="shared" si="32"/>
        <v>0</v>
      </c>
      <c r="R423">
        <f t="shared" si="33"/>
        <v>491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Data'!B422</f>
        <v>0</v>
      </c>
      <c r="Q424">
        <f t="shared" si="32"/>
        <v>0</v>
      </c>
      <c r="R424">
        <f t="shared" si="33"/>
        <v>491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Data'!B423</f>
        <v>0</v>
      </c>
      <c r="Q425">
        <f t="shared" si="32"/>
        <v>0</v>
      </c>
      <c r="R425">
        <f t="shared" si="33"/>
        <v>491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Data'!B424</f>
        <v>0</v>
      </c>
      <c r="Q426">
        <f t="shared" si="32"/>
        <v>0</v>
      </c>
      <c r="R426">
        <f t="shared" si="33"/>
        <v>491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Data'!B425</f>
        <v>0</v>
      </c>
      <c r="Q427">
        <f t="shared" si="32"/>
        <v>0</v>
      </c>
      <c r="R427">
        <f t="shared" si="33"/>
        <v>491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Data'!B426</f>
        <v>0</v>
      </c>
      <c r="Q428">
        <f t="shared" si="32"/>
        <v>0</v>
      </c>
      <c r="R428">
        <f t="shared" si="33"/>
        <v>491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Data'!B427</f>
        <v>0</v>
      </c>
      <c r="Q429">
        <f t="shared" si="32"/>
        <v>0</v>
      </c>
      <c r="R429">
        <f t="shared" si="33"/>
        <v>491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Data'!B428</f>
        <v>0</v>
      </c>
      <c r="Q430">
        <f t="shared" si="32"/>
        <v>0</v>
      </c>
      <c r="R430">
        <f t="shared" si="33"/>
        <v>491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Data'!B429</f>
        <v>0</v>
      </c>
      <c r="Q431">
        <f t="shared" si="32"/>
        <v>0</v>
      </c>
      <c r="R431">
        <f t="shared" si="33"/>
        <v>491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Data'!B430</f>
        <v>0</v>
      </c>
      <c r="Q432">
        <f t="shared" si="32"/>
        <v>0</v>
      </c>
      <c r="R432">
        <f t="shared" si="33"/>
        <v>491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Data'!B431</f>
        <v>0</v>
      </c>
      <c r="Q433">
        <f t="shared" si="32"/>
        <v>0</v>
      </c>
      <c r="R433">
        <f t="shared" si="33"/>
        <v>491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Data'!B432</f>
        <v>0</v>
      </c>
      <c r="Q434">
        <f t="shared" si="32"/>
        <v>0</v>
      </c>
      <c r="R434">
        <f t="shared" si="33"/>
        <v>491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Data'!B433</f>
        <v>0</v>
      </c>
      <c r="Q435">
        <f t="shared" si="32"/>
        <v>0</v>
      </c>
      <c r="R435">
        <f t="shared" si="33"/>
        <v>491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Data'!B434</f>
        <v>0</v>
      </c>
      <c r="Q436">
        <f t="shared" si="32"/>
        <v>0</v>
      </c>
      <c r="R436">
        <f t="shared" si="33"/>
        <v>491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Data'!B435</f>
        <v>0</v>
      </c>
      <c r="Q437">
        <f t="shared" si="32"/>
        <v>0</v>
      </c>
      <c r="R437">
        <f t="shared" si="33"/>
        <v>491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Data'!B436</f>
        <v>0</v>
      </c>
      <c r="Q438">
        <f t="shared" si="32"/>
        <v>0</v>
      </c>
      <c r="R438">
        <f t="shared" si="33"/>
        <v>491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Data'!B437</f>
        <v>0</v>
      </c>
      <c r="Q439">
        <f t="shared" si="32"/>
        <v>0</v>
      </c>
      <c r="R439">
        <f t="shared" si="33"/>
        <v>491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Data'!B438</f>
        <v>0</v>
      </c>
      <c r="Q440">
        <f t="shared" si="32"/>
        <v>0</v>
      </c>
      <c r="R440">
        <f t="shared" si="33"/>
        <v>491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Data'!B439</f>
        <v>0</v>
      </c>
      <c r="Q441">
        <f t="shared" si="32"/>
        <v>0</v>
      </c>
      <c r="R441">
        <f t="shared" si="33"/>
        <v>491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Data'!B440</f>
        <v>0</v>
      </c>
      <c r="Q442">
        <f t="shared" si="32"/>
        <v>0</v>
      </c>
      <c r="R442">
        <f t="shared" si="33"/>
        <v>491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Data'!B441</f>
        <v>0</v>
      </c>
      <c r="Q443">
        <f t="shared" si="32"/>
        <v>0</v>
      </c>
      <c r="R443">
        <f t="shared" si="33"/>
        <v>491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Data'!B442</f>
        <v>0</v>
      </c>
      <c r="Q444">
        <f t="shared" si="32"/>
        <v>0</v>
      </c>
      <c r="R444">
        <f t="shared" si="33"/>
        <v>491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Data'!B443</f>
        <v>0</v>
      </c>
      <c r="Q445">
        <f t="shared" si="32"/>
        <v>0</v>
      </c>
      <c r="R445">
        <f t="shared" si="33"/>
        <v>491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Data'!B444</f>
        <v>0</v>
      </c>
      <c r="Q446">
        <f t="shared" si="32"/>
        <v>0</v>
      </c>
      <c r="R446">
        <f t="shared" si="33"/>
        <v>491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Data'!B445</f>
        <v>0</v>
      </c>
      <c r="Q447">
        <f t="shared" si="32"/>
        <v>0</v>
      </c>
      <c r="R447">
        <f t="shared" si="33"/>
        <v>491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Data'!B446</f>
        <v>0</v>
      </c>
      <c r="Q448">
        <f t="shared" si="32"/>
        <v>0</v>
      </c>
      <c r="R448">
        <f t="shared" si="33"/>
        <v>491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Data'!B447</f>
        <v>0</v>
      </c>
      <c r="Q449">
        <f t="shared" si="32"/>
        <v>0</v>
      </c>
      <c r="R449">
        <f t="shared" si="33"/>
        <v>491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Data'!B448</f>
        <v>0</v>
      </c>
      <c r="Q450">
        <f t="shared" si="32"/>
        <v>0</v>
      </c>
      <c r="R450">
        <f t="shared" si="33"/>
        <v>491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491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Data'!B450</f>
        <v>0</v>
      </c>
      <c r="Q452">
        <f t="shared" si="37"/>
        <v>0</v>
      </c>
      <c r="R452">
        <f t="shared" si="38"/>
        <v>491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Data'!B451</f>
        <v>0</v>
      </c>
      <c r="Q453">
        <f t="shared" si="37"/>
        <v>0</v>
      </c>
      <c r="R453">
        <f t="shared" si="38"/>
        <v>491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Data'!B452</f>
        <v>0</v>
      </c>
      <c r="Q454">
        <f t="shared" si="37"/>
        <v>0</v>
      </c>
      <c r="R454">
        <f t="shared" si="38"/>
        <v>491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Data'!B453</f>
        <v>0</v>
      </c>
      <c r="Q455">
        <f t="shared" si="37"/>
        <v>0</v>
      </c>
      <c r="R455">
        <f t="shared" si="38"/>
        <v>491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Data'!B454</f>
        <v>0</v>
      </c>
      <c r="Q456">
        <f t="shared" si="37"/>
        <v>0</v>
      </c>
      <c r="R456">
        <f t="shared" si="38"/>
        <v>491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Data'!B455</f>
        <v>0</v>
      </c>
      <c r="Q457">
        <f t="shared" si="37"/>
        <v>0</v>
      </c>
      <c r="R457">
        <f t="shared" si="38"/>
        <v>491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Data'!B456</f>
        <v>0</v>
      </c>
      <c r="Q458">
        <f t="shared" si="37"/>
        <v>0</v>
      </c>
      <c r="R458">
        <f t="shared" si="38"/>
        <v>491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Data'!B457</f>
        <v>0</v>
      </c>
      <c r="Q459">
        <f t="shared" si="37"/>
        <v>0</v>
      </c>
      <c r="R459">
        <f t="shared" si="38"/>
        <v>491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Data'!B458</f>
        <v>0</v>
      </c>
      <c r="Q460">
        <f t="shared" si="37"/>
        <v>0</v>
      </c>
      <c r="R460">
        <f t="shared" si="38"/>
        <v>491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Data'!B459</f>
        <v>0</v>
      </c>
      <c r="Q461">
        <f t="shared" si="37"/>
        <v>0</v>
      </c>
      <c r="R461">
        <f t="shared" si="38"/>
        <v>491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Data'!B460</f>
        <v>0</v>
      </c>
      <c r="Q462">
        <f t="shared" si="37"/>
        <v>0</v>
      </c>
      <c r="R462">
        <f t="shared" si="38"/>
        <v>491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Data'!B461</f>
        <v>0</v>
      </c>
      <c r="Q463">
        <f t="shared" si="37"/>
        <v>0</v>
      </c>
      <c r="R463">
        <f t="shared" si="38"/>
        <v>491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Data'!B462</f>
        <v>0</v>
      </c>
      <c r="Q464">
        <f t="shared" si="37"/>
        <v>0</v>
      </c>
      <c r="R464">
        <f t="shared" si="38"/>
        <v>491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Data'!B463</f>
        <v>0</v>
      </c>
      <c r="Q465">
        <f t="shared" si="37"/>
        <v>0</v>
      </c>
      <c r="R465">
        <f t="shared" si="38"/>
        <v>491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Data'!B464</f>
        <v>0</v>
      </c>
      <c r="Q466">
        <f t="shared" si="37"/>
        <v>0</v>
      </c>
      <c r="R466">
        <f t="shared" si="38"/>
        <v>491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Data'!B465</f>
        <v>0</v>
      </c>
      <c r="Q467">
        <f t="shared" si="37"/>
        <v>0</v>
      </c>
      <c r="R467">
        <f t="shared" si="38"/>
        <v>491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Data'!B466</f>
        <v>0</v>
      </c>
      <c r="Q468">
        <f t="shared" si="37"/>
        <v>0</v>
      </c>
      <c r="R468">
        <f t="shared" si="38"/>
        <v>491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Data'!B467</f>
        <v>0</v>
      </c>
      <c r="Q469">
        <f t="shared" si="37"/>
        <v>0</v>
      </c>
      <c r="R469">
        <f t="shared" si="38"/>
        <v>491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Data'!B468</f>
        <v>0</v>
      </c>
      <c r="Q470">
        <f t="shared" si="37"/>
        <v>0</v>
      </c>
      <c r="R470">
        <f t="shared" si="38"/>
        <v>491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Data'!B469</f>
        <v>0</v>
      </c>
      <c r="Q471">
        <f t="shared" si="37"/>
        <v>0</v>
      </c>
      <c r="R471">
        <f t="shared" si="38"/>
        <v>491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Data'!B470</f>
        <v>0</v>
      </c>
      <c r="Q472">
        <f t="shared" si="37"/>
        <v>0</v>
      </c>
      <c r="R472">
        <f t="shared" si="38"/>
        <v>491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Data'!B471</f>
        <v>0</v>
      </c>
      <c r="Q473">
        <f t="shared" si="37"/>
        <v>0</v>
      </c>
      <c r="R473">
        <f t="shared" si="38"/>
        <v>491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Data'!B472</f>
        <v>0</v>
      </c>
      <c r="Q474">
        <f t="shared" si="37"/>
        <v>0</v>
      </c>
      <c r="R474">
        <f t="shared" si="38"/>
        <v>491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Data'!B473</f>
        <v>0</v>
      </c>
      <c r="Q475">
        <f t="shared" si="37"/>
        <v>0</v>
      </c>
      <c r="R475">
        <f t="shared" si="38"/>
        <v>491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Data'!B474</f>
        <v>0</v>
      </c>
      <c r="Q476">
        <f t="shared" si="37"/>
        <v>0</v>
      </c>
      <c r="R476">
        <f t="shared" si="38"/>
        <v>491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Data'!B475</f>
        <v>0</v>
      </c>
      <c r="Q477">
        <f t="shared" si="37"/>
        <v>0</v>
      </c>
      <c r="R477">
        <f t="shared" si="38"/>
        <v>491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Data'!B476</f>
        <v>0</v>
      </c>
      <c r="Q478">
        <f t="shared" si="37"/>
        <v>0</v>
      </c>
      <c r="R478">
        <f t="shared" si="38"/>
        <v>491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Data'!B477</f>
        <v>0</v>
      </c>
      <c r="Q479">
        <f t="shared" si="37"/>
        <v>0</v>
      </c>
      <c r="R479">
        <f t="shared" si="38"/>
        <v>491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Data'!B478</f>
        <v>0</v>
      </c>
      <c r="Q480">
        <f t="shared" si="37"/>
        <v>0</v>
      </c>
      <c r="R480">
        <f t="shared" si="38"/>
        <v>491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Data'!B479</f>
        <v>0</v>
      </c>
      <c r="Q481">
        <f t="shared" si="37"/>
        <v>0</v>
      </c>
      <c r="R481">
        <f t="shared" si="38"/>
        <v>491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Data'!B480</f>
        <v>0</v>
      </c>
      <c r="Q482">
        <f t="shared" si="37"/>
        <v>0</v>
      </c>
      <c r="R482">
        <f t="shared" si="38"/>
        <v>491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Data'!B481</f>
        <v>0</v>
      </c>
      <c r="Q483">
        <f t="shared" si="37"/>
        <v>0</v>
      </c>
      <c r="R483">
        <f t="shared" si="38"/>
        <v>491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Data'!B482</f>
        <v>0</v>
      </c>
      <c r="Q484">
        <f t="shared" si="37"/>
        <v>0</v>
      </c>
      <c r="R484">
        <f t="shared" si="38"/>
        <v>491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Data'!B483</f>
        <v>0</v>
      </c>
      <c r="Q485">
        <f t="shared" si="37"/>
        <v>0</v>
      </c>
      <c r="R485">
        <f t="shared" si="38"/>
        <v>491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Data'!B484</f>
        <v>0</v>
      </c>
      <c r="Q486">
        <f t="shared" si="37"/>
        <v>0</v>
      </c>
      <c r="R486">
        <f t="shared" si="38"/>
        <v>491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Data'!B485</f>
        <v>0</v>
      </c>
      <c r="Q487">
        <f t="shared" si="37"/>
        <v>0</v>
      </c>
      <c r="R487">
        <f t="shared" si="38"/>
        <v>491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Data'!B486</f>
        <v>0</v>
      </c>
      <c r="Q488">
        <f t="shared" si="37"/>
        <v>0</v>
      </c>
      <c r="R488">
        <f t="shared" si="38"/>
        <v>491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Data'!B487</f>
        <v>0</v>
      </c>
      <c r="Q489">
        <f t="shared" si="37"/>
        <v>0</v>
      </c>
      <c r="R489">
        <f t="shared" si="38"/>
        <v>491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Data'!B488</f>
        <v>0</v>
      </c>
      <c r="Q490">
        <f t="shared" si="37"/>
        <v>0</v>
      </c>
      <c r="R490">
        <f t="shared" si="38"/>
        <v>491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Data'!B489</f>
        <v>0</v>
      </c>
      <c r="Q491">
        <f t="shared" si="37"/>
        <v>0</v>
      </c>
      <c r="R491">
        <f t="shared" si="38"/>
        <v>491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Data'!B490</f>
        <v>0</v>
      </c>
      <c r="Q492">
        <f t="shared" si="37"/>
        <v>0</v>
      </c>
      <c r="R492">
        <f t="shared" si="38"/>
        <v>491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Data'!B491</f>
        <v>0</v>
      </c>
      <c r="Q493">
        <f t="shared" si="37"/>
        <v>0</v>
      </c>
      <c r="R493">
        <f t="shared" si="38"/>
        <v>491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Data'!B492</f>
        <v>0</v>
      </c>
      <c r="Q494">
        <f t="shared" si="37"/>
        <v>0</v>
      </c>
      <c r="R494">
        <f t="shared" si="38"/>
        <v>491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Data'!B493</f>
        <v>0</v>
      </c>
      <c r="Q495">
        <f t="shared" si="37"/>
        <v>0</v>
      </c>
      <c r="R495">
        <f t="shared" si="38"/>
        <v>491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Data'!B494</f>
        <v>0</v>
      </c>
      <c r="Q496">
        <f t="shared" si="37"/>
        <v>0</v>
      </c>
      <c r="R496">
        <f t="shared" si="38"/>
        <v>491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Data'!B495</f>
        <v>0</v>
      </c>
      <c r="Q497">
        <f t="shared" si="37"/>
        <v>0</v>
      </c>
      <c r="R497">
        <f t="shared" si="38"/>
        <v>491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Data'!B496</f>
        <v>0</v>
      </c>
      <c r="Q498">
        <f t="shared" si="37"/>
        <v>0</v>
      </c>
      <c r="R498">
        <f t="shared" si="38"/>
        <v>491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Data'!B497</f>
        <v>0</v>
      </c>
      <c r="Q499">
        <f t="shared" si="37"/>
        <v>0</v>
      </c>
      <c r="R499">
        <f t="shared" si="38"/>
        <v>491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Data'!B498</f>
        <v>0</v>
      </c>
      <c r="Q500">
        <f t="shared" si="37"/>
        <v>0</v>
      </c>
      <c r="R500">
        <f t="shared" si="38"/>
        <v>491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2" priority="2">
      <formula>AND($B5&lt;&gt;"",MOD(ROW(),2)=0)</formula>
    </cfRule>
  </conditionalFormatting>
  <conditionalFormatting sqref="A3:H3 K3:M3 A4:M4 M4:M71 B5:M8 A9:M500">
    <cfRule type="expression" dxfId="11" priority="12">
      <formula>AND($A3&lt;&gt;"",$G3="Yes")</formula>
    </cfRule>
    <cfRule type="expression" dxfId="10" priority="13">
      <formula>AND($A3&lt;&gt;"",$J3&lt;&gt;"")</formula>
    </cfRule>
    <cfRule type="expression" dxfId="9" priority="14">
      <formula>$A3&lt;&gt;""</formula>
    </cfRule>
  </conditionalFormatting>
  <conditionalFormatting sqref="C3:C200">
    <cfRule type="expression" dxfId="8" priority="15">
      <formula>$A3=""</formula>
    </cfRule>
  </conditionalFormatting>
  <conditionalFormatting sqref="G3:G200">
    <cfRule type="expression" dxfId="7" priority="16">
      <formula>$A3=""</formula>
    </cfRule>
  </conditionalFormatting>
  <conditionalFormatting sqref="K3:M3 A4:M4 M4:M71 B5:M8 A9:M500 A3:H3">
    <cfRule type="expression" dxfId="6" priority="11">
      <formula>AND($A3&lt;&gt;"",$G3="Did not pass re-test")</formula>
    </cfRule>
  </conditionalFormatting>
  <conditionalFormatting sqref="M3:M500">
    <cfRule type="expression" dxfId="5" priority="5">
      <formula>ISNUMBER(SEARCH("Sent back again",$M3))</formula>
    </cfRule>
    <cfRule type="expression" dxfId="4" priority="6">
      <formula>ISNUMBER(SEARCH("LATE",$M3))</formula>
    </cfRule>
    <cfRule type="expression" dxfId="3" priority="7">
      <formula>ISNUMBER(SEARCH("UNCLAIMED",$M3))</formula>
    </cfRule>
    <cfRule type="expression" dxfId="2" priority="8">
      <formula>ISNUMBER(SEARCH("Missing",$M3))</formula>
    </cfRule>
    <cfRule type="expression" dxfId="1" priority="9">
      <formula>ISNUMBER(SEARCH("Fixed in",$M3))</formula>
    </cfRule>
    <cfRule type="expression" dxfId="0" priority="10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A9:A500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5" t="s">
        <v>227</v>
      </c>
      <c r="B1" s="80"/>
      <c r="C1" s="80"/>
      <c r="D1" s="80"/>
      <c r="E1" s="80"/>
      <c r="F1" s="80"/>
      <c r="G1" s="80"/>
      <c r="H1" s="80"/>
      <c r="I1" s="80"/>
      <c r="J1" s="80"/>
    </row>
    <row r="2" spans="1:10" ht="27" customHeight="1">
      <c r="A2" s="8" t="s">
        <v>0</v>
      </c>
      <c r="B2" s="8" t="s">
        <v>228</v>
      </c>
      <c r="C2" s="8" t="s">
        <v>1</v>
      </c>
      <c r="D2" s="8" t="s">
        <v>229</v>
      </c>
      <c r="E2" s="8" t="s">
        <v>230</v>
      </c>
      <c r="F2" s="8" t="s">
        <v>6</v>
      </c>
      <c r="G2" s="8" t="s">
        <v>5</v>
      </c>
      <c r="H2" s="8" t="s">
        <v>231</v>
      </c>
      <c r="I2" s="8" t="s">
        <v>232</v>
      </c>
      <c r="J2" s="8" t="s">
        <v>233</v>
      </c>
    </row>
    <row r="3" spans="1:10" ht="14.25" customHeight="1">
      <c r="A3" s="9" t="s">
        <v>34</v>
      </c>
      <c r="B3" s="9" t="s">
        <v>154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125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120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154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125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120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154</v>
      </c>
      <c r="C13" s="9" t="s">
        <v>234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125</v>
      </c>
      <c r="C14" s="9" t="s">
        <v>234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120</v>
      </c>
      <c r="C15" s="9" t="s">
        <v>234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234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234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154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125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120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154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125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120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154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125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120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154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125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120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154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125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120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154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125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120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154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125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120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154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125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120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154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125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120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154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125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120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154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125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120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154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125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120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154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125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120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154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125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120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154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125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120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154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125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120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154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125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120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154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125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120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154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125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120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154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125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120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154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125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120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154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125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120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154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125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120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154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125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120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154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125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120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154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125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120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154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125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120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154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125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120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154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125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120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154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125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120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154</v>
      </c>
      <c r="C156" s="9" t="s">
        <v>129</v>
      </c>
      <c r="D156" s="9" t="s">
        <v>76</v>
      </c>
      <c r="E156" s="9" t="s">
        <v>52</v>
      </c>
      <c r="F156" s="9"/>
      <c r="G156" s="9" t="s">
        <v>130</v>
      </c>
      <c r="H156" s="9"/>
      <c r="I156" s="9"/>
      <c r="J156" s="9"/>
    </row>
    <row r="157" spans="1:10">
      <c r="A157" s="3" t="s">
        <v>112</v>
      </c>
      <c r="B157" s="3" t="s">
        <v>154</v>
      </c>
      <c r="C157" s="3" t="s">
        <v>132</v>
      </c>
      <c r="D157" s="3" t="s">
        <v>105</v>
      </c>
      <c r="E157" s="3" t="s">
        <v>39</v>
      </c>
      <c r="F157" s="3"/>
      <c r="G157" s="3" t="s">
        <v>130</v>
      </c>
      <c r="H157" s="3"/>
      <c r="I157" s="3"/>
      <c r="J157" s="3"/>
    </row>
    <row r="158" spans="1:10">
      <c r="A158" s="3" t="s">
        <v>112</v>
      </c>
      <c r="B158" s="3" t="s">
        <v>154</v>
      </c>
      <c r="C158" s="3" t="s">
        <v>134</v>
      </c>
      <c r="D158" s="3" t="s">
        <v>105</v>
      </c>
      <c r="E158" s="3" t="s">
        <v>39</v>
      </c>
      <c r="F158" s="3"/>
      <c r="G158" s="3" t="s">
        <v>130</v>
      </c>
      <c r="H158" s="3"/>
      <c r="I158" s="3"/>
      <c r="J158" s="3"/>
    </row>
    <row r="159" spans="1:10">
      <c r="A159" s="3" t="s">
        <v>112</v>
      </c>
      <c r="B159" s="3" t="s">
        <v>125</v>
      </c>
      <c r="C159" s="3" t="s">
        <v>134</v>
      </c>
      <c r="D159" s="3" t="s">
        <v>105</v>
      </c>
      <c r="E159" s="3" t="s">
        <v>39</v>
      </c>
      <c r="F159" s="3"/>
      <c r="G159" s="3" t="s">
        <v>130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120</v>
      </c>
      <c r="C160" s="3" t="s">
        <v>134</v>
      </c>
      <c r="D160" s="3" t="s">
        <v>105</v>
      </c>
      <c r="E160" s="3" t="s">
        <v>39</v>
      </c>
      <c r="F160" s="3"/>
      <c r="G160" s="3" t="s">
        <v>130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154</v>
      </c>
      <c r="C161" s="3" t="s">
        <v>135</v>
      </c>
      <c r="D161" s="3" t="s">
        <v>76</v>
      </c>
      <c r="E161" s="3" t="s">
        <v>52</v>
      </c>
      <c r="F161" s="3"/>
      <c r="G161" s="3" t="s">
        <v>130</v>
      </c>
      <c r="H161" s="3"/>
      <c r="I161" s="3"/>
      <c r="J161" s="3"/>
    </row>
    <row r="162" spans="1:10">
      <c r="A162" s="3" t="s">
        <v>112</v>
      </c>
      <c r="B162" s="3" t="s">
        <v>125</v>
      </c>
      <c r="C162" s="3" t="s">
        <v>135</v>
      </c>
      <c r="D162" s="3" t="s">
        <v>76</v>
      </c>
      <c r="E162" s="3" t="s">
        <v>52</v>
      </c>
      <c r="F162" s="3"/>
      <c r="G162" s="3" t="s">
        <v>130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120</v>
      </c>
      <c r="C163" s="3" t="s">
        <v>135</v>
      </c>
      <c r="D163" s="3" t="s">
        <v>76</v>
      </c>
      <c r="E163" s="3" t="s">
        <v>52</v>
      </c>
      <c r="F163" s="3"/>
      <c r="G163" s="3" t="s">
        <v>130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154</v>
      </c>
      <c r="C164" s="3" t="s">
        <v>137</v>
      </c>
      <c r="D164" s="3" t="s">
        <v>139</v>
      </c>
      <c r="E164" s="3" t="s">
        <v>52</v>
      </c>
      <c r="F164" s="3"/>
      <c r="G164" s="3" t="s">
        <v>130</v>
      </c>
      <c r="H164" s="3"/>
      <c r="I164" s="3"/>
      <c r="J164" s="3"/>
    </row>
    <row r="165" spans="1:10">
      <c r="A165" s="3" t="s">
        <v>112</v>
      </c>
      <c r="B165" s="3" t="s">
        <v>125</v>
      </c>
      <c r="C165" s="3" t="s">
        <v>137</v>
      </c>
      <c r="D165" s="3" t="s">
        <v>139</v>
      </c>
      <c r="E165" s="3" t="s">
        <v>52</v>
      </c>
      <c r="F165" s="3"/>
      <c r="G165" s="3" t="s">
        <v>130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120</v>
      </c>
      <c r="C166" s="3" t="s">
        <v>137</v>
      </c>
      <c r="D166" s="3" t="s">
        <v>139</v>
      </c>
      <c r="E166" s="3" t="s">
        <v>52</v>
      </c>
      <c r="F166" s="3"/>
      <c r="G166" s="3" t="s">
        <v>130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154</v>
      </c>
      <c r="C167" s="3" t="s">
        <v>140</v>
      </c>
      <c r="D167" s="3" t="s">
        <v>139</v>
      </c>
      <c r="E167" s="3" t="s">
        <v>69</v>
      </c>
      <c r="F167" s="3"/>
      <c r="G167" s="3" t="s">
        <v>130</v>
      </c>
      <c r="H167" s="3"/>
      <c r="I167" s="3"/>
      <c r="J167" s="3"/>
    </row>
    <row r="168" spans="1:10">
      <c r="A168" s="3" t="s">
        <v>112</v>
      </c>
      <c r="B168" s="3" t="s">
        <v>125</v>
      </c>
      <c r="C168" s="3" t="s">
        <v>140</v>
      </c>
      <c r="D168" s="3" t="s">
        <v>139</v>
      </c>
      <c r="E168" s="3" t="s">
        <v>69</v>
      </c>
      <c r="F168" s="3"/>
      <c r="G168" s="3" t="s">
        <v>130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120</v>
      </c>
      <c r="C169" s="3" t="s">
        <v>140</v>
      </c>
      <c r="D169" s="3" t="s">
        <v>139</v>
      </c>
      <c r="E169" s="3" t="s">
        <v>69</v>
      </c>
      <c r="F169" s="3"/>
      <c r="G169" s="3" t="s">
        <v>130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154</v>
      </c>
      <c r="C170" s="3" t="s">
        <v>142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125</v>
      </c>
      <c r="C171" s="3" t="s">
        <v>142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120</v>
      </c>
      <c r="C172" s="3" t="s">
        <v>142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154</v>
      </c>
      <c r="C173" s="3" t="s">
        <v>145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125</v>
      </c>
      <c r="C174" s="3" t="s">
        <v>145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120</v>
      </c>
      <c r="C175" s="3" t="s">
        <v>145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154</v>
      </c>
      <c r="C176" s="3" t="s">
        <v>147</v>
      </c>
      <c r="D176" s="3" t="s">
        <v>68</v>
      </c>
      <c r="E176" s="3" t="s">
        <v>69</v>
      </c>
      <c r="F176" s="3"/>
      <c r="G176" s="3" t="s">
        <v>130</v>
      </c>
      <c r="H176" s="3"/>
      <c r="I176" s="3"/>
      <c r="J176" s="3"/>
    </row>
    <row r="177" spans="1:10">
      <c r="A177" s="3" t="s">
        <v>112</v>
      </c>
      <c r="B177" s="3" t="s">
        <v>125</v>
      </c>
      <c r="C177" s="3" t="s">
        <v>147</v>
      </c>
      <c r="D177" s="3" t="s">
        <v>68</v>
      </c>
      <c r="E177" s="3" t="s">
        <v>69</v>
      </c>
      <c r="F177" s="3"/>
      <c r="G177" s="3" t="s">
        <v>130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120</v>
      </c>
      <c r="C178" s="3" t="s">
        <v>147</v>
      </c>
      <c r="D178" s="3" t="s">
        <v>68</v>
      </c>
      <c r="E178" s="3" t="s">
        <v>69</v>
      </c>
      <c r="F178" s="3"/>
      <c r="G178" s="3" t="s">
        <v>130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154</v>
      </c>
      <c r="C179" s="3" t="s">
        <v>149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125</v>
      </c>
      <c r="C180" s="3" t="s">
        <v>149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120</v>
      </c>
      <c r="C181" s="3" t="s">
        <v>149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154</v>
      </c>
      <c r="C182" s="3" t="s">
        <v>156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125</v>
      </c>
      <c r="C183" s="3" t="s">
        <v>156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120</v>
      </c>
      <c r="C184" s="3" t="s">
        <v>156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6" t="s">
        <v>235</v>
      </c>
      <c r="B1" s="80"/>
      <c r="C1" s="80"/>
    </row>
    <row r="2" spans="1:3" ht="14.25" customHeight="1">
      <c r="A2" s="8" t="s">
        <v>0</v>
      </c>
      <c r="B2" s="8" t="s">
        <v>236</v>
      </c>
      <c r="C2" s="8" t="s">
        <v>232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237</v>
      </c>
      <c r="B11" s="11">
        <v>18</v>
      </c>
      <c r="C11" s="12">
        <v>46386</v>
      </c>
    </row>
    <row r="12" spans="1:3" ht="14.25" customHeight="1">
      <c r="A12" s="11" t="s">
        <v>237</v>
      </c>
      <c r="B12" s="11">
        <v>18</v>
      </c>
      <c r="C12" s="12">
        <v>46417</v>
      </c>
    </row>
    <row r="13" spans="1:3" ht="14.25" customHeight="1">
      <c r="A13" s="11" t="s">
        <v>237</v>
      </c>
      <c r="B13" s="11">
        <v>19</v>
      </c>
      <c r="C13" s="12">
        <v>46446</v>
      </c>
    </row>
    <row r="14" spans="1:3" ht="14.25" customHeight="1">
      <c r="A14" s="11" t="s">
        <v>238</v>
      </c>
      <c r="B14" s="11">
        <v>9</v>
      </c>
      <c r="C14" s="12">
        <v>46476</v>
      </c>
    </row>
    <row r="15" spans="1:3" ht="14.25" customHeight="1">
      <c r="A15" s="11" t="s">
        <v>239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240</v>
      </c>
      <c r="F1" s="1" t="s">
        <v>2</v>
      </c>
      <c r="G1" s="5" t="s">
        <v>241</v>
      </c>
      <c r="H1" s="5" t="s">
        <v>19</v>
      </c>
      <c r="I1" t="s">
        <v>31</v>
      </c>
      <c r="J1" s="5" t="s">
        <v>242</v>
      </c>
      <c r="K1" s="5" t="s">
        <v>114</v>
      </c>
      <c r="L1" s="5" t="s">
        <v>210</v>
      </c>
      <c r="M1" s="1" t="s">
        <v>243</v>
      </c>
      <c r="N1" s="1" t="s">
        <v>244</v>
      </c>
    </row>
    <row r="2" spans="1:14" ht="13.5" customHeight="1">
      <c r="A2" s="2" t="s">
        <v>245</v>
      </c>
      <c r="B2" s="2" t="s">
        <v>246</v>
      </c>
      <c r="C2" s="2" t="s">
        <v>247</v>
      </c>
      <c r="D2" s="2" t="s">
        <v>248</v>
      </c>
      <c r="E2" s="2" t="s">
        <v>249</v>
      </c>
      <c r="F2" s="2" t="s">
        <v>250</v>
      </c>
      <c r="G2" t="s">
        <v>251</v>
      </c>
      <c r="H2" t="s">
        <v>252</v>
      </c>
      <c r="I2" t="s">
        <v>253</v>
      </c>
      <c r="J2" s="29" t="s">
        <v>254</v>
      </c>
      <c r="K2" s="29" t="s">
        <v>255</v>
      </c>
      <c r="L2" s="29" t="s">
        <v>256</v>
      </c>
      <c r="M2" t="s">
        <v>130</v>
      </c>
      <c r="N2" s="45" t="s">
        <v>257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168</v>
      </c>
      <c r="G3" t="s">
        <v>38</v>
      </c>
      <c r="H3" t="s">
        <v>40</v>
      </c>
      <c r="I3" t="s">
        <v>45</v>
      </c>
      <c r="J3" t="s">
        <v>154</v>
      </c>
      <c r="K3" t="s">
        <v>41</v>
      </c>
      <c r="L3" t="s">
        <v>45</v>
      </c>
      <c r="M3" t="s">
        <v>38</v>
      </c>
      <c r="N3" s="45" t="s">
        <v>258</v>
      </c>
    </row>
    <row r="4" spans="1:14" ht="15" customHeight="1">
      <c r="A4" t="s">
        <v>112</v>
      </c>
      <c r="B4" t="s">
        <v>51</v>
      </c>
      <c r="C4" t="s">
        <v>39</v>
      </c>
      <c r="D4" t="s">
        <v>130</v>
      </c>
      <c r="E4" t="s">
        <v>45</v>
      </c>
      <c r="F4" t="s">
        <v>154</v>
      </c>
      <c r="G4" t="s">
        <v>51</v>
      </c>
      <c r="H4" t="s">
        <v>80</v>
      </c>
      <c r="I4" t="s">
        <v>259</v>
      </c>
      <c r="J4" t="s">
        <v>125</v>
      </c>
      <c r="L4" t="s">
        <v>42</v>
      </c>
      <c r="M4" t="s">
        <v>94</v>
      </c>
      <c r="N4" s="45" t="s">
        <v>258</v>
      </c>
    </row>
    <row r="5" spans="1:14" ht="15" customHeight="1">
      <c r="A5" t="s">
        <v>237</v>
      </c>
      <c r="B5" t="s">
        <v>57</v>
      </c>
      <c r="C5" t="s">
        <v>69</v>
      </c>
      <c r="F5" t="s">
        <v>125</v>
      </c>
      <c r="G5" t="s">
        <v>57</v>
      </c>
      <c r="H5" t="s">
        <v>115</v>
      </c>
      <c r="I5" t="s">
        <v>260</v>
      </c>
      <c r="J5" t="s">
        <v>120</v>
      </c>
      <c r="L5" t="s">
        <v>261</v>
      </c>
      <c r="M5" t="s">
        <v>80</v>
      </c>
      <c r="N5" s="45" t="s">
        <v>258</v>
      </c>
    </row>
    <row r="6" spans="1:14" ht="15" customHeight="1">
      <c r="A6" t="s">
        <v>238</v>
      </c>
      <c r="B6" t="s">
        <v>76</v>
      </c>
      <c r="F6" t="s">
        <v>120</v>
      </c>
      <c r="G6" t="s">
        <v>76</v>
      </c>
      <c r="H6" t="s">
        <v>130</v>
      </c>
      <c r="I6" t="s">
        <v>262</v>
      </c>
      <c r="J6" t="s">
        <v>114</v>
      </c>
      <c r="M6" t="s">
        <v>41</v>
      </c>
      <c r="N6" s="45" t="s">
        <v>258</v>
      </c>
    </row>
    <row r="7" spans="1:14" ht="15" customHeight="1">
      <c r="A7" t="s">
        <v>239</v>
      </c>
      <c r="B7" t="s">
        <v>105</v>
      </c>
      <c r="F7" t="s">
        <v>114</v>
      </c>
      <c r="G7" t="s">
        <v>105</v>
      </c>
      <c r="I7" t="s">
        <v>263</v>
      </c>
      <c r="M7" t="s">
        <v>115</v>
      </c>
      <c r="N7" s="45" t="s">
        <v>258</v>
      </c>
    </row>
    <row r="8" spans="1:14" ht="15" customHeight="1">
      <c r="B8" t="s">
        <v>68</v>
      </c>
      <c r="F8" t="s">
        <v>36</v>
      </c>
      <c r="G8" t="s">
        <v>68</v>
      </c>
      <c r="I8" t="s">
        <v>264</v>
      </c>
      <c r="M8" t="s">
        <v>52</v>
      </c>
      <c r="N8" s="45" t="s">
        <v>258</v>
      </c>
    </row>
    <row r="9" spans="1:14" ht="15" customHeight="1">
      <c r="B9" t="s">
        <v>94</v>
      </c>
      <c r="G9" t="s">
        <v>94</v>
      </c>
      <c r="I9" t="s">
        <v>265</v>
      </c>
      <c r="M9" t="s">
        <v>139</v>
      </c>
      <c r="N9" s="45" t="s">
        <v>258</v>
      </c>
    </row>
    <row r="10" spans="1:14" ht="15" customHeight="1">
      <c r="B10" t="s">
        <v>139</v>
      </c>
      <c r="G10" t="s">
        <v>139</v>
      </c>
      <c r="M10" t="s">
        <v>40</v>
      </c>
      <c r="N10" s="45" t="s">
        <v>258</v>
      </c>
    </row>
    <row r="11" spans="1:14">
      <c r="B11" t="s">
        <v>266</v>
      </c>
      <c r="G11" t="s">
        <v>52</v>
      </c>
      <c r="M11" t="s">
        <v>68</v>
      </c>
      <c r="N11" s="45" t="s">
        <v>258</v>
      </c>
    </row>
    <row r="12" spans="1:14">
      <c r="B12" t="s">
        <v>267</v>
      </c>
      <c r="G12" t="s">
        <v>39</v>
      </c>
      <c r="M12" t="s">
        <v>39</v>
      </c>
      <c r="N12" s="45" t="s">
        <v>258</v>
      </c>
    </row>
    <row r="13" spans="1:14">
      <c r="G13" t="s">
        <v>69</v>
      </c>
      <c r="M13" t="s">
        <v>69</v>
      </c>
      <c r="N13" s="45" t="s">
        <v>258</v>
      </c>
    </row>
    <row r="14" spans="1:14">
      <c r="M14" t="s">
        <v>76</v>
      </c>
      <c r="N14" s="45" t="s">
        <v>268</v>
      </c>
    </row>
    <row r="15" spans="1:14">
      <c r="M15" t="s">
        <v>51</v>
      </c>
      <c r="N15" s="45" t="s">
        <v>258</v>
      </c>
    </row>
    <row r="16" spans="1:14">
      <c r="M16" t="s">
        <v>105</v>
      </c>
      <c r="N16" s="45" t="s">
        <v>258</v>
      </c>
    </row>
    <row r="17" spans="13:14">
      <c r="M17" t="s">
        <v>57</v>
      </c>
      <c r="N17" s="45" t="s">
        <v>258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Rupa Koduru</cp:lastModifiedBy>
  <cp:revision>0</cp:revision>
  <dcterms:created xsi:type="dcterms:W3CDTF">2026-07-21T14:32:59Z</dcterms:created>
  <dcterms:modified xsi:type="dcterms:W3CDTF">2026-08-19T15:50:58Z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