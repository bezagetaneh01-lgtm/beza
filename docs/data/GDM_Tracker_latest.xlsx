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78" documentId="13_ncr:1_{52745E9B-3AA1-4770-AAD3-E6166BFC13AE}" xr6:coauthVersionLast="47" xr6:coauthVersionMax="47" xr10:uidLastSave="{BDFA4F85-3C00-4C72-BEB2-6D12BD183D22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0" i="2" l="1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<sst xmlns="http://schemas.openxmlformats.org/spreadsheetml/2006/main" count="3023" uniqueCount="429">
  <si>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</si>
  <si>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</si>
  <si>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</si>
  <si>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</si>
  <si>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</si>
  <si>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</si>
  <si>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</si>
  <si>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</si>
  <si>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</si>
  <si>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</si>
  <si>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</si>
  <si>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</si>
  <si>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</si>
  <si>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</si>
  <si>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</si>
  <si>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</si>
  <si>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</si>
  <si>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</si>
  <si>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</si>
  <si>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</si>
  <si>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</si>
  <si>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</si>
  <si>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</si>
  <si>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</si>
  <si>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</si>
  <si>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</si>
  <si>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</si>
  <si>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</si>
  <si>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</si>
  <si>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</si>
  <si>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</si>
  <si>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</si>
  <si>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</si>
  <si>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</si>
  <si>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</si>
  <si>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</si>
  <si>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</si>
  <si>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</si>
  <si>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</si>
  <si>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</si>
  <si>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</si>
  <si>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</si>
  <si>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</si>
  <si>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</si>
  <si>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</si>
  <si>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</si>
  <si>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</si>
  <si>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</si>
  <si>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</si>
  <si>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</si>
  <si>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</si>
  <si>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</si>
  <si>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</si>
  <si>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</si>
  <si>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</si>
  <si>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</si>
  <si>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</si>
  <si>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</si>
  <si>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</si>
  <si>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</si>
  <si>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</si>
  <si>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</si>
  <si>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</si>
  <si>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</si>
  <si>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</si>
  <si>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</si>
  <si>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</si>
  <si>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</si>
  <si>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</si>
  <si>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</si>
  <si>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</si>
  <si>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</si>
  <si>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</si>
  <si>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</si>
  <si>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</si>
  <si>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</si>
  <si>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</si>
  <si>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</si>
  <si>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</si>
  <si>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</si>
  <si>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</si>
  <si>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</si>
  <si>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</si>
  <si>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</si>
  <si>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</si>
  <si>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</si>
  <si>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</si>
  <si>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</si>
  <si>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</si>
  <si>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</si>
  <si>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</si>
  <si>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</si>
  <si>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</si>
  <si>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</si>
  <si>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</si>
  <si>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</si>
  <si>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</si>
  <si>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</si>
  <si>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</si>
  <si>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</si>
  <si>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</si>
  <si>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</si>
  <si>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</si>
  <si>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</si>
  <si>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</si>
  <si>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</si>
  <si>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</si>
  <si>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</si>
  <si>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</si>
  <si>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</si>
  <si>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</si>
  <si>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</si>
  <si>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</si>
  <si>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</si>
  <si>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</si>
  <si>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</si>
  <si>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</si>
  <si>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</si>
  <si>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</si>
  <si>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</si>
  <si>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</si>
  <si>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</si>
  <si>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</si>
  <si>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</si>
  <si>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</si>
  <si>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</si>
  <si>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</si>
  <si>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</si>
  <si>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</si>
  <si>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</si>
  <si>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</si>
  <si>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</si>
  <si>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</si>
  <si>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</si>
  <si>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</si>
  <si>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</si>
  <si>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</si>
  <si>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</si>
  <si>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</si>
  <si>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</si>
  <si>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</si>
  <si>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</si>
  <si>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</si>
  <si>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</si>
  <si>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</si>
  <si>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</si>
  <si>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</si>
  <si>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</si>
  <si>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</si>
  <si>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</si>
  <si>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</si>
  <si>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</si>
  <si>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</si>
  <si>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</si>
  <si>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</si>
  <si>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</si>
  <si>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</si>
  <si>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</si>
  <si>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</si>
  <si>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</si>
  <si>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</si>
  <si>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</si>
  <si>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</si>
  <si>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</si>
  <si>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</si>
  <si>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</si>
  <si>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</si>
  <si>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</si>
  <si>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</si>
  <si>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</si>
  <si>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</si>
  <si>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</si>
  <si>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</si>
  <si>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</si>
  <si>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</si>
  <si>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</si>
  <si>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</si>
  <si>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</si>
  <si>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</si>
  <si>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</si>
  <si>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</si>
  <si>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</si>
  <si>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</si>
  <si>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</si>
  <si>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</si>
  <si>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</si>
  <si>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</si>
  <si>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</si>
  <si>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</si>
  <si>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</si>
  <si>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</si>
  <si>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</si>
  <si>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</si>
  <si>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</si>
  <si>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</si>
  <si>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</si>
  <si>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</si>
  <si>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</si>
  <si>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</si>
  <si>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</si>
  <si>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</si>
  <si>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</si>
  <si>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</si>
  <si>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</si>
  <si>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</si>
  <si>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</si>
  <si>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</si>
  <si>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</si>
  <si>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</si>
  <si>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</si>
  <si>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</si>
  <si>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</si>
  <si>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</si>
  <si>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</si>
  <si>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</si>
  <si>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</si>
  <si>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</si>
  <si>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</si>
  <si>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</si>
  <si>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</si>
  <si>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</si>
  <si>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</si>
  <si>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</si>
  <si>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</si>
  <si>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</si>
  <si>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</si>
  <si>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</si>
  <si>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</si>
  <si>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</si>
  <si>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</si>
  <si>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</si>
  <si>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</si>
  <si>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</si>
  <si>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</si>
  <si>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</si>
  <si>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</si>
  <si>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</si>
  <si>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</si>
  <si>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</si>
  <si>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</si>
  <si>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</si>
  <si>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</si>
  <si>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</si>
  <si>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</si>
  <si>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</si>
  <si>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</si>
  <si>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</si>
  <si>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</si>
  <si>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</si>
  <si>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</si>
  <si>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</si>
  <si>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</si>
  <si>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</si>
  <si>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</si>
  <si>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</si>
  <si>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</si>
  <si>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</si>
  <si>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</si>
  <si>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</si>
  <si>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</si>
  <si>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</si>
  <si>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</si>
  <si>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</si>
  <si>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</si>
  <si>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</si>
  <si>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</si>
  <si>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</si>
  <si>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</si>
  <si>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</si>
  <si>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</si>
  <si>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</si>
  <si>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</si>
  <si>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</si>
  <si>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</si>
  <si>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</si>
  <si>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</si>
  <si>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</si>
  <si>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</si>
  <si>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</si>
  <si>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</si>
  <si>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</si>
  <si>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</si>
  <si>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</si>
  <si>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</si>
  <si>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</si>
  <si>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</si>
  <si>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</si>
  <si>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</si>
  <si>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</si>
  <si>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</si>
  <si>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</si>
  <si>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</si>
  <si>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</si>
  <si>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</si>
  <si>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</si>
  <si>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</si>
  <si>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</si>
  <si>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</si>
  <si>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</si>
  <si>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</si>
  <si>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</si>
  <si>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</si>
  <si>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</si>
  <si>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</si>
  <si>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</si>
  <si>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</si>
  <si>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</si>
  <si>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</si>
  <si>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</si>
  <si>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</si>
  <si>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</si>
  <si>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</si>
  <si>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</si>
  <si>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</si>
  <si>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</si>
  <si>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</si>
  <si>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</si>
  <si>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</si>
  <si>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</si>
  <si>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</si>
  <si>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</si>
  <si>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</si>
  <si>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</si>
  <si>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</si>
  <si>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</si>
  <si>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</si>
  <si>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</si>
  <si>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</si>
  <si>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</si>
  <si>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</si>
  <si>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</si>
  <si>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</si>
  <si>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</si>
  <si>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</si>
  <si>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</si>
  <si>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</si>
  <si>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</si>
  <si>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</si>
  <si>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</si>
  <si>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</si>
  <si>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</si>
  <si>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</si>
  <si>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</si>
  <si>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</si>
  <si>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</si>
  <si>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</si>
  <si>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</si>
  <si>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</si>
  <si>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</si>
  <si>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</si>
  <si>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</si>
  <si>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</si>
  <si>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</si>
  <si>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</si>
  <si>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</si>
  <si>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</si>
  <si>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</si>
  <si>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</si>
  <si>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</si>
  <si>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</si>
  <si>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</si>
  <si>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</si>
  <si>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</si>
  <si>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</si>
  <si>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</si>
  <si>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</si>
  <si>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</si>
  <si>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</si>
  <si>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</si>
  <si>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</si>
  <si>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</si>
  <si>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</si>
  <si>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</si>
  <si>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</si>
  <si>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</si>
  <si>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</si>
  <si>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</si>
  <si>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</si>
  <si>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</si>
  <si>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</si>
  <si>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</si>
  <si>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</si>
  <si>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</si>
  <si>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</si>
  <si>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</si>
  <si>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</si>
  <si>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</si>
  <si>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Formatting mismatch</t>
  </si>
  <si>
    <t>Nothing was fixed, I have updated my comments in JIRA and the GDM report % matches with ODS report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</si>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</sst>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7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Q1" activePane="topRight" state="frozen"/>
      <selection pane="topRight" activeCell="R63" sqref="R6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9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154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>Open rework row - mark Blocked? or close it</v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203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>
        <v>46269</v>
      </c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220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>
        <v>46273</v>
      </c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224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199</v>
      </c>
      <c r="J68" s="81" t="s">
        <v>225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226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227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228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229</v>
      </c>
      <c r="C69" s="98" t="s">
        <v>207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226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230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231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235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236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160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160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  <cfRule type="expression" dxfId="122" priority="32">
      <formula>ISNUMBER(SEARCH("Blocked",$D2))</formula>
    </cfRule>
  </conditionalFormatting>
  <conditionalFormatting sqref="J2:O115">
    <cfRule type="expression" dxfId="121" priority="10">
      <formula>$AJ2="Yes – needs DB Dev to fix"</formula>
    </cfRule>
  </conditionalFormatting>
  <conditionalFormatting sqref="J116:O192">
    <cfRule type="expression" dxfId="120" priority="15">
      <formula>$AH116="Yes – needs DB Dev to fix"</formula>
    </cfRule>
  </conditionalFormatting>
  <conditionalFormatting sqref="K41">
    <cfRule type="expression" dxfId="119" priority="591">
      <formula>AND($B41&lt;&gt;"",MOD(ROW(),2)=0)</formula>
    </cfRule>
    <cfRule type="expression" dxfId="118" priority="592">
      <formula>$AJ41="Yes – needs DB Dev to fix"</formula>
    </cfRule>
  </conditionalFormatting>
  <conditionalFormatting sqref="K42">
    <cfRule type="expression" dxfId="117" priority="593">
      <formula>AND($B41&lt;&gt;"",MOD(ROW(),2)=0)</formula>
    </cfRule>
    <cfRule type="expression" dxfId="116" priority="594">
      <formula>$AJ41="Yes – needs DB Dev to fix"</formula>
    </cfRule>
  </conditionalFormatting>
  <conditionalFormatting sqref="K73:L100">
    <cfRule type="expression" dxfId="115" priority="107">
      <formula>$AF73="Yes – needs DB Dev to fix"</formula>
    </cfRule>
  </conditionalFormatting>
  <conditionalFormatting sqref="K101:L115">
    <cfRule type="expression" dxfId="114" priority="337">
      <formula>$AA101="Yes – needs DB Dev to fix"</formula>
    </cfRule>
  </conditionalFormatting>
  <conditionalFormatting sqref="K116:L527">
    <cfRule type="expression" dxfId="113" priority="564">
      <formula>$X116="Yes – needs DB Dev to fix"</formula>
    </cfRule>
  </conditionalFormatting>
  <conditionalFormatting sqref="M73">
    <cfRule type="expression" dxfId="112" priority="14">
      <formula>$AF73="Yes – needs DB Dev to fix"</formula>
    </cfRule>
  </conditionalFormatting>
  <conditionalFormatting sqref="M79">
    <cfRule type="expression" dxfId="111" priority="1">
      <formula>$AF79="Yes – needs DB Dev to fix"</formula>
    </cfRule>
  </conditionalFormatting>
  <conditionalFormatting sqref="M73:P100">
    <cfRule type="expression" dxfId="110" priority="292">
      <formula>$AD73="Yes – needs PBI Dev to fix"</formula>
    </cfRule>
  </conditionalFormatting>
  <conditionalFormatting sqref="M101:P115">
    <cfRule type="expression" dxfId="109" priority="339">
      <formula>$AA101="Yes – needs PBI Dev to fix"</formula>
    </cfRule>
  </conditionalFormatting>
  <conditionalFormatting sqref="M116:P527">
    <cfRule type="expression" dxfId="108" priority="565">
      <formula>$X116="Yes – needs PBI Dev to fix"</formula>
    </cfRule>
  </conditionalFormatting>
  <conditionalFormatting sqref="O101:O113">
    <cfRule type="expression" dxfId="107" priority="13">
      <formula>$AD101="Yes – needs PBI Dev to fix"</formula>
    </cfRule>
  </conditionalFormatting>
  <conditionalFormatting sqref="Q73:Q100">
    <cfRule type="expression" dxfId="106" priority="8">
      <formula>$AJ73="Yes – needs DB Dev to fix"</formula>
    </cfRule>
    <cfRule type="expression" dxfId="105" priority="9">
      <formula>$AF73="Yes – needs DB Dev to fix"</formula>
    </cfRule>
    <cfRule type="expression" dxfId="104" priority="111">
      <formula>$AF73="Yes – needs PBI Dev to fix"</formula>
    </cfRule>
  </conditionalFormatting>
  <conditionalFormatting sqref="Q101:R115 V101:V115 X101:X115">
    <cfRule type="expression" dxfId="103" priority="7">
      <formula>$AA101="Yes – needs QA to fix"</formula>
    </cfRule>
  </conditionalFormatting>
  <conditionalFormatting sqref="Q116:R527">
    <cfRule type="expression" dxfId="102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1" priority="22">
      <formula>$AJ2="Yes – needs PBI Dev to fix"</formula>
    </cfRule>
  </conditionalFormatting>
  <conditionalFormatting sqref="R58">
    <cfRule type="expression" dxfId="100" priority="309">
      <formula>$AJ65="Yes – needs PBI Dev to fix"</formula>
    </cfRule>
    <cfRule type="expression" dxfId="99" priority="307">
      <formula>AND($B65&lt;&gt;"",MOD(ROW(),2)=0)</formula>
    </cfRule>
  </conditionalFormatting>
  <conditionalFormatting sqref="R73:U100 T96:T101">
    <cfRule type="expression" dxfId="98" priority="113">
      <formula>$AF73="Yes – needs QA to fix"</formula>
    </cfRule>
  </conditionalFormatting>
  <conditionalFormatting sqref="S101:U115">
    <cfRule type="expression" dxfId="97" priority="353">
      <formula>$AA101="Yes – needs DPO Approval to fix"</formula>
    </cfRule>
  </conditionalFormatting>
  <conditionalFormatting sqref="S116:U527">
    <cfRule type="expression" dxfId="96" priority="567">
      <formula>$X116="Yes – needs DPO Approval to fix"</formula>
    </cfRule>
  </conditionalFormatting>
  <conditionalFormatting sqref="U101:V527 X101:X527">
    <cfRule type="expression" dxfId="95" priority="40">
      <formula>$V101="Yes"</formula>
    </cfRule>
  </conditionalFormatting>
  <conditionalFormatting sqref="U73:Y100">
    <cfRule type="expression" dxfId="94" priority="115">
      <formula>$AF73="Yes – needs DPO Approval to fix"</formula>
    </cfRule>
  </conditionalFormatting>
  <conditionalFormatting sqref="X116:X527">
    <cfRule type="expression" dxfId="93" priority="568">
      <formula>LEFT($X116,3)="Yes"</formula>
    </cfRule>
  </conditionalFormatting>
  <conditionalFormatting sqref="X73:Z100">
    <cfRule type="expression" dxfId="92" priority="467">
      <formula>$Y73="Yes"</formula>
    </cfRule>
  </conditionalFormatting>
  <conditionalFormatting sqref="Z116:AA527">
    <cfRule type="expression" dxfId="91" priority="45">
      <formula>ISNUMBER(SEARCH("Move old",$Z116))</formula>
    </cfRule>
    <cfRule type="expression" dxfId="90" priority="45">
      <formula>ISNUMBER(SEARCH("log it",$Z116))</formula>
    </cfRule>
    <cfRule type="expression" dxfId="89" priority="46">
      <formula>ISNUMBER(SEARCH("Duplicate",$Z116))</formula>
    </cfRule>
    <cfRule type="expression" dxfId="88" priority="47">
      <formula>$Z116&lt;&gt;""</formula>
    </cfRule>
    <cfRule type="expression" dxfId="87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6" priority="48">
      <formula>AND($B2&lt;&gt;"",MOD(ROW(),2)=0)</formula>
    </cfRule>
  </conditionalFormatting>
  <conditionalFormatting sqref="AA3">
    <cfRule type="expression" dxfId="85" priority="596">
      <formula>$AJ3="Yes – needs DPO Approval to fix"</formula>
    </cfRule>
    <cfRule type="expression" dxfId="84" priority="595">
      <formula>AND($B3&lt;&gt;"",MOD(ROW(),2)=0)</formula>
    </cfRule>
  </conditionalFormatting>
  <conditionalFormatting sqref="AA101:AA115 U2:Z115">
    <cfRule type="expression" dxfId="83" priority="5">
      <formula>$AJ2="Yes – needs QA to fix"</formula>
    </cfRule>
  </conditionalFormatting>
  <conditionalFormatting sqref="AA101:AA115">
    <cfRule type="expression" dxfId="82" priority="361">
      <formula>LEFT($AA101,3)="Yes"</formula>
    </cfRule>
    <cfRule type="expression" dxfId="81" priority="4">
      <formula>$V101="Yes"</formula>
    </cfRule>
    <cfRule type="expression" dxfId="80" priority="3">
      <formula>$AA101="Yes – needs QA to fix"</formula>
    </cfRule>
    <cfRule type="expression" dxfId="79" priority="2">
      <formula>$AJ101="Yes – needs PBI Dev to fix"</formula>
    </cfRule>
  </conditionalFormatting>
  <conditionalFormatting sqref="AA2:AE2 AB3:AE3 AA4:AE100">
    <cfRule type="expression" dxfId="78" priority="89">
      <formula>$AJ2="Yes – needs DPO Approval to fix"</formula>
    </cfRule>
  </conditionalFormatting>
  <conditionalFormatting sqref="AB101:AC115"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  <cfRule type="expression" dxfId="73" priority="369">
      <formula>ISNUMBER(SEARCH("Open rework",$AB101))</formula>
    </cfRule>
  </conditionalFormatting>
  <conditionalFormatting sqref="AF2:AF115">
    <cfRule type="expression" dxfId="72" priority="61">
      <formula>$AF2="Yes"</formula>
    </cfRule>
  </conditionalFormatting>
  <conditionalFormatting sqref="AF73:AF100">
    <cfRule type="expression" dxfId="71" priority="119">
      <formula>LEFT($AF73,3)="Yes"</formula>
    </cfRule>
  </conditionalFormatting>
  <conditionalFormatting sqref="AG73:AG100">
    <cfRule type="expression" dxfId="70" priority="128">
      <formula>ISNUMBER(SEARCH("Duplicate",$AG73))</formula>
    </cfRule>
    <cfRule type="expression" dxfId="69" priority="129">
      <formula>$AG73&lt;&gt;""</formula>
    </cfRule>
    <cfRule type="expression" dxfId="68" priority="125">
      <formula>ISNUMBER(SEARCH("Open rework",$AG73))</formula>
    </cfRule>
    <cfRule type="expression" dxfId="67" priority="126">
      <formula>ISNUMBER(SEARCH("Move old",$AG73))</formula>
    </cfRule>
    <cfRule type="expression" dxfId="66" priority="127">
      <formula>ISNUMBER(SEARCH("log it",$AG73))</formula>
    </cfRule>
  </conditionalFormatting>
  <conditionalFormatting sqref="AJ2:AJ115">
    <cfRule type="expression" dxfId="65" priority="63">
      <formula>LEFT($AJ2,3)="Yes"</formula>
    </cfRule>
  </conditionalFormatting>
  <conditionalFormatting sqref="AK2:AK115">
    <cfRule type="expression" dxfId="64" priority="71">
      <formula>ISNUMBER(SEARCH("Move old",$AK2))</formula>
    </cfRule>
    <cfRule type="expression" dxfId="63" priority="70">
      <formula>ISNUMBER(SEARCH("Open rework",$AK2))</formula>
    </cfRule>
    <cfRule type="expression" dxfId="62" priority="69">
      <formula>ISNUMBER(SEARCH("log it",$AK2))</formula>
    </cfRule>
    <cfRule type="expression" dxfId="61" priority="73">
      <formula>$AK2&lt;&gt;""</formula>
    </cfRule>
    <cfRule type="expression" dxfId="60" priority="72">
      <formula>ISNUMBER(SEARCH("Duplicate",$AK2))</formula>
    </cfRule>
  </conditionalFormatting>
  <conditionalFormatting sqref="AL45:AL47">
    <cfRule type="expression" dxfId="59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7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7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7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7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7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7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7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7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6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6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6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6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6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6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6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7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7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6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7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7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7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7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7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7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7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8" t="s">
        <v>339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361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361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361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364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361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0"/>
        <v>Fixed</v>
      </c>
      <c r="N20" t="s">
        <v>364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3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377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2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378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2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379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1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380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382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382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1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384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0 d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385</v>
      </c>
      <c r="F33" s="31" t="s">
        <v>386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1 d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196</v>
      </c>
      <c r="B34" s="32">
        <v>46268</v>
      </c>
      <c r="C34" s="31" t="s">
        <v>141</v>
      </c>
      <c r="D34" s="31" t="s">
        <v>150</v>
      </c>
      <c r="E34" s="31" t="s">
        <v>385</v>
      </c>
      <c r="F34" s="31" t="s">
        <v>387</v>
      </c>
      <c r="G34" s="31" t="s">
        <v>53</v>
      </c>
      <c r="H34" s="32"/>
      <c r="I34" s="32"/>
      <c r="J34" s="32"/>
      <c r="K34" s="31"/>
      <c r="L34" s="31" t="s">
        <v>388</v>
      </c>
      <c r="M34" s="3" t="str">
        <f t="shared" ca="1" si="0"/>
        <v>UNCLAIMED 0 d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1</v>
      </c>
      <c r="R55">
        <f>IF($P55="","",SUMPRODUCT(($A$3:$A$499=$P55)*($G$3:$G$499&lt;&gt;"Yes")*($G$3:$G$499&lt;&gt;"Did not pass re-test")))</f>
        <v>1</v>
      </c>
      <c r="S55" s="28">
        <f>IF($P55="","",IF(SUMPRODUCT(MAX(($A$3:$A$499=$P55)*ROW($A$3:$A$499)))=0,"",INDEX($B:$B,SUMPRODUCT(MAX(($A$3:$A$499=$P55)*ROW($A$3:$A$499))))))</f>
        <v>46268</v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>QA -&gt; PBI Dev</v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389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390</v>
      </c>
      <c r="C2" s="8" t="s">
        <v>1</v>
      </c>
      <c r="D2" s="8" t="s">
        <v>391</v>
      </c>
      <c r="E2" s="8" t="s">
        <v>392</v>
      </c>
      <c r="F2" s="8" t="s">
        <v>6</v>
      </c>
      <c r="G2" s="8" t="s">
        <v>5</v>
      </c>
      <c r="H2" s="8" t="s">
        <v>393</v>
      </c>
      <c r="I2" s="8" t="s">
        <v>394</v>
      </c>
      <c r="J2" s="8" t="s">
        <v>395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396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396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396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396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396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397</v>
      </c>
      <c r="B1" s="121"/>
      <c r="C1" s="121"/>
    </row>
    <row r="2" spans="1:3" ht="14.25" customHeight="1">
      <c r="A2" s="8" t="s">
        <v>0</v>
      </c>
      <c r="B2" s="8" t="s">
        <v>398</v>
      </c>
      <c r="C2" s="8" t="s">
        <v>394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399</v>
      </c>
      <c r="B11" s="11">
        <v>18</v>
      </c>
      <c r="C11" s="12">
        <v>46386</v>
      </c>
    </row>
    <row r="12" spans="1:3" ht="14.25" customHeight="1">
      <c r="A12" s="11" t="s">
        <v>399</v>
      </c>
      <c r="B12" s="11">
        <v>18</v>
      </c>
      <c r="C12" s="12">
        <v>46417</v>
      </c>
    </row>
    <row r="13" spans="1:3" ht="14.25" customHeight="1">
      <c r="A13" s="11" t="s">
        <v>399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400</v>
      </c>
      <c r="F1" s="1" t="s">
        <v>327</v>
      </c>
      <c r="G1" s="5" t="s">
        <v>401</v>
      </c>
      <c r="H1" s="5" t="s">
        <v>20</v>
      </c>
      <c r="I1" t="s">
        <v>35</v>
      </c>
      <c r="J1" s="5" t="s">
        <v>402</v>
      </c>
      <c r="K1" s="5" t="s">
        <v>129</v>
      </c>
      <c r="L1" s="5" t="s">
        <v>346</v>
      </c>
      <c r="M1" s="1" t="s">
        <v>403</v>
      </c>
      <c r="N1" s="1" t="s">
        <v>404</v>
      </c>
      <c r="R1" t="s">
        <v>13</v>
      </c>
      <c r="T1" t="s">
        <v>405</v>
      </c>
    </row>
    <row r="2" spans="1:20" ht="13.5" customHeight="1">
      <c r="A2" s="2" t="s">
        <v>406</v>
      </c>
      <c r="B2" s="2" t="s">
        <v>407</v>
      </c>
      <c r="C2" s="2" t="s">
        <v>408</v>
      </c>
      <c r="D2" s="2" t="s">
        <v>409</v>
      </c>
      <c r="E2" s="2" t="s">
        <v>410</v>
      </c>
      <c r="F2" s="2" t="s">
        <v>411</v>
      </c>
      <c r="G2" t="s">
        <v>412</v>
      </c>
      <c r="H2" t="s">
        <v>413</v>
      </c>
      <c r="I2" t="s">
        <v>414</v>
      </c>
      <c r="J2" s="29" t="s">
        <v>415</v>
      </c>
      <c r="K2" s="29" t="s">
        <v>416</v>
      </c>
      <c r="L2" s="29" t="s">
        <v>417</v>
      </c>
      <c r="M2" t="s">
        <v>147</v>
      </c>
      <c r="N2" s="45" t="s">
        <v>418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419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420</v>
      </c>
      <c r="J4" t="s">
        <v>150</v>
      </c>
      <c r="L4" t="s">
        <v>50</v>
      </c>
      <c r="M4" t="s">
        <v>103</v>
      </c>
      <c r="N4" s="45" t="s">
        <v>419</v>
      </c>
      <c r="R4" t="s">
        <v>172</v>
      </c>
      <c r="T4" t="s">
        <v>72</v>
      </c>
    </row>
    <row r="5" spans="1:20" ht="15" customHeight="1">
      <c r="A5" t="s">
        <v>399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421</v>
      </c>
      <c r="M5" t="s">
        <v>88</v>
      </c>
      <c r="N5" s="45" t="s">
        <v>419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147</v>
      </c>
      <c r="I6" t="s">
        <v>422</v>
      </c>
      <c r="J6" t="s">
        <v>129</v>
      </c>
      <c r="M6" t="s">
        <v>48</v>
      </c>
      <c r="N6" s="45" t="s">
        <v>419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385</v>
      </c>
      <c r="I7" t="s">
        <v>423</v>
      </c>
      <c r="M7" t="s">
        <v>130</v>
      </c>
      <c r="N7" s="45" t="s">
        <v>419</v>
      </c>
    </row>
    <row r="8" spans="1:20" ht="15" customHeight="1">
      <c r="B8" t="s">
        <v>76</v>
      </c>
      <c r="F8" t="s">
        <v>42</v>
      </c>
      <c r="G8" t="s">
        <v>76</v>
      </c>
      <c r="I8" t="s">
        <v>424</v>
      </c>
      <c r="M8" t="s">
        <v>60</v>
      </c>
      <c r="N8" s="45" t="s">
        <v>419</v>
      </c>
    </row>
    <row r="9" spans="1:20" ht="15" customHeight="1">
      <c r="B9" t="s">
        <v>103</v>
      </c>
      <c r="G9" t="s">
        <v>103</v>
      </c>
      <c r="I9" t="s">
        <v>425</v>
      </c>
      <c r="M9" t="s">
        <v>160</v>
      </c>
      <c r="N9" s="45" t="s">
        <v>419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419</v>
      </c>
    </row>
    <row r="11" spans="1:20">
      <c r="B11" t="s">
        <v>426</v>
      </c>
      <c r="G11" t="s">
        <v>60</v>
      </c>
      <c r="M11" t="s">
        <v>76</v>
      </c>
      <c r="N11" s="45" t="s">
        <v>419</v>
      </c>
    </row>
    <row r="12" spans="1:20">
      <c r="B12" t="s">
        <v>427</v>
      </c>
      <c r="G12" t="s">
        <v>46</v>
      </c>
      <c r="M12" t="s">
        <v>46</v>
      </c>
      <c r="N12" s="45" t="s">
        <v>419</v>
      </c>
    </row>
    <row r="13" spans="1:20">
      <c r="G13" t="s">
        <v>77</v>
      </c>
      <c r="M13" t="s">
        <v>77</v>
      </c>
      <c r="N13" s="45" t="s">
        <v>419</v>
      </c>
    </row>
    <row r="14" spans="1:20">
      <c r="M14" t="s">
        <v>84</v>
      </c>
      <c r="N14" s="45" t="s">
        <v>428</v>
      </c>
    </row>
    <row r="15" spans="1:20">
      <c r="M15" t="s">
        <v>59</v>
      </c>
      <c r="N15" s="45" t="s">
        <v>419</v>
      </c>
    </row>
    <row r="16" spans="1:20">
      <c r="M16" t="s">
        <v>118</v>
      </c>
      <c r="N16" s="45" t="s">
        <v>419</v>
      </c>
    </row>
    <row r="17" spans="13:14">
      <c r="M17" t="s">
        <v>65</v>
      </c>
      <c r="N17" s="45" t="s">
        <v>419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Navya Chowdary Saimpu</cp:lastModifiedBy>
  <cp:revision>0</cp:revision>
  <dcterms:created xsi:type="dcterms:W3CDTF">2026-07-21T14:32:59Z</dcterms:created>
  <dcterms:modified xsi:type="dcterms:W3CDTF">2026-09-03T21:39:12Z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