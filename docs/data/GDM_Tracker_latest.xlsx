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770" documentId="13_ncr:1_{52745E9B-3AA1-4770-AAD3-E6166BFC13AE}" xr6:coauthVersionLast="47" xr6:coauthVersionMax="47" xr10:uidLastSave="{224B0C84-AB37-4AD5-96C3-DB08B7E3329D}"/>
  <bookViews>
    <workbookView xWindow="-28920" yWindow="-105" windowWidth="29040" windowHeight="15720" tabRatio="500" firstSheet="2"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8" l="1" a="1"/>
  <c r="B53" i="8"/>
  <c r="I50" i="8"/>
  <c r="B37" i="8" a="1"/>
  <c r="B37" i="8"/>
  <c r="B35" i="8" a="1"/>
  <c r="B35" i="8"/>
  <c r="L16" i="8"/>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K17" i="8" s="1"/>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M17" i="8" s="1"/>
  <c r="K7" i="8" a="1"/>
  <c r="K7" i="8"/>
  <c r="I7" i="8" a="1"/>
  <c r="I7" i="8"/>
  <c r="G7" i="8" a="1"/>
  <c r="G7" i="8"/>
  <c r="E7" i="8" a="1"/>
  <c r="E7" i="8"/>
  <c r="C7" i="8" a="1"/>
  <c r="C7" i="8"/>
  <c r="M8" i="8" s="1" a="1"/>
  <c r="M8" i="8" s="1"/>
  <c r="C5" i="8"/>
  <c r="B5" i="8"/>
  <c r="B3"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M16" i="8" l="1"/>
  <c r="M15" i="8"/>
  <c r="M14" i="8"/>
  <c r="M13" i="8"/>
  <c r="M12"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<sst xmlns="http://schemas.openxmlformats.org/spreadsheetml/2006/main" count="3595" uniqueCount="519">
  <si>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</si>
  <si>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</si>
  <si>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</si>
  <si>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</si>
  <si>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</si>
  <si>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</si>
  <si>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</si>
  <si>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</si>
  <si>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</si>
  <si>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</si>
  <si>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</si>
  <si>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</si>
  <si>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</si>
  <si>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</si>
  <si>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</si>
  <si>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</si>
  <si>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</si>
  <si>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</si>
  <si>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</si>
  <si>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</si>
  <si>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</si>
  <si>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</si>
  <si>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</si>
  <si>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</si>
  <si>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</si>
  <si>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</si>
  <si>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</si>
  <si>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</si>
  <si>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</si>
  <si>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</si>
  <si>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</si>
  <si>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</si>
  <si>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</si>
  <si>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</si>
  <si>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</si>
  <si>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</si>
  <si>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</si>
  <si>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</si>
  <si>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</si>
  <si>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</si>
  <si>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</si>
  <si>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</si>
  <si>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</si>
  <si>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</si>
  <si>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</si>
  <si>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</si>
  <si>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</si>
  <si>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</si>
  <si>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</si>
  <si>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</si>
  <si>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</si>
  <si>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</si>
  <si>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</si>
  <si>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</si>
  <si>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</si>
  <si>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</si>
  <si>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</si>
  <si>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</si>
  <si>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</si>
  <si>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</si>
  <si>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</si>
  <si>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</si>
  <si>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</si>
  <si>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</si>
  <si>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</si>
  <si>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</si>
  <si>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</si>
  <si>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</si>
  <si>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</si>
  <si>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</si>
  <si>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</si>
  <si>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</si>
  <si>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</si>
  <si>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</si>
  <si>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</si>
  <si>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</si>
  <si>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</si>
  <si>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</si>
  <si>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</si>
  <si>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</si>
  <si>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</si>
  <si>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</si>
  <si>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</si>
  <si>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</si>
  <si>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</si>
  <si>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</si>
  <si>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</si>
  <si>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</si>
  <si>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</si>
  <si>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</si>
  <si>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</si>
  <si>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</si>
  <si>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</si>
  <si>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</si>
  <si>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</si>
  <si>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</si>
  <si>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</si>
  <si>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</si>
  <si>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</si>
  <si>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</si>
  <si>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</si>
  <si>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</si>
  <si>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</si>
  <si>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</si>
  <si>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</si>
  <si>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</si>
  <si>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</si>
  <si>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</si>
  <si>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</si>
  <si>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</si>
  <si>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</si>
  <si>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</si>
  <si>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</si>
  <si>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</si>
  <si>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</si>
  <si>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</si>
  <si>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</si>
  <si>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</si>
  <si>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</si>
  <si>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</si>
  <si>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</si>
  <si>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</si>
  <si>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</si>
  <si>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</si>
  <si>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</si>
  <si>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</si>
  <si>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</si>
  <si>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</si>
  <si>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</si>
  <si>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</si>
  <si>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</si>
  <si>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</si>
  <si>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</si>
  <si>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</si>
  <si>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</si>
  <si>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</si>
  <si>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</si>
  <si>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</si>
  <si>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</si>
  <si>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</si>
  <si>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</si>
  <si>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</si>
  <si>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</si>
  <si>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</si>
  <si>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</si>
  <si>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</si>
  <si>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</si>
  <si>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</si>
  <si>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</si>
  <si>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</si>
  <si>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</si>
  <si>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</si>
  <si>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</si>
  <si>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</si>
  <si>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</si>
  <si>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</si>
  <si>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</si>
  <si>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</si>
  <si>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</si>
  <si>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</si>
  <si>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</si>
  <si>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</si>
  <si>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</si>
  <si>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</si>
  <si>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</si>
  <si>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</si>
  <si>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</si>
  <si>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</si>
  <si>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</si>
  <si>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</si>
  <si>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</si>
  <si>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</si>
  <si>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</si>
  <si>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</si>
  <si>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</si>
  <si>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</si>
  <si>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</si>
  <si>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</si>
  <si>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</si>
  <si>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</si>
  <si>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</si>
  <si>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</si>
  <si>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</si>
  <si>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</si>
  <si>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</si>
  <si>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</si>
  <si>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</si>
  <si>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</si>
  <si>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</si>
  <si>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</si>
  <si>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</si>
  <si>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</si>
  <si>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</si>
  <si>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</si>
  <si>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</si>
  <si>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</si>
  <si>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</si>
  <si>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</si>
  <si>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</si>
  <si>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</si>
  <si>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</si>
  <si>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</si>
  <si>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</si>
  <si>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</si>
  <si>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</si>
  <si>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</si>
  <si>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</si>
  <si>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</si>
  <si>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</si>
  <si>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</si>
  <si>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</si>
  <si>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</si>
  <si>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</si>
  <si>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</si>
  <si>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</si>
  <si>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</si>
  <si>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</si>
  <si>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</si>
  <si>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</si>
  <si>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</si>
  <si>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</si>
  <si>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</si>
  <si>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</si>
  <si>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</si>
  <si>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</si>
  <si>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</si>
  <si>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</si>
  <si>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</si>
  <si>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</si>
  <si>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</si>
  <si>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</si>
  <si>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</si>
  <si>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</si>
  <si>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</si>
  <si>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</si>
  <si>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</si>
  <si>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</si>
  <si>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</si>
  <si>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</si>
  <si>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</si>
  <si>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</si>
  <si>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</si>
  <si>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</si>
  <si>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</si>
  <si>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</si>
  <si>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</si>
  <si>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</si>
  <si>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</si>
  <si>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</si>
  <si>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</si>
  <si>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</si>
  <si>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</si>
  <si>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</si>
  <si>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</si>
  <si>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</si>
  <si>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</si>
  <si>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</si>
  <si>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</si>
  <si>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</si>
  <si>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</si>
  <si>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</si>
  <si>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</si>
  <si>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</si>
  <si>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</si>
  <si>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</si>
  <si>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</si>
  <si>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</si>
  <si>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</si>
  <si>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</si>
  <si>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</si>
  <si>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</si>
  <si>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</si>
  <si>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</si>
  <si>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</si>
  <si>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</si>
  <si>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</si>
  <si>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</si>
  <si>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</si>
  <si>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</si>
  <si>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</si>
  <si>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</si>
  <si>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</si>
  <si>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</si>
  <si>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</si>
  <si>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</si>
  <si>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</si>
  <si>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</si>
  <si>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</si>
  <si>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</si>
  <si>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</si>
  <si>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</si>
  <si>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</si>
  <si>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</si>
  <si>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</si>
  <si>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</si>
  <si>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</si>
  <si>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</si>
  <si>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</si>
  <si>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</si>
  <si>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</si>
  <si>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</si>
  <si>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</si>
  <si>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</si>
  <si>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</si>
  <si>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</si>
  <si>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</si>
  <si>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</si>
  <si>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</si>
  <si>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</si>
  <si>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</si>
  <si>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</si>
  <si>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</si>
  <si>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</si>
  <si>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</si>
  <si>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</si>
  <si>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</si>
  <si>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</si>
  <si>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</si>
  <si>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</si>
  <si>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</si>
  <si>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</si>
  <si>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</si>
  <si>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</si>
  <si>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</si>
  <si>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</si>
  <si>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</si>
  <si>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</si>
  <si>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</si>
  <si>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</si>
  <si>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</si>
  <si>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</si>
  <si>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</si>
  <si>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</si>
  <si>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</si>
  <si>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</si>
  <si>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</si>
  <si>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</si>
  <si>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</si>
  <si>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</si>
  <si>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</si>
  <si>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</si>
  <si>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</si>
  <si>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</si>
  <si>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</si>
  <si>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</si>
  <si>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</si>
  <si>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</si>
  <si>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</si>
  <si>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</si>
  <si>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</si>
  <si>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</si>
  <si>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</si>
  <si>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</si>
  <si>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</si>
  <si>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</si>
  <si>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</si>
  <si>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</si>
  <si>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</si>
  <si>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</si>
  <si>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</si>
  <si>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</si>
  <si>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</si>
  <si>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</si>
  <si>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</si>
  <si>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</si>
  <si>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</si>
  <si>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</si>
  <si>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</si>
  <si>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</si>
  <si>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</si>
  <si>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</si>
  <si>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</si>
  <si>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</si>
  <si>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</si>
  <si>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</si>
  <si>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</si>
  <si>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</si>
  <si>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</si>
  <si>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</si>
  <si>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</si>
  <si>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</si>
  <si>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</si>
  <si>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</si>
  <si>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</si>
  <si>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</si>
  <si>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</si>
  <si>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</si>
  <si>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</si>
  <si>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</si>
  <si>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</si>
  <si>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</si>
  <si>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</si>
  <si>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</si>
  <si>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</si>
  <si>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</si>
  <si>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</si>
  <si>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</si>
  <si>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</si>
  <si>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</si>
  <si>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</si>
  <si>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</si>
  <si>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</si>
  <si>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</si>
  <si>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</si>
  <si>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</si>
  <si>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</si>
  <si>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</si>
  <si>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</si>
  <si>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</si>
  <si>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</si>
  <si>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</si>
  <si>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</si>
  <si>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</si>
  <si>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</si>
  <si>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</si>
  <si>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</si>
  <si>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</si>
  <si>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</si>
  <si>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</si>
  <si>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</si>
  <si>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</si>
  <si>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</si>
  <si>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</si>
  <si>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</si>
  <si>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</si>
  <si>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</si>
  <si>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</si>
  <si>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</si>
  <si>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</si>
  <si>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</si>
  <si>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</si>
  <si>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</si>
  <si>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</si>
  <si>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</si>
  <si>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</si>
  <si>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</si>
  <si>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</si>
  <si>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</si>
  <si>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</si>
  <si>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</si>
  <si>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</si>
  <si>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</si>
  <si>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</si>
  <si>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</si>
  <si>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</si>
  <si>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</si>
  <si>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</si>
  <si>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</si>
  <si>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</si>
  <si>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</si>
  <si>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</si>
  <si>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</si>
  <si>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</si>
  <si>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</si>
  <si>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</si>
  <si>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</si>
  <si>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</si>
  <si>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</si>
  <si>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</si>
  <si>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</si>
  <si>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</si>
  <si>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</si>
  <si>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</si>
  <si>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</si>
  <si>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</si>
  <si>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</si>
  <si>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</si>
  <si>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</si>
  <si>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</si>
  <si>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</si>
  <si>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</si>
  <si>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</si>
  <si>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</si>
  <si>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</si>
  <si>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</si>
  <si>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</si>
  <si>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</si>
  <si>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</si>
  <si>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</si>
  <si>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</si>
  <si>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</si>
  <si>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</si>
  <si>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</si>
  <si>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</si>
  <si>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</si>
  <si>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</si>
  <si>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</si>
  <si>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</si>
  <si>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</si>
  <si>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</si>
  <si>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</si>
  <si>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</si>
  <si>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</si>
  <si>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</si>
  <si>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</si>
  <si>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</si>
  <si>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</si>
  <si>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</si>
  <si>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</si>
  <si>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Tracker says</t>
  </si>
  <si>
    <t>Who updates it</t>
  </si>
  <si>
    <t>Pick a month, a status or a person. The list shows who owns each stage, the actual completion dates, reworks and whether the status column needs updating.</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</si>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</sst>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sz val="9"/>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39" fillId="20" borderId="0" xfId="0" applyFont="1" applyFill="1" applyAlignment="1">
      <alignment vertical="center"/>
    </xf>
    <xf numFmtId="0" fontId="40"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5" fillId="20" borderId="0" xfId="0" applyFont="1" applyFill="1" applyAlignment="1">
      <alignment vertical="center"/>
    </xf>
    <xf numFmtId="0" fontId="36" fillId="21" borderId="40" xfId="0" applyFont="1" applyFill="1" applyBorder="1" applyAlignment="1">
      <alignment vertical="center"/>
    </xf>
    <xf numFmtId="0" fontId="46" fillId="21" borderId="17" xfId="0" applyFont="1" applyFill="1" applyBorder="1" applyAlignment="1">
      <alignment horizontal="right" wrapText="1"/>
    </xf>
    <xf numFmtId="0" fontId="47" fillId="21" borderId="20" xfId="0" applyFont="1" applyFill="1" applyBorder="1" applyAlignment="1">
      <alignment vertical="center" indent="1"/>
    </xf>
    <xf numFmtId="0" fontId="47" fillId="21" borderId="18" xfId="0" applyFont="1" applyFill="1" applyBorder="1" applyAlignment="1">
      <alignment vertical="center"/>
    </xf>
    <xf numFmtId="0" fontId="46"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39"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39"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39" fillId="21" borderId="17" xfId="0" applyNumberFormat="1" applyFont="1" applyFill="1" applyBorder="1" applyAlignment="1">
      <alignment horizontal="right" vertical="center"/>
    </xf>
    <xf numFmtId="164" fontId="47" fillId="21" borderId="18" xfId="0" applyNumberFormat="1" applyFont="1" applyFill="1" applyBorder="1" applyAlignment="1">
      <alignment horizontal="right" vertical="center"/>
    </xf>
    <xf numFmtId="0" fontId="46" fillId="21" borderId="42" xfId="0" applyFont="1" applyFill="1" applyBorder="1" applyAlignment="1">
      <alignment vertical="center"/>
    </xf>
    <xf numFmtId="0" fontId="46" fillId="21" borderId="43" xfId="0" applyFont="1" applyFill="1" applyBorder="1" applyAlignment="1">
      <alignment vertical="center"/>
    </xf>
    <xf numFmtId="0" fontId="46" fillId="21" borderId="41" xfId="0" applyFont="1" applyFill="1" applyBorder="1" applyAlignment="1">
      <alignment vertical="center" indent="1"/>
    </xf>
    <xf numFmtId="0" fontId="38" fillId="20" borderId="0" xfId="0" applyFont="1" applyFill="1" applyAlignment="1">
      <alignment vertical="center"/>
    </xf>
    <xf numFmtId="0" fontId="43" fillId="21" borderId="17" xfId="0" applyFont="1" applyFill="1" applyBorder="1" applyAlignment="1">
      <alignment vertical="center" wrapText="1" indent="1"/>
    </xf>
    <xf numFmtId="0" fontId="43" fillId="21" borderId="17" xfId="0" applyFont="1" applyFill="1" applyBorder="1" applyAlignment="1">
      <alignment vertical="center" wrapText="1"/>
    </xf>
    <xf numFmtId="0" fontId="43" fillId="21" borderId="21" xfId="0" applyFont="1" applyFill="1" applyBorder="1" applyAlignment="1">
      <alignment vertical="center" wrapText="1"/>
    </xf>
    <xf numFmtId="0" fontId="43" fillId="21" borderId="45" xfId="0" applyFont="1" applyFill="1" applyBorder="1" applyAlignment="1">
      <alignment vertical="center" wrapText="1" indent="1"/>
    </xf>
    <xf numFmtId="0" fontId="43" fillId="21" borderId="45" xfId="0" applyFont="1" applyFill="1" applyBorder="1" applyAlignment="1">
      <alignment vertical="center" wrapText="1"/>
    </xf>
    <xf numFmtId="0" fontId="43" fillId="21" borderId="46" xfId="0" applyFont="1" applyFill="1" applyBorder="1" applyAlignment="1">
      <alignment vertical="center" wrapText="1"/>
    </xf>
    <xf numFmtId="0" fontId="46" fillId="21" borderId="18" xfId="0" applyFont="1" applyFill="1" applyBorder="1" applyAlignment="1">
      <alignment vertical="center" wrapText="1" indent="1"/>
    </xf>
    <xf numFmtId="0" fontId="46" fillId="21" borderId="18" xfId="0" applyFont="1" applyFill="1" applyBorder="1" applyAlignment="1">
      <alignment vertical="center" wrapText="1"/>
    </xf>
    <xf numFmtId="0" fontId="46" fillId="21" borderId="22" xfId="0" applyFont="1" applyFill="1" applyBorder="1" applyAlignment="1">
      <alignment vertical="center" wrapText="1"/>
    </xf>
    <xf numFmtId="0" fontId="38" fillId="20" borderId="0" xfId="0" applyFont="1" applyFill="1" applyAlignment="1">
      <alignment horizontal="right" vertical="center"/>
    </xf>
    <xf numFmtId="0" fontId="41" fillId="20" borderId="0" xfId="0" applyFont="1" applyFill="1" applyAlignment="1">
      <alignment vertical="center" indent="1"/>
    </xf>
    <xf numFmtId="0" fontId="42" fillId="21" borderId="23" xfId="0" applyFont="1" applyFill="1" applyBorder="1" applyAlignment="1">
      <alignment indent="1"/>
    </xf>
    <xf numFmtId="0" fontId="42" fillId="21" borderId="25" xfId="0" applyFont="1" applyFill="1" applyBorder="1" applyAlignment="1">
      <alignment indent="1"/>
    </xf>
    <xf numFmtId="0" fontId="43" fillId="21" borderId="20" xfId="0" applyFont="1" applyFill="1" applyBorder="1" applyAlignment="1">
      <alignment vertical="top" wrapText="1" indent="1"/>
    </xf>
    <xf numFmtId="0" fontId="43" fillId="21" borderId="18" xfId="0" applyFont="1" applyFill="1" applyBorder="1" applyAlignment="1">
      <alignment vertical="top" wrapText="1" indent="1"/>
    </xf>
    <xf numFmtId="0" fontId="42" fillId="21" borderId="26" xfId="0" applyFont="1" applyFill="1" applyBorder="1" applyAlignment="1">
      <alignment indent="1"/>
    </xf>
    <xf numFmtId="0" fontId="42" fillId="21" borderId="27" xfId="0" applyFont="1" applyFill="1" applyBorder="1" applyAlignment="1">
      <alignment indent="1"/>
    </xf>
    <xf numFmtId="0" fontId="42" fillId="21" borderId="28" xfId="0" applyFont="1" applyFill="1" applyBorder="1" applyAlignment="1">
      <alignment indent="1"/>
    </xf>
    <xf numFmtId="0" fontId="42" fillId="21" borderId="29" xfId="0" applyFont="1" applyFill="1" applyBorder="1" applyAlignment="1">
      <alignment indent="1"/>
    </xf>
    <xf numFmtId="0" fontId="42" fillId="21" borderId="30" xfId="0" applyFont="1" applyFill="1" applyBorder="1" applyAlignment="1">
      <alignment indent="1"/>
    </xf>
    <xf numFmtId="0" fontId="42" fillId="21" borderId="31" xfId="0" applyFont="1" applyFill="1" applyBorder="1" applyAlignment="1">
      <alignment indent="1"/>
    </xf>
    <xf numFmtId="0" fontId="42" fillId="21" borderId="32" xfId="0" applyFont="1" applyFill="1" applyBorder="1" applyAlignment="1">
      <alignment indent="1"/>
    </xf>
    <xf numFmtId="0" fontId="42" fillId="21" borderId="33" xfId="0" applyFont="1" applyFill="1" applyBorder="1" applyAlignment="1">
      <alignment indent="1"/>
    </xf>
    <xf numFmtId="0" fontId="44" fillId="21" borderId="37" xfId="0" applyFont="1" applyFill="1" applyBorder="1" applyAlignment="1">
      <alignment vertical="top" indent="1"/>
    </xf>
    <xf numFmtId="0" fontId="44" fillId="21" borderId="38" xfId="0" applyFont="1" applyFill="1" applyBorder="1" applyAlignment="1">
      <alignment vertical="top" indent="1"/>
    </xf>
    <xf numFmtId="0" fontId="44" fillId="21" borderId="39" xfId="0" applyFont="1" applyFill="1" applyBorder="1" applyAlignment="1">
      <alignment vertical="top" indent="1"/>
    </xf>
    <xf numFmtId="0" fontId="43" fillId="21" borderId="22" xfId="0" applyFont="1" applyFill="1" applyBorder="1" applyAlignment="1">
      <alignment vertical="top" wrapText="1" indent="1"/>
    </xf>
    <xf numFmtId="0" fontId="46" fillId="21" borderId="17" xfId="0" applyFont="1" applyFill="1" applyBorder="1" applyAlignment="1">
      <alignment wrapText="1" indent="1"/>
    </xf>
    <xf numFmtId="0" fontId="46" fillId="21" borderId="17" xfId="0" applyFont="1" applyFill="1" applyBorder="1" applyAlignment="1">
      <alignment wrapText="1"/>
    </xf>
    <xf numFmtId="0" fontId="46" fillId="21" borderId="21" xfId="0" applyFont="1" applyFill="1" applyBorder="1" applyAlignment="1">
      <alignment wrapText="1"/>
    </xf>
    <xf numFmtId="0" fontId="43" fillId="21" borderId="35" xfId="0" applyFont="1" applyFill="1" applyBorder="1" applyAlignment="1">
      <alignment vertical="center" wrapText="1" indent="1"/>
    </xf>
    <xf numFmtId="0" fontId="43" fillId="21" borderId="35" xfId="0" applyFont="1" applyFill="1" applyBorder="1" applyAlignment="1">
      <alignment vertical="center" wrapText="1"/>
    </xf>
    <xf numFmtId="0" fontId="43" fillId="21" borderId="36" xfId="0" applyFont="1" applyFill="1" applyBorder="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8" fillId="21" borderId="0" xfId="0" applyFont="1" applyFill="1" applyAlignment="1">
      <alignment vertical="center"/>
    </xf>
    <xf numFmtId="0" fontId="48" fillId="21" borderId="40" xfId="0" applyFont="1" applyFill="1" applyBorder="1" applyAlignment="1">
      <alignment vertical="center"/>
    </xf>
    <xf numFmtId="0" fontId="48" fillId="21" borderId="18" xfId="0" applyFont="1" applyFill="1" applyBorder="1" applyAlignment="1">
      <alignment vertical="center"/>
    </xf>
    <xf numFmtId="0" fontId="48" fillId="21" borderId="22" xfId="0" applyFont="1" applyFill="1" applyBorder="1" applyAlignment="1">
      <alignment vertical="center"/>
    </xf>
    <xf numFmtId="0" fontId="48" fillId="21" borderId="24" xfId="0" applyFont="1" applyFill="1" applyBorder="1" applyAlignment="1">
      <alignment vertical="center" indent="1"/>
    </xf>
    <xf numFmtId="0" fontId="48" fillId="21" borderId="20" xfId="0" applyFont="1" applyFill="1" applyBorder="1" applyAlignment="1">
      <alignment vertical="center" inden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7" xfId="0" applyFont="1" applyFill="1" applyBorder="1" applyAlignment="1">
      <alignment indent="1"/>
    </xf>
    <xf numFmtId="0" fontId="50" fillId="21" borderId="48" xfId="0" applyFont="1" applyFill="1" applyBorder="1" applyAlignment="1">
      <alignment indent="1"/>
    </xf>
    <xf numFmtId="0" fontId="50" fillId="21" borderId="49" xfId="0" applyFont="1" applyFill="1" applyBorder="1" applyAlignment="1">
      <alignment indent="1"/>
    </xf>
    <xf numFmtId="0" fontId="39" fillId="21" borderId="50" xfId="0" applyFont="1" applyFill="1" applyBorder="1" applyAlignment="1">
      <alignment vertical="center" indent="1"/>
    </xf>
    <xf numFmtId="0" fontId="39" fillId="21" borderId="18" xfId="0" applyFont="1" applyFill="1" applyBorder="1" applyAlignment="1">
      <alignment vertical="center" indent="1"/>
    </xf>
    <xf numFmtId="0" fontId="39" fillId="21" borderId="22" xfId="0" applyFont="1" applyFill="1" applyBorder="1" applyAlignment="1">
      <alignment vertical="center" indent="1"/>
    </xf>
    <xf numFmtId="0" fontId="46" fillId="21" borderId="51" xfId="0" applyFont="1" applyFill="1" applyBorder="1" applyAlignment="1">
      <alignment wrapText="1"/>
    </xf>
    <xf numFmtId="0" fontId="46" fillId="21" borderId="51" xfId="0" applyFont="1" applyFill="1" applyBorder="1" applyAlignment="1">
      <alignment wrapText="1" indent="1"/>
    </xf>
    <xf numFmtId="0" fontId="46" fillId="21" borderId="51" xfId="0" applyFont="1" applyFill="1" applyBorder="1" applyAlignment="1">
      <alignment horizontal="right" wrapText="1"/>
    </xf>
    <xf numFmtId="0" fontId="48" fillId="21" borderId="0" xfId="0" applyFont="1" applyFill="1" applyAlignment="1">
      <alignment vertical="center" indent="1"/>
    </xf>
    <xf numFmtId="165" fontId="48" fillId="21" borderId="0" xfId="0" applyNumberFormat="1" applyFont="1" applyFill="1" applyAlignment="1">
      <alignment horizontal="right" vertical="center"/>
    </xf>
    <xf numFmtId="164" fontId="48" fillId="21" borderId="0" xfId="0" applyNumberFormat="1" applyFont="1" applyFill="1" applyAlignment="1">
      <alignment horizontal="right" vertical="center"/>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1</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D1" activePane="topRight" state="frozen"/>
      <selection pane="topRight" activeCell="AM1" sqref="AM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214</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216</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240</v>
      </c>
      <c r="J73" s="31" t="s">
        <v>76</v>
      </c>
      <c r="K73" s="43">
        <v>46304</v>
      </c>
      <c r="L73" s="43">
        <v>46259</v>
      </c>
      <c r="M73" s="46">
        <v>46259</v>
      </c>
      <c r="N73" s="44" t="s">
        <v>45</v>
      </c>
      <c r="O73" s="44" t="s">
        <v>193</v>
      </c>
      <c r="P73" s="65" t="s">
        <v>77</v>
      </c>
      <c r="Q73" s="43">
        <v>46313</v>
      </c>
      <c r="R73" s="43">
        <v>46289</v>
      </c>
      <c r="S73" s="43">
        <v>46289</v>
      </c>
      <c r="T73" s="69" t="s">
        <v>241</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240</v>
      </c>
      <c r="J74" s="53" t="s">
        <v>226</v>
      </c>
      <c r="K74" s="43">
        <v>46304</v>
      </c>
      <c r="L74" s="43">
        <v>46269</v>
      </c>
      <c r="M74" s="44">
        <v>46269</v>
      </c>
      <c r="N74" s="44"/>
      <c r="O74" s="44" t="s">
        <v>193</v>
      </c>
      <c r="P74" s="74" t="s">
        <v>77</v>
      </c>
      <c r="Q74" s="43">
        <v>46313</v>
      </c>
      <c r="R74" s="43">
        <v>46300</v>
      </c>
      <c r="S74" s="44"/>
      <c r="T74" s="69" t="s">
        <v>241</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207</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Q66:U115 X101:X116 Q116:V116">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61"/>
      <c r="C4" s="262"/>
      <c r="D4" s="262"/>
      <c r="E4" s="262"/>
    </row>
    <row r="6" spans="1:5">
      <c r="A6" s="42" t="s">
        <v>0</v>
      </c>
      <c r="B6" s="238" t="str">
        <f>IF($B$4="","",IFERROR(INDEX('Combined Delivery Data'!$A:$A,MATCH($B$4,'Combined Delivery Data'!$B:$B,0)),""))</f>
        <v/>
      </c>
      <c r="C6" s="263"/>
      <c r="D6" s="263"/>
      <c r="E6" s="264"/>
    </row>
    <row r="7" spans="1:5">
      <c r="A7" s="42" t="s">
        <v>334</v>
      </c>
      <c r="B7" s="238" t="str">
        <f>IF($B$4="","",IFERROR(INDEX('Combined Delivery Data'!$C:$C,MATCH($B$4,'Combined Delivery Data'!$B:$B,0)),""))</f>
        <v/>
      </c>
      <c r="C7" s="263"/>
      <c r="D7" s="263"/>
      <c r="E7" s="264"/>
    </row>
    <row r="8" spans="1:5">
      <c r="A8" s="42" t="s">
        <v>3</v>
      </c>
      <c r="B8" s="238" t="str">
        <f>IF($B$4="","",IFERROR(INDEX('Combined Delivery Data'!$D:$D,MATCH($B$4,'Combined Delivery Data'!$B:$B,0)),""))</f>
        <v/>
      </c>
      <c r="C8" s="263"/>
      <c r="D8" s="263"/>
      <c r="E8" s="264"/>
    </row>
    <row r="9" spans="1:5">
      <c r="A9" s="42" t="s">
        <v>4</v>
      </c>
      <c r="B9" s="238" t="str">
        <f>IF($B$4="","",IFERROR(INDEX('Combined Delivery Data'!$E:$E,MATCH($B$4,'Combined Delivery Data'!$B:$B,0)),""))</f>
        <v/>
      </c>
      <c r="C9" s="263"/>
      <c r="D9" s="263"/>
      <c r="E9" s="264"/>
    </row>
    <row r="10" spans="1:5">
      <c r="A10" s="42" t="s">
        <v>5</v>
      </c>
      <c r="B10" s="238" t="str">
        <f>IF($B$4="","",IFERROR(INDEX('Combined Delivery Data'!$F:$F,MATCH($B$4,'Combined Delivery Data'!$B:$B,0)),""))</f>
        <v/>
      </c>
      <c r="C10" s="263"/>
      <c r="D10" s="263"/>
      <c r="E10" s="264"/>
    </row>
    <row r="11" spans="1:5">
      <c r="A11" s="42" t="s">
        <v>9</v>
      </c>
      <c r="B11" s="238" t="str">
        <f>IF($B$4="","",IFERROR(INDEX('Combined Delivery Data'!$J:$J,MATCH($B$4,'Combined Delivery Data'!$B:$B,0)),""))</f>
        <v/>
      </c>
      <c r="C11" s="263"/>
      <c r="D11" s="263"/>
      <c r="E11" s="264"/>
    </row>
    <row r="12" spans="1:5">
      <c r="A12" s="42" t="s">
        <v>15</v>
      </c>
      <c r="B12" s="238" t="str">
        <f>IF($B$4="","",IFERROR(INDEX('Combined Delivery Data'!$P:$P,MATCH($B$4,'Combined Delivery Data'!$B:$B,0)),""))</f>
        <v/>
      </c>
      <c r="C12" s="263"/>
      <c r="D12" s="263"/>
      <c r="E12" s="264"/>
    </row>
    <row r="13" spans="1:5">
      <c r="A13" s="42" t="s">
        <v>20</v>
      </c>
      <c r="B13" s="238" t="str">
        <f>IF($B$4="","",IFERROR(INDEX('Combined Delivery Data'!$U:$U,MATCH($B$4,'Combined Delivery Data'!$B:$B,0)),""))</f>
        <v/>
      </c>
      <c r="C13" s="263"/>
      <c r="D13" s="263"/>
      <c r="E13" s="264"/>
    </row>
    <row r="14" spans="1:5">
      <c r="A14" s="42" t="s">
        <v>335</v>
      </c>
      <c r="B14" s="237" t="str">
        <f>IF($B$4="","",IFERROR(INDEX('Combined Delivery Data'!$K:$K,MATCH($B$4,'Combined Delivery Data'!$B:$B,0)),""))</f>
        <v/>
      </c>
      <c r="C14" s="263"/>
      <c r="D14" s="263"/>
      <c r="E14" s="264"/>
    </row>
    <row r="15" spans="1:5">
      <c r="A15" s="42" t="s">
        <v>336</v>
      </c>
      <c r="B15" s="237" t="str">
        <f>IF($B$4="","",IFERROR(INDEX('Combined Delivery Data'!$L:$L,MATCH($B$4,'Combined Delivery Data'!$B:$B,0)),""))</f>
        <v/>
      </c>
      <c r="C15" s="263"/>
      <c r="D15" s="263"/>
      <c r="E15" s="264"/>
    </row>
    <row r="16" spans="1:5">
      <c r="A16" s="42" t="s">
        <v>337</v>
      </c>
      <c r="B16" s="237" t="str">
        <f>IF($B$4="","",IFERROR(INDEX('Combined Delivery Data'!$M:$M,MATCH($B$4,'Combined Delivery Data'!$B:$B,0)),""))</f>
        <v/>
      </c>
      <c r="C16" s="263"/>
      <c r="D16" s="263"/>
      <c r="E16" s="264"/>
    </row>
    <row r="17" spans="1:5">
      <c r="A17" s="42" t="s">
        <v>338</v>
      </c>
      <c r="B17" s="237" t="str">
        <f>IF($B$4="","",IFERROR(INDEX('Combined Delivery Data'!$O:$O,MATCH($B$4,'Combined Delivery Data'!$B:$B,0)),""))</f>
        <v/>
      </c>
      <c r="C17" s="263"/>
      <c r="D17" s="263"/>
      <c r="E17" s="264"/>
    </row>
    <row r="18" spans="1:5">
      <c r="A18" s="42" t="s">
        <v>339</v>
      </c>
      <c r="B18" s="237" t="str">
        <f>IF($B$4="","",IFERROR(INDEX('Combined Delivery Data'!$Q:$Q,MATCH($B$4,'Combined Delivery Data'!$B:$B,0)),""))</f>
        <v/>
      </c>
      <c r="C18" s="263"/>
      <c r="D18" s="263"/>
      <c r="E18" s="264"/>
    </row>
    <row r="19" spans="1:5">
      <c r="A19" s="42" t="s">
        <v>340</v>
      </c>
      <c r="B19" s="237" t="str">
        <f>IF($B$4="","",IFERROR(INDEX('Combined Delivery Data'!$R:$R,MATCH($B$4,'Combined Delivery Data'!$B:$B,0)),""))</f>
        <v/>
      </c>
      <c r="C19" s="263"/>
      <c r="D19" s="263"/>
      <c r="E19" s="264"/>
    </row>
    <row r="20" spans="1:5">
      <c r="A20" s="42" t="s">
        <v>341</v>
      </c>
      <c r="B20" s="237" t="str">
        <f>IF($B$4="","",IFERROR(INDEX('Combined Delivery Data'!$S:$S,MATCH($B$4,'Combined Delivery Data'!$B:$B,0)),""))</f>
        <v/>
      </c>
      <c r="C20" s="263"/>
      <c r="D20" s="263"/>
      <c r="E20" s="264"/>
    </row>
    <row r="21" spans="1:5">
      <c r="A21" s="42" t="s">
        <v>29</v>
      </c>
      <c r="B21" s="238" t="str">
        <f>IF($B$4="","",IFERROR(INDEX('Combined Delivery Data'!$T:$T,MATCH($B$4,'Combined Delivery Data'!$B:$B,0)),""))</f>
        <v/>
      </c>
      <c r="C21" s="263"/>
      <c r="D21" s="263"/>
      <c r="E21" s="264"/>
    </row>
    <row r="22" spans="1:5">
      <c r="A22" s="42" t="s">
        <v>31</v>
      </c>
      <c r="B22" s="238" t="str">
        <f>IF($B$4="","",IFERROR(INDEX('Combined Delivery Data'!$V:$V,MATCH($B$4,'Combined Delivery Data'!$B:$B,0)),""))</f>
        <v/>
      </c>
      <c r="C22" s="263"/>
      <c r="D22" s="263"/>
      <c r="E22" s="264"/>
    </row>
    <row r="23" spans="1:5">
      <c r="A23" s="42" t="s">
        <v>32</v>
      </c>
      <c r="B23" s="237" t="str">
        <f>IF($B$4="","",IFERROR(INDEX('Combined Delivery Data'!$W:$W,MATCH($B$4,'Combined Delivery Data'!$B:$B,0)),""))</f>
        <v/>
      </c>
      <c r="C23" s="263"/>
      <c r="D23" s="263"/>
      <c r="E23" s="264"/>
    </row>
    <row r="24" spans="1:5">
      <c r="A24" s="42" t="s">
        <v>35</v>
      </c>
      <c r="B24" s="238" t="str">
        <f>IF($B$4="","",IFERROR(INDEX('Combined Delivery Data'!$X:$X,MATCH($B$4,'Combined Delivery Data'!$B:$B,0)),""))</f>
        <v/>
      </c>
      <c r="C24" s="263"/>
      <c r="D24" s="263"/>
      <c r="E24" s="264"/>
    </row>
    <row r="25" spans="1:5">
      <c r="A25" s="42" t="s">
        <v>36</v>
      </c>
      <c r="B25" s="238" t="str">
        <f>IF($B$4="","",IFERROR(INDEX('Combined Delivery Data'!$Z:$Z,MATCH($B$4,'Combined Delivery Data'!$B:$B,0)),""))</f>
        <v/>
      </c>
      <c r="C25" s="263"/>
      <c r="D25" s="263"/>
      <c r="E25" s="264"/>
    </row>
    <row r="26" spans="1:5">
      <c r="A26" s="42" t="s">
        <v>342</v>
      </c>
      <c r="B26" s="238" t="str">
        <f>IF($B$4="","",IFERROR(INDEX('Rework Log'!$Q:$Q,MATCH($B$4,'Rework Log'!$P:$P,0)),""))</f>
        <v/>
      </c>
      <c r="C26" s="263"/>
      <c r="D26" s="263"/>
      <c r="E26" s="264"/>
    </row>
    <row r="27" spans="1:5">
      <c r="A27" s="42" t="s">
        <v>343</v>
      </c>
      <c r="B27" s="238" t="str">
        <f>IF($B$4="","",IFERROR(INDEX('Rework Log'!$R:$R,MATCH($B$4,'Rework Log'!$P:$P,0)),""))</f>
        <v/>
      </c>
      <c r="C27" s="263"/>
      <c r="D27" s="263"/>
      <c r="E27" s="264"/>
    </row>
    <row r="28" spans="1:5">
      <c r="A28" s="42" t="s">
        <v>344</v>
      </c>
      <c r="B28" s="238" t="str">
        <f>IF($B$4="","",IFERROR(INDEX('Rework Log'!$S:$S,MATCH($B$4,'Rework Log'!$P:$P,0)),""))</f>
        <v/>
      </c>
      <c r="C28" s="263"/>
      <c r="D28" s="263"/>
      <c r="E28" s="264"/>
    </row>
    <row r="29" spans="1:5">
      <c r="A29" s="42" t="s">
        <v>345</v>
      </c>
      <c r="B29" s="238" t="str">
        <f>IF($B$4="","",IFERROR(INDEX('Rework Log'!$T:$T,MATCH($B$4,'Rework Log'!$P:$P,0)),""))</f>
        <v/>
      </c>
      <c r="C29" s="263"/>
      <c r="D29" s="263"/>
      <c r="E29" s="264"/>
    </row>
    <row r="30" spans="1:5" ht="15.6" customHeight="1">
      <c r="A30" s="42"/>
      <c r="B30" s="238"/>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39" t="s">
        <v>346</v>
      </c>
      <c r="B1" s="239"/>
      <c r="C1" s="239"/>
      <c r="D1" s="239"/>
      <c r="E1" s="239"/>
      <c r="F1" s="239"/>
      <c r="G1" s="239"/>
      <c r="H1" s="239"/>
      <c r="I1" s="239"/>
      <c r="J1" s="239"/>
      <c r="K1" s="239"/>
      <c r="L1" s="239"/>
      <c r="M1" s="239"/>
      <c r="P1" s="266" t="s">
        <v>347</v>
      </c>
      <c r="Q1" s="266"/>
      <c r="R1" s="266"/>
      <c r="S1" s="266"/>
      <c r="T1" s="266"/>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203</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203</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203</v>
      </c>
      <c r="E17" s="31" t="s">
        <v>143</v>
      </c>
      <c r="F17" s="31" t="s">
        <v>376</v>
      </c>
      <c r="G17" s="31" t="s">
        <v>50</v>
      </c>
      <c r="H17" s="32" t="s">
        <v>46</v>
      </c>
      <c r="I17" s="32"/>
      <c r="J17" s="32"/>
      <c r="K17" s="31"/>
      <c r="L17" s="31"/>
      <c r="M17" s="3"/>
      <c r="S17" s="28"/>
    </row>
    <row r="18" spans="1:20">
      <c r="A18" s="33" t="s">
        <v>180</v>
      </c>
      <c r="B18" s="32">
        <v>46261</v>
      </c>
      <c r="C18" s="31" t="s">
        <v>164</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203</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203</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203</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203</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203</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203</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203</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203</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203</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223</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203</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203</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164</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203</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208</v>
      </c>
      <c r="B42" s="32">
        <v>46282</v>
      </c>
      <c r="C42" s="31" t="s">
        <v>164</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164</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203</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164</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410</v>
      </c>
      <c r="B1" s="262"/>
      <c r="C1" s="262"/>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427</v>
      </c>
      <c r="B1" s="262"/>
      <c r="C1" s="262"/>
      <c r="D1" s="262"/>
      <c r="E1" s="262"/>
      <c r="F1" s="262"/>
      <c r="G1" s="262"/>
      <c r="H1" s="262"/>
      <c r="I1" s="262"/>
      <c r="J1" s="262"/>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203</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203</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203</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203</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203</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203</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203</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203</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203</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203</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204</v>
      </c>
      <c r="J4" t="s">
        <v>203</v>
      </c>
      <c r="L4" t="s">
        <v>50</v>
      </c>
      <c r="M4" t="s">
        <v>103</v>
      </c>
      <c r="N4" t="s">
        <v>455</v>
      </c>
      <c r="R4" t="s">
        <v>456</v>
      </c>
      <c r="T4" t="s">
        <v>72</v>
      </c>
    </row>
    <row r="5" spans="1:20" ht="15" customHeight="1">
      <c r="A5" t="s">
        <v>425</v>
      </c>
      <c r="B5" t="s">
        <v>434</v>
      </c>
      <c r="C5" t="s">
        <v>77</v>
      </c>
      <c r="F5" t="s">
        <v>203</v>
      </c>
      <c r="G5" t="s">
        <v>434</v>
      </c>
      <c r="H5" t="s">
        <v>129</v>
      </c>
      <c r="I5" t="s">
        <v>213</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workbookViewId="0">
      <selection activeCell="B161" sqref="B161"/>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2"/>
      <c r="B1" s="172"/>
      <c r="C1" s="172"/>
      <c r="D1" s="172"/>
      <c r="E1" s="172"/>
      <c r="F1" s="172"/>
      <c r="G1" s="172"/>
      <c r="H1" s="172"/>
      <c r="I1" s="172"/>
      <c r="J1" s="172"/>
      <c r="K1" s="172"/>
      <c r="L1" s="172"/>
      <c r="M1" s="172"/>
      <c r="N1" s="172"/>
      <c r="O1" s="172"/>
      <c r="P1" s="172"/>
      <c r="Q1" s="172"/>
      <c r="R1" s="172"/>
      <c r="S1" s="172"/>
      <c r="T1" s="172"/>
      <c r="U1" s="172"/>
      <c r="V1" s="172"/>
      <c r="W1" s="172"/>
      <c r="X1" s="172"/>
      <c r="Y1" s="172"/>
      <c r="Z1" s="172"/>
    </row>
    <row r="2" spans="1:26" ht="33.75" customHeight="1">
      <c r="A2" s="172"/>
      <c r="B2" s="173" t="s">
        <v>477</v>
      </c>
      <c r="C2" s="172"/>
      <c r="D2" s="172"/>
      <c r="E2" s="172"/>
      <c r="F2" s="172"/>
      <c r="G2" s="172"/>
      <c r="H2" s="172"/>
      <c r="I2" s="172"/>
      <c r="J2" s="172"/>
      <c r="K2" s="172"/>
      <c r="L2" s="172"/>
      <c r="M2" s="213" t="str">
        <f ca="1">"As of "&amp;TEXT(TODAY(),"d mmm yyyy")&amp;". Live from Combined Delivery Data."</f>
        <v>As of 1 Oct 2026. Live from Combined Delivery Data.</v>
      </c>
      <c r="N2" s="213"/>
      <c r="O2" s="213"/>
      <c r="P2" s="172"/>
      <c r="Q2" s="172"/>
      <c r="R2" s="172"/>
      <c r="S2" s="172"/>
      <c r="T2" s="172"/>
      <c r="U2" s="172"/>
      <c r="V2" s="172"/>
      <c r="W2" s="172"/>
      <c r="X2" s="172"/>
      <c r="Y2" s="172"/>
      <c r="Z2" s="172"/>
    </row>
    <row r="3" spans="1:26" ht="18" customHeight="1">
      <c r="A3" s="172"/>
      <c r="B3" s="174" t="str">
        <f>"GDM migration. "&amp;K17&amp;" reports in the July to November waves. Milestones are the revised committed dates."</f>
        <v>GDM migration. 72 reports in the July to November waves. Milestones are the revised committed dates.</v>
      </c>
      <c r="C3" s="172"/>
      <c r="D3" s="172"/>
      <c r="E3" s="172"/>
      <c r="F3" s="172"/>
      <c r="G3" s="172"/>
      <c r="H3" s="172"/>
      <c r="I3" s="172"/>
      <c r="J3" s="172"/>
      <c r="K3" s="172"/>
      <c r="L3" s="172"/>
      <c r="M3" s="172"/>
      <c r="N3" s="172"/>
      <c r="O3" s="172"/>
      <c r="P3" s="172"/>
      <c r="Q3" s="172"/>
      <c r="R3" s="172"/>
      <c r="S3" s="172"/>
      <c r="T3" s="172"/>
      <c r="U3" s="172"/>
      <c r="V3" s="172"/>
      <c r="W3" s="172"/>
      <c r="X3" s="172"/>
      <c r="Y3" s="172"/>
      <c r="Z3" s="172"/>
    </row>
    <row r="4" spans="1:26" ht="8.25" customHeight="1">
      <c r="A4" s="172"/>
      <c r="B4" s="172"/>
      <c r="C4" s="172"/>
      <c r="D4" s="172"/>
      <c r="E4" s="172"/>
      <c r="F4" s="172"/>
      <c r="G4" s="172"/>
      <c r="H4" s="172"/>
      <c r="I4" s="172"/>
      <c r="J4" s="172"/>
      <c r="K4" s="172"/>
      <c r="L4" s="172"/>
      <c r="M4" s="172"/>
      <c r="N4" s="172"/>
      <c r="O4" s="172"/>
      <c r="P4" s="172"/>
      <c r="Q4" s="172"/>
      <c r="R4" s="172"/>
      <c r="S4" s="172"/>
      <c r="T4" s="172"/>
      <c r="U4" s="172"/>
      <c r="V4" s="172"/>
      <c r="W4" s="172"/>
      <c r="X4" s="172"/>
      <c r="Y4" s="172"/>
      <c r="Z4" s="172"/>
    </row>
    <row r="5" spans="1:26" ht="39.75" customHeight="1">
      <c r="A5" s="172"/>
      <c r="B5" s="175" t="str">
        <f>(C7+E7)&amp;" of "&amp;K17</f>
        <v>29 of 72</v>
      </c>
      <c r="C5" s="214" t="str">
        <f>IF(C7+E7=0,"No CMS reports are blocked.","reports are blocked. "&amp;C7&amp;" are approved and waiting for a production release, "&amp;E7&amp;" are blocked in build or QA.")</f>
        <v>reports are blocked. 25 are approved and waiting for a production release, 4 are blocked in build or QA.</v>
      </c>
      <c r="D5" s="214"/>
      <c r="E5" s="214"/>
      <c r="F5" s="214"/>
      <c r="G5" s="214"/>
      <c r="H5" s="214"/>
      <c r="I5" s="214"/>
      <c r="J5" s="214"/>
      <c r="K5" s="214"/>
      <c r="L5" s="214"/>
      <c r="M5" s="214"/>
      <c r="N5" s="214"/>
      <c r="O5" s="214"/>
      <c r="P5" s="172"/>
      <c r="Q5" s="172"/>
      <c r="R5" s="172"/>
      <c r="S5" s="172"/>
      <c r="T5" s="172"/>
      <c r="U5" s="172"/>
      <c r="V5" s="172"/>
      <c r="W5" s="172"/>
      <c r="X5" s="172"/>
      <c r="Y5" s="172"/>
      <c r="Z5" s="172"/>
    </row>
    <row r="6" spans="1:26" ht="8.25" customHeight="1">
      <c r="A6" s="172"/>
      <c r="B6" s="172"/>
      <c r="C6" s="172"/>
      <c r="D6" s="172"/>
      <c r="E6" s="172"/>
      <c r="F6" s="172"/>
      <c r="G6" s="172"/>
      <c r="H6" s="172"/>
      <c r="I6" s="172"/>
      <c r="J6" s="172"/>
      <c r="K6" s="172"/>
      <c r="L6" s="172"/>
      <c r="M6" s="172"/>
      <c r="N6" s="172"/>
      <c r="O6" s="172"/>
      <c r="P6" s="172"/>
      <c r="Q6" s="172"/>
      <c r="R6" s="172"/>
      <c r="S6" s="172"/>
      <c r="T6" s="172"/>
      <c r="U6" s="172"/>
      <c r="V6" s="172"/>
      <c r="W6" s="172"/>
      <c r="X6" s="172"/>
      <c r="Y6" s="172"/>
      <c r="Z6" s="172"/>
    </row>
    <row r="7" spans="1:26" ht="36" customHeight="1">
      <c r="A7" s="172"/>
      <c r="B7" s="172"/>
      <c r="C7" s="215" cm="1">
        <f t="array" ref="C7">COUNTIFS(cmsDom,"CMS",cmsStatus,"Ready for Release in Prod")</f>
        <v>25</v>
      </c>
      <c r="D7" s="216"/>
      <c r="E7" s="219" cm="1">
        <f t="array" ref="E7">COUNTIFS(cmsDom,"CMS",cmsBlocked,"Yes*",cmsStatus,"&lt;&gt;Ready for Release in Prod",cmsStatus,"&lt;&gt;RELEASED IN PROD")</f>
        <v>4</v>
      </c>
      <c r="F7" s="220"/>
      <c r="G7" s="221" cm="1">
        <f t="array" ref="G7">SUM(COUNTIFS(cmsDom,"CMS",cmsBlocked,"&lt;&gt;Yes*",cmsStatus,{"DB Dev","PBI Dev","QA","DPO Approval"}))</f>
        <v>21</v>
      </c>
      <c r="H7" s="222"/>
      <c r="I7" s="223" cm="1">
        <f t="array" ref="I7">COUNTIFS(cmsDom,"CMS",cmsBlocked,"&lt;&gt;Yes*",cmsStatus,"NOT STARTED")</f>
        <v>22</v>
      </c>
      <c r="J7" s="224"/>
      <c r="K7" s="225" cm="1">
        <f t="array" ref="K7">COUNTIFS(cmsDom,"CMS",cmsStatus,"RELEASED IN PROD")</f>
        <v>0</v>
      </c>
      <c r="L7" s="226"/>
      <c r="M7" s="227" t="s">
        <v>478</v>
      </c>
      <c r="N7" s="228"/>
      <c r="O7" s="229"/>
      <c r="P7" s="172"/>
      <c r="Q7" s="172"/>
      <c r="R7" s="172"/>
      <c r="S7" s="172"/>
      <c r="T7" s="172"/>
      <c r="U7" s="172"/>
      <c r="V7" s="172"/>
      <c r="W7" s="172"/>
      <c r="X7" s="172"/>
      <c r="Y7" s="172"/>
      <c r="Z7" s="172"/>
    </row>
    <row r="8" spans="1:26" ht="30" customHeight="1">
      <c r="A8" s="172"/>
      <c r="B8" s="172"/>
      <c r="C8" s="217" t="s">
        <v>479</v>
      </c>
      <c r="D8" s="218"/>
      <c r="E8" s="217" t="s">
        <v>480</v>
      </c>
      <c r="F8" s="218"/>
      <c r="G8" s="217" t="s">
        <v>481</v>
      </c>
      <c r="H8" s="218"/>
      <c r="I8" s="217" t="s">
        <v>482</v>
      </c>
      <c r="J8" s="218"/>
      <c r="K8" s="217" t="s">
        <v>483</v>
      </c>
      <c r="L8" s="218"/>
      <c r="M8" s="21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17.</v>
      </c>
      <c r="N8" s="218"/>
      <c r="O8" s="230"/>
      <c r="P8" s="172"/>
      <c r="Q8" s="172"/>
      <c r="R8" s="172"/>
      <c r="S8" s="172"/>
      <c r="T8" s="172"/>
      <c r="U8" s="172"/>
      <c r="V8" s="172"/>
      <c r="W8" s="172"/>
      <c r="X8" s="172"/>
      <c r="Y8" s="172"/>
      <c r="Z8" s="172"/>
    </row>
    <row r="9" spans="1:26" ht="12" customHeight="1">
      <c r="A9" s="172"/>
      <c r="B9" s="172"/>
      <c r="C9" s="172"/>
      <c r="D9" s="172"/>
      <c r="E9" s="172"/>
      <c r="F9" s="172"/>
      <c r="G9" s="172"/>
      <c r="H9" s="172"/>
      <c r="I9" s="172"/>
      <c r="J9" s="172"/>
      <c r="K9" s="172"/>
      <c r="L9" s="172"/>
      <c r="M9" s="172"/>
      <c r="N9" s="172"/>
      <c r="O9" s="172"/>
      <c r="P9" s="172"/>
      <c r="Q9" s="172"/>
      <c r="R9" s="172"/>
      <c r="S9" s="172"/>
      <c r="T9" s="172"/>
      <c r="U9" s="172"/>
      <c r="V9" s="172"/>
      <c r="W9" s="172"/>
      <c r="X9" s="172"/>
      <c r="Y9" s="172"/>
      <c r="Z9" s="172"/>
    </row>
    <row r="10" spans="1:26" ht="21.75" customHeight="1">
      <c r="A10" s="172"/>
      <c r="B10" s="184" t="s">
        <v>484</v>
      </c>
      <c r="C10" s="203" t="s">
        <v>485</v>
      </c>
      <c r="D10" s="203"/>
      <c r="E10" s="203"/>
      <c r="F10" s="203"/>
      <c r="G10" s="203"/>
      <c r="H10" s="203"/>
      <c r="I10" s="203"/>
      <c r="J10" s="203"/>
      <c r="K10" s="203"/>
      <c r="L10" s="203"/>
      <c r="M10" s="203"/>
      <c r="N10" s="203"/>
      <c r="O10" s="203"/>
      <c r="P10" s="172"/>
      <c r="Q10" s="172"/>
      <c r="R10" s="172"/>
      <c r="S10" s="172"/>
      <c r="T10" s="172"/>
      <c r="U10" s="172"/>
      <c r="V10" s="172"/>
      <c r="W10" s="172"/>
      <c r="X10" s="172"/>
      <c r="Y10" s="172"/>
      <c r="Z10" s="172"/>
    </row>
    <row r="11" spans="1:26" ht="30" customHeight="1">
      <c r="A11" s="172"/>
      <c r="B11" s="189" t="s">
        <v>486</v>
      </c>
      <c r="C11" s="186" t="s">
        <v>487</v>
      </c>
      <c r="D11" s="186" t="s">
        <v>488</v>
      </c>
      <c r="E11" s="186" t="s">
        <v>181</v>
      </c>
      <c r="F11" s="186" t="s">
        <v>164</v>
      </c>
      <c r="G11" s="186" t="s">
        <v>203</v>
      </c>
      <c r="H11" s="186" t="s">
        <v>223</v>
      </c>
      <c r="I11" s="186" t="s">
        <v>482</v>
      </c>
      <c r="J11" s="186" t="s">
        <v>489</v>
      </c>
      <c r="K11" s="186" t="s">
        <v>490</v>
      </c>
      <c r="L11" s="186" t="s">
        <v>491</v>
      </c>
      <c r="M11" s="231" t="s">
        <v>492</v>
      </c>
      <c r="N11" s="232"/>
      <c r="O11" s="233"/>
      <c r="P11" s="172"/>
      <c r="Q11" s="172"/>
      <c r="R11" s="172"/>
      <c r="S11" s="172"/>
      <c r="T11" s="172"/>
      <c r="U11" s="172"/>
      <c r="V11" s="172"/>
      <c r="W11" s="172"/>
      <c r="X11" s="172"/>
      <c r="Y11" s="172"/>
      <c r="Z11" s="172"/>
    </row>
    <row r="12" spans="1:26" ht="21.75" customHeight="1">
      <c r="A12" s="172"/>
      <c r="B12" s="190" t="s">
        <v>130</v>
      </c>
      <c r="C12" s="191" cm="1">
        <f t="array" ref="C12">COUNTIFS(cmsDom,"CMS",cmsMonth,$B12,cmsStatus,"Ready for Release in Prod")</f>
        <v>14</v>
      </c>
      <c r="D12" s="191" cm="1">
        <f t="array" ref="D12">COUNTIFS(cmsDom,"CMS",cmsMonth,$B12,cmsBlocked,"Yes*",cmsStatus,"&lt;&gt;Ready for Release in Prod",cmsStatus,"&lt;&gt;RELEASED IN PROD")</f>
        <v>0</v>
      </c>
      <c r="E12" s="191" cm="1">
        <f t="array" ref="E12">COUNTIFS(cmsDom,"CMS",cmsMonth,$B12,cmsBlocked,"&lt;&gt;Yes*",cmsStatus,"DPO Approval")</f>
        <v>0</v>
      </c>
      <c r="F12" s="191" cm="1">
        <f t="array" ref="F12">COUNTIFS(cmsDom,"CMS",cmsMonth,$B12,cmsBlocked,"&lt;&gt;Yes*",cmsStatus,"QA")</f>
        <v>0</v>
      </c>
      <c r="G12" s="191" cm="1">
        <f t="array" ref="G12">COUNTIFS(cmsDom,"CMS",cmsMonth,$B12,cmsBlocked,"&lt;&gt;Yes*",cmsStatus,"PBI Dev")</f>
        <v>0</v>
      </c>
      <c r="H12" s="191" cm="1">
        <f t="array" ref="H12">COUNTIFS(cmsDom,"CMS",cmsMonth,$B12,cmsBlocked,"&lt;&gt;Yes*",cmsStatus,"DB Dev")</f>
        <v>0</v>
      </c>
      <c r="I12" s="191" cm="1">
        <f t="array" ref="I12">COUNTIFS(cmsDom,"CMS",cmsMonth,$B12,cmsBlocked,"&lt;&gt;Yes*",cmsStatus,"NOT STARTED")</f>
        <v>0</v>
      </c>
      <c r="J12" s="191" cm="1">
        <f t="array" ref="J12">COUNTIFS(cmsDom,"CMS",cmsMonth,$B12,cmsStatus,"RELEASED IN PROD")</f>
        <v>0</v>
      </c>
      <c r="K12" s="191" cm="1">
        <f t="array" ref="K12">COUNTIFS(cmsDom,"CMS",cmsMonth,$B12)</f>
        <v>14</v>
      </c>
      <c r="L12" s="192">
        <f>_xlfn.XLOOKUP($B12&amp;" Reports",DimRebaseline[Delivery Wave],DimRebaseline[Revised Committed Milestone],"")</f>
        <v>46274</v>
      </c>
      <c r="M12" s="234" t="str">
        <f ca="1">IF($K12=0,"",IF($J12=$K12,"Delivered",IF($L12="","No milestone in Dim Table",IF(TODAY()&gt;$L12,TEXT(TODAY()-$L12,"0")&amp;" days past milestone, "&amp;($K12-$J12)&amp;" of "&amp;$K12&amp;" not released",TEXT($L12-TODAY(),"0")&amp;" days to milestone"&amp;IF($D12&gt;0,", "&amp;$D12&amp;" blocked","")))))</f>
        <v>22 days past milestone, 14 of 14 not released</v>
      </c>
      <c r="N12" s="235"/>
      <c r="O12" s="236"/>
      <c r="P12" s="172"/>
      <c r="Q12" s="172"/>
      <c r="R12" s="172"/>
      <c r="S12" s="172"/>
      <c r="T12" s="172"/>
      <c r="U12" s="172"/>
      <c r="V12" s="172"/>
      <c r="W12" s="172"/>
      <c r="X12" s="172"/>
      <c r="Y12" s="172"/>
      <c r="Z12" s="172"/>
    </row>
    <row r="13" spans="1:26" ht="21.75" customHeight="1">
      <c r="A13" s="172"/>
      <c r="B13" s="196" t="s">
        <v>166</v>
      </c>
      <c r="C13" s="197" cm="1">
        <f t="array" ref="C13">COUNTIFS(cmsDom,"CMS",cmsMonth,$B13,cmsStatus,"Ready for Release in Prod")</f>
        <v>9</v>
      </c>
      <c r="D13" s="197" cm="1">
        <f t="array" ref="D13">COUNTIFS(cmsDom,"CMS",cmsMonth,$B13,cmsBlocked,"Yes*",cmsStatus,"&lt;&gt;Ready for Release in Prod",cmsStatus,"&lt;&gt;RELEASED IN PROD")</f>
        <v>0</v>
      </c>
      <c r="E13" s="197" cm="1">
        <f t="array" ref="E13">COUNTIFS(cmsDom,"CMS",cmsMonth,$B13,cmsBlocked,"&lt;&gt;Yes*",cmsStatus,"DPO Approval")</f>
        <v>2</v>
      </c>
      <c r="F13" s="197" cm="1">
        <f t="array" ref="F13">COUNTIFS(cmsDom,"CMS",cmsMonth,$B13,cmsBlocked,"&lt;&gt;Yes*",cmsStatus,"QA")</f>
        <v>1</v>
      </c>
      <c r="G13" s="197" cm="1">
        <f t="array" ref="G13">COUNTIFS(cmsDom,"CMS",cmsMonth,$B13,cmsBlocked,"&lt;&gt;Yes*",cmsStatus,"PBI Dev")</f>
        <v>0</v>
      </c>
      <c r="H13" s="197" cm="1">
        <f t="array" ref="H13">COUNTIFS(cmsDom,"CMS",cmsMonth,$B13,cmsBlocked,"&lt;&gt;Yes*",cmsStatus,"DB Dev")</f>
        <v>0</v>
      </c>
      <c r="I13" s="197" cm="1">
        <f t="array" ref="I13">COUNTIFS(cmsDom,"CMS",cmsMonth,$B13,cmsBlocked,"&lt;&gt;Yes*",cmsStatus,"NOT STARTED")</f>
        <v>0</v>
      </c>
      <c r="J13" s="197" cm="1">
        <f t="array" ref="J13">COUNTIFS(cmsDom,"CMS",cmsMonth,$B13,cmsStatus,"RELEASED IN PROD")</f>
        <v>0</v>
      </c>
      <c r="K13" s="197" cm="1">
        <f t="array" ref="K13">COUNTIFS(cmsDom,"CMS",cmsMonth,$B13)</f>
        <v>12</v>
      </c>
      <c r="L13" s="198">
        <f>_xlfn.XLOOKUP($B13&amp;" Reports",DimRebaseline[Delivery Wave],DimRebaseline[Revised Committed Milestone],"")</f>
        <v>46295</v>
      </c>
      <c r="M13" s="204" t="str">
        <f ca="1">IF($K13=0,"",IF($J13=$K13,"Delivered",IF($L13="","No milestone in Dim Table",IF(TODAY()&gt;$L13,TEXT(TODAY()-$L13,"0")&amp;" days past milestone, "&amp;($K13-$J13)&amp;" of "&amp;$K13&amp;" not released",TEXT($L13-TODAY(),"0")&amp;" days to milestone"&amp;IF($D13&gt;0,", "&amp;$D13&amp;" blocked","")))))</f>
        <v>1 days past milestone, 12 of 12 not released</v>
      </c>
      <c r="N13" s="205"/>
      <c r="O13" s="206"/>
      <c r="P13" s="172"/>
      <c r="Q13" s="172"/>
      <c r="R13" s="172"/>
      <c r="S13" s="172"/>
      <c r="T13" s="172"/>
      <c r="U13" s="172"/>
      <c r="V13" s="172"/>
      <c r="W13" s="172"/>
      <c r="X13" s="172"/>
      <c r="Y13" s="172"/>
      <c r="Z13" s="172"/>
    </row>
    <row r="14" spans="1:26" ht="21.75" customHeight="1">
      <c r="A14" s="172"/>
      <c r="B14" s="196" t="s">
        <v>192</v>
      </c>
      <c r="C14" s="197" cm="1">
        <f t="array" ref="C14">COUNTIFS(cmsDom,"CMS",cmsMonth,$B14,cmsStatus,"Ready for Release in Prod")</f>
        <v>2</v>
      </c>
      <c r="D14" s="197" cm="1">
        <f t="array" ref="D14">COUNTIFS(cmsDom,"CMS",cmsMonth,$B14,cmsBlocked,"Yes*",cmsStatus,"&lt;&gt;Ready for Release in Prod",cmsStatus,"&lt;&gt;RELEASED IN PROD")</f>
        <v>3</v>
      </c>
      <c r="E14" s="197" cm="1">
        <f t="array" ref="E14">COUNTIFS(cmsDom,"CMS",cmsMonth,$B14,cmsBlocked,"&lt;&gt;Yes*",cmsStatus,"DPO Approval")</f>
        <v>6</v>
      </c>
      <c r="F14" s="197" cm="1">
        <f t="array" ref="F14">COUNTIFS(cmsDom,"CMS",cmsMonth,$B14,cmsBlocked,"&lt;&gt;Yes*",cmsStatus,"QA")</f>
        <v>2</v>
      </c>
      <c r="G14" s="197" cm="1">
        <f t="array" ref="G14">COUNTIFS(cmsDom,"CMS",cmsMonth,$B14,cmsBlocked,"&lt;&gt;Yes*",cmsStatus,"PBI Dev")</f>
        <v>3</v>
      </c>
      <c r="H14" s="197" cm="1">
        <f t="array" ref="H14">COUNTIFS(cmsDom,"CMS",cmsMonth,$B14,cmsBlocked,"&lt;&gt;Yes*",cmsStatus,"DB Dev")</f>
        <v>1</v>
      </c>
      <c r="I14" s="197" cm="1">
        <f t="array" ref="I14">COUNTIFS(cmsDom,"CMS",cmsMonth,$B14,cmsBlocked,"&lt;&gt;Yes*",cmsStatus,"NOT STARTED")</f>
        <v>1</v>
      </c>
      <c r="J14" s="197" cm="1">
        <f t="array" ref="J14">COUNTIFS(cmsDom,"CMS",cmsMonth,$B14,cmsStatus,"RELEASED IN PROD")</f>
        <v>0</v>
      </c>
      <c r="K14" s="197" cm="1">
        <f t="array" ref="K14">COUNTIFS(cmsDom,"CMS",cmsMonth,$B14)</f>
        <v>18</v>
      </c>
      <c r="L14" s="198">
        <f>_xlfn.XLOOKUP($B14&amp;" Reports",DimRebaseline[Delivery Wave],DimRebaseline[Revised Committed Milestone],"")</f>
        <v>46325</v>
      </c>
      <c r="M14" s="204" t="str">
        <f ca="1">IF($K14=0,"",IF($J14=$K14,"Delivered",IF($L14="","No milestone in Dim Table",IF(TODAY()&gt;$L14,TEXT(TODAY()-$L14,"0")&amp;" days past milestone, "&amp;($K14-$J14)&amp;" of "&amp;$K14&amp;" not released",TEXT($L14-TODAY(),"0")&amp;" days to milestone"&amp;IF($D14&gt;0,", "&amp;$D14&amp;" blocked","")))))</f>
        <v>29 days to milestone, 3 blocked</v>
      </c>
      <c r="N14" s="205"/>
      <c r="O14" s="206"/>
      <c r="P14" s="172"/>
      <c r="Q14" s="172"/>
      <c r="R14" s="172"/>
      <c r="S14" s="172"/>
      <c r="T14" s="172"/>
      <c r="U14" s="172"/>
      <c r="V14" s="172"/>
      <c r="W14" s="172"/>
      <c r="X14" s="172"/>
      <c r="Y14" s="172"/>
      <c r="Z14" s="172"/>
    </row>
    <row r="15" spans="1:26" ht="21.75" customHeight="1">
      <c r="A15" s="172"/>
      <c r="B15" s="196" t="s">
        <v>240</v>
      </c>
      <c r="C15" s="197" cm="1">
        <f t="array" ref="C15">COUNTIFS(cmsDom,"CMS",cmsMonth,$B15,cmsStatus,"Ready for Release in Prod")</f>
        <v>0</v>
      </c>
      <c r="D15" s="197" cm="1">
        <f t="array" ref="D15">COUNTIFS(cmsDom,"CMS",cmsMonth,$B15,cmsBlocked,"Yes*",cmsStatus,"&lt;&gt;Ready for Release in Prod",cmsStatus,"&lt;&gt;RELEASED IN PROD")</f>
        <v>1</v>
      </c>
      <c r="E15" s="197" cm="1">
        <f t="array" ref="E15">COUNTIFS(cmsDom,"CMS",cmsMonth,$B15,cmsBlocked,"&lt;&gt;Yes*",cmsStatus,"DPO Approval")</f>
        <v>0</v>
      </c>
      <c r="F15" s="197" cm="1">
        <f t="array" ref="F15">COUNTIFS(cmsDom,"CMS",cmsMonth,$B15,cmsBlocked,"&lt;&gt;Yes*",cmsStatus,"QA")</f>
        <v>1</v>
      </c>
      <c r="G15" s="197" cm="1">
        <f t="array" ref="G15">COUNTIFS(cmsDom,"CMS",cmsMonth,$B15,cmsBlocked,"&lt;&gt;Yes*",cmsStatus,"PBI Dev")</f>
        <v>4</v>
      </c>
      <c r="H15" s="197" cm="1">
        <f t="array" ref="H15">COUNTIFS(cmsDom,"CMS",cmsMonth,$B15,cmsBlocked,"&lt;&gt;Yes*",cmsStatus,"DB Dev")</f>
        <v>1</v>
      </c>
      <c r="I15" s="197" cm="1">
        <f t="array" ref="I15">COUNTIFS(cmsDom,"CMS",cmsMonth,$B15,cmsBlocked,"&lt;&gt;Yes*",cmsStatus,"NOT STARTED")</f>
        <v>6</v>
      </c>
      <c r="J15" s="197" cm="1">
        <f t="array" ref="J15">COUNTIFS(cmsDom,"CMS",cmsMonth,$B15,cmsStatus,"RELEASED IN PROD")</f>
        <v>0</v>
      </c>
      <c r="K15" s="197" cm="1">
        <f t="array" ref="K15">COUNTIFS(cmsDom,"CMS",cmsMonth,$B15)</f>
        <v>13</v>
      </c>
      <c r="L15" s="198">
        <f>_xlfn.XLOOKUP($B15&amp;" Reports",DimRebaseline[Delivery Wave],DimRebaseline[Revised Committed Milestone],"")</f>
        <v>46356</v>
      </c>
      <c r="M15" s="204" t="str">
        <f ca="1">IF($K15=0,"",IF($J15=$K15,"Delivered",IF($L15="","No milestone in Dim Table",IF(TODAY()&gt;$L15,TEXT(TODAY()-$L15,"0")&amp;" days past milestone, "&amp;($K15-$J15)&amp;" of "&amp;$K15&amp;" not released",TEXT($L15-TODAY(),"0")&amp;" days to milestone"&amp;IF($D15&gt;0,", "&amp;$D15&amp;" blocked","")))))</f>
        <v>60 days to milestone, 1 blocked</v>
      </c>
      <c r="N15" s="205"/>
      <c r="O15" s="206"/>
      <c r="P15" s="172"/>
      <c r="Q15" s="172"/>
      <c r="R15" s="172"/>
      <c r="S15" s="172"/>
      <c r="T15" s="172"/>
      <c r="U15" s="172"/>
      <c r="V15" s="172"/>
      <c r="W15" s="172"/>
      <c r="X15" s="172"/>
      <c r="Y15" s="172"/>
      <c r="Z15" s="172"/>
    </row>
    <row r="16" spans="1:26" ht="21.75" customHeight="1">
      <c r="A16" s="172"/>
      <c r="B16" s="193" t="s">
        <v>265</v>
      </c>
      <c r="C16" s="194" cm="1">
        <f t="array" ref="C16">COUNTIFS(cmsDom,"CMS",cmsMonth,$B16,cmsStatus,"Ready for Release in Prod")</f>
        <v>0</v>
      </c>
      <c r="D16" s="194" cm="1">
        <f t="array" ref="D16">COUNTIFS(cmsDom,"CMS",cmsMonth,$B16,cmsBlocked,"Yes*",cmsStatus,"&lt;&gt;Ready for Release in Prod",cmsStatus,"&lt;&gt;RELEASED IN PROD")</f>
        <v>0</v>
      </c>
      <c r="E16" s="194" cm="1">
        <f t="array" ref="E16">COUNTIFS(cmsDom,"CMS",cmsMonth,$B16,cmsBlocked,"&lt;&gt;Yes*",cmsStatus,"DPO Approval")</f>
        <v>0</v>
      </c>
      <c r="F16" s="194" cm="1">
        <f t="array" ref="F16">COUNTIFS(cmsDom,"CMS",cmsMonth,$B16,cmsBlocked,"&lt;&gt;Yes*",cmsStatus,"QA")</f>
        <v>0</v>
      </c>
      <c r="G16" s="194" cm="1">
        <f t="array" ref="G16">COUNTIFS(cmsDom,"CMS",cmsMonth,$B16,cmsBlocked,"&lt;&gt;Yes*",cmsStatus,"PBI Dev")</f>
        <v>0</v>
      </c>
      <c r="H16" s="194" cm="1">
        <f t="array" ref="H16">COUNTIFS(cmsDom,"CMS",cmsMonth,$B16,cmsBlocked,"&lt;&gt;Yes*",cmsStatus,"DB Dev")</f>
        <v>0</v>
      </c>
      <c r="I16" s="194" cm="1">
        <f t="array" ref="I16">COUNTIFS(cmsDom,"CMS",cmsMonth,$B16,cmsBlocked,"&lt;&gt;Yes*",cmsStatus,"NOT STARTED")</f>
        <v>15</v>
      </c>
      <c r="J16" s="194" cm="1">
        <f t="array" ref="J16">COUNTIFS(cmsDom,"CMS",cmsMonth,$B16,cmsStatus,"RELEASED IN PROD")</f>
        <v>0</v>
      </c>
      <c r="K16" s="194" cm="1">
        <f t="array" ref="K16">COUNTIFS(cmsDom,"CMS",cmsMonth,$B16)</f>
        <v>15</v>
      </c>
      <c r="L16" s="195">
        <f>_xlfn.XLOOKUP($B16&amp;" Reports",DimRebaseline[Delivery Wave],DimRebaseline[Revised Committed Milestone],"")</f>
        <v>46387</v>
      </c>
      <c r="M16" s="207" t="str">
        <f ca="1">IF($K16=0,"",IF($J16=$K16,"Delivered",IF($L16="","No milestone in Dim Table",IF(TODAY()&gt;$L16,TEXT(TODAY()-$L16,"0")&amp;" days past milestone, "&amp;($K16-$J16)&amp;" of "&amp;$K16&amp;" not released",TEXT($L16-TODAY(),"0")&amp;" days to milestone"&amp;IF($D16&gt;0,", "&amp;$D16&amp;" blocked","")))))</f>
        <v>91 days to milestone</v>
      </c>
      <c r="N16" s="208"/>
      <c r="O16" s="209"/>
      <c r="P16" s="172"/>
      <c r="Q16" s="172"/>
      <c r="R16" s="172"/>
      <c r="S16" s="172"/>
      <c r="T16" s="172"/>
      <c r="U16" s="172"/>
      <c r="V16" s="172"/>
      <c r="W16" s="172"/>
      <c r="X16" s="172"/>
      <c r="Y16" s="172"/>
      <c r="Z16" s="172"/>
    </row>
    <row r="17" spans="1:26" ht="24" customHeight="1">
      <c r="A17" s="172"/>
      <c r="B17" s="187" t="s">
        <v>493</v>
      </c>
      <c r="C17" s="199">
        <f>SUM(C12:C16)</f>
        <v>25</v>
      </c>
      <c r="D17" s="199">
        <f>SUM(D12:D16)</f>
        <v>4</v>
      </c>
      <c r="E17" s="199">
        <f>SUM(E12:E16)</f>
        <v>8</v>
      </c>
      <c r="F17" s="199">
        <f>SUM(F12:F16)</f>
        <v>4</v>
      </c>
      <c r="G17" s="199">
        <f>SUM(G12:G16)</f>
        <v>7</v>
      </c>
      <c r="H17" s="199">
        <f>SUM(H12:H16)</f>
        <v>2</v>
      </c>
      <c r="I17" s="199">
        <f>SUM(I12:I16)</f>
        <v>22</v>
      </c>
      <c r="J17" s="199">
        <f>SUM(J12:J16)</f>
        <v>0</v>
      </c>
      <c r="K17" s="199">
        <f>SUM(K12:K16)</f>
        <v>72</v>
      </c>
      <c r="L17" s="188"/>
      <c r="M17" s="210" t="str">
        <f>IF(SUM(C17:J17)=K17,"","Counts do not add up to the report total")</f>
        <v/>
      </c>
      <c r="N17" s="211"/>
      <c r="O17" s="212"/>
      <c r="P17" s="172"/>
      <c r="Q17" s="172"/>
      <c r="R17" s="172"/>
      <c r="S17" s="172"/>
      <c r="T17" s="172"/>
      <c r="U17" s="172"/>
      <c r="V17" s="172"/>
      <c r="W17" s="172"/>
      <c r="X17" s="172"/>
      <c r="Y17" s="172"/>
      <c r="Z17" s="172"/>
    </row>
    <row r="18" spans="1:26" ht="12" customHeight="1">
      <c r="A18" s="172"/>
      <c r="B18" s="172"/>
      <c r="C18" s="172"/>
      <c r="D18" s="172"/>
      <c r="E18" s="172"/>
      <c r="F18" s="172"/>
      <c r="G18" s="172"/>
      <c r="H18" s="172"/>
      <c r="I18" s="172"/>
      <c r="J18" s="172"/>
      <c r="K18" s="172"/>
      <c r="L18" s="172"/>
      <c r="M18" s="172"/>
      <c r="N18" s="172"/>
      <c r="O18" s="172"/>
      <c r="P18" s="172"/>
      <c r="Q18" s="172"/>
      <c r="R18" s="172"/>
      <c r="S18" s="172"/>
      <c r="T18" s="172"/>
      <c r="U18" s="172"/>
      <c r="V18" s="172"/>
      <c r="W18" s="172"/>
      <c r="X18" s="172"/>
      <c r="Y18" s="172"/>
      <c r="Z18" s="172"/>
    </row>
    <row r="19" spans="1:26" ht="21.75" customHeight="1">
      <c r="A19" s="172"/>
      <c r="B19" s="184" t="s">
        <v>494</v>
      </c>
      <c r="C19" s="203" t="s">
        <v>495</v>
      </c>
      <c r="D19" s="203"/>
      <c r="E19" s="203"/>
      <c r="F19" s="203"/>
      <c r="G19" s="203"/>
      <c r="H19" s="203"/>
      <c r="I19" s="203"/>
      <c r="J19" s="203"/>
      <c r="K19" s="203"/>
      <c r="L19" s="203"/>
      <c r="M19" s="203"/>
      <c r="N19" s="203"/>
      <c r="O19" s="203"/>
      <c r="P19" s="172"/>
      <c r="Q19" s="172"/>
      <c r="R19" s="172"/>
      <c r="S19" s="172"/>
      <c r="T19" s="172"/>
      <c r="U19" s="172"/>
      <c r="V19" s="172"/>
      <c r="W19" s="172"/>
      <c r="X19" s="172"/>
      <c r="Y19" s="172"/>
      <c r="Z19" s="172"/>
    </row>
    <row r="20" spans="1:26" ht="15" customHeight="1">
      <c r="A20" s="172"/>
      <c r="B20" s="179"/>
      <c r="C20" s="177"/>
      <c r="D20" s="177"/>
      <c r="E20" s="177"/>
      <c r="F20" s="177"/>
      <c r="G20" s="177"/>
      <c r="H20" s="177"/>
      <c r="I20" s="177"/>
      <c r="J20" s="177"/>
      <c r="K20" s="177"/>
      <c r="L20" s="177"/>
      <c r="M20" s="177"/>
      <c r="N20" s="177"/>
      <c r="O20" s="181"/>
      <c r="P20" s="172"/>
      <c r="Q20" s="172"/>
      <c r="R20" s="172"/>
      <c r="S20" s="172"/>
      <c r="T20" s="172"/>
      <c r="U20" s="172"/>
      <c r="V20" s="172"/>
      <c r="W20" s="172"/>
      <c r="X20" s="172"/>
      <c r="Y20" s="172"/>
      <c r="Z20" s="172"/>
    </row>
    <row r="21" spans="1:26" ht="15" customHeight="1">
      <c r="A21" s="172"/>
      <c r="B21" s="183"/>
      <c r="C21" s="176"/>
      <c r="D21" s="176"/>
      <c r="E21" s="176"/>
      <c r="F21" s="176"/>
      <c r="G21" s="176"/>
      <c r="H21" s="176"/>
      <c r="I21" s="176"/>
      <c r="J21" s="176"/>
      <c r="K21" s="176"/>
      <c r="L21" s="176"/>
      <c r="M21" s="176"/>
      <c r="N21" s="176"/>
      <c r="O21" s="185"/>
      <c r="P21" s="172"/>
      <c r="Q21" s="172"/>
      <c r="R21" s="172"/>
      <c r="S21" s="172"/>
      <c r="T21" s="172"/>
      <c r="U21" s="172"/>
      <c r="V21" s="172"/>
      <c r="W21" s="172"/>
      <c r="X21" s="172"/>
      <c r="Y21" s="172"/>
      <c r="Z21" s="172"/>
    </row>
    <row r="22" spans="1:26" ht="15" customHeight="1">
      <c r="A22" s="172"/>
      <c r="B22" s="183"/>
      <c r="C22" s="176"/>
      <c r="D22" s="176"/>
      <c r="E22" s="176"/>
      <c r="F22" s="176"/>
      <c r="G22" s="176"/>
      <c r="H22" s="176"/>
      <c r="I22" s="176"/>
      <c r="J22" s="176"/>
      <c r="K22" s="176"/>
      <c r="L22" s="176"/>
      <c r="M22" s="176"/>
      <c r="N22" s="176"/>
      <c r="O22" s="185"/>
      <c r="P22" s="172"/>
      <c r="Q22" s="172"/>
      <c r="R22" s="172"/>
      <c r="S22" s="172"/>
      <c r="T22" s="172"/>
      <c r="U22" s="172"/>
      <c r="V22" s="172"/>
      <c r="W22" s="172"/>
      <c r="X22" s="172"/>
      <c r="Y22" s="172"/>
      <c r="Z22" s="172"/>
    </row>
    <row r="23" spans="1:26" ht="15" customHeight="1">
      <c r="A23" s="172"/>
      <c r="B23" s="183"/>
      <c r="C23" s="176"/>
      <c r="D23" s="176"/>
      <c r="E23" s="176"/>
      <c r="F23" s="176"/>
      <c r="G23" s="176"/>
      <c r="H23" s="176"/>
      <c r="I23" s="176"/>
      <c r="J23" s="176"/>
      <c r="K23" s="176"/>
      <c r="L23" s="176"/>
      <c r="M23" s="176"/>
      <c r="N23" s="176"/>
      <c r="O23" s="185"/>
      <c r="P23" s="172"/>
      <c r="Q23" s="172"/>
      <c r="R23" s="172"/>
      <c r="S23" s="172"/>
      <c r="T23" s="172"/>
      <c r="U23" s="172"/>
      <c r="V23" s="172"/>
      <c r="W23" s="172"/>
      <c r="X23" s="172"/>
      <c r="Y23" s="172"/>
      <c r="Z23" s="172"/>
    </row>
    <row r="24" spans="1:26" ht="15" customHeight="1">
      <c r="A24" s="172"/>
      <c r="B24" s="183"/>
      <c r="C24" s="176"/>
      <c r="D24" s="176"/>
      <c r="E24" s="176"/>
      <c r="F24" s="176"/>
      <c r="G24" s="176"/>
      <c r="H24" s="176"/>
      <c r="I24" s="176"/>
      <c r="J24" s="176"/>
      <c r="K24" s="176"/>
      <c r="L24" s="176"/>
      <c r="M24" s="176"/>
      <c r="N24" s="176"/>
      <c r="O24" s="185"/>
      <c r="P24" s="172"/>
      <c r="Q24" s="172"/>
      <c r="R24" s="172"/>
      <c r="S24" s="172"/>
      <c r="T24" s="172"/>
      <c r="U24" s="172"/>
      <c r="V24" s="172"/>
      <c r="W24" s="172"/>
      <c r="X24" s="172"/>
      <c r="Y24" s="172"/>
      <c r="Z24" s="172"/>
    </row>
    <row r="25" spans="1:26" ht="15" customHeight="1">
      <c r="A25" s="172"/>
      <c r="B25" s="183"/>
      <c r="C25" s="176"/>
      <c r="D25" s="176"/>
      <c r="E25" s="176"/>
      <c r="F25" s="176"/>
      <c r="G25" s="176"/>
      <c r="H25" s="176"/>
      <c r="I25" s="176"/>
      <c r="J25" s="176"/>
      <c r="K25" s="176"/>
      <c r="L25" s="176"/>
      <c r="M25" s="176"/>
      <c r="N25" s="176"/>
      <c r="O25" s="185"/>
      <c r="P25" s="172"/>
      <c r="Q25" s="172"/>
      <c r="R25" s="172"/>
      <c r="S25" s="172"/>
      <c r="T25" s="172"/>
      <c r="U25" s="172"/>
      <c r="V25" s="172"/>
      <c r="W25" s="172"/>
      <c r="X25" s="172"/>
      <c r="Y25" s="172"/>
      <c r="Z25" s="172"/>
    </row>
    <row r="26" spans="1:26" ht="15" customHeight="1">
      <c r="A26" s="172"/>
      <c r="B26" s="183"/>
      <c r="C26" s="176"/>
      <c r="D26" s="176"/>
      <c r="E26" s="176"/>
      <c r="F26" s="176"/>
      <c r="G26" s="176"/>
      <c r="H26" s="176"/>
      <c r="I26" s="176"/>
      <c r="J26" s="176"/>
      <c r="K26" s="176"/>
      <c r="L26" s="176"/>
      <c r="M26" s="176"/>
      <c r="N26" s="176"/>
      <c r="O26" s="185"/>
      <c r="P26" s="172"/>
      <c r="Q26" s="172"/>
      <c r="R26" s="172"/>
      <c r="S26" s="172"/>
      <c r="T26" s="172"/>
      <c r="U26" s="172"/>
      <c r="V26" s="172"/>
      <c r="W26" s="172"/>
      <c r="X26" s="172"/>
      <c r="Y26" s="172"/>
      <c r="Z26" s="172"/>
    </row>
    <row r="27" spans="1:26" ht="15" customHeight="1">
      <c r="A27" s="172"/>
      <c r="B27" s="183"/>
      <c r="C27" s="176"/>
      <c r="D27" s="176"/>
      <c r="E27" s="176"/>
      <c r="F27" s="176"/>
      <c r="G27" s="176"/>
      <c r="H27" s="176"/>
      <c r="I27" s="176"/>
      <c r="J27" s="176"/>
      <c r="K27" s="176"/>
      <c r="L27" s="176"/>
      <c r="M27" s="176"/>
      <c r="N27" s="176"/>
      <c r="O27" s="185"/>
      <c r="P27" s="172"/>
      <c r="Q27" s="172"/>
      <c r="R27" s="172"/>
      <c r="S27" s="172"/>
      <c r="T27" s="172"/>
      <c r="U27" s="172"/>
      <c r="V27" s="172"/>
      <c r="W27" s="172"/>
      <c r="X27" s="172"/>
      <c r="Y27" s="172"/>
      <c r="Z27" s="172"/>
    </row>
    <row r="28" spans="1:26" ht="15" customHeight="1">
      <c r="A28" s="172"/>
      <c r="B28" s="183"/>
      <c r="C28" s="176"/>
      <c r="D28" s="176"/>
      <c r="E28" s="176"/>
      <c r="F28" s="176"/>
      <c r="G28" s="176"/>
      <c r="H28" s="176"/>
      <c r="I28" s="176"/>
      <c r="J28" s="176"/>
      <c r="K28" s="176"/>
      <c r="L28" s="176"/>
      <c r="M28" s="176"/>
      <c r="N28" s="176"/>
      <c r="O28" s="185"/>
      <c r="P28" s="172"/>
      <c r="Q28" s="172"/>
      <c r="R28" s="172"/>
      <c r="S28" s="172"/>
      <c r="T28" s="172"/>
      <c r="U28" s="172"/>
      <c r="V28" s="172"/>
      <c r="W28" s="172"/>
      <c r="X28" s="172"/>
      <c r="Y28" s="172"/>
      <c r="Z28" s="172"/>
    </row>
    <row r="29" spans="1:26" ht="15" customHeight="1">
      <c r="A29" s="172"/>
      <c r="B29" s="183"/>
      <c r="C29" s="176"/>
      <c r="D29" s="176"/>
      <c r="E29" s="176"/>
      <c r="F29" s="176"/>
      <c r="G29" s="176"/>
      <c r="H29" s="176"/>
      <c r="I29" s="176"/>
      <c r="J29" s="176"/>
      <c r="K29" s="176"/>
      <c r="L29" s="176"/>
      <c r="M29" s="176"/>
      <c r="N29" s="176"/>
      <c r="O29" s="185"/>
      <c r="P29" s="172"/>
      <c r="Q29" s="172"/>
      <c r="R29" s="172"/>
      <c r="S29" s="172"/>
      <c r="T29" s="172"/>
      <c r="U29" s="172"/>
      <c r="V29" s="172"/>
      <c r="W29" s="172"/>
      <c r="X29" s="172"/>
      <c r="Y29" s="172"/>
      <c r="Z29" s="172"/>
    </row>
    <row r="30" spans="1:26" ht="15" customHeight="1">
      <c r="A30" s="172"/>
      <c r="B30" s="183"/>
      <c r="C30" s="176"/>
      <c r="D30" s="176"/>
      <c r="E30" s="176"/>
      <c r="F30" s="176"/>
      <c r="G30" s="176"/>
      <c r="H30" s="176"/>
      <c r="I30" s="176"/>
      <c r="J30" s="176"/>
      <c r="K30" s="176"/>
      <c r="L30" s="176"/>
      <c r="M30" s="176"/>
      <c r="N30" s="176"/>
      <c r="O30" s="185"/>
      <c r="P30" s="172"/>
      <c r="Q30" s="172"/>
      <c r="R30" s="172"/>
      <c r="S30" s="172"/>
      <c r="T30" s="172"/>
      <c r="U30" s="172"/>
      <c r="V30" s="172"/>
      <c r="W30" s="172"/>
      <c r="X30" s="172"/>
      <c r="Y30" s="172"/>
      <c r="Z30" s="172"/>
    </row>
    <row r="31" spans="1:26" ht="15" customHeight="1">
      <c r="A31" s="172"/>
      <c r="B31" s="183"/>
      <c r="C31" s="176"/>
      <c r="D31" s="176"/>
      <c r="E31" s="176"/>
      <c r="F31" s="176"/>
      <c r="G31" s="176"/>
      <c r="H31" s="176"/>
      <c r="I31" s="176"/>
      <c r="J31" s="176"/>
      <c r="K31" s="176"/>
      <c r="L31" s="176"/>
      <c r="M31" s="176"/>
      <c r="N31" s="176"/>
      <c r="O31" s="185"/>
      <c r="P31" s="172"/>
      <c r="Q31" s="172"/>
      <c r="R31" s="172"/>
      <c r="S31" s="172"/>
      <c r="T31" s="172"/>
      <c r="U31" s="172"/>
      <c r="V31" s="172"/>
      <c r="W31" s="172"/>
      <c r="X31" s="172"/>
      <c r="Y31" s="172"/>
      <c r="Z31" s="172"/>
    </row>
    <row r="32" spans="1:26" ht="15" customHeight="1">
      <c r="A32" s="172"/>
      <c r="B32" s="183"/>
      <c r="C32" s="176"/>
      <c r="D32" s="176"/>
      <c r="E32" s="176"/>
      <c r="F32" s="176"/>
      <c r="G32" s="176"/>
      <c r="H32" s="176"/>
      <c r="I32" s="176"/>
      <c r="J32" s="176"/>
      <c r="K32" s="176"/>
      <c r="L32" s="176"/>
      <c r="M32" s="176"/>
      <c r="N32" s="176"/>
      <c r="O32" s="185"/>
      <c r="P32" s="172"/>
      <c r="Q32" s="172"/>
      <c r="R32" s="172"/>
      <c r="S32" s="172"/>
      <c r="T32" s="172"/>
      <c r="U32" s="172"/>
      <c r="V32" s="172"/>
      <c r="W32" s="172"/>
      <c r="X32" s="172"/>
      <c r="Y32" s="172"/>
      <c r="Z32" s="172"/>
    </row>
    <row r="33" spans="1:26" ht="15" customHeight="1">
      <c r="A33" s="172"/>
      <c r="B33" s="180"/>
      <c r="C33" s="178"/>
      <c r="D33" s="178"/>
      <c r="E33" s="178"/>
      <c r="F33" s="178"/>
      <c r="G33" s="178"/>
      <c r="H33" s="178"/>
      <c r="I33" s="178"/>
      <c r="J33" s="178"/>
      <c r="K33" s="178"/>
      <c r="L33" s="178"/>
      <c r="M33" s="178"/>
      <c r="N33" s="178"/>
      <c r="O33" s="182"/>
      <c r="P33" s="172"/>
      <c r="Q33" s="172"/>
      <c r="R33" s="172"/>
      <c r="S33" s="172"/>
      <c r="T33" s="172"/>
      <c r="U33" s="172"/>
      <c r="V33" s="172"/>
      <c r="W33" s="172"/>
      <c r="X33" s="172"/>
      <c r="Y33" s="172"/>
      <c r="Z33" s="172"/>
    </row>
    <row r="34" spans="1:26" ht="12" customHeight="1">
      <c r="A34" s="172"/>
      <c r="B34" s="172"/>
      <c r="C34" s="172"/>
      <c r="D34" s="172"/>
      <c r="E34" s="172"/>
      <c r="F34" s="172"/>
      <c r="G34" s="172"/>
      <c r="H34" s="172"/>
      <c r="I34" s="172"/>
      <c r="J34" s="172"/>
      <c r="K34" s="172"/>
      <c r="L34" s="172"/>
      <c r="M34" s="172"/>
      <c r="N34" s="172"/>
      <c r="O34" s="172"/>
      <c r="P34" s="172"/>
      <c r="Q34" s="172"/>
      <c r="R34" s="172"/>
      <c r="S34" s="172"/>
      <c r="T34" s="172"/>
      <c r="U34" s="172"/>
      <c r="V34" s="172"/>
      <c r="W34" s="172"/>
      <c r="X34" s="172"/>
      <c r="Y34" s="172"/>
      <c r="Z34" s="172"/>
    </row>
    <row r="35" spans="1:26" ht="21.75" customHeight="1">
      <c r="A35" s="172"/>
      <c r="B35" s="184" t="str" cm="1">
        <f t="array" ref="B35">"Status column behind the dates ("&amp;SUMPRODUCT((cmsDom="CMS")*(cmsCheck&lt;&gt;""))&amp;")"</f>
        <v>Status column behind the dates (17)</v>
      </c>
      <c r="C35" s="203" t="s">
        <v>496</v>
      </c>
      <c r="D35" s="203"/>
      <c r="E35" s="203"/>
      <c r="F35" s="203"/>
      <c r="G35" s="203"/>
      <c r="H35" s="203"/>
      <c r="I35" s="203"/>
      <c r="J35" s="203"/>
      <c r="K35" s="203"/>
      <c r="L35" s="203"/>
      <c r="M35" s="203"/>
      <c r="N35" s="203"/>
      <c r="O35" s="203"/>
      <c r="P35" s="172"/>
      <c r="Q35" s="172"/>
      <c r="R35" s="172"/>
      <c r="S35" s="172"/>
      <c r="T35" s="172"/>
      <c r="U35" s="172"/>
      <c r="V35" s="172"/>
      <c r="W35" s="172"/>
      <c r="X35" s="172"/>
      <c r="Y35" s="172"/>
      <c r="Z35" s="172"/>
    </row>
    <row r="36" spans="1:26" ht="21.75" customHeight="1">
      <c r="A36" s="172"/>
      <c r="B36" s="202" t="s">
        <v>497</v>
      </c>
      <c r="C36" s="200" t="s">
        <v>486</v>
      </c>
      <c r="D36" s="200" t="s">
        <v>498</v>
      </c>
      <c r="E36" s="200" t="s">
        <v>499</v>
      </c>
      <c r="F36" s="200" t="s">
        <v>500</v>
      </c>
      <c r="G36" s="200"/>
      <c r="H36" s="200"/>
      <c r="I36" s="200"/>
      <c r="J36" s="200"/>
      <c r="K36" s="200"/>
      <c r="L36" s="200"/>
      <c r="M36" s="200"/>
      <c r="N36" s="200"/>
      <c r="O36" s="201"/>
      <c r="P36" s="172"/>
      <c r="Q36" s="172"/>
      <c r="R36" s="172"/>
      <c r="S36" s="172"/>
      <c r="T36" s="172"/>
      <c r="U36" s="172"/>
      <c r="V36" s="172"/>
      <c r="W36" s="172"/>
      <c r="X36" s="172"/>
      <c r="Y36" s="172"/>
      <c r="Z36" s="172"/>
    </row>
    <row r="37" spans="1:26" ht="18" customHeight="1">
      <c r="A37" s="172"/>
      <c r="B37" s="244"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RPT_02_Public Buildings Inspection</v>
      </c>
      <c r="C37" s="240" t="str">
        <v>August</v>
      </c>
      <c r="D37" s="240" t="str">
        <v>QA</v>
      </c>
      <c r="E37" s="240" t="str">
        <v>Move status back to PBI Dev</v>
      </c>
      <c r="F37" s="240" t="str">
        <v>Geetha</v>
      </c>
      <c r="G37" s="240"/>
      <c r="H37" s="240"/>
      <c r="I37" s="240"/>
      <c r="J37" s="240"/>
      <c r="K37" s="240"/>
      <c r="L37" s="240"/>
      <c r="M37" s="240"/>
      <c r="N37" s="240"/>
      <c r="O37" s="241"/>
      <c r="P37" s="172"/>
      <c r="Q37" s="172"/>
      <c r="R37" s="172"/>
      <c r="S37" s="172"/>
      <c r="T37" s="172"/>
      <c r="U37" s="172"/>
      <c r="V37" s="172"/>
      <c r="W37" s="172"/>
      <c r="X37" s="172"/>
      <c r="Y37" s="172"/>
      <c r="Z37" s="172"/>
    </row>
    <row r="38" spans="1:26" ht="18" customHeight="1">
      <c r="A38" s="172"/>
      <c r="B38" s="244" t="str">
        <v>RPT_02_Turn On for Non-Payment</v>
      </c>
      <c r="C38" s="240" t="str">
        <v>August</v>
      </c>
      <c r="D38" s="240" t="str">
        <v>DPO Approval</v>
      </c>
      <c r="E38" s="240" t="str">
        <v>Open rework row - mark Blocked or close it</v>
      </c>
      <c r="F38" s="240" t="str">
        <v>Bryan Patterson, Reginald Durham, Shaunna Peters, Simone Brooks, Bill Contreras</v>
      </c>
      <c r="G38" s="240"/>
      <c r="H38" s="240"/>
      <c r="I38" s="240"/>
      <c r="J38" s="240"/>
      <c r="K38" s="240"/>
      <c r="L38" s="240"/>
      <c r="M38" s="240"/>
      <c r="N38" s="240"/>
      <c r="O38" s="241"/>
      <c r="P38" s="172"/>
      <c r="Q38" s="172"/>
      <c r="R38" s="172"/>
      <c r="S38" s="172"/>
      <c r="T38" s="172"/>
      <c r="U38" s="172"/>
      <c r="V38" s="172"/>
      <c r="W38" s="172"/>
      <c r="X38" s="172"/>
      <c r="Y38" s="172"/>
      <c r="Z38" s="172"/>
    </row>
    <row r="39" spans="1:26" ht="18" customHeight="1">
      <c r="A39" s="172"/>
      <c r="B39" s="244" t="str">
        <v>RPT_02_Emergency Order Type</v>
      </c>
      <c r="C39" s="240" t="str">
        <v>September</v>
      </c>
      <c r="D39" s="240" t="str">
        <v>PBI Dev</v>
      </c>
      <c r="E39" s="240" t="str">
        <v>Blocked - log it on Rework Log</v>
      </c>
      <c r="F39" s="240" t="str">
        <v>Shraddha</v>
      </c>
      <c r="G39" s="240"/>
      <c r="H39" s="240"/>
      <c r="I39" s="240"/>
      <c r="J39" s="240"/>
      <c r="K39" s="240"/>
      <c r="L39" s="240"/>
      <c r="M39" s="240"/>
      <c r="N39" s="240"/>
      <c r="O39" s="241"/>
      <c r="P39" s="172"/>
      <c r="Q39" s="172"/>
      <c r="R39" s="172"/>
      <c r="S39" s="172"/>
      <c r="T39" s="172"/>
      <c r="U39" s="172"/>
      <c r="V39" s="172"/>
      <c r="W39" s="172"/>
      <c r="X39" s="172"/>
      <c r="Y39" s="172"/>
      <c r="Z39" s="172"/>
    </row>
    <row r="40" spans="1:26" ht="18" customHeight="1">
      <c r="A40" s="172"/>
      <c r="B40" s="244" t="str">
        <v>RPT_02_Outside Repeat Leaks</v>
      </c>
      <c r="C40" s="240" t="str">
        <v>September</v>
      </c>
      <c r="D40" s="240" t="str">
        <v>DPO Approval</v>
      </c>
      <c r="E40" s="240" t="str">
        <v>Blocked - log it on Rework Log</v>
      </c>
      <c r="F40" s="240" t="str">
        <v>Reginald Durham, Simone Brooks, Bill Contreras</v>
      </c>
      <c r="G40" s="240"/>
      <c r="H40" s="240"/>
      <c r="I40" s="240"/>
      <c r="J40" s="240"/>
      <c r="K40" s="240"/>
      <c r="L40" s="240"/>
      <c r="M40" s="240"/>
      <c r="N40" s="240"/>
      <c r="O40" s="241"/>
      <c r="P40" s="172"/>
      <c r="Q40" s="172"/>
      <c r="R40" s="172"/>
      <c r="S40" s="172"/>
      <c r="T40" s="172"/>
      <c r="U40" s="172"/>
      <c r="V40" s="172"/>
      <c r="W40" s="172"/>
      <c r="X40" s="172"/>
      <c r="Y40" s="172"/>
      <c r="Z40" s="172"/>
    </row>
    <row r="41" spans="1:26" ht="18" customHeight="1">
      <c r="A41" s="172"/>
      <c r="B41" s="244" t="str">
        <v>RPT_02_Hazardous Above Ground Leak</v>
      </c>
      <c r="C41" s="240" t="str">
        <v>September</v>
      </c>
      <c r="D41" s="240" t="str">
        <v>DB Dev</v>
      </c>
      <c r="E41" s="240" t="str">
        <v>Open rework row - mark Blocked or close it</v>
      </c>
      <c r="F41" s="240" t="str">
        <v>Fetwi</v>
      </c>
      <c r="G41" s="240"/>
      <c r="H41" s="240"/>
      <c r="I41" s="240"/>
      <c r="J41" s="240"/>
      <c r="K41" s="240"/>
      <c r="L41" s="240"/>
      <c r="M41" s="240"/>
      <c r="N41" s="240"/>
      <c r="O41" s="241"/>
      <c r="P41" s="172"/>
      <c r="Q41" s="172"/>
      <c r="R41" s="172"/>
      <c r="S41" s="172"/>
      <c r="T41" s="172"/>
      <c r="U41" s="172"/>
      <c r="V41" s="172"/>
      <c r="W41" s="172"/>
      <c r="X41" s="172"/>
      <c r="Y41" s="172"/>
      <c r="Z41" s="172"/>
    </row>
    <row r="42" spans="1:26" ht="18" customHeight="1">
      <c r="A42" s="172"/>
      <c r="B42" s="244" t="str">
        <v>RPT_02_First and Last Job</v>
      </c>
      <c r="C42" s="240" t="str">
        <v>September</v>
      </c>
      <c r="D42" s="240" t="str">
        <v>PBI Dev</v>
      </c>
      <c r="E42" s="240" t="str">
        <v>Blocked - log it on Rework Log</v>
      </c>
      <c r="F42" s="240" t="str">
        <v>Sarath</v>
      </c>
      <c r="G42" s="240"/>
      <c r="H42" s="240"/>
      <c r="I42" s="240"/>
      <c r="J42" s="240"/>
      <c r="K42" s="240"/>
      <c r="L42" s="240"/>
      <c r="M42" s="240"/>
      <c r="N42" s="240"/>
      <c r="O42" s="241"/>
      <c r="P42" s="172"/>
      <c r="Q42" s="172"/>
      <c r="R42" s="172"/>
      <c r="S42" s="172"/>
      <c r="T42" s="172"/>
      <c r="U42" s="172"/>
      <c r="V42" s="172"/>
      <c r="W42" s="172"/>
      <c r="X42" s="172"/>
      <c r="Y42" s="172"/>
      <c r="Z42" s="172"/>
    </row>
    <row r="43" spans="1:26" ht="18" customHeight="1">
      <c r="A43" s="172"/>
      <c r="B43" s="244" t="str">
        <v>RPT_04_Leak Recheck Times</v>
      </c>
      <c r="C43" s="240" t="str">
        <v>September</v>
      </c>
      <c r="D43" s="240" t="str">
        <v>PBI Dev</v>
      </c>
      <c r="E43" s="240" t="str">
        <v>Move status to QA</v>
      </c>
      <c r="F43" s="240" t="str">
        <v>Shraddha</v>
      </c>
      <c r="G43" s="240"/>
      <c r="H43" s="240"/>
      <c r="I43" s="240"/>
      <c r="J43" s="240"/>
      <c r="K43" s="240"/>
      <c r="L43" s="240"/>
      <c r="M43" s="240"/>
      <c r="N43" s="240"/>
      <c r="O43" s="241"/>
      <c r="P43" s="172"/>
      <c r="Q43" s="172"/>
      <c r="R43" s="172"/>
      <c r="S43" s="172"/>
      <c r="T43" s="172"/>
      <c r="U43" s="172"/>
      <c r="V43" s="172"/>
      <c r="W43" s="172"/>
      <c r="X43" s="172"/>
      <c r="Y43" s="172"/>
      <c r="Z43" s="172"/>
    </row>
    <row r="44" spans="1:26" ht="18" customHeight="1">
      <c r="A44" s="172"/>
      <c r="B44" s="244" t="str">
        <v>RPT_02_Emergency Time Adjustments Log</v>
      </c>
      <c r="C44" s="240" t="str">
        <v>October</v>
      </c>
      <c r="D44" s="240" t="str">
        <v>PBI Dev</v>
      </c>
      <c r="E44" s="240" t="str">
        <v>Blocked - log it on Rework Log</v>
      </c>
      <c r="F44" s="240" t="str">
        <v>Navya</v>
      </c>
      <c r="G44" s="240"/>
      <c r="H44" s="240"/>
      <c r="I44" s="240"/>
      <c r="J44" s="240"/>
      <c r="K44" s="240"/>
      <c r="L44" s="240"/>
      <c r="M44" s="240"/>
      <c r="N44" s="240"/>
      <c r="O44" s="241"/>
      <c r="P44" s="172"/>
      <c r="Q44" s="172"/>
      <c r="R44" s="172"/>
      <c r="S44" s="172"/>
      <c r="T44" s="172"/>
      <c r="U44" s="172"/>
      <c r="V44" s="172"/>
      <c r="W44" s="172"/>
      <c r="X44" s="172"/>
      <c r="Y44" s="172"/>
      <c r="Z44" s="172"/>
    </row>
    <row r="45" spans="1:26" ht="18" customHeight="1">
      <c r="A45" s="172"/>
      <c r="B45" s="244" t="str">
        <v>RPT_02_Service Interruptions</v>
      </c>
      <c r="C45" s="240" t="str">
        <v>October</v>
      </c>
      <c r="D45" s="240" t="str">
        <v>NOT STARTED</v>
      </c>
      <c r="E45" s="240" t="str">
        <v>Move status to PBI Dev</v>
      </c>
      <c r="F45" s="240" t="str">
        <v>Geetha</v>
      </c>
      <c r="G45" s="240"/>
      <c r="H45" s="240"/>
      <c r="I45" s="240"/>
      <c r="J45" s="240"/>
      <c r="K45" s="240"/>
      <c r="L45" s="240"/>
      <c r="M45" s="240"/>
      <c r="N45" s="240"/>
      <c r="O45" s="241"/>
      <c r="P45" s="172"/>
      <c r="Q45" s="172"/>
      <c r="R45" s="172"/>
      <c r="S45" s="172"/>
      <c r="T45" s="172"/>
      <c r="U45" s="172"/>
      <c r="V45" s="172"/>
      <c r="W45" s="172"/>
      <c r="X45" s="172"/>
      <c r="Y45" s="172"/>
      <c r="Z45" s="172"/>
    </row>
    <row r="46" spans="1:26" ht="18" customHeight="1">
      <c r="A46" s="172"/>
      <c r="B46" s="245" t="str">
        <v>RPT_02_Duty to Inspect</v>
      </c>
      <c r="C46" s="242" t="str">
        <v>October</v>
      </c>
      <c r="D46" s="242" t="str">
        <v>NOT STARTED</v>
      </c>
      <c r="E46" s="242" t="str">
        <v>Move status to PBI Dev</v>
      </c>
      <c r="F46" s="242" t="str">
        <v>Geetha</v>
      </c>
      <c r="G46" s="242"/>
      <c r="H46" s="242"/>
      <c r="I46" s="242"/>
      <c r="J46" s="242"/>
      <c r="K46" s="242"/>
      <c r="L46" s="242"/>
      <c r="M46" s="242"/>
      <c r="N46" s="242"/>
      <c r="O46" s="243"/>
      <c r="P46" s="172"/>
      <c r="Q46" s="172"/>
      <c r="R46" s="172"/>
      <c r="S46" s="172"/>
      <c r="T46" s="172"/>
      <c r="U46" s="172"/>
      <c r="V46" s="172"/>
      <c r="W46" s="172"/>
      <c r="X46" s="172"/>
      <c r="Y46" s="172"/>
      <c r="Z46" s="172"/>
    </row>
    <row r="47" spans="1:26" ht="12" customHeight="1">
      <c r="A47" s="172"/>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row>
    <row r="48" spans="1:26" ht="21.75" customHeight="1">
      <c r="A48" s="172"/>
      <c r="B48" s="184" t="s">
        <v>490</v>
      </c>
      <c r="C48" s="203" t="s">
        <v>501</v>
      </c>
      <c r="D48" s="203"/>
      <c r="E48" s="203"/>
      <c r="F48" s="203"/>
      <c r="G48" s="203"/>
      <c r="H48" s="203"/>
      <c r="I48" s="203"/>
      <c r="J48" s="203"/>
      <c r="K48" s="203"/>
      <c r="L48" s="203"/>
      <c r="M48" s="203"/>
      <c r="N48" s="203"/>
      <c r="O48" s="203"/>
      <c r="P48" s="172"/>
      <c r="Q48" s="172"/>
      <c r="R48" s="172"/>
      <c r="S48" s="172"/>
      <c r="T48" s="172"/>
      <c r="U48" s="172"/>
      <c r="V48" s="172"/>
      <c r="W48" s="172"/>
      <c r="X48" s="172"/>
      <c r="Y48" s="172"/>
      <c r="Z48" s="172"/>
    </row>
    <row r="49" spans="1:26" ht="15.75" customHeight="1">
      <c r="A49" s="172"/>
      <c r="B49" s="246"/>
      <c r="C49" s="248" t="s">
        <v>486</v>
      </c>
      <c r="D49" s="248"/>
      <c r="E49" s="248" t="s">
        <v>428</v>
      </c>
      <c r="F49" s="248"/>
      <c r="G49" s="248" t="s">
        <v>438</v>
      </c>
      <c r="H49" s="248"/>
      <c r="I49" s="177"/>
      <c r="J49" s="177"/>
      <c r="K49" s="177"/>
      <c r="L49" s="177"/>
      <c r="M49" s="177"/>
      <c r="N49" s="177"/>
      <c r="O49" s="181"/>
      <c r="P49" s="172"/>
      <c r="Q49" s="172"/>
      <c r="R49" s="172"/>
      <c r="S49" s="172"/>
      <c r="T49" s="172"/>
      <c r="U49" s="172"/>
      <c r="V49" s="172"/>
      <c r="W49" s="172"/>
      <c r="X49" s="172"/>
      <c r="Y49" s="172"/>
      <c r="Z49" s="172"/>
    </row>
    <row r="50" spans="1:26" ht="26.25" customHeight="1">
      <c r="A50" s="172"/>
      <c r="B50" s="247"/>
      <c r="C50" s="250" t="s">
        <v>502</v>
      </c>
      <c r="D50" s="249"/>
      <c r="E50" s="250" t="s">
        <v>502</v>
      </c>
      <c r="F50" s="249"/>
      <c r="G50" s="250" t="s">
        <v>502</v>
      </c>
      <c r="H50" s="251"/>
      <c r="I50" s="252" t="str">
        <f>IF(ISTEXT(B53),"No reports match",IF(ROWS(_xlfn.ANCHORARRAY(B53))=1,"1 report","" &amp; ROWS(_xlfn.ANCHORARRAY(B53)) &amp; " reports"))</f>
        <v>No reports match</v>
      </c>
      <c r="J50" s="253"/>
      <c r="K50" s="253"/>
      <c r="L50" s="253"/>
      <c r="M50" s="253"/>
      <c r="N50" s="253"/>
      <c r="O50" s="254"/>
      <c r="P50" s="172"/>
      <c r="Q50" s="172"/>
      <c r="R50" s="172"/>
      <c r="S50" s="172"/>
      <c r="T50" s="172"/>
      <c r="U50" s="172"/>
      <c r="V50" s="172"/>
      <c r="W50" s="172"/>
      <c r="X50" s="172"/>
      <c r="Y50" s="172"/>
      <c r="Z50" s="172"/>
    </row>
    <row r="51" spans="1:26" ht="8.25" customHeight="1">
      <c r="A51" s="172"/>
      <c r="B51" s="172"/>
      <c r="C51" s="172"/>
      <c r="D51" s="172"/>
      <c r="E51" s="172"/>
      <c r="F51" s="172"/>
      <c r="G51" s="172"/>
      <c r="H51" s="172"/>
      <c r="I51" s="172"/>
      <c r="J51" s="172"/>
      <c r="K51" s="172"/>
      <c r="L51" s="172"/>
      <c r="M51" s="172"/>
      <c r="N51" s="172"/>
      <c r="O51" s="172"/>
      <c r="P51" s="172"/>
      <c r="Q51" s="172"/>
      <c r="R51" s="172"/>
      <c r="S51" s="172"/>
      <c r="T51" s="172"/>
      <c r="U51" s="172"/>
      <c r="V51" s="172"/>
      <c r="W51" s="172"/>
      <c r="X51" s="172"/>
      <c r="Y51" s="172"/>
      <c r="Z51" s="172"/>
    </row>
    <row r="52" spans="1:26" ht="30" customHeight="1">
      <c r="A52" s="172"/>
      <c r="B52" s="256" t="s">
        <v>497</v>
      </c>
      <c r="C52" s="255" t="s">
        <v>486</v>
      </c>
      <c r="D52" s="255" t="s">
        <v>498</v>
      </c>
      <c r="E52" s="255" t="s">
        <v>35</v>
      </c>
      <c r="F52" s="255" t="s">
        <v>503</v>
      </c>
      <c r="G52" s="255" t="s">
        <v>504</v>
      </c>
      <c r="H52" s="255" t="s">
        <v>505</v>
      </c>
      <c r="I52" s="255" t="s">
        <v>506</v>
      </c>
      <c r="J52" s="257" t="s">
        <v>507</v>
      </c>
      <c r="K52" s="257" t="s">
        <v>508</v>
      </c>
      <c r="L52" s="257" t="s">
        <v>509</v>
      </c>
      <c r="M52" s="257" t="s">
        <v>510</v>
      </c>
      <c r="N52" s="257" t="s">
        <v>511</v>
      </c>
      <c r="O52" s="255" t="s">
        <v>512</v>
      </c>
      <c r="P52" s="172"/>
      <c r="Q52" s="172"/>
      <c r="R52" s="172"/>
      <c r="S52" s="172"/>
      <c r="T52" s="172"/>
      <c r="U52" s="172"/>
      <c r="V52" s="172"/>
      <c r="W52" s="172"/>
      <c r="X52" s="172"/>
      <c r="Y52" s="172"/>
      <c r="Z52" s="172"/>
    </row>
    <row r="53" spans="1:26" ht="18" customHeight="1">
      <c r="A53" s="172"/>
      <c r="B53" s="258"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40" t="str">
        <v>July</v>
      </c>
      <c r="D53" s="240" t="str">
        <v>Ready for Release in Prod</v>
      </c>
      <c r="E53" s="240" t="str">
        <v>No</v>
      </c>
      <c r="F53" s="240" t="str">
        <v>Rupa</v>
      </c>
      <c r="G53" s="240" t="str">
        <v>Navya</v>
      </c>
      <c r="H53" s="240" t="str">
        <v>Kushal</v>
      </c>
      <c r="I53" s="240" t="str">
        <v>Jeanne Waldron, Anthony Massimino</v>
      </c>
      <c r="J53" s="259">
        <v>46245</v>
      </c>
      <c r="K53" s="259">
        <v>46245</v>
      </c>
      <c r="L53" s="259">
        <v>46252</v>
      </c>
      <c r="M53" s="259">
        <v>46273</v>
      </c>
      <c r="N53" s="260">
        <v>1</v>
      </c>
      <c r="O53" s="240" t="str">
        <v/>
      </c>
      <c r="P53" s="172"/>
      <c r="Q53" s="172"/>
      <c r="R53" s="172"/>
      <c r="S53" s="172"/>
      <c r="T53" s="172"/>
      <c r="U53" s="172"/>
      <c r="V53" s="172"/>
      <c r="W53" s="172"/>
      <c r="X53" s="172"/>
      <c r="Y53" s="172"/>
      <c r="Z53" s="172"/>
    </row>
    <row r="54" spans="1:26" ht="18" customHeight="1">
      <c r="A54" s="172"/>
      <c r="B54" s="258" t="str">
        <v>RPT_02_Warning Tag HEFPA</v>
      </c>
      <c r="C54" s="240" t="str">
        <v>July</v>
      </c>
      <c r="D54" s="240" t="str">
        <v>Ready for Release in Prod</v>
      </c>
      <c r="E54" s="240" t="str">
        <v>No</v>
      </c>
      <c r="F54" s="240" t="str">
        <v>Sree</v>
      </c>
      <c r="G54" s="240" t="str">
        <v>Shraddha</v>
      </c>
      <c r="H54" s="240" t="str">
        <v>Kushal</v>
      </c>
      <c r="I54" s="240" t="str">
        <v>Jeanne Waldron, Anthony Massimino</v>
      </c>
      <c r="J54" s="259">
        <v>46255</v>
      </c>
      <c r="K54" s="259">
        <v>46246</v>
      </c>
      <c r="L54" s="259">
        <v>46255</v>
      </c>
      <c r="M54" s="259">
        <v>46273</v>
      </c>
      <c r="N54" s="260">
        <v>3</v>
      </c>
      <c r="O54" s="240" t="str">
        <v/>
      </c>
      <c r="P54" s="172"/>
      <c r="Q54" s="172"/>
      <c r="R54" s="172"/>
      <c r="S54" s="172"/>
      <c r="T54" s="172"/>
      <c r="U54" s="172"/>
      <c r="V54" s="172"/>
      <c r="W54" s="172"/>
      <c r="X54" s="172"/>
      <c r="Y54" s="172"/>
      <c r="Z54" s="172"/>
    </row>
    <row r="55" spans="1:26" ht="18" customHeight="1">
      <c r="A55" s="172"/>
      <c r="B55" s="258" t="str">
        <v>RPT_02_Warning tag Printout</v>
      </c>
      <c r="C55" s="240" t="str">
        <v>July</v>
      </c>
      <c r="D55" s="240" t="str">
        <v>Ready for Release in Prod</v>
      </c>
      <c r="E55" s="240" t="str">
        <v>No</v>
      </c>
      <c r="F55" s="240" t="str">
        <v>Sree</v>
      </c>
      <c r="G55" s="240" t="str">
        <v>Shraddha</v>
      </c>
      <c r="H55" s="240" t="str">
        <v>Kushal</v>
      </c>
      <c r="I55" s="240" t="str">
        <v>Jeanne Waldron, Anthony Massimino</v>
      </c>
      <c r="J55" s="259">
        <v>46246</v>
      </c>
      <c r="K55" s="259">
        <v>46251</v>
      </c>
      <c r="L55" s="259">
        <v>46258</v>
      </c>
      <c r="M55" s="259">
        <v>46273</v>
      </c>
      <c r="N55" s="260">
        <v>1</v>
      </c>
      <c r="O55" s="240" t="str">
        <v/>
      </c>
      <c r="P55" s="172"/>
      <c r="Q55" s="172"/>
      <c r="R55" s="172"/>
      <c r="S55" s="172"/>
      <c r="T55" s="172"/>
      <c r="U55" s="172"/>
      <c r="V55" s="172"/>
      <c r="W55" s="172"/>
      <c r="X55" s="172"/>
      <c r="Y55" s="172"/>
      <c r="Z55" s="172"/>
    </row>
    <row r="56" spans="1:26" ht="18" customHeight="1">
      <c r="A56" s="172"/>
      <c r="B56" s="258" t="str">
        <v>RPT_02_Corrosion</v>
      </c>
      <c r="C56" s="240" t="str">
        <v>July</v>
      </c>
      <c r="D56" s="240" t="str">
        <v>Ready for Release in Prod</v>
      </c>
      <c r="E56" s="240" t="str">
        <v>No</v>
      </c>
      <c r="F56" s="240" t="str">
        <v>Siva</v>
      </c>
      <c r="G56" s="240" t="str">
        <v>Sarath</v>
      </c>
      <c r="H56" s="240" t="str">
        <v>Preety</v>
      </c>
      <c r="I56" s="240" t="str">
        <v>Jeanne Waldron, Anthony Massimino</v>
      </c>
      <c r="J56" s="259">
        <v>46266</v>
      </c>
      <c r="K56" s="259">
        <v>46253</v>
      </c>
      <c r="L56" s="259">
        <v>46269</v>
      </c>
      <c r="M56" s="259">
        <v>46273</v>
      </c>
      <c r="N56" s="260">
        <v>2</v>
      </c>
      <c r="O56" s="240" t="str">
        <v/>
      </c>
      <c r="P56" s="172"/>
      <c r="Q56" s="172"/>
      <c r="R56" s="172"/>
      <c r="S56" s="172"/>
      <c r="T56" s="172"/>
      <c r="U56" s="172"/>
      <c r="V56" s="172"/>
      <c r="W56" s="172"/>
      <c r="X56" s="172"/>
      <c r="Y56" s="172"/>
      <c r="Z56" s="172"/>
    </row>
    <row r="57" spans="1:26" ht="18" customHeight="1">
      <c r="A57" s="172"/>
      <c r="B57" s="258" t="str">
        <v>RPT_02_House Pipe Test Comment Control</v>
      </c>
      <c r="C57" s="240" t="str">
        <v>July</v>
      </c>
      <c r="D57" s="240" t="str">
        <v>Ready for Release in Prod</v>
      </c>
      <c r="E57" s="240" t="str">
        <v>No</v>
      </c>
      <c r="F57" s="240" t="str">
        <v>Geetha</v>
      </c>
      <c r="G57" s="240" t="str">
        <v>Shraddha</v>
      </c>
      <c r="H57" s="240" t="str">
        <v>Preety</v>
      </c>
      <c r="I57" s="240" t="str">
        <v>Jeanne Waldron, Anthony Massimino</v>
      </c>
      <c r="J57" s="259">
        <v>46251</v>
      </c>
      <c r="K57" s="259">
        <v>46244</v>
      </c>
      <c r="L57" s="259">
        <v>46254</v>
      </c>
      <c r="M57" s="259">
        <v>46273</v>
      </c>
      <c r="N57" s="260">
        <v>1</v>
      </c>
      <c r="O57" s="240" t="str">
        <v/>
      </c>
      <c r="P57" s="172"/>
      <c r="Q57" s="172"/>
      <c r="R57" s="172"/>
      <c r="S57" s="172"/>
      <c r="T57" s="172"/>
      <c r="U57" s="172"/>
      <c r="V57" s="172"/>
      <c r="W57" s="172"/>
      <c r="X57" s="172"/>
      <c r="Y57" s="172"/>
      <c r="Z57" s="172"/>
    </row>
    <row r="58" spans="1:26" ht="18" customHeight="1">
      <c r="A58" s="172"/>
      <c r="B58" s="258" t="str">
        <v>RPT_02_Required Regulator Inspection Performed Control</v>
      </c>
      <c r="C58" s="240" t="str">
        <v>July</v>
      </c>
      <c r="D58" s="240" t="str">
        <v>Ready for Release in Prod</v>
      </c>
      <c r="E58" s="240" t="str">
        <v>No</v>
      </c>
      <c r="F58" s="240" t="str">
        <v>Siddu</v>
      </c>
      <c r="G58" s="240" t="str">
        <v>Navya</v>
      </c>
      <c r="H58" s="240" t="str">
        <v>Bardia</v>
      </c>
      <c r="I58" s="240" t="str">
        <v>Jeanne Waldron, Anthony Massimino</v>
      </c>
      <c r="J58" s="259">
        <v>46252</v>
      </c>
      <c r="K58" s="259">
        <v>46251</v>
      </c>
      <c r="L58" s="259">
        <v>46255</v>
      </c>
      <c r="M58" s="259">
        <v>46273</v>
      </c>
      <c r="N58" s="260">
        <v>2</v>
      </c>
      <c r="O58" s="240" t="str">
        <v/>
      </c>
      <c r="P58" s="172"/>
      <c r="Q58" s="172"/>
      <c r="R58" s="172"/>
      <c r="S58" s="172"/>
      <c r="T58" s="172"/>
      <c r="U58" s="172"/>
      <c r="V58" s="172"/>
      <c r="W58" s="172"/>
      <c r="X58" s="172"/>
      <c r="Y58" s="172"/>
      <c r="Z58" s="172"/>
    </row>
    <row r="59" spans="1:26" ht="18" customHeight="1">
      <c r="A59" s="172"/>
      <c r="B59" s="258" t="str">
        <v>RPT_02_Service Regulator Inspections</v>
      </c>
      <c r="C59" s="240" t="str">
        <v>July</v>
      </c>
      <c r="D59" s="240" t="str">
        <v>Ready for Release in Prod</v>
      </c>
      <c r="E59" s="240" t="str">
        <v>No</v>
      </c>
      <c r="F59" s="240" t="str">
        <v>Sree</v>
      </c>
      <c r="G59" s="240" t="str">
        <v>Sarath</v>
      </c>
      <c r="H59" s="240" t="str">
        <v>Bardia</v>
      </c>
      <c r="I59" s="240" t="str">
        <v>Jeanne Waldron, Anthony Massimino</v>
      </c>
      <c r="J59" s="259">
        <v>46258</v>
      </c>
      <c r="K59" s="259">
        <v>46266</v>
      </c>
      <c r="L59" s="259">
        <v>46267</v>
      </c>
      <c r="M59" s="259">
        <v>46273</v>
      </c>
      <c r="N59" s="260">
        <v>3</v>
      </c>
      <c r="O59" s="240" t="str">
        <v/>
      </c>
      <c r="P59" s="172"/>
      <c r="Q59" s="172"/>
      <c r="R59" s="172"/>
      <c r="S59" s="172"/>
      <c r="T59" s="172"/>
      <c r="U59" s="172"/>
      <c r="V59" s="172"/>
      <c r="W59" s="172"/>
      <c r="X59" s="172"/>
      <c r="Y59" s="172"/>
      <c r="Z59" s="172"/>
    </row>
    <row r="60" spans="1:26" ht="18" customHeight="1">
      <c r="A60" s="172"/>
      <c r="B60" s="258" t="str">
        <v>RPT_02_Service Regulator Inspection Printout</v>
      </c>
      <c r="C60" s="240" t="str">
        <v>July</v>
      </c>
      <c r="D60" s="240" t="str">
        <v>Ready for Release in Prod</v>
      </c>
      <c r="E60" s="240" t="str">
        <v>No</v>
      </c>
      <c r="F60" s="240" t="str">
        <v>Sree</v>
      </c>
      <c r="G60" s="240" t="str">
        <v>Shraddha</v>
      </c>
      <c r="H60" s="240" t="str">
        <v>Bardia</v>
      </c>
      <c r="I60" s="240" t="str">
        <v>Jeanne Waldron, Anthony Massimino</v>
      </c>
      <c r="J60" s="259">
        <v>46258</v>
      </c>
      <c r="K60" s="259">
        <v>46246</v>
      </c>
      <c r="L60" s="259">
        <v>46267</v>
      </c>
      <c r="M60" s="259">
        <v>46273</v>
      </c>
      <c r="N60" s="260">
        <v>1</v>
      </c>
      <c r="O60" s="240" t="str">
        <v/>
      </c>
      <c r="P60" s="172"/>
      <c r="Q60" s="172"/>
      <c r="R60" s="172"/>
      <c r="S60" s="172"/>
      <c r="T60" s="172"/>
      <c r="U60" s="172"/>
      <c r="V60" s="172"/>
      <c r="W60" s="172"/>
      <c r="X60" s="172"/>
      <c r="Y60" s="172"/>
      <c r="Z60" s="172"/>
    </row>
    <row r="61" spans="1:26" ht="18" customHeight="1">
      <c r="A61" s="172"/>
      <c r="B61" s="258" t="str">
        <v>RPT_02_20 Year Regulator Inspection</v>
      </c>
      <c r="C61" s="240" t="str">
        <v>July</v>
      </c>
      <c r="D61" s="240" t="str">
        <v>Ready for Release in Prod</v>
      </c>
      <c r="E61" s="240" t="str">
        <v>No</v>
      </c>
      <c r="F61" s="240" t="str">
        <v>Siddu</v>
      </c>
      <c r="G61" s="240" t="str">
        <v>Navya</v>
      </c>
      <c r="H61" s="240" t="str">
        <v>Bardia</v>
      </c>
      <c r="I61" s="240" t="str">
        <v>Natalie Lattanzio</v>
      </c>
      <c r="J61" s="259">
        <v>46255</v>
      </c>
      <c r="K61" s="259">
        <v>46255</v>
      </c>
      <c r="L61" s="259">
        <v>46255</v>
      </c>
      <c r="M61" s="259">
        <v>46269</v>
      </c>
      <c r="N61" s="260">
        <v>1</v>
      </c>
      <c r="O61" s="240" t="str">
        <v/>
      </c>
      <c r="P61" s="172"/>
      <c r="Q61" s="172"/>
      <c r="R61" s="172"/>
      <c r="S61" s="172"/>
      <c r="T61" s="172"/>
      <c r="U61" s="172"/>
      <c r="V61" s="172"/>
      <c r="W61" s="172"/>
      <c r="X61" s="172"/>
      <c r="Y61" s="172"/>
      <c r="Z61" s="172"/>
    </row>
    <row r="62" spans="1:26" ht="18" customHeight="1">
      <c r="A62" s="172"/>
      <c r="B62" s="258" t="str">
        <v>RPT_02_Fixed Factor</v>
      </c>
      <c r="C62" s="240" t="str">
        <v>July</v>
      </c>
      <c r="D62" s="240" t="str">
        <v>Ready for Release in Prod</v>
      </c>
      <c r="E62" s="240" t="str">
        <v>No</v>
      </c>
      <c r="F62" s="240" t="str">
        <v>Nick</v>
      </c>
      <c r="G62" s="240" t="str">
        <v>Navya</v>
      </c>
      <c r="H62" s="240" t="str">
        <v>Bardia</v>
      </c>
      <c r="I62" s="240" t="str">
        <v>Natalie Lattanzio</v>
      </c>
      <c r="J62" s="259">
        <v>46254</v>
      </c>
      <c r="K62" s="259">
        <v>46254</v>
      </c>
      <c r="L62" s="259">
        <v>46254</v>
      </c>
      <c r="M62" s="259">
        <v>46269</v>
      </c>
      <c r="N62" s="260">
        <v>2</v>
      </c>
      <c r="O62" s="240" t="str">
        <v/>
      </c>
      <c r="P62" s="172"/>
      <c r="Q62" s="172"/>
      <c r="R62" s="172"/>
      <c r="S62" s="172"/>
      <c r="T62" s="172"/>
      <c r="U62" s="172"/>
      <c r="V62" s="172"/>
      <c r="W62" s="172"/>
      <c r="X62" s="172"/>
      <c r="Y62" s="172"/>
      <c r="Z62" s="172"/>
    </row>
    <row r="63" spans="1:26" ht="18" customHeight="1">
      <c r="A63" s="172"/>
      <c r="B63" s="258" t="str">
        <v>RPT_02_Fixed Factor Printout</v>
      </c>
      <c r="C63" s="240" t="str">
        <v>July</v>
      </c>
      <c r="D63" s="240" t="str">
        <v>Ready for Release in Prod</v>
      </c>
      <c r="E63" s="240" t="str">
        <v>No</v>
      </c>
      <c r="F63" s="240" t="str">
        <v>Nick</v>
      </c>
      <c r="G63" s="240" t="str">
        <v>Shraddha</v>
      </c>
      <c r="H63" s="240" t="str">
        <v>Preety</v>
      </c>
      <c r="I63" s="240" t="str">
        <v>Natalie Lattanzio</v>
      </c>
      <c r="J63" s="259">
        <v>46245</v>
      </c>
      <c r="K63" s="259">
        <v>46258</v>
      </c>
      <c r="L63" s="259">
        <v>46258</v>
      </c>
      <c r="M63" s="259">
        <v>46269</v>
      </c>
      <c r="N63" s="260">
        <v>2</v>
      </c>
      <c r="O63" s="240" t="str">
        <v/>
      </c>
      <c r="P63" s="172"/>
      <c r="Q63" s="172"/>
      <c r="R63" s="172"/>
      <c r="S63" s="172"/>
      <c r="T63" s="172"/>
      <c r="U63" s="172"/>
      <c r="V63" s="172"/>
      <c r="W63" s="172"/>
      <c r="X63" s="172"/>
      <c r="Y63" s="172"/>
      <c r="Z63" s="172"/>
    </row>
    <row r="64" spans="1:26" ht="18" customHeight="1">
      <c r="A64" s="172"/>
      <c r="B64" s="258" t="str">
        <v>RPT_02_Work Order Completion Printout</v>
      </c>
      <c r="C64" s="240" t="str">
        <v>July</v>
      </c>
      <c r="D64" s="240" t="str">
        <v>Ready for Release in Prod</v>
      </c>
      <c r="E64" s="240" t="str">
        <v>No</v>
      </c>
      <c r="F64" s="240" t="str">
        <v>Rupa</v>
      </c>
      <c r="G64" s="240" t="str">
        <v>Shraddha</v>
      </c>
      <c r="H64" s="240" t="str">
        <v>Preety</v>
      </c>
      <c r="I64" s="240" t="str">
        <v>Jeanne Waldron, Anthony Massimino</v>
      </c>
      <c r="J64" s="259">
        <v>46251</v>
      </c>
      <c r="K64" s="259">
        <v>46255</v>
      </c>
      <c r="L64" s="259">
        <v>46258</v>
      </c>
      <c r="M64" s="259">
        <v>46273</v>
      </c>
      <c r="N64" s="260">
        <v>1</v>
      </c>
      <c r="O64" s="240" t="str">
        <v/>
      </c>
      <c r="P64" s="172"/>
      <c r="Q64" s="172"/>
      <c r="R64" s="172"/>
      <c r="S64" s="172"/>
      <c r="T64" s="172"/>
      <c r="U64" s="172"/>
      <c r="V64" s="172"/>
      <c r="W64" s="172"/>
      <c r="X64" s="172"/>
      <c r="Y64" s="172"/>
      <c r="Z64" s="172"/>
    </row>
    <row r="65" spans="1:26" ht="18" customHeight="1">
      <c r="A65" s="172"/>
      <c r="B65" s="258" t="str">
        <v>RPT_02_GRO Control</v>
      </c>
      <c r="C65" s="240" t="str">
        <v>July</v>
      </c>
      <c r="D65" s="240" t="str">
        <v>Ready for Release in Prod</v>
      </c>
      <c r="E65" s="240" t="str">
        <v>No</v>
      </c>
      <c r="F65" s="240" t="str">
        <v>Siva</v>
      </c>
      <c r="G65" s="240" t="str">
        <v>Navya</v>
      </c>
      <c r="H65" s="240" t="str">
        <v>Preety</v>
      </c>
      <c r="I65" s="240" t="str">
        <v>Jeanne Waldron, Anthony Massimino</v>
      </c>
      <c r="J65" s="259">
        <v>46248</v>
      </c>
      <c r="K65" s="259">
        <v>46251</v>
      </c>
      <c r="L65" s="259">
        <v>46258</v>
      </c>
      <c r="M65" s="259">
        <v>46273</v>
      </c>
      <c r="N65" s="260">
        <v>0</v>
      </c>
      <c r="O65" s="240" t="str">
        <v/>
      </c>
      <c r="P65" s="172"/>
      <c r="Q65" s="172"/>
      <c r="R65" s="172"/>
      <c r="S65" s="172"/>
      <c r="T65" s="172"/>
      <c r="U65" s="172"/>
      <c r="V65" s="172"/>
      <c r="W65" s="172"/>
      <c r="X65" s="172"/>
      <c r="Y65" s="172"/>
      <c r="Z65" s="172"/>
    </row>
    <row r="66" spans="1:26" ht="18" customHeight="1">
      <c r="A66" s="172"/>
      <c r="B66" s="258" t="str">
        <v>RPT_02_GRO Monitor</v>
      </c>
      <c r="C66" s="240" t="str">
        <v>July</v>
      </c>
      <c r="D66" s="240" t="str">
        <v>Ready for Release in Prod</v>
      </c>
      <c r="E66" s="240" t="str">
        <v>No</v>
      </c>
      <c r="F66" s="240" t="str">
        <v>Rupa</v>
      </c>
      <c r="G66" s="240" t="str">
        <v>Sarath</v>
      </c>
      <c r="H66" s="240" t="str">
        <v>Preety</v>
      </c>
      <c r="I66" s="240" t="str">
        <v>Natalie Lattanzio</v>
      </c>
      <c r="J66" s="259">
        <v>46245</v>
      </c>
      <c r="K66" s="259">
        <v>46248</v>
      </c>
      <c r="L66" s="259">
        <v>46261</v>
      </c>
      <c r="M66" s="259">
        <v>46269</v>
      </c>
      <c r="N66" s="260">
        <v>0</v>
      </c>
      <c r="O66" s="240" t="str">
        <v/>
      </c>
      <c r="P66" s="172"/>
      <c r="Q66" s="172"/>
      <c r="R66" s="172"/>
      <c r="S66" s="172"/>
      <c r="T66" s="172"/>
      <c r="U66" s="172"/>
      <c r="V66" s="172"/>
      <c r="W66" s="172"/>
      <c r="X66" s="172"/>
      <c r="Y66" s="172"/>
      <c r="Z66" s="172"/>
    </row>
    <row r="67" spans="1:26" ht="18" customHeight="1">
      <c r="A67" s="172"/>
      <c r="B67" s="258" t="str">
        <v>RPT_02_Public Buildings Inspection</v>
      </c>
      <c r="C67" s="240" t="str">
        <v>August</v>
      </c>
      <c r="D67" s="240" t="str">
        <v>QA</v>
      </c>
      <c r="E67" s="240" t="str">
        <v>No</v>
      </c>
      <c r="F67" s="240" t="str">
        <v>Geetha</v>
      </c>
      <c r="G67" s="240" t="str">
        <v>Navya</v>
      </c>
      <c r="H67" s="240" t="str">
        <v>Preety</v>
      </c>
      <c r="I67" s="240" t="str">
        <v>Jeanne Waldron, Anthony Massimino</v>
      </c>
      <c r="J67" s="259">
        <v>46252</v>
      </c>
      <c r="K67" s="259">
        <v>46295</v>
      </c>
      <c r="L67" s="259">
        <v>46276</v>
      </c>
      <c r="M67" s="259" t="str">
        <v/>
      </c>
      <c r="N67" s="260">
        <v>3</v>
      </c>
      <c r="O67" s="240" t="str">
        <v>Move status back to PBI Dev</v>
      </c>
      <c r="P67" s="172"/>
      <c r="Q67" s="172"/>
      <c r="R67" s="172"/>
      <c r="S67" s="172"/>
      <c r="T67" s="172"/>
      <c r="U67" s="172"/>
      <c r="V67" s="172"/>
      <c r="W67" s="172"/>
      <c r="X67" s="172"/>
      <c r="Y67" s="172"/>
      <c r="Z67" s="172"/>
    </row>
    <row r="68" spans="1:26" ht="18" customHeight="1">
      <c r="A68" s="172"/>
      <c r="B68" s="258" t="str">
        <v>RPT_02_Investigate Wall Check and Service Check</v>
      </c>
      <c r="C68" s="240" t="str">
        <v>August</v>
      </c>
      <c r="D68" s="240" t="str">
        <v>Ready for Release in Prod</v>
      </c>
      <c r="E68" s="240" t="str">
        <v>No</v>
      </c>
      <c r="F68" s="240" t="str">
        <v>Siva</v>
      </c>
      <c r="G68" s="240" t="str">
        <v>Sarath</v>
      </c>
      <c r="H68" s="240" t="str">
        <v>Preety</v>
      </c>
      <c r="I68" s="240" t="str">
        <v>Shaunna Peters</v>
      </c>
      <c r="J68" s="259">
        <v>46255</v>
      </c>
      <c r="K68" s="259">
        <v>46258</v>
      </c>
      <c r="L68" s="259">
        <v>46273</v>
      </c>
      <c r="M68" s="259">
        <v>46283</v>
      </c>
      <c r="N68" s="260">
        <v>3</v>
      </c>
      <c r="O68" s="240" t="str">
        <v/>
      </c>
      <c r="P68" s="172"/>
      <c r="Q68" s="172"/>
      <c r="R68" s="172"/>
      <c r="S68" s="172"/>
      <c r="T68" s="172"/>
      <c r="U68" s="172"/>
      <c r="V68" s="172"/>
      <c r="W68" s="172"/>
      <c r="X68" s="172"/>
      <c r="Y68" s="172"/>
      <c r="Z68" s="172"/>
    </row>
    <row r="69" spans="1:26" ht="18" customHeight="1">
      <c r="A69" s="172"/>
      <c r="B69" s="258" t="str">
        <v>RPT_02_Cut Out Orders</v>
      </c>
      <c r="C69" s="240" t="str">
        <v>August</v>
      </c>
      <c r="D69" s="240" t="str">
        <v>Ready for Release in Prod</v>
      </c>
      <c r="E69" s="240" t="str">
        <v>No</v>
      </c>
      <c r="F69" s="240" t="str">
        <v>Fetwi</v>
      </c>
      <c r="G69" s="240" t="str">
        <v>Shraddha</v>
      </c>
      <c r="H69" s="240" t="str">
        <v>Preety</v>
      </c>
      <c r="I69" s="240" t="str">
        <v>Shaunna Peters</v>
      </c>
      <c r="J69" s="259">
        <v>46244</v>
      </c>
      <c r="K69" s="259">
        <v>46265</v>
      </c>
      <c r="L69" s="259">
        <v>46265</v>
      </c>
      <c r="M69" s="259">
        <v>46283</v>
      </c>
      <c r="N69" s="260">
        <v>1</v>
      </c>
      <c r="O69" s="240" t="str">
        <v/>
      </c>
      <c r="P69" s="172"/>
      <c r="Q69" s="172"/>
      <c r="R69" s="172"/>
      <c r="S69" s="172"/>
      <c r="T69" s="172"/>
      <c r="U69" s="172"/>
      <c r="V69" s="172"/>
      <c r="W69" s="172"/>
      <c r="X69" s="172"/>
      <c r="Y69" s="172"/>
      <c r="Z69" s="172"/>
    </row>
    <row r="70" spans="1:26" ht="18" customHeight="1">
      <c r="A70" s="172"/>
      <c r="B70" s="258" t="str">
        <v>RPT_02_Gas Trouble</v>
      </c>
      <c r="C70" s="240" t="str">
        <v>August</v>
      </c>
      <c r="D70" s="240" t="str">
        <v>Ready for Release in Prod</v>
      </c>
      <c r="E70" s="240" t="str">
        <v>No</v>
      </c>
      <c r="F70" s="240" t="str">
        <v>Siddu</v>
      </c>
      <c r="G70" s="240" t="str">
        <v>Navya</v>
      </c>
      <c r="H70" s="240" t="str">
        <v>Preety</v>
      </c>
      <c r="I70" s="240" t="str">
        <v>Jeanne Waldron, Anthony Massimino</v>
      </c>
      <c r="J70" s="259">
        <v>46244</v>
      </c>
      <c r="K70" s="259">
        <v>46261</v>
      </c>
      <c r="L70" s="259">
        <v>46266</v>
      </c>
      <c r="M70" s="259">
        <v>46283</v>
      </c>
      <c r="N70" s="260">
        <v>1</v>
      </c>
      <c r="O70" s="240" t="str">
        <v/>
      </c>
      <c r="P70" s="172"/>
      <c r="Q70" s="172"/>
      <c r="R70" s="172"/>
      <c r="S70" s="172"/>
      <c r="T70" s="172"/>
      <c r="U70" s="172"/>
      <c r="V70" s="172"/>
      <c r="W70" s="172"/>
      <c r="X70" s="172"/>
      <c r="Y70" s="172"/>
      <c r="Z70" s="172"/>
    </row>
    <row r="71" spans="1:26" ht="18" customHeight="1">
      <c r="A71" s="172"/>
      <c r="B71" s="258" t="str">
        <v>RPT_02_Wall Check Control</v>
      </c>
      <c r="C71" s="240" t="str">
        <v>August</v>
      </c>
      <c r="D71" s="240" t="str">
        <v>Ready for Release in Prod</v>
      </c>
      <c r="E71" s="240" t="str">
        <v>No</v>
      </c>
      <c r="F71" s="240" t="str">
        <v>Nick</v>
      </c>
      <c r="G71" s="240" t="str">
        <v>Shraddha</v>
      </c>
      <c r="H71" s="240" t="str">
        <v>Kushal</v>
      </c>
      <c r="I71" s="240" t="str">
        <v>Jeanne Waldron, Anthony Massimino</v>
      </c>
      <c r="J71" s="259">
        <v>46246</v>
      </c>
      <c r="K71" s="259">
        <v>46261</v>
      </c>
      <c r="L71" s="259">
        <v>46265</v>
      </c>
      <c r="M71" s="259">
        <v>46283</v>
      </c>
      <c r="N71" s="260">
        <v>0</v>
      </c>
      <c r="O71" s="240" t="str">
        <v/>
      </c>
      <c r="P71" s="172"/>
      <c r="Q71" s="172"/>
      <c r="R71" s="172"/>
      <c r="S71" s="172"/>
      <c r="T71" s="172"/>
      <c r="U71" s="172"/>
      <c r="V71" s="172"/>
      <c r="W71" s="172"/>
      <c r="X71" s="172"/>
      <c r="Y71" s="172"/>
      <c r="Z71" s="172"/>
    </row>
    <row r="72" spans="1:26" ht="18" customHeight="1">
      <c r="A72" s="172"/>
      <c r="B72" s="258" t="str">
        <v>RPT_02_High Pressure Steel Inside Inspection</v>
      </c>
      <c r="C72" s="240" t="str">
        <v>August</v>
      </c>
      <c r="D72" s="240" t="str">
        <v>Ready for Release in Prod</v>
      </c>
      <c r="E72" s="240" t="str">
        <v>No</v>
      </c>
      <c r="F72" s="240" t="str">
        <v>Geetha</v>
      </c>
      <c r="G72" s="240" t="str">
        <v>Sarath</v>
      </c>
      <c r="H72" s="240" t="str">
        <v>Bardia</v>
      </c>
      <c r="I72" s="240" t="str">
        <v>Shaunna Peters</v>
      </c>
      <c r="J72" s="259">
        <v>46253</v>
      </c>
      <c r="K72" s="259">
        <v>46255</v>
      </c>
      <c r="L72" s="259">
        <v>46269</v>
      </c>
      <c r="M72" s="259">
        <v>46283</v>
      </c>
      <c r="N72" s="260">
        <v>0</v>
      </c>
      <c r="O72" s="240" t="str">
        <v/>
      </c>
      <c r="P72" s="172"/>
      <c r="Q72" s="172"/>
      <c r="R72" s="172"/>
      <c r="S72" s="172"/>
      <c r="T72" s="172"/>
      <c r="U72" s="172"/>
      <c r="V72" s="172"/>
      <c r="W72" s="172"/>
      <c r="X72" s="172"/>
      <c r="Y72" s="172"/>
      <c r="Z72" s="172"/>
    </row>
    <row r="73" spans="1:26" ht="18" customHeight="1">
      <c r="A73" s="172"/>
      <c r="B73" s="258" t="str">
        <v>RPT_02_Large Gas Outage</v>
      </c>
      <c r="C73" s="240" t="str">
        <v>August</v>
      </c>
      <c r="D73" s="240" t="str">
        <v>DPO Approval</v>
      </c>
      <c r="E73" s="240" t="str">
        <v>No</v>
      </c>
      <c r="F73" s="240" t="str">
        <v>Nick</v>
      </c>
      <c r="G73" s="240" t="str">
        <v>Sarath</v>
      </c>
      <c r="H73" s="240" t="str">
        <v>Kushal</v>
      </c>
      <c r="I73" s="240" t="str">
        <v>Natalie Lattanzio</v>
      </c>
      <c r="J73" s="259">
        <v>46265</v>
      </c>
      <c r="K73" s="259">
        <v>46266</v>
      </c>
      <c r="L73" s="259">
        <v>46286</v>
      </c>
      <c r="M73" s="259" t="str">
        <v/>
      </c>
      <c r="N73" s="260">
        <v>5</v>
      </c>
      <c r="O73" s="240" t="str">
        <v/>
      </c>
      <c r="P73" s="172"/>
      <c r="Q73" s="172"/>
      <c r="R73" s="172"/>
      <c r="S73" s="172"/>
      <c r="T73" s="172"/>
      <c r="U73" s="172"/>
      <c r="V73" s="172"/>
      <c r="W73" s="172"/>
      <c r="X73" s="172"/>
      <c r="Y73" s="172"/>
      <c r="Z73" s="172"/>
    </row>
    <row r="74" spans="1:26" ht="18" customHeight="1">
      <c r="A74" s="172"/>
      <c r="B74" s="258" t="str">
        <v>RPT_02_Fitting Work</v>
      </c>
      <c r="C74" s="240" t="str">
        <v>August</v>
      </c>
      <c r="D74" s="240" t="str">
        <v>Ready for Release in Prod</v>
      </c>
      <c r="E74" s="240" t="str">
        <v>No</v>
      </c>
      <c r="F74" s="240" t="str">
        <v>Fetwi</v>
      </c>
      <c r="G74" s="240" t="str">
        <v>Navya</v>
      </c>
      <c r="H74" s="240" t="str">
        <v>Bardia</v>
      </c>
      <c r="I74" s="240" t="str">
        <v>Shaunna Peters</v>
      </c>
      <c r="J74" s="259">
        <v>46245</v>
      </c>
      <c r="K74" s="259">
        <v>46252</v>
      </c>
      <c r="L74" s="259">
        <v>46273</v>
      </c>
      <c r="M74" s="259">
        <v>46283</v>
      </c>
      <c r="N74" s="260">
        <v>1</v>
      </c>
      <c r="O74" s="240" t="str">
        <v/>
      </c>
      <c r="P74" s="172"/>
      <c r="Q74" s="172"/>
      <c r="R74" s="172"/>
      <c r="S74" s="172"/>
      <c r="T74" s="172"/>
      <c r="U74" s="172"/>
      <c r="V74" s="172"/>
      <c r="W74" s="172"/>
      <c r="X74" s="172"/>
      <c r="Y74" s="172"/>
      <c r="Z74" s="172"/>
    </row>
    <row r="75" spans="1:26" ht="18" customHeight="1">
      <c r="A75" s="172"/>
      <c r="B75" s="258" t="str">
        <v>RPT_02_Field Collector Report</v>
      </c>
      <c r="C75" s="240" t="str">
        <v>August</v>
      </c>
      <c r="D75" s="240" t="str">
        <v>Ready for Release in Prod</v>
      </c>
      <c r="E75" s="240" t="str">
        <v>No</v>
      </c>
      <c r="F75" s="240" t="str">
        <v>Rupa</v>
      </c>
      <c r="G75" s="240" t="str">
        <v>Shraddha</v>
      </c>
      <c r="H75" s="240" t="str">
        <v>Bardia</v>
      </c>
      <c r="I75" s="240" t="str">
        <v>Jeanne Timmons, Shaunna Peters</v>
      </c>
      <c r="J75" s="259">
        <v>46248</v>
      </c>
      <c r="K75" s="259">
        <v>46260</v>
      </c>
      <c r="L75" s="259">
        <v>46276</v>
      </c>
      <c r="M75" s="259">
        <v>46283</v>
      </c>
      <c r="N75" s="260">
        <v>0</v>
      </c>
      <c r="O75" s="240" t="str">
        <v/>
      </c>
      <c r="P75" s="172"/>
      <c r="Q75" s="172"/>
      <c r="R75" s="172"/>
      <c r="S75" s="172"/>
      <c r="T75" s="172"/>
      <c r="U75" s="172"/>
      <c r="V75" s="172"/>
      <c r="W75" s="172"/>
      <c r="X75" s="172"/>
      <c r="Y75" s="172"/>
      <c r="Z75" s="172"/>
    </row>
    <row r="76" spans="1:26" ht="18" customHeight="1">
      <c r="A76" s="172"/>
      <c r="B76" s="258" t="str">
        <v>RPT_02_Turn On for Non-Payment</v>
      </c>
      <c r="C76" s="240" t="str">
        <v>August</v>
      </c>
      <c r="D76" s="240" t="str">
        <v>DPO Approval</v>
      </c>
      <c r="E76" s="240" t="str">
        <v>No</v>
      </c>
      <c r="F76" s="240" t="str">
        <v>Sree</v>
      </c>
      <c r="G76" s="240" t="str">
        <v>Sarath</v>
      </c>
      <c r="H76" s="240" t="str">
        <v>Kushal</v>
      </c>
      <c r="I76" s="240" t="str">
        <v>Bryan Patterson, Reginald Durham, Shaunna Peters, Simone Brooks, Bill Contreras</v>
      </c>
      <c r="J76" s="259">
        <v>46252</v>
      </c>
      <c r="K76" s="259">
        <v>46267</v>
      </c>
      <c r="L76" s="259">
        <v>46290</v>
      </c>
      <c r="M76" s="259" t="str">
        <v/>
      </c>
      <c r="N76" s="260">
        <v>2</v>
      </c>
      <c r="O76" s="240" t="str">
        <v>Open rework row - mark Blocked or close it</v>
      </c>
      <c r="P76" s="172"/>
      <c r="Q76" s="172"/>
      <c r="R76" s="172"/>
      <c r="S76" s="172"/>
      <c r="T76" s="172"/>
      <c r="U76" s="172"/>
      <c r="V76" s="172"/>
      <c r="W76" s="172"/>
      <c r="X76" s="172"/>
      <c r="Y76" s="172"/>
      <c r="Z76" s="172"/>
    </row>
    <row r="77" spans="1:26" ht="18" customHeight="1">
      <c r="A77" s="172"/>
      <c r="B77" s="258" t="str">
        <v>RPT_02_Collector Payment Recap</v>
      </c>
      <c r="C77" s="240" t="str">
        <v>August</v>
      </c>
      <c r="D77" s="240" t="str">
        <v>Ready for Release in Prod</v>
      </c>
      <c r="E77" s="240" t="str">
        <v>No</v>
      </c>
      <c r="F77" s="240" t="str">
        <v>Rupa</v>
      </c>
      <c r="G77" s="240" t="str">
        <v>Shraddha</v>
      </c>
      <c r="H77" s="240" t="str">
        <v>Bardia</v>
      </c>
      <c r="I77" s="240" t="str">
        <v>Oneil Lashley</v>
      </c>
      <c r="J77" s="259">
        <v>46251</v>
      </c>
      <c r="K77" s="259">
        <v>46262</v>
      </c>
      <c r="L77" s="259">
        <v>46281</v>
      </c>
      <c r="M77" s="259">
        <v>46286</v>
      </c>
      <c r="N77" s="260">
        <v>1</v>
      </c>
      <c r="O77" s="240" t="str">
        <v/>
      </c>
      <c r="P77" s="172"/>
      <c r="Q77" s="172"/>
      <c r="R77" s="172"/>
      <c r="S77" s="172"/>
      <c r="T77" s="172"/>
      <c r="U77" s="172"/>
      <c r="V77" s="172"/>
      <c r="W77" s="172"/>
      <c r="X77" s="172"/>
      <c r="Y77" s="172"/>
      <c r="Z77" s="172"/>
    </row>
    <row r="78" spans="1:26" ht="18" customHeight="1">
      <c r="A78" s="172"/>
      <c r="B78" s="258" t="str">
        <v>RPT_02_Incentive Management</v>
      </c>
      <c r="C78" s="240" t="str">
        <v>August</v>
      </c>
      <c r="D78" s="240" t="str">
        <v>Ready for Release in Prod</v>
      </c>
      <c r="E78" s="240" t="str">
        <v>No</v>
      </c>
      <c r="F78" s="240" t="str">
        <v>Siddu</v>
      </c>
      <c r="G78" s="240" t="str">
        <v>Navya</v>
      </c>
      <c r="H78" s="240" t="str">
        <v>Preety</v>
      </c>
      <c r="I78" s="240" t="str">
        <v>Reginald Durham</v>
      </c>
      <c r="J78" s="259">
        <v>46253</v>
      </c>
      <c r="K78" s="259">
        <v>46262</v>
      </c>
      <c r="L78" s="259">
        <v>46269</v>
      </c>
      <c r="M78" s="259">
        <v>46282</v>
      </c>
      <c r="N78" s="260">
        <v>0</v>
      </c>
      <c r="O78" s="240" t="str">
        <v/>
      </c>
      <c r="P78" s="172"/>
      <c r="Q78" s="172"/>
      <c r="R78" s="172"/>
      <c r="S78" s="172"/>
      <c r="T78" s="172"/>
      <c r="U78" s="172"/>
      <c r="V78" s="172"/>
      <c r="W78" s="172"/>
      <c r="X78" s="172"/>
      <c r="Y78" s="172"/>
      <c r="Z78" s="172"/>
    </row>
    <row r="79" spans="1:26" ht="18" customHeight="1">
      <c r="A79" s="172"/>
      <c r="B79" s="258" t="str">
        <v>RPT_02_UTC Report</v>
      </c>
      <c r="C79" s="240" t="str">
        <v>September</v>
      </c>
      <c r="D79" s="240" t="str">
        <v>DPO Approval</v>
      </c>
      <c r="E79" s="240" t="str">
        <v>No</v>
      </c>
      <c r="F79" s="240" t="str">
        <v>Rupa</v>
      </c>
      <c r="G79" s="240" t="str">
        <v>Shraddha</v>
      </c>
      <c r="H79" s="240" t="str">
        <v>Preety</v>
      </c>
      <c r="I79" s="240" t="str">
        <v>Simone Brooks</v>
      </c>
      <c r="J79" s="259">
        <v>46253</v>
      </c>
      <c r="K79" s="259">
        <v>46267</v>
      </c>
      <c r="L79" s="259" t="str">
        <v/>
      </c>
      <c r="M79" s="259" t="str">
        <v/>
      </c>
      <c r="N79" s="260">
        <v>1</v>
      </c>
      <c r="O79" s="240" t="str">
        <v/>
      </c>
      <c r="P79" s="172"/>
      <c r="Q79" s="172"/>
      <c r="R79" s="172"/>
      <c r="S79" s="172"/>
      <c r="T79" s="172"/>
      <c r="U79" s="172"/>
      <c r="V79" s="172"/>
      <c r="W79" s="172"/>
      <c r="X79" s="172"/>
      <c r="Y79" s="172"/>
      <c r="Z79" s="172"/>
    </row>
    <row r="80" spans="1:26" ht="18" customHeight="1">
      <c r="A80" s="172"/>
      <c r="B80" s="258" t="str">
        <v>RPT_02_Adjacent Property Checks</v>
      </c>
      <c r="C80" s="240" t="str">
        <v>September</v>
      </c>
      <c r="D80" s="240" t="str">
        <v>DPO Approval</v>
      </c>
      <c r="E80" s="240" t="str">
        <v>No</v>
      </c>
      <c r="F80" s="240" t="str">
        <v>Rupa</v>
      </c>
      <c r="G80" s="240" t="str">
        <v>Navya</v>
      </c>
      <c r="H80" s="240" t="str">
        <v>Olu</v>
      </c>
      <c r="I80" s="240" t="str">
        <v>Anthony Massimino</v>
      </c>
      <c r="J80" s="259">
        <v>46253</v>
      </c>
      <c r="K80" s="259">
        <v>46266</v>
      </c>
      <c r="L80" s="259">
        <v>46288</v>
      </c>
      <c r="M80" s="259" t="str">
        <v/>
      </c>
      <c r="N80" s="260">
        <v>0</v>
      </c>
      <c r="O80" s="240" t="str">
        <v/>
      </c>
      <c r="P80" s="172"/>
      <c r="Q80" s="172"/>
      <c r="R80" s="172"/>
      <c r="S80" s="172"/>
      <c r="T80" s="172"/>
      <c r="U80" s="172"/>
      <c r="V80" s="172"/>
      <c r="W80" s="172"/>
      <c r="X80" s="172"/>
      <c r="Y80" s="172"/>
      <c r="Z80" s="172"/>
    </row>
    <row r="81" spans="1:26" ht="18" customHeight="1">
      <c r="A81" s="172"/>
      <c r="B81" s="258" t="str">
        <v>RPT_02_High Bill Investigations</v>
      </c>
      <c r="C81" s="240" t="str">
        <v>September</v>
      </c>
      <c r="D81" s="240" t="str">
        <v>Ready for Release in Prod</v>
      </c>
      <c r="E81" s="240" t="str">
        <v>No</v>
      </c>
      <c r="F81" s="240" t="str">
        <v>Sree</v>
      </c>
      <c r="G81" s="240" t="str">
        <v>Sarath</v>
      </c>
      <c r="H81" s="240" t="str">
        <v>Preety</v>
      </c>
      <c r="I81" s="240" t="str">
        <v>Oneil Lashley</v>
      </c>
      <c r="J81" s="259" t="str">
        <v/>
      </c>
      <c r="K81" s="259">
        <v>46268</v>
      </c>
      <c r="L81" s="259">
        <v>46282</v>
      </c>
      <c r="M81" s="259">
        <v>46286</v>
      </c>
      <c r="N81" s="260">
        <v>1</v>
      </c>
      <c r="O81" s="240" t="str">
        <v/>
      </c>
      <c r="P81" s="172"/>
      <c r="Q81" s="172"/>
      <c r="R81" s="172"/>
      <c r="S81" s="172"/>
      <c r="T81" s="172"/>
      <c r="U81" s="172"/>
      <c r="V81" s="172"/>
      <c r="W81" s="172"/>
      <c r="X81" s="172"/>
      <c r="Y81" s="172"/>
      <c r="Z81" s="172"/>
    </row>
    <row r="82" spans="1:26" ht="18" customHeight="1">
      <c r="A82" s="172"/>
      <c r="B82" s="258" t="str">
        <v>RPT_02_Emergency Order Type</v>
      </c>
      <c r="C82" s="240" t="str">
        <v>September</v>
      </c>
      <c r="D82" s="240" t="str">
        <v>PBI Dev</v>
      </c>
      <c r="E82" s="240" t="str">
        <v>Yes – other</v>
      </c>
      <c r="F82" s="240" t="str">
        <v>Sree</v>
      </c>
      <c r="G82" s="240" t="str">
        <v>Shraddha</v>
      </c>
      <c r="H82" s="240" t="str">
        <v>Kushal</v>
      </c>
      <c r="I82" s="240" t="str">
        <v>Jeanne Waldron, Anthony Massimino</v>
      </c>
      <c r="J82" s="259" t="str">
        <v/>
      </c>
      <c r="K82" s="259" t="str">
        <v/>
      </c>
      <c r="L82" s="259" t="str">
        <v/>
      </c>
      <c r="M82" s="259" t="str">
        <v/>
      </c>
      <c r="N82" s="260">
        <v>0</v>
      </c>
      <c r="O82" s="240" t="str">
        <v>Blocked - log it on Rework Log</v>
      </c>
      <c r="P82" s="172"/>
      <c r="Q82" s="172"/>
      <c r="R82" s="172"/>
      <c r="S82" s="172"/>
      <c r="T82" s="172"/>
      <c r="U82" s="172"/>
      <c r="V82" s="172"/>
      <c r="W82" s="172"/>
      <c r="X82" s="172"/>
      <c r="Y82" s="172"/>
      <c r="Z82" s="172"/>
    </row>
    <row r="83" spans="1:26" ht="18" customHeight="1">
      <c r="A83" s="172"/>
      <c r="B83" s="258" t="str">
        <v>RPT_02_Cut Out Curb Box</v>
      </c>
      <c r="C83" s="240" t="str">
        <v>September</v>
      </c>
      <c r="D83" s="240" t="str">
        <v>DPO Approval</v>
      </c>
      <c r="E83" s="240" t="str">
        <v>No</v>
      </c>
      <c r="F83" s="240" t="str">
        <v>Fetwi</v>
      </c>
      <c r="G83" s="240" t="str">
        <v>Navya</v>
      </c>
      <c r="H83" s="240" t="str">
        <v>Preety</v>
      </c>
      <c r="I83" s="240" t="str">
        <v>Oneil Lashley</v>
      </c>
      <c r="J83" s="259">
        <v>46253</v>
      </c>
      <c r="K83" s="259">
        <v>46266</v>
      </c>
      <c r="L83" s="259" t="str">
        <v/>
      </c>
      <c r="M83" s="259" t="str">
        <v/>
      </c>
      <c r="N83" s="260">
        <v>1</v>
      </c>
      <c r="O83" s="240" t="str">
        <v/>
      </c>
      <c r="P83" s="172"/>
      <c r="Q83" s="172"/>
      <c r="R83" s="172"/>
      <c r="S83" s="172"/>
      <c r="T83" s="172"/>
      <c r="U83" s="172"/>
      <c r="V83" s="172"/>
      <c r="W83" s="172"/>
      <c r="X83" s="172"/>
      <c r="Y83" s="172"/>
      <c r="Z83" s="172"/>
    </row>
    <row r="84" spans="1:26" ht="18" customHeight="1">
      <c r="A84" s="172"/>
      <c r="B84" s="258" t="str">
        <v>RPT_02_New York Incident</v>
      </c>
      <c r="C84" s="240" t="str">
        <v>September</v>
      </c>
      <c r="D84" s="240" t="str">
        <v>Ready for Release in Prod</v>
      </c>
      <c r="E84" s="240" t="str">
        <v>No</v>
      </c>
      <c r="F84" s="240" t="str">
        <v>Nick</v>
      </c>
      <c r="G84" s="240" t="str">
        <v>Sarath</v>
      </c>
      <c r="H84" s="240" t="str">
        <v>Preety</v>
      </c>
      <c r="I84" s="240" t="str">
        <v>Bryan Patterson, Reginald Durham, Bill Contreras</v>
      </c>
      <c r="J84" s="259">
        <v>46255</v>
      </c>
      <c r="K84" s="259">
        <v>46273</v>
      </c>
      <c r="L84" s="259">
        <v>46286</v>
      </c>
      <c r="M84" s="259">
        <v>46295</v>
      </c>
      <c r="N84" s="260">
        <v>1</v>
      </c>
      <c r="O84" s="240" t="str">
        <v/>
      </c>
      <c r="P84" s="172"/>
      <c r="Q84" s="172"/>
      <c r="R84" s="172"/>
      <c r="S84" s="172"/>
      <c r="T84" s="172"/>
      <c r="U84" s="172"/>
      <c r="V84" s="172"/>
      <c r="W84" s="172"/>
      <c r="X84" s="172"/>
      <c r="Y84" s="172"/>
      <c r="Z84" s="172"/>
    </row>
    <row r="85" spans="1:26" ht="18" customHeight="1">
      <c r="A85" s="172"/>
      <c r="B85" s="258" t="str">
        <v>RPT_02_Outside Repeat Leaks</v>
      </c>
      <c r="C85" s="240" t="str">
        <v>September</v>
      </c>
      <c r="D85" s="240" t="str">
        <v>DPO Approval</v>
      </c>
      <c r="E85" s="240" t="str">
        <v>Yes – needs DB Dev to fix</v>
      </c>
      <c r="F85" s="240" t="str">
        <v>Fetwi</v>
      </c>
      <c r="G85" s="240" t="str">
        <v>Navya</v>
      </c>
      <c r="H85" s="240" t="str">
        <v>Preety</v>
      </c>
      <c r="I85" s="240" t="str">
        <v>Reginald Durham, Simone Brooks, Bill Contreras</v>
      </c>
      <c r="J85" s="259">
        <v>46255</v>
      </c>
      <c r="K85" s="259">
        <v>46268</v>
      </c>
      <c r="L85" s="259">
        <v>46295</v>
      </c>
      <c r="M85" s="259" t="str">
        <v/>
      </c>
      <c r="N85" s="260">
        <v>1</v>
      </c>
      <c r="O85" s="240" t="str">
        <v>Blocked - log it on Rework Log</v>
      </c>
      <c r="P85" s="172"/>
      <c r="Q85" s="172"/>
      <c r="R85" s="172"/>
      <c r="S85" s="172"/>
      <c r="T85" s="172"/>
      <c r="U85" s="172"/>
      <c r="V85" s="172"/>
      <c r="W85" s="172"/>
      <c r="X85" s="172"/>
      <c r="Y85" s="172"/>
      <c r="Z85" s="172"/>
    </row>
    <row r="86" spans="1:26" ht="18" customHeight="1">
      <c r="A86" s="172"/>
      <c r="B86" s="258" t="str">
        <v>RPT_02_Meter Change</v>
      </c>
      <c r="C86" s="240" t="str">
        <v>September</v>
      </c>
      <c r="D86" s="240" t="str">
        <v>DPO Approval</v>
      </c>
      <c r="E86" s="240" t="str">
        <v>No</v>
      </c>
      <c r="F86" s="240" t="str">
        <v>Siddu</v>
      </c>
      <c r="G86" s="240" t="str">
        <v>Shraddha</v>
      </c>
      <c r="H86" s="240" t="str">
        <v>Olu</v>
      </c>
      <c r="I86" s="240" t="str">
        <v>Michelle Fitten</v>
      </c>
      <c r="J86" s="259">
        <v>46259</v>
      </c>
      <c r="K86" s="259">
        <v>46282</v>
      </c>
      <c r="L86" s="259">
        <v>46289</v>
      </c>
      <c r="M86" s="259" t="str">
        <v/>
      </c>
      <c r="N86" s="260">
        <v>0</v>
      </c>
      <c r="O86" s="240" t="str">
        <v/>
      </c>
      <c r="P86" s="172"/>
      <c r="Q86" s="172"/>
      <c r="R86" s="172"/>
      <c r="S86" s="172"/>
      <c r="T86" s="172"/>
      <c r="U86" s="172"/>
      <c r="V86" s="172"/>
      <c r="W86" s="172"/>
      <c r="X86" s="172"/>
      <c r="Y86" s="172"/>
      <c r="Z86" s="172"/>
    </row>
    <row r="87" spans="1:26" ht="18" customHeight="1">
      <c r="A87" s="172"/>
      <c r="B87" s="258" t="str">
        <v>RPT_02_Field Order Value</v>
      </c>
      <c r="C87" s="240" t="str">
        <v>September</v>
      </c>
      <c r="D87" s="240" t="str">
        <v>QA</v>
      </c>
      <c r="E87" s="240" t="str">
        <v>No</v>
      </c>
      <c r="F87" s="240" t="str">
        <v>Siddu</v>
      </c>
      <c r="G87" s="240" t="str">
        <v>Navya</v>
      </c>
      <c r="H87" s="240" t="str">
        <v>Preety</v>
      </c>
      <c r="I87" s="240" t="str">
        <v>Alex Giangolini</v>
      </c>
      <c r="J87" s="259">
        <v>46266</v>
      </c>
      <c r="K87" s="259">
        <v>46294</v>
      </c>
      <c r="L87" s="259" t="str">
        <v/>
      </c>
      <c r="M87" s="259" t="str">
        <v/>
      </c>
      <c r="N87" s="260">
        <v>0</v>
      </c>
      <c r="O87" s="240" t="str">
        <v/>
      </c>
      <c r="P87" s="172"/>
      <c r="Q87" s="172"/>
      <c r="R87" s="172"/>
      <c r="S87" s="172"/>
      <c r="T87" s="172"/>
      <c r="U87" s="172"/>
      <c r="V87" s="172"/>
      <c r="W87" s="172"/>
      <c r="X87" s="172"/>
      <c r="Y87" s="172"/>
      <c r="Z87" s="172"/>
    </row>
    <row r="88" spans="1:26" ht="18" customHeight="1">
      <c r="A88" s="172"/>
      <c r="B88" s="258" t="str">
        <v>RPT_02_Same Day Reconnect</v>
      </c>
      <c r="C88" s="240" t="str">
        <v>September</v>
      </c>
      <c r="D88" s="240" t="str">
        <v>QA</v>
      </c>
      <c r="E88" s="240" t="str">
        <v>No</v>
      </c>
      <c r="F88" s="240" t="str">
        <v>Geetha</v>
      </c>
      <c r="G88" s="240" t="str">
        <v>Navya</v>
      </c>
      <c r="H88" s="240" t="str">
        <v>Preety</v>
      </c>
      <c r="I88" s="240" t="str">
        <v>Bryan Patterson</v>
      </c>
      <c r="J88" s="259">
        <v>46266</v>
      </c>
      <c r="K88" s="259">
        <v>46269</v>
      </c>
      <c r="L88" s="259" t="str">
        <v/>
      </c>
      <c r="M88" s="259" t="str">
        <v/>
      </c>
      <c r="N88" s="260">
        <v>0</v>
      </c>
      <c r="O88" s="240" t="str">
        <v/>
      </c>
      <c r="P88" s="172"/>
      <c r="Q88" s="172"/>
      <c r="R88" s="172"/>
      <c r="S88" s="172"/>
      <c r="T88" s="172"/>
      <c r="U88" s="172"/>
      <c r="V88" s="172"/>
      <c r="W88" s="172"/>
      <c r="X88" s="172"/>
      <c r="Y88" s="172"/>
      <c r="Z88" s="172"/>
    </row>
    <row r="89" spans="1:26" ht="18" customHeight="1">
      <c r="A89" s="172"/>
      <c r="B89" s="258" t="str">
        <v>RPT_02_Site Specific Analysis</v>
      </c>
      <c r="C89" s="240" t="str">
        <v>September</v>
      </c>
      <c r="D89" s="240" t="str">
        <v>DPO Approval</v>
      </c>
      <c r="E89" s="240" t="str">
        <v>No</v>
      </c>
      <c r="F89" s="240" t="str">
        <v>Nick</v>
      </c>
      <c r="G89" s="240" t="str">
        <v>Shraddha</v>
      </c>
      <c r="H89" s="240" t="str">
        <v>Olu</v>
      </c>
      <c r="I89" s="240" t="str">
        <v>Jeanne Waldron, Anthony Massimino</v>
      </c>
      <c r="J89" s="259">
        <v>46265</v>
      </c>
      <c r="K89" s="259">
        <v>46273</v>
      </c>
      <c r="L89" s="259">
        <v>46288</v>
      </c>
      <c r="M89" s="259" t="str">
        <v/>
      </c>
      <c r="N89" s="260">
        <v>0</v>
      </c>
      <c r="O89" s="240" t="str">
        <v/>
      </c>
      <c r="P89" s="172"/>
      <c r="Q89" s="172"/>
      <c r="R89" s="172"/>
      <c r="S89" s="172"/>
      <c r="T89" s="172"/>
      <c r="U89" s="172"/>
      <c r="V89" s="172"/>
      <c r="W89" s="172"/>
      <c r="X89" s="172"/>
      <c r="Y89" s="172"/>
      <c r="Z89" s="172"/>
    </row>
    <row r="90" spans="1:26" ht="18" customHeight="1">
      <c r="A90" s="172"/>
      <c r="B90" s="258" t="str">
        <v>RPT_02_PSC Wire Down Response Time</v>
      </c>
      <c r="C90" s="240" t="str">
        <v>September</v>
      </c>
      <c r="D90" s="240" t="str">
        <v>PBI Dev</v>
      </c>
      <c r="E90" s="240" t="str">
        <v>No</v>
      </c>
      <c r="F90" s="240" t="str">
        <v>Fetwi</v>
      </c>
      <c r="G90" s="240" t="str">
        <v>Sarath</v>
      </c>
      <c r="H90" s="240" t="str">
        <v/>
      </c>
      <c r="I90" s="240" t="str">
        <v>Bryan Patterson</v>
      </c>
      <c r="J90" s="259">
        <v>46282</v>
      </c>
      <c r="K90" s="259" t="str">
        <v/>
      </c>
      <c r="L90" s="259" t="str">
        <v/>
      </c>
      <c r="M90" s="259" t="str">
        <v/>
      </c>
      <c r="N90" s="260">
        <v>0</v>
      </c>
      <c r="O90" s="240" t="str">
        <v/>
      </c>
      <c r="P90" s="172"/>
      <c r="Q90" s="172"/>
      <c r="R90" s="172"/>
      <c r="S90" s="172"/>
      <c r="T90" s="172"/>
      <c r="U90" s="172"/>
      <c r="V90" s="172"/>
      <c r="W90" s="172"/>
      <c r="X90" s="172"/>
      <c r="Y90" s="172"/>
      <c r="Z90" s="172"/>
    </row>
    <row r="91" spans="1:26" ht="18" customHeight="1">
      <c r="A91" s="172"/>
      <c r="B91" s="258" t="str">
        <v>RPT_02_Hazardous Above Ground Leak</v>
      </c>
      <c r="C91" s="240" t="str">
        <v>September</v>
      </c>
      <c r="D91" s="240" t="str">
        <v>DB Dev</v>
      </c>
      <c r="E91" s="240" t="str">
        <v>No</v>
      </c>
      <c r="F91" s="240" t="str">
        <v>Fetwi</v>
      </c>
      <c r="G91" s="240" t="str">
        <v>Navya</v>
      </c>
      <c r="H91" s="240" t="str">
        <v>Kushal</v>
      </c>
      <c r="I91" s="240" t="str">
        <v>Reginald Durham, Simone Brooks, Shaunna Peters, Bill Contreras</v>
      </c>
      <c r="J91" s="259">
        <v>46254</v>
      </c>
      <c r="K91" s="259">
        <v>46254</v>
      </c>
      <c r="L91" s="259" t="str">
        <v/>
      </c>
      <c r="M91" s="259" t="str">
        <v/>
      </c>
      <c r="N91" s="260">
        <v>1</v>
      </c>
      <c r="O91" s="240" t="str">
        <v>Open rework row - mark Blocked or close it</v>
      </c>
      <c r="P91" s="172"/>
      <c r="Q91" s="172"/>
      <c r="R91" s="172"/>
      <c r="S91" s="172"/>
      <c r="T91" s="172"/>
      <c r="U91" s="172"/>
      <c r="V91" s="172"/>
      <c r="W91" s="172"/>
      <c r="X91" s="172"/>
      <c r="Y91" s="172"/>
      <c r="Z91" s="172"/>
    </row>
    <row r="92" spans="1:26" ht="18" customHeight="1">
      <c r="A92" s="172"/>
      <c r="B92" s="258" t="str">
        <v>RPT_02_AMI Contractor Completion Report</v>
      </c>
      <c r="C92" s="240" t="str">
        <v>September</v>
      </c>
      <c r="D92" s="240" t="str">
        <v>PBI Dev</v>
      </c>
      <c r="E92" s="240" t="str">
        <v>No</v>
      </c>
      <c r="F92" s="240" t="str">
        <v>Michael</v>
      </c>
      <c r="G92" s="240" t="str">
        <v>Shraddha</v>
      </c>
      <c r="H92" s="240" t="str">
        <v/>
      </c>
      <c r="I92" s="240" t="str">
        <v>Meredith Dube</v>
      </c>
      <c r="J92" s="259">
        <v>46258</v>
      </c>
      <c r="K92" s="259" t="str">
        <v/>
      </c>
      <c r="L92" s="259" t="str">
        <v/>
      </c>
      <c r="M92" s="259" t="str">
        <v/>
      </c>
      <c r="N92" s="260">
        <v>0</v>
      </c>
      <c r="O92" s="240" t="str">
        <v/>
      </c>
      <c r="P92" s="172"/>
      <c r="Q92" s="172"/>
      <c r="R92" s="172"/>
      <c r="S92" s="172"/>
      <c r="T92" s="172"/>
      <c r="U92" s="172"/>
      <c r="V92" s="172"/>
      <c r="W92" s="172"/>
      <c r="X92" s="172"/>
      <c r="Y92" s="172"/>
      <c r="Z92" s="172"/>
    </row>
    <row r="93" spans="1:26" ht="18" customHeight="1">
      <c r="A93" s="172"/>
      <c r="B93" s="258" t="str">
        <v>RPT_02_Collection Statistic</v>
      </c>
      <c r="C93" s="240" t="str">
        <v>September</v>
      </c>
      <c r="D93" s="240" t="str">
        <v>NOT STARTED</v>
      </c>
      <c r="E93" s="240" t="str">
        <v>No</v>
      </c>
      <c r="F93" s="240" t="str">
        <v>Siva</v>
      </c>
      <c r="G93" s="240" t="str">
        <v>Sarath</v>
      </c>
      <c r="H93" s="240" t="str">
        <v/>
      </c>
      <c r="I93" s="240" t="str">
        <v>Brett Palmeri</v>
      </c>
      <c r="J93" s="259" t="str">
        <v/>
      </c>
      <c r="K93" s="259" t="str">
        <v/>
      </c>
      <c r="L93" s="259" t="str">
        <v/>
      </c>
      <c r="M93" s="259" t="str">
        <v/>
      </c>
      <c r="N93" s="260">
        <v>0</v>
      </c>
      <c r="O93" s="240" t="str">
        <v/>
      </c>
      <c r="P93" s="172"/>
      <c r="Q93" s="172"/>
      <c r="R93" s="172"/>
      <c r="S93" s="172"/>
      <c r="T93" s="172"/>
      <c r="U93" s="172"/>
      <c r="V93" s="172"/>
      <c r="W93" s="172"/>
      <c r="X93" s="172"/>
      <c r="Y93" s="172"/>
      <c r="Z93" s="172"/>
    </row>
    <row r="94" spans="1:26" ht="18" customHeight="1">
      <c r="A94" s="172"/>
      <c r="B94" s="258" t="str">
        <v>RPT_02_First and Last Job</v>
      </c>
      <c r="C94" s="240" t="str">
        <v>September</v>
      </c>
      <c r="D94" s="240" t="str">
        <v>PBI Dev</v>
      </c>
      <c r="E94" s="240" t="str">
        <v>Yes – other</v>
      </c>
      <c r="F94" s="240" t="str">
        <v>Sree</v>
      </c>
      <c r="G94" s="240" t="str">
        <v>Sarath</v>
      </c>
      <c r="H94" s="240" t="str">
        <v/>
      </c>
      <c r="I94" s="240" t="str">
        <v>Oneil Lashley</v>
      </c>
      <c r="J94" s="259">
        <v>46276</v>
      </c>
      <c r="K94" s="259" t="str">
        <v/>
      </c>
      <c r="L94" s="259" t="str">
        <v/>
      </c>
      <c r="M94" s="259" t="str">
        <v/>
      </c>
      <c r="N94" s="260">
        <v>0</v>
      </c>
      <c r="O94" s="240" t="str">
        <v>Blocked - log it on Rework Log</v>
      </c>
      <c r="P94" s="172"/>
      <c r="Q94" s="172"/>
      <c r="R94" s="172"/>
      <c r="S94" s="172"/>
      <c r="T94" s="172"/>
      <c r="U94" s="172"/>
      <c r="V94" s="172"/>
      <c r="W94" s="172"/>
      <c r="X94" s="172"/>
      <c r="Y94" s="172"/>
      <c r="Z94" s="172"/>
    </row>
    <row r="95" spans="1:26" ht="18" customHeight="1">
      <c r="A95" s="172"/>
      <c r="B95" s="258" t="str">
        <v>RPT_02_Rate Class</v>
      </c>
      <c r="C95" s="240" t="str">
        <v>September</v>
      </c>
      <c r="D95" s="240" t="str">
        <v>DPO Approval</v>
      </c>
      <c r="E95" s="240" t="str">
        <v>No</v>
      </c>
      <c r="F95" s="240" t="str">
        <v>Fetwi</v>
      </c>
      <c r="G95" s="240" t="str">
        <v>Navya</v>
      </c>
      <c r="H95" s="240" t="str">
        <v>Preety</v>
      </c>
      <c r="I95" s="240" t="str">
        <v>Zishan Momin</v>
      </c>
      <c r="J95" s="259">
        <v>46259</v>
      </c>
      <c r="K95" s="259">
        <v>46281</v>
      </c>
      <c r="L95" s="259" t="str">
        <v/>
      </c>
      <c r="M95" s="259" t="str">
        <v/>
      </c>
      <c r="N95" s="260">
        <v>0</v>
      </c>
      <c r="O95" s="240" t="str">
        <v/>
      </c>
      <c r="P95" s="172"/>
      <c r="Q95" s="172"/>
      <c r="R95" s="172"/>
      <c r="S95" s="172"/>
      <c r="T95" s="172"/>
      <c r="U95" s="172"/>
      <c r="V95" s="172"/>
      <c r="W95" s="172"/>
      <c r="X95" s="172"/>
      <c r="Y95" s="172"/>
      <c r="Z95" s="172"/>
    </row>
    <row r="96" spans="1:26" ht="18" customHeight="1">
      <c r="A96" s="172"/>
      <c r="B96" s="258" t="str">
        <v>RPT_04_Leak Recheck Times</v>
      </c>
      <c r="C96" s="240" t="str">
        <v>September</v>
      </c>
      <c r="D96" s="240" t="str">
        <v>PBI Dev</v>
      </c>
      <c r="E96" s="240" t="str">
        <v>No</v>
      </c>
      <c r="F96" s="240" t="str">
        <v>Rupa</v>
      </c>
      <c r="G96" s="240" t="str">
        <v>Shraddha</v>
      </c>
      <c r="H96" s="240" t="str">
        <v>Preety</v>
      </c>
      <c r="I96" s="240" t="str">
        <v>Shaunna Peters</v>
      </c>
      <c r="J96" s="259">
        <v>46258</v>
      </c>
      <c r="K96" s="259">
        <v>46276</v>
      </c>
      <c r="L96" s="259" t="str">
        <v/>
      </c>
      <c r="M96" s="259" t="str">
        <v/>
      </c>
      <c r="N96" s="260">
        <v>0</v>
      </c>
      <c r="O96" s="240" t="str">
        <v>Move status to QA</v>
      </c>
      <c r="P96" s="172"/>
      <c r="Q96" s="172"/>
      <c r="R96" s="172"/>
      <c r="S96" s="172"/>
      <c r="T96" s="172"/>
      <c r="U96" s="172"/>
      <c r="V96" s="172"/>
      <c r="W96" s="172"/>
      <c r="X96" s="172"/>
      <c r="Y96" s="172"/>
      <c r="Z96" s="172"/>
    </row>
    <row r="97" spans="1:26" ht="18" customHeight="1">
      <c r="A97" s="172"/>
      <c r="B97" s="258" t="str">
        <v>RPT_02_Service Resource Activity</v>
      </c>
      <c r="C97" s="240" t="str">
        <v>October</v>
      </c>
      <c r="D97" s="240" t="str">
        <v>QA</v>
      </c>
      <c r="E97" s="240" t="str">
        <v/>
      </c>
      <c r="F97" s="240" t="str">
        <v>Rupa</v>
      </c>
      <c r="G97" s="240" t="str">
        <v>Shraddha</v>
      </c>
      <c r="H97" s="240" t="str">
        <v>Preety</v>
      </c>
      <c r="I97" s="240" t="str">
        <v>Simone Brooks</v>
      </c>
      <c r="J97" s="259">
        <v>46259</v>
      </c>
      <c r="K97" s="259">
        <v>46289</v>
      </c>
      <c r="L97" s="259" t="str">
        <v/>
      </c>
      <c r="M97" s="259" t="str">
        <v/>
      </c>
      <c r="N97" s="260">
        <v>0</v>
      </c>
      <c r="O97" s="240" t="str">
        <v/>
      </c>
      <c r="P97" s="172"/>
      <c r="Q97" s="172"/>
      <c r="R97" s="172"/>
      <c r="S97" s="172"/>
      <c r="T97" s="172"/>
      <c r="U97" s="172"/>
      <c r="V97" s="172"/>
      <c r="W97" s="172"/>
      <c r="X97" s="172"/>
      <c r="Y97" s="172"/>
      <c r="Z97" s="172"/>
    </row>
    <row r="98" spans="1:26" ht="18" customHeight="1">
      <c r="A98" s="172"/>
      <c r="B98" s="258" t="str">
        <v>RPT_02_Incomplete Service Appointments</v>
      </c>
      <c r="C98" s="240" t="str">
        <v>October</v>
      </c>
      <c r="D98" s="240" t="str">
        <v>PBI Dev</v>
      </c>
      <c r="E98" s="240" t="str">
        <v/>
      </c>
      <c r="F98" s="240" t="str">
        <v>Michael</v>
      </c>
      <c r="G98" s="240" t="str">
        <v>Shraddha</v>
      </c>
      <c r="H98" s="240" t="str">
        <v>Preety</v>
      </c>
      <c r="I98" s="240" t="str">
        <v>Shaunna Peters</v>
      </c>
      <c r="J98" s="259">
        <v>46269</v>
      </c>
      <c r="K98" s="259" t="str">
        <v/>
      </c>
      <c r="L98" s="259" t="str">
        <v/>
      </c>
      <c r="M98" s="259" t="str">
        <v/>
      </c>
      <c r="N98" s="260">
        <v>0</v>
      </c>
      <c r="O98" s="240" t="str">
        <v/>
      </c>
      <c r="P98" s="172"/>
      <c r="Q98" s="172"/>
      <c r="R98" s="172"/>
      <c r="S98" s="172"/>
      <c r="T98" s="172"/>
      <c r="U98" s="172"/>
      <c r="V98" s="172"/>
      <c r="W98" s="172"/>
      <c r="X98" s="172"/>
      <c r="Y98" s="172"/>
      <c r="Z98" s="172"/>
    </row>
    <row r="99" spans="1:26" ht="18" customHeight="1">
      <c r="A99" s="172"/>
      <c r="B99" s="258" t="str">
        <v>RPT_02_Emergency Response Time Review Report</v>
      </c>
      <c r="C99" s="240" t="str">
        <v>October</v>
      </c>
      <c r="D99" s="240" t="str">
        <v>NOT STARTED</v>
      </c>
      <c r="E99" s="240" t="str">
        <v/>
      </c>
      <c r="F99" s="240" t="str">
        <v>Siva</v>
      </c>
      <c r="G99" s="240" t="str">
        <v/>
      </c>
      <c r="H99" s="240" t="str">
        <v/>
      </c>
      <c r="I99" s="240" t="str">
        <v>Christina Illingworth</v>
      </c>
      <c r="J99" s="259" t="str">
        <v/>
      </c>
      <c r="K99" s="259" t="str">
        <v/>
      </c>
      <c r="L99" s="259" t="str">
        <v/>
      </c>
      <c r="M99" s="259" t="str">
        <v/>
      </c>
      <c r="N99" s="260">
        <v>0</v>
      </c>
      <c r="O99" s="240" t="str">
        <v/>
      </c>
      <c r="P99" s="172"/>
      <c r="Q99" s="172"/>
      <c r="R99" s="172"/>
      <c r="S99" s="172"/>
      <c r="T99" s="172"/>
      <c r="U99" s="172"/>
      <c r="V99" s="172"/>
      <c r="W99" s="172"/>
      <c r="X99" s="172"/>
      <c r="Y99" s="172"/>
      <c r="Z99" s="172"/>
    </row>
    <row r="100" spans="1:26" ht="18" customHeight="1">
      <c r="A100" s="172"/>
      <c r="B100" s="258" t="str">
        <v>RPT_02_Personal Injury and Shock Investigation</v>
      </c>
      <c r="C100" s="240" t="str">
        <v>October</v>
      </c>
      <c r="D100" s="240" t="str">
        <v>NOT STARTED</v>
      </c>
      <c r="E100" s="240" t="str">
        <v/>
      </c>
      <c r="F100" s="240" t="str">
        <v>Siva</v>
      </c>
      <c r="G100" s="240" t="str">
        <v/>
      </c>
      <c r="H100" s="240" t="str">
        <v/>
      </c>
      <c r="I100" s="240" t="str">
        <v>Christina Illingworth</v>
      </c>
      <c r="J100" s="259" t="str">
        <v/>
      </c>
      <c r="K100" s="259" t="str">
        <v/>
      </c>
      <c r="L100" s="259" t="str">
        <v/>
      </c>
      <c r="M100" s="259" t="str">
        <v/>
      </c>
      <c r="N100" s="260">
        <v>0</v>
      </c>
      <c r="O100" s="240" t="str">
        <v/>
      </c>
      <c r="P100" s="172"/>
      <c r="Q100" s="172"/>
      <c r="R100" s="172"/>
      <c r="S100" s="172"/>
      <c r="T100" s="172"/>
      <c r="U100" s="172"/>
      <c r="V100" s="172"/>
      <c r="W100" s="172"/>
      <c r="X100" s="172"/>
      <c r="Y100" s="172"/>
      <c r="Z100" s="172"/>
    </row>
    <row r="101" spans="1:26" ht="18" customHeight="1">
      <c r="A101" s="172"/>
      <c r="B101" s="258" t="str">
        <v>RPT_02_Emergency Response Statistics</v>
      </c>
      <c r="C101" s="240" t="str">
        <v>October</v>
      </c>
      <c r="D101" s="240" t="str">
        <v>NOT STARTED</v>
      </c>
      <c r="E101" s="240" t="str">
        <v/>
      </c>
      <c r="F101" s="240" t="str">
        <v>Nick</v>
      </c>
      <c r="G101" s="240" t="str">
        <v/>
      </c>
      <c r="H101" s="240" t="str">
        <v/>
      </c>
      <c r="I101" s="240" t="str">
        <v>Christina Illingworth</v>
      </c>
      <c r="J101" s="259" t="str">
        <v/>
      </c>
      <c r="K101" s="259" t="str">
        <v/>
      </c>
      <c r="L101" s="259" t="str">
        <v/>
      </c>
      <c r="M101" s="259" t="str">
        <v/>
      </c>
      <c r="N101" s="260">
        <v>0</v>
      </c>
      <c r="O101" s="240" t="str">
        <v/>
      </c>
      <c r="P101" s="172"/>
      <c r="Q101" s="172"/>
      <c r="R101" s="172"/>
      <c r="S101" s="172"/>
      <c r="T101" s="172"/>
      <c r="U101" s="172"/>
      <c r="V101" s="172"/>
      <c r="W101" s="172"/>
      <c r="X101" s="172"/>
      <c r="Y101" s="172"/>
      <c r="Z101" s="172"/>
    </row>
    <row r="102" spans="1:26" ht="18" customHeight="1">
      <c r="A102" s="172"/>
      <c r="B102" s="258" t="str">
        <v>RPT_02_Emergency Time Adjustments Log</v>
      </c>
      <c r="C102" s="240" t="str">
        <v>October</v>
      </c>
      <c r="D102" s="240" t="str">
        <v>PBI Dev</v>
      </c>
      <c r="E102" s="240" t="str">
        <v>Yes – needs DB Dev to fix</v>
      </c>
      <c r="F102" s="240" t="str">
        <v>Fetwi</v>
      </c>
      <c r="G102" s="240" t="str">
        <v>Navya</v>
      </c>
      <c r="H102" s="240" t="str">
        <v/>
      </c>
      <c r="I102" s="240" t="str">
        <v>Bryan Patterson, Reginald Durham, Shaunna Peters, Simone Brooks, Bill Contreras</v>
      </c>
      <c r="J102" s="259">
        <v>46266</v>
      </c>
      <c r="K102" s="259" t="str">
        <v/>
      </c>
      <c r="L102" s="259" t="str">
        <v/>
      </c>
      <c r="M102" s="259" t="str">
        <v/>
      </c>
      <c r="N102" s="260">
        <v>0</v>
      </c>
      <c r="O102" s="240" t="str">
        <v>Blocked - log it on Rework Log</v>
      </c>
      <c r="P102" s="172"/>
      <c r="Q102" s="172"/>
      <c r="R102" s="172"/>
      <c r="S102" s="172"/>
      <c r="T102" s="172"/>
      <c r="U102" s="172"/>
      <c r="V102" s="172"/>
      <c r="W102" s="172"/>
      <c r="X102" s="172"/>
      <c r="Y102" s="172"/>
      <c r="Z102" s="172"/>
    </row>
    <row r="103" spans="1:26" ht="18" customHeight="1">
      <c r="A103" s="172"/>
      <c r="B103" s="258" t="str">
        <v>RPT_02_PSC Soft Off Report</v>
      </c>
      <c r="C103" s="240" t="str">
        <v>October</v>
      </c>
      <c r="D103" s="240" t="str">
        <v>PBI Dev</v>
      </c>
      <c r="E103" s="240" t="str">
        <v/>
      </c>
      <c r="F103" s="240" t="str">
        <v>Rupa</v>
      </c>
      <c r="G103" s="240" t="str">
        <v>Navya</v>
      </c>
      <c r="H103" s="240" t="str">
        <v/>
      </c>
      <c r="I103" s="240" t="str">
        <v>Angela Keegan</v>
      </c>
      <c r="J103" s="259">
        <v>46266</v>
      </c>
      <c r="K103" s="259" t="str">
        <v/>
      </c>
      <c r="L103" s="259" t="str">
        <v/>
      </c>
      <c r="M103" s="259" t="str">
        <v/>
      </c>
      <c r="N103" s="260">
        <v>0</v>
      </c>
      <c r="O103" s="240" t="str">
        <v/>
      </c>
      <c r="P103" s="172"/>
      <c r="Q103" s="172"/>
      <c r="R103" s="172"/>
      <c r="S103" s="172"/>
      <c r="T103" s="172"/>
      <c r="U103" s="172"/>
      <c r="V103" s="172"/>
      <c r="W103" s="172"/>
      <c r="X103" s="172"/>
      <c r="Y103" s="172"/>
      <c r="Z103" s="172"/>
    </row>
    <row r="104" spans="1:26" ht="18" customHeight="1">
      <c r="A104" s="172"/>
      <c r="B104" s="258" t="str">
        <v>RPT_02_Service Interruptions</v>
      </c>
      <c r="C104" s="240" t="str">
        <v>October</v>
      </c>
      <c r="D104" s="240" t="str">
        <v>NOT STARTED</v>
      </c>
      <c r="E104" s="240" t="str">
        <v/>
      </c>
      <c r="F104" s="240" t="str">
        <v>Geetha</v>
      </c>
      <c r="G104" s="240" t="str">
        <v>Navya</v>
      </c>
      <c r="H104" s="240" t="str">
        <v>Preety</v>
      </c>
      <c r="I104" s="240" t="str">
        <v>Bryan Patterson, Reginald Durham, Bill Contreras</v>
      </c>
      <c r="J104" s="259">
        <v>46280</v>
      </c>
      <c r="K104" s="259" t="str">
        <v/>
      </c>
      <c r="L104" s="259" t="str">
        <v/>
      </c>
      <c r="M104" s="259" t="str">
        <v/>
      </c>
      <c r="N104" s="260">
        <v>0</v>
      </c>
      <c r="O104" s="240" t="str">
        <v>Move status to PBI Dev</v>
      </c>
      <c r="P104" s="172"/>
      <c r="Q104" s="172"/>
      <c r="R104" s="172"/>
      <c r="S104" s="172"/>
      <c r="T104" s="172"/>
      <c r="U104" s="172"/>
      <c r="V104" s="172"/>
      <c r="W104" s="172"/>
      <c r="X104" s="172"/>
      <c r="Y104" s="172"/>
      <c r="Z104" s="172"/>
    </row>
    <row r="105" spans="1:26" ht="18" customHeight="1">
      <c r="A105" s="172"/>
      <c r="B105" s="258" t="str">
        <v>RPT_02_Duty to Inspect</v>
      </c>
      <c r="C105" s="240" t="str">
        <v>October</v>
      </c>
      <c r="D105" s="240" t="str">
        <v>NOT STARTED</v>
      </c>
      <c r="E105" s="240" t="str">
        <v/>
      </c>
      <c r="F105" s="240" t="str">
        <v>Geetha</v>
      </c>
      <c r="G105" s="240" t="str">
        <v>Navya</v>
      </c>
      <c r="H105" s="240" t="str">
        <v>Preety</v>
      </c>
      <c r="I105" s="240" t="str">
        <v>Bryan Patterson</v>
      </c>
      <c r="J105" s="259">
        <v>46287</v>
      </c>
      <c r="K105" s="259">
        <v>46294</v>
      </c>
      <c r="L105" s="259" t="str">
        <v/>
      </c>
      <c r="M105" s="259" t="str">
        <v/>
      </c>
      <c r="N105" s="260">
        <v>0</v>
      </c>
      <c r="O105" s="240" t="str">
        <v>Move status to PBI Dev</v>
      </c>
      <c r="P105" s="172"/>
      <c r="Q105" s="172"/>
      <c r="R105" s="172"/>
      <c r="S105" s="172"/>
      <c r="T105" s="172"/>
      <c r="U105" s="172"/>
      <c r="V105" s="172"/>
      <c r="W105" s="172"/>
      <c r="X105" s="172"/>
      <c r="Y105" s="172"/>
      <c r="Z105" s="172"/>
    </row>
    <row r="106" spans="1:26" ht="18" customHeight="1">
      <c r="A106" s="172"/>
      <c r="B106" s="258" t="str">
        <v>RPT_02_Service Appointment Life Cycle</v>
      </c>
      <c r="C106" s="240" t="str">
        <v>October</v>
      </c>
      <c r="D106" s="240" t="str">
        <v>DB Dev</v>
      </c>
      <c r="E106" s="240" t="str">
        <v/>
      </c>
      <c r="F106" s="240" t="str">
        <v>Nick</v>
      </c>
      <c r="G106" s="240" t="str">
        <v>Shraddha</v>
      </c>
      <c r="H106" s="240" t="str">
        <v>Preety</v>
      </c>
      <c r="I106" s="240" t="str">
        <v>Megan Piccarreto</v>
      </c>
      <c r="J106" s="259">
        <v>46283</v>
      </c>
      <c r="K106" s="259" t="str">
        <v/>
      </c>
      <c r="L106" s="259" t="str">
        <v/>
      </c>
      <c r="M106" s="259" t="str">
        <v/>
      </c>
      <c r="N106" s="260">
        <v>0</v>
      </c>
      <c r="O106" s="240" t="str">
        <v>Move status to PBI Dev</v>
      </c>
      <c r="P106" s="172"/>
      <c r="Q106" s="172"/>
      <c r="R106" s="172"/>
      <c r="S106" s="172"/>
      <c r="T106" s="172"/>
      <c r="U106" s="172"/>
      <c r="V106" s="172"/>
      <c r="W106" s="172"/>
      <c r="X106" s="172"/>
      <c r="Y106" s="172"/>
      <c r="Z106" s="172"/>
    </row>
    <row r="107" spans="1:26" ht="18" customHeight="1">
      <c r="A107" s="172"/>
      <c r="B107" s="258" t="str">
        <v>RPT_02_PSC Inactive Account</v>
      </c>
      <c r="C107" s="240" t="str">
        <v>October</v>
      </c>
      <c r="D107" s="240" t="str">
        <v>PBI Dev</v>
      </c>
      <c r="E107" s="240" t="str">
        <v/>
      </c>
      <c r="F107" s="240" t="str">
        <v>Rupa</v>
      </c>
      <c r="G107" s="240" t="str">
        <v>Shraddha</v>
      </c>
      <c r="H107" s="240" t="str">
        <v>Preety</v>
      </c>
      <c r="I107" s="240" t="str">
        <v>Reginald Durham, Simone Brooks</v>
      </c>
      <c r="J107" s="259">
        <v>46268</v>
      </c>
      <c r="K107" s="259">
        <v>46294</v>
      </c>
      <c r="L107" s="259" t="str">
        <v/>
      </c>
      <c r="M107" s="259" t="str">
        <v/>
      </c>
      <c r="N107" s="260">
        <v>0</v>
      </c>
      <c r="O107" s="240" t="str">
        <v>Move status to QA</v>
      </c>
      <c r="P107" s="172"/>
      <c r="Q107" s="172"/>
      <c r="R107" s="172"/>
      <c r="S107" s="172"/>
      <c r="T107" s="172"/>
      <c r="U107" s="172"/>
      <c r="V107" s="172"/>
      <c r="W107" s="172"/>
      <c r="X107" s="172"/>
      <c r="Y107" s="172"/>
      <c r="Z107" s="172"/>
    </row>
    <row r="108" spans="1:26" ht="18" customHeight="1">
      <c r="A108" s="172"/>
      <c r="B108" s="258" t="str">
        <v>RPT_02_Service Resource Performance</v>
      </c>
      <c r="C108" s="240" t="str">
        <v>October</v>
      </c>
      <c r="D108" s="240" t="str">
        <v>PBI Dev</v>
      </c>
      <c r="E108" s="240" t="str">
        <v/>
      </c>
      <c r="F108" s="240" t="str">
        <v>Rupa</v>
      </c>
      <c r="G108" s="240" t="str">
        <v>Navya</v>
      </c>
      <c r="H108" s="240" t="str">
        <v/>
      </c>
      <c r="I108" s="240" t="str">
        <v>Oneil Lashley</v>
      </c>
      <c r="J108" s="259">
        <v>46286</v>
      </c>
      <c r="K108" s="259" t="str">
        <v/>
      </c>
      <c r="L108" s="259" t="str">
        <v/>
      </c>
      <c r="M108" s="259" t="str">
        <v/>
      </c>
      <c r="N108" s="260">
        <v>0</v>
      </c>
      <c r="O108" s="240" t="str">
        <v/>
      </c>
      <c r="P108" s="172"/>
      <c r="Q108" s="172"/>
      <c r="R108" s="172"/>
      <c r="S108" s="172"/>
      <c r="T108" s="172"/>
      <c r="U108" s="172"/>
      <c r="V108" s="172"/>
      <c r="W108" s="172"/>
      <c r="X108" s="172"/>
      <c r="Y108" s="172"/>
      <c r="Z108" s="172"/>
    </row>
    <row r="109" spans="1:26" ht="18" customHeight="1">
      <c r="A109" s="172"/>
      <c r="B109" s="258" t="str">
        <v>RPT_02_Emergency Leak Response Metric (6 sub reports)</v>
      </c>
      <c r="C109" s="240" t="str">
        <v>October</v>
      </c>
      <c r="D109" s="240" t="str">
        <v>NOT STARTED</v>
      </c>
      <c r="E109" s="240" t="str">
        <v/>
      </c>
      <c r="F109" s="240" t="str">
        <v>Fetwi</v>
      </c>
      <c r="G109" s="240" t="str">
        <v>Navya</v>
      </c>
      <c r="H109" s="240" t="str">
        <v/>
      </c>
      <c r="I109" s="240" t="str">
        <v>Bryan Patterson, Reginald Durham, Shaunna Peters, Simone Brooks, Bill Contreras</v>
      </c>
      <c r="J109" s="259" t="str">
        <v/>
      </c>
      <c r="K109" s="259" t="str">
        <v/>
      </c>
      <c r="L109" s="259" t="str">
        <v/>
      </c>
      <c r="M109" s="259" t="str">
        <v/>
      </c>
      <c r="N109" s="260">
        <v>0</v>
      </c>
      <c r="O109" s="240" t="str">
        <v/>
      </c>
      <c r="P109" s="172"/>
      <c r="Q109" s="172"/>
      <c r="R109" s="172"/>
      <c r="S109" s="172"/>
      <c r="T109" s="172"/>
      <c r="U109" s="172"/>
      <c r="V109" s="172"/>
      <c r="W109" s="172"/>
      <c r="X109" s="172"/>
      <c r="Y109" s="172"/>
      <c r="Z109" s="172"/>
    </row>
    <row r="110" spans="1:26" ht="18" customHeight="1">
      <c r="A110" s="172"/>
      <c r="B110" s="258" t="str">
        <v>RPT_02_Fixed Factor Mismatch</v>
      </c>
      <c r="C110" s="240" t="str">
        <v>November</v>
      </c>
      <c r="D110" s="240" t="str">
        <v>NOT STARTED</v>
      </c>
      <c r="E110" s="240" t="str">
        <v/>
      </c>
      <c r="F110" s="240" t="str">
        <v>Siddu</v>
      </c>
      <c r="G110" s="240" t="str">
        <v/>
      </c>
      <c r="H110" s="240" t="str">
        <v/>
      </c>
      <c r="I110" s="240" t="str">
        <v>Matthew Menicucci</v>
      </c>
      <c r="J110" s="259">
        <v>46290</v>
      </c>
      <c r="K110" s="259" t="str">
        <v/>
      </c>
      <c r="L110" s="259" t="str">
        <v/>
      </c>
      <c r="M110" s="259" t="str">
        <v/>
      </c>
      <c r="N110" s="260">
        <v>0</v>
      </c>
      <c r="O110" s="240" t="str">
        <v>Move status to PBI Dev</v>
      </c>
      <c r="P110" s="172"/>
      <c r="Q110" s="172"/>
      <c r="R110" s="172"/>
      <c r="S110" s="172"/>
      <c r="T110" s="172"/>
      <c r="U110" s="172"/>
      <c r="V110" s="172"/>
      <c r="W110" s="172"/>
      <c r="X110" s="172"/>
      <c r="Y110" s="172"/>
      <c r="Z110" s="172"/>
    </row>
    <row r="111" spans="1:26" ht="18" customHeight="1">
      <c r="A111" s="172"/>
      <c r="B111" s="258" t="str">
        <v>RPT_02_Light Up Orders</v>
      </c>
      <c r="C111" s="240" t="str">
        <v>November</v>
      </c>
      <c r="D111" s="240" t="str">
        <v>NOT STARTED</v>
      </c>
      <c r="E111" s="240" t="str">
        <v/>
      </c>
      <c r="F111" s="240" t="str">
        <v>Siva</v>
      </c>
      <c r="G111" s="240" t="str">
        <v/>
      </c>
      <c r="H111" s="240" t="str">
        <v/>
      </c>
      <c r="I111" s="240" t="str">
        <v>Shaunna Peters</v>
      </c>
      <c r="J111" s="259" t="str">
        <v/>
      </c>
      <c r="K111" s="259" t="str">
        <v/>
      </c>
      <c r="L111" s="259" t="str">
        <v/>
      </c>
      <c r="M111" s="259" t="str">
        <v/>
      </c>
      <c r="N111" s="260">
        <v>0</v>
      </c>
      <c r="O111" s="240" t="str">
        <v/>
      </c>
      <c r="P111" s="172"/>
      <c r="Q111" s="172"/>
      <c r="R111" s="172"/>
      <c r="S111" s="172"/>
      <c r="T111" s="172"/>
      <c r="U111" s="172"/>
      <c r="V111" s="172"/>
      <c r="W111" s="172"/>
      <c r="X111" s="172"/>
      <c r="Y111" s="172"/>
      <c r="Z111" s="172"/>
    </row>
    <row r="112" spans="1:26" ht="18" customHeight="1">
      <c r="A112" s="172"/>
      <c r="B112" s="258" t="str">
        <v>RPT_02_Meter To Billing Report</v>
      </c>
      <c r="C112" s="240" t="str">
        <v>November</v>
      </c>
      <c r="D112" s="240" t="str">
        <v>NOT STARTED</v>
      </c>
      <c r="E112" s="240" t="str">
        <v/>
      </c>
      <c r="F112" s="240" t="str">
        <v>Siva</v>
      </c>
      <c r="G112" s="240" t="str">
        <v/>
      </c>
      <c r="H112" s="240" t="str">
        <v/>
      </c>
      <c r="I112" s="240" t="str">
        <v>Shaunna Peters</v>
      </c>
      <c r="J112" s="259" t="str">
        <v/>
      </c>
      <c r="K112" s="259" t="str">
        <v/>
      </c>
      <c r="L112" s="259" t="str">
        <v/>
      </c>
      <c r="M112" s="259" t="str">
        <v/>
      </c>
      <c r="N112" s="260">
        <v>0</v>
      </c>
      <c r="O112" s="240" t="str">
        <v/>
      </c>
      <c r="P112" s="172"/>
      <c r="Q112" s="172"/>
      <c r="R112" s="172"/>
      <c r="S112" s="172"/>
      <c r="T112" s="172"/>
      <c r="U112" s="172"/>
      <c r="V112" s="172"/>
      <c r="W112" s="172"/>
      <c r="X112" s="172"/>
      <c r="Y112" s="172"/>
      <c r="Z112" s="172"/>
    </row>
    <row r="113" spans="1:26" ht="18" customHeight="1">
      <c r="A113" s="172"/>
      <c r="B113" s="258" t="str">
        <v>RPT_02_Install Meter Orders</v>
      </c>
      <c r="C113" s="240" t="str">
        <v>November</v>
      </c>
      <c r="D113" s="240" t="str">
        <v>NOT STARTED</v>
      </c>
      <c r="E113" s="240" t="str">
        <v/>
      </c>
      <c r="F113" s="240" t="str">
        <v>Michael</v>
      </c>
      <c r="G113" s="240" t="str">
        <v/>
      </c>
      <c r="H113" s="240" t="str">
        <v/>
      </c>
      <c r="I113" s="240" t="str">
        <v>Shaunna Peters</v>
      </c>
      <c r="J113" s="259">
        <v>46282</v>
      </c>
      <c r="K113" s="259" t="str">
        <v/>
      </c>
      <c r="L113" s="259" t="str">
        <v/>
      </c>
      <c r="M113" s="259" t="str">
        <v/>
      </c>
      <c r="N113" s="260">
        <v>0</v>
      </c>
      <c r="O113" s="240" t="str">
        <v>Move status to PBI Dev</v>
      </c>
      <c r="P113" s="172"/>
      <c r="Q113" s="172"/>
      <c r="R113" s="172"/>
      <c r="S113" s="172"/>
      <c r="T113" s="172"/>
      <c r="U113" s="172"/>
      <c r="V113" s="172"/>
      <c r="W113" s="172"/>
      <c r="X113" s="172"/>
      <c r="Y113" s="172"/>
      <c r="Z113" s="172"/>
    </row>
    <row r="114" spans="1:26" ht="18" customHeight="1">
      <c r="A114" s="172"/>
      <c r="B114" s="258" t="str">
        <v>RPT_02_Non Emergency Orders</v>
      </c>
      <c r="C114" s="240" t="str">
        <v>November</v>
      </c>
      <c r="D114" s="240" t="str">
        <v>NOT STARTED</v>
      </c>
      <c r="E114" s="240" t="str">
        <v/>
      </c>
      <c r="F114" s="240" t="str">
        <v>Michael</v>
      </c>
      <c r="G114" s="240" t="str">
        <v/>
      </c>
      <c r="H114" s="240" t="str">
        <v/>
      </c>
      <c r="I114" s="240" t="str">
        <v>Shaunna Peters</v>
      </c>
      <c r="J114" s="259" t="str">
        <v/>
      </c>
      <c r="K114" s="259" t="str">
        <v/>
      </c>
      <c r="L114" s="259" t="str">
        <v/>
      </c>
      <c r="M114" s="259" t="str">
        <v/>
      </c>
      <c r="N114" s="260">
        <v>0</v>
      </c>
      <c r="O114" s="240" t="str">
        <v/>
      </c>
      <c r="P114" s="172"/>
      <c r="Q114" s="172"/>
      <c r="R114" s="172"/>
      <c r="S114" s="172"/>
      <c r="T114" s="172"/>
      <c r="U114" s="172"/>
      <c r="V114" s="172"/>
      <c r="W114" s="172"/>
      <c r="X114" s="172"/>
      <c r="Y114" s="172"/>
      <c r="Z114" s="172"/>
    </row>
    <row r="115" spans="1:26" ht="18" customHeight="1">
      <c r="A115" s="172"/>
      <c r="B115" s="258" t="str">
        <v>RPT_02_Carbon Monoxide</v>
      </c>
      <c r="C115" s="240" t="str">
        <v>November</v>
      </c>
      <c r="D115" s="240" t="str">
        <v>NOT STARTED</v>
      </c>
      <c r="E115" s="240" t="str">
        <v/>
      </c>
      <c r="F115" s="240" t="str">
        <v>Sree</v>
      </c>
      <c r="G115" s="240" t="str">
        <v/>
      </c>
      <c r="H115" s="240" t="str">
        <v/>
      </c>
      <c r="I115" s="240" t="str">
        <v>Bryan Patterson, Reginald Durham, Simone Brooks, Bill Contreras</v>
      </c>
      <c r="J115" s="259">
        <v>46273</v>
      </c>
      <c r="K115" s="259" t="str">
        <v/>
      </c>
      <c r="L115" s="259" t="str">
        <v/>
      </c>
      <c r="M115" s="259" t="str">
        <v/>
      </c>
      <c r="N115" s="260">
        <v>0</v>
      </c>
      <c r="O115" s="240" t="str">
        <v>Move status to PBI Dev</v>
      </c>
      <c r="P115" s="172"/>
      <c r="Q115" s="172"/>
      <c r="R115" s="172"/>
      <c r="S115" s="172"/>
      <c r="T115" s="172"/>
      <c r="U115" s="172"/>
      <c r="V115" s="172"/>
      <c r="W115" s="172"/>
      <c r="X115" s="172"/>
      <c r="Y115" s="172"/>
      <c r="Z115" s="172"/>
    </row>
    <row r="116" spans="1:26" ht="18" customHeight="1">
      <c r="A116" s="172"/>
      <c r="B116" s="258" t="str">
        <v>RPT_02_All Jobs</v>
      </c>
      <c r="C116" s="240" t="str">
        <v>November</v>
      </c>
      <c r="D116" s="240" t="str">
        <v>NOT STARTED</v>
      </c>
      <c r="E116" s="240" t="str">
        <v/>
      </c>
      <c r="F116" s="240" t="str">
        <v>Siddu</v>
      </c>
      <c r="G116" s="240" t="str">
        <v/>
      </c>
      <c r="H116" s="240" t="str">
        <v/>
      </c>
      <c r="I116" s="240" t="str">
        <v>Shaunna Peters</v>
      </c>
      <c r="J116" s="259">
        <v>46275</v>
      </c>
      <c r="K116" s="259" t="str">
        <v/>
      </c>
      <c r="L116" s="259" t="str">
        <v/>
      </c>
      <c r="M116" s="259" t="str">
        <v/>
      </c>
      <c r="N116" s="260">
        <v>0</v>
      </c>
      <c r="O116" s="240" t="str">
        <v>Move status to PBI Dev</v>
      </c>
      <c r="P116" s="172"/>
      <c r="Q116" s="172"/>
      <c r="R116" s="172"/>
      <c r="S116" s="172"/>
      <c r="T116" s="172"/>
      <c r="U116" s="172"/>
      <c r="V116" s="172"/>
      <c r="W116" s="172"/>
      <c r="X116" s="172"/>
      <c r="Y116" s="172"/>
      <c r="Z116" s="172"/>
    </row>
    <row r="117" spans="1:26" ht="18" customHeight="1">
      <c r="A117" s="172"/>
      <c r="B117" s="258" t="str">
        <v>RPT_02_BCP Service Appointment WOs</v>
      </c>
      <c r="C117" s="240" t="str">
        <v>November</v>
      </c>
      <c r="D117" s="240" t="str">
        <v>NOT STARTED</v>
      </c>
      <c r="E117" s="240" t="str">
        <v/>
      </c>
      <c r="F117" s="240" t="str">
        <v>Nick</v>
      </c>
      <c r="G117" s="240" t="str">
        <v/>
      </c>
      <c r="H117" s="240" t="str">
        <v/>
      </c>
      <c r="I117" s="240" t="str">
        <v>Reginald Durham, Bill Contreras</v>
      </c>
      <c r="J117" s="259" t="str">
        <v/>
      </c>
      <c r="K117" s="259" t="str">
        <v/>
      </c>
      <c r="L117" s="259" t="str">
        <v/>
      </c>
      <c r="M117" s="259" t="str">
        <v/>
      </c>
      <c r="N117" s="260">
        <v>0</v>
      </c>
      <c r="O117" s="240" t="str">
        <v/>
      </c>
      <c r="P117" s="172"/>
      <c r="Q117" s="172"/>
      <c r="R117" s="172"/>
      <c r="S117" s="172"/>
      <c r="T117" s="172"/>
      <c r="U117" s="172"/>
      <c r="V117" s="172"/>
      <c r="W117" s="172"/>
      <c r="X117" s="172"/>
      <c r="Y117" s="172"/>
      <c r="Z117" s="172"/>
    </row>
    <row r="118" spans="1:26" ht="18" customHeight="1">
      <c r="A118" s="172"/>
      <c r="B118" s="258" t="str">
        <v>RPT_02_Meter Order Tracking</v>
      </c>
      <c r="C118" s="240" t="str">
        <v>November</v>
      </c>
      <c r="D118" s="240" t="str">
        <v>NOT STARTED</v>
      </c>
      <c r="E118" s="240" t="str">
        <v/>
      </c>
      <c r="F118" s="240" t="str">
        <v>Nick</v>
      </c>
      <c r="G118" s="240" t="str">
        <v/>
      </c>
      <c r="H118" s="240" t="str">
        <v/>
      </c>
      <c r="I118" s="240" t="str">
        <v>Oneil Lashley</v>
      </c>
      <c r="J118" s="259" t="str">
        <v/>
      </c>
      <c r="K118" s="259" t="str">
        <v/>
      </c>
      <c r="L118" s="259" t="str">
        <v/>
      </c>
      <c r="M118" s="259" t="str">
        <v/>
      </c>
      <c r="N118" s="260">
        <v>0</v>
      </c>
      <c r="O118" s="240" t="str">
        <v/>
      </c>
      <c r="P118" s="172"/>
      <c r="Q118" s="172"/>
      <c r="R118" s="172"/>
      <c r="S118" s="172"/>
      <c r="T118" s="172"/>
      <c r="U118" s="172"/>
      <c r="V118" s="172"/>
      <c r="W118" s="172"/>
      <c r="X118" s="172"/>
      <c r="Y118" s="172"/>
      <c r="Z118" s="172"/>
    </row>
    <row r="119" spans="1:26" ht="18" customHeight="1">
      <c r="A119" s="172"/>
      <c r="B119" s="258" t="str">
        <v>RPT_02_Tech Availability, Utilization &amp; Absence</v>
      </c>
      <c r="C119" s="240" t="str">
        <v>November</v>
      </c>
      <c r="D119" s="240" t="str">
        <v>NOT STARTED</v>
      </c>
      <c r="E119" s="240" t="str">
        <v/>
      </c>
      <c r="F119" s="240" t="str">
        <v>Rupa</v>
      </c>
      <c r="G119" s="240" t="str">
        <v/>
      </c>
      <c r="H119" s="240" t="str">
        <v/>
      </c>
      <c r="I119" s="240" t="str">
        <v>Reginald Durham, Bill Contreras, Bill Contreras</v>
      </c>
      <c r="J119" s="259" t="str">
        <v/>
      </c>
      <c r="K119" s="259" t="str">
        <v/>
      </c>
      <c r="L119" s="259" t="str">
        <v/>
      </c>
      <c r="M119" s="259" t="str">
        <v/>
      </c>
      <c r="N119" s="260">
        <v>0</v>
      </c>
      <c r="O119" s="240" t="str">
        <v/>
      </c>
      <c r="P119" s="172"/>
      <c r="Q119" s="172"/>
      <c r="R119" s="172"/>
      <c r="S119" s="172"/>
      <c r="T119" s="172"/>
      <c r="U119" s="172"/>
      <c r="V119" s="172"/>
      <c r="W119" s="172"/>
      <c r="X119" s="172"/>
      <c r="Y119" s="172"/>
      <c r="Z119" s="172"/>
    </row>
    <row r="120" spans="1:26" ht="18" customHeight="1">
      <c r="A120" s="172"/>
      <c r="B120" s="258" t="str">
        <v>RPT_02_Job Productivity</v>
      </c>
      <c r="C120" s="240" t="str">
        <v>November</v>
      </c>
      <c r="D120" s="240" t="str">
        <v>NOT STARTED</v>
      </c>
      <c r="E120" s="240" t="str">
        <v/>
      </c>
      <c r="F120" s="240" t="str">
        <v>Rupa</v>
      </c>
      <c r="G120" s="240" t="str">
        <v/>
      </c>
      <c r="H120" s="240" t="str">
        <v/>
      </c>
      <c r="I120" s="240" t="str">
        <v>Laura Capasso, Michelle Fitten, Anthony Jenson</v>
      </c>
      <c r="J120" s="259" t="str">
        <v/>
      </c>
      <c r="K120" s="259" t="str">
        <v/>
      </c>
      <c r="L120" s="259" t="str">
        <v/>
      </c>
      <c r="M120" s="259" t="str">
        <v/>
      </c>
      <c r="N120" s="260">
        <v>0</v>
      </c>
      <c r="O120" s="240" t="str">
        <v/>
      </c>
      <c r="P120" s="172"/>
      <c r="Q120" s="172"/>
      <c r="R120" s="172"/>
      <c r="S120" s="172"/>
      <c r="T120" s="172"/>
      <c r="U120" s="172"/>
      <c r="V120" s="172"/>
      <c r="W120" s="172"/>
      <c r="X120" s="172"/>
      <c r="Y120" s="172"/>
      <c r="Z120" s="172"/>
    </row>
    <row r="121" spans="1:26" ht="18" customHeight="1">
      <c r="A121" s="172"/>
      <c r="B121" s="258" t="str">
        <v>RPT_02_Post Capacity Service Appointments</v>
      </c>
      <c r="C121" s="240" t="str">
        <v>November</v>
      </c>
      <c r="D121" s="240" t="str">
        <v>NOT STARTED</v>
      </c>
      <c r="E121" s="240" t="str">
        <v/>
      </c>
      <c r="F121" s="240" t="str">
        <v>Greeta</v>
      </c>
      <c r="G121" s="240" t="str">
        <v/>
      </c>
      <c r="H121" s="240" t="str">
        <v/>
      </c>
      <c r="I121" s="240" t="str">
        <v>Ryan Flaherty</v>
      </c>
      <c r="J121" s="259" t="str">
        <v/>
      </c>
      <c r="K121" s="259" t="str">
        <v/>
      </c>
      <c r="L121" s="259" t="str">
        <v/>
      </c>
      <c r="M121" s="259" t="str">
        <v/>
      </c>
      <c r="N121" s="260">
        <v>0</v>
      </c>
      <c r="O121" s="240" t="str">
        <v/>
      </c>
      <c r="P121" s="172"/>
      <c r="Q121" s="172"/>
      <c r="R121" s="172"/>
      <c r="S121" s="172"/>
      <c r="T121" s="172"/>
      <c r="U121" s="172"/>
      <c r="V121" s="172"/>
      <c r="W121" s="172"/>
      <c r="X121" s="172"/>
      <c r="Y121" s="172"/>
      <c r="Z121" s="172"/>
    </row>
    <row r="122" spans="1:26" ht="18" customHeight="1">
      <c r="A122" s="172"/>
      <c r="B122" s="258" t="str">
        <v>RPT_02_Check Estimate</v>
      </c>
      <c r="C122" s="240" t="str">
        <v>November</v>
      </c>
      <c r="D122" s="240" t="str">
        <v>NOT STARTED</v>
      </c>
      <c r="E122" s="240" t="str">
        <v/>
      </c>
      <c r="F122" s="240" t="str">
        <v>Greeta</v>
      </c>
      <c r="G122" s="240" t="str">
        <v/>
      </c>
      <c r="H122" s="240" t="str">
        <v/>
      </c>
      <c r="I122" s="240" t="str">
        <v>Shaunna Peters</v>
      </c>
      <c r="J122" s="259">
        <v>46296</v>
      </c>
      <c r="K122" s="259" t="str">
        <v/>
      </c>
      <c r="L122" s="259" t="str">
        <v/>
      </c>
      <c r="M122" s="259" t="str">
        <v/>
      </c>
      <c r="N122" s="260">
        <v>0</v>
      </c>
      <c r="O122" s="240" t="str">
        <v>Move status to PBI Dev</v>
      </c>
      <c r="P122" s="172"/>
      <c r="Q122" s="172"/>
      <c r="R122" s="172"/>
      <c r="S122" s="172"/>
      <c r="T122" s="172"/>
      <c r="U122" s="172"/>
      <c r="V122" s="172"/>
      <c r="W122" s="172"/>
      <c r="X122" s="172"/>
      <c r="Y122" s="172"/>
      <c r="Z122" s="172"/>
    </row>
    <row r="123" spans="1:26" ht="18" customHeight="1">
      <c r="A123" s="172"/>
      <c r="B123" s="258" t="str">
        <v>RPT_02_Service Appointments (5 sub reports)</v>
      </c>
      <c r="C123" s="240" t="str">
        <v>November</v>
      </c>
      <c r="D123" s="240" t="str">
        <v>NOT STARTED</v>
      </c>
      <c r="E123" s="240" t="str">
        <v/>
      </c>
      <c r="F123" s="240" t="str">
        <v>Sree</v>
      </c>
      <c r="G123" s="240" t="str">
        <v/>
      </c>
      <c r="H123" s="240" t="str">
        <v/>
      </c>
      <c r="I123" s="240" t="str">
        <v>Reginald Durham, Bill Contreras, Megan Piccarreto, Bryan Patterson, Bill Contreras</v>
      </c>
      <c r="J123" s="259" t="str">
        <v/>
      </c>
      <c r="K123" s="259" t="str">
        <v/>
      </c>
      <c r="L123" s="259" t="str">
        <v/>
      </c>
      <c r="M123" s="259" t="str">
        <v/>
      </c>
      <c r="N123" s="260">
        <v>0</v>
      </c>
      <c r="O123" s="240" t="str">
        <v/>
      </c>
      <c r="P123" s="172"/>
      <c r="Q123" s="172"/>
      <c r="R123" s="172"/>
      <c r="S123" s="172"/>
      <c r="T123" s="172"/>
      <c r="U123" s="172"/>
      <c r="V123" s="172"/>
      <c r="W123" s="172"/>
      <c r="X123" s="172"/>
      <c r="Y123" s="172"/>
      <c r="Z123" s="172"/>
    </row>
    <row r="124" spans="1:26" ht="18" customHeight="1">
      <c r="A124" s="172"/>
      <c r="B124" s="258" t="str">
        <v>RPT_02_Job Unit Count</v>
      </c>
      <c r="C124" s="240" t="str">
        <v>November</v>
      </c>
      <c r="D124" s="240" t="str">
        <v>NOT STARTED</v>
      </c>
      <c r="E124" s="240" t="str">
        <v/>
      </c>
      <c r="F124" s="240" t="str">
        <v>Siddu</v>
      </c>
      <c r="G124" s="240" t="str">
        <v/>
      </c>
      <c r="H124" s="240" t="str">
        <v/>
      </c>
      <c r="I124" s="240" t="str">
        <v>Laura Capasso, Michelle Fitten</v>
      </c>
      <c r="J124" s="259" t="str">
        <v/>
      </c>
      <c r="K124" s="259" t="str">
        <v/>
      </c>
      <c r="L124" s="259" t="str">
        <v/>
      </c>
      <c r="M124" s="259" t="str">
        <v/>
      </c>
      <c r="N124" s="260">
        <v>0</v>
      </c>
      <c r="O124" s="240" t="str">
        <v/>
      </c>
      <c r="P124" s="172"/>
      <c r="Q124" s="172"/>
      <c r="R124" s="172"/>
      <c r="S124" s="172"/>
      <c r="T124" s="172"/>
      <c r="U124" s="172"/>
      <c r="V124" s="172"/>
      <c r="W124" s="172"/>
      <c r="X124" s="172"/>
      <c r="Y124" s="172"/>
      <c r="Z124" s="172"/>
    </row>
    <row r="125" spans="1:26" ht="18" customHeight="1">
      <c r="A125" s="172"/>
      <c r="B125" s="258"/>
      <c r="C125" s="240"/>
      <c r="D125" s="240"/>
      <c r="E125" s="240"/>
      <c r="F125" s="240"/>
      <c r="G125" s="240"/>
      <c r="H125" s="240"/>
      <c r="I125" s="240"/>
      <c r="J125" s="259"/>
      <c r="K125" s="259"/>
      <c r="L125" s="259"/>
      <c r="M125" s="259"/>
      <c r="N125" s="260"/>
      <c r="O125" s="240"/>
      <c r="P125" s="172"/>
      <c r="Q125" s="172"/>
      <c r="R125" s="172"/>
      <c r="S125" s="172"/>
      <c r="T125" s="172"/>
      <c r="U125" s="172"/>
      <c r="V125" s="172"/>
      <c r="W125" s="172"/>
      <c r="X125" s="172"/>
      <c r="Y125" s="172"/>
      <c r="Z125" s="172"/>
    </row>
    <row r="126" spans="1:26" ht="18" customHeight="1">
      <c r="A126" s="172"/>
      <c r="B126" s="258"/>
      <c r="C126" s="240"/>
      <c r="D126" s="240"/>
      <c r="E126" s="240"/>
      <c r="F126" s="240"/>
      <c r="G126" s="240"/>
      <c r="H126" s="240"/>
      <c r="I126" s="240"/>
      <c r="J126" s="259"/>
      <c r="K126" s="259"/>
      <c r="L126" s="259"/>
      <c r="M126" s="259"/>
      <c r="N126" s="260"/>
      <c r="O126" s="240"/>
      <c r="P126" s="172"/>
      <c r="Q126" s="172"/>
      <c r="R126" s="172"/>
      <c r="S126" s="172"/>
      <c r="T126" s="172"/>
      <c r="U126" s="172"/>
      <c r="V126" s="172"/>
      <c r="W126" s="172"/>
      <c r="X126" s="172"/>
      <c r="Y126" s="172"/>
      <c r="Z126" s="172"/>
    </row>
    <row r="127" spans="1:26" ht="18" customHeight="1">
      <c r="A127" s="172"/>
      <c r="B127" s="258"/>
      <c r="C127" s="240"/>
      <c r="D127" s="240"/>
      <c r="E127" s="240"/>
      <c r="F127" s="240"/>
      <c r="G127" s="240"/>
      <c r="H127" s="240"/>
      <c r="I127" s="240"/>
      <c r="J127" s="259"/>
      <c r="K127" s="259"/>
      <c r="L127" s="259"/>
      <c r="M127" s="259"/>
      <c r="N127" s="260"/>
      <c r="O127" s="240"/>
      <c r="P127" s="172"/>
      <c r="Q127" s="172"/>
      <c r="R127" s="172"/>
      <c r="S127" s="172"/>
      <c r="T127" s="172"/>
      <c r="U127" s="172"/>
      <c r="V127" s="172"/>
      <c r="W127" s="172"/>
      <c r="X127" s="172"/>
      <c r="Y127" s="172"/>
      <c r="Z127" s="172"/>
    </row>
    <row r="128" spans="1:26" ht="18" customHeight="1">
      <c r="A128" s="172"/>
      <c r="B128" s="258"/>
      <c r="C128" s="240"/>
      <c r="D128" s="240"/>
      <c r="E128" s="240"/>
      <c r="F128" s="240"/>
      <c r="G128" s="240"/>
      <c r="H128" s="240"/>
      <c r="I128" s="240"/>
      <c r="J128" s="259"/>
      <c r="K128" s="259"/>
      <c r="L128" s="259"/>
      <c r="M128" s="259"/>
      <c r="N128" s="260"/>
      <c r="O128" s="240"/>
      <c r="P128" s="172"/>
      <c r="Q128" s="172"/>
      <c r="R128" s="172"/>
      <c r="S128" s="172"/>
      <c r="T128" s="172"/>
      <c r="U128" s="172"/>
      <c r="V128" s="172"/>
      <c r="W128" s="172"/>
      <c r="X128" s="172"/>
      <c r="Y128" s="172"/>
      <c r="Z128" s="172"/>
    </row>
    <row r="129" spans="1:26" ht="18" customHeight="1">
      <c r="A129" s="172"/>
      <c r="B129" s="258"/>
      <c r="C129" s="240"/>
      <c r="D129" s="240"/>
      <c r="E129" s="240"/>
      <c r="F129" s="240"/>
      <c r="G129" s="240"/>
      <c r="H129" s="240"/>
      <c r="I129" s="240"/>
      <c r="J129" s="259"/>
      <c r="K129" s="259"/>
      <c r="L129" s="259"/>
      <c r="M129" s="259"/>
      <c r="N129" s="260"/>
      <c r="O129" s="240"/>
      <c r="P129" s="172"/>
      <c r="Q129" s="172"/>
      <c r="R129" s="172"/>
      <c r="S129" s="172"/>
      <c r="T129" s="172"/>
      <c r="U129" s="172"/>
      <c r="V129" s="172"/>
      <c r="W129" s="172"/>
      <c r="X129" s="172"/>
      <c r="Y129" s="172"/>
      <c r="Z129" s="172"/>
    </row>
    <row r="130" spans="1:26" ht="18" customHeight="1">
      <c r="A130" s="172"/>
      <c r="B130" s="258"/>
      <c r="C130" s="240"/>
      <c r="D130" s="240"/>
      <c r="E130" s="240"/>
      <c r="F130" s="240"/>
      <c r="G130" s="240"/>
      <c r="H130" s="240"/>
      <c r="I130" s="240"/>
      <c r="J130" s="259"/>
      <c r="K130" s="259"/>
      <c r="L130" s="259"/>
      <c r="M130" s="259"/>
      <c r="N130" s="260"/>
      <c r="O130" s="240"/>
      <c r="P130" s="172"/>
      <c r="Q130" s="172"/>
      <c r="R130" s="172"/>
      <c r="S130" s="172"/>
      <c r="T130" s="172"/>
      <c r="U130" s="172"/>
      <c r="V130" s="172"/>
      <c r="W130" s="172"/>
      <c r="X130" s="172"/>
      <c r="Y130" s="172"/>
      <c r="Z130" s="172"/>
    </row>
    <row r="131" spans="1:26" ht="18" customHeight="1">
      <c r="A131" s="172"/>
      <c r="B131" s="258"/>
      <c r="C131" s="240"/>
      <c r="D131" s="240"/>
      <c r="E131" s="240"/>
      <c r="F131" s="240"/>
      <c r="G131" s="240"/>
      <c r="H131" s="240"/>
      <c r="I131" s="240"/>
      <c r="J131" s="259"/>
      <c r="K131" s="259"/>
      <c r="L131" s="259"/>
      <c r="M131" s="259"/>
      <c r="N131" s="260"/>
      <c r="O131" s="240"/>
      <c r="P131" s="172"/>
      <c r="Q131" s="172"/>
      <c r="R131" s="172"/>
      <c r="S131" s="172"/>
      <c r="T131" s="172"/>
      <c r="U131" s="172"/>
      <c r="V131" s="172"/>
      <c r="W131" s="172"/>
      <c r="X131" s="172"/>
      <c r="Y131" s="172"/>
      <c r="Z131" s="172"/>
    </row>
    <row r="132" spans="1:26" ht="18" customHeight="1">
      <c r="A132" s="172"/>
      <c r="B132" s="258"/>
      <c r="C132" s="240"/>
      <c r="D132" s="240"/>
      <c r="E132" s="240"/>
      <c r="F132" s="240"/>
      <c r="G132" s="240"/>
      <c r="H132" s="240"/>
      <c r="I132" s="240"/>
      <c r="J132" s="259"/>
      <c r="K132" s="259"/>
      <c r="L132" s="259"/>
      <c r="M132" s="259"/>
      <c r="N132" s="260"/>
      <c r="O132" s="240"/>
      <c r="P132" s="172"/>
      <c r="Q132" s="172"/>
      <c r="R132" s="172"/>
      <c r="S132" s="172"/>
      <c r="T132" s="172"/>
      <c r="U132" s="172"/>
      <c r="V132" s="172"/>
      <c r="W132" s="172"/>
      <c r="X132" s="172"/>
      <c r="Y132" s="172"/>
      <c r="Z132" s="172"/>
    </row>
    <row r="133" spans="1:26" ht="18" customHeight="1">
      <c r="A133" s="172"/>
      <c r="B133" s="258"/>
      <c r="C133" s="240"/>
      <c r="D133" s="240"/>
      <c r="E133" s="240"/>
      <c r="F133" s="240"/>
      <c r="G133" s="240"/>
      <c r="H133" s="240"/>
      <c r="I133" s="240"/>
      <c r="J133" s="259"/>
      <c r="K133" s="259"/>
      <c r="L133" s="259"/>
      <c r="M133" s="259"/>
      <c r="N133" s="260"/>
      <c r="O133" s="240"/>
      <c r="P133" s="172"/>
      <c r="Q133" s="172"/>
      <c r="R133" s="172"/>
      <c r="S133" s="172"/>
      <c r="T133" s="172"/>
      <c r="U133" s="172"/>
      <c r="V133" s="172"/>
      <c r="W133" s="172"/>
      <c r="X133" s="172"/>
      <c r="Y133" s="172"/>
      <c r="Z133" s="172"/>
    </row>
    <row r="134" spans="1:26" ht="18" customHeight="1">
      <c r="A134" s="172"/>
      <c r="B134" s="258"/>
      <c r="C134" s="240"/>
      <c r="D134" s="240"/>
      <c r="E134" s="240"/>
      <c r="F134" s="240"/>
      <c r="G134" s="240"/>
      <c r="H134" s="240"/>
      <c r="I134" s="240"/>
      <c r="J134" s="259"/>
      <c r="K134" s="259"/>
      <c r="L134" s="259"/>
      <c r="M134" s="259"/>
      <c r="N134" s="260"/>
      <c r="O134" s="240"/>
      <c r="P134" s="172"/>
      <c r="Q134" s="172"/>
      <c r="R134" s="172"/>
      <c r="S134" s="172"/>
      <c r="T134" s="172"/>
      <c r="U134" s="172"/>
      <c r="V134" s="172"/>
      <c r="W134" s="172"/>
      <c r="X134" s="172"/>
      <c r="Y134" s="172"/>
      <c r="Z134" s="172"/>
    </row>
    <row r="135" spans="1:26" ht="18" customHeight="1">
      <c r="A135" s="172"/>
      <c r="B135" s="258"/>
      <c r="C135" s="240"/>
      <c r="D135" s="240"/>
      <c r="E135" s="240"/>
      <c r="F135" s="240"/>
      <c r="G135" s="240"/>
      <c r="H135" s="240"/>
      <c r="I135" s="240"/>
      <c r="J135" s="259"/>
      <c r="K135" s="259"/>
      <c r="L135" s="259"/>
      <c r="M135" s="259"/>
      <c r="N135" s="260"/>
      <c r="O135" s="240"/>
      <c r="P135" s="172"/>
      <c r="Q135" s="172"/>
      <c r="R135" s="172"/>
      <c r="S135" s="172"/>
      <c r="T135" s="172"/>
      <c r="U135" s="172"/>
      <c r="V135" s="172"/>
      <c r="W135" s="172"/>
      <c r="X135" s="172"/>
      <c r="Y135" s="172"/>
      <c r="Z135" s="172"/>
    </row>
    <row r="136" spans="1:26" ht="18" customHeight="1">
      <c r="A136" s="172"/>
      <c r="B136" s="258"/>
      <c r="C136" s="240"/>
      <c r="D136" s="240"/>
      <c r="E136" s="240"/>
      <c r="F136" s="240"/>
      <c r="G136" s="240"/>
      <c r="H136" s="240"/>
      <c r="I136" s="240"/>
      <c r="J136" s="259"/>
      <c r="K136" s="259"/>
      <c r="L136" s="259"/>
      <c r="M136" s="259"/>
      <c r="N136" s="260"/>
      <c r="O136" s="240"/>
      <c r="P136" s="172"/>
      <c r="Q136" s="172"/>
      <c r="R136" s="172"/>
      <c r="S136" s="172"/>
      <c r="T136" s="172"/>
      <c r="U136" s="172"/>
      <c r="V136" s="172"/>
      <c r="W136" s="172"/>
      <c r="X136" s="172"/>
      <c r="Y136" s="172"/>
      <c r="Z136" s="172"/>
    </row>
    <row r="137" spans="1:26" ht="18" customHeight="1">
      <c r="A137" s="172"/>
      <c r="B137" s="258"/>
      <c r="C137" s="240"/>
      <c r="D137" s="240"/>
      <c r="E137" s="240"/>
      <c r="F137" s="240"/>
      <c r="G137" s="240"/>
      <c r="H137" s="240"/>
      <c r="I137" s="240"/>
      <c r="J137" s="259"/>
      <c r="K137" s="259"/>
      <c r="L137" s="259"/>
      <c r="M137" s="259"/>
      <c r="N137" s="260"/>
      <c r="O137" s="240"/>
      <c r="P137" s="172"/>
      <c r="Q137" s="172"/>
      <c r="R137" s="172"/>
      <c r="S137" s="172"/>
      <c r="T137" s="172"/>
      <c r="U137" s="172"/>
      <c r="V137" s="172"/>
      <c r="W137" s="172"/>
      <c r="X137" s="172"/>
      <c r="Y137" s="172"/>
      <c r="Z137" s="172"/>
    </row>
    <row r="138" spans="1:26" ht="18" customHeight="1">
      <c r="A138" s="172"/>
      <c r="B138" s="258"/>
      <c r="C138" s="240"/>
      <c r="D138" s="240"/>
      <c r="E138" s="240"/>
      <c r="F138" s="240"/>
      <c r="G138" s="240"/>
      <c r="H138" s="240"/>
      <c r="I138" s="240"/>
      <c r="J138" s="259"/>
      <c r="K138" s="259"/>
      <c r="L138" s="259"/>
      <c r="M138" s="259"/>
      <c r="N138" s="260"/>
      <c r="O138" s="240"/>
      <c r="P138" s="172"/>
      <c r="Q138" s="172"/>
      <c r="R138" s="172"/>
      <c r="S138" s="172"/>
      <c r="T138" s="172"/>
      <c r="U138" s="172"/>
      <c r="V138" s="172"/>
      <c r="W138" s="172"/>
      <c r="X138" s="172"/>
      <c r="Y138" s="172"/>
      <c r="Z138" s="172"/>
    </row>
    <row r="139" spans="1:26" ht="18" customHeight="1">
      <c r="A139" s="172"/>
      <c r="B139" s="258"/>
      <c r="C139" s="240"/>
      <c r="D139" s="240"/>
      <c r="E139" s="240"/>
      <c r="F139" s="240"/>
      <c r="G139" s="240"/>
      <c r="H139" s="240"/>
      <c r="I139" s="240"/>
      <c r="J139" s="259"/>
      <c r="K139" s="259"/>
      <c r="L139" s="259"/>
      <c r="M139" s="259"/>
      <c r="N139" s="260"/>
      <c r="O139" s="240"/>
      <c r="P139" s="172"/>
      <c r="Q139" s="172"/>
      <c r="R139" s="172"/>
      <c r="S139" s="172"/>
      <c r="T139" s="172"/>
      <c r="U139" s="172"/>
      <c r="V139" s="172"/>
      <c r="W139" s="172"/>
      <c r="X139" s="172"/>
      <c r="Y139" s="172"/>
      <c r="Z139" s="172"/>
    </row>
    <row r="140" spans="1:26" ht="18" customHeight="1">
      <c r="A140" s="172"/>
      <c r="B140" s="258"/>
      <c r="C140" s="240"/>
      <c r="D140" s="240"/>
      <c r="E140" s="240"/>
      <c r="F140" s="240"/>
      <c r="G140" s="240"/>
      <c r="H140" s="240"/>
      <c r="I140" s="240"/>
      <c r="J140" s="259"/>
      <c r="K140" s="259"/>
      <c r="L140" s="259"/>
      <c r="M140" s="259"/>
      <c r="N140" s="260"/>
      <c r="O140" s="240"/>
      <c r="P140" s="172"/>
      <c r="Q140" s="172"/>
      <c r="R140" s="172"/>
      <c r="S140" s="172"/>
      <c r="T140" s="172"/>
      <c r="U140" s="172"/>
      <c r="V140" s="172"/>
      <c r="W140" s="172"/>
      <c r="X140" s="172"/>
      <c r="Y140" s="172"/>
      <c r="Z140" s="172"/>
    </row>
    <row r="141" spans="1:26" ht="15" customHeight="1">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spans="1:26" ht="15" customHeight="1">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spans="1:26" ht="15" customHeight="1">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spans="1:26" ht="15" customHeight="1">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spans="1:26" ht="15" customHeight="1">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spans="1:26" ht="15" customHeight="1">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spans="1:26" ht="15" customHeight="1">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spans="1:26" ht="15" customHeight="1">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spans="1:26" ht="15" customHeight="1">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spans="1:26" ht="15" customHeight="1">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spans="1:26" ht="15" customHeight="1">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spans="1:26" ht="15" customHeight="1">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spans="1:26" ht="15" customHeight="1">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spans="1:26" ht="15" customHeight="1">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spans="1:26" ht="15" customHeight="1">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spans="1:26" ht="15" customHeight="1">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spans="1:26" ht="15" customHeight="1">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spans="1:26" ht="15" customHeight="1">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spans="1:26" ht="15" customHeight="1">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spans="1:26" ht="15" customHeight="1">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spans="1:26" ht="15" customHeight="1">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spans="1:26" ht="15" customHeight="1">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spans="1:26" ht="15" customHeight="1">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spans="1:26" ht="15" customHeight="1">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spans="1:26" ht="15" customHeight="1">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spans="1:26" ht="15" customHeight="1">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spans="1:26" ht="15" customHeight="1">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spans="1:26" ht="15" customHeight="1">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spans="1:26" ht="15" customHeight="1">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spans="1:26" ht="15" customHeight="1">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spans="1:26" ht="15" customHeight="1">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spans="1:26" ht="15" customHeight="1">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spans="1:26" ht="15" customHeight="1">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spans="1:26" ht="15" customHeight="1">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spans="1:26" ht="15" customHeight="1">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spans="1:26" ht="15" customHeight="1">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spans="1:26" ht="15" customHeight="1">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spans="1:26" ht="15" customHeight="1">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spans="1:26" ht="15" customHeight="1">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spans="1:26" ht="15" customHeight="1">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spans="1:26" ht="15" customHeight="1">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spans="1:26" ht="15" customHeight="1">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spans="1:26" ht="15" customHeight="1">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spans="1:26" ht="15" customHeight="1">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spans="1:26" ht="15" customHeight="1">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spans="1:26" ht="15" customHeight="1">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spans="1:26" ht="15" customHeight="1">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spans="1:26" ht="15" customHeight="1">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spans="1:26" ht="15" customHeight="1">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spans="1:26" ht="15" customHeight="1">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spans="1:26" ht="15" customHeight="1">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spans="1:26" ht="15" customHeight="1">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spans="1:26" ht="15" customHeight="1">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spans="1:26" ht="15" customHeight="1">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spans="1:26" ht="15" customHeight="1">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spans="1:26" ht="15" customHeight="1">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spans="1:26" ht="15" customHeight="1">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spans="1:26" ht="15" customHeight="1">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spans="1:26" ht="15" customHeight="1">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spans="1:26" ht="15" customHeight="1">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sheetData>
  <mergeCells count="33">
    <mergeCell ref="I50:O50"/>
    <mergeCell ref="B49:B50"/>
    <mergeCell ref="C49:D49"/>
    <mergeCell ref="E49:F49"/>
    <mergeCell ref="G49:H49"/>
    <mergeCell ref="C50:D50"/>
    <mergeCell ref="E50:F50"/>
    <mergeCell ref="G50:H50"/>
    <mergeCell ref="C10:O10"/>
    <mergeCell ref="M11:O11"/>
    <mergeCell ref="M12:O12"/>
    <mergeCell ref="M13:O13"/>
    <mergeCell ref="C48:O48"/>
    <mergeCell ref="M2:O2"/>
    <mergeCell ref="C5:O5"/>
    <mergeCell ref="C7:D7"/>
    <mergeCell ref="C8:D8"/>
    <mergeCell ref="E7:F7"/>
    <mergeCell ref="E8:F8"/>
    <mergeCell ref="G7:H7"/>
    <mergeCell ref="G8:H8"/>
    <mergeCell ref="I7:J7"/>
    <mergeCell ref="I8:J8"/>
    <mergeCell ref="K7:L7"/>
    <mergeCell ref="K8:L8"/>
    <mergeCell ref="M7:O7"/>
    <mergeCell ref="M8:O8"/>
    <mergeCell ref="C35:O35"/>
    <mergeCell ref="M14:O14"/>
    <mergeCell ref="M15:O15"/>
    <mergeCell ref="M16:O16"/>
    <mergeCell ref="M17:O17"/>
    <mergeCell ref="C19:O19"/>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513</v>
      </c>
      <c r="C1" t="s">
        <v>514</v>
      </c>
      <c r="D1" t="s">
        <v>35</v>
      </c>
      <c r="E1" t="s">
        <v>515</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203</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330</v>
      </c>
      <c r="E33" t="str">
        <f>IF(C33="Ready for Release in Prod","Blocked in Prod",IF(C33="RELEASED IN PROD","Released",IF(LEFT(D33,3)="Yes","Blocked - Build/QA",IF(C33="NOT STARTED","Not Started",C33))))</f>
        <v>Blocked in Prod</v>
      </c>
    </row>
    <row r="34" spans="1:5">
      <c r="A34" t="s">
        <v>210</v>
      </c>
      <c r="B34" t="s">
        <v>192</v>
      </c>
      <c r="C34" t="s">
        <v>181</v>
      </c>
      <c r="D34" t="s">
        <v>213</v>
      </c>
      <c r="E34" t="str">
        <f>IF(C34="Ready for Release in Prod","Blocked in Prod",IF(C34="RELEASED IN PROD","Released",IF(LEFT(D34,3)="Yes","Blocked - Build/QA",IF(C34="NOT STARTED","Not Started",C34))))</f>
        <v>Blocked - Build/QA</v>
      </c>
    </row>
    <row r="35" spans="1:5">
      <c r="A35" t="s">
        <v>214</v>
      </c>
      <c r="B35" t="s">
        <v>192</v>
      </c>
      <c r="C35" t="s">
        <v>181</v>
      </c>
      <c r="D35" t="s">
        <v>53</v>
      </c>
      <c r="E35" t="str">
        <f>IF(C35="Ready for Release in Prod","Blocked in Prod",IF(C35="RELEASED IN PROD","Released",IF(LEFT(D35,3)="Yes","Blocked - Build/QA",IF(C35="NOT STARTED","Not Started",C35))))</f>
        <v>DPO Approval</v>
      </c>
    </row>
    <row r="36" spans="1:5">
      <c r="A36" t="s">
        <v>216</v>
      </c>
      <c r="B36" t="s">
        <v>192</v>
      </c>
      <c r="C36" t="s">
        <v>164</v>
      </c>
      <c r="D36" t="s">
        <v>53</v>
      </c>
      <c r="E36" t="str">
        <f>IF(C36="Ready for Release in Prod","Blocked in Prod",IF(C36="RELEASED IN PROD","Released",IF(LEFT(D36,3)="Yes","Blocked - Build/QA",IF(C36="NOT STARTED","Not Started",C36))))</f>
        <v>QA</v>
      </c>
    </row>
    <row r="37" spans="1:5">
      <c r="A37" t="s">
        <v>218</v>
      </c>
      <c r="B37" t="s">
        <v>192</v>
      </c>
      <c r="C37" t="s">
        <v>164</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223</v>
      </c>
      <c r="D40" t="s">
        <v>53</v>
      </c>
      <c r="E40" t="str">
        <f>IF(C40="Ready for Release in Prod","Blocked in Prod",IF(C40="RELEASED IN PROD","Released",IF(LEFT(D40,3)="Yes","Blocked - Build/QA",IF(C40="NOT STARTED","Not Started",C40))))</f>
        <v>DB Dev</v>
      </c>
    </row>
    <row r="41" spans="1:5">
      <c r="A41" t="s">
        <v>225</v>
      </c>
      <c r="B41" t="s">
        <v>192</v>
      </c>
      <c r="C41" t="s">
        <v>203</v>
      </c>
      <c r="D41" t="s">
        <v>53</v>
      </c>
      <c r="E41" t="str">
        <f>IF(C41="Ready for Release in Prod","Blocked in Prod",IF(C41="RELEASED IN PROD","Released",IF(LEFT(D41,3)="Yes","Blocked - Build/QA",IF(C41="NOT STARTED","Not Started",C41))))</f>
        <v>PBI Dev</v>
      </c>
    </row>
    <row r="42" spans="1:5">
      <c r="A42" t="s">
        <v>230</v>
      </c>
      <c r="B42" t="s">
        <v>192</v>
      </c>
      <c r="C42" t="s">
        <v>231</v>
      </c>
      <c r="D42" t="s">
        <v>53</v>
      </c>
      <c r="E42" t="str">
        <f>IF(C42="Ready for Release in Prod","Blocked in Prod",IF(C42="RELEASED IN PROD","Released",IF(LEFT(D42,3)="Yes","Blocked - Build/QA",IF(C42="NOT STARTED","Not Started",C42))))</f>
        <v>Not Started</v>
      </c>
    </row>
    <row r="43" spans="1:5">
      <c r="A43" t="s">
        <v>234</v>
      </c>
      <c r="B43" t="s">
        <v>192</v>
      </c>
      <c r="C43" t="s">
        <v>203</v>
      </c>
      <c r="D43" t="s">
        <v>204</v>
      </c>
      <c r="E43" t="str">
        <f>IF(C43="Ready for Release in Prod","Blocked in Prod",IF(C43="RELEASED IN PROD","Released",IF(LEFT(D43,3)="Yes","Blocked - Build/QA",IF(C43="NOT STARTED","Not Started",C43))))</f>
        <v>Blocked - Build/QA</v>
      </c>
    </row>
    <row r="44" spans="1:5">
      <c r="A44" t="s">
        <v>235</v>
      </c>
      <c r="B44" t="s">
        <v>192</v>
      </c>
      <c r="C44" t="s">
        <v>181</v>
      </c>
      <c r="D44" t="s">
        <v>53</v>
      </c>
      <c r="E44" t="str">
        <f>IF(C44="Ready for Release in Prod","Blocked in Prod",IF(C44="RELEASED IN PROD","Released",IF(LEFT(D44,3)="Yes","Blocked - Build/QA",IF(C44="NOT STARTED","Not Started",C44))))</f>
        <v>DPO Approval</v>
      </c>
    </row>
    <row r="45" spans="1:5">
      <c r="A45" t="s">
        <v>238</v>
      </c>
      <c r="B45" t="s">
        <v>192</v>
      </c>
      <c r="C45" t="s">
        <v>203</v>
      </c>
      <c r="D45" t="s">
        <v>53</v>
      </c>
      <c r="E45" t="str">
        <f>IF(C45="Ready for Release in Prod","Blocked in Prod",IF(C45="RELEASED IN PROD","Released",IF(LEFT(D45,3)="Yes","Blocked - Build/QA",IF(C45="NOT STARTED","Not Started",C45))))</f>
        <v>PBI Dev</v>
      </c>
    </row>
    <row r="46" spans="1:5">
      <c r="A46" t="s">
        <v>239</v>
      </c>
      <c r="B46" t="s">
        <v>240</v>
      </c>
      <c r="C46" t="s">
        <v>164</v>
      </c>
      <c r="E46" t="str">
        <f>IF(C46="Ready for Release in Prod","Blocked in Prod",IF(C46="RELEASED IN PROD","Released",IF(LEFT(D46,3)="Yes","Blocked - Build/QA",IF(C46="NOT STARTED","Not Started",C46))))</f>
        <v>QA</v>
      </c>
    </row>
    <row r="47" spans="1:5">
      <c r="A47" t="s">
        <v>243</v>
      </c>
      <c r="B47" t="s">
        <v>240</v>
      </c>
      <c r="C47" t="s">
        <v>203</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203</v>
      </c>
      <c r="D51" t="s">
        <v>213</v>
      </c>
      <c r="E51" t="str">
        <f>IF(C51="Ready for Release in Prod","Blocked in Prod",IF(C51="RELEASED IN PROD","Released",IF(LEFT(D51,3)="Yes","Blocked - Build/QA",IF(C51="NOT STARTED","Not Started",C51))))</f>
        <v>Blocked - Build/QA</v>
      </c>
    </row>
    <row r="52" spans="1:5">
      <c r="A52" t="s">
        <v>251</v>
      </c>
      <c r="B52" t="s">
        <v>240</v>
      </c>
      <c r="C52" t="s">
        <v>203</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203</v>
      </c>
      <c r="E56" t="str">
        <f>IF(C56="Ready for Release in Prod","Blocked in Prod",IF(C56="RELEASED IN PROD","Released",IF(LEFT(D56,3)="Yes","Blocked - Build/QA",IF(C56="NOT STARTED","Not Started",C56))))</f>
        <v>PBI Dev</v>
      </c>
    </row>
    <row r="57" spans="1:5">
      <c r="A57" t="s">
        <v>261</v>
      </c>
      <c r="B57" t="s">
        <v>240</v>
      </c>
      <c r="C57" t="s">
        <v>203</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516</v>
      </c>
      <c r="B1" t="s">
        <v>517</v>
      </c>
      <c r="C1" t="s">
        <v>518</v>
      </c>
    </row>
    <row r="2" spans="1:3">
      <c r="A2" t="s">
        <v>502</v>
      </c>
      <c r="B2" t="s">
        <v>502</v>
      </c>
      <c r="C2" t="s">
        <v>502</v>
      </c>
    </row>
    <row r="3" spans="1:3">
      <c r="A3" t="str" cm="1">
        <f t="array" ref="A3:A7">_xlfn.LET(_xlpm.u,_xlfn.UNIQUE(_xlfn._xlws.FILTER(cmsMonth,(cmsDom="CMS")*(cmsMonth&lt;&gt;""))),_xlfn.SORTBY(_xlpm.u,MONTH(DATEVALUE("1 "&amp;_xlpm.u&amp;" 2026"))))</f>
        <v>July</v>
      </c>
      <c r="B3" t="s">
        <v>487</v>
      </c>
      <c r="C3" t="str" cm="1">
        <f t="array" ref="C3:C18">_xlfn.LET(_xlpm.v,_xlfn.VSTACK(cmsDBDev,cmsPBIDev,cmsQA),_xlpm.d,_xlfn.VSTACK(cmsDom,cmsDom,cmsDom),_xlfn._xlws.SORT(_xlfn.UNIQUE(_xlfn._xlws.FILTER(_xlpm.v,(_xlpm.d="CMS")*(_xlpm.v&lt;&gt;"")))))</f>
        <v>Bardia</v>
      </c>
    </row>
    <row r="4" spans="1:3">
      <c r="A4" t="str">
        <v>August</v>
      </c>
      <c r="B4" t="s">
        <v>488</v>
      </c>
      <c r="C4" t="str">
        <v>Fetwi</v>
      </c>
    </row>
    <row r="5" spans="1:3">
      <c r="A5" t="str">
        <v>September</v>
      </c>
      <c r="B5" t="s">
        <v>181</v>
      </c>
      <c r="C5" t="str">
        <v>Geetha</v>
      </c>
    </row>
    <row r="6" spans="1:3">
      <c r="A6" t="str">
        <v>October</v>
      </c>
      <c r="B6" t="s">
        <v>164</v>
      </c>
      <c r="C6" t="str">
        <v>Greeta</v>
      </c>
    </row>
    <row r="7" spans="1:3">
      <c r="A7" t="str">
        <v>November</v>
      </c>
      <c r="B7" t="s">
        <v>203</v>
      </c>
      <c r="C7" t="str">
        <v>Kushal</v>
      </c>
    </row>
    <row r="8" spans="1:3">
      <c r="B8" t="s">
        <v>223</v>
      </c>
      <c r="C8" t="str">
        <v>Michael</v>
      </c>
    </row>
    <row r="9" spans="1:3">
      <c r="B9" t="s">
        <v>482</v>
      </c>
      <c r="C9" t="str">
        <v>Navya</v>
      </c>
    </row>
    <row r="10" spans="1:3">
      <c r="B10" t="s">
        <v>489</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2026-10-01T20:00:39Z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