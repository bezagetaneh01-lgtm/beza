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653" documentId="13_ncr:1_{52745E9B-3AA1-4770-AAD3-E6166BFC13AE}" xr6:coauthVersionLast="47" xr6:coauthVersionMax="47" xr10:uidLastSave="{B48BE511-F6AA-4AC7-847C-EF67A832552B}"/>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<sst xmlns="http://schemas.openxmlformats.org/spreadsheetml/2006/main" count="3236" uniqueCount="474">
  <si>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</si>
  <si>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</si>
  <si>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</si>
  <si>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</si>
  <si>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</si>
  <si>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</si>
  <si>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</si>
  <si>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</si>
  <si>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</si>
  <si>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</si>
  <si>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</si>
  <si>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</si>
  <si>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</si>
  <si>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</si>
  <si>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</si>
  <si>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</si>
  <si>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</si>
  <si>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</si>
  <si>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</si>
  <si>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</si>
  <si>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</si>
  <si>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</si>
  <si>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</si>
  <si>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</si>
  <si>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</si>
  <si>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</si>
  <si>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</si>
  <si>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</si>
  <si>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</si>
  <si>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</si>
  <si>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</si>
  <si>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</si>
  <si>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</si>
  <si>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</si>
  <si>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</si>
  <si>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</si>
  <si>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</si>
  <si>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</si>
  <si>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</si>
  <si>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</si>
  <si>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</si>
  <si>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</si>
  <si>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</si>
  <si>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</si>
  <si>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</si>
  <si>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</si>
  <si>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</si>
  <si>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</si>
  <si>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</si>
  <si>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</si>
  <si>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</si>
  <si>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</si>
  <si>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</si>
  <si>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</si>
  <si>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</si>
  <si>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</si>
  <si>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</si>
  <si>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</si>
  <si>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</si>
  <si>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</si>
  <si>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</si>
  <si>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</si>
  <si>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</si>
  <si>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</si>
  <si>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</si>
  <si>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</si>
  <si>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</si>
  <si>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</si>
  <si>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</si>
  <si>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</si>
  <si>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</si>
  <si>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</si>
  <si>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</si>
  <si>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</si>
  <si>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</si>
  <si>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</si>
  <si>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</si>
  <si>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</si>
  <si>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</si>
  <si>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</si>
  <si>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</si>
  <si>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</si>
  <si>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</si>
  <si>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</si>
  <si>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</si>
  <si>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</si>
  <si>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</si>
  <si>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</si>
  <si>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</si>
  <si>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</si>
  <si>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</si>
  <si>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</si>
  <si>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</si>
  <si>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</si>
  <si>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</si>
  <si>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</si>
  <si>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</si>
  <si>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</si>
  <si>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</si>
  <si>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</si>
  <si>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</si>
  <si>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</si>
  <si>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</si>
  <si>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</si>
  <si>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</si>
  <si>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</si>
  <si>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</si>
  <si>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</si>
  <si>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</si>
  <si>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</si>
  <si>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</si>
  <si>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</si>
  <si>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</si>
  <si>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</si>
  <si>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</si>
  <si>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</si>
  <si>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</si>
  <si>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</si>
  <si>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</si>
  <si>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</si>
  <si>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</si>
  <si>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</si>
  <si>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</si>
  <si>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</si>
  <si>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</si>
  <si>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</si>
  <si>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</si>
  <si>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</si>
  <si>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</si>
  <si>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</si>
  <si>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</si>
  <si>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</si>
  <si>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</si>
  <si>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</si>
  <si>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</si>
  <si>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</si>
  <si>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</si>
  <si>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</si>
  <si>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</si>
  <si>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</si>
  <si>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</si>
  <si>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</si>
  <si>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</si>
  <si>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</si>
  <si>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</si>
  <si>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</si>
  <si>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</si>
  <si>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</si>
  <si>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</si>
  <si>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</si>
  <si>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</si>
  <si>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</si>
  <si>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</si>
  <si>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</si>
  <si>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</si>
  <si>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</si>
  <si>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</si>
  <si>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</si>
  <si>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</si>
  <si>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</si>
  <si>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</si>
  <si>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</si>
  <si>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</si>
  <si>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</si>
  <si>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</si>
  <si>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</si>
  <si>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</si>
  <si>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</si>
  <si>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</si>
  <si>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</si>
  <si>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</si>
  <si>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</si>
  <si>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</si>
  <si>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</si>
  <si>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</si>
  <si>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</si>
  <si>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</si>
  <si>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</si>
  <si>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</si>
  <si>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</si>
  <si>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</si>
  <si>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</si>
  <si>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</si>
  <si>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</si>
  <si>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</si>
  <si>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</si>
  <si>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</si>
  <si>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QA</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</si>
  <si>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</si>
  <si>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</si>
  <si>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</si>
  <si>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</si>
  <si>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</si>
  <si>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</si>
  <si>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</si>
  <si>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</si>
  <si>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</si>
  <si>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</si>
  <si>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</si>
  <si>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</si>
  <si>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</si>
  <si>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</si>
  <si>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</si>
  <si>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</si>
  <si>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</si>
  <si>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</si>
  <si>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</si>
  <si>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</si>
  <si>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</si>
  <si>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</si>
  <si>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</si>
  <si>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</si>
  <si>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</si>
  <si>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</si>
  <si>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Yes – needs DB Dev to fix</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</si>
  <si>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</si>
  <si>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</si>
  <si>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</si>
  <si>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</si>
  <si>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</si>
  <si>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</si>
  <si>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</si>
  <si>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</si>
  <si>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</si>
  <si>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</si>
  <si>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</si>
  <si>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</si>
  <si>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</si>
  <si>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</si>
  <si>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</si>
  <si>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</si>
  <si>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</si>
  <si>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</si>
  <si>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</si>
  <si>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</si>
  <si>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</si>
  <si>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</si>
  <si>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</si>
  <si>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</si>
  <si>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</si>
  <si>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</si>
  <si>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</si>
  <si>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</si>
  <si>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</si>
  <si>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</si>
  <si>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</si>
  <si>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</si>
  <si>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</si>
  <si>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</si>
  <si>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</si>
  <si>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</si>
  <si>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</si>
  <si>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</si>
  <si>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</si>
  <si>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</si>
  <si>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</si>
  <si>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</si>
  <si>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</si>
  <si>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DB Dev</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</si>
  <si>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</si>
  <si>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</si>
  <si>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</si>
  <si>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</si>
  <si>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</si>
  <si>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</si>
  <si>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</si>
  <si>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</si>
  <si>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</si>
  <si>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</si>
  <si>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</si>
  <si>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</si>
  <si>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</si>
  <si>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</si>
  <si>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</si>
  <si>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</si>
  <si>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</si>
  <si>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</si>
  <si>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</si>
  <si>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</si>
  <si>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</si>
  <si>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</si>
  <si>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</si>
  <si>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</si>
  <si>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</si>
  <si>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</si>
  <si>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</si>
  <si>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</si>
  <si>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</si>
  <si>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</si>
  <si>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</si>
  <si>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</si>
  <si>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</si>
  <si>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</si>
  <si>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</si>
  <si>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</si>
  <si>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</si>
  <si>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</si>
  <si>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</si>
  <si>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</si>
  <si>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</si>
  <si>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</si>
  <si>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</si>
  <si>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</si>
  <si>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</si>
  <si>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</si>
  <si>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</si>
  <si>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</si>
  <si>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PI3, S3</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</si>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</sst>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4">
    <dxf>
      <numFmt numFmtId="19" formatCode="m/d/yyyy"/>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 val="olu"/>
      </filters>
    </filterColumn>
    <filterColumn colId="8">
      <filters>
        <filter val="August"/>
        <filter val="October"/>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J1" activePane="topRight" state="frozen"/>
      <selection pane="topRight" activeCell="A71" sqref="A71"/>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unclaimed</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46293</v>
      </c>
      <c r="W52" s="36">
        <v>46269</v>
      </c>
      <c r="X52" s="36"/>
      <c r="Y52" s="36"/>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187</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c r="Z55" s="36"/>
      <c r="AA55" s="51">
        <v>46290</v>
      </c>
      <c r="AB55" s="36">
        <v>46290</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146</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194</v>
      </c>
      <c r="J57" s="33" t="s">
        <v>65</v>
      </c>
      <c r="K57" s="4">
        <v>46262</v>
      </c>
      <c r="L57" s="36">
        <v>46254</v>
      </c>
      <c r="M57" s="36"/>
      <c r="N57" s="46" t="s">
        <v>146</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146</v>
      </c>
      <c r="O58" s="36" t="s">
        <v>195</v>
      </c>
      <c r="P58" s="62" t="s">
        <v>77</v>
      </c>
      <c r="Q58" s="4">
        <v>46269</v>
      </c>
      <c r="R58" s="36">
        <v>46272</v>
      </c>
      <c r="S58" s="36"/>
      <c r="T58" s="68" t="s">
        <v>196</v>
      </c>
      <c r="U58" s="33"/>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46294</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182</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209</v>
      </c>
      <c r="G60" s="33"/>
      <c r="H60" s="49">
        <v>46295</v>
      </c>
      <c r="I60" s="54" t="s">
        <v>194</v>
      </c>
      <c r="J60" s="33" t="s">
        <v>154</v>
      </c>
      <c r="K60" s="4">
        <v>46262</v>
      </c>
      <c r="L60" s="36">
        <v>46255</v>
      </c>
      <c r="M60" s="36">
        <v>46255</v>
      </c>
      <c r="N60" s="36" t="s">
        <v>146</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c r="AD60" s="33" t="s">
        <v>211</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164</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Blocked - needs DB Dev to fix - unclaimed</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c r="X61" s="36">
        <v>46281</v>
      </c>
      <c r="Y61" s="36"/>
      <c r="Z61" s="36"/>
      <c r="AA61" s="51">
        <v>46290</v>
      </c>
      <c r="AB61" s="36"/>
      <c r="AC61" s="36"/>
      <c r="AD61" s="33" t="s">
        <v>213</v>
      </c>
      <c r="AE61" s="33" t="s">
        <v>72</v>
      </c>
      <c r="AF61" s="38"/>
      <c r="AG61" s="36"/>
      <c r="AH61" s="39"/>
      <c r="AI61" s="33"/>
      <c r="AJ61" s="40" t="s">
        <v>214</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187</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46295</v>
      </c>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Move status to DPO Approval</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187</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46</v>
      </c>
      <c r="Q63" s="4">
        <v>46286</v>
      </c>
      <c r="R63" s="4">
        <v>46275</v>
      </c>
      <c r="S63" s="36">
        <v>46282</v>
      </c>
      <c r="T63" s="68" t="s">
        <v>196</v>
      </c>
      <c r="U63" s="33" t="s">
        <v>47</v>
      </c>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187</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194</v>
      </c>
      <c r="J64" s="116" t="s">
        <v>103</v>
      </c>
      <c r="K64" s="121">
        <v>46276</v>
      </c>
      <c r="L64" s="122">
        <v>46265</v>
      </c>
      <c r="M64" s="122">
        <v>46266</v>
      </c>
      <c r="N64" s="122" t="s">
        <v>146</v>
      </c>
      <c r="O64" s="122" t="s">
        <v>195</v>
      </c>
      <c r="P64" s="123" t="s">
        <v>60</v>
      </c>
      <c r="Q64" s="121">
        <v>46286</v>
      </c>
      <c r="R64" s="122">
        <v>46269</v>
      </c>
      <c r="S64" s="122">
        <v>46269</v>
      </c>
      <c r="T64" s="124" t="s">
        <v>196</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154</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187</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227</v>
      </c>
      <c r="K68" s="85">
        <v>46276</v>
      </c>
      <c r="L68" s="86">
        <v>46258</v>
      </c>
      <c r="M68" s="86">
        <v>46258</v>
      </c>
      <c r="N68" s="86"/>
      <c r="O68" s="86" t="s">
        <v>195</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209</v>
      </c>
      <c r="G70" s="33"/>
      <c r="H70" s="49">
        <v>46295</v>
      </c>
      <c r="I70" s="54" t="s">
        <v>194</v>
      </c>
      <c r="J70" s="33" t="s">
        <v>65</v>
      </c>
      <c r="K70" s="4">
        <v>46276</v>
      </c>
      <c r="L70" s="36">
        <v>46262</v>
      </c>
      <c r="M70" s="36">
        <v>46276</v>
      </c>
      <c r="N70" s="46" t="s">
        <v>146</v>
      </c>
      <c r="O70" s="36" t="s">
        <v>195</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187</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187</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228</v>
      </c>
      <c r="U72" s="33" t="s">
        <v>47</v>
      </c>
      <c r="V72" s="58">
        <v>46290</v>
      </c>
      <c r="W72" s="36">
        <v>46290</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241</v>
      </c>
      <c r="J73" s="31" t="s">
        <v>76</v>
      </c>
      <c r="K73" s="43">
        <v>46304</v>
      </c>
      <c r="L73" s="43">
        <v>46259</v>
      </c>
      <c r="M73" s="46">
        <v>46259</v>
      </c>
      <c r="N73" s="44" t="s">
        <v>45</v>
      </c>
      <c r="O73" s="44" t="s">
        <v>195</v>
      </c>
      <c r="P73" s="65" t="s">
        <v>77</v>
      </c>
      <c r="Q73" s="43">
        <v>46313</v>
      </c>
      <c r="R73" s="43">
        <v>46289</v>
      </c>
      <c r="S73" s="43">
        <v>46289</v>
      </c>
      <c r="T73" s="69" t="s">
        <v>242</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241</v>
      </c>
      <c r="J74" s="53" t="s">
        <v>227</v>
      </c>
      <c r="K74" s="43">
        <v>46304</v>
      </c>
      <c r="L74" s="43">
        <v>46269</v>
      </c>
      <c r="M74" s="44">
        <v>46269</v>
      </c>
      <c r="N74" s="44"/>
      <c r="O74" s="44" t="s">
        <v>195</v>
      </c>
      <c r="P74" s="74" t="s">
        <v>77</v>
      </c>
      <c r="Q74" s="43">
        <v>46313</v>
      </c>
      <c r="R74" s="43"/>
      <c r="S74" s="44"/>
      <c r="T74" s="69" t="s">
        <v>242</v>
      </c>
      <c r="U74" s="46"/>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195</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195</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195</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187</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v>46289</v>
      </c>
      <c r="S78" s="149"/>
      <c r="T78" s="151" t="s">
        <v>242</v>
      </c>
      <c r="U78" s="152"/>
      <c r="V78" s="153">
        <v>46316</v>
      </c>
      <c r="W78" s="148"/>
      <c r="X78" s="144"/>
      <c r="Y78" s="144"/>
      <c r="Z78" s="154"/>
      <c r="AA78" s="153">
        <v>46325</v>
      </c>
      <c r="AB78" s="148"/>
      <c r="AC78" s="148"/>
      <c r="AD78" s="144" t="s">
        <v>188</v>
      </c>
      <c r="AE78" s="144" t="s">
        <v>94</v>
      </c>
      <c r="AF78" s="144"/>
      <c r="AG78" s="144"/>
      <c r="AH78" s="144"/>
      <c r="AI78" s="144"/>
      <c r="AJ78" s="144" t="s">
        <v>214</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252</v>
      </c>
      <c r="O79" s="44" t="s">
        <v>195</v>
      </c>
      <c r="P79" s="74" t="s">
        <v>60</v>
      </c>
      <c r="Q79" s="43">
        <v>46313</v>
      </c>
      <c r="R79" s="43"/>
      <c r="S79" s="44"/>
      <c r="T79" s="69" t="s">
        <v>242</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v>46287</v>
      </c>
      <c r="M81" s="149">
        <v>46287</v>
      </c>
      <c r="N81" s="149" t="s">
        <v>252</v>
      </c>
      <c r="O81" s="149" t="s">
        <v>249</v>
      </c>
      <c r="P81" s="150" t="s">
        <v>60</v>
      </c>
      <c r="Q81" s="148">
        <v>46313</v>
      </c>
      <c r="R81" s="148"/>
      <c r="S81" s="149"/>
      <c r="T81" s="167" t="s">
        <v>256</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258</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77</v>
      </c>
      <c r="Q82" s="43">
        <v>46313</v>
      </c>
      <c r="R82" s="43"/>
      <c r="S82" s="44"/>
      <c r="T82" s="68" t="s">
        <v>256</v>
      </c>
      <c r="U82" s="46"/>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252</v>
      </c>
      <c r="O83" s="44" t="s">
        <v>249</v>
      </c>
      <c r="P83" s="74" t="s">
        <v>77</v>
      </c>
      <c r="Q83" s="43">
        <v>46313</v>
      </c>
      <c r="R83" s="43"/>
      <c r="S83" s="44"/>
      <c r="T83" s="68" t="s">
        <v>256</v>
      </c>
      <c r="U83" s="46"/>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241</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209</v>
      </c>
      <c r="G85" s="31"/>
      <c r="H85" s="49">
        <v>46325</v>
      </c>
      <c r="I85" s="55" t="s">
        <v>241</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266</v>
      </c>
      <c r="J86" s="53" t="s">
        <v>84</v>
      </c>
      <c r="K86" s="49">
        <v>46332</v>
      </c>
      <c r="L86" s="43"/>
      <c r="M86" s="44"/>
      <c r="N86" s="44"/>
      <c r="O86" s="44" t="s">
        <v>249</v>
      </c>
      <c r="P86" s="74"/>
      <c r="Q86" s="49">
        <v>46339</v>
      </c>
      <c r="R86" s="43"/>
      <c r="S86" s="44"/>
      <c r="T86" s="68" t="s">
        <v>256</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266</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266</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271</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266</v>
      </c>
      <c r="J89" s="53" t="s">
        <v>227</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266</v>
      </c>
      <c r="J90" s="53" t="s">
        <v>227</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274</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266</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281</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266</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282</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266</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285</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287</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288</v>
      </c>
      <c r="K97" s="49">
        <v>46332</v>
      </c>
      <c r="L97" s="43"/>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266</v>
      </c>
      <c r="J98" s="53" t="s">
        <v>288</v>
      </c>
      <c r="K98" s="49">
        <v>46332</v>
      </c>
      <c r="L98" s="43"/>
      <c r="M98" s="44"/>
      <c r="N98" s="44"/>
      <c r="O98" s="36" t="s">
        <v>273</v>
      </c>
      <c r="P98" s="74"/>
      <c r="Q98" s="49">
        <v>46339</v>
      </c>
      <c r="R98" s="43"/>
      <c r="S98" s="44"/>
      <c r="T98" s="68" t="s">
        <v>283</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266</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296</v>
      </c>
      <c r="B101" s="31" t="s">
        <v>297</v>
      </c>
      <c r="C101" s="31" t="s">
        <v>258</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296</v>
      </c>
      <c r="B102" s="31" t="s">
        <v>300</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296</v>
      </c>
      <c r="B103" s="31" t="s">
        <v>303</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c r="K104" s="28">
        <v>46363</v>
      </c>
      <c r="L104" s="43"/>
      <c r="M104" s="31"/>
      <c r="N104" s="31"/>
      <c r="O104" s="36" t="s">
        <v>307</v>
      </c>
      <c r="P104" s="74"/>
      <c r="Q104" s="28">
        <v>46370</v>
      </c>
      <c r="R104" s="43"/>
      <c r="S104" s="31"/>
      <c r="T104" s="68" t="s">
        <v>301</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296</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307</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296</v>
      </c>
      <c r="B106" s="31" t="s">
        <v>311</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307</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296</v>
      </c>
      <c r="B107" s="31" t="s">
        <v>313</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307</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296</v>
      </c>
      <c r="B108" s="31" t="s">
        <v>315</v>
      </c>
      <c r="C108" s="31" t="s">
        <v>258</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296</v>
      </c>
      <c r="B110" s="31" t="s">
        <v>321</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autoFilter ref="Q117" xr:uid="{00000000-0001-0000-0100-000000000000}"/>
  <phoneticPr fontId="19" type="noConversion"/>
  <conditionalFormatting sqref="D2:D527">
    <cfRule type="expression" dxfId="143" priority="44">
      <formula>ISNUMBER(SEARCH("Blocked",$D2))</formula>
    </cfRule>
    <cfRule type="expression" dxfId="142" priority="45">
      <formula>ISNUMBER(SEARCH("overdue",$D2))</formula>
    </cfRule>
    <cfRule type="expression" dxfId="141" priority="46">
      <formula>ISNUMBER(SEARCH("no target",$D2))</formula>
    </cfRule>
    <cfRule type="expression" dxfId="140" priority="47">
      <formula>ISNUMBER(SEARCH("Review",$D2))</formula>
    </cfRule>
    <cfRule type="expression" dxfId="139" priority="48">
      <formula>OR($D2="On track",$D2="Delivered")</formula>
    </cfRule>
  </conditionalFormatting>
  <conditionalFormatting sqref="J2:O115">
    <cfRule type="expression" dxfId="138" priority="22">
      <formula>$AJ2="Yes – needs DB Dev to fix"</formula>
    </cfRule>
  </conditionalFormatting>
  <conditionalFormatting sqref="J116:O192">
    <cfRule type="expression" dxfId="137" priority="27">
      <formula>$AH116="Yes – needs DB Dev to fix"</formula>
    </cfRule>
  </conditionalFormatting>
  <conditionalFormatting sqref="K41">
    <cfRule type="expression" dxfId="136" priority="603">
      <formula>AND($B41&lt;&gt;"",MOD(ROW(),2)=0)</formula>
    </cfRule>
    <cfRule type="expression" dxfId="135" priority="604">
      <formula>$AJ41="Yes – needs DB Dev to fix"</formula>
    </cfRule>
  </conditionalFormatting>
  <conditionalFormatting sqref="K42">
    <cfRule type="expression" dxfId="134" priority="605">
      <formula>AND($B41&lt;&gt;"",MOD(ROW(),2)=0)</formula>
    </cfRule>
    <cfRule type="expression" dxfId="133" priority="606">
      <formula>$AJ41="Yes – needs DB Dev to fix"</formula>
    </cfRule>
  </conditionalFormatting>
  <conditionalFormatting sqref="K73:L100">
    <cfRule type="expression" dxfId="132" priority="119">
      <formula>$AF73="Yes – needs DB Dev to fix"</formula>
    </cfRule>
  </conditionalFormatting>
  <conditionalFormatting sqref="K101:L115">
    <cfRule type="expression" dxfId="131" priority="349">
      <formula>$AA101="Yes – needs DB Dev to fix"</formula>
    </cfRule>
  </conditionalFormatting>
  <conditionalFormatting sqref="K116:L527">
    <cfRule type="expression" dxfId="130" priority="576">
      <formula>$X116="Yes – needs DB Dev to fix"</formula>
    </cfRule>
  </conditionalFormatting>
  <conditionalFormatting sqref="M73">
    <cfRule type="expression" dxfId="129" priority="26">
      <formula>$AF73="Yes – needs DB Dev to fix"</formula>
    </cfRule>
  </conditionalFormatting>
  <conditionalFormatting sqref="M79">
    <cfRule type="expression" dxfId="128" priority="13">
      <formula>$AF79="Yes – needs DB Dev to fix"</formula>
    </cfRule>
  </conditionalFormatting>
  <conditionalFormatting sqref="M73:P100">
    <cfRule type="expression" dxfId="127" priority="304">
      <formula>$AD73="Yes – needs PBI Dev to fix"</formula>
    </cfRule>
  </conditionalFormatting>
  <conditionalFormatting sqref="M101:P115">
    <cfRule type="expression" dxfId="126" priority="351">
      <formula>$AA101="Yes – needs PBI Dev to fix"</formula>
    </cfRule>
  </conditionalFormatting>
  <conditionalFormatting sqref="M116:P527">
    <cfRule type="expression" dxfId="125" priority="577">
      <formula>$X116="Yes – needs PBI Dev to fix"</formula>
    </cfRule>
  </conditionalFormatting>
  <conditionalFormatting sqref="O101:O113">
    <cfRule type="expression" dxfId="124" priority="25">
      <formula>$AD101="Yes – needs PBI Dev to fix"</formula>
    </cfRule>
  </conditionalFormatting>
  <conditionalFormatting sqref="Q73:Q100">
    <cfRule type="expression" dxfId="123" priority="20">
      <formula>$AJ73="Yes – needs DB Dev to fix"</formula>
    </cfRule>
    <cfRule type="expression" dxfId="122" priority="21">
      <formula>$AF73="Yes – needs DB Dev to fix"</formula>
    </cfRule>
    <cfRule type="expression" dxfId="121" priority="123">
      <formula>$AF73="Yes – needs PBI Dev to fix"</formula>
    </cfRule>
  </conditionalFormatting>
  <conditionalFormatting sqref="Q101:R115 V101:V115 X101:X115">
    <cfRule type="expression" dxfId="120" priority="19">
      <formula>$AA101="Yes – needs QA to fix"</formula>
    </cfRule>
  </conditionalFormatting>
  <conditionalFormatting sqref="Q116:R527">
    <cfRule type="expression" dxfId="119" priority="578">
      <formula>$X116="Yes – needs QA to fix"</formula>
    </cfRule>
  </conditionalFormatting>
  <conditionalFormatting sqref="U10:V19 X10:X19 J29 M29:P29 J32:J33 M32:P33 K40:K41 M40:P41 Q65 T65:U65 V101:V115 X101:X115 Q2:U64 Q66:U115">
    <cfRule type="expression" dxfId="118" priority="34">
      <formula>$AJ2="Yes – needs PBI Dev to fix"</formula>
    </cfRule>
  </conditionalFormatting>
  <conditionalFormatting sqref="R58">
    <cfRule type="expression" dxfId="117" priority="319">
      <formula>AND($B65&lt;&gt;"",MOD(ROW(),2)=0)</formula>
    </cfRule>
    <cfRule type="expression" dxfId="116" priority="321">
      <formula>$AJ65="Yes – needs PBI Dev to fix"</formula>
    </cfRule>
  </conditionalFormatting>
  <conditionalFormatting sqref="T96:T101 R73:U100">
    <cfRule type="expression" dxfId="115" priority="125">
      <formula>$AF73="Yes – needs QA to fix"</formula>
    </cfRule>
  </conditionalFormatting>
  <conditionalFormatting sqref="S101:U115">
    <cfRule type="expression" dxfId="114" priority="365">
      <formula>$AA101="Yes – needs DPO Approval to fix"</formula>
    </cfRule>
  </conditionalFormatting>
  <conditionalFormatting sqref="S116:U527">
    <cfRule type="expression" dxfId="113" priority="579">
      <formula>$X116="Yes – needs DPO Approval to fix"</formula>
    </cfRule>
  </conditionalFormatting>
  <conditionalFormatting sqref="U101:V527 X101:X527">
    <cfRule type="expression" dxfId="112" priority="52">
      <formula>$V101="Yes"</formula>
    </cfRule>
  </conditionalFormatting>
  <conditionalFormatting sqref="U73:Y100">
    <cfRule type="expression" dxfId="111" priority="127">
      <formula>$AF73="Yes – needs DPO Approval to fix"</formula>
    </cfRule>
  </conditionalFormatting>
  <conditionalFormatting sqref="X116:X527">
    <cfRule type="expression" dxfId="110" priority="580">
      <formula>LEFT($X116,3)="Yes"</formula>
    </cfRule>
  </conditionalFormatting>
  <conditionalFormatting sqref="X73:Z100">
    <cfRule type="expression" dxfId="109" priority="479">
      <formula>$Y73="Yes"</formula>
    </cfRule>
  </conditionalFormatting>
  <conditionalFormatting sqref="Z116:AA527">
    <cfRule type="expression" dxfId="108" priority="57">
      <formula>ISNUMBER(SEARCH("Move old",$Z116))</formula>
    </cfRule>
    <cfRule type="expression" dxfId="107" priority="57">
      <formula>ISNUMBER(SEARCH("log it",$Z116))</formula>
    </cfRule>
    <cfRule type="expression" dxfId="106" priority="57">
      <formula>ISNUMBER(SEARCH("Open rework",$Z116))</formula>
    </cfRule>
    <cfRule type="expression" dxfId="105" priority="58">
      <formula>ISNUMBER(SEARCH("Duplicate",$Z116))</formula>
    </cfRule>
    <cfRule type="expression" dxfId="104" priority="59">
      <formula>$Z116&lt;&gt;""</formula>
    </cfRule>
  </conditionalFormatting>
  <conditionalFormatting sqref="Z116:AC527 G2:V40 N3:N44 L41:V42 T65:V65 G41:J42 Z2:AL2 Z3 Z4:AL41 Z42:AK42 Z43:AL44 Z45:AK47 Z101:AE115 AB3:AL3 G65:Q65 Z48:AL72 Z73:AH100 G43:V64 A2:F87 W2:Y527 A74:V527 G66:V73">
    <cfRule type="expression" dxfId="103" priority="60">
      <formula>AND($B2&lt;&gt;"",MOD(ROW(),2)=0)</formula>
    </cfRule>
  </conditionalFormatting>
  <conditionalFormatting sqref="AA3">
    <cfRule type="expression" dxfId="102" priority="607">
      <formula>AND($B3&lt;&gt;"",MOD(ROW(),2)=0)</formula>
    </cfRule>
    <cfRule type="expression" dxfId="101" priority="608">
      <formula>$AJ3="Yes – needs DPO Approval to fix"</formula>
    </cfRule>
  </conditionalFormatting>
  <conditionalFormatting sqref="AA101:AA115 U2:Z115">
    <cfRule type="expression" dxfId="100" priority="17">
      <formula>$AJ2="Yes – needs QA to fix"</formula>
    </cfRule>
  </conditionalFormatting>
  <conditionalFormatting sqref="AA101:AA115">
    <cfRule type="expression" dxfId="99" priority="14">
      <formula>$AJ101="Yes – needs PBI Dev to fix"</formula>
    </cfRule>
    <cfRule type="expression" dxfId="98" priority="15">
      <formula>$AA101="Yes – needs QA to fix"</formula>
    </cfRule>
    <cfRule type="expression" dxfId="97" priority="16">
      <formula>$V101="Yes"</formula>
    </cfRule>
    <cfRule type="expression" dxfId="96" priority="373">
      <formula>LEFT($AA101,3)="Yes"</formula>
    </cfRule>
  </conditionalFormatting>
  <conditionalFormatting sqref="AA2:AE2 AB3:AE3 AA4:AE100">
    <cfRule type="expression" dxfId="95" priority="101">
      <formula>$AJ2="Yes – needs DPO Approval to fix"</formula>
    </cfRule>
  </conditionalFormatting>
  <conditionalFormatting sqref="AB101:AC115">
    <cfRule type="expression" dxfId="94" priority="381">
      <formula>ISNUMBER(SEARCH("Open rework",$AB101))</formula>
    </cfRule>
    <cfRule type="expression" dxfId="93" priority="382">
      <formula>ISNUMBER(SEARCH("Move old",$AB101))</formula>
    </cfRule>
    <cfRule type="expression" dxfId="92" priority="383">
      <formula>ISNUMBER(SEARCH("log it",$AB101))</formula>
    </cfRule>
    <cfRule type="expression" dxfId="91" priority="384">
      <formula>ISNUMBER(SEARCH("Duplicate",$AB101))</formula>
    </cfRule>
    <cfRule type="expression" dxfId="90" priority="385">
      <formula>$AB101&lt;&gt;""</formula>
    </cfRule>
  </conditionalFormatting>
  <conditionalFormatting sqref="AF2:AF115">
    <cfRule type="expression" dxfId="89" priority="73">
      <formula>$AF2="Yes"</formula>
    </cfRule>
  </conditionalFormatting>
  <conditionalFormatting sqref="AF73:AF100">
    <cfRule type="expression" dxfId="88" priority="131">
      <formula>LEFT($AF73,3)="Yes"</formula>
    </cfRule>
  </conditionalFormatting>
  <conditionalFormatting sqref="AG73:AG100">
    <cfRule type="expression" dxfId="87" priority="137">
      <formula>ISNUMBER(SEARCH("Open rework",$AG73))</formula>
    </cfRule>
    <cfRule type="expression" dxfId="86" priority="138">
      <formula>ISNUMBER(SEARCH("Move old",$AG73))</formula>
    </cfRule>
    <cfRule type="expression" dxfId="85" priority="139">
      <formula>ISNUMBER(SEARCH("log it",$AG73))</formula>
    </cfRule>
    <cfRule type="expression" dxfId="84" priority="140">
      <formula>ISNUMBER(SEARCH("Duplicate",$AG73))</formula>
    </cfRule>
    <cfRule type="expression" dxfId="83" priority="141">
      <formula>$AG73&lt;&gt;""</formula>
    </cfRule>
  </conditionalFormatting>
  <conditionalFormatting sqref="AJ2:AJ115">
    <cfRule type="expression" dxfId="82" priority="75">
      <formula>LEFT($AJ2,3)="Yes"</formula>
    </cfRule>
  </conditionalFormatting>
  <conditionalFormatting sqref="AK2:AK115">
    <cfRule type="expression" dxfId="81" priority="81">
      <formula>ISNUMBER(SEARCH("log it",$AK2))</formula>
    </cfRule>
    <cfRule type="expression" dxfId="80" priority="82">
      <formula>ISNUMBER(SEARCH("Open rework",$AK2))</formula>
    </cfRule>
    <cfRule type="expression" dxfId="79" priority="83">
      <formula>ISNUMBER(SEARCH("Move old",$AK2))</formula>
    </cfRule>
    <cfRule type="expression" dxfId="78" priority="84">
      <formula>ISNUMBER(SEARCH("Duplicate",$AK2))</formula>
    </cfRule>
    <cfRule type="expression" dxfId="77" priority="85">
      <formula>$AK2&lt;&gt;""</formula>
    </cfRule>
  </conditionalFormatting>
  <conditionalFormatting sqref="AL45:AL47">
    <cfRule type="expression" dxfId="76" priority="24">
      <formula>AND($B49&lt;&gt;"",MOD(ROW(),2)=0)</formula>
    </cfRule>
  </conditionalFormatting>
  <conditionalFormatting sqref="D88">
    <cfRule type="expression" dxfId="75" priority="620">
      <formula>AND($B50&lt;&gt;"",MOD(ROW(),2)=0)</formula>
    </cfRule>
  </conditionalFormatting>
  <conditionalFormatting sqref="R60">
    <cfRule type="expression" dxfId="74" priority="11">
      <formula>AND($B67&lt;&gt;"",MOD(ROW(),2)=0)</formula>
    </cfRule>
    <cfRule type="expression" dxfId="73" priority="12">
      <formula>$AJ67="Yes – needs PBI Dev to fix"</formula>
    </cfRule>
  </conditionalFormatting>
  <conditionalFormatting sqref="R60:S60">
    <cfRule type="expression" dxfId="72" priority="9">
      <formula>AND($B67&lt;&gt;"",MOD(ROW(),2)=0)</formula>
    </cfRule>
    <cfRule type="expression" dxfId="71" priority="10">
      <formula>$AJ67="Yes – needs PBI Dev to fix"</formula>
    </cfRule>
  </conditionalFormatting>
  <conditionalFormatting sqref="N70">
    <cfRule type="expression" dxfId="70" priority="8">
      <formula>$AD70="Yes – needs PBI Dev to fix"</formula>
    </cfRule>
  </conditionalFormatting>
  <conditionalFormatting sqref="N58">
    <cfRule type="expression" dxfId="69" priority="7">
      <formula>$AD58="Yes – needs PBI Dev to fix"</formula>
    </cfRule>
  </conditionalFormatting>
  <conditionalFormatting sqref="M91">
    <cfRule type="expression" dxfId="68" priority="6">
      <formula>$AF91="Yes – needs DB Dev to fix"</formula>
    </cfRule>
  </conditionalFormatting>
  <conditionalFormatting sqref="M80">
    <cfRule type="expression" dxfId="67" priority="5">
      <formula>$AF80="Yes – needs DB Dev to fix"</formula>
    </cfRule>
  </conditionalFormatting>
  <conditionalFormatting sqref="N82">
    <cfRule type="expression" dxfId="66" priority="4">
      <formula>$AD82="Yes – needs PBI Dev to fix"</formula>
    </cfRule>
  </conditionalFormatting>
  <conditionalFormatting sqref="M83">
    <cfRule type="expression" dxfId="65" priority="3">
      <formula>$AF83="Yes – needs DB Dev to fix"</formula>
    </cfRule>
  </conditionalFormatting>
  <conditionalFormatting sqref="C2:C115">
    <cfRule type="expression" dxfId="64" priority="621">
      <formula>LEFT($AK2,4)="Move"</formula>
    </cfRule>
  </conditionalFormatting>
  <conditionalFormatting sqref="M84">
    <cfRule type="expression" dxfId="63" priority="2">
      <formula>$AF84="Yes – needs DB Dev to fix"</formula>
    </cfRule>
  </conditionalFormatting>
  <conditionalFormatting sqref="O101:O103">
    <cfRule type="expression" dxfId="62" priority="1">
      <formula>$AD101="Yes – needs PBI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M84 S73"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3 M85: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4"/>
      <c r="C4" s="175"/>
      <c r="D4" s="175"/>
      <c r="E4" s="175"/>
    </row>
    <row r="6" spans="1:5">
      <c r="A6" s="42" t="s">
        <v>0</v>
      </c>
      <c r="B6" s="172" t="str">
        <f>IF($B$4="","",IFERROR(INDEX('Combined Delivery Data'!$A:$A,MATCH($B$4,'Combined Delivery Data'!$B:$B,0)),""))</f>
        <v/>
      </c>
      <c r="C6" s="176"/>
      <c r="D6" s="176"/>
      <c r="E6" s="177"/>
    </row>
    <row r="7" spans="1:5">
      <c r="A7" s="42" t="s">
        <v>333</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334</v>
      </c>
      <c r="B14" s="171" t="str">
        <f>IF($B$4="","",IFERROR(INDEX('Combined Delivery Data'!$K:$K,MATCH($B$4,'Combined Delivery Data'!$B:$B,0)),""))</f>
        <v/>
      </c>
      <c r="C14" s="176"/>
      <c r="D14" s="176"/>
      <c r="E14" s="177"/>
    </row>
    <row r="15" spans="1:5">
      <c r="A15" s="42" t="s">
        <v>335</v>
      </c>
      <c r="B15" s="171" t="str">
        <f>IF($B$4="","",IFERROR(INDEX('Combined Delivery Data'!$L:$L,MATCH($B$4,'Combined Delivery Data'!$B:$B,0)),""))</f>
        <v/>
      </c>
      <c r="C15" s="176"/>
      <c r="D15" s="176"/>
      <c r="E15" s="177"/>
    </row>
    <row r="16" spans="1:5">
      <c r="A16" s="42" t="s">
        <v>336</v>
      </c>
      <c r="B16" s="171" t="str">
        <f>IF($B$4="","",IFERROR(INDEX('Combined Delivery Data'!$M:$M,MATCH($B$4,'Combined Delivery Data'!$B:$B,0)),""))</f>
        <v/>
      </c>
      <c r="C16" s="176"/>
      <c r="D16" s="176"/>
      <c r="E16" s="177"/>
    </row>
    <row r="17" spans="1:5">
      <c r="A17" s="42" t="s">
        <v>337</v>
      </c>
      <c r="B17" s="171" t="str">
        <f>IF($B$4="","",IFERROR(INDEX('Combined Delivery Data'!$O:$O,MATCH($B$4,'Combined Delivery Data'!$B:$B,0)),""))</f>
        <v/>
      </c>
      <c r="C17" s="176"/>
      <c r="D17" s="176"/>
      <c r="E17" s="177"/>
    </row>
    <row r="18" spans="1:5">
      <c r="A18" s="42" t="s">
        <v>338</v>
      </c>
      <c r="B18" s="171" t="str">
        <f>IF($B$4="","",IFERROR(INDEX('Combined Delivery Data'!$Q:$Q,MATCH($B$4,'Combined Delivery Data'!$B:$B,0)),""))</f>
        <v/>
      </c>
      <c r="C18" s="176"/>
      <c r="D18" s="176"/>
      <c r="E18" s="177"/>
    </row>
    <row r="19" spans="1:5">
      <c r="A19" s="42" t="s">
        <v>339</v>
      </c>
      <c r="B19" s="171" t="str">
        <f>IF($B$4="","",IFERROR(INDEX('Combined Delivery Data'!$R:$R,MATCH($B$4,'Combined Delivery Data'!$B:$B,0)),""))</f>
        <v/>
      </c>
      <c r="C19" s="176"/>
      <c r="D19" s="176"/>
      <c r="E19" s="177"/>
    </row>
    <row r="20" spans="1:5">
      <c r="A20" s="42" t="s">
        <v>340</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341</v>
      </c>
      <c r="B26" s="172" t="str">
        <f>IF($B$4="","",IFERROR(INDEX('Rework Log'!$Q:$Q,MATCH($B$4,'Rework Log'!$P:$P,0)),""))</f>
        <v/>
      </c>
      <c r="C26" s="176"/>
      <c r="D26" s="176"/>
      <c r="E26" s="177"/>
    </row>
    <row r="27" spans="1:5">
      <c r="A27" s="42" t="s">
        <v>342</v>
      </c>
      <c r="B27" s="172" t="str">
        <f>IF($B$4="","",IFERROR(INDEX('Rework Log'!$R:$R,MATCH($B$4,'Rework Log'!$P:$P,0)),""))</f>
        <v/>
      </c>
      <c r="C27" s="176"/>
      <c r="D27" s="176"/>
      <c r="E27" s="177"/>
    </row>
    <row r="28" spans="1:5">
      <c r="A28" s="42" t="s">
        <v>343</v>
      </c>
      <c r="B28" s="172" t="str">
        <f>IF($B$4="","",IFERROR(INDEX('Rework Log'!$S:$S,MATCH($B$4,'Rework Log'!$P:$P,0)),""))</f>
        <v/>
      </c>
      <c r="C28" s="176"/>
      <c r="D28" s="176"/>
      <c r="E28" s="177"/>
    </row>
    <row r="29" spans="1:5">
      <c r="A29" s="42" t="s">
        <v>344</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28" activePane="bottomLeft" state="frozen"/>
      <selection pane="bottomLeft" activeCell="F53" sqref="F53"/>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345</v>
      </c>
      <c r="B1" s="173"/>
      <c r="C1" s="173"/>
      <c r="D1" s="173"/>
      <c r="E1" s="173"/>
      <c r="F1" s="173"/>
      <c r="G1" s="173"/>
      <c r="H1" s="173"/>
      <c r="I1" s="173"/>
      <c r="J1" s="173"/>
      <c r="K1" s="173"/>
      <c r="L1" s="173"/>
      <c r="M1" s="173"/>
      <c r="P1" s="179" t="s">
        <v>346</v>
      </c>
      <c r="Q1" s="179"/>
      <c r="R1" s="179"/>
      <c r="S1" s="179"/>
      <c r="T1" s="179"/>
    </row>
    <row r="2" spans="1:20" ht="30" customHeight="1">
      <c r="A2" s="17" t="s">
        <v>1</v>
      </c>
      <c r="B2" s="17" t="s">
        <v>347</v>
      </c>
      <c r="C2" s="17" t="s">
        <v>348</v>
      </c>
      <c r="D2" s="17" t="s">
        <v>349</v>
      </c>
      <c r="E2" s="17" t="s">
        <v>350</v>
      </c>
      <c r="F2" s="17" t="s">
        <v>351</v>
      </c>
      <c r="G2" s="17" t="s">
        <v>352</v>
      </c>
      <c r="H2" s="56" t="s">
        <v>353</v>
      </c>
      <c r="I2" s="30" t="s">
        <v>354</v>
      </c>
      <c r="J2" s="30" t="s">
        <v>355</v>
      </c>
      <c r="K2" s="30" t="s">
        <v>356</v>
      </c>
      <c r="L2" s="30" t="s">
        <v>357</v>
      </c>
      <c r="M2" s="21" t="s">
        <v>358</v>
      </c>
      <c r="N2" s="21" t="s">
        <v>359</v>
      </c>
      <c r="P2" s="13" t="s">
        <v>1</v>
      </c>
      <c r="Q2" s="13" t="s">
        <v>341</v>
      </c>
      <c r="R2" s="13" t="s">
        <v>342</v>
      </c>
      <c r="S2" s="13" t="s">
        <v>343</v>
      </c>
      <c r="T2" s="13" t="s">
        <v>344</v>
      </c>
    </row>
    <row r="3" spans="1:20">
      <c r="A3" s="33" t="s">
        <v>142</v>
      </c>
      <c r="B3" s="36">
        <v>46230</v>
      </c>
      <c r="C3" s="33" t="s">
        <v>187</v>
      </c>
      <c r="D3" s="33" t="s">
        <v>258</v>
      </c>
      <c r="E3" s="33" t="s">
        <v>143</v>
      </c>
      <c r="F3" s="33" t="s">
        <v>360</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187</v>
      </c>
      <c r="D4" s="31" t="s">
        <v>258</v>
      </c>
      <c r="E4" s="31" t="s">
        <v>143</v>
      </c>
      <c r="F4" s="31" t="s">
        <v>361</v>
      </c>
      <c r="G4" s="31" t="s">
        <v>50</v>
      </c>
      <c r="H4" s="32" t="s">
        <v>154</v>
      </c>
      <c r="I4" s="32"/>
      <c r="J4" s="32">
        <v>46247</v>
      </c>
      <c r="K4" s="31" t="s">
        <v>60</v>
      </c>
      <c r="L4" s="31" t="s">
        <v>362</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187</v>
      </c>
      <c r="D5" s="31" t="s">
        <v>258</v>
      </c>
      <c r="E5" s="31" t="s">
        <v>129</v>
      </c>
      <c r="F5" s="31" t="s">
        <v>363</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187</v>
      </c>
      <c r="D6" s="31" t="s">
        <v>258</v>
      </c>
      <c r="E6" s="31" t="s">
        <v>129</v>
      </c>
      <c r="F6" s="31" t="s">
        <v>364</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187</v>
      </c>
      <c r="D7" s="31" t="s">
        <v>258</v>
      </c>
      <c r="E7" s="31" t="s">
        <v>129</v>
      </c>
      <c r="F7" s="31" t="s">
        <v>365</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187</v>
      </c>
      <c r="D8" s="31" t="s">
        <v>258</v>
      </c>
      <c r="E8" s="31" t="s">
        <v>129</v>
      </c>
      <c r="F8" s="31" t="s">
        <v>366</v>
      </c>
      <c r="G8" s="31" t="s">
        <v>50</v>
      </c>
      <c r="H8" s="32" t="s">
        <v>65</v>
      </c>
      <c r="I8" s="32"/>
      <c r="J8" s="32">
        <v>46251</v>
      </c>
      <c r="K8" s="31"/>
      <c r="L8" s="31"/>
      <c r="M8" s="3" t="str">
        <f t="shared" ca="1" si="4"/>
        <v>Fixed</v>
      </c>
      <c r="N8" t="s">
        <v>367</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187</v>
      </c>
      <c r="D9" s="31" t="s">
        <v>258</v>
      </c>
      <c r="E9" s="31" t="s">
        <v>143</v>
      </c>
      <c r="F9" s="31" t="s">
        <v>368</v>
      </c>
      <c r="G9" s="31" t="s">
        <v>50</v>
      </c>
      <c r="H9" s="32" t="s">
        <v>154</v>
      </c>
      <c r="I9" s="32"/>
      <c r="J9" s="32">
        <v>46254</v>
      </c>
      <c r="K9" s="31"/>
      <c r="L9" s="31"/>
      <c r="M9" s="3" t="str">
        <f t="shared" ca="1" si="4"/>
        <v>Fixed</v>
      </c>
      <c r="N9" t="s">
        <v>367</v>
      </c>
      <c r="P9" t="str">
        <f>'Combined Delivery Data'!B11</f>
        <v>RPT_04_SEI Leak Activity</v>
      </c>
      <c r="Q9">
        <f t="shared" si="0"/>
        <v>0</v>
      </c>
      <c r="R9">
        <f t="shared" si="1"/>
        <v>0</v>
      </c>
      <c r="S9" s="28" t="str">
        <f t="shared" si="2"/>
        <v/>
      </c>
      <c r="T9" t="str">
        <f t="shared" si="3"/>
        <v/>
      </c>
    </row>
    <row r="10" spans="1:20">
      <c r="A10" s="31" t="s">
        <v>142</v>
      </c>
      <c r="B10" s="32">
        <v>46237</v>
      </c>
      <c r="C10" s="31" t="s">
        <v>187</v>
      </c>
      <c r="D10" s="31" t="s">
        <v>258</v>
      </c>
      <c r="E10" s="31" t="s">
        <v>143</v>
      </c>
      <c r="F10" s="31" t="s">
        <v>361</v>
      </c>
      <c r="G10" s="31" t="s">
        <v>50</v>
      </c>
      <c r="H10" s="32" t="s">
        <v>84</v>
      </c>
      <c r="I10" s="32"/>
      <c r="J10" s="32">
        <v>46252</v>
      </c>
      <c r="K10" s="31"/>
      <c r="L10" s="31"/>
      <c r="M10" s="3" t="str">
        <f t="shared" ca="1" si="4"/>
        <v>Fixed</v>
      </c>
      <c r="N10" t="s">
        <v>367</v>
      </c>
      <c r="P10" t="str">
        <f>'Combined Delivery Data'!B12</f>
        <v>RPT_04_CMS Leak Productivity</v>
      </c>
      <c r="Q10">
        <f t="shared" si="0"/>
        <v>0</v>
      </c>
      <c r="R10">
        <f t="shared" si="1"/>
        <v>0</v>
      </c>
      <c r="S10" s="28" t="str">
        <f t="shared" si="2"/>
        <v/>
      </c>
      <c r="T10" t="str">
        <f t="shared" si="3"/>
        <v/>
      </c>
    </row>
    <row r="11" spans="1:20">
      <c r="A11" s="53" t="s">
        <v>134</v>
      </c>
      <c r="B11" s="32">
        <v>46254</v>
      </c>
      <c r="C11" s="31" t="s">
        <v>187</v>
      </c>
      <c r="D11" s="31" t="s">
        <v>258</v>
      </c>
      <c r="E11" s="31" t="s">
        <v>129</v>
      </c>
      <c r="F11" s="31" t="s">
        <v>363</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187</v>
      </c>
      <c r="D12" s="31" t="s">
        <v>258</v>
      </c>
      <c r="E12" s="31" t="s">
        <v>143</v>
      </c>
      <c r="F12" s="31" t="s">
        <v>369</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 t="shared" si="0"/>
        <v>0</v>
      </c>
      <c r="R12">
        <f t="shared" si="1"/>
        <v>0</v>
      </c>
      <c r="S12" s="28" t="str">
        <f t="shared" si="2"/>
        <v/>
      </c>
      <c r="T12" t="str">
        <f t="shared" si="3"/>
        <v/>
      </c>
    </row>
    <row r="13" spans="1:20">
      <c r="A13" s="53" t="s">
        <v>138</v>
      </c>
      <c r="B13" s="32">
        <v>46258</v>
      </c>
      <c r="C13" s="31" t="s">
        <v>187</v>
      </c>
      <c r="D13" s="31" t="s">
        <v>258</v>
      </c>
      <c r="E13" s="31" t="s">
        <v>129</v>
      </c>
      <c r="F13" s="31" t="s">
        <v>371</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187</v>
      </c>
      <c r="D14" s="31" t="s">
        <v>164</v>
      </c>
      <c r="E14" s="31" t="s">
        <v>143</v>
      </c>
      <c r="F14" s="31" t="s">
        <v>372</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187</v>
      </c>
      <c r="D15" s="31" t="s">
        <v>164</v>
      </c>
      <c r="E15" s="31" t="s">
        <v>143</v>
      </c>
      <c r="F15" s="31" t="s">
        <v>373</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187</v>
      </c>
      <c r="D16" s="31" t="s">
        <v>258</v>
      </c>
      <c r="E16" s="31" t="s">
        <v>143</v>
      </c>
      <c r="F16" s="31" t="s">
        <v>374</v>
      </c>
      <c r="G16" s="31" t="s">
        <v>50</v>
      </c>
      <c r="H16" s="32" t="s">
        <v>65</v>
      </c>
      <c r="I16" s="32"/>
      <c r="J16" s="32">
        <v>46258</v>
      </c>
      <c r="K16" s="31"/>
      <c r="L16" s="31"/>
      <c r="M16" s="3" t="str">
        <f t="shared" ca="1" si="4"/>
        <v>Fixed</v>
      </c>
      <c r="N16" t="s">
        <v>370</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187</v>
      </c>
      <c r="D17" s="31" t="s">
        <v>164</v>
      </c>
      <c r="E17" s="31" t="s">
        <v>143</v>
      </c>
      <c r="F17" s="31" t="s">
        <v>375</v>
      </c>
      <c r="G17" s="31" t="s">
        <v>50</v>
      </c>
      <c r="H17" s="32" t="s">
        <v>46</v>
      </c>
      <c r="I17" s="32"/>
      <c r="J17" s="32"/>
      <c r="K17" s="31"/>
      <c r="L17" s="31"/>
      <c r="M17" s="3"/>
      <c r="S17" s="28"/>
    </row>
    <row r="18" spans="1:20">
      <c r="A18" s="33" t="s">
        <v>181</v>
      </c>
      <c r="B18" s="32">
        <v>46261</v>
      </c>
      <c r="C18" s="31" t="s">
        <v>187</v>
      </c>
      <c r="D18" s="31" t="s">
        <v>258</v>
      </c>
      <c r="E18" s="31" t="s">
        <v>129</v>
      </c>
      <c r="F18" s="31" t="s">
        <v>376</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187</v>
      </c>
      <c r="D19" s="31" t="s">
        <v>164</v>
      </c>
      <c r="E19" s="31" t="s">
        <v>143</v>
      </c>
      <c r="F19" s="31" t="s">
        <v>377</v>
      </c>
      <c r="G19" s="31" t="s">
        <v>50</v>
      </c>
      <c r="H19" s="32" t="s">
        <v>46</v>
      </c>
      <c r="I19" s="32"/>
      <c r="J19" s="32">
        <v>46266</v>
      </c>
      <c r="K19" s="31"/>
      <c r="L19" s="31"/>
      <c r="M19" s="3" t="str">
        <f t="shared" ca="1" si="4"/>
        <v>Fixed</v>
      </c>
      <c r="N19" t="s">
        <v>367</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187</v>
      </c>
      <c r="D20" s="31" t="s">
        <v>164</v>
      </c>
      <c r="E20" s="31" t="s">
        <v>47</v>
      </c>
      <c r="F20" s="31" t="s">
        <v>378</v>
      </c>
      <c r="G20" s="31" t="s">
        <v>50</v>
      </c>
      <c r="H20" s="32" t="s">
        <v>77</v>
      </c>
      <c r="I20" s="32">
        <v>46265</v>
      </c>
      <c r="J20" s="32">
        <v>46265</v>
      </c>
      <c r="K20" s="31" t="s">
        <v>77</v>
      </c>
      <c r="L20" s="31" t="s">
        <v>379</v>
      </c>
      <c r="M20" s="3" t="str">
        <f t="shared" ca="1" si="4"/>
        <v>Fixed</v>
      </c>
      <c r="N20" t="s">
        <v>370</v>
      </c>
      <c r="P20" t="str">
        <f>'Combined Delivery Data'!B14</f>
        <v>RPT_04_Leak Summary Status</v>
      </c>
      <c r="Q20">
        <f t="shared" si="5"/>
        <v>0</v>
      </c>
      <c r="R20">
        <f t="shared" si="6"/>
        <v>0</v>
      </c>
      <c r="S20" s="28" t="str">
        <f t="shared" si="7"/>
        <v/>
      </c>
      <c r="T20" t="str">
        <f t="shared" si="8"/>
        <v/>
      </c>
    </row>
    <row r="21" spans="1:20">
      <c r="A21" s="31" t="s">
        <v>175</v>
      </c>
      <c r="B21" s="32">
        <v>46265</v>
      </c>
      <c r="C21" s="31" t="s">
        <v>187</v>
      </c>
      <c r="D21" s="31" t="s">
        <v>258</v>
      </c>
      <c r="E21" s="31" t="s">
        <v>47</v>
      </c>
      <c r="F21" s="31" t="s">
        <v>380</v>
      </c>
      <c r="G21" s="31" t="s">
        <v>50</v>
      </c>
      <c r="H21" s="32" t="s">
        <v>84</v>
      </c>
      <c r="I21" s="32">
        <v>46266</v>
      </c>
      <c r="J21" s="32">
        <v>46266</v>
      </c>
      <c r="K21" s="31"/>
      <c r="L21" s="31" t="s">
        <v>381</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187</v>
      </c>
      <c r="D22" s="31" t="s">
        <v>258</v>
      </c>
      <c r="E22" s="31" t="s">
        <v>129</v>
      </c>
      <c r="F22" s="31" t="s">
        <v>382</v>
      </c>
      <c r="G22" s="31" t="s">
        <v>50</v>
      </c>
      <c r="H22" s="32" t="s">
        <v>59</v>
      </c>
      <c r="I22" s="32"/>
      <c r="J22" s="32">
        <v>46266</v>
      </c>
      <c r="K22" s="31" t="s">
        <v>59</v>
      </c>
      <c r="L22" s="31"/>
      <c r="M22" s="3" t="str">
        <f t="shared" ca="1" si="4"/>
        <v>Fixed</v>
      </c>
      <c r="N22" t="s">
        <v>370</v>
      </c>
      <c r="P22" t="str">
        <f>'Combined Delivery Data'!B21</f>
        <v>RPT_04_Leak Life Cycle</v>
      </c>
      <c r="Q22">
        <f t="shared" si="5"/>
        <v>0</v>
      </c>
      <c r="R22">
        <f t="shared" si="6"/>
        <v>0</v>
      </c>
      <c r="S22" s="28" t="str">
        <f t="shared" si="7"/>
        <v/>
      </c>
      <c r="T22" t="str">
        <f t="shared" si="8"/>
        <v/>
      </c>
    </row>
    <row r="23" spans="1:20">
      <c r="A23" s="31" t="s">
        <v>170</v>
      </c>
      <c r="B23" s="32">
        <v>46266</v>
      </c>
      <c r="C23" s="31" t="s">
        <v>187</v>
      </c>
      <c r="D23" s="31" t="s">
        <v>164</v>
      </c>
      <c r="E23" s="31" t="s">
        <v>47</v>
      </c>
      <c r="F23" s="31" t="s">
        <v>383</v>
      </c>
      <c r="G23" s="31" t="s">
        <v>50</v>
      </c>
      <c r="H23" s="32" t="s">
        <v>46</v>
      </c>
      <c r="I23" s="32">
        <v>46267</v>
      </c>
      <c r="J23" s="32">
        <v>46268</v>
      </c>
      <c r="K23" s="31" t="s">
        <v>46</v>
      </c>
      <c r="L23" s="31" t="s">
        <v>381</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187</v>
      </c>
      <c r="D24" s="31" t="s">
        <v>164</v>
      </c>
      <c r="E24" s="31" t="s">
        <v>47</v>
      </c>
      <c r="F24" s="31" t="s">
        <v>384</v>
      </c>
      <c r="G24" s="31" t="s">
        <v>50</v>
      </c>
      <c r="H24" s="32" t="s">
        <v>46</v>
      </c>
      <c r="I24" s="168">
        <v>46267</v>
      </c>
      <c r="J24" s="32">
        <v>46268</v>
      </c>
      <c r="K24" s="31" t="s">
        <v>46</v>
      </c>
      <c r="L24" s="31" t="s">
        <v>381</v>
      </c>
      <c r="M24" s="3" t="str">
        <f t="shared" ca="1" si="4"/>
        <v>Fixed</v>
      </c>
      <c r="N24" t="s">
        <v>370</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187</v>
      </c>
      <c r="D25" s="31" t="s">
        <v>164</v>
      </c>
      <c r="E25" s="31" t="s">
        <v>47</v>
      </c>
      <c r="F25" s="76" t="s">
        <v>385</v>
      </c>
      <c r="G25" s="31" t="s">
        <v>50</v>
      </c>
      <c r="H25" s="32" t="s">
        <v>46</v>
      </c>
      <c r="I25" s="32">
        <v>46267</v>
      </c>
      <c r="J25" s="32">
        <v>46268</v>
      </c>
      <c r="K25" s="31" t="s">
        <v>46</v>
      </c>
      <c r="L25" s="31" t="s">
        <v>381</v>
      </c>
      <c r="M25" s="3" t="str">
        <f t="shared" ca="1" si="4"/>
        <v>Fixed</v>
      </c>
      <c r="N25" s="33" t="s">
        <v>370</v>
      </c>
      <c r="P25" t="str">
        <f>'Combined Delivery Data'!B24</f>
        <v>Leak 360 Dashboard</v>
      </c>
      <c r="Q25">
        <f t="shared" si="5"/>
        <v>0</v>
      </c>
      <c r="R25">
        <f t="shared" si="6"/>
        <v>0</v>
      </c>
      <c r="S25" s="28" t="str">
        <f t="shared" si="7"/>
        <v/>
      </c>
      <c r="T25" t="str">
        <f t="shared" si="8"/>
        <v/>
      </c>
    </row>
    <row r="26" spans="1:20">
      <c r="A26" s="53" t="s">
        <v>186</v>
      </c>
      <c r="B26" s="32">
        <v>46267</v>
      </c>
      <c r="C26" s="31" t="s">
        <v>187</v>
      </c>
      <c r="D26" s="31" t="s">
        <v>164</v>
      </c>
      <c r="E26" s="31" t="s">
        <v>129</v>
      </c>
      <c r="F26" s="31" t="s">
        <v>386</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22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187</v>
      </c>
      <c r="D27" s="31" t="s">
        <v>258</v>
      </c>
      <c r="E27" s="31" t="s">
        <v>129</v>
      </c>
      <c r="F27" s="31" t="s">
        <v>376</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 t="shared" si="5"/>
        <v>0</v>
      </c>
      <c r="R27">
        <f t="shared" si="6"/>
        <v>0</v>
      </c>
      <c r="S27" s="28" t="str">
        <f t="shared" si="7"/>
        <v/>
      </c>
      <c r="T27" t="str">
        <f t="shared" si="8"/>
        <v/>
      </c>
    </row>
    <row r="28" spans="1:20">
      <c r="A28" s="31" t="s">
        <v>155</v>
      </c>
      <c r="B28" s="32">
        <v>46267</v>
      </c>
      <c r="C28" s="31" t="s">
        <v>187</v>
      </c>
      <c r="D28" s="31" t="s">
        <v>164</v>
      </c>
      <c r="E28" s="31" t="s">
        <v>143</v>
      </c>
      <c r="F28" s="31" t="s">
        <v>387</v>
      </c>
      <c r="G28" s="31" t="s">
        <v>50</v>
      </c>
      <c r="H28" s="32" t="s">
        <v>77</v>
      </c>
      <c r="I28" s="32"/>
      <c r="J28" s="32">
        <v>46267</v>
      </c>
      <c r="K28" s="31" t="s">
        <v>77</v>
      </c>
      <c r="L28" s="31" t="s">
        <v>388</v>
      </c>
      <c r="M28" s="3" t="str">
        <f t="shared" ca="1" si="4"/>
        <v>Fixed</v>
      </c>
      <c r="N28" t="s">
        <v>370</v>
      </c>
      <c r="P28" t="str">
        <f>'Combined Delivery Data'!B27</f>
        <v>New Report: Leak Repair Exception</v>
      </c>
      <c r="Q28">
        <f t="shared" si="5"/>
        <v>0</v>
      </c>
      <c r="R28">
        <f t="shared" si="6"/>
        <v>0</v>
      </c>
      <c r="S28" s="28" t="str">
        <f t="shared" si="7"/>
        <v/>
      </c>
      <c r="T28" t="str">
        <f t="shared" si="8"/>
        <v/>
      </c>
    </row>
    <row r="29" spans="1:20">
      <c r="A29" s="31" t="s">
        <v>136</v>
      </c>
      <c r="B29" s="32">
        <v>46267</v>
      </c>
      <c r="C29" s="31" t="s">
        <v>187</v>
      </c>
      <c r="D29" s="31" t="s">
        <v>164</v>
      </c>
      <c r="E29" s="31" t="s">
        <v>129</v>
      </c>
      <c r="F29" s="31" t="s">
        <v>387</v>
      </c>
      <c r="G29" s="31" t="s">
        <v>50</v>
      </c>
      <c r="H29" s="32" t="s">
        <v>77</v>
      </c>
      <c r="I29" s="32"/>
      <c r="J29" s="32">
        <v>46267</v>
      </c>
      <c r="K29" s="31" t="s">
        <v>77</v>
      </c>
      <c r="L29" s="113" t="s">
        <v>388</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187</v>
      </c>
      <c r="D30" s="31" t="s">
        <v>164</v>
      </c>
      <c r="E30" s="31" t="s">
        <v>129</v>
      </c>
      <c r="F30" s="31" t="s">
        <v>387</v>
      </c>
      <c r="G30" s="31" t="s">
        <v>50</v>
      </c>
      <c r="H30" s="32" t="s">
        <v>77</v>
      </c>
      <c r="I30" s="32"/>
      <c r="J30" s="32">
        <v>46267</v>
      </c>
      <c r="K30" s="31" t="s">
        <v>77</v>
      </c>
      <c r="L30" s="113" t="s">
        <v>388</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187</v>
      </c>
      <c r="D31" s="31" t="s">
        <v>258</v>
      </c>
      <c r="E31" s="31" t="s">
        <v>129</v>
      </c>
      <c r="F31" s="31" t="s">
        <v>389</v>
      </c>
      <c r="G31" s="31" t="s">
        <v>50</v>
      </c>
      <c r="H31" s="32" t="s">
        <v>154</v>
      </c>
      <c r="I31" s="32"/>
      <c r="J31" s="32">
        <v>46267</v>
      </c>
      <c r="K31" s="31" t="s">
        <v>154</v>
      </c>
      <c r="L31" s="31"/>
      <c r="M31" s="3" t="str">
        <f t="shared" ca="1" si="4"/>
        <v>Fixed</v>
      </c>
      <c r="N31" t="s">
        <v>370</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187</v>
      </c>
      <c r="D32" s="31" t="s">
        <v>258</v>
      </c>
      <c r="E32" s="31" t="s">
        <v>47</v>
      </c>
      <c r="F32" s="31" t="s">
        <v>390</v>
      </c>
      <c r="G32" s="31" t="s">
        <v>50</v>
      </c>
      <c r="H32" s="32" t="s">
        <v>103</v>
      </c>
      <c r="I32" s="32">
        <v>46269</v>
      </c>
      <c r="J32" s="32">
        <v>46269</v>
      </c>
      <c r="K32" s="31"/>
      <c r="L32" s="31" t="s">
        <v>381</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187</v>
      </c>
      <c r="D33" s="31" t="s">
        <v>258</v>
      </c>
      <c r="E33" s="31" t="s">
        <v>200</v>
      </c>
      <c r="F33" s="31" t="s">
        <v>391</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187</v>
      </c>
      <c r="D34" s="31" t="s">
        <v>258</v>
      </c>
      <c r="E34" s="31" t="s">
        <v>47</v>
      </c>
      <c r="F34" s="31" t="s">
        <v>392</v>
      </c>
      <c r="G34" s="31" t="s">
        <v>50</v>
      </c>
      <c r="H34" s="32" t="s">
        <v>103</v>
      </c>
      <c r="I34" s="32">
        <v>46274</v>
      </c>
      <c r="J34" s="32">
        <v>46274</v>
      </c>
      <c r="K34" s="31"/>
      <c r="L34" s="31" t="s">
        <v>381</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187</v>
      </c>
      <c r="D35" s="31" t="s">
        <v>164</v>
      </c>
      <c r="E35" s="31" t="s">
        <v>47</v>
      </c>
      <c r="F35" s="76" t="s">
        <v>393</v>
      </c>
      <c r="G35" s="31" t="s">
        <v>50</v>
      </c>
      <c r="H35" s="32" t="s">
        <v>77</v>
      </c>
      <c r="I35" s="32">
        <v>46275</v>
      </c>
      <c r="J35" s="32">
        <v>46275</v>
      </c>
      <c r="K35" s="31" t="s">
        <v>77</v>
      </c>
      <c r="L35" s="31" t="s">
        <v>394</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187</v>
      </c>
      <c r="D36" s="31" t="s">
        <v>258</v>
      </c>
      <c r="E36" s="31" t="s">
        <v>129</v>
      </c>
      <c r="F36" s="31" t="s">
        <v>395</v>
      </c>
      <c r="G36" s="31" t="s">
        <v>50</v>
      </c>
      <c r="H36" s="32" t="s">
        <v>154</v>
      </c>
      <c r="I36" s="32"/>
      <c r="J36" s="32">
        <v>46276</v>
      </c>
      <c r="K36" s="31" t="s">
        <v>154</v>
      </c>
      <c r="L36" s="31"/>
      <c r="M36" s="3" t="str">
        <f t="shared" ca="1" si="4"/>
        <v>Fixed</v>
      </c>
      <c r="N36" t="s">
        <v>370</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187</v>
      </c>
      <c r="D37" s="31" t="s">
        <v>258</v>
      </c>
      <c r="E37" s="31" t="s">
        <v>129</v>
      </c>
      <c r="F37" s="31" t="s">
        <v>396</v>
      </c>
      <c r="G37" s="31" t="s">
        <v>53</v>
      </c>
      <c r="H37" s="32" t="s">
        <v>65</v>
      </c>
      <c r="I37" s="32"/>
      <c r="J37" s="32">
        <v>46288</v>
      </c>
      <c r="K37" s="31"/>
      <c r="L37" s="31"/>
      <c r="M37" s="3" t="str">
        <f t="shared" ca="1" si="4"/>
        <v>Fixed</v>
      </c>
      <c r="N37" t="s">
        <v>370</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187</v>
      </c>
      <c r="D38" s="31" t="s">
        <v>258</v>
      </c>
      <c r="E38" s="31" t="s">
        <v>129</v>
      </c>
      <c r="F38" s="31" t="s">
        <v>397</v>
      </c>
      <c r="G38" s="31" t="s">
        <v>50</v>
      </c>
      <c r="H38" s="32" t="s">
        <v>154</v>
      </c>
      <c r="I38" s="32">
        <v>46282</v>
      </c>
      <c r="J38" s="32">
        <v>46282</v>
      </c>
      <c r="K38" s="31" t="s">
        <v>154</v>
      </c>
      <c r="L38" s="31" t="s">
        <v>398</v>
      </c>
      <c r="M38" s="3" t="str">
        <f t="shared" ca="1" si="4"/>
        <v>Fixed</v>
      </c>
      <c r="N38" t="s">
        <v>370</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187</v>
      </c>
      <c r="D39" s="31" t="s">
        <v>164</v>
      </c>
      <c r="E39" s="31" t="s">
        <v>143</v>
      </c>
      <c r="F39" s="31" t="s">
        <v>399</v>
      </c>
      <c r="G39" s="31" t="s">
        <v>50</v>
      </c>
      <c r="H39" s="32" t="s">
        <v>77</v>
      </c>
      <c r="I39" s="32">
        <v>46281</v>
      </c>
      <c r="J39" s="32">
        <v>46281</v>
      </c>
      <c r="K39" s="31" t="s">
        <v>77</v>
      </c>
      <c r="L39" s="31" t="s">
        <v>400</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187</v>
      </c>
      <c r="D40" s="31" t="s">
        <v>258</v>
      </c>
      <c r="E40" s="31" t="s">
        <v>47</v>
      </c>
      <c r="F40" s="31" t="s">
        <v>401</v>
      </c>
      <c r="G40" s="31" t="s">
        <v>50</v>
      </c>
      <c r="H40" s="32" t="s">
        <v>44</v>
      </c>
      <c r="I40" s="32">
        <v>46283</v>
      </c>
      <c r="J40" s="32">
        <v>46283</v>
      </c>
      <c r="K40" s="31"/>
      <c r="L40" s="31" t="s">
        <v>402</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187</v>
      </c>
      <c r="D41" s="31" t="s">
        <v>164</v>
      </c>
      <c r="E41" s="31" t="s">
        <v>200</v>
      </c>
      <c r="F41" s="31" t="s">
        <v>403</v>
      </c>
      <c r="G41" s="31" t="s">
        <v>50</v>
      </c>
      <c r="H41" s="32" t="s">
        <v>46</v>
      </c>
      <c r="I41" s="32"/>
      <c r="J41" s="32"/>
      <c r="K41" s="31"/>
      <c r="L41" s="31"/>
      <c r="M41" s="3" t="str">
        <f t="shared" ca="1" si="4"/>
        <v>UNCLAIMED 8 d</v>
      </c>
      <c r="P41" t="str">
        <f>'Combined Delivery Data'!B41</f>
        <v>RPT_02_GRO Control</v>
      </c>
      <c r="Q41">
        <f t="shared" si="5"/>
        <v>0</v>
      </c>
      <c r="R41">
        <f t="shared" si="6"/>
        <v>0</v>
      </c>
      <c r="S41" s="28" t="str">
        <f t="shared" si="7"/>
        <v/>
      </c>
      <c r="T41" t="str">
        <f t="shared" si="8"/>
        <v/>
      </c>
    </row>
    <row r="42" spans="1:20" hidden="1">
      <c r="A42" s="31" t="s">
        <v>210</v>
      </c>
      <c r="B42" s="32">
        <v>46282</v>
      </c>
      <c r="C42" s="31" t="s">
        <v>187</v>
      </c>
      <c r="D42" s="31" t="s">
        <v>258</v>
      </c>
      <c r="E42" s="31" t="s">
        <v>47</v>
      </c>
      <c r="F42" s="31" t="s">
        <v>404</v>
      </c>
      <c r="G42" s="31" t="s">
        <v>50</v>
      </c>
      <c r="H42" s="32" t="s">
        <v>154</v>
      </c>
      <c r="I42" s="32">
        <v>46282</v>
      </c>
      <c r="J42" s="32">
        <v>46282</v>
      </c>
      <c r="K42" s="31"/>
      <c r="L42" s="31" t="s">
        <v>405</v>
      </c>
      <c r="M42" s="3" t="str">
        <f t="shared" ca="1" si="4"/>
        <v>Fixed</v>
      </c>
      <c r="P42" t="str">
        <f>'Combined Delivery Data'!B42</f>
        <v>RPT_02_GRO Monitor</v>
      </c>
      <c r="Q42">
        <f t="shared" si="5"/>
        <v>0</v>
      </c>
      <c r="R42">
        <f t="shared" si="6"/>
        <v>0</v>
      </c>
      <c r="S42" s="28" t="str">
        <f t="shared" si="7"/>
        <v/>
      </c>
      <c r="T42" t="str">
        <f t="shared" si="8"/>
        <v/>
      </c>
    </row>
    <row r="43" spans="1:20" ht="15">
      <c r="A43" s="33" t="s">
        <v>212</v>
      </c>
      <c r="B43" s="32">
        <v>46287</v>
      </c>
      <c r="C43" s="31" t="s">
        <v>187</v>
      </c>
      <c r="D43" s="31" t="s">
        <v>258</v>
      </c>
      <c r="E43" s="31" t="s">
        <v>129</v>
      </c>
      <c r="F43" s="31" t="s">
        <v>406</v>
      </c>
      <c r="G43" s="31" t="s">
        <v>53</v>
      </c>
      <c r="H43" s="32"/>
      <c r="I43" s="32"/>
      <c r="J43" s="32"/>
      <c r="K43" s="31"/>
      <c r="L43" s="31"/>
      <c r="M43" s="3" t="str">
        <f t="shared" ca="1" si="4"/>
        <v>UNCLAIMED 2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407</v>
      </c>
      <c r="G44" s="31" t="s">
        <v>53</v>
      </c>
      <c r="H44" s="32"/>
      <c r="I44" s="32"/>
      <c r="J44" s="32"/>
      <c r="K44" s="31"/>
      <c r="L44" s="31"/>
      <c r="M44" s="3" t="str">
        <f t="shared" ca="1" si="4"/>
        <v>UNCLAIMED 1 d</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187</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187</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187</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187</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187</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187</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187</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187</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187</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187</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187</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187</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187</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187</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187</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187</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187</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187</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187</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187</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187</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187</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187</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187</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187</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187</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187</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187</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187</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187</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187</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187</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187</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187</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187</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187</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187</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187</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187</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187</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187</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187</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187</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187</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187</v>
      </c>
      <c r="D89" s="31"/>
      <c r="E89" s="31"/>
      <c r="F89" s="31"/>
      <c r="G89" s="31" t="s">
        <v>53</v>
      </c>
      <c r="H89" s="32"/>
      <c r="I89" s="32"/>
      <c r="J89" s="32"/>
      <c r="K89" s="31"/>
      <c r="L89" s="31"/>
      <c r="M89" s="3" t="str">
        <f t="shared" ca="1" si="10"/>
        <v/>
      </c>
      <c r="P89">
        <f>'Combined Delivery Data'!B116</f>
        <v>0</v>
      </c>
      <c r="Q89">
        <f t="shared" si="11"/>
        <v>0</v>
      </c>
      <c r="R89">
        <f t="shared" si="12"/>
        <v>454</v>
      </c>
      <c r="S89" s="28">
        <f t="shared" si="13"/>
        <v>0</v>
      </c>
      <c r="T89" t="str">
        <f t="shared" si="14"/>
        <v xml:space="preserve"> -&gt; </v>
      </c>
    </row>
    <row r="90" spans="1:20">
      <c r="A90" s="31"/>
      <c r="B90" s="32"/>
      <c r="C90" s="31" t="s">
        <v>187</v>
      </c>
      <c r="D90" s="31"/>
      <c r="E90" s="31"/>
      <c r="F90" s="31"/>
      <c r="G90" s="31" t="s">
        <v>53</v>
      </c>
      <c r="H90" s="32"/>
      <c r="I90" s="32"/>
      <c r="J90" s="32"/>
      <c r="K90" s="31"/>
      <c r="L90" s="31"/>
      <c r="M90" s="3" t="str">
        <f t="shared" ca="1" si="10"/>
        <v/>
      </c>
      <c r="P90">
        <f>'Combined Delivery Data'!B117</f>
        <v>0</v>
      </c>
      <c r="Q90">
        <f t="shared" si="11"/>
        <v>0</v>
      </c>
      <c r="R90">
        <f t="shared" si="12"/>
        <v>454</v>
      </c>
      <c r="S90" s="28">
        <f t="shared" si="13"/>
        <v>0</v>
      </c>
      <c r="T90" t="str">
        <f t="shared" si="14"/>
        <v xml:space="preserve"> -&gt; </v>
      </c>
    </row>
    <row r="91" spans="1:20">
      <c r="A91" s="31"/>
      <c r="B91" s="32"/>
      <c r="C91" s="31" t="s">
        <v>187</v>
      </c>
      <c r="D91" s="31"/>
      <c r="E91" s="31"/>
      <c r="F91" s="31"/>
      <c r="G91" s="31" t="s">
        <v>53</v>
      </c>
      <c r="H91" s="32"/>
      <c r="I91" s="32"/>
      <c r="J91" s="32"/>
      <c r="K91" s="31"/>
      <c r="L91" s="31"/>
      <c r="M91" s="3" t="str">
        <f t="shared" ca="1" si="10"/>
        <v/>
      </c>
      <c r="P91">
        <f>'Combined Delivery Data'!B118</f>
        <v>0</v>
      </c>
      <c r="Q91">
        <f t="shared" si="11"/>
        <v>0</v>
      </c>
      <c r="R91">
        <f t="shared" si="12"/>
        <v>454</v>
      </c>
      <c r="S91" s="28">
        <f t="shared" si="13"/>
        <v>0</v>
      </c>
      <c r="T91" t="str">
        <f t="shared" si="14"/>
        <v xml:space="preserve"> -&gt; </v>
      </c>
    </row>
    <row r="92" spans="1:20">
      <c r="A92" s="31"/>
      <c r="B92" s="32"/>
      <c r="C92" s="31" t="s">
        <v>187</v>
      </c>
      <c r="D92" s="31"/>
      <c r="E92" s="31"/>
      <c r="F92" s="31"/>
      <c r="G92" s="31" t="s">
        <v>53</v>
      </c>
      <c r="H92" s="32"/>
      <c r="I92" s="32"/>
      <c r="J92" s="32"/>
      <c r="K92" s="31"/>
      <c r="L92" s="31"/>
      <c r="M92" s="3" t="str">
        <f t="shared" ca="1" si="10"/>
        <v/>
      </c>
      <c r="P92">
        <f>'Combined Delivery Data'!B119</f>
        <v>0</v>
      </c>
      <c r="Q92">
        <f t="shared" si="11"/>
        <v>0</v>
      </c>
      <c r="R92">
        <f t="shared" si="12"/>
        <v>454</v>
      </c>
      <c r="S92" s="28">
        <f t="shared" si="13"/>
        <v>0</v>
      </c>
      <c r="T92" t="str">
        <f t="shared" si="14"/>
        <v xml:space="preserve"> -&gt; </v>
      </c>
    </row>
    <row r="93" spans="1:20">
      <c r="A93" s="31"/>
      <c r="B93" s="32"/>
      <c r="C93" s="31" t="s">
        <v>187</v>
      </c>
      <c r="D93" s="31"/>
      <c r="E93" s="31"/>
      <c r="F93" s="31"/>
      <c r="G93" s="31" t="s">
        <v>53</v>
      </c>
      <c r="H93" s="32"/>
      <c r="I93" s="32"/>
      <c r="J93" s="32"/>
      <c r="K93" s="31"/>
      <c r="L93" s="31"/>
      <c r="M93" s="3" t="str">
        <f t="shared" ca="1" si="10"/>
        <v/>
      </c>
      <c r="P93">
        <f>'Combined Delivery Data'!B120</f>
        <v>0</v>
      </c>
      <c r="Q93">
        <f t="shared" si="11"/>
        <v>0</v>
      </c>
      <c r="R93">
        <f t="shared" si="12"/>
        <v>454</v>
      </c>
      <c r="S93" s="28">
        <f t="shared" si="13"/>
        <v>0</v>
      </c>
      <c r="T93" t="str">
        <f t="shared" si="14"/>
        <v xml:space="preserve"> -&gt; </v>
      </c>
    </row>
    <row r="94" spans="1:20">
      <c r="A94" s="31"/>
      <c r="B94" s="32"/>
      <c r="C94" s="31" t="s">
        <v>187</v>
      </c>
      <c r="D94" s="31"/>
      <c r="E94" s="31"/>
      <c r="F94" s="31"/>
      <c r="G94" s="31" t="s">
        <v>53</v>
      </c>
      <c r="H94" s="32"/>
      <c r="I94" s="32"/>
      <c r="J94" s="32"/>
      <c r="K94" s="31"/>
      <c r="L94" s="31"/>
      <c r="M94" s="3" t="str">
        <f t="shared" ca="1" si="10"/>
        <v/>
      </c>
      <c r="P94">
        <f>'Combined Delivery Data'!B121</f>
        <v>0</v>
      </c>
      <c r="Q94">
        <f t="shared" si="11"/>
        <v>0</v>
      </c>
      <c r="R94">
        <f t="shared" si="12"/>
        <v>454</v>
      </c>
      <c r="S94" s="28">
        <f t="shared" si="13"/>
        <v>0</v>
      </c>
      <c r="T94" t="str">
        <f t="shared" si="14"/>
        <v xml:space="preserve"> -&gt; </v>
      </c>
    </row>
    <row r="95" spans="1:20">
      <c r="A95" s="31"/>
      <c r="B95" s="32"/>
      <c r="C95" s="31" t="s">
        <v>187</v>
      </c>
      <c r="D95" s="31"/>
      <c r="E95" s="31"/>
      <c r="F95" s="31"/>
      <c r="G95" s="31" t="s">
        <v>53</v>
      </c>
      <c r="H95" s="32"/>
      <c r="I95" s="32"/>
      <c r="J95" s="32"/>
      <c r="K95" s="31"/>
      <c r="L95" s="31"/>
      <c r="M95" s="3" t="str">
        <f t="shared" ca="1" si="10"/>
        <v/>
      </c>
      <c r="P95">
        <f>'Combined Delivery Data'!B122</f>
        <v>0</v>
      </c>
      <c r="Q95">
        <f t="shared" si="11"/>
        <v>0</v>
      </c>
      <c r="R95">
        <f t="shared" si="12"/>
        <v>454</v>
      </c>
      <c r="S95" s="28">
        <f t="shared" si="13"/>
        <v>0</v>
      </c>
      <c r="T95" t="str">
        <f t="shared" si="14"/>
        <v xml:space="preserve"> -&gt; </v>
      </c>
    </row>
    <row r="96" spans="1:20">
      <c r="A96" s="31"/>
      <c r="B96" s="32"/>
      <c r="C96" s="31" t="s">
        <v>187</v>
      </c>
      <c r="D96" s="31"/>
      <c r="E96" s="31"/>
      <c r="F96" s="31"/>
      <c r="G96" s="31" t="s">
        <v>53</v>
      </c>
      <c r="H96" s="32"/>
      <c r="I96" s="32"/>
      <c r="J96" s="32"/>
      <c r="K96" s="31"/>
      <c r="L96" s="31"/>
      <c r="M96" s="3" t="str">
        <f t="shared" ca="1" si="10"/>
        <v/>
      </c>
      <c r="P96">
        <f>'Combined Delivery Data'!B123</f>
        <v>0</v>
      </c>
      <c r="Q96">
        <f t="shared" si="11"/>
        <v>0</v>
      </c>
      <c r="R96">
        <f t="shared" si="12"/>
        <v>454</v>
      </c>
      <c r="S96" s="28">
        <f t="shared" si="13"/>
        <v>0</v>
      </c>
      <c r="T96" t="str">
        <f t="shared" si="14"/>
        <v xml:space="preserve"> -&gt; </v>
      </c>
    </row>
    <row r="97" spans="1:20">
      <c r="A97" s="31"/>
      <c r="B97" s="32"/>
      <c r="C97" s="31" t="s">
        <v>187</v>
      </c>
      <c r="D97" s="31"/>
      <c r="E97" s="31"/>
      <c r="F97" s="31"/>
      <c r="G97" s="31" t="s">
        <v>53</v>
      </c>
      <c r="H97" s="32"/>
      <c r="I97" s="32"/>
      <c r="J97" s="32"/>
      <c r="K97" s="31"/>
      <c r="L97" s="31"/>
      <c r="M97" s="3" t="str">
        <f t="shared" ca="1" si="10"/>
        <v/>
      </c>
      <c r="P97">
        <f>'Combined Delivery Data'!B124</f>
        <v>0</v>
      </c>
      <c r="Q97">
        <f t="shared" si="11"/>
        <v>0</v>
      </c>
      <c r="R97">
        <f t="shared" si="12"/>
        <v>454</v>
      </c>
      <c r="S97" s="28">
        <f t="shared" si="13"/>
        <v>0</v>
      </c>
      <c r="T97" t="str">
        <f t="shared" si="14"/>
        <v xml:space="preserve"> -&gt; </v>
      </c>
    </row>
    <row r="98" spans="1:20">
      <c r="A98" s="31"/>
      <c r="B98" s="32"/>
      <c r="C98" s="31" t="s">
        <v>187</v>
      </c>
      <c r="D98" s="31"/>
      <c r="E98" s="31"/>
      <c r="F98" s="31"/>
      <c r="G98" s="31" t="s">
        <v>53</v>
      </c>
      <c r="H98" s="32"/>
      <c r="I98" s="32"/>
      <c r="J98" s="32"/>
      <c r="K98" s="31"/>
      <c r="L98" s="31"/>
      <c r="M98" s="3" t="str">
        <f t="shared" ca="1" si="10"/>
        <v/>
      </c>
      <c r="P98">
        <f>'Combined Delivery Data'!B125</f>
        <v>0</v>
      </c>
      <c r="Q98">
        <f t="shared" si="11"/>
        <v>0</v>
      </c>
      <c r="R98">
        <f t="shared" si="12"/>
        <v>454</v>
      </c>
      <c r="S98" s="28">
        <f t="shared" si="13"/>
        <v>0</v>
      </c>
      <c r="T98" t="str">
        <f t="shared" si="14"/>
        <v xml:space="preserve"> -&gt; </v>
      </c>
    </row>
    <row r="99" spans="1:20">
      <c r="A99" s="31"/>
      <c r="B99" s="32"/>
      <c r="C99" s="31" t="s">
        <v>187</v>
      </c>
      <c r="D99" s="31"/>
      <c r="E99" s="31"/>
      <c r="F99" s="31"/>
      <c r="G99" s="31" t="s">
        <v>53</v>
      </c>
      <c r="H99" s="32"/>
      <c r="I99" s="32"/>
      <c r="J99" s="32"/>
      <c r="K99" s="31"/>
      <c r="L99" s="31"/>
      <c r="M99" s="3" t="str">
        <f t="shared" ca="1" si="10"/>
        <v/>
      </c>
      <c r="P99">
        <f>'Combined Delivery Data'!B126</f>
        <v>0</v>
      </c>
      <c r="Q99">
        <f t="shared" si="11"/>
        <v>0</v>
      </c>
      <c r="R99">
        <f t="shared" si="12"/>
        <v>454</v>
      </c>
      <c r="S99" s="28">
        <f t="shared" si="13"/>
        <v>0</v>
      </c>
      <c r="T99" t="str">
        <f t="shared" si="14"/>
        <v xml:space="preserve"> -&gt; </v>
      </c>
    </row>
    <row r="100" spans="1:20">
      <c r="A100" s="31"/>
      <c r="B100" s="32"/>
      <c r="C100" s="31" t="s">
        <v>187</v>
      </c>
      <c r="D100" s="31"/>
      <c r="E100" s="31"/>
      <c r="F100" s="31"/>
      <c r="G100" s="31" t="s">
        <v>53</v>
      </c>
      <c r="H100" s="32"/>
      <c r="I100" s="32"/>
      <c r="J100" s="32"/>
      <c r="K100" s="31"/>
      <c r="L100" s="31"/>
      <c r="M100" s="3" t="str">
        <f t="shared" ca="1" si="10"/>
        <v/>
      </c>
      <c r="P100">
        <f>'Combined Delivery Data'!B127</f>
        <v>0</v>
      </c>
      <c r="Q100">
        <f t="shared" si="11"/>
        <v>0</v>
      </c>
      <c r="R100">
        <f t="shared" si="12"/>
        <v>454</v>
      </c>
      <c r="S100" s="28">
        <f t="shared" si="13"/>
        <v>0</v>
      </c>
      <c r="T100" t="str">
        <f t="shared" si="14"/>
        <v xml:space="preserve"> -&gt; </v>
      </c>
    </row>
    <row r="101" spans="1:20">
      <c r="A101" s="31"/>
      <c r="B101" s="32"/>
      <c r="C101" s="31" t="s">
        <v>187</v>
      </c>
      <c r="D101" s="31"/>
      <c r="E101" s="31"/>
      <c r="F101" s="31"/>
      <c r="G101" s="31" t="s">
        <v>53</v>
      </c>
      <c r="H101" s="32"/>
      <c r="I101" s="32"/>
      <c r="J101" s="32"/>
      <c r="K101" s="31"/>
      <c r="L101" s="31"/>
      <c r="M101" s="3" t="str">
        <f t="shared" ca="1" si="10"/>
        <v/>
      </c>
      <c r="P101">
        <f>'Combined Delivery Data'!B128</f>
        <v>0</v>
      </c>
      <c r="Q101">
        <f t="shared" si="11"/>
        <v>0</v>
      </c>
      <c r="R101">
        <f t="shared" si="12"/>
        <v>454</v>
      </c>
      <c r="S101" s="28">
        <f t="shared" si="13"/>
        <v>0</v>
      </c>
      <c r="T101" t="str">
        <f t="shared" si="14"/>
        <v xml:space="preserve"> -&gt; </v>
      </c>
    </row>
    <row r="102" spans="1:20">
      <c r="A102" s="31"/>
      <c r="B102" s="32"/>
      <c r="C102" s="31" t="s">
        <v>187</v>
      </c>
      <c r="D102" s="31"/>
      <c r="E102" s="31"/>
      <c r="F102" s="31"/>
      <c r="G102" s="31" t="s">
        <v>53</v>
      </c>
      <c r="H102" s="32"/>
      <c r="I102" s="32"/>
      <c r="J102" s="32"/>
      <c r="K102" s="31"/>
      <c r="L102" s="31"/>
      <c r="M102" s="3" t="str">
        <f t="shared" ca="1" si="10"/>
        <v/>
      </c>
      <c r="P102">
        <f>'Combined Delivery Data'!B129</f>
        <v>0</v>
      </c>
      <c r="Q102">
        <f t="shared" si="11"/>
        <v>0</v>
      </c>
      <c r="R102">
        <f t="shared" si="12"/>
        <v>454</v>
      </c>
      <c r="S102" s="28">
        <f t="shared" si="13"/>
        <v>0</v>
      </c>
      <c r="T102" t="str">
        <f t="shared" si="14"/>
        <v xml:space="preserve"> -&gt; </v>
      </c>
    </row>
    <row r="103" spans="1:20">
      <c r="A103" s="31"/>
      <c r="B103" s="32"/>
      <c r="C103" s="31" t="s">
        <v>187</v>
      </c>
      <c r="D103" s="31"/>
      <c r="E103" s="31"/>
      <c r="F103" s="31"/>
      <c r="G103" s="31" t="s">
        <v>53</v>
      </c>
      <c r="H103" s="32"/>
      <c r="I103" s="32"/>
      <c r="J103" s="32"/>
      <c r="K103" s="31"/>
      <c r="L103" s="31"/>
      <c r="M103" s="3" t="str">
        <f t="shared" ca="1" si="10"/>
        <v/>
      </c>
      <c r="P103">
        <f>'Combined Delivery Data'!B130</f>
        <v>0</v>
      </c>
      <c r="Q103">
        <f t="shared" si="11"/>
        <v>0</v>
      </c>
      <c r="R103">
        <f t="shared" si="12"/>
        <v>454</v>
      </c>
      <c r="S103" s="28">
        <f t="shared" si="13"/>
        <v>0</v>
      </c>
      <c r="T103" t="str">
        <f t="shared" si="14"/>
        <v xml:space="preserve"> -&gt; </v>
      </c>
    </row>
    <row r="104" spans="1:20">
      <c r="A104" s="31"/>
      <c r="B104" s="32"/>
      <c r="C104" s="31" t="s">
        <v>187</v>
      </c>
      <c r="D104" s="31"/>
      <c r="E104" s="31"/>
      <c r="F104" s="31"/>
      <c r="G104" s="31" t="s">
        <v>53</v>
      </c>
      <c r="H104" s="32"/>
      <c r="I104" s="32"/>
      <c r="J104" s="32"/>
      <c r="K104" s="31"/>
      <c r="L104" s="31"/>
      <c r="M104" s="3" t="str">
        <f t="shared" ca="1" si="10"/>
        <v/>
      </c>
      <c r="P104">
        <f>'Combined Delivery Data'!B131</f>
        <v>0</v>
      </c>
      <c r="Q104">
        <f t="shared" si="11"/>
        <v>0</v>
      </c>
      <c r="R104">
        <f t="shared" si="12"/>
        <v>454</v>
      </c>
      <c r="S104" s="28">
        <f t="shared" si="13"/>
        <v>0</v>
      </c>
      <c r="T104" t="str">
        <f t="shared" si="14"/>
        <v xml:space="preserve"> -&gt; </v>
      </c>
    </row>
    <row r="105" spans="1:20">
      <c r="A105" s="31"/>
      <c r="B105" s="32"/>
      <c r="C105" s="31" t="s">
        <v>187</v>
      </c>
      <c r="D105" s="31"/>
      <c r="E105" s="31"/>
      <c r="F105" s="31"/>
      <c r="G105" s="31" t="s">
        <v>53</v>
      </c>
      <c r="H105" s="32"/>
      <c r="I105" s="32"/>
      <c r="J105" s="32"/>
      <c r="K105" s="31"/>
      <c r="L105" s="31"/>
      <c r="M105" s="3" t="str">
        <f t="shared" ca="1" si="10"/>
        <v/>
      </c>
      <c r="P105">
        <f>'Combined Delivery Data'!B133</f>
        <v>0</v>
      </c>
      <c r="Q105">
        <f t="shared" si="11"/>
        <v>0</v>
      </c>
      <c r="R105">
        <f t="shared" si="12"/>
        <v>454</v>
      </c>
      <c r="S105" s="28">
        <f t="shared" si="13"/>
        <v>0</v>
      </c>
      <c r="T105" t="str">
        <f t="shared" si="14"/>
        <v xml:space="preserve"> -&gt; </v>
      </c>
    </row>
    <row r="106" spans="1:20">
      <c r="A106" s="31"/>
      <c r="B106" s="32"/>
      <c r="C106" s="31" t="s">
        <v>187</v>
      </c>
      <c r="D106" s="31"/>
      <c r="E106" s="31"/>
      <c r="F106" s="31"/>
      <c r="G106" s="31" t="s">
        <v>53</v>
      </c>
      <c r="H106" s="32"/>
      <c r="I106" s="32"/>
      <c r="J106" s="32"/>
      <c r="K106" s="31"/>
      <c r="L106" s="31"/>
      <c r="M106" s="3" t="str">
        <f t="shared" ca="1" si="10"/>
        <v/>
      </c>
      <c r="P106">
        <f>'Combined Delivery Data'!B134</f>
        <v>0</v>
      </c>
      <c r="Q106">
        <f t="shared" si="11"/>
        <v>0</v>
      </c>
      <c r="R106">
        <f t="shared" si="12"/>
        <v>454</v>
      </c>
      <c r="S106" s="28">
        <f t="shared" si="13"/>
        <v>0</v>
      </c>
      <c r="T106" t="str">
        <f t="shared" si="14"/>
        <v xml:space="preserve"> -&gt; </v>
      </c>
    </row>
    <row r="107" spans="1:20">
      <c r="A107" s="31"/>
      <c r="B107" s="32"/>
      <c r="C107" s="31" t="s">
        <v>187</v>
      </c>
      <c r="D107" s="31"/>
      <c r="E107" s="31"/>
      <c r="F107" s="31"/>
      <c r="G107" s="31" t="s">
        <v>53</v>
      </c>
      <c r="H107" s="32"/>
      <c r="I107" s="32"/>
      <c r="J107" s="32"/>
      <c r="K107" s="31"/>
      <c r="L107" s="31"/>
      <c r="M107" s="3" t="str">
        <f t="shared" ca="1" si="10"/>
        <v/>
      </c>
      <c r="P107">
        <f>'Combined Delivery Data'!B135</f>
        <v>0</v>
      </c>
      <c r="Q107">
        <f t="shared" si="11"/>
        <v>0</v>
      </c>
      <c r="R107">
        <f t="shared" si="12"/>
        <v>454</v>
      </c>
      <c r="S107" s="28">
        <f t="shared" si="13"/>
        <v>0</v>
      </c>
      <c r="T107" t="str">
        <f t="shared" si="14"/>
        <v xml:space="preserve"> -&gt; </v>
      </c>
    </row>
    <row r="108" spans="1:20">
      <c r="A108" s="31"/>
      <c r="B108" s="32"/>
      <c r="C108" s="31" t="s">
        <v>187</v>
      </c>
      <c r="D108" s="31"/>
      <c r="E108" s="31"/>
      <c r="F108" s="31"/>
      <c r="G108" s="31" t="s">
        <v>53</v>
      </c>
      <c r="H108" s="32"/>
      <c r="I108" s="32"/>
      <c r="J108" s="32"/>
      <c r="K108" s="31"/>
      <c r="L108" s="31"/>
      <c r="M108" s="3" t="str">
        <f t="shared" ca="1" si="10"/>
        <v/>
      </c>
      <c r="P108">
        <f>'Combined Delivery Data'!B136</f>
        <v>0</v>
      </c>
      <c r="Q108">
        <f t="shared" si="11"/>
        <v>0</v>
      </c>
      <c r="R108">
        <f t="shared" si="12"/>
        <v>454</v>
      </c>
      <c r="S108" s="28">
        <f t="shared" si="13"/>
        <v>0</v>
      </c>
      <c r="T108" t="str">
        <f t="shared" si="14"/>
        <v xml:space="preserve"> -&gt; </v>
      </c>
    </row>
    <row r="109" spans="1:20">
      <c r="A109" s="31"/>
      <c r="B109" s="32"/>
      <c r="C109" s="31" t="s">
        <v>187</v>
      </c>
      <c r="D109" s="31"/>
      <c r="E109" s="31"/>
      <c r="F109" s="31"/>
      <c r="G109" s="31" t="s">
        <v>53</v>
      </c>
      <c r="H109" s="32"/>
      <c r="I109" s="32"/>
      <c r="J109" s="32"/>
      <c r="K109" s="31"/>
      <c r="L109" s="31"/>
      <c r="M109" s="3" t="str">
        <f t="shared" ca="1" si="10"/>
        <v/>
      </c>
      <c r="P109">
        <f>'Combined Delivery Data'!B137</f>
        <v>0</v>
      </c>
      <c r="Q109">
        <f t="shared" si="11"/>
        <v>0</v>
      </c>
      <c r="R109">
        <f t="shared" si="12"/>
        <v>454</v>
      </c>
      <c r="S109" s="28">
        <f t="shared" si="13"/>
        <v>0</v>
      </c>
      <c r="T109" t="str">
        <f t="shared" si="14"/>
        <v xml:space="preserve"> -&gt; </v>
      </c>
    </row>
    <row r="110" spans="1:20">
      <c r="A110" s="31"/>
      <c r="B110" s="32"/>
      <c r="C110" s="31" t="s">
        <v>187</v>
      </c>
      <c r="D110" s="31"/>
      <c r="E110" s="31"/>
      <c r="F110" s="31"/>
      <c r="G110" s="31" t="s">
        <v>53</v>
      </c>
      <c r="H110" s="32"/>
      <c r="I110" s="32"/>
      <c r="J110" s="32"/>
      <c r="K110" s="31"/>
      <c r="L110" s="31"/>
      <c r="M110" s="3" t="str">
        <f t="shared" ca="1" si="10"/>
        <v/>
      </c>
      <c r="P110">
        <f>'Combined Delivery Data'!B138</f>
        <v>0</v>
      </c>
      <c r="Q110">
        <f t="shared" si="11"/>
        <v>0</v>
      </c>
      <c r="R110">
        <f t="shared" si="12"/>
        <v>454</v>
      </c>
      <c r="S110" s="28">
        <f t="shared" si="13"/>
        <v>0</v>
      </c>
      <c r="T110" t="str">
        <f t="shared" si="14"/>
        <v xml:space="preserve"> -&gt; </v>
      </c>
    </row>
    <row r="111" spans="1:20">
      <c r="A111" s="31"/>
      <c r="B111" s="32"/>
      <c r="C111" s="31" t="s">
        <v>187</v>
      </c>
      <c r="D111" s="31"/>
      <c r="E111" s="31"/>
      <c r="F111" s="31"/>
      <c r="G111" s="31" t="s">
        <v>53</v>
      </c>
      <c r="H111" s="32"/>
      <c r="I111" s="32"/>
      <c r="J111" s="32"/>
      <c r="K111" s="31"/>
      <c r="L111" s="31"/>
      <c r="M111" s="3" t="str">
        <f t="shared" ca="1" si="10"/>
        <v/>
      </c>
      <c r="P111">
        <f>'Combined Delivery Data'!B139</f>
        <v>0</v>
      </c>
      <c r="Q111">
        <f t="shared" si="11"/>
        <v>0</v>
      </c>
      <c r="R111">
        <f t="shared" si="12"/>
        <v>454</v>
      </c>
      <c r="S111" s="28">
        <f t="shared" si="13"/>
        <v>0</v>
      </c>
      <c r="T111" t="str">
        <f t="shared" si="14"/>
        <v xml:space="preserve"> -&gt; </v>
      </c>
    </row>
    <row r="112" spans="1:20">
      <c r="A112" s="31"/>
      <c r="B112" s="32"/>
      <c r="C112" s="31" t="s">
        <v>187</v>
      </c>
      <c r="D112" s="31"/>
      <c r="E112" s="31"/>
      <c r="F112" s="31"/>
      <c r="G112" s="31" t="s">
        <v>53</v>
      </c>
      <c r="H112" s="32"/>
      <c r="I112" s="32"/>
      <c r="J112" s="32"/>
      <c r="K112" s="31"/>
      <c r="L112" s="31"/>
      <c r="M112" s="3" t="str">
        <f t="shared" ca="1" si="10"/>
        <v/>
      </c>
      <c r="P112">
        <f>'Combined Delivery Data'!B140</f>
        <v>0</v>
      </c>
      <c r="Q112">
        <f t="shared" si="11"/>
        <v>0</v>
      </c>
      <c r="R112">
        <f t="shared" si="12"/>
        <v>454</v>
      </c>
      <c r="S112" s="28">
        <f t="shared" si="13"/>
        <v>0</v>
      </c>
      <c r="T112" t="str">
        <f t="shared" si="14"/>
        <v xml:space="preserve"> -&gt; </v>
      </c>
    </row>
    <row r="113" spans="1:20">
      <c r="A113" s="31"/>
      <c r="B113" s="32"/>
      <c r="C113" s="31" t="s">
        <v>187</v>
      </c>
      <c r="D113" s="31"/>
      <c r="E113" s="31"/>
      <c r="F113" s="31"/>
      <c r="G113" s="31" t="s">
        <v>53</v>
      </c>
      <c r="H113" s="32"/>
      <c r="I113" s="32"/>
      <c r="J113" s="32"/>
      <c r="K113" s="31"/>
      <c r="L113" s="31"/>
      <c r="M113" s="3" t="str">
        <f t="shared" ca="1" si="10"/>
        <v/>
      </c>
      <c r="P113">
        <f>'Combined Delivery Data'!B141</f>
        <v>0</v>
      </c>
      <c r="Q113">
        <f t="shared" si="11"/>
        <v>0</v>
      </c>
      <c r="R113">
        <f t="shared" si="12"/>
        <v>454</v>
      </c>
      <c r="S113" s="28">
        <f t="shared" si="13"/>
        <v>0</v>
      </c>
      <c r="T113" t="str">
        <f t="shared" si="14"/>
        <v xml:space="preserve"> -&gt; </v>
      </c>
    </row>
    <row r="114" spans="1:20">
      <c r="A114" s="31"/>
      <c r="B114" s="32"/>
      <c r="C114" s="31" t="s">
        <v>187</v>
      </c>
      <c r="D114" s="31"/>
      <c r="E114" s="31"/>
      <c r="F114" s="31"/>
      <c r="G114" s="31" t="s">
        <v>53</v>
      </c>
      <c r="H114" s="32"/>
      <c r="I114" s="32"/>
      <c r="J114" s="32"/>
      <c r="K114" s="31"/>
      <c r="L114" s="31"/>
      <c r="M114" s="3" t="str">
        <f t="shared" ca="1" si="10"/>
        <v/>
      </c>
      <c r="P114">
        <f>'Combined Delivery Data'!B142</f>
        <v>0</v>
      </c>
      <c r="Q114">
        <f t="shared" si="11"/>
        <v>0</v>
      </c>
      <c r="R114">
        <f t="shared" si="12"/>
        <v>454</v>
      </c>
      <c r="S114" s="28">
        <f t="shared" si="13"/>
        <v>0</v>
      </c>
      <c r="T114" t="str">
        <f t="shared" si="14"/>
        <v xml:space="preserve"> -&gt; </v>
      </c>
    </row>
    <row r="115" spans="1:20">
      <c r="A115" s="31"/>
      <c r="B115" s="32"/>
      <c r="C115" s="31" t="s">
        <v>187</v>
      </c>
      <c r="D115" s="31"/>
      <c r="E115" s="31"/>
      <c r="F115" s="31"/>
      <c r="G115" s="31" t="s">
        <v>53</v>
      </c>
      <c r="H115" s="32"/>
      <c r="I115" s="32"/>
      <c r="J115" s="32"/>
      <c r="K115" s="31"/>
      <c r="L115" s="31"/>
      <c r="M115" s="3" t="str">
        <f t="shared" ca="1" si="10"/>
        <v/>
      </c>
      <c r="P115">
        <f>'Combined Delivery Data'!B143</f>
        <v>0</v>
      </c>
      <c r="Q115">
        <f t="shared" si="11"/>
        <v>0</v>
      </c>
      <c r="R115">
        <f t="shared" si="12"/>
        <v>454</v>
      </c>
      <c r="S115" s="28">
        <f t="shared" si="13"/>
        <v>0</v>
      </c>
      <c r="T115" t="str">
        <f t="shared" si="14"/>
        <v xml:space="preserve"> -&gt; </v>
      </c>
    </row>
    <row r="116" spans="1:20">
      <c r="A116" s="31"/>
      <c r="B116" s="32"/>
      <c r="C116" s="31" t="s">
        <v>187</v>
      </c>
      <c r="D116" s="31"/>
      <c r="E116" s="31"/>
      <c r="F116" s="31"/>
      <c r="G116" s="31" t="s">
        <v>53</v>
      </c>
      <c r="H116" s="32"/>
      <c r="I116" s="32"/>
      <c r="J116" s="32"/>
      <c r="K116" s="31"/>
      <c r="L116" s="31"/>
      <c r="M116" s="3" t="str">
        <f t="shared" ca="1" si="10"/>
        <v/>
      </c>
      <c r="P116">
        <f>'Combined Delivery Data'!B144</f>
        <v>0</v>
      </c>
      <c r="Q116">
        <f t="shared" si="11"/>
        <v>0</v>
      </c>
      <c r="R116">
        <f t="shared" si="12"/>
        <v>454</v>
      </c>
      <c r="S116" s="28">
        <f t="shared" si="13"/>
        <v>0</v>
      </c>
      <c r="T116" t="str">
        <f t="shared" si="14"/>
        <v xml:space="preserve"> -&gt; </v>
      </c>
    </row>
    <row r="117" spans="1:20">
      <c r="A117" s="31"/>
      <c r="B117" s="32"/>
      <c r="C117" s="31" t="s">
        <v>187</v>
      </c>
      <c r="D117" s="31"/>
      <c r="E117" s="31"/>
      <c r="F117" s="31"/>
      <c r="G117" s="31" t="s">
        <v>53</v>
      </c>
      <c r="H117" s="32"/>
      <c r="I117" s="32"/>
      <c r="J117" s="32"/>
      <c r="K117" s="31"/>
      <c r="L117" s="31"/>
      <c r="M117" s="3" t="str">
        <f t="shared" ca="1" si="10"/>
        <v/>
      </c>
      <c r="P117">
        <f>'Combined Delivery Data'!B145</f>
        <v>0</v>
      </c>
      <c r="Q117">
        <f t="shared" si="11"/>
        <v>0</v>
      </c>
      <c r="R117">
        <f t="shared" si="12"/>
        <v>454</v>
      </c>
      <c r="S117" s="28">
        <f t="shared" si="13"/>
        <v>0</v>
      </c>
      <c r="T117" t="str">
        <f t="shared" si="14"/>
        <v xml:space="preserve"> -&gt; </v>
      </c>
    </row>
    <row r="118" spans="1:20">
      <c r="A118" s="31"/>
      <c r="B118" s="32"/>
      <c r="C118" s="31" t="s">
        <v>187</v>
      </c>
      <c r="D118" s="31"/>
      <c r="E118" s="31"/>
      <c r="F118" s="31"/>
      <c r="G118" s="31" t="s">
        <v>53</v>
      </c>
      <c r="H118" s="32"/>
      <c r="I118" s="32"/>
      <c r="J118" s="32"/>
      <c r="K118" s="31"/>
      <c r="L118" s="31"/>
      <c r="M118" s="3" t="str">
        <f t="shared" ca="1" si="10"/>
        <v/>
      </c>
      <c r="P118">
        <f>'Combined Delivery Data'!B146</f>
        <v>0</v>
      </c>
      <c r="Q118">
        <f t="shared" si="11"/>
        <v>0</v>
      </c>
      <c r="R118">
        <f t="shared" si="12"/>
        <v>454</v>
      </c>
      <c r="S118" s="28">
        <f t="shared" si="13"/>
        <v>0</v>
      </c>
      <c r="T118" t="str">
        <f t="shared" si="14"/>
        <v xml:space="preserve"> -&gt; </v>
      </c>
    </row>
    <row r="119" spans="1:20">
      <c r="A119" s="31"/>
      <c r="B119" s="32"/>
      <c r="C119" s="31" t="s">
        <v>187</v>
      </c>
      <c r="D119" s="31"/>
      <c r="E119" s="31"/>
      <c r="F119" s="31"/>
      <c r="G119" s="31" t="s">
        <v>53</v>
      </c>
      <c r="H119" s="32"/>
      <c r="I119" s="32"/>
      <c r="J119" s="32"/>
      <c r="K119" s="31"/>
      <c r="L119" s="31"/>
      <c r="M119" s="3" t="str">
        <f t="shared" ca="1" si="10"/>
        <v/>
      </c>
      <c r="P119">
        <f>'Combined Delivery Data'!B147</f>
        <v>0</v>
      </c>
      <c r="Q119">
        <f t="shared" si="11"/>
        <v>0</v>
      </c>
      <c r="R119">
        <f t="shared" si="12"/>
        <v>454</v>
      </c>
      <c r="S119" s="28">
        <f t="shared" si="13"/>
        <v>0</v>
      </c>
      <c r="T119" t="str">
        <f t="shared" si="14"/>
        <v xml:space="preserve"> -&gt; </v>
      </c>
    </row>
    <row r="120" spans="1:20">
      <c r="A120" s="31"/>
      <c r="B120" s="32"/>
      <c r="C120" s="31" t="s">
        <v>187</v>
      </c>
      <c r="D120" s="31"/>
      <c r="E120" s="31"/>
      <c r="F120" s="31"/>
      <c r="G120" s="31" t="s">
        <v>53</v>
      </c>
      <c r="H120" s="32"/>
      <c r="I120" s="32"/>
      <c r="J120" s="32"/>
      <c r="K120" s="31"/>
      <c r="L120" s="31"/>
      <c r="M120" s="3" t="str">
        <f t="shared" ca="1" si="10"/>
        <v/>
      </c>
      <c r="P120">
        <f>'Combined Delivery Data'!B148</f>
        <v>0</v>
      </c>
      <c r="Q120">
        <f t="shared" si="11"/>
        <v>0</v>
      </c>
      <c r="R120">
        <f t="shared" si="12"/>
        <v>454</v>
      </c>
      <c r="S120" s="28">
        <f t="shared" si="13"/>
        <v>0</v>
      </c>
      <c r="T120" t="str">
        <f t="shared" si="14"/>
        <v xml:space="preserve"> -&gt; </v>
      </c>
    </row>
    <row r="121" spans="1:20">
      <c r="A121" s="31"/>
      <c r="B121" s="32"/>
      <c r="C121" s="31" t="s">
        <v>187</v>
      </c>
      <c r="D121" s="31"/>
      <c r="E121" s="31"/>
      <c r="F121" s="31"/>
      <c r="G121" s="31" t="s">
        <v>53</v>
      </c>
      <c r="H121" s="32"/>
      <c r="I121" s="32"/>
      <c r="J121" s="32"/>
      <c r="K121" s="31"/>
      <c r="L121" s="31"/>
      <c r="M121" s="3" t="str">
        <f t="shared" ca="1" si="10"/>
        <v/>
      </c>
      <c r="P121">
        <f>'Combined Delivery Data'!B149</f>
        <v>0</v>
      </c>
      <c r="Q121">
        <f t="shared" si="11"/>
        <v>0</v>
      </c>
      <c r="R121">
        <f t="shared" si="12"/>
        <v>454</v>
      </c>
      <c r="S121" s="28">
        <f t="shared" si="13"/>
        <v>0</v>
      </c>
      <c r="T121" t="str">
        <f t="shared" si="14"/>
        <v xml:space="preserve"> -&gt; </v>
      </c>
    </row>
    <row r="122" spans="1:20">
      <c r="A122" s="31"/>
      <c r="B122" s="32"/>
      <c r="C122" s="31" t="s">
        <v>187</v>
      </c>
      <c r="D122" s="31"/>
      <c r="E122" s="31"/>
      <c r="F122" s="31"/>
      <c r="G122" s="31" t="s">
        <v>53</v>
      </c>
      <c r="H122" s="32"/>
      <c r="I122" s="32"/>
      <c r="J122" s="32"/>
      <c r="K122" s="31"/>
      <c r="L122" s="31"/>
      <c r="M122" s="3" t="str">
        <f t="shared" ca="1" si="10"/>
        <v/>
      </c>
      <c r="P122">
        <f>'Combined Delivery Data'!B150</f>
        <v>0</v>
      </c>
      <c r="Q122">
        <f t="shared" si="11"/>
        <v>0</v>
      </c>
      <c r="R122">
        <f t="shared" si="12"/>
        <v>454</v>
      </c>
      <c r="S122" s="28">
        <f t="shared" si="13"/>
        <v>0</v>
      </c>
      <c r="T122" t="str">
        <f t="shared" si="14"/>
        <v xml:space="preserve"> -&gt; </v>
      </c>
    </row>
    <row r="123" spans="1:20">
      <c r="A123" s="31"/>
      <c r="B123" s="32"/>
      <c r="C123" s="31" t="s">
        <v>187</v>
      </c>
      <c r="D123" s="31"/>
      <c r="E123" s="31"/>
      <c r="F123" s="31"/>
      <c r="G123" s="31" t="s">
        <v>53</v>
      </c>
      <c r="H123" s="32"/>
      <c r="I123" s="32"/>
      <c r="J123" s="32"/>
      <c r="K123" s="31"/>
      <c r="L123" s="31"/>
      <c r="M123" s="3" t="str">
        <f t="shared" ca="1" si="10"/>
        <v/>
      </c>
      <c r="P123">
        <f>'Combined Delivery Data'!B151</f>
        <v>0</v>
      </c>
      <c r="Q123">
        <f t="shared" si="11"/>
        <v>0</v>
      </c>
      <c r="R123">
        <f t="shared" si="12"/>
        <v>454</v>
      </c>
      <c r="S123" s="28">
        <f t="shared" si="13"/>
        <v>0</v>
      </c>
      <c r="T123" t="str">
        <f t="shared" si="14"/>
        <v xml:space="preserve"> -&gt; </v>
      </c>
    </row>
    <row r="124" spans="1:20">
      <c r="A124" s="31"/>
      <c r="B124" s="32"/>
      <c r="C124" s="31" t="s">
        <v>187</v>
      </c>
      <c r="D124" s="31"/>
      <c r="E124" s="31"/>
      <c r="F124" s="31"/>
      <c r="G124" s="31" t="s">
        <v>53</v>
      </c>
      <c r="H124" s="32"/>
      <c r="I124" s="32"/>
      <c r="J124" s="32"/>
      <c r="K124" s="31"/>
      <c r="L124" s="31"/>
      <c r="M124" s="3" t="str">
        <f t="shared" ca="1" si="10"/>
        <v/>
      </c>
      <c r="P124">
        <f>'Combined Delivery Data'!B152</f>
        <v>0</v>
      </c>
      <c r="Q124">
        <f t="shared" si="11"/>
        <v>0</v>
      </c>
      <c r="R124">
        <f t="shared" si="12"/>
        <v>454</v>
      </c>
      <c r="S124" s="28">
        <f t="shared" si="13"/>
        <v>0</v>
      </c>
      <c r="T124" t="str">
        <f t="shared" si="14"/>
        <v xml:space="preserve"> -&gt; </v>
      </c>
    </row>
    <row r="125" spans="1:20">
      <c r="A125" s="31"/>
      <c r="B125" s="32"/>
      <c r="C125" s="31" t="s">
        <v>187</v>
      </c>
      <c r="D125" s="31"/>
      <c r="E125" s="31"/>
      <c r="F125" s="31"/>
      <c r="G125" s="31" t="s">
        <v>53</v>
      </c>
      <c r="H125" s="32"/>
      <c r="I125" s="32"/>
      <c r="J125" s="32"/>
      <c r="K125" s="31"/>
      <c r="L125" s="31"/>
      <c r="M125" s="3" t="str">
        <f t="shared" ca="1" si="10"/>
        <v/>
      </c>
      <c r="P125">
        <f>'Combined Delivery Data'!B153</f>
        <v>0</v>
      </c>
      <c r="Q125">
        <f t="shared" si="11"/>
        <v>0</v>
      </c>
      <c r="R125">
        <f t="shared" si="12"/>
        <v>454</v>
      </c>
      <c r="S125" s="28">
        <f t="shared" si="13"/>
        <v>0</v>
      </c>
      <c r="T125" t="str">
        <f t="shared" si="14"/>
        <v xml:space="preserve"> -&gt; </v>
      </c>
    </row>
    <row r="126" spans="1:20">
      <c r="A126" s="31"/>
      <c r="B126" s="32"/>
      <c r="C126" s="31" t="s">
        <v>187</v>
      </c>
      <c r="D126" s="31"/>
      <c r="E126" s="31"/>
      <c r="F126" s="31"/>
      <c r="G126" s="31" t="s">
        <v>53</v>
      </c>
      <c r="H126" s="32"/>
      <c r="I126" s="32"/>
      <c r="J126" s="32"/>
      <c r="K126" s="31"/>
      <c r="L126" s="31"/>
      <c r="M126" s="3" t="str">
        <f t="shared" ca="1" si="10"/>
        <v/>
      </c>
      <c r="P126">
        <f>'Combined Delivery Data'!B154</f>
        <v>0</v>
      </c>
      <c r="Q126">
        <f t="shared" si="11"/>
        <v>0</v>
      </c>
      <c r="R126">
        <f t="shared" si="12"/>
        <v>454</v>
      </c>
      <c r="S126" s="28">
        <f t="shared" si="13"/>
        <v>0</v>
      </c>
      <c r="T126" t="str">
        <f t="shared" si="14"/>
        <v xml:space="preserve"> -&gt; </v>
      </c>
    </row>
    <row r="127" spans="1:20">
      <c r="A127" s="31"/>
      <c r="B127" s="32"/>
      <c r="C127" s="31" t="s">
        <v>187</v>
      </c>
      <c r="D127" s="31"/>
      <c r="E127" s="31"/>
      <c r="F127" s="31"/>
      <c r="G127" s="31" t="s">
        <v>53</v>
      </c>
      <c r="H127" s="32"/>
      <c r="I127" s="32"/>
      <c r="J127" s="32"/>
      <c r="K127" s="31"/>
      <c r="L127" s="31"/>
      <c r="M127" s="3" t="str">
        <f t="shared" ca="1" si="10"/>
        <v/>
      </c>
      <c r="P127">
        <f>'Combined Delivery Data'!B155</f>
        <v>0</v>
      </c>
      <c r="Q127">
        <f t="shared" si="11"/>
        <v>0</v>
      </c>
      <c r="R127">
        <f t="shared" si="12"/>
        <v>454</v>
      </c>
      <c r="S127" s="28">
        <f t="shared" si="13"/>
        <v>0</v>
      </c>
      <c r="T127" t="str">
        <f t="shared" si="14"/>
        <v xml:space="preserve"> -&gt; </v>
      </c>
    </row>
    <row r="128" spans="1:20">
      <c r="A128" s="31"/>
      <c r="B128" s="32"/>
      <c r="C128" s="31" t="s">
        <v>187</v>
      </c>
      <c r="D128" s="31"/>
      <c r="E128" s="31"/>
      <c r="F128" s="31"/>
      <c r="G128" s="31" t="s">
        <v>53</v>
      </c>
      <c r="H128" s="32"/>
      <c r="I128" s="32"/>
      <c r="J128" s="32"/>
      <c r="K128" s="31"/>
      <c r="L128" s="31"/>
      <c r="M128" s="3" t="str">
        <f t="shared" ca="1" si="10"/>
        <v/>
      </c>
      <c r="P128">
        <f>'Combined Delivery Data'!B156</f>
        <v>0</v>
      </c>
      <c r="Q128">
        <f t="shared" si="11"/>
        <v>0</v>
      </c>
      <c r="R128">
        <f t="shared" si="12"/>
        <v>454</v>
      </c>
      <c r="S128" s="28">
        <f t="shared" si="13"/>
        <v>0</v>
      </c>
      <c r="T128" t="str">
        <f t="shared" si="14"/>
        <v xml:space="preserve"> -&gt; </v>
      </c>
    </row>
    <row r="129" spans="1:20">
      <c r="A129" s="31"/>
      <c r="B129" s="32"/>
      <c r="C129" s="31" t="s">
        <v>187</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454</v>
      </c>
      <c r="S129" s="28">
        <f t="shared" si="13"/>
        <v>0</v>
      </c>
      <c r="T129" t="str">
        <f t="shared" si="14"/>
        <v xml:space="preserve"> -&gt; </v>
      </c>
    </row>
    <row r="130" spans="1:20">
      <c r="A130" s="31"/>
      <c r="B130" s="32"/>
      <c r="C130" s="31" t="s">
        <v>187</v>
      </c>
      <c r="D130" s="31"/>
      <c r="E130" s="31"/>
      <c r="F130" s="31"/>
      <c r="G130" s="31" t="s">
        <v>53</v>
      </c>
      <c r="H130" s="32"/>
      <c r="I130" s="32"/>
      <c r="J130" s="32"/>
      <c r="K130" s="31"/>
      <c r="L130" s="31"/>
      <c r="M130" s="3" t="str">
        <f t="shared" ca="1" si="15"/>
        <v/>
      </c>
      <c r="P130">
        <f>'Combined Delivery Data'!B158</f>
        <v>0</v>
      </c>
      <c r="Q130">
        <f t="shared" si="11"/>
        <v>0</v>
      </c>
      <c r="R130">
        <f t="shared" si="12"/>
        <v>454</v>
      </c>
      <c r="S130" s="28">
        <f t="shared" si="13"/>
        <v>0</v>
      </c>
      <c r="T130" t="str">
        <f t="shared" si="14"/>
        <v xml:space="preserve"> -&gt; </v>
      </c>
    </row>
    <row r="131" spans="1:20">
      <c r="A131" s="31"/>
      <c r="B131" s="32"/>
      <c r="C131" s="31" t="s">
        <v>187</v>
      </c>
      <c r="D131" s="31"/>
      <c r="E131" s="31"/>
      <c r="F131" s="31"/>
      <c r="G131" s="31" t="s">
        <v>53</v>
      </c>
      <c r="H131" s="32"/>
      <c r="I131" s="32"/>
      <c r="J131" s="32"/>
      <c r="K131" s="31"/>
      <c r="L131" s="31"/>
      <c r="M131" s="3" t="str">
        <f t="shared" ca="1" si="15"/>
        <v/>
      </c>
      <c r="P131">
        <f>'Combined Delivery Data'!B159</f>
        <v>0</v>
      </c>
      <c r="Q131">
        <f t="shared" si="11"/>
        <v>0</v>
      </c>
      <c r="R131">
        <f t="shared" si="12"/>
        <v>454</v>
      </c>
      <c r="S131" s="28">
        <f t="shared" si="13"/>
        <v>0</v>
      </c>
      <c r="T131" t="str">
        <f t="shared" si="14"/>
        <v xml:space="preserve"> -&gt; </v>
      </c>
    </row>
    <row r="132" spans="1:20">
      <c r="A132" s="31"/>
      <c r="B132" s="32"/>
      <c r="C132" s="31" t="s">
        <v>187</v>
      </c>
      <c r="D132" s="31"/>
      <c r="E132" s="31"/>
      <c r="F132" s="31"/>
      <c r="G132" s="31" t="s">
        <v>53</v>
      </c>
      <c r="H132" s="32"/>
      <c r="I132" s="32"/>
      <c r="J132" s="32"/>
      <c r="K132" s="31"/>
      <c r="L132" s="31"/>
      <c r="M132" s="3" t="str">
        <f t="shared" ca="1" si="15"/>
        <v/>
      </c>
      <c r="P132">
        <f>'Combined Delivery Data'!B160</f>
        <v>0</v>
      </c>
      <c r="Q132">
        <f t="shared" si="11"/>
        <v>0</v>
      </c>
      <c r="R132">
        <f t="shared" si="12"/>
        <v>454</v>
      </c>
      <c r="S132" s="28">
        <f t="shared" si="13"/>
        <v>0</v>
      </c>
      <c r="T132" t="str">
        <f t="shared" si="14"/>
        <v xml:space="preserve"> -&gt; </v>
      </c>
    </row>
    <row r="133" spans="1:20">
      <c r="A133" s="31"/>
      <c r="B133" s="32"/>
      <c r="C133" s="31" t="s">
        <v>187</v>
      </c>
      <c r="D133" s="31"/>
      <c r="E133" s="31"/>
      <c r="F133" s="31"/>
      <c r="G133" s="31" t="s">
        <v>53</v>
      </c>
      <c r="H133" s="32"/>
      <c r="I133" s="32"/>
      <c r="J133" s="32"/>
      <c r="K133" s="31"/>
      <c r="L133" s="31"/>
      <c r="M133" s="3" t="str">
        <f t="shared" ca="1" si="15"/>
        <v/>
      </c>
      <c r="P133">
        <f>'Combined Delivery Data'!B161</f>
        <v>0</v>
      </c>
      <c r="Q133">
        <f t="shared" si="11"/>
        <v>0</v>
      </c>
      <c r="R133">
        <f t="shared" si="12"/>
        <v>454</v>
      </c>
      <c r="S133" s="28">
        <f t="shared" si="13"/>
        <v>0</v>
      </c>
      <c r="T133" t="str">
        <f t="shared" si="14"/>
        <v xml:space="preserve"> -&gt; </v>
      </c>
    </row>
    <row r="134" spans="1:20">
      <c r="A134" s="31"/>
      <c r="B134" s="32"/>
      <c r="C134" s="31" t="s">
        <v>187</v>
      </c>
      <c r="D134" s="31"/>
      <c r="E134" s="31"/>
      <c r="F134" s="31"/>
      <c r="G134" s="31" t="s">
        <v>53</v>
      </c>
      <c r="H134" s="32"/>
      <c r="I134" s="32"/>
      <c r="J134" s="32"/>
      <c r="K134" s="31"/>
      <c r="L134" s="31"/>
      <c r="M134" s="3" t="str">
        <f t="shared" ca="1" si="15"/>
        <v/>
      </c>
      <c r="P134">
        <f>'Combined Delivery Data'!B162</f>
        <v>0</v>
      </c>
      <c r="Q134">
        <f t="shared" si="11"/>
        <v>0</v>
      </c>
      <c r="R134">
        <f t="shared" si="12"/>
        <v>454</v>
      </c>
      <c r="S134" s="28">
        <f t="shared" si="13"/>
        <v>0</v>
      </c>
      <c r="T134" t="str">
        <f t="shared" si="14"/>
        <v xml:space="preserve"> -&gt; </v>
      </c>
    </row>
    <row r="135" spans="1:20">
      <c r="A135" s="31"/>
      <c r="B135" s="32"/>
      <c r="C135" s="31" t="s">
        <v>187</v>
      </c>
      <c r="D135" s="31"/>
      <c r="E135" s="31"/>
      <c r="F135" s="31"/>
      <c r="G135" s="31" t="s">
        <v>53</v>
      </c>
      <c r="H135" s="32"/>
      <c r="I135" s="32"/>
      <c r="J135" s="32"/>
      <c r="K135" s="31"/>
      <c r="L135" s="31"/>
      <c r="M135" s="3" t="str">
        <f t="shared" ca="1" si="15"/>
        <v/>
      </c>
      <c r="P135">
        <f>'Combined Delivery Data'!B163</f>
        <v>0</v>
      </c>
      <c r="Q135">
        <f t="shared" si="11"/>
        <v>0</v>
      </c>
      <c r="R135">
        <f t="shared" si="12"/>
        <v>454</v>
      </c>
      <c r="S135" s="28">
        <f t="shared" si="13"/>
        <v>0</v>
      </c>
      <c r="T135" t="str">
        <f t="shared" si="14"/>
        <v xml:space="preserve"> -&gt; </v>
      </c>
    </row>
    <row r="136" spans="1:20">
      <c r="A136" s="31"/>
      <c r="B136" s="32"/>
      <c r="C136" s="31" t="s">
        <v>187</v>
      </c>
      <c r="D136" s="31"/>
      <c r="E136" s="31"/>
      <c r="F136" s="31"/>
      <c r="G136" s="31" t="s">
        <v>53</v>
      </c>
      <c r="H136" s="32"/>
      <c r="I136" s="32"/>
      <c r="J136" s="32"/>
      <c r="K136" s="31"/>
      <c r="L136" s="31"/>
      <c r="M136" s="3" t="str">
        <f t="shared" ca="1" si="15"/>
        <v/>
      </c>
      <c r="P136">
        <f>'Combined Delivery Data'!B164</f>
        <v>0</v>
      </c>
      <c r="Q136">
        <f t="shared" si="11"/>
        <v>0</v>
      </c>
      <c r="R136">
        <f t="shared" si="12"/>
        <v>454</v>
      </c>
      <c r="S136" s="28">
        <f t="shared" si="13"/>
        <v>0</v>
      </c>
      <c r="T136" t="str">
        <f t="shared" si="14"/>
        <v xml:space="preserve"> -&gt; </v>
      </c>
    </row>
    <row r="137" spans="1:20">
      <c r="A137" s="31"/>
      <c r="B137" s="32"/>
      <c r="C137" s="31" t="s">
        <v>187</v>
      </c>
      <c r="D137" s="31"/>
      <c r="E137" s="31"/>
      <c r="F137" s="31"/>
      <c r="G137" s="31" t="s">
        <v>53</v>
      </c>
      <c r="H137" s="32"/>
      <c r="I137" s="32"/>
      <c r="J137" s="32"/>
      <c r="K137" s="31"/>
      <c r="L137" s="31"/>
      <c r="M137" s="3" t="str">
        <f t="shared" ca="1" si="15"/>
        <v/>
      </c>
      <c r="P137">
        <f>'Combined Delivery Data'!B165</f>
        <v>0</v>
      </c>
      <c r="Q137">
        <f t="shared" si="11"/>
        <v>0</v>
      </c>
      <c r="R137">
        <f t="shared" si="12"/>
        <v>454</v>
      </c>
      <c r="S137" s="28">
        <f t="shared" si="13"/>
        <v>0</v>
      </c>
      <c r="T137" t="str">
        <f t="shared" si="14"/>
        <v xml:space="preserve"> -&gt; </v>
      </c>
    </row>
    <row r="138" spans="1:20">
      <c r="A138" s="31"/>
      <c r="B138" s="32"/>
      <c r="C138" s="31" t="s">
        <v>187</v>
      </c>
      <c r="D138" s="31"/>
      <c r="E138" s="31"/>
      <c r="F138" s="31"/>
      <c r="G138" s="31" t="s">
        <v>53</v>
      </c>
      <c r="H138" s="32"/>
      <c r="I138" s="32"/>
      <c r="J138" s="32"/>
      <c r="K138" s="31"/>
      <c r="L138" s="31"/>
      <c r="M138" s="3" t="str">
        <f t="shared" ca="1" si="15"/>
        <v/>
      </c>
      <c r="P138">
        <f>'Combined Delivery Data'!B166</f>
        <v>0</v>
      </c>
      <c r="Q138">
        <f t="shared" si="11"/>
        <v>0</v>
      </c>
      <c r="R138">
        <f t="shared" si="12"/>
        <v>454</v>
      </c>
      <c r="S138" s="28">
        <f t="shared" si="13"/>
        <v>0</v>
      </c>
      <c r="T138" t="str">
        <f t="shared" si="14"/>
        <v xml:space="preserve"> -&gt; </v>
      </c>
    </row>
    <row r="139" spans="1:20">
      <c r="A139" s="31"/>
      <c r="B139" s="32"/>
      <c r="C139" s="31" t="s">
        <v>187</v>
      </c>
      <c r="D139" s="31"/>
      <c r="E139" s="31"/>
      <c r="F139" s="31"/>
      <c r="G139" s="31" t="s">
        <v>53</v>
      </c>
      <c r="H139" s="32"/>
      <c r="I139" s="32"/>
      <c r="J139" s="32"/>
      <c r="K139" s="31"/>
      <c r="L139" s="31"/>
      <c r="M139" s="3" t="str">
        <f t="shared" ca="1" si="15"/>
        <v/>
      </c>
      <c r="P139">
        <f>'Combined Delivery Data'!B167</f>
        <v>0</v>
      </c>
      <c r="Q139">
        <f t="shared" si="11"/>
        <v>0</v>
      </c>
      <c r="R139">
        <f t="shared" si="12"/>
        <v>454</v>
      </c>
      <c r="S139" s="28">
        <f t="shared" si="13"/>
        <v>0</v>
      </c>
      <c r="T139" t="str">
        <f t="shared" si="14"/>
        <v xml:space="preserve"> -&gt; </v>
      </c>
    </row>
    <row r="140" spans="1:20">
      <c r="A140" s="31"/>
      <c r="B140" s="32"/>
      <c r="C140" s="31" t="s">
        <v>187</v>
      </c>
      <c r="D140" s="31"/>
      <c r="E140" s="31"/>
      <c r="F140" s="31"/>
      <c r="G140" s="31" t="s">
        <v>53</v>
      </c>
      <c r="H140" s="32"/>
      <c r="I140" s="32"/>
      <c r="J140" s="32"/>
      <c r="K140" s="31"/>
      <c r="L140" s="31"/>
      <c r="M140" s="3" t="str">
        <f t="shared" ca="1" si="15"/>
        <v/>
      </c>
      <c r="P140">
        <f>'Combined Delivery Data'!B168</f>
        <v>0</v>
      </c>
      <c r="Q140">
        <f t="shared" si="11"/>
        <v>0</v>
      </c>
      <c r="R140">
        <f t="shared" si="12"/>
        <v>454</v>
      </c>
      <c r="S140" s="28">
        <f t="shared" si="13"/>
        <v>0</v>
      </c>
      <c r="T140" t="str">
        <f t="shared" si="14"/>
        <v xml:space="preserve"> -&gt; </v>
      </c>
    </row>
    <row r="141" spans="1:20">
      <c r="A141" s="31"/>
      <c r="B141" s="32"/>
      <c r="C141" s="31" t="s">
        <v>187</v>
      </c>
      <c r="D141" s="31"/>
      <c r="E141" s="31"/>
      <c r="F141" s="31"/>
      <c r="G141" s="31" t="s">
        <v>53</v>
      </c>
      <c r="H141" s="32"/>
      <c r="I141" s="32"/>
      <c r="J141" s="32"/>
      <c r="K141" s="31"/>
      <c r="L141" s="31"/>
      <c r="M141" s="3" t="str">
        <f t="shared" ca="1" si="15"/>
        <v/>
      </c>
      <c r="P141">
        <f>'Combined Delivery Data'!B169</f>
        <v>0</v>
      </c>
      <c r="Q141">
        <f t="shared" si="11"/>
        <v>0</v>
      </c>
      <c r="R141">
        <f t="shared" si="12"/>
        <v>454</v>
      </c>
      <c r="S141" s="28">
        <f t="shared" si="13"/>
        <v>0</v>
      </c>
      <c r="T141" t="str">
        <f t="shared" si="14"/>
        <v xml:space="preserve"> -&gt; </v>
      </c>
    </row>
    <row r="142" spans="1:20">
      <c r="A142" s="31"/>
      <c r="B142" s="32"/>
      <c r="C142" s="31" t="s">
        <v>187</v>
      </c>
      <c r="D142" s="31"/>
      <c r="E142" s="31"/>
      <c r="F142" s="31"/>
      <c r="G142" s="31" t="s">
        <v>53</v>
      </c>
      <c r="H142" s="32"/>
      <c r="I142" s="32"/>
      <c r="J142" s="32"/>
      <c r="K142" s="31"/>
      <c r="L142" s="31"/>
      <c r="M142" s="3" t="str">
        <f t="shared" ca="1" si="15"/>
        <v/>
      </c>
      <c r="P142">
        <f>'Combined Delivery Data'!B170</f>
        <v>0</v>
      </c>
      <c r="Q142">
        <f t="shared" si="11"/>
        <v>0</v>
      </c>
      <c r="R142">
        <f t="shared" si="12"/>
        <v>454</v>
      </c>
      <c r="S142" s="28">
        <f t="shared" si="13"/>
        <v>0</v>
      </c>
      <c r="T142" t="str">
        <f t="shared" si="14"/>
        <v xml:space="preserve"> -&gt; </v>
      </c>
    </row>
    <row r="143" spans="1:20">
      <c r="A143" s="31"/>
      <c r="B143" s="32"/>
      <c r="C143" s="31" t="s">
        <v>187</v>
      </c>
      <c r="D143" s="31"/>
      <c r="E143" s="31"/>
      <c r="F143" s="31"/>
      <c r="G143" s="31" t="s">
        <v>53</v>
      </c>
      <c r="H143" s="32"/>
      <c r="I143" s="32"/>
      <c r="J143" s="32"/>
      <c r="K143" s="31"/>
      <c r="L143" s="31"/>
      <c r="M143" s="3" t="str">
        <f t="shared" ca="1" si="15"/>
        <v/>
      </c>
      <c r="P143">
        <f>'Combined Delivery Data'!B171</f>
        <v>0</v>
      </c>
      <c r="Q143">
        <f t="shared" si="11"/>
        <v>0</v>
      </c>
      <c r="R143">
        <f t="shared" si="12"/>
        <v>454</v>
      </c>
      <c r="S143" s="28">
        <f t="shared" si="13"/>
        <v>0</v>
      </c>
      <c r="T143" t="str">
        <f t="shared" si="14"/>
        <v xml:space="preserve"> -&gt; </v>
      </c>
    </row>
    <row r="144" spans="1:20">
      <c r="A144" s="31"/>
      <c r="B144" s="32"/>
      <c r="C144" s="31" t="s">
        <v>187</v>
      </c>
      <c r="D144" s="31"/>
      <c r="E144" s="31"/>
      <c r="F144" s="31"/>
      <c r="G144" s="31" t="s">
        <v>53</v>
      </c>
      <c r="H144" s="32"/>
      <c r="I144" s="32"/>
      <c r="J144" s="32"/>
      <c r="K144" s="31"/>
      <c r="L144" s="31"/>
      <c r="M144" s="3" t="str">
        <f t="shared" ca="1" si="15"/>
        <v/>
      </c>
      <c r="P144">
        <f>'Combined Delivery Data'!B172</f>
        <v>0</v>
      </c>
      <c r="Q144">
        <f t="shared" si="11"/>
        <v>0</v>
      </c>
      <c r="R144">
        <f t="shared" si="12"/>
        <v>454</v>
      </c>
      <c r="S144" s="28">
        <f t="shared" si="13"/>
        <v>0</v>
      </c>
      <c r="T144" t="str">
        <f t="shared" si="14"/>
        <v xml:space="preserve"> -&gt; </v>
      </c>
    </row>
    <row r="145" spans="1:20">
      <c r="A145" s="31"/>
      <c r="B145" s="32"/>
      <c r="C145" s="31" t="s">
        <v>187</v>
      </c>
      <c r="D145" s="31"/>
      <c r="E145" s="31"/>
      <c r="F145" s="31"/>
      <c r="G145" s="31" t="s">
        <v>53</v>
      </c>
      <c r="H145" s="32"/>
      <c r="I145" s="32"/>
      <c r="J145" s="32"/>
      <c r="K145" s="31"/>
      <c r="L145" s="31"/>
      <c r="M145" s="3" t="str">
        <f t="shared" ca="1" si="15"/>
        <v/>
      </c>
      <c r="P145">
        <f>'Combined Delivery Data'!B173</f>
        <v>0</v>
      </c>
      <c r="Q145">
        <f t="shared" si="11"/>
        <v>0</v>
      </c>
      <c r="R145">
        <f t="shared" si="12"/>
        <v>454</v>
      </c>
      <c r="S145" s="28">
        <f t="shared" si="13"/>
        <v>0</v>
      </c>
      <c r="T145" t="str">
        <f t="shared" si="14"/>
        <v xml:space="preserve"> -&gt; </v>
      </c>
    </row>
    <row r="146" spans="1:20">
      <c r="A146" s="31"/>
      <c r="B146" s="32"/>
      <c r="C146" s="31" t="s">
        <v>187</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454</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187</v>
      </c>
      <c r="D147" s="31"/>
      <c r="E147" s="31"/>
      <c r="F147" s="31"/>
      <c r="G147" s="31" t="s">
        <v>53</v>
      </c>
      <c r="H147" s="32"/>
      <c r="I147" s="32"/>
      <c r="J147" s="32"/>
      <c r="K147" s="31"/>
      <c r="L147" s="31"/>
      <c r="M147" s="3" t="str">
        <f t="shared" ca="1" si="15"/>
        <v/>
      </c>
      <c r="P147">
        <f>'Combined Delivery Data'!B175</f>
        <v>0</v>
      </c>
      <c r="Q147">
        <f t="shared" si="16"/>
        <v>0</v>
      </c>
      <c r="R147">
        <f t="shared" si="17"/>
        <v>454</v>
      </c>
      <c r="S147" s="28">
        <f t="shared" si="18"/>
        <v>0</v>
      </c>
      <c r="T147" t="str">
        <f t="shared" si="19"/>
        <v xml:space="preserve"> -&gt; </v>
      </c>
    </row>
    <row r="148" spans="1:20">
      <c r="A148" s="31"/>
      <c r="B148" s="32"/>
      <c r="C148" s="31" t="s">
        <v>187</v>
      </c>
      <c r="D148" s="31"/>
      <c r="E148" s="31"/>
      <c r="F148" s="31"/>
      <c r="G148" s="31" t="s">
        <v>53</v>
      </c>
      <c r="H148" s="32"/>
      <c r="I148" s="32"/>
      <c r="J148" s="32"/>
      <c r="K148" s="31"/>
      <c r="L148" s="31"/>
      <c r="M148" s="3" t="str">
        <f t="shared" ca="1" si="15"/>
        <v/>
      </c>
      <c r="P148">
        <f>'Combined Delivery Data'!B176</f>
        <v>0</v>
      </c>
      <c r="Q148">
        <f t="shared" si="16"/>
        <v>0</v>
      </c>
      <c r="R148">
        <f t="shared" si="17"/>
        <v>454</v>
      </c>
      <c r="S148" s="28">
        <f t="shared" si="18"/>
        <v>0</v>
      </c>
      <c r="T148" t="str">
        <f t="shared" si="19"/>
        <v xml:space="preserve"> -&gt; </v>
      </c>
    </row>
    <row r="149" spans="1:20">
      <c r="A149" s="31"/>
      <c r="B149" s="32"/>
      <c r="C149" s="31" t="s">
        <v>187</v>
      </c>
      <c r="D149" s="31"/>
      <c r="E149" s="31"/>
      <c r="F149" s="31"/>
      <c r="G149" s="31" t="s">
        <v>53</v>
      </c>
      <c r="H149" s="32"/>
      <c r="I149" s="32"/>
      <c r="J149" s="32"/>
      <c r="K149" s="31"/>
      <c r="L149" s="31"/>
      <c r="M149" s="3" t="str">
        <f t="shared" ca="1" si="15"/>
        <v/>
      </c>
      <c r="P149">
        <f>'Combined Delivery Data'!B177</f>
        <v>0</v>
      </c>
      <c r="Q149">
        <f t="shared" si="16"/>
        <v>0</v>
      </c>
      <c r="R149">
        <f t="shared" si="17"/>
        <v>454</v>
      </c>
      <c r="S149" s="28">
        <f t="shared" si="18"/>
        <v>0</v>
      </c>
      <c r="T149" t="str">
        <f t="shared" si="19"/>
        <v xml:space="preserve"> -&gt; </v>
      </c>
    </row>
    <row r="150" spans="1:20">
      <c r="A150" s="31"/>
      <c r="B150" s="32"/>
      <c r="C150" s="31" t="s">
        <v>187</v>
      </c>
      <c r="D150" s="31"/>
      <c r="E150" s="31"/>
      <c r="F150" s="31"/>
      <c r="G150" s="31" t="s">
        <v>53</v>
      </c>
      <c r="H150" s="32"/>
      <c r="I150" s="32"/>
      <c r="J150" s="32"/>
      <c r="K150" s="31"/>
      <c r="L150" s="31"/>
      <c r="M150" s="3" t="str">
        <f t="shared" ca="1" si="15"/>
        <v/>
      </c>
      <c r="P150">
        <f>'Combined Delivery Data'!B178</f>
        <v>0</v>
      </c>
      <c r="Q150">
        <f t="shared" si="16"/>
        <v>0</v>
      </c>
      <c r="R150">
        <f t="shared" si="17"/>
        <v>454</v>
      </c>
      <c r="S150" s="28">
        <f t="shared" si="18"/>
        <v>0</v>
      </c>
      <c r="T150" t="str">
        <f t="shared" si="19"/>
        <v xml:space="preserve"> -&gt; </v>
      </c>
    </row>
    <row r="151" spans="1:20">
      <c r="A151" s="31"/>
      <c r="B151" s="32"/>
      <c r="C151" s="31" t="s">
        <v>187</v>
      </c>
      <c r="D151" s="31"/>
      <c r="E151" s="31"/>
      <c r="F151" s="31"/>
      <c r="G151" s="31" t="s">
        <v>53</v>
      </c>
      <c r="H151" s="32"/>
      <c r="I151" s="32"/>
      <c r="J151" s="32"/>
      <c r="K151" s="31"/>
      <c r="L151" s="31"/>
      <c r="M151" s="3" t="str">
        <f t="shared" ca="1" si="15"/>
        <v/>
      </c>
      <c r="P151">
        <f>'Combined Delivery Data'!B179</f>
        <v>0</v>
      </c>
      <c r="Q151">
        <f t="shared" si="16"/>
        <v>0</v>
      </c>
      <c r="R151">
        <f t="shared" si="17"/>
        <v>454</v>
      </c>
      <c r="S151" s="28">
        <f t="shared" si="18"/>
        <v>0</v>
      </c>
      <c r="T151" t="str">
        <f t="shared" si="19"/>
        <v xml:space="preserve"> -&gt; </v>
      </c>
    </row>
    <row r="152" spans="1:20">
      <c r="A152" s="31"/>
      <c r="B152" s="32"/>
      <c r="C152" s="31" t="s">
        <v>187</v>
      </c>
      <c r="D152" s="31"/>
      <c r="E152" s="31"/>
      <c r="F152" s="31"/>
      <c r="G152" s="31" t="s">
        <v>53</v>
      </c>
      <c r="H152" s="32"/>
      <c r="I152" s="32"/>
      <c r="J152" s="32"/>
      <c r="K152" s="31"/>
      <c r="L152" s="31"/>
      <c r="M152" s="3" t="str">
        <f t="shared" ca="1" si="15"/>
        <v/>
      </c>
      <c r="P152">
        <f>'Combined Delivery Data'!B180</f>
        <v>0</v>
      </c>
      <c r="Q152">
        <f t="shared" si="16"/>
        <v>0</v>
      </c>
      <c r="R152">
        <f t="shared" si="17"/>
        <v>454</v>
      </c>
      <c r="S152" s="28">
        <f t="shared" si="18"/>
        <v>0</v>
      </c>
      <c r="T152" t="str">
        <f t="shared" si="19"/>
        <v xml:space="preserve"> -&gt; </v>
      </c>
    </row>
    <row r="153" spans="1:20">
      <c r="A153" s="31"/>
      <c r="B153" s="32"/>
      <c r="C153" s="31" t="s">
        <v>187</v>
      </c>
      <c r="D153" s="31"/>
      <c r="E153" s="31"/>
      <c r="F153" s="31"/>
      <c r="G153" s="31" t="s">
        <v>53</v>
      </c>
      <c r="H153" s="32"/>
      <c r="I153" s="32"/>
      <c r="J153" s="32"/>
      <c r="K153" s="31"/>
      <c r="L153" s="31"/>
      <c r="M153" s="3" t="str">
        <f t="shared" ca="1" si="15"/>
        <v/>
      </c>
      <c r="P153">
        <f>'Combined Delivery Data'!B181</f>
        <v>0</v>
      </c>
      <c r="Q153">
        <f t="shared" si="16"/>
        <v>0</v>
      </c>
      <c r="R153">
        <f t="shared" si="17"/>
        <v>454</v>
      </c>
      <c r="S153" s="28">
        <f t="shared" si="18"/>
        <v>0</v>
      </c>
      <c r="T153" t="str">
        <f t="shared" si="19"/>
        <v xml:space="preserve"> -&gt; </v>
      </c>
    </row>
    <row r="154" spans="1:20">
      <c r="A154" s="31"/>
      <c r="B154" s="32"/>
      <c r="C154" s="31" t="s">
        <v>187</v>
      </c>
      <c r="D154" s="31"/>
      <c r="E154" s="31"/>
      <c r="F154" s="31"/>
      <c r="G154" s="31" t="s">
        <v>53</v>
      </c>
      <c r="H154" s="32"/>
      <c r="I154" s="32"/>
      <c r="J154" s="32"/>
      <c r="K154" s="31"/>
      <c r="L154" s="31"/>
      <c r="M154" s="3" t="str">
        <f t="shared" ca="1" si="15"/>
        <v/>
      </c>
      <c r="P154">
        <f>'Combined Delivery Data'!B182</f>
        <v>0</v>
      </c>
      <c r="Q154">
        <f t="shared" si="16"/>
        <v>0</v>
      </c>
      <c r="R154">
        <f t="shared" si="17"/>
        <v>454</v>
      </c>
      <c r="S154" s="28">
        <f t="shared" si="18"/>
        <v>0</v>
      </c>
      <c r="T154" t="str">
        <f t="shared" si="19"/>
        <v xml:space="preserve"> -&gt; </v>
      </c>
    </row>
    <row r="155" spans="1:20">
      <c r="A155" s="31"/>
      <c r="B155" s="32"/>
      <c r="C155" s="31" t="s">
        <v>187</v>
      </c>
      <c r="D155" s="31"/>
      <c r="E155" s="31"/>
      <c r="F155" s="31"/>
      <c r="G155" s="31" t="s">
        <v>53</v>
      </c>
      <c r="H155" s="32"/>
      <c r="I155" s="32"/>
      <c r="J155" s="32"/>
      <c r="K155" s="31"/>
      <c r="L155" s="31"/>
      <c r="M155" s="3" t="str">
        <f t="shared" ca="1" si="15"/>
        <v/>
      </c>
      <c r="P155">
        <f>'Combined Delivery Data'!B183</f>
        <v>0</v>
      </c>
      <c r="Q155">
        <f t="shared" si="16"/>
        <v>0</v>
      </c>
      <c r="R155">
        <f t="shared" si="17"/>
        <v>454</v>
      </c>
      <c r="S155" s="28">
        <f t="shared" si="18"/>
        <v>0</v>
      </c>
      <c r="T155" t="str">
        <f t="shared" si="19"/>
        <v xml:space="preserve"> -&gt; </v>
      </c>
    </row>
    <row r="156" spans="1:20">
      <c r="A156" s="31"/>
      <c r="B156" s="32"/>
      <c r="C156" s="31" t="s">
        <v>187</v>
      </c>
      <c r="D156" s="31"/>
      <c r="E156" s="31"/>
      <c r="F156" s="31"/>
      <c r="G156" s="31" t="s">
        <v>53</v>
      </c>
      <c r="H156" s="32"/>
      <c r="I156" s="32"/>
      <c r="J156" s="32"/>
      <c r="K156" s="31"/>
      <c r="L156" s="31"/>
      <c r="M156" s="3" t="str">
        <f t="shared" ca="1" si="15"/>
        <v/>
      </c>
      <c r="P156">
        <f>'Combined Delivery Data'!B184</f>
        <v>0</v>
      </c>
      <c r="Q156">
        <f t="shared" si="16"/>
        <v>0</v>
      </c>
      <c r="R156">
        <f t="shared" si="17"/>
        <v>454</v>
      </c>
      <c r="S156" s="28">
        <f t="shared" si="18"/>
        <v>0</v>
      </c>
      <c r="T156" t="str">
        <f t="shared" si="19"/>
        <v xml:space="preserve"> -&gt; </v>
      </c>
    </row>
    <row r="157" spans="1:20">
      <c r="A157" s="31"/>
      <c r="B157" s="32"/>
      <c r="C157" s="31" t="s">
        <v>187</v>
      </c>
      <c r="D157" s="31"/>
      <c r="E157" s="31"/>
      <c r="F157" s="31"/>
      <c r="G157" s="31" t="s">
        <v>53</v>
      </c>
      <c r="H157" s="32"/>
      <c r="I157" s="32"/>
      <c r="J157" s="32"/>
      <c r="K157" s="31"/>
      <c r="L157" s="31"/>
      <c r="M157" s="3" t="str">
        <f t="shared" ca="1" si="15"/>
        <v/>
      </c>
      <c r="P157">
        <f>'Combined Delivery Data'!B185</f>
        <v>0</v>
      </c>
      <c r="Q157">
        <f t="shared" si="16"/>
        <v>0</v>
      </c>
      <c r="R157">
        <f t="shared" si="17"/>
        <v>454</v>
      </c>
      <c r="S157" s="28">
        <f t="shared" si="18"/>
        <v>0</v>
      </c>
      <c r="T157" t="str">
        <f t="shared" si="19"/>
        <v xml:space="preserve"> -&gt; </v>
      </c>
    </row>
    <row r="158" spans="1:20">
      <c r="A158" s="31"/>
      <c r="B158" s="32"/>
      <c r="C158" s="31" t="s">
        <v>187</v>
      </c>
      <c r="D158" s="31"/>
      <c r="E158" s="31"/>
      <c r="F158" s="31"/>
      <c r="G158" s="31" t="s">
        <v>53</v>
      </c>
      <c r="H158" s="32"/>
      <c r="I158" s="32"/>
      <c r="J158" s="32"/>
      <c r="K158" s="31"/>
      <c r="L158" s="31"/>
      <c r="M158" s="3" t="str">
        <f t="shared" ca="1" si="15"/>
        <v/>
      </c>
      <c r="P158">
        <f>'Combined Delivery Data'!B186</f>
        <v>0</v>
      </c>
      <c r="Q158">
        <f t="shared" si="16"/>
        <v>0</v>
      </c>
      <c r="R158">
        <f t="shared" si="17"/>
        <v>454</v>
      </c>
      <c r="S158" s="28">
        <f t="shared" si="18"/>
        <v>0</v>
      </c>
      <c r="T158" t="str">
        <f t="shared" si="19"/>
        <v xml:space="preserve"> -&gt; </v>
      </c>
    </row>
    <row r="159" spans="1:20">
      <c r="A159" s="31"/>
      <c r="B159" s="32"/>
      <c r="C159" s="31" t="s">
        <v>187</v>
      </c>
      <c r="D159" s="31"/>
      <c r="E159" s="31"/>
      <c r="F159" s="31"/>
      <c r="G159" s="31" t="s">
        <v>53</v>
      </c>
      <c r="H159" s="32"/>
      <c r="I159" s="32"/>
      <c r="J159" s="32"/>
      <c r="K159" s="31"/>
      <c r="L159" s="31"/>
      <c r="M159" s="3" t="str">
        <f t="shared" ca="1" si="15"/>
        <v/>
      </c>
      <c r="P159">
        <f>'Combined Delivery Data'!B187</f>
        <v>0</v>
      </c>
      <c r="Q159">
        <f t="shared" si="16"/>
        <v>0</v>
      </c>
      <c r="R159">
        <f t="shared" si="17"/>
        <v>454</v>
      </c>
      <c r="S159" s="28">
        <f t="shared" si="18"/>
        <v>0</v>
      </c>
      <c r="T159" t="str">
        <f t="shared" si="19"/>
        <v xml:space="preserve"> -&gt; </v>
      </c>
    </row>
    <row r="160" spans="1:20">
      <c r="A160" s="31"/>
      <c r="B160" s="32"/>
      <c r="C160" s="31" t="s">
        <v>187</v>
      </c>
      <c r="D160" s="31"/>
      <c r="E160" s="31"/>
      <c r="F160" s="31"/>
      <c r="G160" s="31" t="s">
        <v>53</v>
      </c>
      <c r="H160" s="32"/>
      <c r="I160" s="32"/>
      <c r="J160" s="32"/>
      <c r="K160" s="31"/>
      <c r="L160" s="31"/>
      <c r="M160" s="3" t="str">
        <f t="shared" ca="1" si="15"/>
        <v/>
      </c>
      <c r="P160">
        <f>'Combined Delivery Data'!B188</f>
        <v>0</v>
      </c>
      <c r="Q160">
        <f t="shared" si="16"/>
        <v>0</v>
      </c>
      <c r="R160">
        <f t="shared" si="17"/>
        <v>454</v>
      </c>
      <c r="S160" s="28">
        <f t="shared" si="18"/>
        <v>0</v>
      </c>
      <c r="T160" t="str">
        <f t="shared" si="19"/>
        <v xml:space="preserve"> -&gt; </v>
      </c>
    </row>
    <row r="161" spans="1:20">
      <c r="A161" s="31"/>
      <c r="B161" s="32"/>
      <c r="C161" s="31" t="s">
        <v>187</v>
      </c>
      <c r="D161" s="31"/>
      <c r="E161" s="31"/>
      <c r="F161" s="31"/>
      <c r="G161" s="31" t="s">
        <v>53</v>
      </c>
      <c r="H161" s="32"/>
      <c r="I161" s="32"/>
      <c r="J161" s="32"/>
      <c r="K161" s="31"/>
      <c r="L161" s="31"/>
      <c r="M161" s="3" t="str">
        <f t="shared" ca="1" si="15"/>
        <v/>
      </c>
      <c r="P161">
        <f>'Combined Delivery Data'!B189</f>
        <v>0</v>
      </c>
      <c r="Q161">
        <f t="shared" si="16"/>
        <v>0</v>
      </c>
      <c r="R161">
        <f t="shared" si="17"/>
        <v>454</v>
      </c>
      <c r="S161" s="28">
        <f t="shared" si="18"/>
        <v>0</v>
      </c>
      <c r="T161" t="str">
        <f t="shared" si="19"/>
        <v xml:space="preserve"> -&gt; </v>
      </c>
    </row>
    <row r="162" spans="1:20">
      <c r="A162" s="31"/>
      <c r="B162" s="32"/>
      <c r="C162" s="31" t="s">
        <v>187</v>
      </c>
      <c r="D162" s="31"/>
      <c r="E162" s="31"/>
      <c r="F162" s="31"/>
      <c r="G162" s="31" t="s">
        <v>53</v>
      </c>
      <c r="H162" s="32"/>
      <c r="I162" s="32"/>
      <c r="J162" s="32"/>
      <c r="K162" s="31"/>
      <c r="L162" s="31"/>
      <c r="M162" s="3" t="str">
        <f t="shared" ca="1" si="15"/>
        <v/>
      </c>
      <c r="P162">
        <f>'Combined Delivery Data'!B190</f>
        <v>0</v>
      </c>
      <c r="Q162">
        <f t="shared" si="16"/>
        <v>0</v>
      </c>
      <c r="R162">
        <f t="shared" si="17"/>
        <v>454</v>
      </c>
      <c r="S162" s="28">
        <f t="shared" si="18"/>
        <v>0</v>
      </c>
      <c r="T162" t="str">
        <f t="shared" si="19"/>
        <v xml:space="preserve"> -&gt; </v>
      </c>
    </row>
    <row r="163" spans="1:20">
      <c r="A163" s="31"/>
      <c r="B163" s="32"/>
      <c r="C163" s="31" t="s">
        <v>187</v>
      </c>
      <c r="D163" s="31"/>
      <c r="E163" s="31"/>
      <c r="F163" s="31"/>
      <c r="G163" s="31" t="s">
        <v>53</v>
      </c>
      <c r="H163" s="32"/>
      <c r="I163" s="32"/>
      <c r="J163" s="32"/>
      <c r="K163" s="31"/>
      <c r="L163" s="31"/>
      <c r="M163" s="3" t="str">
        <f t="shared" ca="1" si="15"/>
        <v/>
      </c>
      <c r="P163">
        <f>'Combined Delivery Data'!B191</f>
        <v>0</v>
      </c>
      <c r="Q163">
        <f t="shared" si="16"/>
        <v>0</v>
      </c>
      <c r="R163">
        <f t="shared" si="17"/>
        <v>454</v>
      </c>
      <c r="S163" s="28">
        <f t="shared" si="18"/>
        <v>0</v>
      </c>
      <c r="T163" t="str">
        <f t="shared" si="19"/>
        <v xml:space="preserve"> -&gt; </v>
      </c>
    </row>
    <row r="164" spans="1:20">
      <c r="A164" s="31"/>
      <c r="B164" s="32"/>
      <c r="C164" s="31" t="s">
        <v>187</v>
      </c>
      <c r="D164" s="31"/>
      <c r="E164" s="31"/>
      <c r="F164" s="31"/>
      <c r="G164" s="31" t="s">
        <v>53</v>
      </c>
      <c r="H164" s="32"/>
      <c r="I164" s="32"/>
      <c r="J164" s="32"/>
      <c r="K164" s="31"/>
      <c r="L164" s="31"/>
      <c r="M164" s="3" t="str">
        <f t="shared" ca="1" si="15"/>
        <v/>
      </c>
      <c r="P164">
        <f>'Combined Delivery Data'!B192</f>
        <v>0</v>
      </c>
      <c r="Q164">
        <f t="shared" si="16"/>
        <v>0</v>
      </c>
      <c r="R164">
        <f t="shared" si="17"/>
        <v>454</v>
      </c>
      <c r="S164" s="28">
        <f t="shared" si="18"/>
        <v>0</v>
      </c>
      <c r="T164" t="str">
        <f t="shared" si="19"/>
        <v xml:space="preserve"> -&gt; </v>
      </c>
    </row>
    <row r="165" spans="1:20">
      <c r="A165" s="31"/>
      <c r="B165" s="32"/>
      <c r="C165" s="31" t="s">
        <v>187</v>
      </c>
      <c r="D165" s="31"/>
      <c r="E165" s="31"/>
      <c r="F165" s="31"/>
      <c r="G165" s="31" t="s">
        <v>53</v>
      </c>
      <c r="H165" s="32"/>
      <c r="I165" s="32"/>
      <c r="J165" s="32"/>
      <c r="K165" s="31"/>
      <c r="L165" s="31"/>
      <c r="M165" s="3" t="str">
        <f t="shared" ca="1" si="15"/>
        <v/>
      </c>
      <c r="P165">
        <f>'Combined Delivery Data'!B193</f>
        <v>0</v>
      </c>
      <c r="Q165">
        <f t="shared" si="16"/>
        <v>0</v>
      </c>
      <c r="R165">
        <f t="shared" si="17"/>
        <v>454</v>
      </c>
      <c r="S165" s="28">
        <f t="shared" si="18"/>
        <v>0</v>
      </c>
      <c r="T165" t="str">
        <f t="shared" si="19"/>
        <v xml:space="preserve"> -&gt; </v>
      </c>
    </row>
    <row r="166" spans="1:20">
      <c r="A166" s="31"/>
      <c r="B166" s="32"/>
      <c r="C166" s="31" t="s">
        <v>187</v>
      </c>
      <c r="D166" s="31"/>
      <c r="E166" s="31"/>
      <c r="F166" s="31"/>
      <c r="G166" s="31" t="s">
        <v>53</v>
      </c>
      <c r="H166" s="32"/>
      <c r="I166" s="32"/>
      <c r="J166" s="32"/>
      <c r="K166" s="31"/>
      <c r="L166" s="31"/>
      <c r="M166" s="3" t="str">
        <f t="shared" ca="1" si="15"/>
        <v/>
      </c>
      <c r="P166">
        <f>'Combined Delivery Data'!B194</f>
        <v>0</v>
      </c>
      <c r="Q166">
        <f t="shared" si="16"/>
        <v>0</v>
      </c>
      <c r="R166">
        <f t="shared" si="17"/>
        <v>454</v>
      </c>
      <c r="S166" s="28">
        <f t="shared" si="18"/>
        <v>0</v>
      </c>
      <c r="T166" t="str">
        <f t="shared" si="19"/>
        <v xml:space="preserve"> -&gt; </v>
      </c>
    </row>
    <row r="167" spans="1:20">
      <c r="A167" s="31"/>
      <c r="B167" s="32"/>
      <c r="C167" s="31" t="s">
        <v>187</v>
      </c>
      <c r="D167" s="31"/>
      <c r="E167" s="31"/>
      <c r="F167" s="31"/>
      <c r="G167" s="31" t="s">
        <v>53</v>
      </c>
      <c r="H167" s="32"/>
      <c r="I167" s="32"/>
      <c r="J167" s="32"/>
      <c r="K167" s="31"/>
      <c r="L167" s="31"/>
      <c r="M167" s="3" t="str">
        <f t="shared" ca="1" si="15"/>
        <v/>
      </c>
      <c r="P167">
        <f>'Combined Delivery Data'!B195</f>
        <v>0</v>
      </c>
      <c r="Q167">
        <f t="shared" si="16"/>
        <v>0</v>
      </c>
      <c r="R167">
        <f t="shared" si="17"/>
        <v>454</v>
      </c>
      <c r="S167" s="28">
        <f t="shared" si="18"/>
        <v>0</v>
      </c>
      <c r="T167" t="str">
        <f t="shared" si="19"/>
        <v xml:space="preserve"> -&gt; </v>
      </c>
    </row>
    <row r="168" spans="1:20">
      <c r="A168" s="31"/>
      <c r="B168" s="32"/>
      <c r="C168" s="31" t="s">
        <v>187</v>
      </c>
      <c r="D168" s="31"/>
      <c r="E168" s="31"/>
      <c r="F168" s="31"/>
      <c r="G168" s="31" t="s">
        <v>53</v>
      </c>
      <c r="H168" s="32"/>
      <c r="I168" s="32"/>
      <c r="J168" s="32"/>
      <c r="K168" s="31"/>
      <c r="L168" s="31"/>
      <c r="M168" s="3" t="str">
        <f t="shared" ca="1" si="15"/>
        <v/>
      </c>
      <c r="P168">
        <f>'Combined Delivery Data'!B196</f>
        <v>0</v>
      </c>
      <c r="Q168">
        <f t="shared" si="16"/>
        <v>0</v>
      </c>
      <c r="R168">
        <f t="shared" si="17"/>
        <v>454</v>
      </c>
      <c r="S168" s="28">
        <f t="shared" si="18"/>
        <v>0</v>
      </c>
      <c r="T168" t="str">
        <f t="shared" si="19"/>
        <v xml:space="preserve"> -&gt; </v>
      </c>
    </row>
    <row r="169" spans="1:20">
      <c r="A169" s="31"/>
      <c r="B169" s="32"/>
      <c r="C169" s="31" t="s">
        <v>187</v>
      </c>
      <c r="D169" s="31"/>
      <c r="E169" s="31"/>
      <c r="F169" s="31"/>
      <c r="G169" s="31" t="s">
        <v>53</v>
      </c>
      <c r="H169" s="32"/>
      <c r="I169" s="32"/>
      <c r="J169" s="32"/>
      <c r="K169" s="31"/>
      <c r="L169" s="31"/>
      <c r="M169" s="3" t="str">
        <f t="shared" ca="1" si="15"/>
        <v/>
      </c>
      <c r="P169">
        <f>'Combined Delivery Data'!B197</f>
        <v>0</v>
      </c>
      <c r="Q169">
        <f t="shared" si="16"/>
        <v>0</v>
      </c>
      <c r="R169">
        <f t="shared" si="17"/>
        <v>454</v>
      </c>
      <c r="S169" s="28">
        <f t="shared" si="18"/>
        <v>0</v>
      </c>
      <c r="T169" t="str">
        <f t="shared" si="19"/>
        <v xml:space="preserve"> -&gt; </v>
      </c>
    </row>
    <row r="170" spans="1:20">
      <c r="A170" s="31"/>
      <c r="B170" s="32"/>
      <c r="C170" s="31" t="s">
        <v>187</v>
      </c>
      <c r="D170" s="31"/>
      <c r="E170" s="31"/>
      <c r="F170" s="31"/>
      <c r="G170" s="31" t="s">
        <v>53</v>
      </c>
      <c r="H170" s="32"/>
      <c r="I170" s="32"/>
      <c r="J170" s="32"/>
      <c r="K170" s="31"/>
      <c r="L170" s="31"/>
      <c r="M170" s="3" t="str">
        <f t="shared" ca="1" si="15"/>
        <v/>
      </c>
      <c r="P170">
        <f>'Combined Delivery Data'!B198</f>
        <v>0</v>
      </c>
      <c r="Q170">
        <f t="shared" si="16"/>
        <v>0</v>
      </c>
      <c r="R170">
        <f t="shared" si="17"/>
        <v>454</v>
      </c>
      <c r="S170" s="28">
        <f t="shared" si="18"/>
        <v>0</v>
      </c>
      <c r="T170" t="str">
        <f t="shared" si="19"/>
        <v xml:space="preserve"> -&gt; </v>
      </c>
    </row>
    <row r="171" spans="1:20">
      <c r="A171" s="31"/>
      <c r="B171" s="32"/>
      <c r="C171" s="31" t="s">
        <v>187</v>
      </c>
      <c r="D171" s="31"/>
      <c r="E171" s="31"/>
      <c r="F171" s="31"/>
      <c r="G171" s="31" t="s">
        <v>53</v>
      </c>
      <c r="H171" s="32"/>
      <c r="I171" s="32"/>
      <c r="J171" s="32"/>
      <c r="K171" s="31"/>
      <c r="L171" s="31"/>
      <c r="M171" s="3" t="str">
        <f t="shared" ca="1" si="15"/>
        <v/>
      </c>
      <c r="P171">
        <f>'Combined Delivery Data'!B199</f>
        <v>0</v>
      </c>
      <c r="Q171">
        <f t="shared" si="16"/>
        <v>0</v>
      </c>
      <c r="R171">
        <f t="shared" si="17"/>
        <v>454</v>
      </c>
      <c r="S171" s="28">
        <f t="shared" si="18"/>
        <v>0</v>
      </c>
      <c r="T171" t="str">
        <f t="shared" si="19"/>
        <v xml:space="preserve"> -&gt; </v>
      </c>
    </row>
    <row r="172" spans="1:20">
      <c r="A172" s="31"/>
      <c r="B172" s="32"/>
      <c r="C172" s="31" t="s">
        <v>187</v>
      </c>
      <c r="D172" s="31"/>
      <c r="E172" s="31"/>
      <c r="F172" s="31"/>
      <c r="G172" s="31" t="s">
        <v>53</v>
      </c>
      <c r="H172" s="32"/>
      <c r="I172" s="32"/>
      <c r="J172" s="32"/>
      <c r="K172" s="31"/>
      <c r="L172" s="31"/>
      <c r="M172" s="3" t="str">
        <f t="shared" ca="1" si="15"/>
        <v/>
      </c>
      <c r="P172">
        <f>'Combined Delivery Data'!B200</f>
        <v>0</v>
      </c>
      <c r="Q172">
        <f t="shared" si="16"/>
        <v>0</v>
      </c>
      <c r="R172">
        <f t="shared" si="17"/>
        <v>454</v>
      </c>
      <c r="S172" s="28">
        <f t="shared" si="18"/>
        <v>0</v>
      </c>
      <c r="T172" t="str">
        <f t="shared" si="19"/>
        <v xml:space="preserve"> -&gt; </v>
      </c>
    </row>
    <row r="173" spans="1:20">
      <c r="A173" s="31"/>
      <c r="B173" s="32"/>
      <c r="C173" s="31" t="s">
        <v>187</v>
      </c>
      <c r="D173" s="31"/>
      <c r="E173" s="31"/>
      <c r="F173" s="31"/>
      <c r="G173" s="31" t="s">
        <v>53</v>
      </c>
      <c r="H173" s="32"/>
      <c r="I173" s="32"/>
      <c r="J173" s="32"/>
      <c r="K173" s="31"/>
      <c r="L173" s="31"/>
      <c r="M173" s="3" t="str">
        <f t="shared" ca="1" si="15"/>
        <v/>
      </c>
      <c r="P173">
        <f>'Combined Delivery Data'!B201</f>
        <v>0</v>
      </c>
      <c r="Q173">
        <f t="shared" si="16"/>
        <v>0</v>
      </c>
      <c r="R173">
        <f t="shared" si="17"/>
        <v>454</v>
      </c>
      <c r="S173" s="28">
        <f t="shared" si="18"/>
        <v>0</v>
      </c>
      <c r="T173" t="str">
        <f t="shared" si="19"/>
        <v xml:space="preserve"> -&gt; </v>
      </c>
    </row>
    <row r="174" spans="1:20">
      <c r="A174" s="31"/>
      <c r="B174" s="32"/>
      <c r="C174" s="31" t="s">
        <v>187</v>
      </c>
      <c r="D174" s="31"/>
      <c r="E174" s="31"/>
      <c r="F174" s="31"/>
      <c r="G174" s="31" t="s">
        <v>53</v>
      </c>
      <c r="H174" s="32"/>
      <c r="I174" s="32"/>
      <c r="J174" s="32"/>
      <c r="K174" s="31"/>
      <c r="L174" s="31"/>
      <c r="M174" s="3" t="str">
        <f t="shared" ca="1" si="15"/>
        <v/>
      </c>
      <c r="P174">
        <f>'Combined Delivery Data'!B202</f>
        <v>0</v>
      </c>
      <c r="Q174">
        <f t="shared" si="16"/>
        <v>0</v>
      </c>
      <c r="R174">
        <f t="shared" si="17"/>
        <v>454</v>
      </c>
      <c r="S174" s="28">
        <f t="shared" si="18"/>
        <v>0</v>
      </c>
      <c r="T174" t="str">
        <f t="shared" si="19"/>
        <v xml:space="preserve"> -&gt; </v>
      </c>
    </row>
    <row r="175" spans="1:20">
      <c r="A175" s="31"/>
      <c r="B175" s="32"/>
      <c r="C175" s="31" t="s">
        <v>187</v>
      </c>
      <c r="D175" s="31"/>
      <c r="E175" s="31"/>
      <c r="F175" s="31"/>
      <c r="G175" s="31" t="s">
        <v>53</v>
      </c>
      <c r="H175" s="32"/>
      <c r="I175" s="32"/>
      <c r="J175" s="32"/>
      <c r="K175" s="31"/>
      <c r="L175" s="31"/>
      <c r="M175" s="3" t="str">
        <f t="shared" ca="1" si="15"/>
        <v/>
      </c>
      <c r="P175">
        <f>'Combined Delivery Data'!B203</f>
        <v>0</v>
      </c>
      <c r="Q175">
        <f t="shared" si="16"/>
        <v>0</v>
      </c>
      <c r="R175">
        <f t="shared" si="17"/>
        <v>454</v>
      </c>
      <c r="S175" s="28">
        <f t="shared" si="18"/>
        <v>0</v>
      </c>
      <c r="T175" t="str">
        <f t="shared" si="19"/>
        <v xml:space="preserve"> -&gt; </v>
      </c>
    </row>
    <row r="176" spans="1:20">
      <c r="A176" s="31"/>
      <c r="B176" s="32"/>
      <c r="C176" s="31" t="s">
        <v>187</v>
      </c>
      <c r="D176" s="31"/>
      <c r="E176" s="31"/>
      <c r="F176" s="31"/>
      <c r="G176" s="31" t="s">
        <v>53</v>
      </c>
      <c r="H176" s="32"/>
      <c r="I176" s="32"/>
      <c r="J176" s="32"/>
      <c r="K176" s="31"/>
      <c r="L176" s="31"/>
      <c r="M176" s="3" t="str">
        <f t="shared" ca="1" si="15"/>
        <v/>
      </c>
      <c r="P176">
        <f>'Combined Delivery Data'!B204</f>
        <v>0</v>
      </c>
      <c r="Q176">
        <f t="shared" si="16"/>
        <v>0</v>
      </c>
      <c r="R176">
        <f t="shared" si="17"/>
        <v>454</v>
      </c>
      <c r="S176" s="28">
        <f t="shared" si="18"/>
        <v>0</v>
      </c>
      <c r="T176" t="str">
        <f t="shared" si="19"/>
        <v xml:space="preserve"> -&gt; </v>
      </c>
    </row>
    <row r="177" spans="1:20">
      <c r="A177" s="31"/>
      <c r="B177" s="32"/>
      <c r="C177" s="31" t="s">
        <v>187</v>
      </c>
      <c r="D177" s="31"/>
      <c r="E177" s="31"/>
      <c r="F177" s="31"/>
      <c r="G177" s="31" t="s">
        <v>53</v>
      </c>
      <c r="H177" s="32"/>
      <c r="I177" s="32"/>
      <c r="J177" s="32"/>
      <c r="K177" s="31"/>
      <c r="L177" s="31"/>
      <c r="M177" s="3" t="str">
        <f t="shared" ca="1" si="15"/>
        <v/>
      </c>
      <c r="P177">
        <f>'Combined Delivery Data'!B205</f>
        <v>0</v>
      </c>
      <c r="Q177">
        <f t="shared" si="16"/>
        <v>0</v>
      </c>
      <c r="R177">
        <f t="shared" si="17"/>
        <v>454</v>
      </c>
      <c r="S177" s="28">
        <f t="shared" si="18"/>
        <v>0</v>
      </c>
      <c r="T177" t="str">
        <f t="shared" si="19"/>
        <v xml:space="preserve"> -&gt; </v>
      </c>
    </row>
    <row r="178" spans="1:20">
      <c r="A178" s="31"/>
      <c r="B178" s="32"/>
      <c r="C178" s="31" t="s">
        <v>187</v>
      </c>
      <c r="D178" s="31"/>
      <c r="E178" s="31"/>
      <c r="F178" s="31"/>
      <c r="G178" s="31" t="s">
        <v>53</v>
      </c>
      <c r="H178" s="32"/>
      <c r="I178" s="32"/>
      <c r="J178" s="32"/>
      <c r="K178" s="31"/>
      <c r="L178" s="31"/>
      <c r="M178" s="3" t="str">
        <f t="shared" ca="1" si="15"/>
        <v/>
      </c>
      <c r="P178">
        <f>'Combined Delivery Data'!B206</f>
        <v>0</v>
      </c>
      <c r="Q178">
        <f t="shared" si="16"/>
        <v>0</v>
      </c>
      <c r="R178">
        <f t="shared" si="17"/>
        <v>454</v>
      </c>
      <c r="S178" s="28">
        <f t="shared" si="18"/>
        <v>0</v>
      </c>
      <c r="T178" t="str">
        <f t="shared" si="19"/>
        <v xml:space="preserve"> -&gt; </v>
      </c>
    </row>
    <row r="179" spans="1:20">
      <c r="A179" s="31"/>
      <c r="B179" s="32"/>
      <c r="C179" s="31" t="s">
        <v>187</v>
      </c>
      <c r="D179" s="31"/>
      <c r="E179" s="31"/>
      <c r="F179" s="31"/>
      <c r="G179" s="31" t="s">
        <v>53</v>
      </c>
      <c r="H179" s="32"/>
      <c r="I179" s="32"/>
      <c r="J179" s="32"/>
      <c r="K179" s="31"/>
      <c r="L179" s="31"/>
      <c r="M179" s="3" t="str">
        <f t="shared" ca="1" si="15"/>
        <v/>
      </c>
      <c r="P179">
        <f>'Combined Delivery Data'!B207</f>
        <v>0</v>
      </c>
      <c r="Q179">
        <f t="shared" si="16"/>
        <v>0</v>
      </c>
      <c r="R179">
        <f t="shared" si="17"/>
        <v>454</v>
      </c>
      <c r="S179" s="28">
        <f t="shared" si="18"/>
        <v>0</v>
      </c>
      <c r="T179" t="str">
        <f t="shared" si="19"/>
        <v xml:space="preserve"> -&gt; </v>
      </c>
    </row>
    <row r="180" spans="1:20">
      <c r="A180" s="31"/>
      <c r="B180" s="32"/>
      <c r="C180" s="31" t="s">
        <v>187</v>
      </c>
      <c r="D180" s="31"/>
      <c r="E180" s="31"/>
      <c r="F180" s="31"/>
      <c r="G180" s="31" t="s">
        <v>53</v>
      </c>
      <c r="H180" s="32"/>
      <c r="I180" s="32"/>
      <c r="J180" s="32"/>
      <c r="K180" s="31"/>
      <c r="L180" s="31"/>
      <c r="M180" s="3" t="str">
        <f t="shared" ca="1" si="15"/>
        <v/>
      </c>
      <c r="P180">
        <f>'Combined Delivery Data'!B208</f>
        <v>0</v>
      </c>
      <c r="Q180">
        <f t="shared" si="16"/>
        <v>0</v>
      </c>
      <c r="R180">
        <f t="shared" si="17"/>
        <v>454</v>
      </c>
      <c r="S180" s="28">
        <f t="shared" si="18"/>
        <v>0</v>
      </c>
      <c r="T180" t="str">
        <f t="shared" si="19"/>
        <v xml:space="preserve"> -&gt; </v>
      </c>
    </row>
    <row r="181" spans="1:20">
      <c r="A181" s="31"/>
      <c r="B181" s="32"/>
      <c r="C181" s="31" t="s">
        <v>187</v>
      </c>
      <c r="D181" s="31"/>
      <c r="E181" s="31"/>
      <c r="F181" s="31"/>
      <c r="G181" s="31" t="s">
        <v>53</v>
      </c>
      <c r="H181" s="32"/>
      <c r="I181" s="32"/>
      <c r="J181" s="32"/>
      <c r="K181" s="31"/>
      <c r="L181" s="31"/>
      <c r="M181" s="3" t="str">
        <f t="shared" ca="1" si="15"/>
        <v/>
      </c>
      <c r="P181">
        <f>'Combined Delivery Data'!B209</f>
        <v>0</v>
      </c>
      <c r="Q181">
        <f t="shared" si="16"/>
        <v>0</v>
      </c>
      <c r="R181">
        <f t="shared" si="17"/>
        <v>454</v>
      </c>
      <c r="S181" s="28">
        <f t="shared" si="18"/>
        <v>0</v>
      </c>
      <c r="T181" t="str">
        <f t="shared" si="19"/>
        <v xml:space="preserve"> -&gt; </v>
      </c>
    </row>
    <row r="182" spans="1:20">
      <c r="A182" s="31"/>
      <c r="B182" s="32"/>
      <c r="C182" s="31" t="s">
        <v>187</v>
      </c>
      <c r="D182" s="31"/>
      <c r="E182" s="31"/>
      <c r="F182" s="31"/>
      <c r="G182" s="31" t="s">
        <v>53</v>
      </c>
      <c r="H182" s="32"/>
      <c r="I182" s="32"/>
      <c r="J182" s="32"/>
      <c r="K182" s="31"/>
      <c r="L182" s="31"/>
      <c r="M182" s="3" t="str">
        <f t="shared" ca="1" si="15"/>
        <v/>
      </c>
      <c r="P182">
        <f>'Combined Delivery Data'!B210</f>
        <v>0</v>
      </c>
      <c r="Q182">
        <f t="shared" si="16"/>
        <v>0</v>
      </c>
      <c r="R182">
        <f t="shared" si="17"/>
        <v>454</v>
      </c>
      <c r="S182" s="28">
        <f t="shared" si="18"/>
        <v>0</v>
      </c>
      <c r="T182" t="str">
        <f t="shared" si="19"/>
        <v xml:space="preserve"> -&gt; </v>
      </c>
    </row>
    <row r="183" spans="1:20">
      <c r="A183" s="31"/>
      <c r="B183" s="32"/>
      <c r="C183" s="31" t="s">
        <v>187</v>
      </c>
      <c r="D183" s="31"/>
      <c r="E183" s="31"/>
      <c r="F183" s="31"/>
      <c r="G183" s="31" t="s">
        <v>53</v>
      </c>
      <c r="H183" s="32"/>
      <c r="I183" s="32"/>
      <c r="J183" s="32"/>
      <c r="K183" s="31"/>
      <c r="L183" s="31"/>
      <c r="M183" s="3" t="str">
        <f t="shared" ca="1" si="15"/>
        <v/>
      </c>
      <c r="P183">
        <f>'Combined Delivery Data'!B211</f>
        <v>0</v>
      </c>
      <c r="Q183">
        <f t="shared" si="16"/>
        <v>0</v>
      </c>
      <c r="R183">
        <f t="shared" si="17"/>
        <v>454</v>
      </c>
      <c r="S183" s="28">
        <f t="shared" si="18"/>
        <v>0</v>
      </c>
      <c r="T183" t="str">
        <f t="shared" si="19"/>
        <v xml:space="preserve"> -&gt; </v>
      </c>
    </row>
    <row r="184" spans="1:20">
      <c r="A184" s="31"/>
      <c r="B184" s="32"/>
      <c r="C184" s="31" t="s">
        <v>187</v>
      </c>
      <c r="D184" s="31"/>
      <c r="E184" s="31"/>
      <c r="F184" s="31"/>
      <c r="G184" s="31" t="s">
        <v>53</v>
      </c>
      <c r="H184" s="32"/>
      <c r="I184" s="32"/>
      <c r="J184" s="32"/>
      <c r="K184" s="31"/>
      <c r="L184" s="31"/>
      <c r="M184" s="3" t="str">
        <f t="shared" ca="1" si="15"/>
        <v/>
      </c>
      <c r="P184">
        <f>'Combined Delivery Data'!B212</f>
        <v>0</v>
      </c>
      <c r="Q184">
        <f t="shared" si="16"/>
        <v>0</v>
      </c>
      <c r="R184">
        <f t="shared" si="17"/>
        <v>454</v>
      </c>
      <c r="S184" s="28">
        <f t="shared" si="18"/>
        <v>0</v>
      </c>
      <c r="T184" t="str">
        <f t="shared" si="19"/>
        <v xml:space="preserve"> -&gt; </v>
      </c>
    </row>
    <row r="185" spans="1:20">
      <c r="A185" s="31"/>
      <c r="B185" s="32"/>
      <c r="C185" s="31" t="s">
        <v>187</v>
      </c>
      <c r="D185" s="31"/>
      <c r="E185" s="31"/>
      <c r="F185" s="31"/>
      <c r="G185" s="31" t="s">
        <v>53</v>
      </c>
      <c r="H185" s="32"/>
      <c r="I185" s="32"/>
      <c r="J185" s="32"/>
      <c r="K185" s="31"/>
      <c r="L185" s="31"/>
      <c r="M185" s="3" t="str">
        <f t="shared" ca="1" si="15"/>
        <v/>
      </c>
      <c r="P185">
        <f>'Combined Delivery Data'!B213</f>
        <v>0</v>
      </c>
      <c r="Q185">
        <f t="shared" si="16"/>
        <v>0</v>
      </c>
      <c r="R185">
        <f t="shared" si="17"/>
        <v>454</v>
      </c>
      <c r="S185" s="28">
        <f t="shared" si="18"/>
        <v>0</v>
      </c>
      <c r="T185" t="str">
        <f t="shared" si="19"/>
        <v xml:space="preserve"> -&gt; </v>
      </c>
    </row>
    <row r="186" spans="1:20">
      <c r="A186" s="31"/>
      <c r="B186" s="32"/>
      <c r="C186" s="31" t="s">
        <v>187</v>
      </c>
      <c r="D186" s="31"/>
      <c r="E186" s="31"/>
      <c r="F186" s="31"/>
      <c r="G186" s="31" t="s">
        <v>53</v>
      </c>
      <c r="H186" s="32"/>
      <c r="I186" s="32"/>
      <c r="J186" s="32"/>
      <c r="K186" s="31"/>
      <c r="L186" s="31"/>
      <c r="M186" s="3" t="str">
        <f t="shared" ca="1" si="15"/>
        <v/>
      </c>
      <c r="P186">
        <f>'Combined Delivery Data'!B214</f>
        <v>0</v>
      </c>
      <c r="Q186">
        <f t="shared" si="16"/>
        <v>0</v>
      </c>
      <c r="R186">
        <f t="shared" si="17"/>
        <v>454</v>
      </c>
      <c r="S186" s="28">
        <f t="shared" si="18"/>
        <v>0</v>
      </c>
      <c r="T186" t="str">
        <f t="shared" si="19"/>
        <v xml:space="preserve"> -&gt; </v>
      </c>
    </row>
    <row r="187" spans="1:20">
      <c r="A187" s="31"/>
      <c r="B187" s="32"/>
      <c r="C187" s="31" t="s">
        <v>187</v>
      </c>
      <c r="D187" s="31"/>
      <c r="E187" s="31"/>
      <c r="F187" s="31"/>
      <c r="G187" s="31" t="s">
        <v>53</v>
      </c>
      <c r="H187" s="32"/>
      <c r="I187" s="32"/>
      <c r="J187" s="32"/>
      <c r="K187" s="31"/>
      <c r="L187" s="31"/>
      <c r="M187" s="3" t="str">
        <f t="shared" ca="1" si="15"/>
        <v/>
      </c>
      <c r="P187">
        <f>'Combined Delivery Data'!B215</f>
        <v>0</v>
      </c>
      <c r="Q187">
        <f t="shared" si="16"/>
        <v>0</v>
      </c>
      <c r="R187">
        <f t="shared" si="17"/>
        <v>454</v>
      </c>
      <c r="S187" s="28">
        <f t="shared" si="18"/>
        <v>0</v>
      </c>
      <c r="T187" t="str">
        <f t="shared" si="19"/>
        <v xml:space="preserve"> -&gt; </v>
      </c>
    </row>
    <row r="188" spans="1:20">
      <c r="A188" s="31"/>
      <c r="B188" s="32"/>
      <c r="C188" s="31" t="s">
        <v>187</v>
      </c>
      <c r="D188" s="31"/>
      <c r="E188" s="31"/>
      <c r="F188" s="31"/>
      <c r="G188" s="31" t="s">
        <v>53</v>
      </c>
      <c r="H188" s="32"/>
      <c r="I188" s="32"/>
      <c r="J188" s="32"/>
      <c r="K188" s="31"/>
      <c r="L188" s="31"/>
      <c r="M188" s="3" t="str">
        <f t="shared" ca="1" si="15"/>
        <v/>
      </c>
      <c r="P188">
        <f>'Combined Delivery Data'!B216</f>
        <v>0</v>
      </c>
      <c r="Q188">
        <f t="shared" si="16"/>
        <v>0</v>
      </c>
      <c r="R188">
        <f t="shared" si="17"/>
        <v>454</v>
      </c>
      <c r="S188" s="28">
        <f t="shared" si="18"/>
        <v>0</v>
      </c>
      <c r="T188" t="str">
        <f t="shared" si="19"/>
        <v xml:space="preserve"> -&gt; </v>
      </c>
    </row>
    <row r="189" spans="1:20">
      <c r="A189" s="31"/>
      <c r="B189" s="32"/>
      <c r="C189" s="31" t="s">
        <v>187</v>
      </c>
      <c r="D189" s="31"/>
      <c r="E189" s="31"/>
      <c r="F189" s="31"/>
      <c r="G189" s="31" t="s">
        <v>53</v>
      </c>
      <c r="H189" s="32"/>
      <c r="I189" s="32"/>
      <c r="J189" s="32"/>
      <c r="K189" s="31"/>
      <c r="L189" s="31"/>
      <c r="M189" s="3" t="str">
        <f t="shared" ca="1" si="15"/>
        <v/>
      </c>
      <c r="P189">
        <f>'Combined Delivery Data'!B217</f>
        <v>0</v>
      </c>
      <c r="Q189">
        <f t="shared" si="16"/>
        <v>0</v>
      </c>
      <c r="R189">
        <f t="shared" si="17"/>
        <v>454</v>
      </c>
      <c r="S189" s="28">
        <f t="shared" si="18"/>
        <v>0</v>
      </c>
      <c r="T189" t="str">
        <f t="shared" si="19"/>
        <v xml:space="preserve"> -&gt; </v>
      </c>
    </row>
    <row r="190" spans="1:20">
      <c r="A190" s="31"/>
      <c r="B190" s="32"/>
      <c r="C190" s="31" t="s">
        <v>187</v>
      </c>
      <c r="D190" s="31"/>
      <c r="E190" s="31"/>
      <c r="F190" s="31"/>
      <c r="G190" s="31" t="s">
        <v>53</v>
      </c>
      <c r="H190" s="32"/>
      <c r="I190" s="32"/>
      <c r="J190" s="32"/>
      <c r="K190" s="31"/>
      <c r="L190" s="31"/>
      <c r="M190" s="3" t="str">
        <f t="shared" ca="1" si="15"/>
        <v/>
      </c>
      <c r="P190">
        <f>'Combined Delivery Data'!B218</f>
        <v>0</v>
      </c>
      <c r="Q190">
        <f t="shared" si="16"/>
        <v>0</v>
      </c>
      <c r="R190">
        <f t="shared" si="17"/>
        <v>454</v>
      </c>
      <c r="S190" s="28">
        <f t="shared" si="18"/>
        <v>0</v>
      </c>
      <c r="T190" t="str">
        <f t="shared" si="19"/>
        <v xml:space="preserve"> -&gt; </v>
      </c>
    </row>
    <row r="191" spans="1:20">
      <c r="A191" s="31"/>
      <c r="B191" s="32"/>
      <c r="C191" s="31" t="s">
        <v>187</v>
      </c>
      <c r="D191" s="31"/>
      <c r="E191" s="31"/>
      <c r="F191" s="31"/>
      <c r="G191" s="31" t="s">
        <v>53</v>
      </c>
      <c r="H191" s="32"/>
      <c r="I191" s="32"/>
      <c r="J191" s="32"/>
      <c r="K191" s="31"/>
      <c r="L191" s="31"/>
      <c r="M191" s="3" t="str">
        <f t="shared" ca="1" si="15"/>
        <v/>
      </c>
      <c r="P191">
        <f>'Combined Delivery Data'!B219</f>
        <v>0</v>
      </c>
      <c r="Q191">
        <f t="shared" si="16"/>
        <v>0</v>
      </c>
      <c r="R191">
        <f t="shared" si="17"/>
        <v>454</v>
      </c>
      <c r="S191" s="28">
        <f t="shared" si="18"/>
        <v>0</v>
      </c>
      <c r="T191" t="str">
        <f t="shared" si="19"/>
        <v xml:space="preserve"> -&gt; </v>
      </c>
    </row>
    <row r="192" spans="1:20">
      <c r="A192" s="31"/>
      <c r="B192" s="32"/>
      <c r="C192" s="31" t="s">
        <v>187</v>
      </c>
      <c r="D192" s="31"/>
      <c r="E192" s="31"/>
      <c r="F192" s="31"/>
      <c r="G192" s="31" t="s">
        <v>53</v>
      </c>
      <c r="H192" s="32"/>
      <c r="I192" s="32"/>
      <c r="J192" s="32"/>
      <c r="K192" s="31"/>
      <c r="L192" s="31"/>
      <c r="M192" s="3" t="str">
        <f t="shared" ca="1" si="15"/>
        <v/>
      </c>
      <c r="P192">
        <f>'Combined Delivery Data'!B220</f>
        <v>0</v>
      </c>
      <c r="Q192">
        <f t="shared" si="16"/>
        <v>0</v>
      </c>
      <c r="R192">
        <f t="shared" si="17"/>
        <v>454</v>
      </c>
      <c r="S192" s="28">
        <f t="shared" si="18"/>
        <v>0</v>
      </c>
      <c r="T192" t="str">
        <f t="shared" si="19"/>
        <v xml:space="preserve"> -&gt; </v>
      </c>
    </row>
    <row r="193" spans="1:20">
      <c r="A193" s="31"/>
      <c r="B193" s="32"/>
      <c r="C193" s="31" t="s">
        <v>187</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454</v>
      </c>
      <c r="S193" s="28">
        <f t="shared" si="18"/>
        <v>0</v>
      </c>
      <c r="T193" t="str">
        <f t="shared" si="19"/>
        <v xml:space="preserve"> -&gt; </v>
      </c>
    </row>
    <row r="194" spans="1:20">
      <c r="A194" s="31"/>
      <c r="B194" s="32"/>
      <c r="C194" s="31" t="s">
        <v>187</v>
      </c>
      <c r="D194" s="31"/>
      <c r="E194" s="31"/>
      <c r="F194" s="31"/>
      <c r="G194" s="31" t="s">
        <v>53</v>
      </c>
      <c r="H194" s="32"/>
      <c r="I194" s="32"/>
      <c r="J194" s="32"/>
      <c r="K194" s="31"/>
      <c r="L194" s="31"/>
      <c r="M194" s="3" t="str">
        <f t="shared" ca="1" si="20"/>
        <v/>
      </c>
      <c r="P194">
        <f>'Combined Delivery Data'!B222</f>
        <v>0</v>
      </c>
      <c r="Q194">
        <f t="shared" si="16"/>
        <v>0</v>
      </c>
      <c r="R194">
        <f t="shared" si="17"/>
        <v>454</v>
      </c>
      <c r="S194" s="28">
        <f t="shared" si="18"/>
        <v>0</v>
      </c>
      <c r="T194" t="str">
        <f t="shared" si="19"/>
        <v xml:space="preserve"> -&gt; </v>
      </c>
    </row>
    <row r="195" spans="1:20">
      <c r="A195" s="31"/>
      <c r="B195" s="32"/>
      <c r="C195" s="31" t="s">
        <v>187</v>
      </c>
      <c r="D195" s="31"/>
      <c r="E195" s="31"/>
      <c r="F195" s="31"/>
      <c r="G195" s="31" t="s">
        <v>53</v>
      </c>
      <c r="H195" s="32"/>
      <c r="I195" s="32"/>
      <c r="J195" s="32"/>
      <c r="K195" s="31"/>
      <c r="L195" s="31"/>
      <c r="M195" s="3" t="str">
        <f t="shared" ca="1" si="20"/>
        <v/>
      </c>
      <c r="P195">
        <f>'Combined Delivery Data'!B223</f>
        <v>0</v>
      </c>
      <c r="Q195">
        <f t="shared" si="16"/>
        <v>0</v>
      </c>
      <c r="R195">
        <f t="shared" si="17"/>
        <v>454</v>
      </c>
      <c r="S195" s="28">
        <f t="shared" si="18"/>
        <v>0</v>
      </c>
      <c r="T195" t="str">
        <f t="shared" si="19"/>
        <v xml:space="preserve"> -&gt; </v>
      </c>
    </row>
    <row r="196" spans="1:20">
      <c r="A196" s="31"/>
      <c r="B196" s="32"/>
      <c r="C196" s="31" t="s">
        <v>187</v>
      </c>
      <c r="D196" s="31"/>
      <c r="E196" s="31"/>
      <c r="F196" s="31"/>
      <c r="G196" s="31" t="s">
        <v>53</v>
      </c>
      <c r="H196" s="32"/>
      <c r="I196" s="32"/>
      <c r="J196" s="32"/>
      <c r="K196" s="31"/>
      <c r="L196" s="31"/>
      <c r="M196" s="3" t="str">
        <f t="shared" ca="1" si="20"/>
        <v/>
      </c>
      <c r="P196">
        <f>'Combined Delivery Data'!B224</f>
        <v>0</v>
      </c>
      <c r="Q196">
        <f t="shared" si="16"/>
        <v>0</v>
      </c>
      <c r="R196">
        <f t="shared" si="17"/>
        <v>454</v>
      </c>
      <c r="S196" s="28">
        <f t="shared" si="18"/>
        <v>0</v>
      </c>
      <c r="T196" t="str">
        <f t="shared" si="19"/>
        <v xml:space="preserve"> -&gt; </v>
      </c>
    </row>
    <row r="197" spans="1:20">
      <c r="A197" s="31"/>
      <c r="B197" s="32"/>
      <c r="C197" s="31" t="s">
        <v>187</v>
      </c>
      <c r="D197" s="31"/>
      <c r="E197" s="31"/>
      <c r="F197" s="31"/>
      <c r="G197" s="31" t="s">
        <v>53</v>
      </c>
      <c r="H197" s="32"/>
      <c r="I197" s="32"/>
      <c r="J197" s="32"/>
      <c r="K197" s="31"/>
      <c r="L197" s="31"/>
      <c r="M197" s="3" t="str">
        <f t="shared" ca="1" si="20"/>
        <v/>
      </c>
      <c r="P197">
        <f>'Combined Delivery Data'!B225</f>
        <v>0</v>
      </c>
      <c r="Q197">
        <f t="shared" si="16"/>
        <v>0</v>
      </c>
      <c r="R197">
        <f t="shared" si="17"/>
        <v>454</v>
      </c>
      <c r="S197" s="28">
        <f t="shared" si="18"/>
        <v>0</v>
      </c>
      <c r="T197" t="str">
        <f t="shared" si="19"/>
        <v xml:space="preserve"> -&gt; </v>
      </c>
    </row>
    <row r="198" spans="1:20">
      <c r="A198" s="31"/>
      <c r="B198" s="32"/>
      <c r="C198" s="31" t="s">
        <v>187</v>
      </c>
      <c r="D198" s="31"/>
      <c r="E198" s="31"/>
      <c r="F198" s="31"/>
      <c r="G198" s="31" t="s">
        <v>53</v>
      </c>
      <c r="H198" s="32"/>
      <c r="I198" s="32"/>
      <c r="J198" s="32"/>
      <c r="K198" s="31"/>
      <c r="L198" s="31"/>
      <c r="M198" s="3" t="str">
        <f t="shared" ca="1" si="20"/>
        <v/>
      </c>
      <c r="P198">
        <f>'Combined Delivery Data'!B226</f>
        <v>0</v>
      </c>
      <c r="Q198">
        <f t="shared" si="16"/>
        <v>0</v>
      </c>
      <c r="R198">
        <f t="shared" si="17"/>
        <v>454</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454</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454</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454</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454</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454</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454</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454</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454</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454</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454</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454</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454</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454</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454</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454</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454</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454</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454</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454</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454</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454</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454</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454</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454</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454</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454</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454</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454</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454</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454</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454</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454</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454</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454</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454</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454</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454</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454</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454</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454</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454</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454</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454</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454</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454</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454</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454</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454</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454</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454</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454</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454</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454</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454</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454</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454</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454</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454</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454</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454</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454</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454</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454</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454</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454</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454</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454</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454</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454</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454</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454</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454</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454</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454</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454</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454</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454</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454</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454</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454</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454</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454</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454</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454</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454</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454</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454</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454</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454</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454</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454</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454</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454</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454</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454</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454</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454</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454</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454</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454</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454</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454</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454</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454</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454</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454</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454</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454</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454</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454</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454</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454</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454</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454</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454</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454</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454</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454</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454</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454</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454</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454</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454</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454</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454</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454</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454</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454</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454</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454</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454</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454</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454</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454</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454</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454</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454</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454</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454</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454</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454</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454</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454</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454</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454</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454</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454</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454</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454</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454</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454</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454</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454</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454</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454</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454</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454</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454</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454</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454</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454</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454</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454</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454</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454</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454</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454</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454</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454</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454</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454</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454</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454</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454</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454</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454</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454</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454</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454</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454</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454</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454</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454</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454</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454</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454</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454</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454</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454</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454</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454</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454</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454</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454</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454</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454</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454</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454</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454</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454</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454</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454</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454</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454</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454</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454</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454</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454</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454</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454</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454</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454</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454</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454</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454</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454</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454</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454</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454</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454</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454</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454</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454</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454</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454</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454</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454</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454</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454</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454</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454</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454</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454</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454</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454</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454</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454</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454</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454</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454</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454</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454</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454</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454</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454</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454</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454</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454</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454</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454</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454</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454</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454</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454</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454</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454</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454</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454</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454</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454</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454</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454</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454</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454</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454</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454</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454</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454</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454</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454</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454</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454</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454</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454</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454</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454</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454</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454</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454</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454</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454</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454</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454</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454</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454</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454</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454</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454</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454</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454</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454</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454</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454</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454</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454</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454</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454</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454</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454</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454</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0" priority="16">
      <formula>AND($B5&lt;&gt;"",MOD(ROW(),2)=0)</formula>
    </cfRule>
  </conditionalFormatting>
  <conditionalFormatting sqref="A11:A13">
    <cfRule type="expression" dxfId="19" priority="13">
      <formula>AND($B11&lt;&gt;"",MOD(ROW(),2)=0)</formula>
    </cfRule>
  </conditionalFormatting>
  <conditionalFormatting sqref="A18">
    <cfRule type="expression" dxfId="18" priority="12">
      <formula>AND($B18&lt;&gt;"",MOD(ROW(),2)=0)</formula>
    </cfRule>
  </conditionalFormatting>
  <conditionalFormatting sqref="A22">
    <cfRule type="expression" dxfId="17" priority="10">
      <formula>AND($B22&lt;&gt;"",MOD(ROW(),2)=0)</formula>
    </cfRule>
  </conditionalFormatting>
  <conditionalFormatting sqref="A26:A27">
    <cfRule type="expression" dxfId="16" priority="8">
      <formula>AND($B26&lt;&gt;"",MOD(ROW(),2)=0)</formula>
    </cfRule>
  </conditionalFormatting>
  <conditionalFormatting sqref="A31">
    <cfRule type="expression" dxfId="15" priority="7">
      <formula>AND($B31&lt;&gt;"",MOD(ROW(),2)=0)</formula>
    </cfRule>
  </conditionalFormatting>
  <conditionalFormatting sqref="A36:A38">
    <cfRule type="expression" dxfId="14" priority="3">
      <formula>AND($B36&lt;&gt;"",MOD(ROW(),2)=0)</formula>
    </cfRule>
  </conditionalFormatting>
  <conditionalFormatting sqref="A3:H3 K3:M3 A4:M4 M4:M11 B5:M8 A9:M10 B11:M13 A14:M17 B18:M18 A19:M21 B22:M22 A23:M25 B26:M27 A28:M28 A29:K30 M29:M30 B31:M31 A32:M35 B36:M38 A39:M42 A44:M498 B43:M43">
    <cfRule type="expression" dxfId="13" priority="26">
      <formula>AND($A3&lt;&gt;"",$G3="Yes")</formula>
    </cfRule>
    <cfRule type="expression" dxfId="12" priority="27">
      <formula>AND($A3&lt;&gt;"",$J3&lt;&gt;"")</formula>
    </cfRule>
    <cfRule type="expression" dxfId="11" priority="28">
      <formula>$A3&lt;&gt;""</formula>
    </cfRule>
  </conditionalFormatting>
  <conditionalFormatting sqref="C3:C198 G3:G198">
    <cfRule type="expression" dxfId="10" priority="29">
      <formula>$A3=""</formula>
    </cfRule>
  </conditionalFormatting>
  <conditionalFormatting sqref="K3:M3 A4:M4 M4:M11 B5:M8 A9:M10 B11:M13 A14:M17 B18:M18 A19:M21 B22:M22 A23:M25 B26:M27 A28:M28 M29:M30 B31:M31 A32:M35 B36:M38 A39:M42 A3:H3 A29:K30 A44:M498 B43:M43">
    <cfRule type="expression" dxfId="9" priority="25">
      <formula>AND($A3&lt;&gt;"",$G3="Did not pass re-test")</formula>
    </cfRule>
  </conditionalFormatting>
  <conditionalFormatting sqref="M3:M498">
    <cfRule type="expression" dxfId="8" priority="19">
      <formula>ISNUMBER(SEARCH("Sent back again",$M3))</formula>
    </cfRule>
    <cfRule type="expression" dxfId="7" priority="20">
      <formula>ISNUMBER(SEARCH("LATE",$M3))</formula>
    </cfRule>
    <cfRule type="expression" dxfId="6" priority="21">
      <formula>ISNUMBER(SEARCH("UNCLAIMED",$M3))</formula>
    </cfRule>
    <cfRule type="expression" dxfId="5" priority="22">
      <formula>ISNUMBER(SEARCH("Missing",$M3))</formula>
    </cfRule>
    <cfRule type="expression" dxfId="4" priority="23">
      <formula>ISNUMBER(SEARCH("Fixed in",$M3))</formula>
    </cfRule>
    <cfRule type="expression" dxfId="3" priority="24">
      <formula>ISNUMBER(SEARCH("Open",$M3))</formula>
    </cfRule>
  </conditionalFormatting>
  <conditionalFormatting sqref="N25">
    <cfRule type="expression" dxfId="2" priority="2">
      <formula>AND($B25&lt;&gt;"",MOD(ROW(),2)=0)</formula>
    </cfRule>
  </conditionalFormatting>
  <conditionalFormatting sqref="A43">
    <cfRule type="expression" dxfId="1" priority="1">
      <formula>AND($B43&lt;&gt;"",MOD(ROW(),2)=0)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408</v>
      </c>
      <c r="B1" s="175"/>
      <c r="C1" s="175"/>
    </row>
    <row r="2" spans="1:8" ht="14.25" customHeight="1">
      <c r="A2" s="8" t="s">
        <v>0</v>
      </c>
      <c r="B2" s="8" t="s">
        <v>409</v>
      </c>
      <c r="C2" s="8" t="s">
        <v>410</v>
      </c>
      <c r="E2" t="s">
        <v>411</v>
      </c>
      <c r="F2" t="s">
        <v>412</v>
      </c>
      <c r="G2" t="s">
        <v>413</v>
      </c>
      <c r="H2" t="s">
        <v>414</v>
      </c>
    </row>
    <row r="3" spans="1:8" ht="14.25" customHeight="1">
      <c r="A3" s="11" t="s">
        <v>40</v>
      </c>
      <c r="B3" s="11">
        <v>8</v>
      </c>
      <c r="C3" s="12">
        <v>46142</v>
      </c>
      <c r="E3" t="s">
        <v>415</v>
      </c>
      <c r="F3" s="28">
        <v>46233</v>
      </c>
      <c r="G3" s="28">
        <v>46274</v>
      </c>
    </row>
    <row r="4" spans="1:8" ht="14.25" customHeight="1">
      <c r="A4" s="11" t="s">
        <v>40</v>
      </c>
      <c r="B4" s="11">
        <v>10</v>
      </c>
      <c r="C4" s="12">
        <v>46172</v>
      </c>
      <c r="E4" t="s">
        <v>416</v>
      </c>
      <c r="F4" s="28">
        <v>46264</v>
      </c>
      <c r="G4" s="28">
        <v>46295</v>
      </c>
    </row>
    <row r="5" spans="1:8" ht="14.25" customHeight="1">
      <c r="A5" s="11" t="s">
        <v>40</v>
      </c>
      <c r="B5" s="11">
        <v>9</v>
      </c>
      <c r="C5" s="12">
        <v>46203</v>
      </c>
      <c r="E5" t="s">
        <v>417</v>
      </c>
      <c r="F5" s="28">
        <v>46295</v>
      </c>
      <c r="G5" s="28">
        <v>46325</v>
      </c>
    </row>
    <row r="6" spans="1:8" ht="14.25" customHeight="1">
      <c r="A6" s="11" t="s">
        <v>126</v>
      </c>
      <c r="B6" s="11">
        <v>15</v>
      </c>
      <c r="C6" s="12">
        <v>46233</v>
      </c>
      <c r="E6" t="s">
        <v>418</v>
      </c>
      <c r="F6" s="28">
        <v>46325</v>
      </c>
      <c r="G6" s="28">
        <v>46356</v>
      </c>
    </row>
    <row r="7" spans="1:8" ht="14.25" customHeight="1">
      <c r="A7" s="11" t="s">
        <v>126</v>
      </c>
      <c r="B7" s="11">
        <v>15</v>
      </c>
      <c r="C7" s="12">
        <v>46264</v>
      </c>
      <c r="E7" t="s">
        <v>419</v>
      </c>
      <c r="F7" s="28">
        <v>46356</v>
      </c>
      <c r="G7" s="28">
        <v>46387</v>
      </c>
    </row>
    <row r="8" spans="1:8" ht="14.25" customHeight="1">
      <c r="A8" s="11" t="s">
        <v>126</v>
      </c>
      <c r="B8" s="11">
        <v>17</v>
      </c>
      <c r="C8" s="12">
        <v>46295</v>
      </c>
      <c r="E8" t="s">
        <v>420</v>
      </c>
      <c r="F8" s="28">
        <v>46387</v>
      </c>
      <c r="G8" s="28">
        <v>46417</v>
      </c>
    </row>
    <row r="9" spans="1:8" ht="14.25" customHeight="1">
      <c r="A9" s="11" t="s">
        <v>126</v>
      </c>
      <c r="B9" s="11">
        <v>20</v>
      </c>
      <c r="C9" s="12">
        <v>46325</v>
      </c>
      <c r="E9" t="s">
        <v>421</v>
      </c>
      <c r="F9" s="28">
        <v>46417</v>
      </c>
      <c r="G9" s="28">
        <v>46445</v>
      </c>
    </row>
    <row r="10" spans="1:8" ht="14.25" customHeight="1">
      <c r="A10" s="11" t="s">
        <v>126</v>
      </c>
      <c r="B10" s="11">
        <v>20</v>
      </c>
      <c r="C10" s="12">
        <v>46356</v>
      </c>
      <c r="E10" t="s">
        <v>422</v>
      </c>
      <c r="F10" s="28">
        <v>46446</v>
      </c>
      <c r="G10" s="28">
        <v>46477</v>
      </c>
    </row>
    <row r="11" spans="1:8" ht="14.25" customHeight="1">
      <c r="A11" s="11" t="s">
        <v>423</v>
      </c>
      <c r="B11" s="11">
        <v>18</v>
      </c>
      <c r="C11" s="12">
        <v>46417</v>
      </c>
      <c r="E11" t="s">
        <v>424</v>
      </c>
      <c r="F11" s="28">
        <v>46477</v>
      </c>
      <c r="G11" s="28">
        <v>46480</v>
      </c>
    </row>
    <row r="12" spans="1:8" ht="14.25" customHeight="1">
      <c r="A12" s="11" t="s">
        <v>423</v>
      </c>
      <c r="B12" s="11">
        <v>18</v>
      </c>
      <c r="C12" s="12">
        <v>46446</v>
      </c>
    </row>
    <row r="13" spans="1:8" ht="14.25" customHeight="1">
      <c r="A13" s="11" t="s">
        <v>423</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425</v>
      </c>
      <c r="B1" s="175"/>
      <c r="C1" s="175"/>
      <c r="D1" s="175"/>
      <c r="E1" s="175"/>
      <c r="F1" s="175"/>
      <c r="G1" s="175"/>
      <c r="H1" s="175"/>
      <c r="I1" s="175"/>
      <c r="J1" s="175"/>
    </row>
    <row r="2" spans="1:10" ht="27" customHeight="1">
      <c r="A2" s="8" t="s">
        <v>0</v>
      </c>
      <c r="B2" s="8" t="s">
        <v>426</v>
      </c>
      <c r="C2" s="8" t="s">
        <v>1</v>
      </c>
      <c r="D2" s="8" t="s">
        <v>427</v>
      </c>
      <c r="E2" s="8" t="s">
        <v>428</v>
      </c>
      <c r="F2" s="8" t="s">
        <v>6</v>
      </c>
      <c r="G2" s="8" t="s">
        <v>5</v>
      </c>
      <c r="H2" s="8" t="s">
        <v>429</v>
      </c>
      <c r="I2" s="8" t="s">
        <v>410</v>
      </c>
      <c r="J2" s="8" t="s">
        <v>430</v>
      </c>
    </row>
    <row r="3" spans="1:10" ht="14.25" customHeight="1">
      <c r="A3" s="9" t="s">
        <v>40</v>
      </c>
      <c r="B3" s="9" t="s">
        <v>258</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187</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258</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187</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258</v>
      </c>
      <c r="C13" s="9" t="s">
        <v>431</v>
      </c>
      <c r="D13" s="9" t="s">
        <v>432</v>
      </c>
      <c r="E13" s="9" t="s">
        <v>46</v>
      </c>
      <c r="F13" s="9"/>
      <c r="G13" s="9"/>
      <c r="H13" s="10"/>
      <c r="I13" s="10">
        <v>46115</v>
      </c>
      <c r="J13" s="10">
        <v>46115</v>
      </c>
    </row>
    <row r="14" spans="1:10" ht="14.25" customHeight="1">
      <c r="A14" s="9" t="s">
        <v>40</v>
      </c>
      <c r="B14" s="9" t="s">
        <v>164</v>
      </c>
      <c r="C14" s="9" t="s">
        <v>431</v>
      </c>
      <c r="D14" s="9" t="s">
        <v>432</v>
      </c>
      <c r="E14" s="9" t="s">
        <v>46</v>
      </c>
      <c r="F14" s="9"/>
      <c r="G14" s="9"/>
      <c r="H14" s="10">
        <v>46115</v>
      </c>
      <c r="I14" s="10">
        <v>46120</v>
      </c>
      <c r="J14" s="10">
        <v>46120</v>
      </c>
    </row>
    <row r="15" spans="1:10" ht="14.25" customHeight="1">
      <c r="A15" s="9" t="s">
        <v>40</v>
      </c>
      <c r="B15" s="9" t="s">
        <v>187</v>
      </c>
      <c r="C15" s="9" t="s">
        <v>431</v>
      </c>
      <c r="D15" s="9" t="s">
        <v>432</v>
      </c>
      <c r="E15" s="9" t="s">
        <v>46</v>
      </c>
      <c r="F15" s="9"/>
      <c r="G15" s="9"/>
      <c r="H15" s="10">
        <v>46120</v>
      </c>
      <c r="I15" s="10">
        <v>46122</v>
      </c>
      <c r="J15" s="10">
        <v>46122</v>
      </c>
    </row>
    <row r="16" spans="1:10" ht="14.25" customHeight="1">
      <c r="A16" s="9" t="s">
        <v>40</v>
      </c>
      <c r="B16" s="9" t="s">
        <v>182</v>
      </c>
      <c r="C16" s="9" t="s">
        <v>431</v>
      </c>
      <c r="D16" s="9" t="s">
        <v>432</v>
      </c>
      <c r="E16" s="9" t="s">
        <v>46</v>
      </c>
      <c r="F16" s="9"/>
      <c r="G16" s="9"/>
      <c r="H16" s="10">
        <v>46122</v>
      </c>
      <c r="I16" s="10"/>
      <c r="J16" s="10"/>
    </row>
    <row r="17" spans="1:10" ht="14.25" customHeight="1">
      <c r="A17" s="9" t="s">
        <v>40</v>
      </c>
      <c r="B17" s="9" t="s">
        <v>42</v>
      </c>
      <c r="C17" s="9" t="s">
        <v>431</v>
      </c>
      <c r="D17" s="9" t="s">
        <v>432</v>
      </c>
      <c r="E17" s="9" t="s">
        <v>46</v>
      </c>
      <c r="F17" s="9"/>
      <c r="G17" s="9"/>
      <c r="H17" s="10"/>
      <c r="I17" s="10"/>
      <c r="J17" s="10"/>
    </row>
    <row r="18" spans="1:10" ht="14.25" customHeight="1">
      <c r="A18" s="9" t="s">
        <v>40</v>
      </c>
      <c r="B18" s="9" t="s">
        <v>258</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187</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258</v>
      </c>
      <c r="C23" s="9" t="s">
        <v>64</v>
      </c>
      <c r="D23" s="9" t="s">
        <v>432</v>
      </c>
      <c r="E23" s="9" t="s">
        <v>46</v>
      </c>
      <c r="F23" s="9"/>
      <c r="G23" s="9"/>
      <c r="H23" s="10"/>
      <c r="I23" s="10">
        <v>46115</v>
      </c>
      <c r="J23" s="10">
        <v>46115</v>
      </c>
    </row>
    <row r="24" spans="1:10" ht="14.25" customHeight="1">
      <c r="A24" s="9" t="s">
        <v>40</v>
      </c>
      <c r="B24" s="9" t="s">
        <v>164</v>
      </c>
      <c r="C24" s="9" t="s">
        <v>64</v>
      </c>
      <c r="D24" s="9" t="s">
        <v>432</v>
      </c>
      <c r="E24" s="9" t="s">
        <v>46</v>
      </c>
      <c r="F24" s="9"/>
      <c r="G24" s="9"/>
      <c r="H24" s="10">
        <v>46115</v>
      </c>
      <c r="I24" s="10">
        <v>46120</v>
      </c>
      <c r="J24" s="10">
        <v>46120</v>
      </c>
    </row>
    <row r="25" spans="1:10" ht="14.25" customHeight="1">
      <c r="A25" s="9" t="s">
        <v>40</v>
      </c>
      <c r="B25" s="9" t="s">
        <v>187</v>
      </c>
      <c r="C25" s="9" t="s">
        <v>64</v>
      </c>
      <c r="D25" s="9" t="s">
        <v>432</v>
      </c>
      <c r="E25" s="9" t="s">
        <v>46</v>
      </c>
      <c r="F25" s="9"/>
      <c r="G25" s="9"/>
      <c r="H25" s="10">
        <v>46120</v>
      </c>
      <c r="I25" s="10">
        <v>46122</v>
      </c>
      <c r="J25" s="10">
        <v>46122</v>
      </c>
    </row>
    <row r="26" spans="1:10" ht="14.25" customHeight="1">
      <c r="A26" s="9" t="s">
        <v>40</v>
      </c>
      <c r="B26" s="9" t="s">
        <v>182</v>
      </c>
      <c r="C26" s="9" t="s">
        <v>64</v>
      </c>
      <c r="D26" s="9" t="s">
        <v>432</v>
      </c>
      <c r="E26" s="9" t="s">
        <v>46</v>
      </c>
      <c r="F26" s="9"/>
      <c r="G26" s="9"/>
      <c r="H26" s="10">
        <v>46122</v>
      </c>
      <c r="I26" s="10"/>
      <c r="J26" s="10"/>
    </row>
    <row r="27" spans="1:10" ht="14.25" customHeight="1">
      <c r="A27" s="9" t="s">
        <v>40</v>
      </c>
      <c r="B27" s="9" t="s">
        <v>42</v>
      </c>
      <c r="C27" s="9" t="s">
        <v>64</v>
      </c>
      <c r="D27" s="9" t="s">
        <v>432</v>
      </c>
      <c r="E27" s="9" t="s">
        <v>46</v>
      </c>
      <c r="F27" s="9"/>
      <c r="G27" s="9"/>
      <c r="H27" s="10"/>
      <c r="I27" s="10"/>
      <c r="J27" s="10"/>
    </row>
    <row r="28" spans="1:10" ht="14.25" customHeight="1">
      <c r="A28" s="9" t="s">
        <v>40</v>
      </c>
      <c r="B28" s="9" t="s">
        <v>258</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187</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258</v>
      </c>
      <c r="C33" s="9" t="s">
        <v>70</v>
      </c>
      <c r="D33" s="9" t="s">
        <v>432</v>
      </c>
      <c r="E33" s="9" t="s">
        <v>60</v>
      </c>
      <c r="F33" s="9"/>
      <c r="G33" s="9"/>
      <c r="H33" s="10"/>
      <c r="I33" s="10">
        <v>46122</v>
      </c>
      <c r="J33" s="10">
        <v>46122</v>
      </c>
    </row>
    <row r="34" spans="1:10" ht="14.25" customHeight="1">
      <c r="A34" s="9" t="s">
        <v>40</v>
      </c>
      <c r="B34" s="9" t="s">
        <v>164</v>
      </c>
      <c r="C34" s="9" t="s">
        <v>70</v>
      </c>
      <c r="D34" s="9" t="s">
        <v>432</v>
      </c>
      <c r="E34" s="9" t="s">
        <v>60</v>
      </c>
      <c r="F34" s="9"/>
      <c r="G34" s="9"/>
      <c r="H34" s="10">
        <v>46122</v>
      </c>
      <c r="I34" s="10">
        <v>46126</v>
      </c>
      <c r="J34" s="10">
        <v>46126</v>
      </c>
    </row>
    <row r="35" spans="1:10" ht="14.25" customHeight="1">
      <c r="A35" s="9" t="s">
        <v>40</v>
      </c>
      <c r="B35" s="9" t="s">
        <v>187</v>
      </c>
      <c r="C35" s="9" t="s">
        <v>70</v>
      </c>
      <c r="D35" s="9" t="s">
        <v>432</v>
      </c>
      <c r="E35" s="9" t="s">
        <v>60</v>
      </c>
      <c r="F35" s="9"/>
      <c r="G35" s="9"/>
      <c r="H35" s="10">
        <v>46126</v>
      </c>
      <c r="I35" s="10">
        <v>46122</v>
      </c>
      <c r="J35" s="10">
        <v>46122</v>
      </c>
    </row>
    <row r="36" spans="1:10" ht="14.25" customHeight="1">
      <c r="A36" s="9" t="s">
        <v>40</v>
      </c>
      <c r="B36" s="9" t="s">
        <v>182</v>
      </c>
      <c r="C36" s="9" t="s">
        <v>70</v>
      </c>
      <c r="D36" s="9" t="s">
        <v>432</v>
      </c>
      <c r="E36" s="9" t="s">
        <v>60</v>
      </c>
      <c r="F36" s="9"/>
      <c r="G36" s="9"/>
      <c r="H36" s="10">
        <v>46122</v>
      </c>
      <c r="I36" s="10"/>
      <c r="J36" s="10"/>
    </row>
    <row r="37" spans="1:10" ht="14.25" customHeight="1">
      <c r="A37" s="9" t="s">
        <v>40</v>
      </c>
      <c r="B37" s="9" t="s">
        <v>42</v>
      </c>
      <c r="C37" s="9" t="s">
        <v>70</v>
      </c>
      <c r="D37" s="9" t="s">
        <v>432</v>
      </c>
      <c r="E37" s="9" t="s">
        <v>60</v>
      </c>
      <c r="F37" s="9"/>
      <c r="G37" s="9"/>
      <c r="H37" s="10"/>
      <c r="I37" s="10"/>
      <c r="J37" s="10"/>
    </row>
    <row r="38" spans="1:10" ht="14.25" customHeight="1">
      <c r="A38" s="9" t="s">
        <v>40</v>
      </c>
      <c r="B38" s="9" t="s">
        <v>258</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187</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258</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187</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258</v>
      </c>
      <c r="C48" s="9" t="s">
        <v>97</v>
      </c>
      <c r="D48" s="9" t="s">
        <v>432</v>
      </c>
      <c r="E48" s="9" t="s">
        <v>60</v>
      </c>
      <c r="F48" s="9"/>
      <c r="G48" s="9"/>
      <c r="H48" s="10"/>
      <c r="I48" s="10"/>
      <c r="J48" s="10"/>
    </row>
    <row r="49" spans="1:10" ht="14.25" customHeight="1">
      <c r="A49" s="9" t="s">
        <v>40</v>
      </c>
      <c r="B49" s="9" t="s">
        <v>164</v>
      </c>
      <c r="C49" s="9" t="s">
        <v>97</v>
      </c>
      <c r="D49" s="9" t="s">
        <v>432</v>
      </c>
      <c r="E49" s="9" t="s">
        <v>60</v>
      </c>
      <c r="F49" s="9"/>
      <c r="G49" s="9"/>
      <c r="H49" s="10"/>
      <c r="I49" s="10">
        <v>46139</v>
      </c>
      <c r="J49" s="10">
        <v>46139</v>
      </c>
    </row>
    <row r="50" spans="1:10" ht="14.25" customHeight="1">
      <c r="A50" s="9" t="s">
        <v>40</v>
      </c>
      <c r="B50" s="9" t="s">
        <v>187</v>
      </c>
      <c r="C50" s="9" t="s">
        <v>97</v>
      </c>
      <c r="D50" s="9" t="s">
        <v>432</v>
      </c>
      <c r="E50" s="9" t="s">
        <v>60</v>
      </c>
      <c r="F50" s="9"/>
      <c r="G50" s="9"/>
      <c r="H50" s="10">
        <v>46139</v>
      </c>
      <c r="I50" s="10">
        <v>46139</v>
      </c>
      <c r="J50" s="10">
        <v>46139</v>
      </c>
    </row>
    <row r="51" spans="1:10" ht="14.25" customHeight="1">
      <c r="A51" s="9" t="s">
        <v>40</v>
      </c>
      <c r="B51" s="9" t="s">
        <v>182</v>
      </c>
      <c r="C51" s="9" t="s">
        <v>97</v>
      </c>
      <c r="D51" s="9" t="s">
        <v>432</v>
      </c>
      <c r="E51" s="9" t="s">
        <v>60</v>
      </c>
      <c r="F51" s="9"/>
      <c r="G51" s="9"/>
      <c r="H51" s="10">
        <v>46139</v>
      </c>
      <c r="I51" s="10"/>
      <c r="J51" s="10"/>
    </row>
    <row r="52" spans="1:10" ht="14.25" customHeight="1">
      <c r="A52" s="9" t="s">
        <v>40</v>
      </c>
      <c r="B52" s="9" t="s">
        <v>42</v>
      </c>
      <c r="C52" s="9" t="s">
        <v>97</v>
      </c>
      <c r="D52" s="9" t="s">
        <v>432</v>
      </c>
      <c r="E52" s="9" t="s">
        <v>60</v>
      </c>
      <c r="F52" s="9"/>
      <c r="G52" s="9"/>
      <c r="H52" s="10"/>
      <c r="I52" s="10"/>
      <c r="J52" s="10"/>
    </row>
    <row r="53" spans="1:10" ht="14.25" customHeight="1">
      <c r="A53" s="9" t="s">
        <v>40</v>
      </c>
      <c r="B53" s="9" t="s">
        <v>258</v>
      </c>
      <c r="C53" s="9" t="s">
        <v>98</v>
      </c>
      <c r="D53" s="9" t="s">
        <v>432</v>
      </c>
      <c r="E53" s="9" t="s">
        <v>60</v>
      </c>
      <c r="F53" s="9"/>
      <c r="G53" s="9"/>
      <c r="H53" s="10"/>
      <c r="I53" s="10"/>
      <c r="J53" s="10"/>
    </row>
    <row r="54" spans="1:10" ht="14.25" customHeight="1">
      <c r="A54" s="9" t="s">
        <v>40</v>
      </c>
      <c r="B54" s="9" t="s">
        <v>164</v>
      </c>
      <c r="C54" s="9" t="s">
        <v>98</v>
      </c>
      <c r="D54" s="9" t="s">
        <v>432</v>
      </c>
      <c r="E54" s="9" t="s">
        <v>60</v>
      </c>
      <c r="F54" s="9"/>
      <c r="G54" s="9"/>
      <c r="H54" s="9"/>
      <c r="I54" s="10">
        <v>46141</v>
      </c>
      <c r="J54" s="10">
        <v>46141</v>
      </c>
    </row>
    <row r="55" spans="1:10" ht="14.25" customHeight="1">
      <c r="A55" s="9" t="s">
        <v>40</v>
      </c>
      <c r="B55" s="9" t="s">
        <v>187</v>
      </c>
      <c r="C55" s="9" t="s">
        <v>98</v>
      </c>
      <c r="D55" s="9" t="s">
        <v>432</v>
      </c>
      <c r="E55" s="9" t="s">
        <v>60</v>
      </c>
      <c r="F55" s="9"/>
      <c r="G55" s="9"/>
      <c r="H55" s="10">
        <v>46141</v>
      </c>
      <c r="I55" s="10">
        <v>46141</v>
      </c>
      <c r="J55" s="10">
        <v>46141</v>
      </c>
    </row>
    <row r="56" spans="1:10" ht="14.25" customHeight="1">
      <c r="A56" s="9" t="s">
        <v>40</v>
      </c>
      <c r="B56" s="9" t="s">
        <v>182</v>
      </c>
      <c r="C56" s="9" t="s">
        <v>98</v>
      </c>
      <c r="D56" s="9" t="s">
        <v>432</v>
      </c>
      <c r="E56" s="9" t="s">
        <v>60</v>
      </c>
      <c r="F56" s="9"/>
      <c r="G56" s="9"/>
      <c r="H56" s="10">
        <v>46141</v>
      </c>
      <c r="I56" s="10"/>
      <c r="J56" s="10"/>
    </row>
    <row r="57" spans="1:10" ht="14.25" customHeight="1">
      <c r="A57" s="9" t="s">
        <v>40</v>
      </c>
      <c r="B57" s="9" t="s">
        <v>42</v>
      </c>
      <c r="C57" s="9" t="s">
        <v>98</v>
      </c>
      <c r="D57" s="9" t="s">
        <v>432</v>
      </c>
      <c r="E57" s="9" t="s">
        <v>60</v>
      </c>
      <c r="F57" s="9"/>
      <c r="G57" s="9"/>
      <c r="H57" s="10"/>
      <c r="I57" s="10"/>
      <c r="J57" s="10"/>
    </row>
    <row r="58" spans="1:10" ht="14.25" customHeight="1">
      <c r="A58" s="9" t="s">
        <v>40</v>
      </c>
      <c r="B58" s="9" t="s">
        <v>258</v>
      </c>
      <c r="C58" s="9" t="s">
        <v>99</v>
      </c>
      <c r="D58" s="9" t="s">
        <v>432</v>
      </c>
      <c r="E58" s="9" t="s">
        <v>46</v>
      </c>
      <c r="F58" s="9"/>
      <c r="G58" s="9"/>
      <c r="H58" s="9"/>
      <c r="I58" s="10"/>
      <c r="J58" s="10"/>
    </row>
    <row r="59" spans="1:10" ht="14.25" customHeight="1">
      <c r="A59" s="9" t="s">
        <v>40</v>
      </c>
      <c r="B59" s="9" t="s">
        <v>164</v>
      </c>
      <c r="C59" s="9" t="s">
        <v>99</v>
      </c>
      <c r="D59" s="9" t="s">
        <v>432</v>
      </c>
      <c r="E59" s="9" t="s">
        <v>46</v>
      </c>
      <c r="F59" s="9"/>
      <c r="G59" s="9"/>
      <c r="H59" s="10"/>
      <c r="I59" s="10">
        <v>46161</v>
      </c>
      <c r="J59" s="10">
        <v>46161</v>
      </c>
    </row>
    <row r="60" spans="1:10" ht="14.25" customHeight="1">
      <c r="A60" s="9" t="s">
        <v>40</v>
      </c>
      <c r="B60" s="9" t="s">
        <v>187</v>
      </c>
      <c r="C60" s="9" t="s">
        <v>99</v>
      </c>
      <c r="D60" s="9" t="s">
        <v>432</v>
      </c>
      <c r="E60" s="9" t="s">
        <v>46</v>
      </c>
      <c r="F60" s="9"/>
      <c r="G60" s="9"/>
      <c r="H60" s="10">
        <v>46161</v>
      </c>
      <c r="I60" s="10">
        <v>46161</v>
      </c>
      <c r="J60" s="10">
        <v>46161</v>
      </c>
    </row>
    <row r="61" spans="1:10" ht="14.25" customHeight="1">
      <c r="A61" s="9" t="s">
        <v>40</v>
      </c>
      <c r="B61" s="9" t="s">
        <v>182</v>
      </c>
      <c r="C61" s="9" t="s">
        <v>99</v>
      </c>
      <c r="D61" s="9" t="s">
        <v>432</v>
      </c>
      <c r="E61" s="9" t="s">
        <v>46</v>
      </c>
      <c r="F61" s="9"/>
      <c r="G61" s="9"/>
      <c r="H61" s="10">
        <v>46161</v>
      </c>
      <c r="I61" s="10"/>
      <c r="J61" s="10"/>
    </row>
    <row r="62" spans="1:10" ht="14.25" customHeight="1">
      <c r="A62" s="9" t="s">
        <v>40</v>
      </c>
      <c r="B62" s="9" t="s">
        <v>42</v>
      </c>
      <c r="C62" s="9" t="s">
        <v>99</v>
      </c>
      <c r="D62" s="9" t="s">
        <v>432</v>
      </c>
      <c r="E62" s="9" t="s">
        <v>46</v>
      </c>
      <c r="F62" s="9"/>
      <c r="G62" s="9"/>
      <c r="H62" s="9"/>
      <c r="I62" s="10"/>
      <c r="J62" s="10"/>
    </row>
    <row r="63" spans="1:10" ht="14.25" customHeight="1">
      <c r="A63" s="9" t="s">
        <v>40</v>
      </c>
      <c r="B63" s="9" t="s">
        <v>258</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187</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258</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187</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258</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187</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258</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187</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258</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187</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258</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187</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258</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187</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258</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187</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258</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187</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258</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187</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258</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187</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258</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187</v>
      </c>
      <c r="C120" s="9" t="s">
        <v>113</v>
      </c>
      <c r="D120" s="9" t="s">
        <v>59</v>
      </c>
      <c r="E120" s="9" t="s">
        <v>46</v>
      </c>
      <c r="F120" s="9"/>
      <c r="G120" s="9"/>
      <c r="H120" s="10">
        <v>46186</v>
      </c>
      <c r="I120" s="10">
        <v>46188</v>
      </c>
      <c r="J120" s="10">
        <v>46188</v>
      </c>
    </row>
    <row r="121" spans="1:10" ht="14.25" customHeight="1">
      <c r="A121" s="9" t="s">
        <v>40</v>
      </c>
      <c r="B121" s="9" t="s">
        <v>258</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187</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258</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187</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258</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187</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258</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187</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258</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187</v>
      </c>
      <c r="C143" s="9" t="s">
        <v>127</v>
      </c>
      <c r="D143" s="9" t="s">
        <v>76</v>
      </c>
      <c r="E143" s="9" t="s">
        <v>60</v>
      </c>
      <c r="F143" s="9"/>
      <c r="G143" s="9" t="s">
        <v>129</v>
      </c>
      <c r="H143" s="10">
        <v>46213</v>
      </c>
      <c r="I143" s="10">
        <v>46223</v>
      </c>
      <c r="J143" s="10">
        <v>46223</v>
      </c>
    </row>
    <row r="144" spans="1:10" ht="14.25" customHeight="1">
      <c r="A144" s="9" t="s">
        <v>126</v>
      </c>
      <c r="B144" s="9" t="s">
        <v>258</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187</v>
      </c>
      <c r="C146" s="9" t="s">
        <v>134</v>
      </c>
      <c r="D146" s="9" t="s">
        <v>65</v>
      </c>
      <c r="E146" s="9" t="s">
        <v>77</v>
      </c>
      <c r="F146" s="9"/>
      <c r="G146" s="9" t="s">
        <v>129</v>
      </c>
      <c r="H146" s="10">
        <v>46218</v>
      </c>
      <c r="I146" s="10">
        <v>46223</v>
      </c>
      <c r="J146" s="10">
        <v>46223</v>
      </c>
    </row>
    <row r="147" spans="1:10" ht="14.25" customHeight="1">
      <c r="A147" s="9" t="s">
        <v>126</v>
      </c>
      <c r="B147" s="9" t="s">
        <v>258</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187</v>
      </c>
      <c r="C149" s="9" t="s">
        <v>136</v>
      </c>
      <c r="D149" s="9" t="s">
        <v>65</v>
      </c>
      <c r="E149" s="9" t="s">
        <v>77</v>
      </c>
      <c r="F149" s="9"/>
      <c r="G149" s="9" t="s">
        <v>129</v>
      </c>
      <c r="H149" s="10">
        <v>46225</v>
      </c>
      <c r="I149" s="10">
        <v>46223</v>
      </c>
      <c r="J149" s="10">
        <v>46223</v>
      </c>
    </row>
    <row r="150" spans="1:10" ht="14.25" customHeight="1">
      <c r="A150" s="9" t="s">
        <v>126</v>
      </c>
      <c r="B150" s="9" t="s">
        <v>258</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187</v>
      </c>
      <c r="C152" s="9" t="s">
        <v>138</v>
      </c>
      <c r="D152" s="9" t="s">
        <v>59</v>
      </c>
      <c r="E152" s="9" t="s">
        <v>46</v>
      </c>
      <c r="F152" s="9"/>
      <c r="G152" s="9" t="s">
        <v>129</v>
      </c>
      <c r="H152" s="10">
        <v>46227</v>
      </c>
      <c r="I152" s="10">
        <v>46223</v>
      </c>
      <c r="J152" s="10">
        <v>46223</v>
      </c>
    </row>
    <row r="153" spans="1:10" ht="14.25" customHeight="1">
      <c r="A153" s="9" t="s">
        <v>126</v>
      </c>
      <c r="B153" s="9" t="s">
        <v>258</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187</v>
      </c>
      <c r="C155" s="9" t="s">
        <v>140</v>
      </c>
      <c r="D155" s="9" t="s">
        <v>103</v>
      </c>
      <c r="E155" s="9" t="s">
        <v>77</v>
      </c>
      <c r="F155" s="9"/>
      <c r="G155" s="9" t="s">
        <v>129</v>
      </c>
      <c r="H155" s="10">
        <v>46216</v>
      </c>
      <c r="I155" s="10">
        <v>46225</v>
      </c>
      <c r="J155" s="10">
        <v>46225</v>
      </c>
    </row>
    <row r="156" spans="1:10" ht="14.25" customHeight="1">
      <c r="A156" s="9" t="s">
        <v>126</v>
      </c>
      <c r="B156" s="9" t="s">
        <v>258</v>
      </c>
      <c r="C156" s="9" t="s">
        <v>142</v>
      </c>
      <c r="D156" s="9" t="s">
        <v>84</v>
      </c>
      <c r="E156" s="9" t="s">
        <v>60</v>
      </c>
      <c r="F156" s="9"/>
      <c r="G156" s="9" t="s">
        <v>143</v>
      </c>
      <c r="H156" s="9"/>
      <c r="I156" s="9"/>
      <c r="J156" s="9"/>
    </row>
    <row r="157" spans="1:10">
      <c r="A157" s="3" t="s">
        <v>126</v>
      </c>
      <c r="B157" s="3" t="s">
        <v>258</v>
      </c>
      <c r="C157" s="3" t="s">
        <v>145</v>
      </c>
      <c r="D157" s="3" t="s">
        <v>65</v>
      </c>
      <c r="E157" s="3" t="s">
        <v>46</v>
      </c>
      <c r="F157" s="3"/>
      <c r="G157" s="3" t="s">
        <v>143</v>
      </c>
      <c r="H157" s="3"/>
      <c r="I157" s="3"/>
      <c r="J157" s="3"/>
    </row>
    <row r="158" spans="1:10">
      <c r="A158" s="3" t="s">
        <v>126</v>
      </c>
      <c r="B158" s="3" t="s">
        <v>258</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187</v>
      </c>
      <c r="C160" s="3" t="s">
        <v>148</v>
      </c>
      <c r="D160" s="3" t="s">
        <v>65</v>
      </c>
      <c r="E160" s="3" t="s">
        <v>46</v>
      </c>
      <c r="F160" s="3"/>
      <c r="G160" s="3" t="s">
        <v>143</v>
      </c>
      <c r="H160" s="4">
        <v>46221</v>
      </c>
      <c r="I160" s="4">
        <v>46223</v>
      </c>
      <c r="J160" s="4">
        <v>46223</v>
      </c>
    </row>
    <row r="161" spans="1:10">
      <c r="A161" s="3" t="s">
        <v>126</v>
      </c>
      <c r="B161" s="3" t="s">
        <v>258</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187</v>
      </c>
      <c r="C163" s="3" t="s">
        <v>149</v>
      </c>
      <c r="D163" s="3" t="s">
        <v>84</v>
      </c>
      <c r="E163" s="3" t="s">
        <v>60</v>
      </c>
      <c r="F163" s="3"/>
      <c r="G163" s="3" t="s">
        <v>143</v>
      </c>
      <c r="H163" s="4">
        <v>46220</v>
      </c>
      <c r="I163" s="4">
        <v>46223</v>
      </c>
      <c r="J163" s="4">
        <v>46223</v>
      </c>
    </row>
    <row r="164" spans="1:10">
      <c r="A164" s="3" t="s">
        <v>126</v>
      </c>
      <c r="B164" s="3" t="s">
        <v>258</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187</v>
      </c>
      <c r="C166" s="3" t="s">
        <v>152</v>
      </c>
      <c r="D166" s="3" t="s">
        <v>154</v>
      </c>
      <c r="E166" s="3" t="s">
        <v>60</v>
      </c>
      <c r="F166" s="3"/>
      <c r="G166" s="3" t="s">
        <v>143</v>
      </c>
      <c r="H166" s="4">
        <v>46224</v>
      </c>
      <c r="I166" s="4">
        <v>46223</v>
      </c>
      <c r="J166" s="4">
        <v>46223</v>
      </c>
    </row>
    <row r="167" spans="1:10">
      <c r="A167" s="3" t="s">
        <v>126</v>
      </c>
      <c r="B167" s="3" t="s">
        <v>258</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187</v>
      </c>
      <c r="C169" s="3" t="s">
        <v>155</v>
      </c>
      <c r="D169" s="3" t="s">
        <v>154</v>
      </c>
      <c r="E169" s="3" t="s">
        <v>77</v>
      </c>
      <c r="F169" s="3"/>
      <c r="G169" s="3" t="s">
        <v>143</v>
      </c>
      <c r="H169" s="4">
        <v>46225</v>
      </c>
      <c r="I169" s="4">
        <v>46223</v>
      </c>
      <c r="J169" s="4">
        <v>46223</v>
      </c>
    </row>
    <row r="170" spans="1:10">
      <c r="A170" s="3" t="s">
        <v>126</v>
      </c>
      <c r="B170" s="3" t="s">
        <v>258</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187</v>
      </c>
      <c r="C172" s="3" t="s">
        <v>156</v>
      </c>
      <c r="D172" s="3" t="s">
        <v>76</v>
      </c>
      <c r="E172" s="3" t="s">
        <v>46</v>
      </c>
      <c r="F172" s="3"/>
      <c r="G172" s="3" t="s">
        <v>129</v>
      </c>
      <c r="H172" s="4">
        <v>46226</v>
      </c>
      <c r="I172" s="4">
        <v>46223</v>
      </c>
      <c r="J172" s="4">
        <v>46223</v>
      </c>
    </row>
    <row r="173" spans="1:10">
      <c r="A173" s="3" t="s">
        <v>126</v>
      </c>
      <c r="B173" s="3" t="s">
        <v>258</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187</v>
      </c>
      <c r="C175" s="3" t="s">
        <v>158</v>
      </c>
      <c r="D175" s="3" t="s">
        <v>59</v>
      </c>
      <c r="E175" s="3" t="s">
        <v>60</v>
      </c>
      <c r="F175" s="3"/>
      <c r="G175" s="3" t="s">
        <v>129</v>
      </c>
      <c r="H175" s="4">
        <v>46225</v>
      </c>
      <c r="I175" s="4">
        <v>46223</v>
      </c>
      <c r="J175" s="4">
        <v>46223</v>
      </c>
    </row>
    <row r="176" spans="1:10">
      <c r="A176" s="3" t="s">
        <v>126</v>
      </c>
      <c r="B176" s="3" t="s">
        <v>258</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187</v>
      </c>
      <c r="C178" s="3" t="s">
        <v>160</v>
      </c>
      <c r="D178" s="3" t="s">
        <v>76</v>
      </c>
      <c r="E178" s="3" t="s">
        <v>77</v>
      </c>
      <c r="F178" s="3"/>
      <c r="G178" s="3" t="s">
        <v>143</v>
      </c>
      <c r="H178" s="4">
        <v>46225</v>
      </c>
      <c r="I178" s="4">
        <v>46230</v>
      </c>
      <c r="J178" s="4">
        <v>46230</v>
      </c>
    </row>
    <row r="179" spans="1:10">
      <c r="A179" s="3" t="s">
        <v>126</v>
      </c>
      <c r="B179" s="3" t="s">
        <v>258</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187</v>
      </c>
      <c r="C181" s="3" t="s">
        <v>163</v>
      </c>
      <c r="D181" s="3" t="s">
        <v>103</v>
      </c>
      <c r="E181" s="3"/>
      <c r="F181" s="3"/>
      <c r="G181" s="3"/>
      <c r="H181" s="3"/>
      <c r="I181" s="3"/>
      <c r="J181" s="3"/>
    </row>
    <row r="182" spans="1:10">
      <c r="A182" s="3" t="s">
        <v>126</v>
      </c>
      <c r="B182" s="3" t="s">
        <v>258</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187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433</v>
      </c>
      <c r="F1" s="1" t="s">
        <v>333</v>
      </c>
      <c r="G1" s="5" t="s">
        <v>434</v>
      </c>
      <c r="H1" s="5" t="s">
        <v>20</v>
      </c>
      <c r="I1" t="s">
        <v>35</v>
      </c>
      <c r="J1" s="5" t="s">
        <v>435</v>
      </c>
      <c r="K1" s="5" t="s">
        <v>182</v>
      </c>
      <c r="L1" s="5" t="s">
        <v>352</v>
      </c>
      <c r="M1" s="1" t="s">
        <v>436</v>
      </c>
      <c r="N1" s="1" t="s">
        <v>437</v>
      </c>
      <c r="R1" t="s">
        <v>13</v>
      </c>
      <c r="T1" t="s">
        <v>438</v>
      </c>
    </row>
    <row r="2" spans="1:20" ht="13.5" customHeight="1">
      <c r="A2" s="2" t="s">
        <v>439</v>
      </c>
      <c r="B2" s="2" t="s">
        <v>440</v>
      </c>
      <c r="C2" s="2" t="s">
        <v>441</v>
      </c>
      <c r="D2" s="2" t="s">
        <v>442</v>
      </c>
      <c r="E2" s="2" t="s">
        <v>443</v>
      </c>
      <c r="F2" s="2" t="s">
        <v>444</v>
      </c>
      <c r="G2" t="s">
        <v>445</v>
      </c>
      <c r="H2" t="s">
        <v>446</v>
      </c>
      <c r="I2" t="s">
        <v>447</v>
      </c>
      <c r="J2" s="29" t="s">
        <v>448</v>
      </c>
      <c r="K2" s="29" t="s">
        <v>449</v>
      </c>
      <c r="L2" s="29" t="s">
        <v>450</v>
      </c>
      <c r="M2" t="s">
        <v>143</v>
      </c>
      <c r="N2" t="s">
        <v>451</v>
      </c>
      <c r="R2" t="s">
        <v>252</v>
      </c>
      <c r="T2" t="s">
        <v>49</v>
      </c>
    </row>
    <row r="3" spans="1:20" ht="15" customHeight="1">
      <c r="A3" t="s">
        <v>40</v>
      </c>
      <c r="B3" t="s">
        <v>44</v>
      </c>
      <c r="C3" t="s">
        <v>60</v>
      </c>
      <c r="D3" t="s">
        <v>129</v>
      </c>
      <c r="E3" t="s">
        <v>50</v>
      </c>
      <c r="F3" t="s">
        <v>232</v>
      </c>
      <c r="G3" t="s">
        <v>44</v>
      </c>
      <c r="H3" t="s">
        <v>47</v>
      </c>
      <c r="I3" t="s">
        <v>53</v>
      </c>
      <c r="J3" t="s">
        <v>258</v>
      </c>
      <c r="K3" t="s">
        <v>48</v>
      </c>
      <c r="L3" t="s">
        <v>53</v>
      </c>
      <c r="M3" t="s">
        <v>44</v>
      </c>
      <c r="N3" t="s">
        <v>452</v>
      </c>
      <c r="R3" t="s">
        <v>45</v>
      </c>
      <c r="T3" t="s">
        <v>94</v>
      </c>
    </row>
    <row r="4" spans="1:20" ht="15" customHeight="1">
      <c r="A4" t="s">
        <v>126</v>
      </c>
      <c r="B4" t="s">
        <v>59</v>
      </c>
      <c r="C4" t="s">
        <v>46</v>
      </c>
      <c r="D4" t="s">
        <v>143</v>
      </c>
      <c r="E4" t="s">
        <v>53</v>
      </c>
      <c r="F4" t="s">
        <v>258</v>
      </c>
      <c r="G4" t="s">
        <v>59</v>
      </c>
      <c r="H4" t="s">
        <v>88</v>
      </c>
      <c r="I4" t="s">
        <v>206</v>
      </c>
      <c r="J4" t="s">
        <v>164</v>
      </c>
      <c r="L4" t="s">
        <v>50</v>
      </c>
      <c r="M4" t="s">
        <v>103</v>
      </c>
      <c r="N4" t="s">
        <v>453</v>
      </c>
      <c r="R4" t="s">
        <v>454</v>
      </c>
      <c r="T4" t="s">
        <v>72</v>
      </c>
    </row>
    <row r="5" spans="1:20" ht="15" customHeight="1">
      <c r="A5" t="s">
        <v>423</v>
      </c>
      <c r="B5" t="s">
        <v>432</v>
      </c>
      <c r="C5" t="s">
        <v>77</v>
      </c>
      <c r="F5" t="s">
        <v>164</v>
      </c>
      <c r="G5" t="s">
        <v>432</v>
      </c>
      <c r="H5" t="s">
        <v>129</v>
      </c>
      <c r="I5" t="s">
        <v>214</v>
      </c>
      <c r="J5" t="s">
        <v>187</v>
      </c>
      <c r="L5" t="s">
        <v>455</v>
      </c>
      <c r="M5" t="s">
        <v>88</v>
      </c>
      <c r="N5" t="s">
        <v>456</v>
      </c>
    </row>
    <row r="6" spans="1:20" ht="15" customHeight="1">
      <c r="A6" t="s">
        <v>305</v>
      </c>
      <c r="B6" t="s">
        <v>84</v>
      </c>
      <c r="F6" t="s">
        <v>187</v>
      </c>
      <c r="G6" t="s">
        <v>84</v>
      </c>
      <c r="H6" t="s">
        <v>143</v>
      </c>
      <c r="I6" t="s">
        <v>168</v>
      </c>
      <c r="J6" t="s">
        <v>182</v>
      </c>
      <c r="M6" t="s">
        <v>48</v>
      </c>
      <c r="N6" t="s">
        <v>456</v>
      </c>
    </row>
    <row r="7" spans="1:20" ht="15" customHeight="1">
      <c r="A7" t="s">
        <v>296</v>
      </c>
      <c r="B7" t="s">
        <v>65</v>
      </c>
      <c r="F7" t="s">
        <v>182</v>
      </c>
      <c r="G7" t="s">
        <v>65</v>
      </c>
      <c r="H7" t="s">
        <v>200</v>
      </c>
      <c r="I7" t="s">
        <v>457</v>
      </c>
      <c r="M7" t="s">
        <v>129</v>
      </c>
      <c r="N7" t="s">
        <v>458</v>
      </c>
    </row>
    <row r="8" spans="1:20" ht="15" customHeight="1">
      <c r="B8" t="s">
        <v>76</v>
      </c>
      <c r="F8" t="s">
        <v>128</v>
      </c>
      <c r="G8" t="s">
        <v>76</v>
      </c>
      <c r="I8" t="s">
        <v>459</v>
      </c>
      <c r="M8" t="s">
        <v>60</v>
      </c>
      <c r="N8" t="s">
        <v>460</v>
      </c>
    </row>
    <row r="9" spans="1:20" ht="15" customHeight="1">
      <c r="B9" t="s">
        <v>103</v>
      </c>
      <c r="F9" t="s">
        <v>42</v>
      </c>
      <c r="G9" t="s">
        <v>103</v>
      </c>
      <c r="I9" t="s">
        <v>461</v>
      </c>
      <c r="M9" t="s">
        <v>154</v>
      </c>
      <c r="N9" t="s">
        <v>462</v>
      </c>
    </row>
    <row r="10" spans="1:20" ht="15" customHeight="1">
      <c r="B10" t="s">
        <v>154</v>
      </c>
      <c r="G10" t="s">
        <v>154</v>
      </c>
      <c r="M10" t="s">
        <v>47</v>
      </c>
      <c r="N10" t="s">
        <v>463</v>
      </c>
    </row>
    <row r="11" spans="1:20">
      <c r="B11" t="s">
        <v>464</v>
      </c>
      <c r="G11" t="s">
        <v>60</v>
      </c>
      <c r="M11" t="s">
        <v>76</v>
      </c>
      <c r="N11" t="s">
        <v>465</v>
      </c>
    </row>
    <row r="12" spans="1:20">
      <c r="B12" t="s">
        <v>466</v>
      </c>
      <c r="G12" t="s">
        <v>46</v>
      </c>
      <c r="M12" t="s">
        <v>46</v>
      </c>
      <c r="N12" t="s">
        <v>467</v>
      </c>
    </row>
    <row r="13" spans="1:20">
      <c r="G13" t="s">
        <v>77</v>
      </c>
      <c r="M13" t="s">
        <v>77</v>
      </c>
      <c r="N13" t="s">
        <v>468</v>
      </c>
    </row>
    <row r="14" spans="1:20">
      <c r="M14" t="s">
        <v>84</v>
      </c>
      <c r="N14" t="s">
        <v>469</v>
      </c>
    </row>
    <row r="15" spans="1:20">
      <c r="M15" t="s">
        <v>59</v>
      </c>
      <c r="N15" t="s">
        <v>470</v>
      </c>
    </row>
    <row r="16" spans="1:20">
      <c r="M16" t="s">
        <v>65</v>
      </c>
      <c r="N16" t="s">
        <v>471</v>
      </c>
    </row>
    <row r="17" spans="13:14">
      <c r="M17" t="s">
        <v>432</v>
      </c>
      <c r="N17" t="s">
        <v>471</v>
      </c>
    </row>
    <row r="18" spans="13:14">
      <c r="M18" t="s">
        <v>227</v>
      </c>
      <c r="N18" t="s">
        <v>472</v>
      </c>
    </row>
    <row r="19" spans="13:14">
      <c r="M19" t="s">
        <v>200</v>
      </c>
      <c r="N19" t="s">
        <v>473</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2026-09-24T16:45:48Z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